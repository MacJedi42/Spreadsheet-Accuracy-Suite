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17400" windowHeight="12780" activeTab="1"/>
  </bookViews>
  <sheets>
    <sheet name="WL Data" sheetId="1" r:id="rId1"/>
    <sheet name="GW Data MW-01 to MW-05" sheetId="2" r:id="rId2"/>
    <sheet name="GW Data MW-06 to MW-13" sheetId="3" r:id="rId3"/>
    <sheet name="Supply Well Data" sheetId="4" r:id="rId4"/>
  </sheets>
  <definedNames>
    <definedName name="ChemNameCol" localSheetId="2">'GW Data MW-06 to MW-13'!$A$18:$B$48</definedName>
    <definedName name="ChemNameCol" localSheetId="3">'Supply Well Data'!$A$18:$B$48</definedName>
    <definedName name="ChemNameCol">'GW Data MW-01 to MW-05'!$A$10:$B$40</definedName>
    <definedName name="CompHeader" localSheetId="2">'GW Data MW-06 to MW-13'!$A$9:$B$20</definedName>
    <definedName name="CompHeader" localSheetId="3">'Supply Well Data'!$A$9:$E$20</definedName>
    <definedName name="CompHeader">'GW Data MW-01 to MW-05'!$A$1:$E$12</definedName>
    <definedName name="new">#REF!</definedName>
    <definedName name="_xlnm.Print_Area" localSheetId="1">'GW Data MW-01 to MW-05'!$A$1:$AE$565</definedName>
    <definedName name="_xlnm.Print_Area" localSheetId="2">'GW Data MW-06 to MW-13'!$A$9:$ED$53</definedName>
    <definedName name="_xlnm.Print_Area" localSheetId="3">'Supply Well Data'!$A$9:$DC$52</definedName>
    <definedName name="_xlnm.Print_Area" localSheetId="0">'WL Data'!$A$9:$R$208</definedName>
    <definedName name="_xlnm.Print_Titles" localSheetId="1">'GW Data MW-01 to MW-05'!$A$1:$B$65523,'GW Data MW-01 to MW-05'!$A$1:$IV$9</definedName>
    <definedName name="_xlnm.Print_Titles" localSheetId="2">'GW Data MW-06 to MW-13'!$A$1:$B$65536,'GW Data MW-06 to MW-13'!$A$9:$IV$17</definedName>
    <definedName name="_xlnm.Print_Titles" localSheetId="3">'Supply Well Data'!$A$1:$B$65536,'Supply Well Data'!$A$9:$IV$17</definedName>
  </definedNames>
  <calcPr calcId="145621"/>
</workbook>
</file>

<file path=xl/calcChain.xml><?xml version="1.0" encoding="utf-8"?>
<calcChain xmlns="http://schemas.openxmlformats.org/spreadsheetml/2006/main">
  <c r="EF48" i="3"/>
  <c r="EE48"/>
  <c r="EF47"/>
  <c r="EE47"/>
  <c r="EF46"/>
  <c r="EE46"/>
  <c r="EF45"/>
  <c r="EE45"/>
  <c r="EF44"/>
  <c r="EE44"/>
  <c r="EF43"/>
  <c r="EE43"/>
  <c r="EF42"/>
  <c r="EE42"/>
  <c r="EF41"/>
  <c r="EE41"/>
  <c r="EF40"/>
  <c r="EE40"/>
  <c r="EF39"/>
  <c r="EE39"/>
  <c r="EF38"/>
  <c r="EE38"/>
  <c r="FJ40" i="2"/>
  <c r="FI40"/>
  <c r="FJ39"/>
  <c r="FI39"/>
  <c r="FJ38"/>
  <c r="FI38"/>
  <c r="FJ37"/>
  <c r="FI37"/>
  <c r="FJ36"/>
  <c r="FI36"/>
  <c r="FJ35"/>
  <c r="FI35"/>
  <c r="FJ34"/>
  <c r="FI34"/>
  <c r="FJ33"/>
  <c r="FI33"/>
  <c r="FJ32"/>
  <c r="FI32"/>
  <c r="FJ31"/>
  <c r="FI31"/>
  <c r="FJ30"/>
  <c r="FI30"/>
  <c r="R199" i="1"/>
  <c r="M199"/>
  <c r="R198"/>
  <c r="Q198"/>
  <c r="M198"/>
  <c r="L198"/>
  <c r="D198"/>
  <c r="G198" s="1"/>
  <c r="R197"/>
  <c r="Q197"/>
  <c r="M197"/>
  <c r="L197"/>
  <c r="D197"/>
  <c r="G197" s="1"/>
  <c r="R196"/>
  <c r="Q196"/>
  <c r="M196"/>
  <c r="L196"/>
  <c r="D196"/>
  <c r="G196" s="1"/>
  <c r="R195"/>
  <c r="Q195"/>
  <c r="M195"/>
  <c r="L195"/>
  <c r="D195"/>
  <c r="G195" s="1"/>
  <c r="R194"/>
  <c r="Q194"/>
  <c r="M194"/>
  <c r="L194"/>
  <c r="D194"/>
  <c r="G194" s="1"/>
  <c r="R193"/>
  <c r="Q193"/>
  <c r="M193"/>
  <c r="L193"/>
  <c r="D193"/>
  <c r="G193" s="1"/>
  <c r="R192"/>
  <c r="Q192"/>
  <c r="M192"/>
  <c r="L192"/>
  <c r="D192"/>
  <c r="G192" s="1"/>
  <c r="R191"/>
  <c r="Q191"/>
  <c r="M191"/>
  <c r="L191"/>
  <c r="D191"/>
  <c r="G191" s="1"/>
  <c r="R190"/>
  <c r="Q190"/>
  <c r="M190"/>
  <c r="L190"/>
  <c r="D190"/>
  <c r="G190" s="1"/>
  <c r="R189"/>
  <c r="Q189"/>
  <c r="M189"/>
  <c r="L189"/>
  <c r="D189"/>
  <c r="G189" s="1"/>
  <c r="R188"/>
  <c r="Q188"/>
  <c r="M188"/>
  <c r="L188"/>
  <c r="D188"/>
  <c r="G188" s="1"/>
  <c r="R187"/>
  <c r="Q187"/>
  <c r="M187"/>
  <c r="L187"/>
  <c r="D187"/>
  <c r="G187" s="1"/>
  <c r="R186"/>
  <c r="Q186"/>
  <c r="M186"/>
  <c r="L186"/>
  <c r="D186"/>
  <c r="G186" s="1"/>
  <c r="R185"/>
  <c r="Q185"/>
  <c r="M185"/>
  <c r="L185"/>
  <c r="D185"/>
  <c r="G185" s="1"/>
  <c r="R172"/>
  <c r="M172"/>
  <c r="R171"/>
  <c r="Q171"/>
  <c r="D171"/>
  <c r="G171" s="1"/>
  <c r="R170"/>
  <c r="Q170"/>
  <c r="M170"/>
  <c r="L170"/>
  <c r="D170"/>
  <c r="G170" s="1"/>
  <c r="R169"/>
  <c r="Q169"/>
  <c r="M169"/>
  <c r="L169"/>
  <c r="D169"/>
  <c r="G169" s="1"/>
  <c r="R168"/>
  <c r="Q168"/>
  <c r="M168"/>
  <c r="L168"/>
  <c r="D168"/>
  <c r="G168" s="1"/>
  <c r="R167"/>
  <c r="Q167"/>
  <c r="M167"/>
  <c r="L167"/>
  <c r="D167"/>
  <c r="G167" s="1"/>
  <c r="R166"/>
  <c r="Q166"/>
  <c r="M166"/>
  <c r="L166"/>
  <c r="D166"/>
  <c r="G166" s="1"/>
  <c r="R165"/>
  <c r="Q165"/>
  <c r="M165"/>
  <c r="L165"/>
  <c r="D165"/>
  <c r="G165" s="1"/>
  <c r="R164"/>
  <c r="Q164"/>
  <c r="M164"/>
  <c r="L164"/>
  <c r="D164"/>
  <c r="G164" s="1"/>
  <c r="R163"/>
  <c r="Q163"/>
  <c r="M163"/>
  <c r="L163"/>
  <c r="D163"/>
  <c r="G163" s="1"/>
  <c r="R162"/>
  <c r="Q162"/>
  <c r="M162"/>
  <c r="L162"/>
  <c r="D162"/>
  <c r="G162" s="1"/>
  <c r="R161"/>
  <c r="Q161"/>
  <c r="M161"/>
  <c r="L161"/>
  <c r="D161"/>
  <c r="G161" s="1"/>
  <c r="R160"/>
  <c r="Q160"/>
  <c r="M160"/>
  <c r="L160"/>
  <c r="D160"/>
  <c r="G160" s="1"/>
  <c r="R159"/>
  <c r="Q159"/>
  <c r="M159"/>
  <c r="L159"/>
  <c r="D159"/>
  <c r="G159" s="1"/>
  <c r="R158"/>
  <c r="Q158"/>
  <c r="M158"/>
  <c r="L158"/>
  <c r="D158"/>
  <c r="G158" s="1"/>
  <c r="R145"/>
  <c r="M145"/>
  <c r="R144"/>
  <c r="Q144"/>
  <c r="M144"/>
  <c r="L144"/>
  <c r="D144"/>
  <c r="G144" s="1"/>
  <c r="R143"/>
  <c r="Q143"/>
  <c r="M143"/>
  <c r="L143"/>
  <c r="D143"/>
  <c r="G143" s="1"/>
  <c r="R142"/>
  <c r="Q142"/>
  <c r="M142"/>
  <c r="L142"/>
  <c r="D142"/>
  <c r="G142" s="1"/>
  <c r="R141"/>
  <c r="Q141"/>
  <c r="M141"/>
  <c r="L141"/>
  <c r="D141"/>
  <c r="G141" s="1"/>
  <c r="R140"/>
  <c r="Q140"/>
  <c r="M140"/>
  <c r="L140"/>
  <c r="D140"/>
  <c r="G140" s="1"/>
  <c r="R139"/>
  <c r="Q139"/>
  <c r="M139"/>
  <c r="L139"/>
  <c r="D139"/>
  <c r="G139" s="1"/>
  <c r="R138"/>
  <c r="Q138"/>
  <c r="M138"/>
  <c r="L138"/>
  <c r="D138"/>
  <c r="G138" s="1"/>
  <c r="R137"/>
  <c r="Q137"/>
  <c r="M137"/>
  <c r="L137"/>
  <c r="D137"/>
  <c r="G137" s="1"/>
  <c r="R136"/>
  <c r="Q136"/>
  <c r="M136"/>
  <c r="L136"/>
  <c r="D136"/>
  <c r="G136" s="1"/>
  <c r="R135"/>
  <c r="Q135"/>
  <c r="M135"/>
  <c r="L135"/>
  <c r="D135"/>
  <c r="G135" s="1"/>
  <c r="R134"/>
  <c r="Q134"/>
  <c r="M134"/>
  <c r="L134"/>
  <c r="D134"/>
  <c r="G134" s="1"/>
  <c r="R133"/>
  <c r="Q133"/>
  <c r="M133"/>
  <c r="L133"/>
  <c r="D133"/>
  <c r="G133" s="1"/>
  <c r="R132"/>
  <c r="Q132"/>
  <c r="M132"/>
  <c r="L132"/>
  <c r="D132"/>
  <c r="G132" s="1"/>
  <c r="R131"/>
  <c r="Q131"/>
  <c r="M131"/>
  <c r="L131"/>
  <c r="D131"/>
  <c r="G131" s="1"/>
  <c r="R118"/>
  <c r="M118"/>
  <c r="R117"/>
  <c r="Q117"/>
  <c r="M117"/>
  <c r="L117"/>
  <c r="D117"/>
  <c r="G117" s="1"/>
  <c r="R116"/>
  <c r="Q116"/>
  <c r="M116"/>
  <c r="L116"/>
  <c r="D116"/>
  <c r="G116" s="1"/>
  <c r="R115"/>
  <c r="Q115"/>
  <c r="M115"/>
  <c r="L115"/>
  <c r="D115"/>
  <c r="G115" s="1"/>
  <c r="R114"/>
  <c r="Q114"/>
  <c r="M114"/>
  <c r="L114"/>
  <c r="D114"/>
  <c r="G114" s="1"/>
  <c r="R113"/>
  <c r="Q113"/>
  <c r="M113"/>
  <c r="L113"/>
  <c r="D113"/>
  <c r="G113" s="1"/>
  <c r="R112"/>
  <c r="Q112"/>
  <c r="M112"/>
  <c r="L112"/>
  <c r="D112"/>
  <c r="G112" s="1"/>
  <c r="R111"/>
  <c r="Q111"/>
  <c r="M111"/>
  <c r="L111"/>
  <c r="D111"/>
  <c r="G111" s="1"/>
  <c r="R110"/>
  <c r="Q110"/>
  <c r="M110"/>
  <c r="L110"/>
  <c r="D110"/>
  <c r="G110" s="1"/>
  <c r="R109"/>
  <c r="Q109"/>
  <c r="M109"/>
  <c r="L109"/>
  <c r="D109"/>
  <c r="G109" s="1"/>
  <c r="R108"/>
  <c r="Q108"/>
  <c r="M108"/>
  <c r="L108"/>
  <c r="D108"/>
  <c r="G108" s="1"/>
  <c r="R107"/>
  <c r="Q107"/>
  <c r="M107"/>
  <c r="L107"/>
  <c r="D107"/>
  <c r="G107" s="1"/>
  <c r="R106"/>
  <c r="Q106"/>
  <c r="L106"/>
  <c r="J106"/>
  <c r="M106" s="1"/>
  <c r="D106"/>
  <c r="G106" s="1"/>
  <c r="R105"/>
  <c r="Q105"/>
  <c r="M105"/>
  <c r="L105"/>
  <c r="D105"/>
  <c r="G105" s="1"/>
  <c r="R104"/>
  <c r="Q104"/>
  <c r="M104"/>
  <c r="L104"/>
  <c r="D104"/>
  <c r="G104" s="1"/>
  <c r="R91"/>
  <c r="M91"/>
  <c r="R90"/>
  <c r="Q90"/>
  <c r="M90"/>
  <c r="L90"/>
  <c r="D90"/>
  <c r="G90" s="1"/>
  <c r="R89"/>
  <c r="Q89"/>
  <c r="M89"/>
  <c r="L89"/>
  <c r="D89"/>
  <c r="G89" s="1"/>
  <c r="R88"/>
  <c r="Q88"/>
  <c r="M88"/>
  <c r="L88"/>
  <c r="D88"/>
  <c r="G88" s="1"/>
  <c r="R87"/>
  <c r="Q87"/>
  <c r="L87"/>
  <c r="J87"/>
  <c r="M87" s="1"/>
  <c r="D87"/>
  <c r="G87" s="1"/>
  <c r="R86"/>
  <c r="Q86"/>
  <c r="M86"/>
  <c r="L86"/>
  <c r="D86"/>
  <c r="G86" s="1"/>
  <c r="R85"/>
  <c r="Q85"/>
  <c r="M85"/>
  <c r="L85"/>
  <c r="D85"/>
  <c r="G85" s="1"/>
  <c r="R84"/>
  <c r="Q84"/>
  <c r="M84"/>
  <c r="L84"/>
  <c r="D84"/>
  <c r="G84" s="1"/>
  <c r="R83"/>
  <c r="Q83"/>
  <c r="M83"/>
  <c r="L83"/>
  <c r="D83"/>
  <c r="G83" s="1"/>
  <c r="R82"/>
  <c r="Q82"/>
  <c r="M82"/>
  <c r="L82"/>
  <c r="D82"/>
  <c r="G82" s="1"/>
  <c r="R81"/>
  <c r="Q81"/>
  <c r="M81"/>
  <c r="L81"/>
  <c r="D81"/>
  <c r="G81" s="1"/>
  <c r="R80"/>
  <c r="Q80"/>
  <c r="M80"/>
  <c r="L80"/>
  <c r="D80"/>
  <c r="G80" s="1"/>
  <c r="R79"/>
  <c r="Q79"/>
  <c r="M79"/>
  <c r="L79"/>
  <c r="D79"/>
  <c r="G79" s="1"/>
  <c r="R78"/>
  <c r="Q78"/>
  <c r="M78"/>
  <c r="L78"/>
  <c r="D78"/>
  <c r="G78" s="1"/>
  <c r="R77"/>
  <c r="Q77"/>
  <c r="M77"/>
  <c r="L77"/>
  <c r="D77"/>
  <c r="G77" s="1"/>
  <c r="R64"/>
  <c r="M64"/>
  <c r="R63"/>
  <c r="Q63"/>
  <c r="M63"/>
  <c r="L63"/>
  <c r="D63"/>
  <c r="G63" s="1"/>
  <c r="R62"/>
  <c r="Q62"/>
  <c r="M62"/>
  <c r="L62"/>
  <c r="D62"/>
  <c r="G62" s="1"/>
  <c r="R61"/>
  <c r="Q61"/>
  <c r="M61"/>
  <c r="L61"/>
  <c r="D61"/>
  <c r="G61" s="1"/>
  <c r="R60"/>
  <c r="Q60"/>
  <c r="M60"/>
  <c r="L60"/>
  <c r="D60"/>
  <c r="G60" s="1"/>
  <c r="R59"/>
  <c r="Q59"/>
  <c r="M59"/>
  <c r="L59"/>
  <c r="D59"/>
  <c r="G59" s="1"/>
  <c r="R58"/>
  <c r="Q58"/>
  <c r="M58"/>
  <c r="L58"/>
  <c r="D58"/>
  <c r="G58" s="1"/>
  <c r="R57"/>
  <c r="Q57"/>
  <c r="M57"/>
  <c r="L57"/>
  <c r="D57"/>
  <c r="G57" s="1"/>
  <c r="R56"/>
  <c r="Q56"/>
  <c r="M56"/>
  <c r="L56"/>
  <c r="D56"/>
  <c r="G56" s="1"/>
  <c r="R55"/>
  <c r="Q55"/>
  <c r="M55"/>
  <c r="L55"/>
  <c r="D55"/>
  <c r="G55" s="1"/>
  <c r="R54"/>
  <c r="Q54"/>
  <c r="M54"/>
  <c r="L54"/>
  <c r="D54"/>
  <c r="G54" s="1"/>
  <c r="R53"/>
  <c r="Q53"/>
  <c r="M53"/>
  <c r="L53"/>
  <c r="D53"/>
  <c r="G53" s="1"/>
  <c r="R52"/>
  <c r="Q52"/>
  <c r="M52"/>
  <c r="L52"/>
  <c r="D52"/>
  <c r="G52" s="1"/>
  <c r="R51"/>
  <c r="Q51"/>
  <c r="M51"/>
  <c r="L51"/>
  <c r="D51"/>
  <c r="G51" s="1"/>
  <c r="R39"/>
  <c r="T38"/>
  <c r="S38"/>
  <c r="U38" s="1"/>
  <c r="R38"/>
  <c r="Q38"/>
  <c r="M38"/>
  <c r="L38"/>
  <c r="D38"/>
  <c r="G38" s="1"/>
  <c r="T37"/>
  <c r="S37"/>
  <c r="R37"/>
  <c r="Q37"/>
  <c r="M37"/>
  <c r="L37"/>
  <c r="D37"/>
  <c r="G37" s="1"/>
  <c r="T36"/>
  <c r="S36"/>
  <c r="U36" s="1"/>
  <c r="R36"/>
  <c r="Q36"/>
  <c r="M36"/>
  <c r="L36"/>
  <c r="D36"/>
  <c r="G36" s="1"/>
  <c r="T35"/>
  <c r="S35"/>
  <c r="R35"/>
  <c r="Q35"/>
  <c r="M35"/>
  <c r="L35"/>
  <c r="D35"/>
  <c r="G35" s="1"/>
  <c r="T34"/>
  <c r="S34"/>
  <c r="U34" s="1"/>
  <c r="R34"/>
  <c r="Q34"/>
  <c r="M34"/>
  <c r="L34"/>
  <c r="D34"/>
  <c r="G34" s="1"/>
  <c r="T33"/>
  <c r="S33"/>
  <c r="R33"/>
  <c r="Q33"/>
  <c r="M33"/>
  <c r="L33"/>
  <c r="D33"/>
  <c r="G33" s="1"/>
  <c r="T32"/>
  <c r="S32"/>
  <c r="U32" s="1"/>
  <c r="R32"/>
  <c r="Q32"/>
  <c r="M32"/>
  <c r="L32"/>
  <c r="D32"/>
  <c r="G32" s="1"/>
  <c r="V31"/>
  <c r="V30"/>
  <c r="V29"/>
  <c r="V28"/>
  <c r="T27"/>
  <c r="S27"/>
  <c r="R27"/>
  <c r="Q27"/>
  <c r="D27"/>
  <c r="G27" s="1"/>
  <c r="T26"/>
  <c r="S26"/>
  <c r="U26" s="1"/>
  <c r="R26"/>
  <c r="Q26"/>
  <c r="D26"/>
  <c r="G26" s="1"/>
  <c r="T25"/>
  <c r="S25"/>
  <c r="R25"/>
  <c r="Q25"/>
  <c r="M25"/>
  <c r="L25"/>
  <c r="D25"/>
  <c r="G25" s="1"/>
  <c r="T24"/>
  <c r="S24"/>
  <c r="U24" s="1"/>
  <c r="R24"/>
  <c r="Q24"/>
  <c r="M24"/>
  <c r="L24"/>
  <c r="D24"/>
  <c r="G24" s="1"/>
  <c r="T23"/>
  <c r="S23"/>
  <c r="R23"/>
  <c r="Q23"/>
  <c r="M23"/>
  <c r="L23"/>
  <c r="D23"/>
  <c r="G23" s="1"/>
  <c r="T22"/>
  <c r="S22"/>
  <c r="U22" s="1"/>
  <c r="R22"/>
  <c r="Q22"/>
  <c r="M22"/>
  <c r="L22"/>
  <c r="D22"/>
  <c r="G22" s="1"/>
  <c r="T21"/>
  <c r="S21"/>
  <c r="R21"/>
  <c r="Q21"/>
  <c r="M21"/>
  <c r="L21"/>
  <c r="D21"/>
  <c r="G21" s="1"/>
  <c r="V18"/>
  <c r="V17"/>
  <c r="T16"/>
  <c r="S16"/>
  <c r="U16" s="1"/>
  <c r="R16"/>
  <c r="Q16"/>
  <c r="M16"/>
  <c r="L16"/>
  <c r="D16"/>
  <c r="G16" s="1"/>
  <c r="T15"/>
  <c r="S15"/>
  <c r="R15"/>
  <c r="Q15"/>
  <c r="M15"/>
  <c r="L15"/>
  <c r="D15"/>
  <c r="G15" s="1"/>
  <c r="T14"/>
  <c r="S14"/>
  <c r="U14" s="1"/>
  <c r="R14"/>
  <c r="Q14"/>
  <c r="M14"/>
  <c r="L14"/>
  <c r="D14"/>
  <c r="G14" s="1"/>
  <c r="T13"/>
  <c r="S13"/>
  <c r="R13"/>
  <c r="Q13"/>
  <c r="M13"/>
  <c r="L13"/>
  <c r="D13"/>
  <c r="G13" s="1"/>
  <c r="T12"/>
  <c r="S12"/>
  <c r="U12" s="1"/>
  <c r="R12"/>
  <c r="Q12"/>
  <c r="M12"/>
  <c r="L12"/>
  <c r="D12"/>
  <c r="G12" s="1"/>
  <c r="V12" l="1"/>
  <c r="E12"/>
  <c r="F12" s="1"/>
  <c r="V14"/>
  <c r="E14"/>
  <c r="F14" s="1"/>
  <c r="V22"/>
  <c r="E22"/>
  <c r="F22" s="1"/>
  <c r="V24"/>
  <c r="E24"/>
  <c r="F24" s="1"/>
  <c r="V32"/>
  <c r="E32"/>
  <c r="F32" s="1"/>
  <c r="V38"/>
  <c r="E38"/>
  <c r="F38" s="1"/>
  <c r="V53"/>
  <c r="E53"/>
  <c r="F53" s="1"/>
  <c r="V55"/>
  <c r="E55"/>
  <c r="F55" s="1"/>
  <c r="V57"/>
  <c r="E57"/>
  <c r="F57" s="1"/>
  <c r="V59"/>
  <c r="E59"/>
  <c r="F59" s="1"/>
  <c r="H89"/>
  <c r="E89"/>
  <c r="F89" s="1"/>
  <c r="H104"/>
  <c r="E104"/>
  <c r="F104" s="1"/>
  <c r="H106"/>
  <c r="E106"/>
  <c r="F106" s="1"/>
  <c r="V16"/>
  <c r="E16"/>
  <c r="F16" s="1"/>
  <c r="V26"/>
  <c r="E26"/>
  <c r="F26" s="1"/>
  <c r="V34"/>
  <c r="E34"/>
  <c r="F34" s="1"/>
  <c r="V36"/>
  <c r="E36"/>
  <c r="F36" s="1"/>
  <c r="V51"/>
  <c r="E51"/>
  <c r="F51" s="1"/>
  <c r="V61"/>
  <c r="E61"/>
  <c r="F61" s="1"/>
  <c r="V63"/>
  <c r="E63"/>
  <c r="F63" s="1"/>
  <c r="H78"/>
  <c r="E78"/>
  <c r="F78" s="1"/>
  <c r="H80"/>
  <c r="E80"/>
  <c r="F80" s="1"/>
  <c r="H82"/>
  <c r="E82"/>
  <c r="F82" s="1"/>
  <c r="H84"/>
  <c r="E84"/>
  <c r="F84" s="1"/>
  <c r="H86"/>
  <c r="E86"/>
  <c r="F86" s="1"/>
  <c r="H107"/>
  <c r="E107"/>
  <c r="F107" s="1"/>
  <c r="H109"/>
  <c r="E109"/>
  <c r="F109" s="1"/>
  <c r="H111"/>
  <c r="E111"/>
  <c r="F111" s="1"/>
  <c r="H113"/>
  <c r="E113"/>
  <c r="F113" s="1"/>
  <c r="H115"/>
  <c r="E115"/>
  <c r="F115" s="1"/>
  <c r="H117"/>
  <c r="E117"/>
  <c r="F117" s="1"/>
  <c r="H132"/>
  <c r="E132"/>
  <c r="F132" s="1"/>
  <c r="H134"/>
  <c r="E134"/>
  <c r="F134" s="1"/>
  <c r="H136"/>
  <c r="E136"/>
  <c r="F136" s="1"/>
  <c r="H138"/>
  <c r="E138"/>
  <c r="F138" s="1"/>
  <c r="H140"/>
  <c r="E140"/>
  <c r="F140" s="1"/>
  <c r="H142"/>
  <c r="E142"/>
  <c r="F142" s="1"/>
  <c r="H144"/>
  <c r="E144"/>
  <c r="F144" s="1"/>
  <c r="H159"/>
  <c r="E159"/>
  <c r="F159" s="1"/>
  <c r="H161"/>
  <c r="E161"/>
  <c r="F161" s="1"/>
  <c r="H163"/>
  <c r="E163"/>
  <c r="F163" s="1"/>
  <c r="H165"/>
  <c r="E165"/>
  <c r="F165" s="1"/>
  <c r="H167"/>
  <c r="E167"/>
  <c r="F167" s="1"/>
  <c r="H169"/>
  <c r="E169"/>
  <c r="F169" s="1"/>
  <c r="H171"/>
  <c r="E171"/>
  <c r="F171" s="1"/>
  <c r="H186"/>
  <c r="E186"/>
  <c r="F186" s="1"/>
  <c r="H188"/>
  <c r="E188"/>
  <c r="F188" s="1"/>
  <c r="H190"/>
  <c r="E190"/>
  <c r="F190" s="1"/>
  <c r="H192"/>
  <c r="E192"/>
  <c r="F192" s="1"/>
  <c r="H194"/>
  <c r="E194"/>
  <c r="F194" s="1"/>
  <c r="H196"/>
  <c r="E196"/>
  <c r="F196" s="1"/>
  <c r="H198"/>
  <c r="E198"/>
  <c r="F198" s="1"/>
  <c r="U13"/>
  <c r="U15"/>
  <c r="U21"/>
  <c r="U23"/>
  <c r="U25"/>
  <c r="U27"/>
  <c r="U33"/>
  <c r="U35"/>
  <c r="U37"/>
  <c r="H88"/>
  <c r="E88"/>
  <c r="F88" s="1"/>
  <c r="H90"/>
  <c r="E90"/>
  <c r="F90" s="1"/>
  <c r="H105"/>
  <c r="E105"/>
  <c r="F105" s="1"/>
  <c r="V13"/>
  <c r="H13"/>
  <c r="E13"/>
  <c r="F13" s="1"/>
  <c r="V15"/>
  <c r="H15"/>
  <c r="E15"/>
  <c r="F15" s="1"/>
  <c r="V21"/>
  <c r="H21"/>
  <c r="E21"/>
  <c r="F21" s="1"/>
  <c r="V23"/>
  <c r="H23"/>
  <c r="E23"/>
  <c r="F23" s="1"/>
  <c r="V25"/>
  <c r="H25"/>
  <c r="E25"/>
  <c r="F25" s="1"/>
  <c r="V27"/>
  <c r="H27"/>
  <c r="E27"/>
  <c r="F27" s="1"/>
  <c r="V33"/>
  <c r="H33"/>
  <c r="E33"/>
  <c r="F33" s="1"/>
  <c r="V35"/>
  <c r="H35"/>
  <c r="E35"/>
  <c r="F35" s="1"/>
  <c r="V37"/>
  <c r="H37"/>
  <c r="E37"/>
  <c r="F37" s="1"/>
  <c r="W52"/>
  <c r="H52"/>
  <c r="V52"/>
  <c r="E52"/>
  <c r="F52" s="1"/>
  <c r="W54"/>
  <c r="H54"/>
  <c r="V54"/>
  <c r="E54"/>
  <c r="F54" s="1"/>
  <c r="W56"/>
  <c r="H56"/>
  <c r="V56"/>
  <c r="E56"/>
  <c r="F56" s="1"/>
  <c r="W58"/>
  <c r="H58"/>
  <c r="V58"/>
  <c r="E58"/>
  <c r="F58" s="1"/>
  <c r="W60"/>
  <c r="H60"/>
  <c r="V60"/>
  <c r="E60"/>
  <c r="F60" s="1"/>
  <c r="W62"/>
  <c r="H62"/>
  <c r="V62"/>
  <c r="E62"/>
  <c r="F62" s="1"/>
  <c r="H77"/>
  <c r="E77"/>
  <c r="F77" s="1"/>
  <c r="H79"/>
  <c r="E79"/>
  <c r="F79" s="1"/>
  <c r="H81"/>
  <c r="E81"/>
  <c r="F81" s="1"/>
  <c r="H83"/>
  <c r="E83"/>
  <c r="F83" s="1"/>
  <c r="H85"/>
  <c r="E85"/>
  <c r="F85" s="1"/>
  <c r="H87"/>
  <c r="E87"/>
  <c r="F87" s="1"/>
  <c r="H108"/>
  <c r="E108"/>
  <c r="F108" s="1"/>
  <c r="H110"/>
  <c r="E110"/>
  <c r="F110" s="1"/>
  <c r="H112"/>
  <c r="E112"/>
  <c r="F112" s="1"/>
  <c r="H114"/>
  <c r="E114"/>
  <c r="F114" s="1"/>
  <c r="H116"/>
  <c r="E116"/>
  <c r="F116" s="1"/>
  <c r="H131"/>
  <c r="E131"/>
  <c r="F131" s="1"/>
  <c r="H133"/>
  <c r="E133"/>
  <c r="F133" s="1"/>
  <c r="H135"/>
  <c r="E135"/>
  <c r="F135" s="1"/>
  <c r="H137"/>
  <c r="E137"/>
  <c r="F137" s="1"/>
  <c r="H139"/>
  <c r="E139"/>
  <c r="F139" s="1"/>
  <c r="H141"/>
  <c r="E141"/>
  <c r="F141" s="1"/>
  <c r="H143"/>
  <c r="E143"/>
  <c r="F143" s="1"/>
  <c r="H158"/>
  <c r="E158"/>
  <c r="F158" s="1"/>
  <c r="H160"/>
  <c r="E160"/>
  <c r="F160" s="1"/>
  <c r="H162"/>
  <c r="E162"/>
  <c r="F162" s="1"/>
  <c r="H164"/>
  <c r="E164"/>
  <c r="F164" s="1"/>
  <c r="H166"/>
  <c r="E166"/>
  <c r="F166" s="1"/>
  <c r="H168"/>
  <c r="E168"/>
  <c r="F168" s="1"/>
  <c r="H170"/>
  <c r="E170"/>
  <c r="F170" s="1"/>
  <c r="H185"/>
  <c r="E185"/>
  <c r="F185" s="1"/>
  <c r="H187"/>
  <c r="E187"/>
  <c r="F187" s="1"/>
  <c r="H189"/>
  <c r="E189"/>
  <c r="F189" s="1"/>
  <c r="H191"/>
  <c r="E191"/>
  <c r="F191" s="1"/>
  <c r="H193"/>
  <c r="E193"/>
  <c r="F193" s="1"/>
  <c r="H195"/>
  <c r="E195"/>
  <c r="F195" s="1"/>
  <c r="H197"/>
  <c r="E197"/>
  <c r="F197" s="1"/>
  <c r="H12"/>
  <c r="H14"/>
  <c r="H16"/>
  <c r="H22"/>
  <c r="H24"/>
  <c r="H26"/>
  <c r="H32"/>
  <c r="H34"/>
  <c r="H36"/>
  <c r="H38"/>
  <c r="H51"/>
  <c r="W51"/>
  <c r="H53"/>
  <c r="W53"/>
  <c r="H55"/>
  <c r="W55"/>
  <c r="H57"/>
  <c r="W57"/>
  <c r="H59"/>
  <c r="W59"/>
  <c r="H61"/>
  <c r="W61"/>
  <c r="H63"/>
  <c r="W63"/>
</calcChain>
</file>

<file path=xl/sharedStrings.xml><?xml version="1.0" encoding="utf-8"?>
<sst xmlns="http://schemas.openxmlformats.org/spreadsheetml/2006/main" count="6759" uniqueCount="284">
  <si>
    <t>Table Number</t>
  </si>
  <si>
    <t>3-6</t>
  </si>
  <si>
    <t>Table Title</t>
  </si>
  <si>
    <t>Fluid-Level Monitoring Summary</t>
  </si>
  <si>
    <t>Subtitle 1</t>
  </si>
  <si>
    <t>Remedial Action Plan</t>
  </si>
  <si>
    <t>Subtitle 2</t>
  </si>
  <si>
    <t>Bernard III Land Company, Inc. - Indiana Site, PADEP Facility ID #32-32708</t>
  </si>
  <si>
    <t>Controls (P or L)</t>
  </si>
  <si>
    <t>L</t>
  </si>
  <si>
    <t>Reference Elevation</t>
  </si>
  <si>
    <t>Ground Surface Elevation</t>
  </si>
  <si>
    <t>Total Depth of Well</t>
  </si>
  <si>
    <t>Screen Interval</t>
  </si>
  <si>
    <t>Location</t>
  </si>
  <si>
    <t>Top Elevation</t>
  </si>
  <si>
    <t>Bottom Elevation</t>
  </si>
  <si>
    <t>Depth to Product</t>
  </si>
  <si>
    <t>NAPL Thickness</t>
  </si>
  <si>
    <t>Depth to Water</t>
  </si>
  <si>
    <t>Groundwater Elevation</t>
  </si>
  <si>
    <r>
      <t>(ft-msl)</t>
    </r>
    <r>
      <rPr>
        <b/>
        <vertAlign val="superscript"/>
        <sz val="10"/>
        <rFont val="Times New Roman"/>
        <family val="1"/>
      </rPr>
      <t>1</t>
    </r>
  </si>
  <si>
    <t>(ft-bgs)</t>
  </si>
  <si>
    <t>(ft-msl)</t>
  </si>
  <si>
    <t>(ft-bref)</t>
  </si>
  <si>
    <t>(ft)</t>
  </si>
  <si>
    <t xml:space="preserve"> (ft-msl)</t>
  </si>
  <si>
    <t>MW-01</t>
  </si>
  <si>
    <t>NO</t>
  </si>
  <si>
    <t>MW-02</t>
  </si>
  <si>
    <t>MW-03</t>
  </si>
  <si>
    <t>MW-04</t>
  </si>
  <si>
    <t>MW-05</t>
  </si>
  <si>
    <t>MW-06</t>
  </si>
  <si>
    <t>NA</t>
  </si>
  <si>
    <t>MW-07</t>
  </si>
  <si>
    <t>BM-01 (Culvert)</t>
  </si>
  <si>
    <t>--</t>
  </si>
  <si>
    <t>ft-bgs</t>
  </si>
  <si>
    <t>feet below ground surface</t>
  </si>
  <si>
    <t>ft-msl</t>
  </si>
  <si>
    <t>feet above mean sea level</t>
  </si>
  <si>
    <t>Not applicable</t>
  </si>
  <si>
    <t>Not observed</t>
  </si>
  <si>
    <t>NM</t>
  </si>
  <si>
    <t>Not measured</t>
  </si>
  <si>
    <t>NAPL</t>
  </si>
  <si>
    <t>Non-Aqueous Phase Liquid (free product)</t>
  </si>
  <si>
    <t>Elevations based on  site survey completed in Septmeber 2010 &amp; February 2011 by Kerry A. Uhler &amp; Associates, Inc.</t>
  </si>
  <si>
    <r>
      <t>(ft-msl)</t>
    </r>
    <r>
      <rPr>
        <b/>
        <vertAlign val="superscript"/>
        <sz val="10"/>
        <rFont val="Times New Roman"/>
        <family val="1"/>
      </rPr>
      <t>1,2</t>
    </r>
  </si>
  <si>
    <t>MW-08</t>
  </si>
  <si>
    <t>MW-09</t>
  </si>
  <si>
    <t>MW-10</t>
  </si>
  <si>
    <t>MW-11</t>
  </si>
  <si>
    <t>MW-12</t>
  </si>
  <si>
    <t>MW-13</t>
  </si>
  <si>
    <t>Elevations based on  site survey completed in November 2011 by Curry &amp; Associates, Inc.</t>
  </si>
  <si>
    <t>SG-01</t>
  </si>
  <si>
    <t>X</t>
  </si>
  <si>
    <t>Groundwater Analytical Data</t>
  </si>
  <si>
    <t>Sample Name</t>
  </si>
  <si>
    <t>MW-01[09-03-10]</t>
  </si>
  <si>
    <t>MW-01[11-01-10]</t>
  </si>
  <si>
    <t>MW-01[02-14-11]</t>
  </si>
  <si>
    <t>MW-01[04-05-11]</t>
  </si>
  <si>
    <t>MW-01[11-18-11]</t>
  </si>
  <si>
    <t>MW-01[12-22-11]</t>
  </si>
  <si>
    <t>MW-01[06-20-12]</t>
  </si>
  <si>
    <t>MW-01[09-20-12]</t>
  </si>
  <si>
    <t>MW-01[03-21-13]</t>
  </si>
  <si>
    <t>MW-02[09-03-10]</t>
  </si>
  <si>
    <t>MW-02[11-01-10]</t>
  </si>
  <si>
    <t>MW-02[02-14-11]</t>
  </si>
  <si>
    <t>MW-02[04-05-11]</t>
  </si>
  <si>
    <t>MW-02[11-18-11]</t>
  </si>
  <si>
    <t>MW-02[12-23-11]</t>
  </si>
  <si>
    <t>MW-02[06-21-12]</t>
  </si>
  <si>
    <t>MW-02[09-20-12]</t>
  </si>
  <si>
    <t>MW-02[03-22-13]</t>
  </si>
  <si>
    <t>MW-03[09-03-10]</t>
  </si>
  <si>
    <t>MW-13[09-03-10]</t>
  </si>
  <si>
    <t>MW-03[11-01-10]</t>
  </si>
  <si>
    <t>MW-13[11-01-10]</t>
  </si>
  <si>
    <t>MW-03[02-14-11]</t>
  </si>
  <si>
    <t>MW-13[02-14-11]</t>
  </si>
  <si>
    <t>MW-03[04-05-11]</t>
  </si>
  <si>
    <t>MW-13[04-5-11]</t>
  </si>
  <si>
    <t>MW-03[11-17-11]</t>
  </si>
  <si>
    <t>MW-23[11-17-11]</t>
  </si>
  <si>
    <t>MW-03[12-23-11]</t>
  </si>
  <si>
    <t>MW-23[12-23-11]</t>
  </si>
  <si>
    <t>MW-03[06-21-12]</t>
  </si>
  <si>
    <t>MW-23[06-21-12]</t>
  </si>
  <si>
    <t>MW-03[09-20-12]</t>
  </si>
  <si>
    <t>MW-23[09-20-12]</t>
  </si>
  <si>
    <t>MW-03[03-21-13]</t>
  </si>
  <si>
    <t>MW-23[03-21-13]</t>
  </si>
  <si>
    <t>MW-04[09-03-10]</t>
  </si>
  <si>
    <t>MW-04[11-01-10]</t>
  </si>
  <si>
    <t>MW-04[02-14-11]</t>
  </si>
  <si>
    <t>MW-04[04-05-11]</t>
  </si>
  <si>
    <t>MW-04[11-18-11]</t>
  </si>
  <si>
    <t>MW-04[12-23-11]</t>
  </si>
  <si>
    <t>MW-04[06-21-12]</t>
  </si>
  <si>
    <t>MW-04[09-20-12]</t>
  </si>
  <si>
    <t>MW-04[03-22-13]</t>
  </si>
  <si>
    <t>MW-05[09-03-10]</t>
  </si>
  <si>
    <t>MW-05[11-01-10]</t>
  </si>
  <si>
    <t>MW-05[02-14-11]</t>
  </si>
  <si>
    <t>MW-05[04-05-11]</t>
  </si>
  <si>
    <t>MW-05[11-18-11]</t>
  </si>
  <si>
    <t>MW-05[12-23-11]</t>
  </si>
  <si>
    <t>MW-05[06-21-12]</t>
  </si>
  <si>
    <t>MW-05[09-20-12]</t>
  </si>
  <si>
    <t>MW-05[03-22-13]</t>
  </si>
  <si>
    <t>Sample Location</t>
  </si>
  <si>
    <t>Date Collected</t>
  </si>
  <si>
    <t>4.7'- 16.7'</t>
  </si>
  <si>
    <t>3.8'- 12.8'</t>
  </si>
  <si>
    <t>3.8'- 13.8'</t>
  </si>
  <si>
    <t>4.0'- 14.0'</t>
  </si>
  <si>
    <t>3.9'- 13.9'</t>
  </si>
  <si>
    <t>Sample Type</t>
  </si>
  <si>
    <t>Investigation</t>
  </si>
  <si>
    <t>On-Site/Off-Site</t>
  </si>
  <si>
    <t>On-Site</t>
  </si>
  <si>
    <t>Upgradient/Source/Downgradient</t>
  </si>
  <si>
    <t>Upgradient</t>
  </si>
  <si>
    <t>Downgradient</t>
  </si>
  <si>
    <t>Downgradiet</t>
  </si>
  <si>
    <t>Source</t>
  </si>
  <si>
    <t>Overburden/Bedrock</t>
  </si>
  <si>
    <t>Overburden</t>
  </si>
  <si>
    <t>Chemical</t>
  </si>
  <si>
    <t>CAS No.</t>
  </si>
  <si>
    <t>Unleaded Gasoline Parameters (ug/L)</t>
  </si>
  <si>
    <t>Benzene</t>
  </si>
  <si>
    <t>71-43-2</t>
  </si>
  <si>
    <t>&lt;</t>
  </si>
  <si>
    <t>Toluene</t>
  </si>
  <si>
    <t>108-88-3</t>
  </si>
  <si>
    <t>Ethylbenzene</t>
  </si>
  <si>
    <t>100-41-4</t>
  </si>
  <si>
    <t>Xylenes (total)</t>
  </si>
  <si>
    <t>1330-20-7</t>
  </si>
  <si>
    <t>Cumene</t>
  </si>
  <si>
    <t>98-82-8</t>
  </si>
  <si>
    <t>Naphthalene</t>
  </si>
  <si>
    <t>91-20-3</t>
  </si>
  <si>
    <t>Methyl tert-butyl ether</t>
  </si>
  <si>
    <t>1634-04-4</t>
  </si>
  <si>
    <t>1,2,4-Trimethylbenzene</t>
  </si>
  <si>
    <t>95-63-6</t>
  </si>
  <si>
    <t>1,3,5-Trimethylbenzene</t>
  </si>
  <si>
    <t>108-67-8</t>
  </si>
  <si>
    <t>Natural Attenuation Parameters (units as noted)</t>
  </si>
  <si>
    <t>Methane</t>
  </si>
  <si>
    <t>ug/L</t>
  </si>
  <si>
    <t>NS</t>
  </si>
  <si>
    <t>TOC</t>
  </si>
  <si>
    <t>mg/L</t>
  </si>
  <si>
    <t>Ferrous Iron</t>
  </si>
  <si>
    <t>Nitrate as Nitrogen</t>
  </si>
  <si>
    <t>Sulfate</t>
  </si>
  <si>
    <t>Ammonia Nitrogen</t>
  </si>
  <si>
    <t>Ortho Phosphate</t>
  </si>
  <si>
    <t>Total Dissolved Solids</t>
  </si>
  <si>
    <t>pH</t>
  </si>
  <si>
    <t>s.u.</t>
  </si>
  <si>
    <t>Field Parameters (units as noted)</t>
  </si>
  <si>
    <t>std. units</t>
  </si>
  <si>
    <t>Temperature</t>
  </si>
  <si>
    <t>deg. C</t>
  </si>
  <si>
    <t>Conductivity</t>
  </si>
  <si>
    <t>mS/cm</t>
  </si>
  <si>
    <t xml:space="preserve">Dissolved Oxygen </t>
  </si>
  <si>
    <t>Turbidity</t>
  </si>
  <si>
    <t>NTU</t>
  </si>
  <si>
    <t>Oxidation Reduction Potential</t>
  </si>
  <si>
    <t>mV</t>
  </si>
  <si>
    <t>Salinity</t>
  </si>
  <si>
    <t>%</t>
  </si>
  <si>
    <t>g/L</t>
  </si>
  <si>
    <t>Volume Purged</t>
  </si>
  <si>
    <t>Purge rate</t>
  </si>
  <si>
    <t>ml/min</t>
  </si>
  <si>
    <t>Notes:</t>
  </si>
  <si>
    <t>NA - not applicable</t>
  </si>
  <si>
    <t>NS - not sampled</t>
  </si>
  <si>
    <t>NOC - Not of Concern (as defined by the Johnson and Ettinger Model)</t>
  </si>
  <si>
    <t>MW-06[02-14-11]</t>
  </si>
  <si>
    <t>MW-06[04-05-11]</t>
  </si>
  <si>
    <t>MW-06[11-17-11]</t>
  </si>
  <si>
    <t>MW-06[12-22-11]</t>
  </si>
  <si>
    <t>MW-06[06-20-12]</t>
  </si>
  <si>
    <t>MW-06[09-20-12]</t>
  </si>
  <si>
    <t>MW-06[03-21-13]</t>
  </si>
  <si>
    <t>MW-07[02-14-11]</t>
  </si>
  <si>
    <t>MW-07[04-05-11]</t>
  </si>
  <si>
    <t>MW-07[11-17-11]</t>
  </si>
  <si>
    <t>MW-07[12-22-11]</t>
  </si>
  <si>
    <t>MW-07[06-20-12]</t>
  </si>
  <si>
    <t>MW-07[09-20-12]</t>
  </si>
  <si>
    <t>MW-07[03-21-13]</t>
  </si>
  <si>
    <t>MW-08[11-17-11]</t>
  </si>
  <si>
    <t>MW-08[12-22-11]</t>
  </si>
  <si>
    <t>MW-08[06-20-12]</t>
  </si>
  <si>
    <t>MW-08[09-20-12]</t>
  </si>
  <si>
    <t>MW-08[03-21-13]</t>
  </si>
  <si>
    <t>MW-09[11-17-11]</t>
  </si>
  <si>
    <t>MW-09[12-22-11]</t>
  </si>
  <si>
    <t>MW-09[06-20-12]</t>
  </si>
  <si>
    <t>MW-09[09-20-12]</t>
  </si>
  <si>
    <t>MW-09[03-21-13]</t>
  </si>
  <si>
    <t>MW-10[11-17-11]</t>
  </si>
  <si>
    <t>MW-10[12-22-11]</t>
  </si>
  <si>
    <t>MW-10[06-20-12]</t>
  </si>
  <si>
    <t>MW-10[09-20-12]</t>
  </si>
  <si>
    <t>MW-10[03-21-13]</t>
  </si>
  <si>
    <t>MW-11[11-18-11]</t>
  </si>
  <si>
    <t>MW-11[12-23-11]</t>
  </si>
  <si>
    <t>MW-11[06-21-12]</t>
  </si>
  <si>
    <t>MW-11[09-20-12]</t>
  </si>
  <si>
    <t>MW-11[03-22-13]</t>
  </si>
  <si>
    <t>MW-12[11-17-11]</t>
  </si>
  <si>
    <t>MW-12[12-22-11]</t>
  </si>
  <si>
    <t>MW-12[06-20-12]</t>
  </si>
  <si>
    <t>MW-12[09-20-12]</t>
  </si>
  <si>
    <t>MW-12[03-21-13]</t>
  </si>
  <si>
    <t>MW-13[11-17-11]</t>
  </si>
  <si>
    <t>MW-13[12-22-11]</t>
  </si>
  <si>
    <t>MW-13[06-20-12]</t>
  </si>
  <si>
    <t>MW-13[09-20-12]</t>
  </si>
  <si>
    <t>MW-13[03-21-13]</t>
  </si>
  <si>
    <t>4.0'- 13.5'</t>
  </si>
  <si>
    <t>4.3'- 15.3'</t>
  </si>
  <si>
    <t>2.3'- 13.3'</t>
  </si>
  <si>
    <t>3.2'- 11.2'</t>
  </si>
  <si>
    <t>3.5'- 15.5'</t>
  </si>
  <si>
    <t>4.2'- 11.2'</t>
  </si>
  <si>
    <t>3.9'- 12.9'</t>
  </si>
  <si>
    <t>3.7'- 15.7'</t>
  </si>
  <si>
    <t>Off-Site</t>
  </si>
  <si>
    <t>Site Characterization Report</t>
  </si>
  <si>
    <t>SW-01[11-01-10]</t>
  </si>
  <si>
    <t>SW-01[02-14-11]</t>
  </si>
  <si>
    <t>SW-01[04-05-11]</t>
  </si>
  <si>
    <t>SW-01[11-18-11]</t>
  </si>
  <si>
    <t>SW-01[12-23-11]</t>
  </si>
  <si>
    <t>SW-02[11-01-10]</t>
  </si>
  <si>
    <t>SW-02[02-14-11]</t>
  </si>
  <si>
    <t>SW-02[04-05-11]</t>
  </si>
  <si>
    <t>SW-02[11-18-11]</t>
  </si>
  <si>
    <t>SW-02[12-23-11]</t>
  </si>
  <si>
    <t>SW-02[06-20-12]</t>
  </si>
  <si>
    <t>SW-02[07-18-12]</t>
  </si>
  <si>
    <t>SW-02[08-23-12]</t>
  </si>
  <si>
    <t>SW-02[09-20-12]</t>
  </si>
  <si>
    <t>SW-02[10-17-12]</t>
  </si>
  <si>
    <t>SW-02[11-13-12]</t>
  </si>
  <si>
    <t>SW-02[12-28-12]</t>
  </si>
  <si>
    <t>SW-02[01-23-13]</t>
  </si>
  <si>
    <t>SW-02[02-25-13]</t>
  </si>
  <si>
    <t>SW-02[03-22-13]</t>
  </si>
  <si>
    <t>SW-03[02-14-11]</t>
  </si>
  <si>
    <t>SW-03[04-05-11]</t>
  </si>
  <si>
    <t>SW-03[11-18-11]</t>
  </si>
  <si>
    <t>SW-03[12-23-11]</t>
  </si>
  <si>
    <t>SW-03[06-20-12]</t>
  </si>
  <si>
    <t>SW-03[07-18-12]</t>
  </si>
  <si>
    <t>SW-03[08-23-12]</t>
  </si>
  <si>
    <t>SW-03[09-20-12]</t>
  </si>
  <si>
    <t>SW-03[10-17-12]</t>
  </si>
  <si>
    <t>SW-03[11-13-12]</t>
  </si>
  <si>
    <t>SW-03[12-28-12]</t>
  </si>
  <si>
    <t>SW-03[01-23-13]</t>
  </si>
  <si>
    <t>SW-03[02-25-13]</t>
  </si>
  <si>
    <t>SW-03[03-22-13]</t>
  </si>
  <si>
    <t>SW-01</t>
  </si>
  <si>
    <t>SW-02</t>
  </si>
  <si>
    <t>SW-03</t>
  </si>
  <si>
    <t>Supply Well</t>
  </si>
  <si>
    <t>Bedrock</t>
  </si>
  <si>
    <t>Unknown</t>
  </si>
</sst>
</file>

<file path=xl/styles.xml><?xml version="1.0" encoding="utf-8"?>
<styleSheet xmlns="http://schemas.openxmlformats.org/spreadsheetml/2006/main">
  <numFmts count="7">
    <numFmt numFmtId="164" formatCode="mm/dd/yy"/>
    <numFmt numFmtId="165" formatCode="0.0000"/>
    <numFmt numFmtId="166" formatCode="mm/dd/yy;@"/>
    <numFmt numFmtId="167" formatCode="0.0"/>
    <numFmt numFmtId="168" formatCode="#,##0.0"/>
    <numFmt numFmtId="169" formatCode="0.000"/>
    <numFmt numFmtId="170" formatCode="#,##0.000"/>
  </numFmts>
  <fonts count="9">
    <font>
      <sz val="10"/>
      <name val="Arial"/>
      <family val="2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vertAlign val="superscript"/>
      <sz val="10"/>
      <name val="Times New Roman"/>
      <family val="1"/>
    </font>
    <font>
      <sz val="10"/>
      <name val="Arial"/>
      <family val="2"/>
    </font>
    <font>
      <sz val="10"/>
      <color indexed="8"/>
      <name val="MS Sans Serif"/>
      <family val="2"/>
    </font>
    <font>
      <b/>
      <sz val="8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5" fillId="0" borderId="0"/>
    <xf numFmtId="0" fontId="6" fillId="0" borderId="0"/>
    <xf numFmtId="0" fontId="5" fillId="0" borderId="0"/>
  </cellStyleXfs>
  <cellXfs count="222">
    <xf numFmtId="0" fontId="0" fillId="0" borderId="0" xfId="0"/>
    <xf numFmtId="0" fontId="1" fillId="0" borderId="0" xfId="0" applyNumberFormat="1" applyFont="1" applyFill="1" applyBorder="1" applyAlignment="1" applyProtection="1">
      <alignment horizontal="left"/>
    </xf>
    <xf numFmtId="49" fontId="2" fillId="0" borderId="0" xfId="0" quotePrefix="1" applyNumberFormat="1" applyFont="1" applyAlignment="1" applyProtection="1">
      <alignment horizontal="left"/>
    </xf>
    <xf numFmtId="0" fontId="3" fillId="0" borderId="0" xfId="0" applyFont="1"/>
    <xf numFmtId="49" fontId="2" fillId="2" borderId="0" xfId="0" applyNumberFormat="1" applyFont="1" applyFill="1" applyAlignment="1" applyProtection="1">
      <alignment horizontal="left"/>
    </xf>
    <xf numFmtId="0" fontId="3" fillId="2" borderId="0" xfId="0" applyFont="1" applyFill="1"/>
    <xf numFmtId="0" fontId="2" fillId="2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1" fillId="0" borderId="0" xfId="1" applyNumberFormat="1" applyFont="1" applyFill="1" applyBorder="1" applyAlignment="1" applyProtection="1"/>
    <xf numFmtId="0" fontId="2" fillId="0" borderId="0" xfId="1" applyFont="1"/>
    <xf numFmtId="0" fontId="2" fillId="0" borderId="1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 wrapText="1"/>
    </xf>
    <xf numFmtId="0" fontId="2" fillId="0" borderId="10" xfId="0" applyFont="1" applyFill="1" applyBorder="1" applyAlignment="1">
      <alignment horizontal="center" wrapText="1"/>
    </xf>
    <xf numFmtId="0" fontId="2" fillId="0" borderId="11" xfId="0" applyFont="1" applyFill="1" applyBorder="1" applyAlignment="1">
      <alignment horizontal="center" vertical="center" wrapText="1"/>
    </xf>
    <xf numFmtId="14" fontId="3" fillId="0" borderId="0" xfId="0" applyNumberFormat="1" applyFont="1"/>
    <xf numFmtId="0" fontId="2" fillId="0" borderId="14" xfId="0" applyFont="1" applyFill="1" applyBorder="1" applyAlignment="1">
      <alignment horizontal="center"/>
    </xf>
    <xf numFmtId="2" fontId="2" fillId="0" borderId="15" xfId="0" applyNumberFormat="1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wrapText="1"/>
    </xf>
    <xf numFmtId="0" fontId="2" fillId="0" borderId="20" xfId="0" applyFont="1" applyFill="1" applyBorder="1" applyAlignment="1">
      <alignment horizont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2" xfId="0" applyFont="1" applyFill="1" applyBorder="1" applyAlignment="1">
      <alignment horizontal="center"/>
    </xf>
    <xf numFmtId="2" fontId="3" fillId="0" borderId="22" xfId="0" applyNumberFormat="1" applyFont="1" applyFill="1" applyBorder="1" applyAlignment="1">
      <alignment horizontal="center"/>
    </xf>
    <xf numFmtId="2" fontId="3" fillId="0" borderId="23" xfId="0" applyNumberFormat="1" applyFont="1" applyFill="1" applyBorder="1" applyAlignment="1">
      <alignment horizontal="center" vertical="center"/>
    </xf>
    <xf numFmtId="2" fontId="3" fillId="0" borderId="22" xfId="0" applyNumberFormat="1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/>
    </xf>
    <xf numFmtId="2" fontId="3" fillId="0" borderId="3" xfId="0" applyNumberFormat="1" applyFont="1" applyFill="1" applyBorder="1" applyAlignment="1">
      <alignment horizontal="center" vertical="center"/>
    </xf>
    <xf numFmtId="2" fontId="3" fillId="0" borderId="4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" fontId="3" fillId="0" borderId="24" xfId="0" applyNumberFormat="1" applyFont="1" applyBorder="1" applyAlignment="1">
      <alignment horizontal="center"/>
    </xf>
    <xf numFmtId="2" fontId="3" fillId="0" borderId="3" xfId="0" applyNumberFormat="1" applyFont="1" applyFill="1" applyBorder="1" applyAlignment="1">
      <alignment horizontal="center"/>
    </xf>
    <xf numFmtId="2" fontId="3" fillId="0" borderId="25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2" fontId="3" fillId="0" borderId="24" xfId="0" applyNumberFormat="1" applyFont="1" applyFill="1" applyBorder="1" applyAlignment="1">
      <alignment horizontal="center"/>
    </xf>
    <xf numFmtId="2" fontId="3" fillId="0" borderId="0" xfId="0" applyNumberFormat="1" applyFont="1"/>
    <xf numFmtId="165" fontId="3" fillId="0" borderId="0" xfId="0" applyNumberFormat="1" applyFont="1"/>
    <xf numFmtId="0" fontId="2" fillId="0" borderId="26" xfId="0" applyFont="1" applyFill="1" applyBorder="1" applyAlignment="1">
      <alignment horizontal="center"/>
    </xf>
    <xf numFmtId="2" fontId="3" fillId="0" borderId="26" xfId="0" applyNumberFormat="1" applyFont="1" applyFill="1" applyBorder="1" applyAlignment="1">
      <alignment horizontal="center"/>
    </xf>
    <xf numFmtId="2" fontId="3" fillId="0" borderId="26" xfId="0" applyNumberFormat="1" applyFont="1" applyFill="1" applyBorder="1" applyAlignment="1">
      <alignment horizontal="center" vertical="center"/>
    </xf>
    <xf numFmtId="2" fontId="3" fillId="0" borderId="27" xfId="0" applyNumberFormat="1" applyFont="1" applyFill="1" applyBorder="1" applyAlignment="1">
      <alignment horizontal="center" vertical="center"/>
    </xf>
    <xf numFmtId="2" fontId="3" fillId="0" borderId="28" xfId="0" applyNumberFormat="1" applyFont="1" applyFill="1" applyBorder="1" applyAlignment="1">
      <alignment horizontal="center"/>
    </xf>
    <xf numFmtId="0" fontId="3" fillId="0" borderId="27" xfId="0" applyFont="1" applyBorder="1" applyAlignment="1">
      <alignment horizontal="center"/>
    </xf>
    <xf numFmtId="2" fontId="3" fillId="0" borderId="29" xfId="0" applyNumberFormat="1" applyFont="1" applyBorder="1" applyAlignment="1">
      <alignment horizontal="center"/>
    </xf>
    <xf numFmtId="2" fontId="3" fillId="0" borderId="23" xfId="0" applyNumberFormat="1" applyFont="1" applyFill="1" applyBorder="1" applyAlignment="1">
      <alignment horizontal="center"/>
    </xf>
    <xf numFmtId="0" fontId="3" fillId="0" borderId="27" xfId="0" applyFont="1" applyFill="1" applyBorder="1" applyAlignment="1">
      <alignment horizontal="center"/>
    </xf>
    <xf numFmtId="2" fontId="3" fillId="0" borderId="29" xfId="0" applyNumberFormat="1" applyFont="1" applyFill="1" applyBorder="1" applyAlignment="1">
      <alignment horizontal="center"/>
    </xf>
    <xf numFmtId="0" fontId="2" fillId="0" borderId="30" xfId="0" applyFont="1" applyFill="1" applyBorder="1" applyAlignment="1">
      <alignment horizontal="center"/>
    </xf>
    <xf numFmtId="2" fontId="3" fillId="0" borderId="30" xfId="0" applyNumberFormat="1" applyFont="1" applyFill="1" applyBorder="1" applyAlignment="1">
      <alignment horizontal="center"/>
    </xf>
    <xf numFmtId="2" fontId="3" fillId="0" borderId="9" xfId="0" applyNumberFormat="1" applyFont="1" applyFill="1" applyBorder="1" applyAlignment="1">
      <alignment horizontal="center" vertical="center"/>
    </xf>
    <xf numFmtId="2" fontId="3" fillId="0" borderId="30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2" fontId="3" fillId="0" borderId="13" xfId="0" applyNumberFormat="1" applyFont="1" applyBorder="1" applyAlignment="1">
      <alignment horizontal="center"/>
    </xf>
    <xf numFmtId="2" fontId="3" fillId="0" borderId="10" xfId="0" applyNumberFormat="1" applyFont="1" applyFill="1" applyBorder="1" applyAlignment="1">
      <alignment horizontal="center"/>
    </xf>
    <xf numFmtId="2" fontId="3" fillId="0" borderId="11" xfId="0" applyNumberFormat="1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2" fontId="3" fillId="0" borderId="13" xfId="0" applyNumberFormat="1" applyFont="1" applyFill="1" applyBorder="1" applyAlignment="1">
      <alignment horizontal="center"/>
    </xf>
    <xf numFmtId="0" fontId="2" fillId="0" borderId="31" xfId="0" applyFont="1" applyFill="1" applyBorder="1" applyAlignment="1">
      <alignment horizontal="center"/>
    </xf>
    <xf numFmtId="0" fontId="3" fillId="0" borderId="32" xfId="0" applyFont="1" applyFill="1" applyBorder="1" applyAlignment="1">
      <alignment horizontal="center"/>
    </xf>
    <xf numFmtId="0" fontId="3" fillId="0" borderId="33" xfId="0" applyFont="1" applyFill="1" applyBorder="1" applyAlignment="1">
      <alignment horizontal="center"/>
    </xf>
    <xf numFmtId="2" fontId="3" fillId="0" borderId="32" xfId="0" applyNumberFormat="1" applyFont="1" applyFill="1" applyBorder="1" applyAlignment="1">
      <alignment horizontal="center"/>
    </xf>
    <xf numFmtId="2" fontId="3" fillId="0" borderId="34" xfId="0" applyNumberFormat="1" applyFont="1" applyFill="1" applyBorder="1" applyAlignment="1">
      <alignment horizontal="center"/>
    </xf>
    <xf numFmtId="2" fontId="3" fillId="0" borderId="35" xfId="0" applyNumberFormat="1" applyFont="1" applyFill="1" applyBorder="1" applyAlignment="1">
      <alignment horizontal="center" vertical="center"/>
    </xf>
    <xf numFmtId="2" fontId="3" fillId="0" borderId="35" xfId="0" applyNumberFormat="1" applyFont="1" applyFill="1" applyBorder="1" applyAlignment="1">
      <alignment horizontal="center"/>
    </xf>
    <xf numFmtId="2" fontId="3" fillId="0" borderId="36" xfId="0" applyNumberFormat="1" applyFont="1" applyFill="1" applyBorder="1" applyAlignment="1">
      <alignment horizontal="center"/>
    </xf>
    <xf numFmtId="0" fontId="3" fillId="0" borderId="34" xfId="0" applyFont="1" applyBorder="1" applyAlignment="1">
      <alignment horizontal="center"/>
    </xf>
    <xf numFmtId="2" fontId="3" fillId="0" borderId="37" xfId="0" applyNumberFormat="1" applyFont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3" fillId="0" borderId="35" xfId="0" applyFont="1" applyFill="1" applyBorder="1" applyAlignment="1">
      <alignment horizontal="center"/>
    </xf>
    <xf numFmtId="0" fontId="3" fillId="0" borderId="38" xfId="0" applyFont="1" applyFill="1" applyBorder="1" applyAlignment="1">
      <alignment horizontal="center"/>
    </xf>
    <xf numFmtId="0" fontId="3" fillId="0" borderId="34" xfId="0" applyFont="1" applyFill="1" applyBorder="1" applyAlignment="1">
      <alignment horizontal="center"/>
    </xf>
    <xf numFmtId="2" fontId="3" fillId="0" borderId="37" xfId="0" applyNumberFormat="1" applyFont="1" applyFill="1" applyBorder="1" applyAlignment="1">
      <alignment horizontal="center"/>
    </xf>
    <xf numFmtId="0" fontId="3" fillId="0" borderId="0" xfId="0" applyFont="1" applyFill="1"/>
    <xf numFmtId="0" fontId="2" fillId="0" borderId="39" xfId="0" applyFont="1" applyFill="1" applyBorder="1" applyAlignment="1">
      <alignment horizontal="center"/>
    </xf>
    <xf numFmtId="0" fontId="3" fillId="0" borderId="30" xfId="0" applyFont="1" applyFill="1" applyBorder="1" applyAlignment="1">
      <alignment horizontal="center"/>
    </xf>
    <xf numFmtId="0" fontId="3" fillId="0" borderId="40" xfId="0" applyFont="1" applyFill="1" applyBorder="1" applyAlignment="1">
      <alignment horizontal="center"/>
    </xf>
    <xf numFmtId="2" fontId="3" fillId="0" borderId="9" xfId="0" applyNumberFormat="1" applyFont="1" applyFill="1" applyBorder="1" applyAlignment="1">
      <alignment horizontal="center"/>
    </xf>
    <xf numFmtId="2" fontId="3" fillId="0" borderId="10" xfId="0" applyNumberFormat="1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0" borderId="41" xfId="0" applyFont="1" applyFill="1" applyBorder="1" applyAlignment="1">
      <alignment horizontal="center"/>
    </xf>
    <xf numFmtId="0" fontId="3" fillId="0" borderId="26" xfId="0" applyFont="1" applyFill="1" applyBorder="1" applyAlignment="1">
      <alignment horizontal="center"/>
    </xf>
    <xf numFmtId="0" fontId="3" fillId="0" borderId="42" xfId="0" applyFont="1" applyFill="1" applyBorder="1" applyAlignment="1">
      <alignment horizontal="center"/>
    </xf>
    <xf numFmtId="2" fontId="3" fillId="0" borderId="27" xfId="0" applyNumberFormat="1" applyFont="1" applyFill="1" applyBorder="1" applyAlignment="1">
      <alignment horizontal="center"/>
    </xf>
    <xf numFmtId="0" fontId="3" fillId="0" borderId="29" xfId="0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/>
    </xf>
    <xf numFmtId="0" fontId="3" fillId="0" borderId="43" xfId="0" applyFont="1" applyFill="1" applyBorder="1" applyAlignment="1">
      <alignment horizontal="center"/>
    </xf>
    <xf numFmtId="0" fontId="2" fillId="0" borderId="32" xfId="0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2" fontId="3" fillId="0" borderId="41" xfId="0" applyNumberFormat="1" applyFont="1" applyFill="1" applyBorder="1" applyAlignment="1">
      <alignment horizontal="center"/>
    </xf>
    <xf numFmtId="2" fontId="3" fillId="0" borderId="33" xfId="0" applyNumberFormat="1" applyFont="1" applyFill="1" applyBorder="1" applyAlignment="1">
      <alignment horizontal="center"/>
    </xf>
    <xf numFmtId="2" fontId="3" fillId="0" borderId="35" xfId="0" quotePrefix="1" applyNumberFormat="1" applyFont="1" applyFill="1" applyBorder="1" applyAlignment="1">
      <alignment horizontal="center" vertical="center"/>
    </xf>
    <xf numFmtId="2" fontId="3" fillId="0" borderId="35" xfId="0" quotePrefix="1" applyNumberFormat="1" applyFont="1" applyFill="1" applyBorder="1" applyAlignment="1">
      <alignment horizontal="center"/>
    </xf>
    <xf numFmtId="2" fontId="3" fillId="0" borderId="36" xfId="0" quotePrefix="1" applyNumberFormat="1" applyFont="1" applyFill="1" applyBorder="1" applyAlignment="1">
      <alignment horizontal="center"/>
    </xf>
    <xf numFmtId="0" fontId="3" fillId="0" borderId="34" xfId="0" quotePrefix="1" applyFont="1" applyFill="1" applyBorder="1" applyAlignment="1">
      <alignment horizontal="center"/>
    </xf>
    <xf numFmtId="2" fontId="3" fillId="0" borderId="37" xfId="0" quotePrefix="1" applyNumberFormat="1" applyFont="1" applyFill="1" applyBorder="1" applyAlignment="1">
      <alignment horizontal="center"/>
    </xf>
    <xf numFmtId="0" fontId="3" fillId="0" borderId="0" xfId="0" applyFont="1" applyBorder="1"/>
    <xf numFmtId="0" fontId="2" fillId="0" borderId="0" xfId="0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2" fontId="3" fillId="0" borderId="0" xfId="0" quotePrefix="1" applyNumberFormat="1" applyFont="1" applyFill="1" applyBorder="1" applyAlignment="1">
      <alignment horizontal="center" vertical="center"/>
    </xf>
    <xf numFmtId="2" fontId="3" fillId="0" borderId="0" xfId="0" quotePrefix="1" applyNumberFormat="1" applyFont="1" applyFill="1" applyBorder="1" applyAlignment="1">
      <alignment horizontal="center"/>
    </xf>
    <xf numFmtId="0" fontId="3" fillId="0" borderId="0" xfId="0" quotePrefix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3" fillId="0" borderId="0" xfId="0" applyFont="1" applyFill="1" applyAlignment="1">
      <alignment horizontal="left"/>
    </xf>
    <xf numFmtId="2" fontId="3" fillId="0" borderId="0" xfId="0" applyNumberFormat="1" applyFont="1" applyBorder="1"/>
    <xf numFmtId="2" fontId="3" fillId="0" borderId="40" xfId="0" applyNumberFormat="1" applyFont="1" applyFill="1" applyBorder="1" applyAlignment="1">
      <alignment horizontal="center"/>
    </xf>
    <xf numFmtId="2" fontId="3" fillId="0" borderId="14" xfId="0" applyNumberFormat="1" applyFont="1" applyFill="1" applyBorder="1" applyAlignment="1">
      <alignment horizontal="center"/>
    </xf>
    <xf numFmtId="2" fontId="3" fillId="0" borderId="44" xfId="0" applyNumberFormat="1" applyFont="1" applyFill="1" applyBorder="1" applyAlignment="1">
      <alignment horizontal="center"/>
    </xf>
    <xf numFmtId="2" fontId="3" fillId="0" borderId="19" xfId="0" applyNumberFormat="1" applyFont="1" applyFill="1" applyBorder="1" applyAlignment="1">
      <alignment horizontal="center"/>
    </xf>
    <xf numFmtId="2" fontId="3" fillId="0" borderId="20" xfId="0" quotePrefix="1" applyNumberFormat="1" applyFont="1" applyFill="1" applyBorder="1" applyAlignment="1">
      <alignment horizontal="center" vertical="center"/>
    </xf>
    <xf numFmtId="2" fontId="3" fillId="0" borderId="20" xfId="0" quotePrefix="1" applyNumberFormat="1" applyFont="1" applyFill="1" applyBorder="1" applyAlignment="1">
      <alignment horizontal="center"/>
    </xf>
    <xf numFmtId="2" fontId="3" fillId="0" borderId="21" xfId="0" quotePrefix="1" applyNumberFormat="1" applyFont="1" applyFill="1" applyBorder="1" applyAlignment="1">
      <alignment horizontal="center"/>
    </xf>
    <xf numFmtId="0" fontId="3" fillId="0" borderId="19" xfId="0" quotePrefix="1" applyFont="1" applyFill="1" applyBorder="1" applyAlignment="1">
      <alignment horizontal="center"/>
    </xf>
    <xf numFmtId="2" fontId="3" fillId="0" borderId="17" xfId="0" quotePrefix="1" applyNumberFormat="1" applyFont="1" applyFill="1" applyBorder="1" applyAlignment="1">
      <alignment horizontal="center"/>
    </xf>
    <xf numFmtId="49" fontId="2" fillId="0" borderId="0" xfId="1" applyNumberFormat="1" applyFont="1" applyFill="1" applyAlignment="1" applyProtection="1">
      <alignment horizontal="left"/>
    </xf>
    <xf numFmtId="0" fontId="3" fillId="0" borderId="0" xfId="1" applyFont="1" applyFill="1"/>
    <xf numFmtId="0" fontId="2" fillId="0" borderId="0" xfId="2" applyFont="1" applyFill="1"/>
    <xf numFmtId="0" fontId="2" fillId="0" borderId="0" xfId="1" applyFont="1" applyFill="1"/>
    <xf numFmtId="0" fontId="3" fillId="0" borderId="0" xfId="1" applyFont="1" applyFill="1" applyBorder="1"/>
    <xf numFmtId="0" fontId="2" fillId="0" borderId="12" xfId="1" applyFont="1" applyFill="1" applyBorder="1" applyAlignment="1"/>
    <xf numFmtId="0" fontId="2" fillId="0" borderId="13" xfId="1" applyFont="1" applyFill="1" applyBorder="1" applyAlignment="1">
      <alignment horizontal="right"/>
    </xf>
    <xf numFmtId="0" fontId="2" fillId="0" borderId="45" xfId="1" applyFont="1" applyFill="1" applyBorder="1" applyAlignment="1"/>
    <xf numFmtId="0" fontId="2" fillId="0" borderId="46" xfId="1" applyFont="1" applyFill="1" applyBorder="1" applyAlignment="1">
      <alignment horizontal="right"/>
    </xf>
    <xf numFmtId="0" fontId="2" fillId="0" borderId="18" xfId="1" applyFont="1" applyFill="1" applyBorder="1" applyAlignment="1">
      <alignment wrapText="1"/>
    </xf>
    <xf numFmtId="0" fontId="2" fillId="0" borderId="17" xfId="1" applyFont="1" applyFill="1" applyBorder="1" applyAlignment="1">
      <alignment horizontal="center" wrapText="1"/>
    </xf>
    <xf numFmtId="0" fontId="2" fillId="0" borderId="48" xfId="1" applyNumberFormat="1" applyFont="1" applyFill="1" applyBorder="1" applyAlignment="1">
      <alignment horizontal="left"/>
    </xf>
    <xf numFmtId="0" fontId="3" fillId="0" borderId="49" xfId="1" applyNumberFormat="1" applyFont="1" applyFill="1" applyBorder="1" applyAlignment="1">
      <alignment horizontal="right"/>
    </xf>
    <xf numFmtId="0" fontId="3" fillId="0" borderId="48" xfId="0" applyFont="1" applyFill="1" applyBorder="1" applyAlignment="1">
      <alignment horizontal="right"/>
    </xf>
    <xf numFmtId="0" fontId="3" fillId="0" borderId="6" xfId="0" applyFont="1" applyFill="1" applyBorder="1" applyAlignment="1">
      <alignment horizontal="right"/>
    </xf>
    <xf numFmtId="0" fontId="3" fillId="0" borderId="49" xfId="0" applyFont="1" applyFill="1" applyBorder="1" applyAlignment="1">
      <alignment horizontal="left"/>
    </xf>
    <xf numFmtId="0" fontId="3" fillId="0" borderId="45" xfId="1" applyNumberFormat="1" applyFont="1" applyFill="1" applyBorder="1" applyAlignment="1">
      <alignment horizontal="left"/>
    </xf>
    <xf numFmtId="0" fontId="3" fillId="0" borderId="46" xfId="1" applyNumberFormat="1" applyFont="1" applyFill="1" applyBorder="1" applyAlignment="1">
      <alignment horizontal="right"/>
    </xf>
    <xf numFmtId="3" fontId="3" fillId="0" borderId="45" xfId="0" applyNumberFormat="1" applyFont="1" applyFill="1" applyBorder="1" applyAlignment="1">
      <alignment horizontal="right"/>
    </xf>
    <xf numFmtId="167" fontId="3" fillId="0" borderId="0" xfId="0" applyNumberFormat="1" applyFont="1" applyFill="1" applyBorder="1" applyAlignment="1">
      <alignment horizontal="center"/>
    </xf>
    <xf numFmtId="0" fontId="3" fillId="0" borderId="46" xfId="0" applyFont="1" applyFill="1" applyBorder="1" applyAlignment="1">
      <alignment horizontal="left"/>
    </xf>
    <xf numFmtId="168" fontId="3" fillId="0" borderId="0" xfId="0" applyNumberFormat="1" applyFont="1" applyFill="1" applyBorder="1" applyAlignment="1">
      <alignment horizontal="center"/>
    </xf>
    <xf numFmtId="3" fontId="3" fillId="0" borderId="46" xfId="0" applyNumberFormat="1" applyFont="1" applyFill="1" applyBorder="1" applyAlignment="1">
      <alignment horizontal="center"/>
    </xf>
    <xf numFmtId="3" fontId="3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3" fillId="0" borderId="45" xfId="1" applyFont="1" applyFill="1" applyBorder="1"/>
    <xf numFmtId="0" fontId="3" fillId="0" borderId="46" xfId="1" applyFont="1" applyFill="1" applyBorder="1" applyAlignment="1">
      <alignment horizontal="right"/>
    </xf>
    <xf numFmtId="0" fontId="3" fillId="0" borderId="46" xfId="0" applyFont="1" applyFill="1" applyBorder="1" applyAlignment="1">
      <alignment horizontal="center"/>
    </xf>
    <xf numFmtId="0" fontId="3" fillId="0" borderId="46" xfId="0" applyNumberFormat="1" applyFont="1" applyFill="1" applyBorder="1" applyAlignment="1">
      <alignment horizontal="left"/>
    </xf>
    <xf numFmtId="2" fontId="3" fillId="0" borderId="46" xfId="0" applyNumberFormat="1" applyFont="1" applyFill="1" applyBorder="1" applyAlignment="1">
      <alignment horizontal="center"/>
    </xf>
    <xf numFmtId="167" fontId="3" fillId="0" borderId="46" xfId="0" applyNumberFormat="1" applyFont="1" applyFill="1" applyBorder="1" applyAlignment="1">
      <alignment horizontal="center"/>
    </xf>
    <xf numFmtId="0" fontId="3" fillId="0" borderId="45" xfId="0" applyFont="1" applyFill="1" applyBorder="1"/>
    <xf numFmtId="0" fontId="1" fillId="0" borderId="46" xfId="3" applyFont="1" applyFill="1" applyBorder="1" applyAlignment="1">
      <alignment horizontal="right" wrapText="1"/>
    </xf>
    <xf numFmtId="0" fontId="3" fillId="0" borderId="50" xfId="0" applyFont="1" applyFill="1" applyBorder="1"/>
    <xf numFmtId="0" fontId="1" fillId="0" borderId="51" xfId="3" applyFont="1" applyFill="1" applyBorder="1" applyAlignment="1">
      <alignment horizontal="right" wrapText="1"/>
    </xf>
    <xf numFmtId="0" fontId="3" fillId="0" borderId="51" xfId="0" applyFont="1" applyFill="1" applyBorder="1" applyAlignment="1">
      <alignment horizontal="left"/>
    </xf>
    <xf numFmtId="3" fontId="3" fillId="0" borderId="50" xfId="0" applyNumberFormat="1" applyFont="1" applyFill="1" applyBorder="1" applyAlignment="1">
      <alignment horizontal="right"/>
    </xf>
    <xf numFmtId="167" fontId="3" fillId="0" borderId="52" xfId="0" applyNumberFormat="1" applyFont="1" applyFill="1" applyBorder="1" applyAlignment="1">
      <alignment horizontal="center"/>
    </xf>
    <xf numFmtId="168" fontId="3" fillId="0" borderId="52" xfId="0" applyNumberFormat="1" applyFont="1" applyFill="1" applyBorder="1" applyAlignment="1">
      <alignment horizontal="center"/>
    </xf>
    <xf numFmtId="3" fontId="3" fillId="0" borderId="51" xfId="0" applyNumberFormat="1" applyFont="1" applyFill="1" applyBorder="1" applyAlignment="1">
      <alignment horizontal="center"/>
    </xf>
    <xf numFmtId="0" fontId="2" fillId="0" borderId="12" xfId="1" applyFont="1" applyFill="1" applyBorder="1"/>
    <xf numFmtId="0" fontId="3" fillId="0" borderId="13" xfId="1" applyFont="1" applyFill="1" applyBorder="1" applyAlignment="1">
      <alignment horizontal="right"/>
    </xf>
    <xf numFmtId="3" fontId="3" fillId="0" borderId="12" xfId="0" applyNumberFormat="1" applyFont="1" applyFill="1" applyBorder="1" applyAlignment="1">
      <alignment horizontal="right"/>
    </xf>
    <xf numFmtId="0" fontId="3" fillId="0" borderId="4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right"/>
    </xf>
    <xf numFmtId="49" fontId="3" fillId="0" borderId="46" xfId="0" applyNumberFormat="1" applyFont="1" applyFill="1" applyBorder="1" applyAlignment="1">
      <alignment horizontal="left"/>
    </xf>
    <xf numFmtId="49" fontId="3" fillId="0" borderId="45" xfId="0" applyNumberFormat="1" applyFont="1" applyFill="1" applyBorder="1" applyAlignment="1">
      <alignment horizontal="right"/>
    </xf>
    <xf numFmtId="0" fontId="3" fillId="0" borderId="50" xfId="1" applyFont="1" applyFill="1" applyBorder="1"/>
    <xf numFmtId="0" fontId="3" fillId="0" borderId="51" xfId="1" applyFont="1" applyFill="1" applyBorder="1" applyAlignment="1">
      <alignment horizontal="right"/>
    </xf>
    <xf numFmtId="49" fontId="3" fillId="0" borderId="52" xfId="0" applyNumberFormat="1" applyFont="1" applyFill="1" applyBorder="1" applyAlignment="1">
      <alignment horizontal="right"/>
    </xf>
    <xf numFmtId="49" fontId="3" fillId="0" borderId="51" xfId="0" applyNumberFormat="1" applyFont="1" applyFill="1" applyBorder="1" applyAlignment="1">
      <alignment horizontal="left"/>
    </xf>
    <xf numFmtId="49" fontId="3" fillId="0" borderId="50" xfId="0" applyNumberFormat="1" applyFont="1" applyFill="1" applyBorder="1" applyAlignment="1">
      <alignment horizontal="right"/>
    </xf>
    <xf numFmtId="0" fontId="2" fillId="0" borderId="45" xfId="1" applyFont="1" applyFill="1" applyBorder="1"/>
    <xf numFmtId="3" fontId="3" fillId="0" borderId="0" xfId="1" applyNumberFormat="1" applyFont="1" applyFill="1"/>
    <xf numFmtId="0" fontId="3" fillId="0" borderId="45" xfId="0" applyFont="1" applyFill="1" applyBorder="1" applyAlignment="1">
      <alignment horizontal="right"/>
    </xf>
    <xf numFmtId="2" fontId="3" fillId="0" borderId="0" xfId="0" applyNumberFormat="1" applyFont="1" applyFill="1" applyBorder="1" applyAlignment="1">
      <alignment horizontal="right"/>
    </xf>
    <xf numFmtId="4" fontId="3" fillId="0" borderId="0" xfId="1" applyNumberFormat="1" applyFont="1" applyFill="1"/>
    <xf numFmtId="169" fontId="3" fillId="0" borderId="0" xfId="0" applyNumberFormat="1" applyFont="1" applyFill="1" applyBorder="1" applyAlignment="1">
      <alignment horizontal="right"/>
    </xf>
    <xf numFmtId="170" fontId="3" fillId="0" borderId="0" xfId="1" applyNumberFormat="1" applyFont="1" applyFill="1"/>
    <xf numFmtId="167" fontId="3" fillId="0" borderId="0" xfId="0" applyNumberFormat="1" applyFont="1" applyFill="1" applyBorder="1" applyAlignment="1">
      <alignment horizontal="right"/>
    </xf>
    <xf numFmtId="0" fontId="3" fillId="0" borderId="50" xfId="0" applyFont="1" applyFill="1" applyBorder="1" applyAlignment="1">
      <alignment horizontal="right"/>
    </xf>
    <xf numFmtId="0" fontId="3" fillId="0" borderId="52" xfId="0" applyFont="1" applyFill="1" applyBorder="1" applyAlignment="1">
      <alignment horizontal="right"/>
    </xf>
    <xf numFmtId="0" fontId="3" fillId="0" borderId="0" xfId="1" applyFont="1" applyFill="1" applyBorder="1" applyAlignment="1">
      <alignment horizontal="right"/>
    </xf>
    <xf numFmtId="1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left"/>
    </xf>
    <xf numFmtId="0" fontId="7" fillId="0" borderId="0" xfId="0" applyFont="1" applyFill="1"/>
    <xf numFmtId="0" fontId="8" fillId="0" borderId="0" xfId="0" applyFont="1" applyFill="1"/>
    <xf numFmtId="0" fontId="8" fillId="0" borderId="0" xfId="2" applyFont="1" applyFill="1"/>
    <xf numFmtId="0" fontId="8" fillId="0" borderId="0" xfId="1" applyFont="1" applyFill="1"/>
    <xf numFmtId="2" fontId="3" fillId="0" borderId="52" xfId="0" applyNumberFormat="1" applyFont="1" applyFill="1" applyBorder="1" applyAlignment="1">
      <alignment horizontal="right"/>
    </xf>
    <xf numFmtId="0" fontId="3" fillId="0" borderId="51" xfId="1" applyFont="1" applyFill="1" applyBorder="1"/>
    <xf numFmtId="2" fontId="2" fillId="0" borderId="1" xfId="0" applyNumberFormat="1" applyFont="1" applyFill="1" applyBorder="1" applyAlignment="1">
      <alignment horizontal="center" vertical="center" wrapText="1"/>
    </xf>
    <xf numFmtId="2" fontId="2" fillId="0" borderId="8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64" fontId="2" fillId="0" borderId="5" xfId="0" applyNumberFormat="1" applyFont="1" applyFill="1" applyBorder="1" applyAlignment="1">
      <alignment horizontal="center"/>
    </xf>
    <xf numFmtId="164" fontId="2" fillId="0" borderId="6" xfId="0" applyNumberFormat="1" applyFont="1" applyFill="1" applyBorder="1" applyAlignment="1">
      <alignment horizontal="center"/>
    </xf>
    <xf numFmtId="164" fontId="3" fillId="0" borderId="7" xfId="0" applyNumberFormat="1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47" xfId="0" applyFont="1" applyFill="1" applyBorder="1" applyAlignment="1">
      <alignment horizontal="center"/>
    </xf>
    <xf numFmtId="0" fontId="2" fillId="0" borderId="45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46" xfId="0" applyFont="1" applyFill="1" applyBorder="1" applyAlignment="1">
      <alignment horizontal="center"/>
    </xf>
    <xf numFmtId="14" fontId="2" fillId="0" borderId="47" xfId="0" applyNumberFormat="1" applyFont="1" applyFill="1" applyBorder="1" applyAlignment="1">
      <alignment horizontal="center"/>
    </xf>
    <xf numFmtId="14" fontId="2" fillId="0" borderId="47" xfId="0" quotePrefix="1" applyNumberFormat="1" applyFont="1" applyFill="1" applyBorder="1" applyAlignment="1">
      <alignment horizontal="center"/>
    </xf>
    <xf numFmtId="166" fontId="2" fillId="0" borderId="45" xfId="0" applyNumberFormat="1" applyFont="1" applyFill="1" applyBorder="1" applyAlignment="1">
      <alignment horizontal="center"/>
    </xf>
    <xf numFmtId="166" fontId="2" fillId="0" borderId="0" xfId="0" applyNumberFormat="1" applyFont="1" applyFill="1" applyBorder="1" applyAlignment="1">
      <alignment horizontal="center"/>
    </xf>
    <xf numFmtId="166" fontId="2" fillId="0" borderId="46" xfId="0" applyNumberFormat="1" applyFont="1" applyFill="1" applyBorder="1" applyAlignment="1">
      <alignment horizontal="center"/>
    </xf>
    <xf numFmtId="14" fontId="2" fillId="0" borderId="10" xfId="0" applyNumberFormat="1" applyFont="1" applyFill="1" applyBorder="1" applyAlignment="1">
      <alignment horizontal="center"/>
    </xf>
    <xf numFmtId="14" fontId="2" fillId="0" borderId="10" xfId="0" quotePrefix="1" applyNumberFormat="1" applyFont="1" applyFill="1" applyBorder="1" applyAlignment="1">
      <alignment horizontal="center"/>
    </xf>
  </cellXfs>
  <cellStyles count="5">
    <cellStyle name="Normal" xfId="0" builtinId="0"/>
    <cellStyle name="Normal 2" xfId="4"/>
    <cellStyle name="Normal_CES Data Man Macro 2004 11" xfId="1"/>
    <cellStyle name="Normal_Huntingdon Soil Analytical Data" xfId="2"/>
    <cellStyle name="Normal_Sheet1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A208"/>
  <sheetViews>
    <sheetView topLeftCell="A199" zoomScaleNormal="100" zoomScaleSheetLayoutView="100" workbookViewId="0">
      <selection activeCell="T101" sqref="T101"/>
    </sheetView>
  </sheetViews>
  <sheetFormatPr defaultRowHeight="12.75"/>
  <cols>
    <col min="1" max="1" width="14" style="3" customWidth="1"/>
    <col min="2" max="2" width="10.7109375" style="3" customWidth="1"/>
    <col min="3" max="3" width="12.7109375" style="3" customWidth="1"/>
    <col min="4" max="8" width="8.7109375" style="3" customWidth="1"/>
    <col min="9" max="9" width="10.7109375" style="3" customWidth="1"/>
    <col min="10" max="10" width="9.7109375" style="3" customWidth="1"/>
    <col min="11" max="12" width="8.7109375" style="3" customWidth="1"/>
    <col min="13" max="13" width="11.7109375" style="3" customWidth="1"/>
    <col min="14" max="14" width="10.7109375" style="3" customWidth="1"/>
    <col min="15" max="15" width="9.7109375" style="3" customWidth="1"/>
    <col min="16" max="17" width="8.7109375" style="3" customWidth="1"/>
    <col min="18" max="18" width="11.7109375" style="3" customWidth="1"/>
    <col min="19" max="20" width="10.7109375" style="3" customWidth="1"/>
    <col min="21" max="22" width="12" style="3" bestFit="1" customWidth="1"/>
    <col min="23" max="27" width="10.7109375" style="3" customWidth="1"/>
    <col min="28" max="16384" width="9.140625" style="3"/>
  </cols>
  <sheetData>
    <row r="3" spans="1:27">
      <c r="A3" s="1" t="s">
        <v>0</v>
      </c>
      <c r="B3" s="2" t="s">
        <v>1</v>
      </c>
    </row>
    <row r="4" spans="1:27">
      <c r="A4" s="1" t="s">
        <v>2</v>
      </c>
      <c r="B4" s="4" t="s">
        <v>3</v>
      </c>
      <c r="C4" s="5"/>
      <c r="D4" s="5"/>
      <c r="E4" s="5"/>
    </row>
    <row r="5" spans="1:27">
      <c r="A5" s="1" t="s">
        <v>4</v>
      </c>
      <c r="B5" s="6" t="s">
        <v>5</v>
      </c>
      <c r="C5" s="5"/>
      <c r="D5" s="5"/>
      <c r="E5" s="5"/>
    </row>
    <row r="6" spans="1:27">
      <c r="A6" s="1" t="s">
        <v>6</v>
      </c>
      <c r="B6" s="7" t="s">
        <v>7</v>
      </c>
      <c r="C6" s="5"/>
      <c r="D6" s="5"/>
      <c r="E6" s="5"/>
    </row>
    <row r="7" spans="1:27">
      <c r="A7" s="8" t="s">
        <v>8</v>
      </c>
      <c r="B7" s="9" t="s">
        <v>9</v>
      </c>
    </row>
    <row r="8" spans="1:27" ht="13.5" thickBot="1"/>
    <row r="9" spans="1:27">
      <c r="A9" s="10"/>
      <c r="B9" s="196" t="s">
        <v>10</v>
      </c>
      <c r="C9" s="198" t="s">
        <v>11</v>
      </c>
      <c r="D9" s="198" t="s">
        <v>12</v>
      </c>
      <c r="E9" s="200" t="s">
        <v>13</v>
      </c>
      <c r="F9" s="201"/>
      <c r="G9" s="201"/>
      <c r="H9" s="202"/>
      <c r="I9" s="203">
        <v>40424</v>
      </c>
      <c r="J9" s="204"/>
      <c r="K9" s="204"/>
      <c r="L9" s="204"/>
      <c r="M9" s="205"/>
      <c r="N9" s="203">
        <v>40437</v>
      </c>
      <c r="O9" s="204"/>
      <c r="P9" s="204"/>
      <c r="Q9" s="204"/>
      <c r="R9" s="205"/>
    </row>
    <row r="10" spans="1:27" ht="25.5">
      <c r="A10" s="11" t="s">
        <v>14</v>
      </c>
      <c r="B10" s="197"/>
      <c r="C10" s="199"/>
      <c r="D10" s="199"/>
      <c r="E10" s="206" t="s">
        <v>15</v>
      </c>
      <c r="F10" s="207"/>
      <c r="G10" s="207" t="s">
        <v>16</v>
      </c>
      <c r="H10" s="208"/>
      <c r="I10" s="12" t="s">
        <v>17</v>
      </c>
      <c r="J10" s="13" t="s">
        <v>18</v>
      </c>
      <c r="K10" s="209" t="s">
        <v>19</v>
      </c>
      <c r="L10" s="210"/>
      <c r="M10" s="14" t="s">
        <v>20</v>
      </c>
      <c r="N10" s="12" t="s">
        <v>17</v>
      </c>
      <c r="O10" s="13" t="s">
        <v>18</v>
      </c>
      <c r="P10" s="209" t="s">
        <v>19</v>
      </c>
      <c r="Q10" s="210"/>
      <c r="R10" s="14" t="s">
        <v>20</v>
      </c>
      <c r="U10" s="15"/>
      <c r="V10" s="15"/>
    </row>
    <row r="11" spans="1:27" ht="16.5" thickBot="1">
      <c r="A11" s="16"/>
      <c r="B11" s="17" t="s">
        <v>21</v>
      </c>
      <c r="C11" s="18" t="s">
        <v>21</v>
      </c>
      <c r="D11" s="19" t="s">
        <v>22</v>
      </c>
      <c r="E11" s="20" t="s">
        <v>22</v>
      </c>
      <c r="F11" s="21" t="s">
        <v>23</v>
      </c>
      <c r="G11" s="22" t="s">
        <v>22</v>
      </c>
      <c r="H11" s="23" t="s">
        <v>23</v>
      </c>
      <c r="I11" s="24" t="s">
        <v>24</v>
      </c>
      <c r="J11" s="25" t="s">
        <v>25</v>
      </c>
      <c r="K11" s="26" t="s">
        <v>24</v>
      </c>
      <c r="L11" s="27" t="s">
        <v>22</v>
      </c>
      <c r="M11" s="28" t="s">
        <v>26</v>
      </c>
      <c r="N11" s="24" t="s">
        <v>24</v>
      </c>
      <c r="O11" s="25" t="s">
        <v>25</v>
      </c>
      <c r="P11" s="26" t="s">
        <v>24</v>
      </c>
      <c r="Q11" s="27" t="s">
        <v>22</v>
      </c>
      <c r="R11" s="28" t="s">
        <v>26</v>
      </c>
      <c r="Z11" s="29"/>
      <c r="AA11" s="30"/>
    </row>
    <row r="12" spans="1:27">
      <c r="A12" s="31" t="s">
        <v>27</v>
      </c>
      <c r="B12" s="32">
        <v>1194.76</v>
      </c>
      <c r="C12" s="33">
        <v>1195.18</v>
      </c>
      <c r="D12" s="34">
        <f>C12-B12+16.3</f>
        <v>16.720000000000073</v>
      </c>
      <c r="E12" s="35">
        <f>G12-12</f>
        <v>4.7200000000000735</v>
      </c>
      <c r="F12" s="36">
        <f>+C12-E12</f>
        <v>1190.46</v>
      </c>
      <c r="G12" s="36">
        <f>D12</f>
        <v>16.720000000000073</v>
      </c>
      <c r="H12" s="37">
        <f>+C12-G12</f>
        <v>1178.46</v>
      </c>
      <c r="I12" s="38" t="s">
        <v>28</v>
      </c>
      <c r="J12" s="39" t="s">
        <v>28</v>
      </c>
      <c r="K12" s="40">
        <v>8.7799999999999994</v>
      </c>
      <c r="L12" s="41">
        <f>+($C12-$B12)+K12</f>
        <v>9.2000000000000721</v>
      </c>
      <c r="M12" s="37">
        <f>$B12-K12</f>
        <v>1185.98</v>
      </c>
      <c r="N12" s="42" t="s">
        <v>28</v>
      </c>
      <c r="O12" s="43" t="s">
        <v>28</v>
      </c>
      <c r="P12" s="40">
        <v>9.1199999999999992</v>
      </c>
      <c r="Q12" s="41">
        <f>+($C12-$B12)+P12</f>
        <v>9.540000000000072</v>
      </c>
      <c r="R12" s="37">
        <f>$B12-P12</f>
        <v>1185.6400000000001</v>
      </c>
      <c r="S12" s="44">
        <f>MAX(P12,K12)</f>
        <v>9.1199999999999992</v>
      </c>
      <c r="T12" s="44">
        <f>MIN(P12,K12)</f>
        <v>8.7799999999999994</v>
      </c>
      <c r="U12" s="44">
        <f>S12-T12</f>
        <v>0.33999999999999986</v>
      </c>
      <c r="V12" s="44">
        <f t="shared" ref="V12:V18" si="0">G12-L12</f>
        <v>7.5200000000000014</v>
      </c>
      <c r="X12" s="15"/>
      <c r="Y12" s="45"/>
    </row>
    <row r="13" spans="1:27">
      <c r="A13" s="46" t="s">
        <v>29</v>
      </c>
      <c r="B13" s="47">
        <v>1192.58</v>
      </c>
      <c r="C13" s="33">
        <v>1192.92</v>
      </c>
      <c r="D13" s="48">
        <f>C13-B13+12.42</f>
        <v>12.760000000000145</v>
      </c>
      <c r="E13" s="49">
        <f>G13-9</f>
        <v>3.7600000000001454</v>
      </c>
      <c r="F13" s="33">
        <f>+C13-E13</f>
        <v>1189.1599999999999</v>
      </c>
      <c r="G13" s="33">
        <f>D13</f>
        <v>12.760000000000145</v>
      </c>
      <c r="H13" s="50">
        <f>+C13-G13</f>
        <v>1180.1599999999999</v>
      </c>
      <c r="I13" s="51" t="s">
        <v>28</v>
      </c>
      <c r="J13" s="52" t="s">
        <v>28</v>
      </c>
      <c r="K13" s="53">
        <v>9.33</v>
      </c>
      <c r="L13" s="53">
        <f>+($C13-$B13)+K13</f>
        <v>9.6700000000001456</v>
      </c>
      <c r="M13" s="50">
        <f>$B13-K13</f>
        <v>1183.25</v>
      </c>
      <c r="N13" s="54" t="s">
        <v>28</v>
      </c>
      <c r="O13" s="55" t="s">
        <v>28</v>
      </c>
      <c r="P13" s="53">
        <v>9.06</v>
      </c>
      <c r="Q13" s="53">
        <f>+($C13-$B13)+P13</f>
        <v>9.400000000000146</v>
      </c>
      <c r="R13" s="50">
        <f>$B13-P13</f>
        <v>1183.52</v>
      </c>
      <c r="S13" s="44">
        <f t="shared" ref="S13:S38" si="1">MAX(P13,K13)</f>
        <v>9.33</v>
      </c>
      <c r="T13" s="44">
        <f t="shared" ref="T13:T38" si="2">MIN(P13,K13)</f>
        <v>9.06</v>
      </c>
      <c r="U13" s="44">
        <f t="shared" ref="U13:U38" si="3">S13-T13</f>
        <v>0.26999999999999957</v>
      </c>
      <c r="V13" s="44">
        <f t="shared" si="0"/>
        <v>3.09</v>
      </c>
      <c r="X13" s="15"/>
      <c r="Y13" s="45"/>
    </row>
    <row r="14" spans="1:27">
      <c r="A14" s="56" t="s">
        <v>30</v>
      </c>
      <c r="B14" s="57">
        <v>1191.2</v>
      </c>
      <c r="C14" s="58">
        <v>1191.5999999999999</v>
      </c>
      <c r="D14" s="59">
        <f>C14-B14+13.42</f>
        <v>13.819999999999864</v>
      </c>
      <c r="E14" s="49">
        <f>G14-10</f>
        <v>3.8199999999998635</v>
      </c>
      <c r="F14" s="33">
        <f>+C14-E14</f>
        <v>1187.78</v>
      </c>
      <c r="G14" s="33">
        <f>D14</f>
        <v>13.819999999999864</v>
      </c>
      <c r="H14" s="50">
        <f>+C14-G14</f>
        <v>1177.78</v>
      </c>
      <c r="I14" s="60" t="s">
        <v>28</v>
      </c>
      <c r="J14" s="61" t="s">
        <v>28</v>
      </c>
      <c r="K14" s="62">
        <v>9.68</v>
      </c>
      <c r="L14" s="62">
        <f>+($C14-$B14)+K14</f>
        <v>10.079999999999863</v>
      </c>
      <c r="M14" s="63">
        <f>$B14-K14</f>
        <v>1181.52</v>
      </c>
      <c r="N14" s="64" t="s">
        <v>28</v>
      </c>
      <c r="O14" s="65" t="s">
        <v>28</v>
      </c>
      <c r="P14" s="62">
        <v>9.81</v>
      </c>
      <c r="Q14" s="62">
        <f>+($C14-$B14)+P14</f>
        <v>10.209999999999864</v>
      </c>
      <c r="R14" s="63">
        <f>$B14-P14</f>
        <v>1181.3900000000001</v>
      </c>
      <c r="S14" s="44">
        <f t="shared" si="1"/>
        <v>9.81</v>
      </c>
      <c r="T14" s="44">
        <f t="shared" si="2"/>
        <v>9.68</v>
      </c>
      <c r="U14" s="44">
        <f t="shared" si="3"/>
        <v>0.13000000000000078</v>
      </c>
      <c r="V14" s="44">
        <f t="shared" si="0"/>
        <v>3.74</v>
      </c>
      <c r="X14" s="15"/>
      <c r="Y14" s="45"/>
    </row>
    <row r="15" spans="1:27">
      <c r="A15" s="46" t="s">
        <v>31</v>
      </c>
      <c r="B15" s="47">
        <v>1189.9000000000001</v>
      </c>
      <c r="C15" s="49">
        <v>1190.28</v>
      </c>
      <c r="D15" s="48">
        <f>C15-B15+13.65</f>
        <v>14.029999999999882</v>
      </c>
      <c r="E15" s="49">
        <f>G15-10</f>
        <v>4.0299999999998821</v>
      </c>
      <c r="F15" s="33">
        <f>+C15-E15</f>
        <v>1186.25</v>
      </c>
      <c r="G15" s="33">
        <f>D15</f>
        <v>14.029999999999882</v>
      </c>
      <c r="H15" s="50">
        <f>+C15-G15</f>
        <v>1176.25</v>
      </c>
      <c r="I15" s="51" t="s">
        <v>28</v>
      </c>
      <c r="J15" s="52" t="s">
        <v>28</v>
      </c>
      <c r="K15" s="53">
        <v>8.6999999999999993</v>
      </c>
      <c r="L15" s="53">
        <f>+($C15-$B15)+K15</f>
        <v>9.0799999999998811</v>
      </c>
      <c r="M15" s="50">
        <f>$B15-K15</f>
        <v>1181.2</v>
      </c>
      <c r="N15" s="54" t="s">
        <v>28</v>
      </c>
      <c r="O15" s="55" t="s">
        <v>28</v>
      </c>
      <c r="P15" s="53">
        <v>8.75</v>
      </c>
      <c r="Q15" s="53">
        <f>+($C15-$B15)+P15</f>
        <v>9.1299999999998818</v>
      </c>
      <c r="R15" s="50">
        <f>$B15-P15</f>
        <v>1181.1500000000001</v>
      </c>
      <c r="S15" s="44">
        <f t="shared" si="1"/>
        <v>8.75</v>
      </c>
      <c r="T15" s="44">
        <f t="shared" si="2"/>
        <v>8.6999999999999993</v>
      </c>
      <c r="U15" s="44">
        <f t="shared" si="3"/>
        <v>5.0000000000000711E-2</v>
      </c>
      <c r="V15" s="44">
        <f t="shared" si="0"/>
        <v>4.9500000000000011</v>
      </c>
      <c r="X15" s="15"/>
      <c r="Y15" s="45"/>
    </row>
    <row r="16" spans="1:27" ht="13.5" thickBot="1">
      <c r="A16" s="66" t="s">
        <v>32</v>
      </c>
      <c r="B16" s="67">
        <v>1192.17</v>
      </c>
      <c r="C16" s="68">
        <v>1192.48</v>
      </c>
      <c r="D16" s="69">
        <f>C16-B16+13.55</f>
        <v>13.859999999999946</v>
      </c>
      <c r="E16" s="70">
        <f>G16-10</f>
        <v>3.8599999999999461</v>
      </c>
      <c r="F16" s="71">
        <f>+C16-E16</f>
        <v>1188.6200000000001</v>
      </c>
      <c r="G16" s="72">
        <f>D16</f>
        <v>13.859999999999946</v>
      </c>
      <c r="H16" s="73">
        <f>+C16-G16</f>
        <v>1178.6200000000001</v>
      </c>
      <c r="I16" s="74" t="s">
        <v>28</v>
      </c>
      <c r="J16" s="75" t="s">
        <v>28</v>
      </c>
      <c r="K16" s="76">
        <v>10.72</v>
      </c>
      <c r="L16" s="77">
        <f>+($C16-$B16)+K16</f>
        <v>11.029999999999946</v>
      </c>
      <c r="M16" s="78">
        <f>$B16-K16</f>
        <v>1181.45</v>
      </c>
      <c r="N16" s="79" t="s">
        <v>28</v>
      </c>
      <c r="O16" s="80" t="s">
        <v>28</v>
      </c>
      <c r="P16" s="76">
        <v>10.88</v>
      </c>
      <c r="Q16" s="77">
        <f>+($C16-$B16)+P16</f>
        <v>11.189999999999946</v>
      </c>
      <c r="R16" s="78">
        <f>$B16-P16</f>
        <v>1181.29</v>
      </c>
      <c r="S16" s="44">
        <f t="shared" si="1"/>
        <v>10.88</v>
      </c>
      <c r="T16" s="44">
        <f t="shared" si="2"/>
        <v>10.72</v>
      </c>
      <c r="U16" s="44">
        <f t="shared" si="3"/>
        <v>0.16000000000000014</v>
      </c>
      <c r="V16" s="44">
        <f t="shared" si="0"/>
        <v>2.83</v>
      </c>
    </row>
    <row r="17" spans="1:25" ht="13.5" thickBot="1">
      <c r="D17" s="81"/>
      <c r="S17" s="44"/>
      <c r="T17" s="44"/>
      <c r="U17" s="44"/>
      <c r="V17" s="44">
        <f t="shared" si="0"/>
        <v>0</v>
      </c>
      <c r="Y17" s="45"/>
    </row>
    <row r="18" spans="1:25">
      <c r="A18" s="10"/>
      <c r="B18" s="196" t="s">
        <v>10</v>
      </c>
      <c r="C18" s="198" t="s">
        <v>11</v>
      </c>
      <c r="D18" s="198" t="s">
        <v>12</v>
      </c>
      <c r="E18" s="200" t="s">
        <v>13</v>
      </c>
      <c r="F18" s="201"/>
      <c r="G18" s="201"/>
      <c r="H18" s="202"/>
      <c r="I18" s="203">
        <v>40483</v>
      </c>
      <c r="J18" s="204"/>
      <c r="K18" s="204"/>
      <c r="L18" s="204"/>
      <c r="M18" s="205"/>
      <c r="N18" s="203">
        <v>40588</v>
      </c>
      <c r="O18" s="204"/>
      <c r="P18" s="204"/>
      <c r="Q18" s="204"/>
      <c r="R18" s="205"/>
      <c r="S18" s="44"/>
      <c r="T18" s="44"/>
      <c r="U18" s="44"/>
      <c r="V18" s="44">
        <f t="shared" si="0"/>
        <v>0</v>
      </c>
    </row>
    <row r="19" spans="1:25" ht="25.5">
      <c r="A19" s="11" t="s">
        <v>14</v>
      </c>
      <c r="B19" s="197"/>
      <c r="C19" s="199"/>
      <c r="D19" s="199"/>
      <c r="E19" s="206" t="s">
        <v>15</v>
      </c>
      <c r="F19" s="207"/>
      <c r="G19" s="207" t="s">
        <v>16</v>
      </c>
      <c r="H19" s="208"/>
      <c r="I19" s="12" t="s">
        <v>17</v>
      </c>
      <c r="J19" s="13" t="s">
        <v>18</v>
      </c>
      <c r="K19" s="209" t="s">
        <v>19</v>
      </c>
      <c r="L19" s="210"/>
      <c r="M19" s="14" t="s">
        <v>20</v>
      </c>
      <c r="N19" s="12" t="s">
        <v>17</v>
      </c>
      <c r="O19" s="13" t="s">
        <v>18</v>
      </c>
      <c r="P19" s="209" t="s">
        <v>19</v>
      </c>
      <c r="Q19" s="210"/>
      <c r="R19" s="14" t="s">
        <v>20</v>
      </c>
      <c r="S19" s="44"/>
      <c r="T19" s="44"/>
      <c r="U19" s="44"/>
      <c r="V19" s="44"/>
    </row>
    <row r="20" spans="1:25" ht="16.5" thickBot="1">
      <c r="A20" s="16"/>
      <c r="B20" s="17" t="s">
        <v>21</v>
      </c>
      <c r="C20" s="18" t="s">
        <v>21</v>
      </c>
      <c r="D20" s="19" t="s">
        <v>22</v>
      </c>
      <c r="E20" s="20" t="s">
        <v>22</v>
      </c>
      <c r="F20" s="21" t="s">
        <v>23</v>
      </c>
      <c r="G20" s="22" t="s">
        <v>22</v>
      </c>
      <c r="H20" s="23" t="s">
        <v>23</v>
      </c>
      <c r="I20" s="24" t="s">
        <v>24</v>
      </c>
      <c r="J20" s="25" t="s">
        <v>25</v>
      </c>
      <c r="K20" s="26" t="s">
        <v>24</v>
      </c>
      <c r="L20" s="27" t="s">
        <v>22</v>
      </c>
      <c r="M20" s="28" t="s">
        <v>26</v>
      </c>
      <c r="N20" s="24" t="s">
        <v>24</v>
      </c>
      <c r="O20" s="25" t="s">
        <v>25</v>
      </c>
      <c r="P20" s="26" t="s">
        <v>24</v>
      </c>
      <c r="Q20" s="27" t="s">
        <v>22</v>
      </c>
      <c r="R20" s="28" t="s">
        <v>26</v>
      </c>
      <c r="S20" s="44"/>
      <c r="T20" s="44"/>
      <c r="U20" s="44"/>
      <c r="V20" s="44"/>
    </row>
    <row r="21" spans="1:25">
      <c r="A21" s="31" t="s">
        <v>27</v>
      </c>
      <c r="B21" s="32">
        <v>1194.76</v>
      </c>
      <c r="C21" s="33">
        <v>1195.18</v>
      </c>
      <c r="D21" s="34">
        <f>C21-B21+16.3</f>
        <v>16.720000000000073</v>
      </c>
      <c r="E21" s="35">
        <f>G21-12</f>
        <v>4.7200000000000735</v>
      </c>
      <c r="F21" s="36">
        <f t="shared" ref="F21:F27" si="4">+C21-E21</f>
        <v>1190.46</v>
      </c>
      <c r="G21" s="36">
        <f t="shared" ref="G21:G27" si="5">D21</f>
        <v>16.720000000000073</v>
      </c>
      <c r="H21" s="37">
        <f t="shared" ref="H21:H27" si="6">+C21-G21</f>
        <v>1178.46</v>
      </c>
      <c r="I21" s="42" t="s">
        <v>28</v>
      </c>
      <c r="J21" s="43" t="s">
        <v>28</v>
      </c>
      <c r="K21" s="40">
        <v>8.93</v>
      </c>
      <c r="L21" s="41">
        <f>+($C21-$B21)+K21</f>
        <v>9.3500000000000725</v>
      </c>
      <c r="M21" s="37">
        <f>$B21-K21</f>
        <v>1185.83</v>
      </c>
      <c r="N21" s="42" t="s">
        <v>28</v>
      </c>
      <c r="O21" s="43" t="s">
        <v>28</v>
      </c>
      <c r="P21" s="40">
        <v>8.15</v>
      </c>
      <c r="Q21" s="41">
        <f t="shared" ref="Q21:Q27" si="7">+($C21-$B21)+P21</f>
        <v>8.5700000000000731</v>
      </c>
      <c r="R21" s="37">
        <f t="shared" ref="R21:R27" si="8">$B21-P21</f>
        <v>1186.6099999999999</v>
      </c>
      <c r="S21" s="44">
        <f t="shared" si="1"/>
        <v>8.93</v>
      </c>
      <c r="T21" s="44">
        <f t="shared" si="2"/>
        <v>8.15</v>
      </c>
      <c r="U21" s="44">
        <f t="shared" si="3"/>
        <v>0.77999999999999936</v>
      </c>
      <c r="V21" s="44">
        <f t="shared" ref="V21:V38" si="9">G21-L21</f>
        <v>7.370000000000001</v>
      </c>
    </row>
    <row r="22" spans="1:25">
      <c r="A22" s="46" t="s">
        <v>29</v>
      </c>
      <c r="B22" s="47">
        <v>1192.58</v>
      </c>
      <c r="C22" s="33">
        <v>1192.92</v>
      </c>
      <c r="D22" s="48">
        <f>C22-B22+12.42</f>
        <v>12.760000000000145</v>
      </c>
      <c r="E22" s="49">
        <f>G22-9</f>
        <v>3.7600000000001454</v>
      </c>
      <c r="F22" s="33">
        <f t="shared" si="4"/>
        <v>1189.1599999999999</v>
      </c>
      <c r="G22" s="33">
        <f t="shared" si="5"/>
        <v>12.760000000000145</v>
      </c>
      <c r="H22" s="50">
        <f t="shared" si="6"/>
        <v>1180.1599999999999</v>
      </c>
      <c r="I22" s="54" t="s">
        <v>28</v>
      </c>
      <c r="J22" s="55" t="s">
        <v>28</v>
      </c>
      <c r="K22" s="53">
        <v>8.6999999999999993</v>
      </c>
      <c r="L22" s="53">
        <f>+($C22-$B22)+K22</f>
        <v>9.0400000000001448</v>
      </c>
      <c r="M22" s="50">
        <f>$B22-K22</f>
        <v>1183.8799999999999</v>
      </c>
      <c r="N22" s="54" t="s">
        <v>28</v>
      </c>
      <c r="O22" s="55" t="s">
        <v>28</v>
      </c>
      <c r="P22" s="53">
        <v>8.14</v>
      </c>
      <c r="Q22" s="53">
        <f t="shared" si="7"/>
        <v>8.4800000000001461</v>
      </c>
      <c r="R22" s="50">
        <f t="shared" si="8"/>
        <v>1184.4399999999998</v>
      </c>
      <c r="S22" s="44">
        <f t="shared" si="1"/>
        <v>8.6999999999999993</v>
      </c>
      <c r="T22" s="44">
        <f t="shared" si="2"/>
        <v>8.14</v>
      </c>
      <c r="U22" s="44">
        <f t="shared" si="3"/>
        <v>0.55999999999999872</v>
      </c>
      <c r="V22" s="44">
        <f t="shared" si="9"/>
        <v>3.7200000000000006</v>
      </c>
    </row>
    <row r="23" spans="1:25">
      <c r="A23" s="56" t="s">
        <v>30</v>
      </c>
      <c r="B23" s="57">
        <v>1191.2</v>
      </c>
      <c r="C23" s="58">
        <v>1191.5999999999999</v>
      </c>
      <c r="D23" s="59">
        <f>C23-B23+13.42</f>
        <v>13.819999999999864</v>
      </c>
      <c r="E23" s="49">
        <f>G23-10</f>
        <v>3.8199999999998635</v>
      </c>
      <c r="F23" s="33">
        <f t="shared" si="4"/>
        <v>1187.78</v>
      </c>
      <c r="G23" s="33">
        <f t="shared" si="5"/>
        <v>13.819999999999864</v>
      </c>
      <c r="H23" s="50">
        <f t="shared" si="6"/>
        <v>1177.78</v>
      </c>
      <c r="I23" s="64" t="s">
        <v>28</v>
      </c>
      <c r="J23" s="65" t="s">
        <v>28</v>
      </c>
      <c r="K23" s="62">
        <v>9.6199999999999992</v>
      </c>
      <c r="L23" s="62">
        <f>+($C23-$B23)+K23</f>
        <v>10.019999999999863</v>
      </c>
      <c r="M23" s="63">
        <f>$B23-K23</f>
        <v>1181.5800000000002</v>
      </c>
      <c r="N23" s="64" t="s">
        <v>28</v>
      </c>
      <c r="O23" s="65" t="s">
        <v>28</v>
      </c>
      <c r="P23" s="62">
        <v>8.8699999999999992</v>
      </c>
      <c r="Q23" s="62">
        <f t="shared" si="7"/>
        <v>9.2699999999998628</v>
      </c>
      <c r="R23" s="63">
        <f t="shared" si="8"/>
        <v>1182.3300000000002</v>
      </c>
      <c r="S23" s="44">
        <f t="shared" si="1"/>
        <v>9.6199999999999992</v>
      </c>
      <c r="T23" s="44">
        <f t="shared" si="2"/>
        <v>8.8699999999999992</v>
      </c>
      <c r="U23" s="44">
        <f t="shared" si="3"/>
        <v>0.75</v>
      </c>
      <c r="V23" s="44">
        <f t="shared" si="9"/>
        <v>3.8000000000000007</v>
      </c>
    </row>
    <row r="24" spans="1:25">
      <c r="A24" s="46" t="s">
        <v>31</v>
      </c>
      <c r="B24" s="47">
        <v>1189.9000000000001</v>
      </c>
      <c r="C24" s="49">
        <v>1190.28</v>
      </c>
      <c r="D24" s="48">
        <f>C24-B24+13.65</f>
        <v>14.029999999999882</v>
      </c>
      <c r="E24" s="49">
        <f>G24-10</f>
        <v>4.0299999999998821</v>
      </c>
      <c r="F24" s="33">
        <f t="shared" si="4"/>
        <v>1186.25</v>
      </c>
      <c r="G24" s="33">
        <f t="shared" si="5"/>
        <v>14.029999999999882</v>
      </c>
      <c r="H24" s="50">
        <f t="shared" si="6"/>
        <v>1176.25</v>
      </c>
      <c r="I24" s="54" t="s">
        <v>28</v>
      </c>
      <c r="J24" s="55" t="s">
        <v>28</v>
      </c>
      <c r="K24" s="53">
        <v>8.5399999999999991</v>
      </c>
      <c r="L24" s="53">
        <f>+($C24-$B24)+K24</f>
        <v>8.9199999999998809</v>
      </c>
      <c r="M24" s="50">
        <f>$B24-K24</f>
        <v>1181.3600000000001</v>
      </c>
      <c r="N24" s="54" t="s">
        <v>28</v>
      </c>
      <c r="O24" s="55" t="s">
        <v>28</v>
      </c>
      <c r="P24" s="53">
        <v>7.88</v>
      </c>
      <c r="Q24" s="53">
        <f t="shared" si="7"/>
        <v>8.2599999999998808</v>
      </c>
      <c r="R24" s="50">
        <f t="shared" si="8"/>
        <v>1182.02</v>
      </c>
      <c r="S24" s="44">
        <f t="shared" si="1"/>
        <v>8.5399999999999991</v>
      </c>
      <c r="T24" s="44">
        <f t="shared" si="2"/>
        <v>7.88</v>
      </c>
      <c r="U24" s="44">
        <f t="shared" si="3"/>
        <v>0.65999999999999925</v>
      </c>
      <c r="V24" s="44">
        <f t="shared" si="9"/>
        <v>5.1100000000000012</v>
      </c>
    </row>
    <row r="25" spans="1:25">
      <c r="A25" s="82" t="s">
        <v>32</v>
      </c>
      <c r="B25" s="83">
        <v>1192.17</v>
      </c>
      <c r="C25" s="84">
        <v>1192.48</v>
      </c>
      <c r="D25" s="57">
        <f>C25-B25+13.55</f>
        <v>13.859999999999946</v>
      </c>
      <c r="E25" s="85">
        <f>G25-10</f>
        <v>3.8599999999999461</v>
      </c>
      <c r="F25" s="86">
        <f t="shared" si="4"/>
        <v>1188.6200000000001</v>
      </c>
      <c r="G25" s="62">
        <f t="shared" si="5"/>
        <v>13.859999999999946</v>
      </c>
      <c r="H25" s="63">
        <f t="shared" si="6"/>
        <v>1178.6200000000001</v>
      </c>
      <c r="I25" s="64" t="s">
        <v>28</v>
      </c>
      <c r="J25" s="65" t="s">
        <v>28</v>
      </c>
      <c r="K25" s="87">
        <v>10.68</v>
      </c>
      <c r="L25" s="88">
        <f>+($C25-$B25)+K25</f>
        <v>10.989999999999945</v>
      </c>
      <c r="M25" s="89">
        <f>$B25-K25</f>
        <v>1181.49</v>
      </c>
      <c r="N25" s="64" t="s">
        <v>28</v>
      </c>
      <c r="O25" s="65" t="s">
        <v>28</v>
      </c>
      <c r="P25" s="87">
        <v>10.02</v>
      </c>
      <c r="Q25" s="53">
        <f t="shared" si="7"/>
        <v>10.329999999999945</v>
      </c>
      <c r="R25" s="89">
        <f t="shared" si="8"/>
        <v>1182.1500000000001</v>
      </c>
      <c r="S25" s="44">
        <f t="shared" si="1"/>
        <v>10.68</v>
      </c>
      <c r="T25" s="44">
        <f t="shared" si="2"/>
        <v>10.02</v>
      </c>
      <c r="U25" s="44">
        <f t="shared" si="3"/>
        <v>0.66000000000000014</v>
      </c>
      <c r="V25" s="44">
        <f t="shared" si="9"/>
        <v>2.870000000000001</v>
      </c>
    </row>
    <row r="26" spans="1:25">
      <c r="A26" s="46" t="s">
        <v>33</v>
      </c>
      <c r="B26" s="90">
        <v>1190.67</v>
      </c>
      <c r="C26" s="91">
        <v>1190.8800000000001</v>
      </c>
      <c r="D26" s="47">
        <f>C26-B26+13.3</f>
        <v>13.510000000000037</v>
      </c>
      <c r="E26" s="92">
        <f>G26-9.5</f>
        <v>4.0100000000000371</v>
      </c>
      <c r="F26" s="33">
        <f t="shared" si="4"/>
        <v>1186.8700000000001</v>
      </c>
      <c r="G26" s="53">
        <f t="shared" si="5"/>
        <v>13.510000000000037</v>
      </c>
      <c r="H26" s="50">
        <f t="shared" si="6"/>
        <v>1177.3700000000001</v>
      </c>
      <c r="I26" s="54" t="s">
        <v>34</v>
      </c>
      <c r="J26" s="55" t="s">
        <v>34</v>
      </c>
      <c r="K26" s="93" t="s">
        <v>34</v>
      </c>
      <c r="L26" s="94" t="s">
        <v>34</v>
      </c>
      <c r="M26" s="95" t="s">
        <v>34</v>
      </c>
      <c r="N26" s="54" t="s">
        <v>28</v>
      </c>
      <c r="O26" s="55" t="s">
        <v>28</v>
      </c>
      <c r="P26" s="93">
        <v>6.58</v>
      </c>
      <c r="Q26" s="53">
        <f t="shared" si="7"/>
        <v>6.7900000000000365</v>
      </c>
      <c r="R26" s="89">
        <f t="shared" si="8"/>
        <v>1184.0900000000001</v>
      </c>
      <c r="S26" s="44">
        <f t="shared" si="1"/>
        <v>6.58</v>
      </c>
      <c r="T26" s="44">
        <f t="shared" si="2"/>
        <v>6.58</v>
      </c>
      <c r="U26" s="44">
        <f t="shared" si="3"/>
        <v>0</v>
      </c>
      <c r="V26" s="44" t="e">
        <f t="shared" si="9"/>
        <v>#VALUE!</v>
      </c>
    </row>
    <row r="27" spans="1:25" ht="13.5" thickBot="1">
      <c r="A27" s="96" t="s">
        <v>35</v>
      </c>
      <c r="B27" s="67">
        <v>1187.74</v>
      </c>
      <c r="C27" s="68">
        <v>1187.82</v>
      </c>
      <c r="D27" s="69">
        <f>C27-B27+15.2</f>
        <v>15.279999999999927</v>
      </c>
      <c r="E27" s="70">
        <f>G27-11</f>
        <v>4.2799999999999265</v>
      </c>
      <c r="F27" s="71">
        <f t="shared" si="4"/>
        <v>1183.54</v>
      </c>
      <c r="G27" s="72">
        <f t="shared" si="5"/>
        <v>15.279999999999927</v>
      </c>
      <c r="H27" s="73">
        <f t="shared" si="6"/>
        <v>1172.54</v>
      </c>
      <c r="I27" s="79" t="s">
        <v>34</v>
      </c>
      <c r="J27" s="80" t="s">
        <v>34</v>
      </c>
      <c r="K27" s="76" t="s">
        <v>34</v>
      </c>
      <c r="L27" s="77" t="s">
        <v>34</v>
      </c>
      <c r="M27" s="78" t="s">
        <v>34</v>
      </c>
      <c r="N27" s="79" t="s">
        <v>28</v>
      </c>
      <c r="O27" s="80" t="s">
        <v>28</v>
      </c>
      <c r="P27" s="76">
        <v>5.83</v>
      </c>
      <c r="Q27" s="72">
        <f t="shared" si="7"/>
        <v>5.9099999999999273</v>
      </c>
      <c r="R27" s="97">
        <f t="shared" si="8"/>
        <v>1181.9100000000001</v>
      </c>
      <c r="S27" s="44">
        <f t="shared" si="1"/>
        <v>5.83</v>
      </c>
      <c r="T27" s="44">
        <f t="shared" si="2"/>
        <v>5.83</v>
      </c>
      <c r="U27" s="44">
        <f t="shared" si="3"/>
        <v>0</v>
      </c>
      <c r="V27" s="44" t="e">
        <f t="shared" si="9"/>
        <v>#VALUE!</v>
      </c>
    </row>
    <row r="28" spans="1:25" ht="13.5" thickBot="1">
      <c r="D28" s="81"/>
      <c r="S28" s="44"/>
      <c r="T28" s="44"/>
      <c r="U28" s="44"/>
      <c r="V28" s="44">
        <f t="shared" si="9"/>
        <v>0</v>
      </c>
      <c r="Y28" s="45"/>
    </row>
    <row r="29" spans="1:25">
      <c r="A29" s="10"/>
      <c r="B29" s="196" t="s">
        <v>10</v>
      </c>
      <c r="C29" s="198" t="s">
        <v>11</v>
      </c>
      <c r="D29" s="198" t="s">
        <v>12</v>
      </c>
      <c r="E29" s="200" t="s">
        <v>13</v>
      </c>
      <c r="F29" s="201"/>
      <c r="G29" s="201"/>
      <c r="H29" s="202"/>
      <c r="I29" s="203">
        <v>40605</v>
      </c>
      <c r="J29" s="204"/>
      <c r="K29" s="204"/>
      <c r="L29" s="204"/>
      <c r="M29" s="205"/>
      <c r="N29" s="203">
        <v>40638</v>
      </c>
      <c r="O29" s="204"/>
      <c r="P29" s="204"/>
      <c r="Q29" s="204"/>
      <c r="R29" s="205"/>
      <c r="S29" s="44"/>
      <c r="T29" s="44"/>
      <c r="U29" s="44"/>
      <c r="V29" s="44">
        <f t="shared" si="9"/>
        <v>0</v>
      </c>
    </row>
    <row r="30" spans="1:25" ht="25.5">
      <c r="A30" s="11" t="s">
        <v>14</v>
      </c>
      <c r="B30" s="197"/>
      <c r="C30" s="199"/>
      <c r="D30" s="199"/>
      <c r="E30" s="206" t="s">
        <v>15</v>
      </c>
      <c r="F30" s="207"/>
      <c r="G30" s="207" t="s">
        <v>16</v>
      </c>
      <c r="H30" s="208"/>
      <c r="I30" s="12" t="s">
        <v>17</v>
      </c>
      <c r="J30" s="13" t="s">
        <v>18</v>
      </c>
      <c r="K30" s="209" t="s">
        <v>19</v>
      </c>
      <c r="L30" s="210"/>
      <c r="M30" s="14" t="s">
        <v>20</v>
      </c>
      <c r="N30" s="12" t="s">
        <v>17</v>
      </c>
      <c r="O30" s="13" t="s">
        <v>18</v>
      </c>
      <c r="P30" s="209" t="s">
        <v>19</v>
      </c>
      <c r="Q30" s="210"/>
      <c r="R30" s="14" t="s">
        <v>20</v>
      </c>
      <c r="S30" s="44"/>
      <c r="T30" s="44"/>
      <c r="U30" s="44"/>
      <c r="V30" s="44" t="e">
        <f t="shared" si="9"/>
        <v>#VALUE!</v>
      </c>
    </row>
    <row r="31" spans="1:25" ht="16.5" thickBot="1">
      <c r="A31" s="16"/>
      <c r="B31" s="17" t="s">
        <v>21</v>
      </c>
      <c r="C31" s="18" t="s">
        <v>21</v>
      </c>
      <c r="D31" s="19" t="s">
        <v>22</v>
      </c>
      <c r="E31" s="20" t="s">
        <v>22</v>
      </c>
      <c r="F31" s="21" t="s">
        <v>23</v>
      </c>
      <c r="G31" s="22" t="s">
        <v>22</v>
      </c>
      <c r="H31" s="23" t="s">
        <v>23</v>
      </c>
      <c r="I31" s="24" t="s">
        <v>24</v>
      </c>
      <c r="J31" s="25" t="s">
        <v>25</v>
      </c>
      <c r="K31" s="26" t="s">
        <v>24</v>
      </c>
      <c r="L31" s="27" t="s">
        <v>22</v>
      </c>
      <c r="M31" s="28" t="s">
        <v>26</v>
      </c>
      <c r="N31" s="24" t="s">
        <v>24</v>
      </c>
      <c r="O31" s="25" t="s">
        <v>25</v>
      </c>
      <c r="P31" s="26" t="s">
        <v>24</v>
      </c>
      <c r="Q31" s="27" t="s">
        <v>22</v>
      </c>
      <c r="R31" s="28" t="s">
        <v>26</v>
      </c>
      <c r="S31" s="44"/>
      <c r="T31" s="44"/>
      <c r="U31" s="44"/>
      <c r="V31" s="44" t="e">
        <f t="shared" si="9"/>
        <v>#VALUE!</v>
      </c>
    </row>
    <row r="32" spans="1:25">
      <c r="A32" s="31" t="s">
        <v>27</v>
      </c>
      <c r="B32" s="32">
        <v>1194.76</v>
      </c>
      <c r="C32" s="33">
        <v>1195.18</v>
      </c>
      <c r="D32" s="34">
        <f>C32-B32+16.3</f>
        <v>16.720000000000073</v>
      </c>
      <c r="E32" s="35">
        <f>G32-12</f>
        <v>4.7200000000000735</v>
      </c>
      <c r="F32" s="36">
        <f t="shared" ref="F32:F38" si="10">+C32-E32</f>
        <v>1190.46</v>
      </c>
      <c r="G32" s="36">
        <f t="shared" ref="G32:G38" si="11">D32</f>
        <v>16.720000000000073</v>
      </c>
      <c r="H32" s="37">
        <f t="shared" ref="H32:H38" si="12">+C32-G32</f>
        <v>1178.46</v>
      </c>
      <c r="I32" s="42" t="s">
        <v>28</v>
      </c>
      <c r="J32" s="43" t="s">
        <v>28</v>
      </c>
      <c r="K32" s="40">
        <v>7.33</v>
      </c>
      <c r="L32" s="41">
        <f t="shared" ref="L32:L38" si="13">+($C32-$B32)+K32</f>
        <v>7.7500000000000728</v>
      </c>
      <c r="M32" s="37">
        <f t="shared" ref="M32:M38" si="14">$B32-K32</f>
        <v>1187.43</v>
      </c>
      <c r="N32" s="42" t="s">
        <v>28</v>
      </c>
      <c r="O32" s="43" t="s">
        <v>28</v>
      </c>
      <c r="P32" s="40">
        <v>7.79</v>
      </c>
      <c r="Q32" s="41">
        <f t="shared" ref="Q32:Q38" si="15">+($C32-$B32)+P32</f>
        <v>8.2100000000000719</v>
      </c>
      <c r="R32" s="37">
        <f t="shared" ref="R32:R38" si="16">$B32-P32</f>
        <v>1186.97</v>
      </c>
      <c r="S32" s="44">
        <f t="shared" si="1"/>
        <v>7.79</v>
      </c>
      <c r="T32" s="44">
        <f t="shared" si="2"/>
        <v>7.33</v>
      </c>
      <c r="U32" s="44">
        <f t="shared" si="3"/>
        <v>0.45999999999999996</v>
      </c>
      <c r="V32" s="44">
        <f t="shared" si="9"/>
        <v>8.9700000000000006</v>
      </c>
    </row>
    <row r="33" spans="1:27">
      <c r="A33" s="46" t="s">
        <v>29</v>
      </c>
      <c r="B33" s="47">
        <v>1192.58</v>
      </c>
      <c r="C33" s="33">
        <v>1192.92</v>
      </c>
      <c r="D33" s="48">
        <f>C33-B33+12.42</f>
        <v>12.760000000000145</v>
      </c>
      <c r="E33" s="49">
        <f>G33-9</f>
        <v>3.7600000000001454</v>
      </c>
      <c r="F33" s="33">
        <f t="shared" si="10"/>
        <v>1189.1599999999999</v>
      </c>
      <c r="G33" s="33">
        <f t="shared" si="11"/>
        <v>12.760000000000145</v>
      </c>
      <c r="H33" s="50">
        <f t="shared" si="12"/>
        <v>1180.1599999999999</v>
      </c>
      <c r="I33" s="54" t="s">
        <v>28</v>
      </c>
      <c r="J33" s="55" t="s">
        <v>28</v>
      </c>
      <c r="K33" s="53">
        <v>7.08</v>
      </c>
      <c r="L33" s="53">
        <f t="shared" si="13"/>
        <v>7.4200000000001456</v>
      </c>
      <c r="M33" s="50">
        <f t="shared" si="14"/>
        <v>1185.5</v>
      </c>
      <c r="N33" s="54" t="s">
        <v>28</v>
      </c>
      <c r="O33" s="55" t="s">
        <v>28</v>
      </c>
      <c r="P33" s="53">
        <v>7.64</v>
      </c>
      <c r="Q33" s="53">
        <f t="shared" si="15"/>
        <v>7.9800000000001452</v>
      </c>
      <c r="R33" s="50">
        <f t="shared" si="16"/>
        <v>1184.9399999999998</v>
      </c>
      <c r="S33" s="44">
        <f t="shared" si="1"/>
        <v>7.64</v>
      </c>
      <c r="T33" s="44">
        <f t="shared" si="2"/>
        <v>7.08</v>
      </c>
      <c r="U33" s="44">
        <f t="shared" si="3"/>
        <v>0.55999999999999961</v>
      </c>
      <c r="V33" s="44">
        <f t="shared" si="9"/>
        <v>5.34</v>
      </c>
    </row>
    <row r="34" spans="1:27">
      <c r="A34" s="56" t="s">
        <v>30</v>
      </c>
      <c r="B34" s="57">
        <v>1191.2</v>
      </c>
      <c r="C34" s="58">
        <v>1191.5999999999999</v>
      </c>
      <c r="D34" s="59">
        <f>C34-B34+13.42</f>
        <v>13.819999999999864</v>
      </c>
      <c r="E34" s="49">
        <f>G34-10</f>
        <v>3.8199999999998635</v>
      </c>
      <c r="F34" s="33">
        <f t="shared" si="10"/>
        <v>1187.78</v>
      </c>
      <c r="G34" s="33">
        <f t="shared" si="11"/>
        <v>13.819999999999864</v>
      </c>
      <c r="H34" s="50">
        <f t="shared" si="12"/>
        <v>1177.78</v>
      </c>
      <c r="I34" s="64" t="s">
        <v>28</v>
      </c>
      <c r="J34" s="65" t="s">
        <v>28</v>
      </c>
      <c r="K34" s="62">
        <v>7.34</v>
      </c>
      <c r="L34" s="62">
        <f t="shared" si="13"/>
        <v>7.7399999999998634</v>
      </c>
      <c r="M34" s="63">
        <f t="shared" si="14"/>
        <v>1183.8600000000001</v>
      </c>
      <c r="N34" s="64" t="s">
        <v>28</v>
      </c>
      <c r="O34" s="65" t="s">
        <v>28</v>
      </c>
      <c r="P34" s="62">
        <v>7.36</v>
      </c>
      <c r="Q34" s="62">
        <f t="shared" si="15"/>
        <v>7.7599999999998639</v>
      </c>
      <c r="R34" s="63">
        <f t="shared" si="16"/>
        <v>1183.8400000000001</v>
      </c>
      <c r="S34" s="44">
        <f t="shared" si="1"/>
        <v>7.36</v>
      </c>
      <c r="T34" s="44">
        <f t="shared" si="2"/>
        <v>7.34</v>
      </c>
      <c r="U34" s="44">
        <f t="shared" si="3"/>
        <v>2.0000000000000462E-2</v>
      </c>
      <c r="V34" s="44">
        <f t="shared" si="9"/>
        <v>6.08</v>
      </c>
    </row>
    <row r="35" spans="1:27">
      <c r="A35" s="46" t="s">
        <v>31</v>
      </c>
      <c r="B35" s="47">
        <v>1189.9000000000001</v>
      </c>
      <c r="C35" s="49">
        <v>1190.28</v>
      </c>
      <c r="D35" s="48">
        <f>C35-B35+13.65</f>
        <v>14.029999999999882</v>
      </c>
      <c r="E35" s="49">
        <f>G35-10</f>
        <v>4.0299999999998821</v>
      </c>
      <c r="F35" s="33">
        <f t="shared" si="10"/>
        <v>1186.25</v>
      </c>
      <c r="G35" s="33">
        <f t="shared" si="11"/>
        <v>14.029999999999882</v>
      </c>
      <c r="H35" s="50">
        <f t="shared" si="12"/>
        <v>1176.25</v>
      </c>
      <c r="I35" s="54" t="s">
        <v>28</v>
      </c>
      <c r="J35" s="55" t="s">
        <v>28</v>
      </c>
      <c r="K35" s="53">
        <v>6.5</v>
      </c>
      <c r="L35" s="53">
        <f t="shared" si="13"/>
        <v>6.8799999999998818</v>
      </c>
      <c r="M35" s="50">
        <f t="shared" si="14"/>
        <v>1183.4000000000001</v>
      </c>
      <c r="N35" s="54" t="s">
        <v>28</v>
      </c>
      <c r="O35" s="55" t="s">
        <v>28</v>
      </c>
      <c r="P35" s="53">
        <v>6.43</v>
      </c>
      <c r="Q35" s="53">
        <f t="shared" si="15"/>
        <v>6.8099999999998815</v>
      </c>
      <c r="R35" s="50">
        <f t="shared" si="16"/>
        <v>1183.47</v>
      </c>
      <c r="S35" s="44">
        <f t="shared" si="1"/>
        <v>6.5</v>
      </c>
      <c r="T35" s="44">
        <f t="shared" si="2"/>
        <v>6.43</v>
      </c>
      <c r="U35" s="44">
        <f t="shared" si="3"/>
        <v>7.0000000000000284E-2</v>
      </c>
      <c r="V35" s="44">
        <f t="shared" si="9"/>
        <v>7.15</v>
      </c>
    </row>
    <row r="36" spans="1:27">
      <c r="A36" s="82" t="s">
        <v>32</v>
      </c>
      <c r="B36" s="83">
        <v>1192.17</v>
      </c>
      <c r="C36" s="84">
        <v>1192.48</v>
      </c>
      <c r="D36" s="57">
        <f>C36-B36+13.55</f>
        <v>13.859999999999946</v>
      </c>
      <c r="E36" s="85">
        <f>G36-10</f>
        <v>3.8599999999999461</v>
      </c>
      <c r="F36" s="86">
        <f t="shared" si="10"/>
        <v>1188.6200000000001</v>
      </c>
      <c r="G36" s="62">
        <f t="shared" si="11"/>
        <v>13.859999999999946</v>
      </c>
      <c r="H36" s="63">
        <f t="shared" si="12"/>
        <v>1178.6200000000001</v>
      </c>
      <c r="I36" s="64" t="s">
        <v>28</v>
      </c>
      <c r="J36" s="65" t="s">
        <v>28</v>
      </c>
      <c r="K36" s="87">
        <v>8.64</v>
      </c>
      <c r="L36" s="88">
        <f t="shared" si="13"/>
        <v>8.949999999999946</v>
      </c>
      <c r="M36" s="89">
        <f t="shared" si="14"/>
        <v>1183.53</v>
      </c>
      <c r="N36" s="64" t="s">
        <v>28</v>
      </c>
      <c r="O36" s="65" t="s">
        <v>28</v>
      </c>
      <c r="P36" s="87">
        <v>8.58</v>
      </c>
      <c r="Q36" s="88">
        <f t="shared" si="15"/>
        <v>8.8899999999999455</v>
      </c>
      <c r="R36" s="89">
        <f t="shared" si="16"/>
        <v>1183.5900000000001</v>
      </c>
      <c r="S36" s="44">
        <f t="shared" si="1"/>
        <v>8.64</v>
      </c>
      <c r="T36" s="44">
        <f t="shared" si="2"/>
        <v>8.58</v>
      </c>
      <c r="U36" s="44">
        <f t="shared" si="3"/>
        <v>6.0000000000000497E-2</v>
      </c>
      <c r="V36" s="44">
        <f t="shared" si="9"/>
        <v>4.91</v>
      </c>
    </row>
    <row r="37" spans="1:27">
      <c r="A37" s="46" t="s">
        <v>33</v>
      </c>
      <c r="B37" s="90">
        <v>1190.67</v>
      </c>
      <c r="C37" s="91">
        <v>1190.8800000000001</v>
      </c>
      <c r="D37" s="47">
        <f>C37-B37+13.3</f>
        <v>13.510000000000037</v>
      </c>
      <c r="E37" s="92">
        <f>G37-9.5</f>
        <v>4.0100000000000371</v>
      </c>
      <c r="F37" s="33">
        <f t="shared" si="10"/>
        <v>1186.8700000000001</v>
      </c>
      <c r="G37" s="53">
        <f t="shared" si="11"/>
        <v>13.510000000000037</v>
      </c>
      <c r="H37" s="50">
        <f t="shared" si="12"/>
        <v>1177.3700000000001</v>
      </c>
      <c r="I37" s="54" t="s">
        <v>28</v>
      </c>
      <c r="J37" s="55" t="s">
        <v>28</v>
      </c>
      <c r="K37" s="93">
        <v>5.87</v>
      </c>
      <c r="L37" s="53">
        <f t="shared" si="13"/>
        <v>6.0800000000000365</v>
      </c>
      <c r="M37" s="98">
        <f t="shared" si="14"/>
        <v>1184.8000000000002</v>
      </c>
      <c r="N37" s="54" t="s">
        <v>28</v>
      </c>
      <c r="O37" s="55" t="s">
        <v>28</v>
      </c>
      <c r="P37" s="93">
        <v>5.61</v>
      </c>
      <c r="Q37" s="53">
        <f t="shared" si="15"/>
        <v>5.8200000000000367</v>
      </c>
      <c r="R37" s="98">
        <f t="shared" si="16"/>
        <v>1185.0600000000002</v>
      </c>
      <c r="S37" s="44">
        <f t="shared" si="1"/>
        <v>5.87</v>
      </c>
      <c r="T37" s="44">
        <f t="shared" si="2"/>
        <v>5.61</v>
      </c>
      <c r="U37" s="44">
        <f t="shared" si="3"/>
        <v>0.25999999999999979</v>
      </c>
      <c r="V37" s="44">
        <f t="shared" si="9"/>
        <v>7.4300000000000006</v>
      </c>
    </row>
    <row r="38" spans="1:27">
      <c r="A38" s="56" t="s">
        <v>35</v>
      </c>
      <c r="B38" s="83">
        <v>1187.74</v>
      </c>
      <c r="C38" s="84">
        <v>1187.82</v>
      </c>
      <c r="D38" s="57">
        <f>C38-B38+15.2</f>
        <v>15.279999999999927</v>
      </c>
      <c r="E38" s="85">
        <f>G38-11</f>
        <v>4.2799999999999265</v>
      </c>
      <c r="F38" s="86">
        <f t="shared" si="10"/>
        <v>1183.54</v>
      </c>
      <c r="G38" s="62">
        <f t="shared" si="11"/>
        <v>15.279999999999927</v>
      </c>
      <c r="H38" s="63">
        <f t="shared" si="12"/>
        <v>1172.54</v>
      </c>
      <c r="I38" s="64" t="s">
        <v>28</v>
      </c>
      <c r="J38" s="65" t="s">
        <v>28</v>
      </c>
      <c r="K38" s="87">
        <v>4.4400000000000004</v>
      </c>
      <c r="L38" s="62">
        <f t="shared" si="13"/>
        <v>4.5199999999999276</v>
      </c>
      <c r="M38" s="63">
        <f t="shared" si="14"/>
        <v>1183.3</v>
      </c>
      <c r="N38" s="64" t="s">
        <v>28</v>
      </c>
      <c r="O38" s="65" t="s">
        <v>28</v>
      </c>
      <c r="P38" s="87">
        <v>4.8099999999999996</v>
      </c>
      <c r="Q38" s="62">
        <f t="shared" si="15"/>
        <v>4.8899999999999268</v>
      </c>
      <c r="R38" s="63">
        <f t="shared" si="16"/>
        <v>1182.93</v>
      </c>
      <c r="S38" s="44">
        <f t="shared" si="1"/>
        <v>4.8099999999999996</v>
      </c>
      <c r="T38" s="44">
        <f t="shared" si="2"/>
        <v>4.4400000000000004</v>
      </c>
      <c r="U38" s="44">
        <f t="shared" si="3"/>
        <v>0.36999999999999922</v>
      </c>
      <c r="V38" s="44">
        <f t="shared" si="9"/>
        <v>10.759999999999998</v>
      </c>
    </row>
    <row r="39" spans="1:27" ht="13.5" thickBot="1">
      <c r="A39" s="96" t="s">
        <v>36</v>
      </c>
      <c r="B39" s="69">
        <v>1184.23</v>
      </c>
      <c r="C39" s="99" t="s">
        <v>37</v>
      </c>
      <c r="D39" s="69" t="s">
        <v>37</v>
      </c>
      <c r="E39" s="70" t="s">
        <v>37</v>
      </c>
      <c r="F39" s="100" t="s">
        <v>37</v>
      </c>
      <c r="G39" s="101" t="s">
        <v>37</v>
      </c>
      <c r="H39" s="102" t="s">
        <v>37</v>
      </c>
      <c r="I39" s="103" t="s">
        <v>37</v>
      </c>
      <c r="J39" s="104" t="s">
        <v>37</v>
      </c>
      <c r="K39" s="104" t="s">
        <v>37</v>
      </c>
      <c r="L39" s="101" t="s">
        <v>37</v>
      </c>
      <c r="M39" s="102" t="s">
        <v>37</v>
      </c>
      <c r="N39" s="79" t="s">
        <v>28</v>
      </c>
      <c r="O39" s="80" t="s">
        <v>28</v>
      </c>
      <c r="P39" s="80">
        <v>3.83</v>
      </c>
      <c r="Q39" s="101" t="s">
        <v>37</v>
      </c>
      <c r="R39" s="73">
        <f>$B39+(4-P39)</f>
        <v>1184.4000000000001</v>
      </c>
      <c r="S39" s="44"/>
      <c r="T39" s="105"/>
      <c r="U39" s="44"/>
      <c r="V39" s="44"/>
    </row>
    <row r="40" spans="1:27">
      <c r="A40" s="106"/>
      <c r="B40" s="107"/>
      <c r="C40" s="107"/>
      <c r="D40" s="107"/>
      <c r="E40" s="107"/>
      <c r="F40" s="108"/>
      <c r="G40" s="109"/>
      <c r="H40" s="109"/>
      <c r="I40" s="110"/>
      <c r="J40" s="109"/>
      <c r="K40" s="109"/>
      <c r="L40" s="109"/>
      <c r="M40" s="109"/>
      <c r="N40" s="111"/>
      <c r="O40" s="107"/>
      <c r="P40" s="107"/>
      <c r="Q40" s="109"/>
      <c r="R40" s="107"/>
      <c r="S40" s="44"/>
      <c r="T40" s="105"/>
      <c r="U40" s="44"/>
      <c r="V40" s="44"/>
    </row>
    <row r="41" spans="1:27">
      <c r="A41" s="3" t="s">
        <v>38</v>
      </c>
      <c r="B41" s="3" t="s">
        <v>39</v>
      </c>
      <c r="U41" s="44"/>
      <c r="V41" s="44"/>
      <c r="W41"/>
      <c r="X41"/>
      <c r="Y41"/>
      <c r="Z41"/>
      <c r="AA41"/>
    </row>
    <row r="42" spans="1:27">
      <c r="A42" s="3" t="s">
        <v>40</v>
      </c>
      <c r="B42" s="3" t="s">
        <v>41</v>
      </c>
      <c r="V42" s="44"/>
      <c r="W42"/>
      <c r="X42"/>
      <c r="Y42"/>
      <c r="Z42"/>
      <c r="AA42"/>
    </row>
    <row r="43" spans="1:27">
      <c r="A43" s="81" t="s">
        <v>34</v>
      </c>
      <c r="B43" s="81" t="s">
        <v>42</v>
      </c>
      <c r="C43" s="81"/>
      <c r="D43" s="81"/>
      <c r="E43" s="81"/>
      <c r="F43" s="81"/>
      <c r="G43" s="81"/>
      <c r="H43" s="81"/>
      <c r="I43" s="81"/>
      <c r="V43" s="44"/>
      <c r="W43"/>
      <c r="X43"/>
      <c r="Y43"/>
      <c r="Z43"/>
      <c r="AA43"/>
    </row>
    <row r="44" spans="1:27">
      <c r="A44" s="81" t="s">
        <v>28</v>
      </c>
      <c r="B44" s="81" t="s">
        <v>43</v>
      </c>
      <c r="C44" s="81"/>
      <c r="D44" s="81"/>
      <c r="E44" s="81"/>
      <c r="F44" s="81"/>
      <c r="G44" s="81"/>
      <c r="H44" s="81"/>
      <c r="I44" s="81"/>
      <c r="V44" s="44"/>
      <c r="W44"/>
      <c r="X44"/>
      <c r="Y44"/>
      <c r="Z44"/>
      <c r="AA44"/>
    </row>
    <row r="45" spans="1:27">
      <c r="A45" s="81" t="s">
        <v>44</v>
      </c>
      <c r="B45" s="81" t="s">
        <v>45</v>
      </c>
      <c r="C45" s="81"/>
      <c r="D45" s="81"/>
      <c r="E45" s="81"/>
      <c r="F45" s="81"/>
      <c r="G45" s="81"/>
      <c r="H45" s="81"/>
      <c r="I45" s="81"/>
      <c r="S45" s="44"/>
      <c r="T45" s="44"/>
      <c r="V45" s="44"/>
      <c r="W45"/>
      <c r="X45"/>
      <c r="Y45"/>
      <c r="Z45"/>
      <c r="AA45"/>
    </row>
    <row r="46" spans="1:27">
      <c r="A46" s="112" t="s">
        <v>46</v>
      </c>
      <c r="B46" s="112" t="s">
        <v>47</v>
      </c>
      <c r="C46" s="112"/>
      <c r="D46" s="81"/>
      <c r="E46" s="81"/>
      <c r="F46" s="81"/>
      <c r="G46" s="81"/>
      <c r="H46" s="81"/>
      <c r="I46" s="81"/>
      <c r="S46" s="44"/>
      <c r="T46" s="44"/>
      <c r="V46" s="44"/>
      <c r="W46"/>
      <c r="X46"/>
      <c r="Y46"/>
      <c r="Z46"/>
      <c r="AA46"/>
    </row>
    <row r="47" spans="1:27" ht="13.5" thickBot="1">
      <c r="A47" s="113">
        <v>1</v>
      </c>
      <c r="B47" s="81" t="s">
        <v>48</v>
      </c>
      <c r="C47" s="81"/>
      <c r="D47" s="81"/>
      <c r="E47" s="81"/>
      <c r="F47" s="81"/>
      <c r="G47" s="81"/>
      <c r="H47" s="81"/>
      <c r="I47" s="81"/>
      <c r="J47" s="81"/>
      <c r="S47" s="44"/>
      <c r="T47" s="44"/>
      <c r="V47" s="44"/>
      <c r="W47"/>
      <c r="X47"/>
      <c r="Y47"/>
      <c r="Z47"/>
      <c r="AA47"/>
    </row>
    <row r="48" spans="1:27">
      <c r="A48" s="10"/>
      <c r="B48" s="196" t="s">
        <v>10</v>
      </c>
      <c r="C48" s="198" t="s">
        <v>11</v>
      </c>
      <c r="D48" s="198" t="s">
        <v>12</v>
      </c>
      <c r="E48" s="200" t="s">
        <v>13</v>
      </c>
      <c r="F48" s="201"/>
      <c r="G48" s="201"/>
      <c r="H48" s="202"/>
      <c r="I48" s="203">
        <v>40864</v>
      </c>
      <c r="J48" s="204"/>
      <c r="K48" s="204"/>
      <c r="L48" s="204"/>
      <c r="M48" s="205"/>
      <c r="N48" s="203">
        <v>40899</v>
      </c>
      <c r="O48" s="204"/>
      <c r="P48" s="204"/>
      <c r="Q48" s="204"/>
      <c r="R48" s="205"/>
      <c r="S48" s="44"/>
      <c r="T48" s="44"/>
      <c r="V48" s="44"/>
      <c r="W48"/>
      <c r="X48"/>
      <c r="Y48"/>
      <c r="Z48"/>
      <c r="AA48"/>
    </row>
    <row r="49" spans="1:27" ht="25.5">
      <c r="A49" s="11" t="s">
        <v>14</v>
      </c>
      <c r="B49" s="197"/>
      <c r="C49" s="199"/>
      <c r="D49" s="199"/>
      <c r="E49" s="206" t="s">
        <v>15</v>
      </c>
      <c r="F49" s="207"/>
      <c r="G49" s="207" t="s">
        <v>16</v>
      </c>
      <c r="H49" s="208"/>
      <c r="I49" s="12" t="s">
        <v>17</v>
      </c>
      <c r="J49" s="13" t="s">
        <v>18</v>
      </c>
      <c r="K49" s="209" t="s">
        <v>19</v>
      </c>
      <c r="L49" s="210"/>
      <c r="M49" s="14" t="s">
        <v>20</v>
      </c>
      <c r="N49" s="12" t="s">
        <v>17</v>
      </c>
      <c r="O49" s="13" t="s">
        <v>18</v>
      </c>
      <c r="P49" s="209" t="s">
        <v>19</v>
      </c>
      <c r="Q49" s="210"/>
      <c r="R49" s="14" t="s">
        <v>20</v>
      </c>
      <c r="V49" s="44"/>
      <c r="W49"/>
      <c r="X49"/>
      <c r="Y49"/>
      <c r="Z49"/>
      <c r="AA49"/>
    </row>
    <row r="50" spans="1:27" ht="16.5" thickBot="1">
      <c r="A50" s="16"/>
      <c r="B50" s="17" t="s">
        <v>49</v>
      </c>
      <c r="C50" s="18" t="s">
        <v>49</v>
      </c>
      <c r="D50" s="19" t="s">
        <v>22</v>
      </c>
      <c r="E50" s="20" t="s">
        <v>22</v>
      </c>
      <c r="F50" s="21" t="s">
        <v>23</v>
      </c>
      <c r="G50" s="22" t="s">
        <v>22</v>
      </c>
      <c r="H50" s="23" t="s">
        <v>23</v>
      </c>
      <c r="I50" s="24" t="s">
        <v>24</v>
      </c>
      <c r="J50" s="25" t="s">
        <v>25</v>
      </c>
      <c r="K50" s="26" t="s">
        <v>24</v>
      </c>
      <c r="L50" s="27" t="s">
        <v>22</v>
      </c>
      <c r="M50" s="28" t="s">
        <v>26</v>
      </c>
      <c r="N50" s="24" t="s">
        <v>24</v>
      </c>
      <c r="O50" s="25" t="s">
        <v>25</v>
      </c>
      <c r="P50" s="26" t="s">
        <v>24</v>
      </c>
      <c r="Q50" s="27" t="s">
        <v>22</v>
      </c>
      <c r="R50" s="28" t="s">
        <v>26</v>
      </c>
      <c r="V50" s="44"/>
      <c r="W50"/>
      <c r="X50"/>
      <c r="Y50"/>
      <c r="Z50"/>
      <c r="AA50"/>
    </row>
    <row r="51" spans="1:27">
      <c r="A51" s="31" t="s">
        <v>27</v>
      </c>
      <c r="B51" s="32">
        <v>1194.76</v>
      </c>
      <c r="C51" s="33">
        <v>1195.18</v>
      </c>
      <c r="D51" s="34">
        <f>C51-B51+16.3</f>
        <v>16.720000000000073</v>
      </c>
      <c r="E51" s="35">
        <f>G51-12</f>
        <v>4.7200000000000735</v>
      </c>
      <c r="F51" s="36">
        <f t="shared" ref="F51:F63" si="17">+C51-E51</f>
        <v>1190.46</v>
      </c>
      <c r="G51" s="36">
        <f t="shared" ref="G51:G63" si="18">D51</f>
        <v>16.720000000000073</v>
      </c>
      <c r="H51" s="37">
        <f t="shared" ref="H51:H63" si="19">+C51-G51</f>
        <v>1178.46</v>
      </c>
      <c r="I51" s="42" t="s">
        <v>28</v>
      </c>
      <c r="J51" s="43" t="s">
        <v>28</v>
      </c>
      <c r="K51" s="40">
        <v>7.45</v>
      </c>
      <c r="L51" s="41">
        <f t="shared" ref="L51:L63" si="20">+($C51-$B51)+K51</f>
        <v>7.8700000000000729</v>
      </c>
      <c r="M51" s="37">
        <f t="shared" ref="M51:M56" si="21">$B51-K51</f>
        <v>1187.31</v>
      </c>
      <c r="N51" s="42" t="s">
        <v>28</v>
      </c>
      <c r="O51" s="43" t="s">
        <v>28</v>
      </c>
      <c r="P51" s="40">
        <v>7.43</v>
      </c>
      <c r="Q51" s="41">
        <f t="shared" ref="Q51:Q63" si="22">+($C51-$B51)+P51</f>
        <v>7.8500000000000725</v>
      </c>
      <c r="R51" s="37">
        <f t="shared" ref="R51:R63" si="23">$B51-P51</f>
        <v>1187.33</v>
      </c>
      <c r="V51" s="44">
        <f t="shared" ref="V51:V63" si="24">G51-L51</f>
        <v>8.8500000000000014</v>
      </c>
      <c r="W51" s="44">
        <f>G51-Q51</f>
        <v>8.870000000000001</v>
      </c>
      <c r="X51"/>
      <c r="Y51"/>
      <c r="Z51"/>
      <c r="AA51"/>
    </row>
    <row r="52" spans="1:27">
      <c r="A52" s="46" t="s">
        <v>29</v>
      </c>
      <c r="B52" s="47">
        <v>1192.58</v>
      </c>
      <c r="C52" s="33">
        <v>1192.92</v>
      </c>
      <c r="D52" s="48">
        <f>C52-B52+12.42</f>
        <v>12.760000000000145</v>
      </c>
      <c r="E52" s="49">
        <f>G52-9</f>
        <v>3.7600000000001454</v>
      </c>
      <c r="F52" s="33">
        <f t="shared" si="17"/>
        <v>1189.1599999999999</v>
      </c>
      <c r="G52" s="33">
        <f t="shared" si="18"/>
        <v>12.760000000000145</v>
      </c>
      <c r="H52" s="50">
        <f t="shared" si="19"/>
        <v>1180.1599999999999</v>
      </c>
      <c r="I52" s="54" t="s">
        <v>28</v>
      </c>
      <c r="J52" s="55" t="s">
        <v>28</v>
      </c>
      <c r="K52" s="53">
        <v>7.49</v>
      </c>
      <c r="L52" s="53">
        <f t="shared" si="20"/>
        <v>7.8300000000001457</v>
      </c>
      <c r="M52" s="50">
        <f t="shared" si="21"/>
        <v>1185.0899999999999</v>
      </c>
      <c r="N52" s="54" t="s">
        <v>28</v>
      </c>
      <c r="O52" s="55" t="s">
        <v>28</v>
      </c>
      <c r="P52" s="53">
        <v>7.76</v>
      </c>
      <c r="Q52" s="53">
        <f t="shared" si="22"/>
        <v>8.1000000000001453</v>
      </c>
      <c r="R52" s="50">
        <f t="shared" si="23"/>
        <v>1184.82</v>
      </c>
      <c r="T52" s="44"/>
      <c r="V52" s="44">
        <f t="shared" si="24"/>
        <v>4.93</v>
      </c>
      <c r="W52" s="44">
        <f t="shared" ref="W52:W63" si="25">G52-Q52</f>
        <v>4.66</v>
      </c>
      <c r="X52"/>
      <c r="Y52"/>
      <c r="Z52"/>
      <c r="AA52"/>
    </row>
    <row r="53" spans="1:27">
      <c r="A53" s="56" t="s">
        <v>30</v>
      </c>
      <c r="B53" s="57">
        <v>1191.2</v>
      </c>
      <c r="C53" s="58">
        <v>1191.5999999999999</v>
      </c>
      <c r="D53" s="59">
        <f>C53-B53+13.42</f>
        <v>13.819999999999864</v>
      </c>
      <c r="E53" s="49">
        <f>G53-10</f>
        <v>3.8199999999998635</v>
      </c>
      <c r="F53" s="33">
        <f t="shared" si="17"/>
        <v>1187.78</v>
      </c>
      <c r="G53" s="33">
        <f t="shared" si="18"/>
        <v>13.819999999999864</v>
      </c>
      <c r="H53" s="50">
        <f t="shared" si="19"/>
        <v>1177.78</v>
      </c>
      <c r="I53" s="64" t="s">
        <v>28</v>
      </c>
      <c r="J53" s="65" t="s">
        <v>28</v>
      </c>
      <c r="K53" s="62">
        <v>8.64</v>
      </c>
      <c r="L53" s="62">
        <f t="shared" si="20"/>
        <v>9.0399999999998641</v>
      </c>
      <c r="M53" s="63">
        <f t="shared" si="21"/>
        <v>1182.56</v>
      </c>
      <c r="N53" s="64" t="s">
        <v>28</v>
      </c>
      <c r="O53" s="65" t="s">
        <v>28</v>
      </c>
      <c r="P53" s="62">
        <v>8.07</v>
      </c>
      <c r="Q53" s="62">
        <f t="shared" si="22"/>
        <v>8.4699999999998639</v>
      </c>
      <c r="R53" s="63">
        <f t="shared" si="23"/>
        <v>1183.1300000000001</v>
      </c>
      <c r="T53" s="44"/>
      <c r="V53" s="44">
        <f t="shared" si="24"/>
        <v>4.7799999999999994</v>
      </c>
      <c r="W53" s="44">
        <f t="shared" si="25"/>
        <v>5.35</v>
      </c>
      <c r="X53"/>
      <c r="Y53"/>
      <c r="Z53"/>
      <c r="AA53"/>
    </row>
    <row r="54" spans="1:27">
      <c r="A54" s="46" t="s">
        <v>31</v>
      </c>
      <c r="B54" s="47">
        <v>1189.9000000000001</v>
      </c>
      <c r="C54" s="49">
        <v>1190.28</v>
      </c>
      <c r="D54" s="48">
        <f>C54-B54+13.65</f>
        <v>14.029999999999882</v>
      </c>
      <c r="E54" s="49">
        <f>G54-10</f>
        <v>4.0299999999998821</v>
      </c>
      <c r="F54" s="33">
        <f t="shared" si="17"/>
        <v>1186.25</v>
      </c>
      <c r="G54" s="33">
        <f t="shared" si="18"/>
        <v>14.029999999999882</v>
      </c>
      <c r="H54" s="50">
        <f t="shared" si="19"/>
        <v>1176.25</v>
      </c>
      <c r="I54" s="54" t="s">
        <v>28</v>
      </c>
      <c r="J54" s="55" t="s">
        <v>28</v>
      </c>
      <c r="K54" s="53">
        <v>7.36</v>
      </c>
      <c r="L54" s="53">
        <f t="shared" si="20"/>
        <v>7.7399999999998821</v>
      </c>
      <c r="M54" s="50">
        <f t="shared" si="21"/>
        <v>1182.5400000000002</v>
      </c>
      <c r="N54" s="54" t="s">
        <v>28</v>
      </c>
      <c r="O54" s="55" t="s">
        <v>28</v>
      </c>
      <c r="P54" s="53">
        <v>6.97</v>
      </c>
      <c r="Q54" s="53">
        <f t="shared" si="22"/>
        <v>7.3499999999998815</v>
      </c>
      <c r="R54" s="50">
        <f t="shared" si="23"/>
        <v>1182.93</v>
      </c>
      <c r="T54" s="44"/>
      <c r="V54" s="44">
        <f t="shared" si="24"/>
        <v>6.29</v>
      </c>
      <c r="W54" s="44">
        <f t="shared" si="25"/>
        <v>6.6800000000000006</v>
      </c>
      <c r="X54"/>
      <c r="Y54"/>
      <c r="Z54"/>
      <c r="AA54"/>
    </row>
    <row r="55" spans="1:27">
      <c r="A55" s="82" t="s">
        <v>32</v>
      </c>
      <c r="B55" s="83">
        <v>1192.17</v>
      </c>
      <c r="C55" s="84">
        <v>1192.48</v>
      </c>
      <c r="D55" s="57">
        <f>C55-B55+13.55</f>
        <v>13.859999999999946</v>
      </c>
      <c r="E55" s="85">
        <f>G55-10</f>
        <v>3.8599999999999461</v>
      </c>
      <c r="F55" s="86">
        <f t="shared" si="17"/>
        <v>1188.6200000000001</v>
      </c>
      <c r="G55" s="62">
        <f t="shared" si="18"/>
        <v>13.859999999999946</v>
      </c>
      <c r="H55" s="63">
        <f t="shared" si="19"/>
        <v>1178.6200000000001</v>
      </c>
      <c r="I55" s="64" t="s">
        <v>28</v>
      </c>
      <c r="J55" s="65" t="s">
        <v>28</v>
      </c>
      <c r="K55" s="87">
        <v>9.73</v>
      </c>
      <c r="L55" s="88">
        <f t="shared" si="20"/>
        <v>10.039999999999946</v>
      </c>
      <c r="M55" s="89">
        <f t="shared" si="21"/>
        <v>1182.44</v>
      </c>
      <c r="N55" s="64" t="s">
        <v>28</v>
      </c>
      <c r="O55" s="65" t="s">
        <v>28</v>
      </c>
      <c r="P55" s="87">
        <v>9.15</v>
      </c>
      <c r="Q55" s="88">
        <f t="shared" si="22"/>
        <v>9.4599999999999458</v>
      </c>
      <c r="R55" s="89">
        <f t="shared" si="23"/>
        <v>1183.02</v>
      </c>
      <c r="T55" s="114"/>
      <c r="V55" s="44">
        <f t="shared" si="24"/>
        <v>3.8200000000000003</v>
      </c>
      <c r="W55" s="44">
        <f t="shared" si="25"/>
        <v>4.4000000000000004</v>
      </c>
      <c r="X55"/>
      <c r="Y55"/>
      <c r="Z55"/>
      <c r="AA55"/>
    </row>
    <row r="56" spans="1:27">
      <c r="A56" s="46" t="s">
        <v>33</v>
      </c>
      <c r="B56" s="90">
        <v>1190.67</v>
      </c>
      <c r="C56" s="91">
        <v>1190.8800000000001</v>
      </c>
      <c r="D56" s="47">
        <f>C56-B56+13.3</f>
        <v>13.510000000000037</v>
      </c>
      <c r="E56" s="92">
        <f>G56-9.5</f>
        <v>4.0100000000000371</v>
      </c>
      <c r="F56" s="33">
        <f t="shared" si="17"/>
        <v>1186.8700000000001</v>
      </c>
      <c r="G56" s="53">
        <f t="shared" si="18"/>
        <v>13.510000000000037</v>
      </c>
      <c r="H56" s="50">
        <f t="shared" si="19"/>
        <v>1177.3700000000001</v>
      </c>
      <c r="I56" s="54" t="s">
        <v>28</v>
      </c>
      <c r="J56" s="55" t="s">
        <v>28</v>
      </c>
      <c r="K56" s="93">
        <v>6.31</v>
      </c>
      <c r="L56" s="53">
        <f t="shared" si="20"/>
        <v>6.520000000000036</v>
      </c>
      <c r="M56" s="98">
        <f t="shared" si="21"/>
        <v>1184.3600000000001</v>
      </c>
      <c r="N56" s="54" t="s">
        <v>28</v>
      </c>
      <c r="O56" s="55" t="s">
        <v>28</v>
      </c>
      <c r="P56" s="93">
        <v>6.09</v>
      </c>
      <c r="Q56" s="53">
        <f t="shared" si="22"/>
        <v>6.3000000000000362</v>
      </c>
      <c r="R56" s="98">
        <f t="shared" si="23"/>
        <v>1184.5800000000002</v>
      </c>
      <c r="V56" s="44">
        <f t="shared" si="24"/>
        <v>6.9900000000000011</v>
      </c>
      <c r="W56" s="44">
        <f t="shared" si="25"/>
        <v>7.2100000000000009</v>
      </c>
      <c r="X56"/>
      <c r="Y56"/>
      <c r="Z56"/>
      <c r="AA56"/>
    </row>
    <row r="57" spans="1:27">
      <c r="A57" s="56" t="s">
        <v>35</v>
      </c>
      <c r="B57" s="83">
        <v>1187.74</v>
      </c>
      <c r="C57" s="84">
        <v>1187.82</v>
      </c>
      <c r="D57" s="57">
        <f>C57-B57+15.2</f>
        <v>15.279999999999927</v>
      </c>
      <c r="E57" s="85">
        <f>G57-11</f>
        <v>4.2799999999999265</v>
      </c>
      <c r="F57" s="86">
        <f t="shared" si="17"/>
        <v>1183.54</v>
      </c>
      <c r="G57" s="62">
        <f t="shared" si="18"/>
        <v>15.279999999999927</v>
      </c>
      <c r="H57" s="63">
        <f t="shared" si="19"/>
        <v>1172.54</v>
      </c>
      <c r="I57" s="64" t="s">
        <v>28</v>
      </c>
      <c r="J57" s="65" t="s">
        <v>28</v>
      </c>
      <c r="K57" s="87">
        <v>5.47</v>
      </c>
      <c r="L57" s="62">
        <f t="shared" si="20"/>
        <v>5.549999999999927</v>
      </c>
      <c r="M57" s="63">
        <f>$B57-K57</f>
        <v>1182.27</v>
      </c>
      <c r="N57" s="64" t="s">
        <v>28</v>
      </c>
      <c r="O57" s="65" t="s">
        <v>28</v>
      </c>
      <c r="P57" s="87">
        <v>5.01</v>
      </c>
      <c r="Q57" s="62">
        <f t="shared" si="22"/>
        <v>5.089999999999927</v>
      </c>
      <c r="R57" s="63">
        <f t="shared" si="23"/>
        <v>1182.73</v>
      </c>
      <c r="V57" s="44">
        <f t="shared" si="24"/>
        <v>9.73</v>
      </c>
      <c r="W57" s="44">
        <f t="shared" si="25"/>
        <v>10.19</v>
      </c>
      <c r="X57"/>
      <c r="Y57"/>
      <c r="Z57"/>
      <c r="AA57"/>
    </row>
    <row r="58" spans="1:27">
      <c r="A58" s="56" t="s">
        <v>50</v>
      </c>
      <c r="B58" s="83">
        <v>1187.68</v>
      </c>
      <c r="C58" s="84">
        <v>1188.3800000000001</v>
      </c>
      <c r="D58" s="57">
        <f>C58-B58+12.61</f>
        <v>13.310000000000045</v>
      </c>
      <c r="E58" s="85">
        <f>G58-11</f>
        <v>2.3100000000000449</v>
      </c>
      <c r="F58" s="86">
        <f t="shared" si="17"/>
        <v>1186.0700000000002</v>
      </c>
      <c r="G58" s="62">
        <f t="shared" si="18"/>
        <v>13.310000000000045</v>
      </c>
      <c r="H58" s="63">
        <f t="shared" si="19"/>
        <v>1175.0700000000002</v>
      </c>
      <c r="I58" s="64" t="s">
        <v>28</v>
      </c>
      <c r="J58" s="65" t="s">
        <v>28</v>
      </c>
      <c r="K58" s="87">
        <v>4.05</v>
      </c>
      <c r="L58" s="62">
        <f t="shared" si="20"/>
        <v>4.7500000000000453</v>
      </c>
      <c r="M58" s="63">
        <f t="shared" ref="M58:M63" si="26">$B58-K58</f>
        <v>1183.6300000000001</v>
      </c>
      <c r="N58" s="64" t="s">
        <v>28</v>
      </c>
      <c r="O58" s="65" t="s">
        <v>28</v>
      </c>
      <c r="P58" s="87">
        <v>3.75</v>
      </c>
      <c r="Q58" s="62">
        <f t="shared" si="22"/>
        <v>4.4500000000000455</v>
      </c>
      <c r="R58" s="63">
        <f t="shared" si="23"/>
        <v>1183.93</v>
      </c>
      <c r="V58" s="44">
        <f t="shared" si="24"/>
        <v>8.5599999999999987</v>
      </c>
      <c r="W58" s="44">
        <f t="shared" si="25"/>
        <v>8.86</v>
      </c>
      <c r="X58"/>
      <c r="Y58"/>
      <c r="Z58"/>
      <c r="AA58"/>
    </row>
    <row r="59" spans="1:27">
      <c r="A59" s="56" t="s">
        <v>51</v>
      </c>
      <c r="B59" s="83">
        <v>1184.0899999999999</v>
      </c>
      <c r="C59" s="115">
        <v>1184.5999999999999</v>
      </c>
      <c r="D59" s="57">
        <f>C59-B59+10.73</f>
        <v>11.239999999999991</v>
      </c>
      <c r="E59" s="85">
        <f>G59-8</f>
        <v>3.2399999999999913</v>
      </c>
      <c r="F59" s="86">
        <f t="shared" si="17"/>
        <v>1181.3599999999999</v>
      </c>
      <c r="G59" s="62">
        <f t="shared" si="18"/>
        <v>11.239999999999991</v>
      </c>
      <c r="H59" s="63">
        <f t="shared" si="19"/>
        <v>1173.3599999999999</v>
      </c>
      <c r="I59" s="64" t="s">
        <v>28</v>
      </c>
      <c r="J59" s="65" t="s">
        <v>28</v>
      </c>
      <c r="K59" s="87">
        <v>4.12</v>
      </c>
      <c r="L59" s="62">
        <f t="shared" si="20"/>
        <v>4.629999999999991</v>
      </c>
      <c r="M59" s="63">
        <f t="shared" si="26"/>
        <v>1179.97</v>
      </c>
      <c r="N59" s="64" t="s">
        <v>28</v>
      </c>
      <c r="O59" s="65" t="s">
        <v>28</v>
      </c>
      <c r="P59" s="87">
        <v>3.95</v>
      </c>
      <c r="Q59" s="62">
        <f t="shared" si="22"/>
        <v>4.4599999999999911</v>
      </c>
      <c r="R59" s="63">
        <f t="shared" si="23"/>
        <v>1180.1399999999999</v>
      </c>
      <c r="V59" s="44">
        <f t="shared" si="24"/>
        <v>6.61</v>
      </c>
      <c r="W59" s="44">
        <f t="shared" si="25"/>
        <v>6.78</v>
      </c>
      <c r="X59"/>
      <c r="Y59"/>
      <c r="Z59"/>
      <c r="AA59"/>
    </row>
    <row r="60" spans="1:27">
      <c r="A60" s="56" t="s">
        <v>52</v>
      </c>
      <c r="B60" s="83">
        <v>1192.1099999999999</v>
      </c>
      <c r="C60" s="84">
        <v>1192.6500000000001</v>
      </c>
      <c r="D60" s="57">
        <f>C60-B60+15</f>
        <v>15.540000000000191</v>
      </c>
      <c r="E60" s="85">
        <f>G60-12</f>
        <v>3.540000000000191</v>
      </c>
      <c r="F60" s="86">
        <f t="shared" si="17"/>
        <v>1189.1099999999999</v>
      </c>
      <c r="G60" s="62">
        <f t="shared" si="18"/>
        <v>15.540000000000191</v>
      </c>
      <c r="H60" s="63">
        <f t="shared" si="19"/>
        <v>1177.1099999999999</v>
      </c>
      <c r="I60" s="64" t="s">
        <v>28</v>
      </c>
      <c r="J60" s="65" t="s">
        <v>28</v>
      </c>
      <c r="K60" s="87">
        <v>9.48</v>
      </c>
      <c r="L60" s="62">
        <f t="shared" si="20"/>
        <v>10.020000000000191</v>
      </c>
      <c r="M60" s="63">
        <f t="shared" si="26"/>
        <v>1182.6299999999999</v>
      </c>
      <c r="N60" s="64" t="s">
        <v>28</v>
      </c>
      <c r="O60" s="65" t="s">
        <v>28</v>
      </c>
      <c r="P60" s="87">
        <v>9.24</v>
      </c>
      <c r="Q60" s="62">
        <f t="shared" si="22"/>
        <v>9.7800000000001912</v>
      </c>
      <c r="R60" s="63">
        <f t="shared" si="23"/>
        <v>1182.8699999999999</v>
      </c>
      <c r="V60" s="44">
        <f t="shared" si="24"/>
        <v>5.52</v>
      </c>
      <c r="W60" s="44">
        <f t="shared" si="25"/>
        <v>5.76</v>
      </c>
      <c r="X60"/>
      <c r="Y60"/>
      <c r="Z60"/>
      <c r="AA60"/>
    </row>
    <row r="61" spans="1:27">
      <c r="A61" s="56" t="s">
        <v>53</v>
      </c>
      <c r="B61" s="83">
        <v>1193.8699999999999</v>
      </c>
      <c r="C61" s="84">
        <v>1194.3599999999999</v>
      </c>
      <c r="D61" s="57">
        <f>C61-B61+10.7</f>
        <v>11.190000000000008</v>
      </c>
      <c r="E61" s="85">
        <f>G61-7</f>
        <v>4.1900000000000084</v>
      </c>
      <c r="F61" s="86">
        <f t="shared" si="17"/>
        <v>1190.1699999999998</v>
      </c>
      <c r="G61" s="62">
        <f t="shared" si="18"/>
        <v>11.190000000000008</v>
      </c>
      <c r="H61" s="63">
        <f t="shared" si="19"/>
        <v>1183.1699999999998</v>
      </c>
      <c r="I61" s="64" t="s">
        <v>28</v>
      </c>
      <c r="J61" s="65" t="s">
        <v>28</v>
      </c>
      <c r="K61" s="87">
        <v>3.65</v>
      </c>
      <c r="L61" s="62">
        <f t="shared" si="20"/>
        <v>4.1400000000000095</v>
      </c>
      <c r="M61" s="63">
        <f t="shared" si="26"/>
        <v>1190.2199999999998</v>
      </c>
      <c r="N61" s="64" t="s">
        <v>28</v>
      </c>
      <c r="O61" s="65" t="s">
        <v>28</v>
      </c>
      <c r="P61" s="87">
        <v>3.91</v>
      </c>
      <c r="Q61" s="62">
        <f t="shared" si="22"/>
        <v>4.4000000000000092</v>
      </c>
      <c r="R61" s="63">
        <f t="shared" si="23"/>
        <v>1189.9599999999998</v>
      </c>
      <c r="V61" s="44">
        <f t="shared" si="24"/>
        <v>7.0499999999999989</v>
      </c>
      <c r="W61" s="44">
        <f t="shared" si="25"/>
        <v>6.7899999999999991</v>
      </c>
      <c r="X61"/>
      <c r="Y61"/>
      <c r="Z61"/>
      <c r="AA61"/>
    </row>
    <row r="62" spans="1:27">
      <c r="A62" s="56" t="s">
        <v>54</v>
      </c>
      <c r="B62" s="83">
        <v>1185.1099999999999</v>
      </c>
      <c r="C62" s="84">
        <v>1185.55</v>
      </c>
      <c r="D62" s="57">
        <f>C62-B62+12.48</f>
        <v>12.920000000000055</v>
      </c>
      <c r="E62" s="85">
        <f>G62-9</f>
        <v>3.920000000000055</v>
      </c>
      <c r="F62" s="86">
        <f t="shared" si="17"/>
        <v>1181.6299999999999</v>
      </c>
      <c r="G62" s="62">
        <f t="shared" si="18"/>
        <v>12.920000000000055</v>
      </c>
      <c r="H62" s="63">
        <f t="shared" si="19"/>
        <v>1172.6299999999999</v>
      </c>
      <c r="I62" s="64" t="s">
        <v>28</v>
      </c>
      <c r="J62" s="65" t="s">
        <v>28</v>
      </c>
      <c r="K62" s="87">
        <v>3.33</v>
      </c>
      <c r="L62" s="62">
        <f t="shared" si="20"/>
        <v>3.7700000000000546</v>
      </c>
      <c r="M62" s="63">
        <f t="shared" si="26"/>
        <v>1181.78</v>
      </c>
      <c r="N62" s="64" t="s">
        <v>28</v>
      </c>
      <c r="O62" s="65" t="s">
        <v>28</v>
      </c>
      <c r="P62" s="65">
        <v>3.2</v>
      </c>
      <c r="Q62" s="62">
        <f t="shared" si="22"/>
        <v>3.6400000000000547</v>
      </c>
      <c r="R62" s="63">
        <f t="shared" si="23"/>
        <v>1181.9099999999999</v>
      </c>
      <c r="V62" s="44">
        <f t="shared" si="24"/>
        <v>9.15</v>
      </c>
      <c r="W62" s="44">
        <f t="shared" si="25"/>
        <v>9.2800000000000011</v>
      </c>
      <c r="X62"/>
      <c r="Y62"/>
      <c r="Z62"/>
      <c r="AA62"/>
    </row>
    <row r="63" spans="1:27">
      <c r="A63" s="56" t="s">
        <v>55</v>
      </c>
      <c r="B63" s="83">
        <v>1189.1600000000001</v>
      </c>
      <c r="C63" s="84">
        <v>1189.76</v>
      </c>
      <c r="D63" s="57">
        <f>C63-B63+15.13</f>
        <v>15.72999999999991</v>
      </c>
      <c r="E63" s="85">
        <f>G63-12</f>
        <v>3.7299999999999098</v>
      </c>
      <c r="F63" s="86">
        <f t="shared" si="17"/>
        <v>1186.03</v>
      </c>
      <c r="G63" s="62">
        <f t="shared" si="18"/>
        <v>15.72999999999991</v>
      </c>
      <c r="H63" s="63">
        <f t="shared" si="19"/>
        <v>1174.03</v>
      </c>
      <c r="I63" s="64" t="s">
        <v>28</v>
      </c>
      <c r="J63" s="65" t="s">
        <v>28</v>
      </c>
      <c r="K63" s="87">
        <v>6.53</v>
      </c>
      <c r="L63" s="62">
        <f t="shared" si="20"/>
        <v>7.1299999999999093</v>
      </c>
      <c r="M63" s="63">
        <f t="shared" si="26"/>
        <v>1182.6300000000001</v>
      </c>
      <c r="N63" s="64" t="s">
        <v>28</v>
      </c>
      <c r="O63" s="65" t="s">
        <v>28</v>
      </c>
      <c r="P63" s="65">
        <v>6.3</v>
      </c>
      <c r="Q63" s="62">
        <f t="shared" si="22"/>
        <v>6.8999999999999089</v>
      </c>
      <c r="R63" s="63">
        <f t="shared" si="23"/>
        <v>1182.8600000000001</v>
      </c>
      <c r="V63" s="44">
        <f t="shared" si="24"/>
        <v>8.6000000000000014</v>
      </c>
      <c r="W63" s="44">
        <f t="shared" si="25"/>
        <v>8.8300000000000018</v>
      </c>
      <c r="X63"/>
      <c r="Y63"/>
      <c r="Z63"/>
      <c r="AA63"/>
    </row>
    <row r="64" spans="1:27" ht="12.75" customHeight="1" thickBot="1">
      <c r="A64" s="96" t="s">
        <v>36</v>
      </c>
      <c r="B64" s="69">
        <v>1184.23</v>
      </c>
      <c r="C64" s="99" t="s">
        <v>37</v>
      </c>
      <c r="D64" s="69" t="s">
        <v>37</v>
      </c>
      <c r="E64" s="70" t="s">
        <v>37</v>
      </c>
      <c r="F64" s="100" t="s">
        <v>37</v>
      </c>
      <c r="G64" s="101" t="s">
        <v>37</v>
      </c>
      <c r="H64" s="102" t="s">
        <v>37</v>
      </c>
      <c r="I64" s="103" t="s">
        <v>37</v>
      </c>
      <c r="J64" s="104" t="s">
        <v>37</v>
      </c>
      <c r="K64" s="104">
        <v>4.3</v>
      </c>
      <c r="L64" s="101" t="s">
        <v>37</v>
      </c>
      <c r="M64" s="102">
        <f>$B64-K64</f>
        <v>1179.93</v>
      </c>
      <c r="N64" s="103" t="s">
        <v>37</v>
      </c>
      <c r="O64" s="104" t="s">
        <v>37</v>
      </c>
      <c r="P64" s="104">
        <v>4.0199999999999996</v>
      </c>
      <c r="Q64" s="101" t="s">
        <v>37</v>
      </c>
      <c r="R64" s="102">
        <f>$B64-P64</f>
        <v>1180.21</v>
      </c>
      <c r="W64"/>
      <c r="X64"/>
      <c r="Y64"/>
      <c r="Z64"/>
      <c r="AA64"/>
    </row>
    <row r="65" spans="1:27">
      <c r="A65" s="106"/>
      <c r="B65" s="107"/>
      <c r="C65" s="107"/>
      <c r="D65" s="107"/>
      <c r="E65" s="107"/>
      <c r="F65" s="108"/>
      <c r="G65" s="109"/>
      <c r="H65" s="109"/>
      <c r="I65" s="110"/>
      <c r="J65" s="109"/>
      <c r="K65" s="109"/>
      <c r="L65" s="109"/>
      <c r="M65" s="109"/>
      <c r="S65" s="44"/>
      <c r="W65"/>
      <c r="X65"/>
      <c r="Y65"/>
      <c r="Z65"/>
      <c r="AA65"/>
    </row>
    <row r="66" spans="1:27">
      <c r="A66" s="3" t="s">
        <v>38</v>
      </c>
      <c r="B66" s="3" t="s">
        <v>39</v>
      </c>
      <c r="T66" s="44"/>
      <c r="W66"/>
      <c r="X66"/>
      <c r="Y66"/>
      <c r="Z66"/>
      <c r="AA66"/>
    </row>
    <row r="67" spans="1:27">
      <c r="A67" s="3" t="s">
        <v>40</v>
      </c>
      <c r="B67" s="3" t="s">
        <v>41</v>
      </c>
      <c r="S67" s="44"/>
      <c r="T67" s="44"/>
      <c r="W67"/>
      <c r="X67"/>
      <c r="Y67"/>
      <c r="Z67"/>
      <c r="AA67"/>
    </row>
    <row r="68" spans="1:27">
      <c r="A68" s="81" t="s">
        <v>34</v>
      </c>
      <c r="B68" s="81" t="s">
        <v>42</v>
      </c>
      <c r="C68" s="81"/>
      <c r="D68" s="81"/>
      <c r="E68" s="81"/>
      <c r="F68" s="81"/>
      <c r="G68" s="81"/>
      <c r="H68" s="81"/>
      <c r="I68" s="81"/>
      <c r="S68" s="44"/>
      <c r="T68" s="44"/>
      <c r="W68"/>
      <c r="X68"/>
      <c r="Y68"/>
      <c r="Z68"/>
      <c r="AA68"/>
    </row>
    <row r="69" spans="1:27">
      <c r="A69" s="81" t="s">
        <v>28</v>
      </c>
      <c r="B69" s="81" t="s">
        <v>43</v>
      </c>
      <c r="C69" s="81"/>
      <c r="D69" s="81"/>
      <c r="E69" s="81"/>
      <c r="F69" s="81"/>
      <c r="G69" s="81"/>
      <c r="H69" s="81"/>
      <c r="I69" s="81"/>
      <c r="S69" s="44"/>
      <c r="T69" s="44"/>
      <c r="W69"/>
      <c r="X69"/>
      <c r="Y69"/>
      <c r="Z69"/>
      <c r="AA69"/>
    </row>
    <row r="70" spans="1:27">
      <c r="A70" s="81" t="s">
        <v>44</v>
      </c>
      <c r="B70" s="81" t="s">
        <v>45</v>
      </c>
      <c r="C70" s="81"/>
      <c r="D70" s="81"/>
      <c r="E70" s="81"/>
      <c r="F70" s="81"/>
      <c r="G70" s="81"/>
      <c r="H70" s="81"/>
      <c r="I70" s="81"/>
      <c r="S70" s="114"/>
      <c r="T70" s="114"/>
      <c r="W70"/>
      <c r="X70"/>
      <c r="Y70"/>
      <c r="Z70"/>
      <c r="AA70"/>
    </row>
    <row r="71" spans="1:27" ht="12.75" customHeight="1">
      <c r="A71" s="112" t="s">
        <v>46</v>
      </c>
      <c r="B71" s="112" t="s">
        <v>47</v>
      </c>
      <c r="C71" s="112"/>
      <c r="D71" s="81"/>
      <c r="E71" s="81"/>
      <c r="F71" s="81"/>
      <c r="G71" s="81"/>
      <c r="H71" s="81"/>
      <c r="I71" s="81"/>
      <c r="W71"/>
      <c r="X71"/>
      <c r="Y71"/>
      <c r="Z71"/>
      <c r="AA71"/>
    </row>
    <row r="72" spans="1:27">
      <c r="A72" s="113">
        <v>1</v>
      </c>
      <c r="B72" s="81" t="s">
        <v>48</v>
      </c>
      <c r="C72" s="81"/>
      <c r="D72" s="81"/>
      <c r="E72" s="81"/>
      <c r="F72" s="81"/>
      <c r="G72" s="81"/>
      <c r="H72" s="81"/>
      <c r="I72" s="81"/>
      <c r="J72" s="81"/>
      <c r="W72"/>
      <c r="X72"/>
      <c r="Y72"/>
      <c r="Z72"/>
      <c r="AA72"/>
    </row>
    <row r="73" spans="1:27" ht="13.5" thickBot="1">
      <c r="A73" s="113">
        <v>2</v>
      </c>
      <c r="B73" s="81" t="s">
        <v>56</v>
      </c>
      <c r="C73" s="81"/>
      <c r="D73" s="81"/>
      <c r="E73" s="81"/>
      <c r="F73" s="81"/>
      <c r="G73" s="81"/>
      <c r="H73" s="81"/>
      <c r="I73" s="81"/>
      <c r="J73" s="81"/>
      <c r="W73"/>
      <c r="X73"/>
      <c r="Y73"/>
      <c r="Z73"/>
      <c r="AA73"/>
    </row>
    <row r="74" spans="1:27">
      <c r="A74" s="10"/>
      <c r="B74" s="196" t="s">
        <v>10</v>
      </c>
      <c r="C74" s="198" t="s">
        <v>11</v>
      </c>
      <c r="D74" s="198" t="s">
        <v>12</v>
      </c>
      <c r="E74" s="200" t="s">
        <v>13</v>
      </c>
      <c r="F74" s="201"/>
      <c r="G74" s="201"/>
      <c r="H74" s="202"/>
      <c r="I74" s="203">
        <v>41080</v>
      </c>
      <c r="J74" s="204"/>
      <c r="K74" s="204"/>
      <c r="L74" s="204"/>
      <c r="M74" s="205"/>
      <c r="N74" s="203">
        <v>41108</v>
      </c>
      <c r="O74" s="204"/>
      <c r="P74" s="204"/>
      <c r="Q74" s="204"/>
      <c r="R74" s="205"/>
    </row>
    <row r="75" spans="1:27" ht="25.5">
      <c r="A75" s="11" t="s">
        <v>14</v>
      </c>
      <c r="B75" s="197"/>
      <c r="C75" s="199"/>
      <c r="D75" s="199"/>
      <c r="E75" s="206" t="s">
        <v>15</v>
      </c>
      <c r="F75" s="207"/>
      <c r="G75" s="207" t="s">
        <v>16</v>
      </c>
      <c r="H75" s="208"/>
      <c r="I75" s="12" t="s">
        <v>17</v>
      </c>
      <c r="J75" s="13" t="s">
        <v>18</v>
      </c>
      <c r="K75" s="209" t="s">
        <v>19</v>
      </c>
      <c r="L75" s="210"/>
      <c r="M75" s="14" t="s">
        <v>20</v>
      </c>
      <c r="N75" s="12" t="s">
        <v>17</v>
      </c>
      <c r="O75" s="13" t="s">
        <v>18</v>
      </c>
      <c r="P75" s="209" t="s">
        <v>19</v>
      </c>
      <c r="Q75" s="210"/>
      <c r="R75" s="14" t="s">
        <v>20</v>
      </c>
    </row>
    <row r="76" spans="1:27" ht="16.5" thickBot="1">
      <c r="A76" s="16"/>
      <c r="B76" s="17" t="s">
        <v>49</v>
      </c>
      <c r="C76" s="18" t="s">
        <v>49</v>
      </c>
      <c r="D76" s="19" t="s">
        <v>22</v>
      </c>
      <c r="E76" s="20" t="s">
        <v>22</v>
      </c>
      <c r="F76" s="21" t="s">
        <v>23</v>
      </c>
      <c r="G76" s="22" t="s">
        <v>22</v>
      </c>
      <c r="H76" s="23" t="s">
        <v>23</v>
      </c>
      <c r="I76" s="24" t="s">
        <v>24</v>
      </c>
      <c r="J76" s="25" t="s">
        <v>25</v>
      </c>
      <c r="K76" s="26" t="s">
        <v>24</v>
      </c>
      <c r="L76" s="27" t="s">
        <v>22</v>
      </c>
      <c r="M76" s="28" t="s">
        <v>26</v>
      </c>
      <c r="N76" s="24" t="s">
        <v>24</v>
      </c>
      <c r="O76" s="25" t="s">
        <v>25</v>
      </c>
      <c r="P76" s="26" t="s">
        <v>24</v>
      </c>
      <c r="Q76" s="27" t="s">
        <v>22</v>
      </c>
      <c r="R76" s="28" t="s">
        <v>26</v>
      </c>
    </row>
    <row r="77" spans="1:27">
      <c r="A77" s="31" t="s">
        <v>27</v>
      </c>
      <c r="B77" s="32">
        <v>1194.76</v>
      </c>
      <c r="C77" s="33">
        <v>1195.18</v>
      </c>
      <c r="D77" s="34">
        <f>C77-B77+16.3</f>
        <v>16.720000000000073</v>
      </c>
      <c r="E77" s="35">
        <f>G77-12</f>
        <v>4.7200000000000735</v>
      </c>
      <c r="F77" s="36">
        <f t="shared" ref="F77:F89" si="27">+C77-E77</f>
        <v>1190.46</v>
      </c>
      <c r="G77" s="36">
        <f t="shared" ref="G77:G89" si="28">D77</f>
        <v>16.720000000000073</v>
      </c>
      <c r="H77" s="37">
        <f t="shared" ref="H77:H89" si="29">+C77-G77</f>
        <v>1178.46</v>
      </c>
      <c r="I77" s="42" t="s">
        <v>28</v>
      </c>
      <c r="J77" s="43" t="s">
        <v>28</v>
      </c>
      <c r="K77" s="40">
        <v>7.03</v>
      </c>
      <c r="L77" s="41">
        <f t="shared" ref="L77:L90" si="30">+($C77-$B77)+K77</f>
        <v>7.450000000000073</v>
      </c>
      <c r="M77" s="37">
        <f t="shared" ref="M77:M82" si="31">$B77-K77</f>
        <v>1187.73</v>
      </c>
      <c r="N77" s="42" t="s">
        <v>28</v>
      </c>
      <c r="O77" s="43" t="s">
        <v>28</v>
      </c>
      <c r="P77" s="40">
        <v>7.3</v>
      </c>
      <c r="Q77" s="41">
        <f t="shared" ref="Q77:Q90" si="32">+($C77-$B77)+P77</f>
        <v>7.7200000000000726</v>
      </c>
      <c r="R77" s="37">
        <f t="shared" ref="R77:R82" si="33">$B77-P77</f>
        <v>1187.46</v>
      </c>
    </row>
    <row r="78" spans="1:27">
      <c r="A78" s="46" t="s">
        <v>29</v>
      </c>
      <c r="B78" s="47">
        <v>1192.58</v>
      </c>
      <c r="C78" s="33">
        <v>1192.92</v>
      </c>
      <c r="D78" s="48">
        <f>C78-B78+12.42</f>
        <v>12.760000000000145</v>
      </c>
      <c r="E78" s="49">
        <f>G78-9</f>
        <v>3.7600000000001454</v>
      </c>
      <c r="F78" s="33">
        <f t="shared" si="27"/>
        <v>1189.1599999999999</v>
      </c>
      <c r="G78" s="33">
        <f t="shared" si="28"/>
        <v>12.760000000000145</v>
      </c>
      <c r="H78" s="50">
        <f t="shared" si="29"/>
        <v>1180.1599999999999</v>
      </c>
      <c r="I78" s="54" t="s">
        <v>28</v>
      </c>
      <c r="J78" s="55" t="s">
        <v>28</v>
      </c>
      <c r="K78" s="53">
        <v>7.84</v>
      </c>
      <c r="L78" s="53">
        <f t="shared" si="30"/>
        <v>8.1800000000001454</v>
      </c>
      <c r="M78" s="50">
        <f t="shared" si="31"/>
        <v>1184.74</v>
      </c>
      <c r="N78" s="54" t="s">
        <v>28</v>
      </c>
      <c r="O78" s="55" t="s">
        <v>28</v>
      </c>
      <c r="P78" s="53">
        <v>8.0299999999999994</v>
      </c>
      <c r="Q78" s="53">
        <f t="shared" si="32"/>
        <v>8.3700000000001449</v>
      </c>
      <c r="R78" s="50">
        <f t="shared" si="33"/>
        <v>1184.55</v>
      </c>
    </row>
    <row r="79" spans="1:27" ht="12.75" customHeight="1">
      <c r="A79" s="56" t="s">
        <v>30</v>
      </c>
      <c r="B79" s="57">
        <v>1191.2</v>
      </c>
      <c r="C79" s="58">
        <v>1191.5999999999999</v>
      </c>
      <c r="D79" s="59">
        <f>C79-B79+13.42</f>
        <v>13.819999999999864</v>
      </c>
      <c r="E79" s="49">
        <f>G79-10</f>
        <v>3.8199999999998635</v>
      </c>
      <c r="F79" s="33">
        <f t="shared" si="27"/>
        <v>1187.78</v>
      </c>
      <c r="G79" s="33">
        <f t="shared" si="28"/>
        <v>13.819999999999864</v>
      </c>
      <c r="H79" s="50">
        <f t="shared" si="29"/>
        <v>1177.78</v>
      </c>
      <c r="I79" s="64" t="s">
        <v>28</v>
      </c>
      <c r="J79" s="65" t="s">
        <v>28</v>
      </c>
      <c r="K79" s="62">
        <v>8.69</v>
      </c>
      <c r="L79" s="62">
        <f t="shared" si="30"/>
        <v>9.0899999999998631</v>
      </c>
      <c r="M79" s="63">
        <f t="shared" si="31"/>
        <v>1182.51</v>
      </c>
      <c r="N79" s="64" t="s">
        <v>28</v>
      </c>
      <c r="O79" s="65" t="s">
        <v>28</v>
      </c>
      <c r="P79" s="62">
        <v>9.06</v>
      </c>
      <c r="Q79" s="62">
        <f t="shared" si="32"/>
        <v>9.4599999999998641</v>
      </c>
      <c r="R79" s="63">
        <f t="shared" si="33"/>
        <v>1182.1400000000001</v>
      </c>
    </row>
    <row r="80" spans="1:27">
      <c r="A80" s="46" t="s">
        <v>31</v>
      </c>
      <c r="B80" s="47">
        <v>1189.9000000000001</v>
      </c>
      <c r="C80" s="49">
        <v>1190.28</v>
      </c>
      <c r="D80" s="48">
        <f>C80-B80+13.65</f>
        <v>14.029999999999882</v>
      </c>
      <c r="E80" s="49">
        <f>G80-10</f>
        <v>4.0299999999998821</v>
      </c>
      <c r="F80" s="33">
        <f t="shared" si="27"/>
        <v>1186.25</v>
      </c>
      <c r="G80" s="33">
        <f t="shared" si="28"/>
        <v>14.029999999999882</v>
      </c>
      <c r="H80" s="50">
        <f t="shared" si="29"/>
        <v>1176.25</v>
      </c>
      <c r="I80" s="54" t="s">
        <v>28</v>
      </c>
      <c r="J80" s="55" t="s">
        <v>28</v>
      </c>
      <c r="K80" s="53">
        <v>7.69</v>
      </c>
      <c r="L80" s="53">
        <f t="shared" si="30"/>
        <v>8.069999999999883</v>
      </c>
      <c r="M80" s="50">
        <f t="shared" si="31"/>
        <v>1182.21</v>
      </c>
      <c r="N80" s="54" t="s">
        <v>28</v>
      </c>
      <c r="O80" s="55" t="s">
        <v>28</v>
      </c>
      <c r="P80" s="53">
        <v>8.0299999999999994</v>
      </c>
      <c r="Q80" s="53">
        <f t="shared" si="32"/>
        <v>8.4099999999998811</v>
      </c>
      <c r="R80" s="50">
        <f t="shared" si="33"/>
        <v>1181.8700000000001</v>
      </c>
    </row>
    <row r="81" spans="1:18">
      <c r="A81" s="82" t="s">
        <v>32</v>
      </c>
      <c r="B81" s="83">
        <v>1192.17</v>
      </c>
      <c r="C81" s="84">
        <v>1192.48</v>
      </c>
      <c r="D81" s="57">
        <f>C81-B81+13.55</f>
        <v>13.859999999999946</v>
      </c>
      <c r="E81" s="85">
        <f>G81-10</f>
        <v>3.8599999999999461</v>
      </c>
      <c r="F81" s="86">
        <f t="shared" si="27"/>
        <v>1188.6200000000001</v>
      </c>
      <c r="G81" s="62">
        <f t="shared" si="28"/>
        <v>13.859999999999946</v>
      </c>
      <c r="H81" s="63">
        <f t="shared" si="29"/>
        <v>1178.6200000000001</v>
      </c>
      <c r="I81" s="64" t="s">
        <v>28</v>
      </c>
      <c r="J81" s="65" t="s">
        <v>28</v>
      </c>
      <c r="K81" s="87">
        <v>9.89</v>
      </c>
      <c r="L81" s="88">
        <f t="shared" si="30"/>
        <v>10.199999999999946</v>
      </c>
      <c r="M81" s="98">
        <f t="shared" si="31"/>
        <v>1182.28</v>
      </c>
      <c r="N81" s="64" t="s">
        <v>28</v>
      </c>
      <c r="O81" s="65" t="s">
        <v>28</v>
      </c>
      <c r="P81" s="87">
        <v>10.25</v>
      </c>
      <c r="Q81" s="88">
        <f t="shared" si="32"/>
        <v>10.559999999999945</v>
      </c>
      <c r="R81" s="98">
        <f t="shared" si="33"/>
        <v>1181.92</v>
      </c>
    </row>
    <row r="82" spans="1:18">
      <c r="A82" s="46" t="s">
        <v>33</v>
      </c>
      <c r="B82" s="90">
        <v>1190.67</v>
      </c>
      <c r="C82" s="91">
        <v>1190.8800000000001</v>
      </c>
      <c r="D82" s="47">
        <f>C82-B82+13.3</f>
        <v>13.510000000000037</v>
      </c>
      <c r="E82" s="92">
        <f>G82-9.5</f>
        <v>4.0100000000000371</v>
      </c>
      <c r="F82" s="33">
        <f t="shared" si="27"/>
        <v>1186.8700000000001</v>
      </c>
      <c r="G82" s="53">
        <f t="shared" si="28"/>
        <v>13.510000000000037</v>
      </c>
      <c r="H82" s="50">
        <f t="shared" si="29"/>
        <v>1177.3700000000001</v>
      </c>
      <c r="I82" s="54" t="s">
        <v>28</v>
      </c>
      <c r="J82" s="55" t="s">
        <v>28</v>
      </c>
      <c r="K82" s="93">
        <v>6.45</v>
      </c>
      <c r="L82" s="53">
        <f t="shared" si="30"/>
        <v>6.6600000000000366</v>
      </c>
      <c r="M82" s="98">
        <f t="shared" si="31"/>
        <v>1184.22</v>
      </c>
      <c r="N82" s="54" t="s">
        <v>28</v>
      </c>
      <c r="O82" s="55" t="s">
        <v>28</v>
      </c>
      <c r="P82" s="93">
        <v>6.61</v>
      </c>
      <c r="Q82" s="53">
        <f t="shared" si="32"/>
        <v>6.8200000000000367</v>
      </c>
      <c r="R82" s="98">
        <f t="shared" si="33"/>
        <v>1184.0600000000002</v>
      </c>
    </row>
    <row r="83" spans="1:18">
      <c r="A83" s="56" t="s">
        <v>35</v>
      </c>
      <c r="B83" s="83">
        <v>1187.74</v>
      </c>
      <c r="C83" s="84">
        <v>1187.82</v>
      </c>
      <c r="D83" s="57">
        <f>C83-B83+15.2</f>
        <v>15.279999999999927</v>
      </c>
      <c r="E83" s="85">
        <f>G83-11</f>
        <v>4.2799999999999265</v>
      </c>
      <c r="F83" s="86">
        <f t="shared" si="27"/>
        <v>1183.54</v>
      </c>
      <c r="G83" s="62">
        <f t="shared" si="28"/>
        <v>15.279999999999927</v>
      </c>
      <c r="H83" s="63">
        <f t="shared" si="29"/>
        <v>1172.54</v>
      </c>
      <c r="I83" s="64" t="s">
        <v>28</v>
      </c>
      <c r="J83" s="65" t="s">
        <v>28</v>
      </c>
      <c r="K83" s="87">
        <v>5.69</v>
      </c>
      <c r="L83" s="62">
        <f t="shared" si="30"/>
        <v>5.7699999999999276</v>
      </c>
      <c r="M83" s="63">
        <f>$B83-K83</f>
        <v>1182.05</v>
      </c>
      <c r="N83" s="64" t="s">
        <v>28</v>
      </c>
      <c r="O83" s="65" t="s">
        <v>28</v>
      </c>
      <c r="P83" s="87">
        <v>6.01</v>
      </c>
      <c r="Q83" s="62">
        <f t="shared" si="32"/>
        <v>6.089999999999927</v>
      </c>
      <c r="R83" s="63">
        <f>$B83-P83</f>
        <v>1181.73</v>
      </c>
    </row>
    <row r="84" spans="1:18">
      <c r="A84" s="56" t="s">
        <v>50</v>
      </c>
      <c r="B84" s="83">
        <v>1187.68</v>
      </c>
      <c r="C84" s="84">
        <v>1188.3800000000001</v>
      </c>
      <c r="D84" s="57">
        <f>C84-B84+12.61</f>
        <v>13.310000000000045</v>
      </c>
      <c r="E84" s="85">
        <f>G84-11</f>
        <v>2.3100000000000449</v>
      </c>
      <c r="F84" s="86">
        <f t="shared" si="27"/>
        <v>1186.0700000000002</v>
      </c>
      <c r="G84" s="62">
        <f t="shared" si="28"/>
        <v>13.310000000000045</v>
      </c>
      <c r="H84" s="63">
        <f t="shared" si="29"/>
        <v>1175.0700000000002</v>
      </c>
      <c r="I84" s="64" t="s">
        <v>28</v>
      </c>
      <c r="J84" s="65" t="s">
        <v>28</v>
      </c>
      <c r="K84" s="65">
        <v>4.2300000000000004</v>
      </c>
      <c r="L84" s="62">
        <f t="shared" si="30"/>
        <v>4.9300000000000459</v>
      </c>
      <c r="M84" s="63">
        <f t="shared" ref="M84:M90" si="34">$B84-K84</f>
        <v>1183.45</v>
      </c>
      <c r="N84" s="64" t="s">
        <v>28</v>
      </c>
      <c r="O84" s="65" t="s">
        <v>28</v>
      </c>
      <c r="P84" s="65">
        <v>5.0999999999999996</v>
      </c>
      <c r="Q84" s="62">
        <f t="shared" si="32"/>
        <v>5.8000000000000451</v>
      </c>
      <c r="R84" s="63">
        <f t="shared" ref="R84:R90" si="35">$B84-P84</f>
        <v>1182.5800000000002</v>
      </c>
    </row>
    <row r="85" spans="1:18">
      <c r="A85" s="56" t="s">
        <v>51</v>
      </c>
      <c r="B85" s="83">
        <v>1184.0899999999999</v>
      </c>
      <c r="C85" s="115">
        <v>1184.5999999999999</v>
      </c>
      <c r="D85" s="57">
        <f>C85-B85+10.73</f>
        <v>11.239999999999991</v>
      </c>
      <c r="E85" s="85">
        <f>G85-8</f>
        <v>3.2399999999999913</v>
      </c>
      <c r="F85" s="86">
        <f t="shared" si="27"/>
        <v>1181.3599999999999</v>
      </c>
      <c r="G85" s="62">
        <f t="shared" si="28"/>
        <v>11.239999999999991</v>
      </c>
      <c r="H85" s="63">
        <f t="shared" si="29"/>
        <v>1173.3599999999999</v>
      </c>
      <c r="I85" s="64" t="s">
        <v>28</v>
      </c>
      <c r="J85" s="65" t="s">
        <v>28</v>
      </c>
      <c r="K85" s="65">
        <v>4.3</v>
      </c>
      <c r="L85" s="62">
        <f t="shared" si="30"/>
        <v>4.8099999999999907</v>
      </c>
      <c r="M85" s="63">
        <f t="shared" si="34"/>
        <v>1179.79</v>
      </c>
      <c r="N85" s="64" t="s">
        <v>28</v>
      </c>
      <c r="O85" s="65" t="s">
        <v>28</v>
      </c>
      <c r="P85" s="87">
        <v>4.51</v>
      </c>
      <c r="Q85" s="62">
        <f t="shared" si="32"/>
        <v>5.0199999999999907</v>
      </c>
      <c r="R85" s="63">
        <f t="shared" si="35"/>
        <v>1179.58</v>
      </c>
    </row>
    <row r="86" spans="1:18">
      <c r="A86" s="56" t="s">
        <v>52</v>
      </c>
      <c r="B86" s="83">
        <v>1192.1099999999999</v>
      </c>
      <c r="C86" s="84">
        <v>1192.6500000000001</v>
      </c>
      <c r="D86" s="57">
        <f>C86-B86+15</f>
        <v>15.540000000000191</v>
      </c>
      <c r="E86" s="85">
        <f>G86-12</f>
        <v>3.540000000000191</v>
      </c>
      <c r="F86" s="86">
        <f t="shared" si="27"/>
        <v>1189.1099999999999</v>
      </c>
      <c r="G86" s="62">
        <f t="shared" si="28"/>
        <v>15.540000000000191</v>
      </c>
      <c r="H86" s="63">
        <f t="shared" si="29"/>
        <v>1177.1099999999999</v>
      </c>
      <c r="I86" s="64" t="s">
        <v>28</v>
      </c>
      <c r="J86" s="65" t="s">
        <v>28</v>
      </c>
      <c r="K86" s="87">
        <v>9.74</v>
      </c>
      <c r="L86" s="62">
        <f t="shared" si="30"/>
        <v>10.280000000000191</v>
      </c>
      <c r="M86" s="63">
        <f t="shared" si="34"/>
        <v>1182.3699999999999</v>
      </c>
      <c r="N86" s="64" t="s">
        <v>28</v>
      </c>
      <c r="O86" s="65" t="s">
        <v>28</v>
      </c>
      <c r="P86" s="87">
        <v>10.119999999999999</v>
      </c>
      <c r="Q86" s="62">
        <f t="shared" si="32"/>
        <v>10.66000000000019</v>
      </c>
      <c r="R86" s="63">
        <f t="shared" si="35"/>
        <v>1181.99</v>
      </c>
    </row>
    <row r="87" spans="1:18">
      <c r="A87" s="56" t="s">
        <v>53</v>
      </c>
      <c r="B87" s="83">
        <v>1193.8699999999999</v>
      </c>
      <c r="C87" s="84">
        <v>1194.3599999999999</v>
      </c>
      <c r="D87" s="57">
        <f>C87-B87+10.7</f>
        <v>11.190000000000008</v>
      </c>
      <c r="E87" s="85">
        <f>G87-7</f>
        <v>4.1900000000000084</v>
      </c>
      <c r="F87" s="86">
        <f t="shared" si="27"/>
        <v>1190.1699999999998</v>
      </c>
      <c r="G87" s="62">
        <f t="shared" si="28"/>
        <v>11.190000000000008</v>
      </c>
      <c r="H87" s="63">
        <f t="shared" si="29"/>
        <v>1183.1699999999998</v>
      </c>
      <c r="I87" s="85">
        <v>3.6</v>
      </c>
      <c r="J87" s="65">
        <f>K87-I87</f>
        <v>9.9999999999997868E-3</v>
      </c>
      <c r="K87" s="87">
        <v>3.61</v>
      </c>
      <c r="L87" s="62">
        <f t="shared" si="30"/>
        <v>4.1000000000000085</v>
      </c>
      <c r="M87" s="63">
        <f>$B87-(K87-J87*0.77)</f>
        <v>1190.2676999999999</v>
      </c>
      <c r="N87" s="64" t="s">
        <v>28</v>
      </c>
      <c r="O87" s="65" t="s">
        <v>28</v>
      </c>
      <c r="P87" s="65">
        <v>3.7</v>
      </c>
      <c r="Q87" s="62">
        <f t="shared" si="32"/>
        <v>4.1900000000000093</v>
      </c>
      <c r="R87" s="63">
        <f t="shared" si="35"/>
        <v>1190.1699999999998</v>
      </c>
    </row>
    <row r="88" spans="1:18">
      <c r="A88" s="56" t="s">
        <v>54</v>
      </c>
      <c r="B88" s="83">
        <v>1185.1099999999999</v>
      </c>
      <c r="C88" s="84">
        <v>1185.55</v>
      </c>
      <c r="D88" s="57">
        <f>C88-B88+12.48</f>
        <v>12.920000000000055</v>
      </c>
      <c r="E88" s="85">
        <f>G88-9</f>
        <v>3.920000000000055</v>
      </c>
      <c r="F88" s="86">
        <f t="shared" si="27"/>
        <v>1181.6299999999999</v>
      </c>
      <c r="G88" s="62">
        <f t="shared" si="28"/>
        <v>12.920000000000055</v>
      </c>
      <c r="H88" s="63">
        <f t="shared" si="29"/>
        <v>1172.6299999999999</v>
      </c>
      <c r="I88" s="64" t="s">
        <v>28</v>
      </c>
      <c r="J88" s="65" t="s">
        <v>28</v>
      </c>
      <c r="K88" s="87">
        <v>3.57</v>
      </c>
      <c r="L88" s="62">
        <f t="shared" si="30"/>
        <v>4.0100000000000549</v>
      </c>
      <c r="M88" s="63">
        <f t="shared" si="34"/>
        <v>1181.54</v>
      </c>
      <c r="N88" s="64" t="s">
        <v>28</v>
      </c>
      <c r="O88" s="65" t="s">
        <v>28</v>
      </c>
      <c r="P88" s="87">
        <v>3.74</v>
      </c>
      <c r="Q88" s="62">
        <f t="shared" si="32"/>
        <v>4.1800000000000548</v>
      </c>
      <c r="R88" s="63">
        <f t="shared" si="35"/>
        <v>1181.3699999999999</v>
      </c>
    </row>
    <row r="89" spans="1:18">
      <c r="A89" s="56" t="s">
        <v>55</v>
      </c>
      <c r="B89" s="83">
        <v>1189.1600000000001</v>
      </c>
      <c r="C89" s="84">
        <v>1189.76</v>
      </c>
      <c r="D89" s="57">
        <f>C89-B89+15.13</f>
        <v>15.72999999999991</v>
      </c>
      <c r="E89" s="85">
        <f>G89-12</f>
        <v>3.7299999999999098</v>
      </c>
      <c r="F89" s="86">
        <f t="shared" si="27"/>
        <v>1186.03</v>
      </c>
      <c r="G89" s="62">
        <f t="shared" si="28"/>
        <v>15.72999999999991</v>
      </c>
      <c r="H89" s="63">
        <f t="shared" si="29"/>
        <v>1174.03</v>
      </c>
      <c r="I89" s="64" t="s">
        <v>28</v>
      </c>
      <c r="J89" s="65" t="s">
        <v>28</v>
      </c>
      <c r="K89" s="87">
        <v>6.86</v>
      </c>
      <c r="L89" s="62">
        <f t="shared" si="30"/>
        <v>7.4599999999999094</v>
      </c>
      <c r="M89" s="63">
        <f t="shared" si="34"/>
        <v>1182.3000000000002</v>
      </c>
      <c r="N89" s="64" t="s">
        <v>28</v>
      </c>
      <c r="O89" s="65" t="s">
        <v>28</v>
      </c>
      <c r="P89" s="65">
        <v>7.2</v>
      </c>
      <c r="Q89" s="62">
        <f t="shared" si="32"/>
        <v>7.7999999999999092</v>
      </c>
      <c r="R89" s="63">
        <f t="shared" si="35"/>
        <v>1181.96</v>
      </c>
    </row>
    <row r="90" spans="1:18">
      <c r="A90" s="56" t="s">
        <v>57</v>
      </c>
      <c r="B90" s="47">
        <v>1193.1189999999999</v>
      </c>
      <c r="C90" s="47">
        <v>1193.4000000000001</v>
      </c>
      <c r="D90" s="47">
        <f>C90-B90+4.94</f>
        <v>5.2210000000001768</v>
      </c>
      <c r="E90" s="92">
        <f>G90-1.1</f>
        <v>4.1210000000001763</v>
      </c>
      <c r="F90" s="33">
        <f>+C90-E90</f>
        <v>1189.279</v>
      </c>
      <c r="G90" s="53">
        <f>D90</f>
        <v>5.2210000000001768</v>
      </c>
      <c r="H90" s="50">
        <f>+C90-G90</f>
        <v>1188.1789999999999</v>
      </c>
      <c r="I90" s="33" t="s">
        <v>28</v>
      </c>
      <c r="J90" s="53" t="s">
        <v>28</v>
      </c>
      <c r="K90" s="87">
        <v>3.69</v>
      </c>
      <c r="L90" s="62">
        <f t="shared" si="30"/>
        <v>3.9710000000001764</v>
      </c>
      <c r="M90" s="63">
        <f t="shared" si="34"/>
        <v>1189.4289999999999</v>
      </c>
      <c r="N90" s="33" t="s">
        <v>28</v>
      </c>
      <c r="O90" s="53" t="s">
        <v>28</v>
      </c>
      <c r="P90" s="87">
        <v>3.74</v>
      </c>
      <c r="Q90" s="62">
        <f t="shared" si="32"/>
        <v>4.0210000000001767</v>
      </c>
      <c r="R90" s="63">
        <f t="shared" si="35"/>
        <v>1189.3789999999999</v>
      </c>
    </row>
    <row r="91" spans="1:18" ht="13.5" thickBot="1">
      <c r="A91" s="96" t="s">
        <v>36</v>
      </c>
      <c r="B91" s="116">
        <v>1184.23</v>
      </c>
      <c r="C91" s="117" t="s">
        <v>37</v>
      </c>
      <c r="D91" s="116" t="s">
        <v>37</v>
      </c>
      <c r="E91" s="118" t="s">
        <v>37</v>
      </c>
      <c r="F91" s="119" t="s">
        <v>37</v>
      </c>
      <c r="G91" s="120" t="s">
        <v>37</v>
      </c>
      <c r="H91" s="121" t="s">
        <v>37</v>
      </c>
      <c r="I91" s="122" t="s">
        <v>37</v>
      </c>
      <c r="J91" s="123" t="s">
        <v>37</v>
      </c>
      <c r="K91" s="104">
        <v>4.4000000000000004</v>
      </c>
      <c r="L91" s="101" t="s">
        <v>37</v>
      </c>
      <c r="M91" s="102">
        <f>$B91-K91</f>
        <v>1179.83</v>
      </c>
      <c r="N91" s="122" t="s">
        <v>37</v>
      </c>
      <c r="O91" s="123" t="s">
        <v>37</v>
      </c>
      <c r="P91" s="104">
        <v>4.5599999999999996</v>
      </c>
      <c r="Q91" s="101" t="s">
        <v>37</v>
      </c>
      <c r="R91" s="102">
        <f>$B91-P91</f>
        <v>1179.67</v>
      </c>
    </row>
    <row r="92" spans="1:18">
      <c r="A92" s="106"/>
      <c r="B92" s="107"/>
      <c r="C92" s="107"/>
      <c r="D92" s="107"/>
      <c r="E92" s="107"/>
      <c r="F92" s="108"/>
      <c r="G92" s="109"/>
      <c r="H92" s="109"/>
      <c r="I92" s="110"/>
      <c r="J92" s="109"/>
      <c r="K92" s="109"/>
      <c r="L92" s="109"/>
      <c r="M92" s="109"/>
    </row>
    <row r="93" spans="1:18">
      <c r="A93" s="3" t="s">
        <v>38</v>
      </c>
      <c r="B93" s="3" t="s">
        <v>39</v>
      </c>
    </row>
    <row r="94" spans="1:18">
      <c r="A94" s="3" t="s">
        <v>40</v>
      </c>
      <c r="B94" s="3" t="s">
        <v>41</v>
      </c>
    </row>
    <row r="95" spans="1:18">
      <c r="A95" s="81" t="s">
        <v>34</v>
      </c>
      <c r="B95" s="81" t="s">
        <v>42</v>
      </c>
      <c r="C95" s="81"/>
      <c r="D95" s="81"/>
      <c r="E95" s="81"/>
      <c r="F95" s="81"/>
      <c r="G95" s="81"/>
      <c r="H95" s="81"/>
      <c r="I95" s="81"/>
      <c r="L95"/>
    </row>
    <row r="96" spans="1:18">
      <c r="A96" s="81" t="s">
        <v>28</v>
      </c>
      <c r="B96" s="81" t="s">
        <v>43</v>
      </c>
      <c r="C96" s="81"/>
      <c r="D96" s="81"/>
      <c r="E96" s="81"/>
      <c r="F96" s="81"/>
      <c r="G96" s="81"/>
      <c r="H96" s="81"/>
      <c r="I96" s="81"/>
    </row>
    <row r="97" spans="1:18">
      <c r="A97" s="81" t="s">
        <v>44</v>
      </c>
      <c r="B97" s="81" t="s">
        <v>45</v>
      </c>
      <c r="C97" s="81"/>
      <c r="D97" s="81"/>
      <c r="E97" s="81"/>
      <c r="F97" s="81"/>
      <c r="G97" s="81"/>
      <c r="H97" s="81"/>
      <c r="I97" s="81"/>
    </row>
    <row r="98" spans="1:18" ht="12.75" customHeight="1">
      <c r="A98" s="112" t="s">
        <v>46</v>
      </c>
      <c r="B98" s="112" t="s">
        <v>47</v>
      </c>
      <c r="C98" s="112"/>
      <c r="D98" s="81"/>
      <c r="E98" s="81"/>
      <c r="F98" s="81"/>
      <c r="G98" s="81"/>
      <c r="H98" s="81"/>
      <c r="I98" s="81"/>
    </row>
    <row r="99" spans="1:18">
      <c r="A99" s="113">
        <v>1</v>
      </c>
      <c r="B99" s="81" t="s">
        <v>48</v>
      </c>
      <c r="C99" s="81"/>
      <c r="D99" s="81"/>
      <c r="E99" s="81"/>
      <c r="F99" s="81"/>
      <c r="G99" s="81"/>
      <c r="H99" s="81"/>
      <c r="I99" s="81"/>
      <c r="J99" s="81"/>
    </row>
    <row r="100" spans="1:18" ht="13.5" thickBot="1">
      <c r="A100" s="113">
        <v>2</v>
      </c>
      <c r="B100" s="81" t="s">
        <v>56</v>
      </c>
      <c r="C100" s="81"/>
      <c r="D100" s="81"/>
      <c r="E100" s="81"/>
      <c r="F100" s="81"/>
      <c r="G100" s="81"/>
      <c r="H100" s="81"/>
      <c r="I100" s="81"/>
      <c r="J100" s="81"/>
    </row>
    <row r="101" spans="1:18">
      <c r="A101" s="10"/>
      <c r="B101" s="196" t="s">
        <v>10</v>
      </c>
      <c r="C101" s="198" t="s">
        <v>11</v>
      </c>
      <c r="D101" s="198" t="s">
        <v>12</v>
      </c>
      <c r="E101" s="200" t="s">
        <v>13</v>
      </c>
      <c r="F101" s="201"/>
      <c r="G101" s="201"/>
      <c r="H101" s="202"/>
      <c r="I101" s="203">
        <v>41144</v>
      </c>
      <c r="J101" s="204"/>
      <c r="K101" s="204"/>
      <c r="L101" s="204"/>
      <c r="M101" s="205"/>
      <c r="N101" s="203">
        <v>41172</v>
      </c>
      <c r="O101" s="204"/>
      <c r="P101" s="204"/>
      <c r="Q101" s="204"/>
      <c r="R101" s="205"/>
    </row>
    <row r="102" spans="1:18" ht="25.5">
      <c r="A102" s="11" t="s">
        <v>14</v>
      </c>
      <c r="B102" s="197"/>
      <c r="C102" s="199"/>
      <c r="D102" s="199"/>
      <c r="E102" s="206" t="s">
        <v>15</v>
      </c>
      <c r="F102" s="207"/>
      <c r="G102" s="207" t="s">
        <v>16</v>
      </c>
      <c r="H102" s="208"/>
      <c r="I102" s="12" t="s">
        <v>17</v>
      </c>
      <c r="J102" s="13" t="s">
        <v>18</v>
      </c>
      <c r="K102" s="209" t="s">
        <v>19</v>
      </c>
      <c r="L102" s="210"/>
      <c r="M102" s="14" t="s">
        <v>20</v>
      </c>
      <c r="N102" s="12" t="s">
        <v>17</v>
      </c>
      <c r="O102" s="13" t="s">
        <v>18</v>
      </c>
      <c r="P102" s="209" t="s">
        <v>19</v>
      </c>
      <c r="Q102" s="210"/>
      <c r="R102" s="14" t="s">
        <v>20</v>
      </c>
    </row>
    <row r="103" spans="1:18" ht="16.5" thickBot="1">
      <c r="A103" s="16"/>
      <c r="B103" s="17" t="s">
        <v>49</v>
      </c>
      <c r="C103" s="18" t="s">
        <v>49</v>
      </c>
      <c r="D103" s="19" t="s">
        <v>22</v>
      </c>
      <c r="E103" s="20" t="s">
        <v>22</v>
      </c>
      <c r="F103" s="21" t="s">
        <v>23</v>
      </c>
      <c r="G103" s="22" t="s">
        <v>22</v>
      </c>
      <c r="H103" s="23" t="s">
        <v>23</v>
      </c>
      <c r="I103" s="24" t="s">
        <v>24</v>
      </c>
      <c r="J103" s="25" t="s">
        <v>25</v>
      </c>
      <c r="K103" s="26" t="s">
        <v>24</v>
      </c>
      <c r="L103" s="27" t="s">
        <v>22</v>
      </c>
      <c r="M103" s="28" t="s">
        <v>26</v>
      </c>
      <c r="N103" s="24" t="s">
        <v>24</v>
      </c>
      <c r="O103" s="25" t="s">
        <v>25</v>
      </c>
      <c r="P103" s="26" t="s">
        <v>24</v>
      </c>
      <c r="Q103" s="27" t="s">
        <v>22</v>
      </c>
      <c r="R103" s="28" t="s">
        <v>26</v>
      </c>
    </row>
    <row r="104" spans="1:18">
      <c r="A104" s="31" t="s">
        <v>27</v>
      </c>
      <c r="B104" s="32">
        <v>1194.76</v>
      </c>
      <c r="C104" s="33">
        <v>1195.18</v>
      </c>
      <c r="D104" s="34">
        <f>C104-B104+16.3</f>
        <v>16.720000000000073</v>
      </c>
      <c r="E104" s="35">
        <f>G104-12</f>
        <v>4.7200000000000735</v>
      </c>
      <c r="F104" s="36">
        <f t="shared" ref="F104:F116" si="36">+C104-E104</f>
        <v>1190.46</v>
      </c>
      <c r="G104" s="36">
        <f t="shared" ref="G104:G116" si="37">D104</f>
        <v>16.720000000000073</v>
      </c>
      <c r="H104" s="37">
        <f t="shared" ref="H104:H116" si="38">+C104-G104</f>
        <v>1178.46</v>
      </c>
      <c r="I104" s="42" t="s">
        <v>28</v>
      </c>
      <c r="J104" s="43" t="s">
        <v>28</v>
      </c>
      <c r="K104" s="40">
        <v>7.4</v>
      </c>
      <c r="L104" s="41">
        <f t="shared" ref="L104:L117" si="39">+($C104-$B104)+K104</f>
        <v>7.8200000000000731</v>
      </c>
      <c r="M104" s="37">
        <f t="shared" ref="M104:M109" si="40">$B104-K104</f>
        <v>1187.3599999999999</v>
      </c>
      <c r="N104" s="42" t="s">
        <v>28</v>
      </c>
      <c r="O104" s="43" t="s">
        <v>28</v>
      </c>
      <c r="P104" s="40">
        <v>7.36</v>
      </c>
      <c r="Q104" s="41">
        <f t="shared" ref="Q104:Q117" si="41">+($C104-$B104)+P104</f>
        <v>7.7800000000000731</v>
      </c>
      <c r="R104" s="37">
        <f t="shared" ref="R104:R109" si="42">$B104-P104</f>
        <v>1187.4000000000001</v>
      </c>
    </row>
    <row r="105" spans="1:18">
      <c r="A105" s="46" t="s">
        <v>29</v>
      </c>
      <c r="B105" s="47">
        <v>1192.58</v>
      </c>
      <c r="C105" s="33">
        <v>1192.92</v>
      </c>
      <c r="D105" s="48">
        <f>C105-B105+12.42</f>
        <v>12.760000000000145</v>
      </c>
      <c r="E105" s="49">
        <f>G105-9</f>
        <v>3.7600000000001454</v>
      </c>
      <c r="F105" s="33">
        <f t="shared" si="36"/>
        <v>1189.1599999999999</v>
      </c>
      <c r="G105" s="33">
        <f t="shared" si="37"/>
        <v>12.760000000000145</v>
      </c>
      <c r="H105" s="50">
        <f t="shared" si="38"/>
        <v>1180.1599999999999</v>
      </c>
      <c r="I105" s="54" t="s">
        <v>28</v>
      </c>
      <c r="J105" s="55" t="s">
        <v>28</v>
      </c>
      <c r="K105" s="53">
        <v>7.87</v>
      </c>
      <c r="L105" s="53">
        <f t="shared" si="39"/>
        <v>8.2100000000001465</v>
      </c>
      <c r="M105" s="50">
        <f t="shared" si="40"/>
        <v>1184.71</v>
      </c>
      <c r="N105" s="54" t="s">
        <v>28</v>
      </c>
      <c r="O105" s="55" t="s">
        <v>28</v>
      </c>
      <c r="P105" s="53">
        <v>7.98</v>
      </c>
      <c r="Q105" s="53">
        <f t="shared" si="41"/>
        <v>8.3200000000001459</v>
      </c>
      <c r="R105" s="50">
        <f t="shared" si="42"/>
        <v>1184.5999999999999</v>
      </c>
    </row>
    <row r="106" spans="1:18">
      <c r="A106" s="56" t="s">
        <v>30</v>
      </c>
      <c r="B106" s="57">
        <v>1191.2</v>
      </c>
      <c r="C106" s="58">
        <v>1191.5999999999999</v>
      </c>
      <c r="D106" s="59">
        <f>C106-B106+13.42</f>
        <v>13.819999999999864</v>
      </c>
      <c r="E106" s="49">
        <f>G106-10</f>
        <v>3.8199999999998635</v>
      </c>
      <c r="F106" s="33">
        <f t="shared" si="36"/>
        <v>1187.78</v>
      </c>
      <c r="G106" s="33">
        <f t="shared" si="37"/>
        <v>13.819999999999864</v>
      </c>
      <c r="H106" s="50">
        <f t="shared" si="38"/>
        <v>1177.78</v>
      </c>
      <c r="I106" s="64">
        <v>9.35</v>
      </c>
      <c r="J106" s="65">
        <f>K106-I106</f>
        <v>1.9999999999999574E-2</v>
      </c>
      <c r="K106" s="62">
        <v>9.3699999999999992</v>
      </c>
      <c r="L106" s="62">
        <f t="shared" si="39"/>
        <v>9.7699999999998628</v>
      </c>
      <c r="M106" s="63">
        <f>$B106-(K106-J106*0.77)</f>
        <v>1181.8454000000002</v>
      </c>
      <c r="N106" s="64" t="s">
        <v>28</v>
      </c>
      <c r="O106" s="65" t="s">
        <v>28</v>
      </c>
      <c r="P106" s="62">
        <v>8.91</v>
      </c>
      <c r="Q106" s="62">
        <f t="shared" si="41"/>
        <v>9.3099999999998637</v>
      </c>
      <c r="R106" s="63">
        <f t="shared" si="42"/>
        <v>1182.29</v>
      </c>
    </row>
    <row r="107" spans="1:18">
      <c r="A107" s="46" t="s">
        <v>31</v>
      </c>
      <c r="B107" s="47">
        <v>1189.9000000000001</v>
      </c>
      <c r="C107" s="49">
        <v>1190.28</v>
      </c>
      <c r="D107" s="48">
        <f>C107-B107+13.65</f>
        <v>14.029999999999882</v>
      </c>
      <c r="E107" s="49">
        <f>G107-10</f>
        <v>4.0299999999998821</v>
      </c>
      <c r="F107" s="33">
        <f t="shared" si="36"/>
        <v>1186.25</v>
      </c>
      <c r="G107" s="33">
        <f t="shared" si="37"/>
        <v>14.029999999999882</v>
      </c>
      <c r="H107" s="50">
        <f t="shared" si="38"/>
        <v>1176.25</v>
      </c>
      <c r="I107" s="54" t="s">
        <v>28</v>
      </c>
      <c r="J107" s="55" t="s">
        <v>28</v>
      </c>
      <c r="K107" s="53">
        <v>8.36</v>
      </c>
      <c r="L107" s="53">
        <f t="shared" si="39"/>
        <v>8.7399999999998812</v>
      </c>
      <c r="M107" s="50">
        <f t="shared" si="40"/>
        <v>1181.5400000000002</v>
      </c>
      <c r="N107" s="54" t="s">
        <v>28</v>
      </c>
      <c r="O107" s="55" t="s">
        <v>28</v>
      </c>
      <c r="P107" s="53">
        <v>7.87</v>
      </c>
      <c r="Q107" s="53">
        <f t="shared" si="41"/>
        <v>8.2499999999998828</v>
      </c>
      <c r="R107" s="50">
        <f t="shared" si="42"/>
        <v>1182.0300000000002</v>
      </c>
    </row>
    <row r="108" spans="1:18">
      <c r="A108" s="82" t="s">
        <v>32</v>
      </c>
      <c r="B108" s="83">
        <v>1192.17</v>
      </c>
      <c r="C108" s="84">
        <v>1192.48</v>
      </c>
      <c r="D108" s="57">
        <f>C108-B108+13.55</f>
        <v>13.859999999999946</v>
      </c>
      <c r="E108" s="85">
        <f>G108-10</f>
        <v>3.8599999999999461</v>
      </c>
      <c r="F108" s="86">
        <f t="shared" si="36"/>
        <v>1188.6200000000001</v>
      </c>
      <c r="G108" s="62">
        <f t="shared" si="37"/>
        <v>13.859999999999946</v>
      </c>
      <c r="H108" s="63">
        <f t="shared" si="38"/>
        <v>1178.6200000000001</v>
      </c>
      <c r="I108" s="64" t="s">
        <v>28</v>
      </c>
      <c r="J108" s="65" t="s">
        <v>28</v>
      </c>
      <c r="K108" s="87">
        <v>10.56</v>
      </c>
      <c r="L108" s="88">
        <f t="shared" si="39"/>
        <v>10.869999999999946</v>
      </c>
      <c r="M108" s="98">
        <f t="shared" si="40"/>
        <v>1181.6100000000001</v>
      </c>
      <c r="N108" s="64" t="s">
        <v>28</v>
      </c>
      <c r="O108" s="65" t="s">
        <v>28</v>
      </c>
      <c r="P108" s="87">
        <v>10.050000000000001</v>
      </c>
      <c r="Q108" s="88">
        <f t="shared" si="41"/>
        <v>10.359999999999946</v>
      </c>
      <c r="R108" s="98">
        <f t="shared" si="42"/>
        <v>1182.1200000000001</v>
      </c>
    </row>
    <row r="109" spans="1:18">
      <c r="A109" s="46" t="s">
        <v>33</v>
      </c>
      <c r="B109" s="90">
        <v>1190.67</v>
      </c>
      <c r="C109" s="91">
        <v>1190.8800000000001</v>
      </c>
      <c r="D109" s="47">
        <f>C109-B109+13.3</f>
        <v>13.510000000000037</v>
      </c>
      <c r="E109" s="92">
        <f>G109-9.5</f>
        <v>4.0100000000000371</v>
      </c>
      <c r="F109" s="33">
        <f t="shared" si="36"/>
        <v>1186.8700000000001</v>
      </c>
      <c r="G109" s="53">
        <f t="shared" si="37"/>
        <v>13.510000000000037</v>
      </c>
      <c r="H109" s="50">
        <f t="shared" si="38"/>
        <v>1177.3700000000001</v>
      </c>
      <c r="I109" s="54" t="s">
        <v>28</v>
      </c>
      <c r="J109" s="55" t="s">
        <v>28</v>
      </c>
      <c r="K109" s="93">
        <v>6.69</v>
      </c>
      <c r="L109" s="53">
        <f t="shared" si="39"/>
        <v>6.9000000000000368</v>
      </c>
      <c r="M109" s="98">
        <f t="shared" si="40"/>
        <v>1183.98</v>
      </c>
      <c r="N109" s="54" t="s">
        <v>28</v>
      </c>
      <c r="O109" s="55" t="s">
        <v>28</v>
      </c>
      <c r="P109" s="55">
        <v>6.5</v>
      </c>
      <c r="Q109" s="53">
        <f t="shared" si="41"/>
        <v>6.7100000000000364</v>
      </c>
      <c r="R109" s="98">
        <f t="shared" si="42"/>
        <v>1184.17</v>
      </c>
    </row>
    <row r="110" spans="1:18">
      <c r="A110" s="56" t="s">
        <v>35</v>
      </c>
      <c r="B110" s="83">
        <v>1187.74</v>
      </c>
      <c r="C110" s="84">
        <v>1187.82</v>
      </c>
      <c r="D110" s="57">
        <f>C110-B110+15.2</f>
        <v>15.279999999999927</v>
      </c>
      <c r="E110" s="85">
        <f>G110-11</f>
        <v>4.2799999999999265</v>
      </c>
      <c r="F110" s="86">
        <f t="shared" si="36"/>
        <v>1183.54</v>
      </c>
      <c r="G110" s="62">
        <f t="shared" si="37"/>
        <v>15.279999999999927</v>
      </c>
      <c r="H110" s="63">
        <f t="shared" si="38"/>
        <v>1172.54</v>
      </c>
      <c r="I110" s="64" t="s">
        <v>28</v>
      </c>
      <c r="J110" s="65" t="s">
        <v>28</v>
      </c>
      <c r="K110" s="65">
        <v>6.2</v>
      </c>
      <c r="L110" s="62">
        <f t="shared" si="39"/>
        <v>6.2799999999999274</v>
      </c>
      <c r="M110" s="63">
        <f>$B110-K110</f>
        <v>1181.54</v>
      </c>
      <c r="N110" s="64" t="s">
        <v>28</v>
      </c>
      <c r="O110" s="65" t="s">
        <v>28</v>
      </c>
      <c r="P110" s="65">
        <v>6.02</v>
      </c>
      <c r="Q110" s="62">
        <f t="shared" si="41"/>
        <v>6.0999999999999268</v>
      </c>
      <c r="R110" s="63">
        <f>$B110-P110</f>
        <v>1181.72</v>
      </c>
    </row>
    <row r="111" spans="1:18">
      <c r="A111" s="56" t="s">
        <v>50</v>
      </c>
      <c r="B111" s="83">
        <v>1187.68</v>
      </c>
      <c r="C111" s="84">
        <v>1188.3800000000001</v>
      </c>
      <c r="D111" s="57">
        <f>C111-B111+12.61</f>
        <v>13.310000000000045</v>
      </c>
      <c r="E111" s="85">
        <f>G111-11</f>
        <v>2.3100000000000449</v>
      </c>
      <c r="F111" s="86">
        <f t="shared" si="36"/>
        <v>1186.0700000000002</v>
      </c>
      <c r="G111" s="62">
        <f t="shared" si="37"/>
        <v>13.310000000000045</v>
      </c>
      <c r="H111" s="63">
        <f t="shared" si="38"/>
        <v>1175.0700000000002</v>
      </c>
      <c r="I111" s="64" t="s">
        <v>28</v>
      </c>
      <c r="J111" s="65" t="s">
        <v>28</v>
      </c>
      <c r="K111" s="65">
        <v>5.33</v>
      </c>
      <c r="L111" s="62">
        <f t="shared" si="39"/>
        <v>6.0300000000000455</v>
      </c>
      <c r="M111" s="63">
        <f t="shared" ref="M111:M117" si="43">$B111-K111</f>
        <v>1182.3500000000001</v>
      </c>
      <c r="N111" s="64" t="s">
        <v>28</v>
      </c>
      <c r="O111" s="65" t="s">
        <v>28</v>
      </c>
      <c r="P111" s="65">
        <v>4.88</v>
      </c>
      <c r="Q111" s="62">
        <f t="shared" si="41"/>
        <v>5.5800000000000454</v>
      </c>
      <c r="R111" s="63">
        <f t="shared" ref="R111:R117" si="44">$B111-P111</f>
        <v>1182.8</v>
      </c>
    </row>
    <row r="112" spans="1:18">
      <c r="A112" s="56" t="s">
        <v>51</v>
      </c>
      <c r="B112" s="83">
        <v>1184.0899999999999</v>
      </c>
      <c r="C112" s="115">
        <v>1184.5999999999999</v>
      </c>
      <c r="D112" s="57">
        <f>C112-B112+10.73</f>
        <v>11.239999999999991</v>
      </c>
      <c r="E112" s="85">
        <f>G112-8</f>
        <v>3.2399999999999913</v>
      </c>
      <c r="F112" s="86">
        <f t="shared" si="36"/>
        <v>1181.3599999999999</v>
      </c>
      <c r="G112" s="62">
        <f t="shared" si="37"/>
        <v>11.239999999999991</v>
      </c>
      <c r="H112" s="63">
        <f t="shared" si="38"/>
        <v>1173.3599999999999</v>
      </c>
      <c r="I112" s="64" t="s">
        <v>28</v>
      </c>
      <c r="J112" s="65" t="s">
        <v>28</v>
      </c>
      <c r="K112" s="65">
        <v>4.55</v>
      </c>
      <c r="L112" s="62">
        <f t="shared" si="39"/>
        <v>5.0599999999999907</v>
      </c>
      <c r="M112" s="63">
        <f t="shared" si="43"/>
        <v>1179.54</v>
      </c>
      <c r="N112" s="64" t="s">
        <v>28</v>
      </c>
      <c r="O112" s="65" t="s">
        <v>28</v>
      </c>
      <c r="P112" s="65">
        <v>4.33</v>
      </c>
      <c r="Q112" s="62">
        <f t="shared" si="41"/>
        <v>4.839999999999991</v>
      </c>
      <c r="R112" s="63">
        <f t="shared" si="44"/>
        <v>1179.76</v>
      </c>
    </row>
    <row r="113" spans="1:18">
      <c r="A113" s="56" t="s">
        <v>52</v>
      </c>
      <c r="B113" s="83">
        <v>1192.1099999999999</v>
      </c>
      <c r="C113" s="84">
        <v>1192.6500000000001</v>
      </c>
      <c r="D113" s="57">
        <f>C113-B113+15</f>
        <v>15.540000000000191</v>
      </c>
      <c r="E113" s="85">
        <f>G113-12</f>
        <v>3.540000000000191</v>
      </c>
      <c r="F113" s="86">
        <f t="shared" si="36"/>
        <v>1189.1099999999999</v>
      </c>
      <c r="G113" s="62">
        <f t="shared" si="37"/>
        <v>15.540000000000191</v>
      </c>
      <c r="H113" s="63">
        <f t="shared" si="38"/>
        <v>1177.1099999999999</v>
      </c>
      <c r="I113" s="64" t="s">
        <v>28</v>
      </c>
      <c r="J113" s="65" t="s">
        <v>28</v>
      </c>
      <c r="K113" s="87">
        <v>10.43</v>
      </c>
      <c r="L113" s="62">
        <f t="shared" si="39"/>
        <v>10.970000000000191</v>
      </c>
      <c r="M113" s="63">
        <f t="shared" si="43"/>
        <v>1181.6799999999998</v>
      </c>
      <c r="N113" s="64" t="s">
        <v>28</v>
      </c>
      <c r="O113" s="65" t="s">
        <v>28</v>
      </c>
      <c r="P113" s="87">
        <v>9.93</v>
      </c>
      <c r="Q113" s="62">
        <f t="shared" si="41"/>
        <v>10.470000000000191</v>
      </c>
      <c r="R113" s="63">
        <f t="shared" si="44"/>
        <v>1182.1799999999998</v>
      </c>
    </row>
    <row r="114" spans="1:18">
      <c r="A114" s="56" t="s">
        <v>53</v>
      </c>
      <c r="B114" s="83">
        <v>1193.8699999999999</v>
      </c>
      <c r="C114" s="84">
        <v>1194.3599999999999</v>
      </c>
      <c r="D114" s="57">
        <f>C114-B114+10.7</f>
        <v>11.190000000000008</v>
      </c>
      <c r="E114" s="85">
        <f>G114-7</f>
        <v>4.1900000000000084</v>
      </c>
      <c r="F114" s="86">
        <f t="shared" si="36"/>
        <v>1190.1699999999998</v>
      </c>
      <c r="G114" s="62">
        <f t="shared" si="37"/>
        <v>11.190000000000008</v>
      </c>
      <c r="H114" s="63">
        <f t="shared" si="38"/>
        <v>1183.1699999999998</v>
      </c>
      <c r="I114" s="64" t="s">
        <v>28</v>
      </c>
      <c r="J114" s="65" t="s">
        <v>28</v>
      </c>
      <c r="K114" s="87">
        <v>3.75</v>
      </c>
      <c r="L114" s="62">
        <f t="shared" si="39"/>
        <v>4.2400000000000091</v>
      </c>
      <c r="M114" s="63">
        <f t="shared" si="43"/>
        <v>1190.1199999999999</v>
      </c>
      <c r="N114" s="64" t="s">
        <v>28</v>
      </c>
      <c r="O114" s="65" t="s">
        <v>28</v>
      </c>
      <c r="P114" s="87">
        <v>3.78</v>
      </c>
      <c r="Q114" s="62">
        <f t="shared" si="41"/>
        <v>4.2700000000000085</v>
      </c>
      <c r="R114" s="63">
        <f t="shared" si="44"/>
        <v>1190.0899999999999</v>
      </c>
    </row>
    <row r="115" spans="1:18">
      <c r="A115" s="56" t="s">
        <v>54</v>
      </c>
      <c r="B115" s="83">
        <v>1185.1099999999999</v>
      </c>
      <c r="C115" s="84">
        <v>1185.55</v>
      </c>
      <c r="D115" s="57">
        <f>C115-B115+12.48</f>
        <v>12.920000000000055</v>
      </c>
      <c r="E115" s="85">
        <f>G115-9</f>
        <v>3.920000000000055</v>
      </c>
      <c r="F115" s="86">
        <f t="shared" si="36"/>
        <v>1181.6299999999999</v>
      </c>
      <c r="G115" s="62">
        <f t="shared" si="37"/>
        <v>12.920000000000055</v>
      </c>
      <c r="H115" s="63">
        <f t="shared" si="38"/>
        <v>1172.6299999999999</v>
      </c>
      <c r="I115" s="64" t="s">
        <v>28</v>
      </c>
      <c r="J115" s="65" t="s">
        <v>28</v>
      </c>
      <c r="K115" s="65">
        <v>4</v>
      </c>
      <c r="L115" s="62">
        <f t="shared" si="39"/>
        <v>4.4400000000000546</v>
      </c>
      <c r="M115" s="63">
        <f t="shared" si="43"/>
        <v>1181.1099999999999</v>
      </c>
      <c r="N115" s="64" t="s">
        <v>28</v>
      </c>
      <c r="O115" s="65" t="s">
        <v>28</v>
      </c>
      <c r="P115" s="65">
        <v>3.62</v>
      </c>
      <c r="Q115" s="62">
        <f t="shared" si="41"/>
        <v>4.0600000000000547</v>
      </c>
      <c r="R115" s="63">
        <f t="shared" si="44"/>
        <v>1181.49</v>
      </c>
    </row>
    <row r="116" spans="1:18">
      <c r="A116" s="56" t="s">
        <v>55</v>
      </c>
      <c r="B116" s="83">
        <v>1189.1600000000001</v>
      </c>
      <c r="C116" s="84">
        <v>1189.76</v>
      </c>
      <c r="D116" s="57">
        <f>C116-B116+15.13</f>
        <v>15.72999999999991</v>
      </c>
      <c r="E116" s="85">
        <f>G116-12</f>
        <v>3.7299999999999098</v>
      </c>
      <c r="F116" s="86">
        <f t="shared" si="36"/>
        <v>1186.03</v>
      </c>
      <c r="G116" s="62">
        <f t="shared" si="37"/>
        <v>15.72999999999991</v>
      </c>
      <c r="H116" s="63">
        <f t="shared" si="38"/>
        <v>1174.03</v>
      </c>
      <c r="I116" s="64" t="s">
        <v>28</v>
      </c>
      <c r="J116" s="65" t="s">
        <v>28</v>
      </c>
      <c r="K116" s="87">
        <v>7.53</v>
      </c>
      <c r="L116" s="62">
        <f t="shared" si="39"/>
        <v>8.1299999999999102</v>
      </c>
      <c r="M116" s="63">
        <f t="shared" si="43"/>
        <v>1181.6300000000001</v>
      </c>
      <c r="N116" s="64" t="s">
        <v>28</v>
      </c>
      <c r="O116" s="65" t="s">
        <v>28</v>
      </c>
      <c r="P116" s="87">
        <v>7.05</v>
      </c>
      <c r="Q116" s="62">
        <f t="shared" si="41"/>
        <v>7.6499999999999089</v>
      </c>
      <c r="R116" s="63">
        <f t="shared" si="44"/>
        <v>1182.1100000000001</v>
      </c>
    </row>
    <row r="117" spans="1:18">
      <c r="A117" s="56" t="s">
        <v>57</v>
      </c>
      <c r="B117" s="47">
        <v>1193.1189999999999</v>
      </c>
      <c r="C117" s="47">
        <v>1193.4000000000001</v>
      </c>
      <c r="D117" s="47">
        <f>C117-B117+4.94</f>
        <v>5.2210000000001768</v>
      </c>
      <c r="E117" s="92">
        <f>G117-1.1</f>
        <v>4.1210000000001763</v>
      </c>
      <c r="F117" s="33">
        <f>+C117-E117</f>
        <v>1189.279</v>
      </c>
      <c r="G117" s="53">
        <f>D117</f>
        <v>5.2210000000001768</v>
      </c>
      <c r="H117" s="50">
        <f>+C117-G117</f>
        <v>1188.1789999999999</v>
      </c>
      <c r="I117" s="33" t="s">
        <v>28</v>
      </c>
      <c r="J117" s="53" t="s">
        <v>28</v>
      </c>
      <c r="K117" s="87">
        <v>3.83</v>
      </c>
      <c r="L117" s="62">
        <f t="shared" si="39"/>
        <v>4.1110000000001765</v>
      </c>
      <c r="M117" s="63">
        <f t="shared" si="43"/>
        <v>1189.289</v>
      </c>
      <c r="N117" s="33" t="s">
        <v>28</v>
      </c>
      <c r="O117" s="53" t="s">
        <v>28</v>
      </c>
      <c r="P117" s="87">
        <v>3.82</v>
      </c>
      <c r="Q117" s="62">
        <f t="shared" si="41"/>
        <v>4.1010000000001767</v>
      </c>
      <c r="R117" s="63">
        <f t="shared" si="44"/>
        <v>1189.299</v>
      </c>
    </row>
    <row r="118" spans="1:18" ht="13.5" thickBot="1">
      <c r="A118" s="96" t="s">
        <v>36</v>
      </c>
      <c r="B118" s="116">
        <v>1184.23</v>
      </c>
      <c r="C118" s="117" t="s">
        <v>37</v>
      </c>
      <c r="D118" s="116" t="s">
        <v>37</v>
      </c>
      <c r="E118" s="118" t="s">
        <v>37</v>
      </c>
      <c r="F118" s="119" t="s">
        <v>37</v>
      </c>
      <c r="G118" s="120" t="s">
        <v>37</v>
      </c>
      <c r="H118" s="121" t="s">
        <v>37</v>
      </c>
      <c r="I118" s="122" t="s">
        <v>37</v>
      </c>
      <c r="J118" s="123" t="s">
        <v>37</v>
      </c>
      <c r="K118" s="104">
        <v>4.7300000000000004</v>
      </c>
      <c r="L118" s="101" t="s">
        <v>37</v>
      </c>
      <c r="M118" s="102">
        <f>$B118-K118</f>
        <v>1179.5</v>
      </c>
      <c r="N118" s="122" t="s">
        <v>37</v>
      </c>
      <c r="O118" s="123" t="s">
        <v>37</v>
      </c>
      <c r="P118" s="104">
        <v>4.6500000000000004</v>
      </c>
      <c r="Q118" s="101" t="s">
        <v>37</v>
      </c>
      <c r="R118" s="102">
        <f>$B118-P118</f>
        <v>1179.58</v>
      </c>
    </row>
    <row r="119" spans="1:18">
      <c r="A119" s="106"/>
      <c r="B119" s="107"/>
      <c r="C119" s="107"/>
      <c r="D119" s="107"/>
      <c r="E119" s="107"/>
      <c r="F119" s="108"/>
      <c r="G119" s="109"/>
      <c r="H119" s="109"/>
      <c r="I119" s="110"/>
      <c r="J119" s="109"/>
      <c r="K119" s="109"/>
      <c r="L119" s="109"/>
      <c r="M119" s="109"/>
    </row>
    <row r="120" spans="1:18">
      <c r="A120" s="3" t="s">
        <v>38</v>
      </c>
      <c r="B120" s="3" t="s">
        <v>39</v>
      </c>
    </row>
    <row r="121" spans="1:18">
      <c r="A121" s="3" t="s">
        <v>40</v>
      </c>
      <c r="B121" s="3" t="s">
        <v>41</v>
      </c>
    </row>
    <row r="122" spans="1:18">
      <c r="A122" s="81" t="s">
        <v>34</v>
      </c>
      <c r="B122" s="81" t="s">
        <v>42</v>
      </c>
      <c r="C122" s="81"/>
      <c r="D122" s="81"/>
      <c r="E122" s="81"/>
      <c r="F122" s="81"/>
      <c r="G122" s="81"/>
      <c r="H122" s="81"/>
      <c r="I122" s="81"/>
    </row>
    <row r="123" spans="1:18">
      <c r="A123" s="81" t="s">
        <v>28</v>
      </c>
      <c r="B123" s="81" t="s">
        <v>43</v>
      </c>
      <c r="C123" s="81"/>
      <c r="D123" s="81"/>
      <c r="E123" s="81"/>
      <c r="F123" s="81"/>
      <c r="G123" s="81"/>
      <c r="H123" s="81"/>
      <c r="I123" s="81"/>
    </row>
    <row r="124" spans="1:18" ht="12.75" customHeight="1">
      <c r="A124" s="81" t="s">
        <v>44</v>
      </c>
      <c r="B124" s="81" t="s">
        <v>45</v>
      </c>
      <c r="C124" s="81"/>
      <c r="D124" s="81"/>
      <c r="E124" s="81"/>
      <c r="F124" s="81"/>
      <c r="G124" s="81"/>
      <c r="H124" s="81"/>
      <c r="I124" s="81"/>
    </row>
    <row r="125" spans="1:18">
      <c r="A125" s="112" t="s">
        <v>46</v>
      </c>
      <c r="B125" s="112" t="s">
        <v>47</v>
      </c>
      <c r="C125" s="112"/>
      <c r="D125" s="81"/>
      <c r="E125" s="81"/>
      <c r="F125" s="81"/>
      <c r="G125" s="81"/>
      <c r="H125" s="81"/>
      <c r="I125" s="81"/>
    </row>
    <row r="126" spans="1:18">
      <c r="A126" s="113">
        <v>1</v>
      </c>
      <c r="B126" s="81" t="s">
        <v>48</v>
      </c>
      <c r="C126" s="81"/>
      <c r="D126" s="81"/>
      <c r="E126" s="81"/>
      <c r="F126" s="81"/>
      <c r="G126" s="81"/>
      <c r="H126" s="81"/>
      <c r="I126" s="81"/>
      <c r="J126" s="81"/>
    </row>
    <row r="127" spans="1:18" ht="13.5" thickBot="1">
      <c r="A127" s="113">
        <v>2</v>
      </c>
      <c r="B127" s="81" t="s">
        <v>56</v>
      </c>
      <c r="C127" s="81"/>
      <c r="D127" s="81"/>
      <c r="E127" s="81"/>
      <c r="F127" s="81"/>
      <c r="G127" s="81"/>
      <c r="H127" s="81"/>
      <c r="I127" s="81"/>
      <c r="J127" s="81"/>
    </row>
    <row r="128" spans="1:18">
      <c r="A128" s="10"/>
      <c r="B128" s="196" t="s">
        <v>10</v>
      </c>
      <c r="C128" s="198" t="s">
        <v>11</v>
      </c>
      <c r="D128" s="198" t="s">
        <v>12</v>
      </c>
      <c r="E128" s="200" t="s">
        <v>13</v>
      </c>
      <c r="F128" s="201"/>
      <c r="G128" s="201"/>
      <c r="H128" s="202"/>
      <c r="I128" s="203">
        <v>41199</v>
      </c>
      <c r="J128" s="204"/>
      <c r="K128" s="204"/>
      <c r="L128" s="204"/>
      <c r="M128" s="205"/>
      <c r="N128" s="203">
        <v>41226</v>
      </c>
      <c r="O128" s="204"/>
      <c r="P128" s="204"/>
      <c r="Q128" s="204"/>
      <c r="R128" s="205"/>
    </row>
    <row r="129" spans="1:18" ht="25.5">
      <c r="A129" s="11" t="s">
        <v>14</v>
      </c>
      <c r="B129" s="197"/>
      <c r="C129" s="199"/>
      <c r="D129" s="199"/>
      <c r="E129" s="206" t="s">
        <v>15</v>
      </c>
      <c r="F129" s="207"/>
      <c r="G129" s="207" t="s">
        <v>16</v>
      </c>
      <c r="H129" s="208"/>
      <c r="I129" s="12" t="s">
        <v>17</v>
      </c>
      <c r="J129" s="13" t="s">
        <v>18</v>
      </c>
      <c r="K129" s="209" t="s">
        <v>19</v>
      </c>
      <c r="L129" s="210"/>
      <c r="M129" s="14" t="s">
        <v>20</v>
      </c>
      <c r="N129" s="12" t="s">
        <v>17</v>
      </c>
      <c r="O129" s="13" t="s">
        <v>18</v>
      </c>
      <c r="P129" s="209" t="s">
        <v>19</v>
      </c>
      <c r="Q129" s="210"/>
      <c r="R129" s="14" t="s">
        <v>20</v>
      </c>
    </row>
    <row r="130" spans="1:18" ht="16.5" thickBot="1">
      <c r="A130" s="16"/>
      <c r="B130" s="17" t="s">
        <v>49</v>
      </c>
      <c r="C130" s="18" t="s">
        <v>49</v>
      </c>
      <c r="D130" s="19" t="s">
        <v>22</v>
      </c>
      <c r="E130" s="20" t="s">
        <v>22</v>
      </c>
      <c r="F130" s="21" t="s">
        <v>23</v>
      </c>
      <c r="G130" s="22" t="s">
        <v>22</v>
      </c>
      <c r="H130" s="23" t="s">
        <v>23</v>
      </c>
      <c r="I130" s="24" t="s">
        <v>24</v>
      </c>
      <c r="J130" s="25" t="s">
        <v>25</v>
      </c>
      <c r="K130" s="26" t="s">
        <v>24</v>
      </c>
      <c r="L130" s="27" t="s">
        <v>22</v>
      </c>
      <c r="M130" s="28" t="s">
        <v>26</v>
      </c>
      <c r="N130" s="24" t="s">
        <v>24</v>
      </c>
      <c r="O130" s="25" t="s">
        <v>25</v>
      </c>
      <c r="P130" s="26" t="s">
        <v>24</v>
      </c>
      <c r="Q130" s="27" t="s">
        <v>22</v>
      </c>
      <c r="R130" s="28" t="s">
        <v>26</v>
      </c>
    </row>
    <row r="131" spans="1:18">
      <c r="A131" s="31" t="s">
        <v>27</v>
      </c>
      <c r="B131" s="32">
        <v>1194.76</v>
      </c>
      <c r="C131" s="33">
        <v>1195.18</v>
      </c>
      <c r="D131" s="34">
        <f>C131-B131+16.3</f>
        <v>16.720000000000073</v>
      </c>
      <c r="E131" s="35">
        <f>G131-12</f>
        <v>4.7200000000000735</v>
      </c>
      <c r="F131" s="36">
        <f t="shared" ref="F131:F143" si="45">+C131-E131</f>
        <v>1190.46</v>
      </c>
      <c r="G131" s="36">
        <f t="shared" ref="G131:G143" si="46">D131</f>
        <v>16.720000000000073</v>
      </c>
      <c r="H131" s="37">
        <f t="shared" ref="H131:H143" si="47">+C131-G131</f>
        <v>1178.46</v>
      </c>
      <c r="I131" s="42" t="s">
        <v>28</v>
      </c>
      <c r="J131" s="43" t="s">
        <v>28</v>
      </c>
      <c r="K131" s="40">
        <v>7.35</v>
      </c>
      <c r="L131" s="41">
        <f t="shared" ref="L131:L144" si="48">+($C131-$B131)+K131</f>
        <v>7.7700000000000724</v>
      </c>
      <c r="M131" s="37">
        <f t="shared" ref="M131:M136" si="49">$B131-K131</f>
        <v>1187.4100000000001</v>
      </c>
      <c r="N131" s="42" t="s">
        <v>28</v>
      </c>
      <c r="O131" s="43" t="s">
        <v>28</v>
      </c>
      <c r="P131" s="40">
        <v>7.38</v>
      </c>
      <c r="Q131" s="41">
        <f t="shared" ref="Q131:Q144" si="50">+($C131-$B131)+P131</f>
        <v>7.8000000000000727</v>
      </c>
      <c r="R131" s="37">
        <f t="shared" ref="R131:R136" si="51">$B131-P131</f>
        <v>1187.3799999999999</v>
      </c>
    </row>
    <row r="132" spans="1:18">
      <c r="A132" s="46" t="s">
        <v>29</v>
      </c>
      <c r="B132" s="47">
        <v>1192.58</v>
      </c>
      <c r="C132" s="33">
        <v>1192.92</v>
      </c>
      <c r="D132" s="48">
        <f>C132-B132+12.42</f>
        <v>12.760000000000145</v>
      </c>
      <c r="E132" s="49">
        <f>G132-9</f>
        <v>3.7600000000001454</v>
      </c>
      <c r="F132" s="33">
        <f t="shared" si="45"/>
        <v>1189.1599999999999</v>
      </c>
      <c r="G132" s="33">
        <f t="shared" si="46"/>
        <v>12.760000000000145</v>
      </c>
      <c r="H132" s="50">
        <f t="shared" si="47"/>
        <v>1180.1599999999999</v>
      </c>
      <c r="I132" s="54" t="s">
        <v>28</v>
      </c>
      <c r="J132" s="55" t="s">
        <v>28</v>
      </c>
      <c r="K132" s="53">
        <v>8.15</v>
      </c>
      <c r="L132" s="53">
        <f t="shared" si="48"/>
        <v>8.4900000000001459</v>
      </c>
      <c r="M132" s="50">
        <f t="shared" si="49"/>
        <v>1184.4299999999998</v>
      </c>
      <c r="N132" s="54" t="s">
        <v>28</v>
      </c>
      <c r="O132" s="55" t="s">
        <v>28</v>
      </c>
      <c r="P132" s="53">
        <v>7.14</v>
      </c>
      <c r="Q132" s="53">
        <f t="shared" si="50"/>
        <v>7.4800000000001452</v>
      </c>
      <c r="R132" s="50">
        <f t="shared" si="51"/>
        <v>1185.4399999999998</v>
      </c>
    </row>
    <row r="133" spans="1:18">
      <c r="A133" s="56" t="s">
        <v>30</v>
      </c>
      <c r="B133" s="57">
        <v>1191.2</v>
      </c>
      <c r="C133" s="58">
        <v>1191.5999999999999</v>
      </c>
      <c r="D133" s="59">
        <f>C133-B133+13.42</f>
        <v>13.819999999999864</v>
      </c>
      <c r="E133" s="49">
        <f>G133-10</f>
        <v>3.8199999999998635</v>
      </c>
      <c r="F133" s="33">
        <f t="shared" si="45"/>
        <v>1187.78</v>
      </c>
      <c r="G133" s="33">
        <f t="shared" si="46"/>
        <v>13.819999999999864</v>
      </c>
      <c r="H133" s="50">
        <f t="shared" si="47"/>
        <v>1177.78</v>
      </c>
      <c r="I133" s="64" t="s">
        <v>28</v>
      </c>
      <c r="J133" s="65" t="s">
        <v>28</v>
      </c>
      <c r="K133" s="62">
        <v>9.3000000000000007</v>
      </c>
      <c r="L133" s="62">
        <f t="shared" si="48"/>
        <v>9.6999999999998643</v>
      </c>
      <c r="M133" s="63">
        <f t="shared" si="49"/>
        <v>1181.9000000000001</v>
      </c>
      <c r="N133" s="64" t="s">
        <v>28</v>
      </c>
      <c r="O133" s="65" t="s">
        <v>28</v>
      </c>
      <c r="P133" s="62">
        <v>9.34</v>
      </c>
      <c r="Q133" s="62">
        <f t="shared" si="50"/>
        <v>9.7399999999998634</v>
      </c>
      <c r="R133" s="63">
        <f t="shared" si="51"/>
        <v>1181.8600000000001</v>
      </c>
    </row>
    <row r="134" spans="1:18">
      <c r="A134" s="46" t="s">
        <v>31</v>
      </c>
      <c r="B134" s="47">
        <v>1189.9000000000001</v>
      </c>
      <c r="C134" s="49">
        <v>1190.28</v>
      </c>
      <c r="D134" s="48">
        <f>C134-B134+13.65</f>
        <v>14.029999999999882</v>
      </c>
      <c r="E134" s="49">
        <f>G134-10</f>
        <v>4.0299999999998821</v>
      </c>
      <c r="F134" s="33">
        <f t="shared" si="45"/>
        <v>1186.25</v>
      </c>
      <c r="G134" s="33">
        <f t="shared" si="46"/>
        <v>14.029999999999882</v>
      </c>
      <c r="H134" s="50">
        <f t="shared" si="47"/>
        <v>1176.25</v>
      </c>
      <c r="I134" s="54" t="s">
        <v>28</v>
      </c>
      <c r="J134" s="55" t="s">
        <v>28</v>
      </c>
      <c r="K134" s="53">
        <v>8.27</v>
      </c>
      <c r="L134" s="53">
        <f t="shared" si="48"/>
        <v>8.6499999999998813</v>
      </c>
      <c r="M134" s="50">
        <f t="shared" si="49"/>
        <v>1181.6300000000001</v>
      </c>
      <c r="N134" s="54" t="s">
        <v>28</v>
      </c>
      <c r="O134" s="55" t="s">
        <v>28</v>
      </c>
      <c r="P134" s="53">
        <v>8.36</v>
      </c>
      <c r="Q134" s="53">
        <f t="shared" si="50"/>
        <v>8.7399999999998812</v>
      </c>
      <c r="R134" s="50">
        <f t="shared" si="51"/>
        <v>1181.5400000000002</v>
      </c>
    </row>
    <row r="135" spans="1:18">
      <c r="A135" s="82" t="s">
        <v>32</v>
      </c>
      <c r="B135" s="83">
        <v>1192.17</v>
      </c>
      <c r="C135" s="84">
        <v>1192.48</v>
      </c>
      <c r="D135" s="57">
        <f>C135-B135+13.55</f>
        <v>13.859999999999946</v>
      </c>
      <c r="E135" s="85">
        <f>G135-10</f>
        <v>3.8599999999999461</v>
      </c>
      <c r="F135" s="86">
        <f t="shared" si="45"/>
        <v>1188.6200000000001</v>
      </c>
      <c r="G135" s="62">
        <f t="shared" si="46"/>
        <v>13.859999999999946</v>
      </c>
      <c r="H135" s="63">
        <f t="shared" si="47"/>
        <v>1178.6200000000001</v>
      </c>
      <c r="I135" s="64" t="s">
        <v>28</v>
      </c>
      <c r="J135" s="65" t="s">
        <v>28</v>
      </c>
      <c r="K135" s="87">
        <v>10.46</v>
      </c>
      <c r="L135" s="88">
        <f t="shared" si="48"/>
        <v>10.769999999999946</v>
      </c>
      <c r="M135" s="98">
        <f t="shared" si="49"/>
        <v>1181.71</v>
      </c>
      <c r="N135" s="64" t="s">
        <v>28</v>
      </c>
      <c r="O135" s="65" t="s">
        <v>28</v>
      </c>
      <c r="P135" s="65">
        <v>10.6</v>
      </c>
      <c r="Q135" s="88">
        <f t="shared" si="50"/>
        <v>10.909999999999945</v>
      </c>
      <c r="R135" s="98">
        <f t="shared" si="51"/>
        <v>1181.5700000000002</v>
      </c>
    </row>
    <row r="136" spans="1:18">
      <c r="A136" s="46" t="s">
        <v>33</v>
      </c>
      <c r="B136" s="90">
        <v>1190.67</v>
      </c>
      <c r="C136" s="91">
        <v>1190.8800000000001</v>
      </c>
      <c r="D136" s="47">
        <f>C136-B136+13.3</f>
        <v>13.510000000000037</v>
      </c>
      <c r="E136" s="92">
        <f>G136-9.5</f>
        <v>4.0100000000000371</v>
      </c>
      <c r="F136" s="33">
        <f t="shared" si="45"/>
        <v>1186.8700000000001</v>
      </c>
      <c r="G136" s="53">
        <f t="shared" si="46"/>
        <v>13.510000000000037</v>
      </c>
      <c r="H136" s="50">
        <f t="shared" si="47"/>
        <v>1177.3700000000001</v>
      </c>
      <c r="I136" s="54" t="s">
        <v>28</v>
      </c>
      <c r="J136" s="55" t="s">
        <v>28</v>
      </c>
      <c r="K136" s="93">
        <v>6.62</v>
      </c>
      <c r="L136" s="53">
        <f t="shared" si="48"/>
        <v>6.8300000000000365</v>
      </c>
      <c r="M136" s="98">
        <f t="shared" si="49"/>
        <v>1184.0500000000002</v>
      </c>
      <c r="N136" s="54" t="s">
        <v>28</v>
      </c>
      <c r="O136" s="55" t="s">
        <v>28</v>
      </c>
      <c r="P136" s="93">
        <v>6.64</v>
      </c>
      <c r="Q136" s="53">
        <f t="shared" si="50"/>
        <v>6.8500000000000361</v>
      </c>
      <c r="R136" s="98">
        <f t="shared" si="51"/>
        <v>1184.03</v>
      </c>
    </row>
    <row r="137" spans="1:18">
      <c r="A137" s="56" t="s">
        <v>35</v>
      </c>
      <c r="B137" s="83">
        <v>1187.74</v>
      </c>
      <c r="C137" s="84">
        <v>1187.82</v>
      </c>
      <c r="D137" s="57">
        <f>C137-B137+15.2</f>
        <v>15.279999999999927</v>
      </c>
      <c r="E137" s="85">
        <f>G137-11</f>
        <v>4.2799999999999265</v>
      </c>
      <c r="F137" s="86">
        <f t="shared" si="45"/>
        <v>1183.54</v>
      </c>
      <c r="G137" s="62">
        <f t="shared" si="46"/>
        <v>15.279999999999927</v>
      </c>
      <c r="H137" s="63">
        <f t="shared" si="47"/>
        <v>1172.54</v>
      </c>
      <c r="I137" s="64" t="s">
        <v>28</v>
      </c>
      <c r="J137" s="65" t="s">
        <v>28</v>
      </c>
      <c r="K137" s="65">
        <v>5.95</v>
      </c>
      <c r="L137" s="62">
        <f t="shared" si="48"/>
        <v>6.0299999999999274</v>
      </c>
      <c r="M137" s="63">
        <f>$B137-K137</f>
        <v>1181.79</v>
      </c>
      <c r="N137" s="64" t="s">
        <v>28</v>
      </c>
      <c r="O137" s="65" t="s">
        <v>28</v>
      </c>
      <c r="P137" s="65">
        <v>6.05</v>
      </c>
      <c r="Q137" s="62">
        <f t="shared" si="50"/>
        <v>6.1299999999999271</v>
      </c>
      <c r="R137" s="63">
        <f>$B137-P137</f>
        <v>1181.69</v>
      </c>
    </row>
    <row r="138" spans="1:18">
      <c r="A138" s="56" t="s">
        <v>50</v>
      </c>
      <c r="B138" s="83">
        <v>1187.68</v>
      </c>
      <c r="C138" s="84">
        <v>1188.3800000000001</v>
      </c>
      <c r="D138" s="57">
        <f>C138-B138+12.61</f>
        <v>13.310000000000045</v>
      </c>
      <c r="E138" s="85">
        <f>G138-11</f>
        <v>2.3100000000000449</v>
      </c>
      <c r="F138" s="86">
        <f t="shared" si="45"/>
        <v>1186.0700000000002</v>
      </c>
      <c r="G138" s="62">
        <f t="shared" si="46"/>
        <v>13.310000000000045</v>
      </c>
      <c r="H138" s="63">
        <f t="shared" si="47"/>
        <v>1175.0700000000002</v>
      </c>
      <c r="I138" s="64" t="s">
        <v>28</v>
      </c>
      <c r="J138" s="65" t="s">
        <v>28</v>
      </c>
      <c r="K138" s="65">
        <v>5.27</v>
      </c>
      <c r="L138" s="62">
        <f t="shared" si="48"/>
        <v>5.970000000000045</v>
      </c>
      <c r="M138" s="63">
        <f t="shared" ref="M138:M144" si="52">$B138-K138</f>
        <v>1182.4100000000001</v>
      </c>
      <c r="N138" s="64" t="s">
        <v>28</v>
      </c>
      <c r="O138" s="65" t="s">
        <v>28</v>
      </c>
      <c r="P138" s="65">
        <v>5.18</v>
      </c>
      <c r="Q138" s="62">
        <f t="shared" si="50"/>
        <v>5.8800000000000452</v>
      </c>
      <c r="R138" s="63">
        <f t="shared" ref="R138:R144" si="53">$B138-P138</f>
        <v>1182.5</v>
      </c>
    </row>
    <row r="139" spans="1:18">
      <c r="A139" s="56" t="s">
        <v>51</v>
      </c>
      <c r="B139" s="83">
        <v>1184.0899999999999</v>
      </c>
      <c r="C139" s="115">
        <v>1184.5999999999999</v>
      </c>
      <c r="D139" s="57">
        <f>C139-B139+10.73</f>
        <v>11.239999999999991</v>
      </c>
      <c r="E139" s="85">
        <f>G139-8</f>
        <v>3.2399999999999913</v>
      </c>
      <c r="F139" s="86">
        <f t="shared" si="45"/>
        <v>1181.3599999999999</v>
      </c>
      <c r="G139" s="62">
        <f t="shared" si="46"/>
        <v>11.239999999999991</v>
      </c>
      <c r="H139" s="63">
        <f t="shared" si="47"/>
        <v>1173.3599999999999</v>
      </c>
      <c r="I139" s="64" t="s">
        <v>28</v>
      </c>
      <c r="J139" s="65" t="s">
        <v>28</v>
      </c>
      <c r="K139" s="65">
        <v>4.47</v>
      </c>
      <c r="L139" s="62">
        <f t="shared" si="48"/>
        <v>4.9799999999999907</v>
      </c>
      <c r="M139" s="63">
        <f t="shared" si="52"/>
        <v>1179.6199999999999</v>
      </c>
      <c r="N139" s="64" t="s">
        <v>28</v>
      </c>
      <c r="O139" s="65" t="s">
        <v>28</v>
      </c>
      <c r="P139" s="65">
        <v>4.3499999999999996</v>
      </c>
      <c r="Q139" s="62">
        <f t="shared" si="50"/>
        <v>4.8599999999999905</v>
      </c>
      <c r="R139" s="63">
        <f t="shared" si="53"/>
        <v>1179.74</v>
      </c>
    </row>
    <row r="140" spans="1:18">
      <c r="A140" s="56" t="s">
        <v>52</v>
      </c>
      <c r="B140" s="83">
        <v>1192.1099999999999</v>
      </c>
      <c r="C140" s="84">
        <v>1192.6500000000001</v>
      </c>
      <c r="D140" s="57">
        <f>C140-B140+15</f>
        <v>15.540000000000191</v>
      </c>
      <c r="E140" s="85">
        <f>G140-12</f>
        <v>3.540000000000191</v>
      </c>
      <c r="F140" s="86">
        <f t="shared" si="45"/>
        <v>1189.1099999999999</v>
      </c>
      <c r="G140" s="62">
        <f t="shared" si="46"/>
        <v>15.540000000000191</v>
      </c>
      <c r="H140" s="63">
        <f t="shared" si="47"/>
        <v>1177.1099999999999</v>
      </c>
      <c r="I140" s="64" t="s">
        <v>28</v>
      </c>
      <c r="J140" s="65" t="s">
        <v>28</v>
      </c>
      <c r="K140" s="87">
        <v>10.32</v>
      </c>
      <c r="L140" s="62">
        <f t="shared" si="48"/>
        <v>10.860000000000191</v>
      </c>
      <c r="M140" s="63">
        <f t="shared" si="52"/>
        <v>1181.79</v>
      </c>
      <c r="N140" s="64" t="s">
        <v>28</v>
      </c>
      <c r="O140" s="65" t="s">
        <v>28</v>
      </c>
      <c r="P140" s="87">
        <v>10.42</v>
      </c>
      <c r="Q140" s="62">
        <f t="shared" si="50"/>
        <v>10.960000000000191</v>
      </c>
      <c r="R140" s="63">
        <f t="shared" si="53"/>
        <v>1181.6899999999998</v>
      </c>
    </row>
    <row r="141" spans="1:18">
      <c r="A141" s="56" t="s">
        <v>53</v>
      </c>
      <c r="B141" s="83">
        <v>1193.8699999999999</v>
      </c>
      <c r="C141" s="84">
        <v>1194.3599999999999</v>
      </c>
      <c r="D141" s="57">
        <f>C141-B141+10.7</f>
        <v>11.190000000000008</v>
      </c>
      <c r="E141" s="85">
        <f>G141-7</f>
        <v>4.1900000000000084</v>
      </c>
      <c r="F141" s="86">
        <f t="shared" si="45"/>
        <v>1190.1699999999998</v>
      </c>
      <c r="G141" s="62">
        <f t="shared" si="46"/>
        <v>11.190000000000008</v>
      </c>
      <c r="H141" s="63">
        <f t="shared" si="47"/>
        <v>1183.1699999999998</v>
      </c>
      <c r="I141" s="64" t="s">
        <v>28</v>
      </c>
      <c r="J141" s="65" t="s">
        <v>28</v>
      </c>
      <c r="K141" s="87">
        <v>3.84</v>
      </c>
      <c r="L141" s="62">
        <f t="shared" si="48"/>
        <v>4.330000000000009</v>
      </c>
      <c r="M141" s="63">
        <f t="shared" si="52"/>
        <v>1190.03</v>
      </c>
      <c r="N141" s="64" t="s">
        <v>28</v>
      </c>
      <c r="O141" s="65" t="s">
        <v>28</v>
      </c>
      <c r="P141" s="65">
        <v>3.8</v>
      </c>
      <c r="Q141" s="62">
        <f t="shared" si="50"/>
        <v>4.2900000000000089</v>
      </c>
      <c r="R141" s="63">
        <f t="shared" si="53"/>
        <v>1190.07</v>
      </c>
    </row>
    <row r="142" spans="1:18">
      <c r="A142" s="56" t="s">
        <v>54</v>
      </c>
      <c r="B142" s="83">
        <v>1185.1099999999999</v>
      </c>
      <c r="C142" s="84">
        <v>1185.55</v>
      </c>
      <c r="D142" s="57">
        <f>C142-B142+12.48</f>
        <v>12.920000000000055</v>
      </c>
      <c r="E142" s="85">
        <f>G142-9</f>
        <v>3.920000000000055</v>
      </c>
      <c r="F142" s="86">
        <f t="shared" si="45"/>
        <v>1181.6299999999999</v>
      </c>
      <c r="G142" s="62">
        <f t="shared" si="46"/>
        <v>12.920000000000055</v>
      </c>
      <c r="H142" s="63">
        <f t="shared" si="47"/>
        <v>1172.6299999999999</v>
      </c>
      <c r="I142" s="64" t="s">
        <v>28</v>
      </c>
      <c r="J142" s="65" t="s">
        <v>28</v>
      </c>
      <c r="K142" s="65">
        <v>3.98</v>
      </c>
      <c r="L142" s="62">
        <f t="shared" si="48"/>
        <v>4.420000000000055</v>
      </c>
      <c r="M142" s="63">
        <f t="shared" si="52"/>
        <v>1181.1299999999999</v>
      </c>
      <c r="N142" s="64" t="s">
        <v>28</v>
      </c>
      <c r="O142" s="65" t="s">
        <v>28</v>
      </c>
      <c r="P142" s="65">
        <v>3.92</v>
      </c>
      <c r="Q142" s="62">
        <f t="shared" si="50"/>
        <v>4.3600000000000545</v>
      </c>
      <c r="R142" s="63">
        <f t="shared" si="53"/>
        <v>1181.1899999999998</v>
      </c>
    </row>
    <row r="143" spans="1:18">
      <c r="A143" s="56" t="s">
        <v>55</v>
      </c>
      <c r="B143" s="83">
        <v>1189.1600000000001</v>
      </c>
      <c r="C143" s="84">
        <v>1189.76</v>
      </c>
      <c r="D143" s="57">
        <f>C143-B143+15.13</f>
        <v>15.72999999999991</v>
      </c>
      <c r="E143" s="85">
        <f>G143-12</f>
        <v>3.7299999999999098</v>
      </c>
      <c r="F143" s="86">
        <f t="shared" si="45"/>
        <v>1186.03</v>
      </c>
      <c r="G143" s="62">
        <f t="shared" si="46"/>
        <v>15.72999999999991</v>
      </c>
      <c r="H143" s="63">
        <f t="shared" si="47"/>
        <v>1174.03</v>
      </c>
      <c r="I143" s="64" t="s">
        <v>28</v>
      </c>
      <c r="J143" s="65" t="s">
        <v>28</v>
      </c>
      <c r="K143" s="87">
        <v>7.42</v>
      </c>
      <c r="L143" s="62">
        <f t="shared" si="48"/>
        <v>8.019999999999909</v>
      </c>
      <c r="M143" s="63">
        <f t="shared" si="52"/>
        <v>1181.74</v>
      </c>
      <c r="N143" s="64" t="s">
        <v>28</v>
      </c>
      <c r="O143" s="65" t="s">
        <v>28</v>
      </c>
      <c r="P143" s="87">
        <v>7.54</v>
      </c>
      <c r="Q143" s="62">
        <f t="shared" si="50"/>
        <v>8.1399999999999082</v>
      </c>
      <c r="R143" s="63">
        <f t="shared" si="53"/>
        <v>1181.6200000000001</v>
      </c>
    </row>
    <row r="144" spans="1:18">
      <c r="A144" s="56" t="s">
        <v>57</v>
      </c>
      <c r="B144" s="47">
        <v>1193.1189999999999</v>
      </c>
      <c r="C144" s="47">
        <v>1193.4000000000001</v>
      </c>
      <c r="D144" s="47">
        <f>C144-B144+4.94</f>
        <v>5.2210000000001768</v>
      </c>
      <c r="E144" s="92">
        <f>G144-1.1</f>
        <v>4.1210000000001763</v>
      </c>
      <c r="F144" s="33">
        <f>+C144-E144</f>
        <v>1189.279</v>
      </c>
      <c r="G144" s="53">
        <f>D144</f>
        <v>5.2210000000001768</v>
      </c>
      <c r="H144" s="50">
        <f>+C144-G144</f>
        <v>1188.1789999999999</v>
      </c>
      <c r="I144" s="33" t="s">
        <v>28</v>
      </c>
      <c r="J144" s="53" t="s">
        <v>28</v>
      </c>
      <c r="K144" s="87">
        <v>3.85</v>
      </c>
      <c r="L144" s="62">
        <f t="shared" si="48"/>
        <v>4.1310000000001761</v>
      </c>
      <c r="M144" s="63">
        <f t="shared" si="52"/>
        <v>1189.269</v>
      </c>
      <c r="N144" s="33" t="s">
        <v>28</v>
      </c>
      <c r="O144" s="53" t="s">
        <v>28</v>
      </c>
      <c r="P144" s="87">
        <v>3.71</v>
      </c>
      <c r="Q144" s="62">
        <f t="shared" si="50"/>
        <v>3.9910000000001764</v>
      </c>
      <c r="R144" s="63">
        <f t="shared" si="53"/>
        <v>1189.4089999999999</v>
      </c>
    </row>
    <row r="145" spans="1:18" ht="13.5" thickBot="1">
      <c r="A145" s="96" t="s">
        <v>36</v>
      </c>
      <c r="B145" s="116">
        <v>1184.23</v>
      </c>
      <c r="C145" s="117" t="s">
        <v>37</v>
      </c>
      <c r="D145" s="116" t="s">
        <v>37</v>
      </c>
      <c r="E145" s="118" t="s">
        <v>37</v>
      </c>
      <c r="F145" s="119" t="s">
        <v>37</v>
      </c>
      <c r="G145" s="120" t="s">
        <v>37</v>
      </c>
      <c r="H145" s="121" t="s">
        <v>37</v>
      </c>
      <c r="I145" s="122" t="s">
        <v>37</v>
      </c>
      <c r="J145" s="123" t="s">
        <v>37</v>
      </c>
      <c r="K145" s="104">
        <v>4.5999999999999996</v>
      </c>
      <c r="L145" s="101" t="s">
        <v>37</v>
      </c>
      <c r="M145" s="102">
        <f>$B145-K145</f>
        <v>1179.6300000000001</v>
      </c>
      <c r="N145" s="122" t="s">
        <v>37</v>
      </c>
      <c r="O145" s="123" t="s">
        <v>37</v>
      </c>
      <c r="P145" s="104">
        <v>4.55</v>
      </c>
      <c r="Q145" s="101" t="s">
        <v>37</v>
      </c>
      <c r="R145" s="102">
        <f>$B145-P145</f>
        <v>1179.68</v>
      </c>
    </row>
    <row r="146" spans="1:18">
      <c r="A146" s="106"/>
      <c r="B146" s="107"/>
      <c r="C146" s="107"/>
      <c r="D146" s="107"/>
      <c r="E146" s="107"/>
      <c r="F146" s="108"/>
      <c r="G146" s="109"/>
      <c r="H146" s="109"/>
      <c r="I146" s="110"/>
      <c r="J146" s="109"/>
      <c r="K146" s="109"/>
      <c r="L146" s="109"/>
      <c r="M146" s="109"/>
    </row>
    <row r="147" spans="1:18">
      <c r="A147" s="3" t="s">
        <v>38</v>
      </c>
      <c r="B147" s="3" t="s">
        <v>39</v>
      </c>
    </row>
    <row r="148" spans="1:18">
      <c r="A148" s="3" t="s">
        <v>40</v>
      </c>
      <c r="B148" s="3" t="s">
        <v>41</v>
      </c>
    </row>
    <row r="149" spans="1:18">
      <c r="A149" s="81" t="s">
        <v>34</v>
      </c>
      <c r="B149" s="81" t="s">
        <v>42</v>
      </c>
      <c r="C149" s="81"/>
      <c r="D149" s="81"/>
      <c r="E149" s="81"/>
      <c r="F149" s="81"/>
      <c r="G149" s="81"/>
      <c r="H149" s="81"/>
      <c r="I149" s="81"/>
    </row>
    <row r="150" spans="1:18">
      <c r="A150" s="81" t="s">
        <v>28</v>
      </c>
      <c r="B150" s="81" t="s">
        <v>43</v>
      </c>
      <c r="C150" s="81"/>
      <c r="D150" s="81"/>
      <c r="E150" s="81"/>
      <c r="F150" s="81"/>
      <c r="G150" s="81"/>
      <c r="H150" s="81"/>
      <c r="I150" s="81"/>
    </row>
    <row r="151" spans="1:18">
      <c r="A151" s="81" t="s">
        <v>44</v>
      </c>
      <c r="B151" s="81" t="s">
        <v>45</v>
      </c>
      <c r="C151" s="81"/>
      <c r="D151" s="81"/>
      <c r="E151" s="81"/>
      <c r="F151" s="81"/>
      <c r="G151" s="81"/>
      <c r="H151" s="81"/>
      <c r="I151" s="81"/>
    </row>
    <row r="152" spans="1:18">
      <c r="A152" s="112" t="s">
        <v>46</v>
      </c>
      <c r="B152" s="112" t="s">
        <v>47</v>
      </c>
      <c r="C152" s="112"/>
      <c r="D152" s="81"/>
      <c r="E152" s="81"/>
      <c r="F152" s="81"/>
      <c r="G152" s="81"/>
      <c r="H152" s="81"/>
      <c r="I152" s="81"/>
    </row>
    <row r="153" spans="1:18">
      <c r="A153" s="113">
        <v>1</v>
      </c>
      <c r="B153" s="81" t="s">
        <v>48</v>
      </c>
      <c r="C153" s="81"/>
      <c r="D153" s="81"/>
      <c r="E153" s="81"/>
      <c r="F153" s="81"/>
      <c r="G153" s="81"/>
      <c r="H153" s="81"/>
      <c r="I153" s="81"/>
      <c r="J153" s="81"/>
    </row>
    <row r="154" spans="1:18" ht="13.5" thickBot="1">
      <c r="A154" s="113">
        <v>2</v>
      </c>
      <c r="B154" s="81" t="s">
        <v>56</v>
      </c>
      <c r="C154" s="81"/>
      <c r="D154" s="81"/>
      <c r="E154" s="81"/>
      <c r="F154" s="81"/>
      <c r="G154" s="81"/>
      <c r="H154" s="81"/>
      <c r="I154" s="81"/>
      <c r="J154" s="81"/>
    </row>
    <row r="155" spans="1:18">
      <c r="A155" s="10"/>
      <c r="B155" s="196" t="s">
        <v>10</v>
      </c>
      <c r="C155" s="198" t="s">
        <v>11</v>
      </c>
      <c r="D155" s="198" t="s">
        <v>12</v>
      </c>
      <c r="E155" s="200" t="s">
        <v>13</v>
      </c>
      <c r="F155" s="201"/>
      <c r="G155" s="201"/>
      <c r="H155" s="202"/>
      <c r="I155" s="203">
        <v>41270</v>
      </c>
      <c r="J155" s="204"/>
      <c r="K155" s="204"/>
      <c r="L155" s="204"/>
      <c r="M155" s="205"/>
      <c r="N155" s="203">
        <v>41297</v>
      </c>
      <c r="O155" s="204"/>
      <c r="P155" s="204"/>
      <c r="Q155" s="204"/>
      <c r="R155" s="205"/>
    </row>
    <row r="156" spans="1:18" ht="25.5">
      <c r="A156" s="11" t="s">
        <v>14</v>
      </c>
      <c r="B156" s="197"/>
      <c r="C156" s="199"/>
      <c r="D156" s="199"/>
      <c r="E156" s="206" t="s">
        <v>15</v>
      </c>
      <c r="F156" s="207"/>
      <c r="G156" s="207" t="s">
        <v>16</v>
      </c>
      <c r="H156" s="208"/>
      <c r="I156" s="12" t="s">
        <v>17</v>
      </c>
      <c r="J156" s="13" t="s">
        <v>18</v>
      </c>
      <c r="K156" s="209" t="s">
        <v>19</v>
      </c>
      <c r="L156" s="210"/>
      <c r="M156" s="14" t="s">
        <v>20</v>
      </c>
      <c r="N156" s="12" t="s">
        <v>17</v>
      </c>
      <c r="O156" s="13" t="s">
        <v>18</v>
      </c>
      <c r="P156" s="209" t="s">
        <v>19</v>
      </c>
      <c r="Q156" s="210"/>
      <c r="R156" s="14" t="s">
        <v>20</v>
      </c>
    </row>
    <row r="157" spans="1:18" ht="16.5" thickBot="1">
      <c r="A157" s="16"/>
      <c r="B157" s="17" t="s">
        <v>49</v>
      </c>
      <c r="C157" s="18" t="s">
        <v>49</v>
      </c>
      <c r="D157" s="19" t="s">
        <v>22</v>
      </c>
      <c r="E157" s="20" t="s">
        <v>22</v>
      </c>
      <c r="F157" s="21" t="s">
        <v>23</v>
      </c>
      <c r="G157" s="22" t="s">
        <v>22</v>
      </c>
      <c r="H157" s="23" t="s">
        <v>23</v>
      </c>
      <c r="I157" s="24" t="s">
        <v>24</v>
      </c>
      <c r="J157" s="25" t="s">
        <v>25</v>
      </c>
      <c r="K157" s="26" t="s">
        <v>24</v>
      </c>
      <c r="L157" s="27" t="s">
        <v>22</v>
      </c>
      <c r="M157" s="28" t="s">
        <v>26</v>
      </c>
      <c r="N157" s="24" t="s">
        <v>24</v>
      </c>
      <c r="O157" s="25" t="s">
        <v>25</v>
      </c>
      <c r="P157" s="26" t="s">
        <v>24</v>
      </c>
      <c r="Q157" s="27" t="s">
        <v>22</v>
      </c>
      <c r="R157" s="28" t="s">
        <v>26</v>
      </c>
    </row>
    <row r="158" spans="1:18">
      <c r="A158" s="31" t="s">
        <v>27</v>
      </c>
      <c r="B158" s="32">
        <v>1194.76</v>
      </c>
      <c r="C158" s="33">
        <v>1195.18</v>
      </c>
      <c r="D158" s="34">
        <f>C158-B158+16.3</f>
        <v>16.720000000000073</v>
      </c>
      <c r="E158" s="35">
        <f>G158-12</f>
        <v>4.7200000000000735</v>
      </c>
      <c r="F158" s="36">
        <f t="shared" ref="F158:F170" si="54">+C158-E158</f>
        <v>1190.46</v>
      </c>
      <c r="G158" s="36">
        <f t="shared" ref="G158:G170" si="55">D158</f>
        <v>16.720000000000073</v>
      </c>
      <c r="H158" s="37">
        <f t="shared" ref="H158:H170" si="56">+C158-G158</f>
        <v>1178.46</v>
      </c>
      <c r="I158" s="42" t="s">
        <v>28</v>
      </c>
      <c r="J158" s="43" t="s">
        <v>28</v>
      </c>
      <c r="K158" s="40">
        <v>7.17</v>
      </c>
      <c r="L158" s="41">
        <f t="shared" ref="L158:L170" si="57">+($C158-$B158)+K158</f>
        <v>7.5900000000000727</v>
      </c>
      <c r="M158" s="37">
        <f t="shared" ref="M158:M163" si="58">$B158-K158</f>
        <v>1187.5899999999999</v>
      </c>
      <c r="N158" s="42" t="s">
        <v>28</v>
      </c>
      <c r="O158" s="43" t="s">
        <v>28</v>
      </c>
      <c r="P158" s="40">
        <v>7.25</v>
      </c>
      <c r="Q158" s="41">
        <f t="shared" ref="Q158:Q171" si="59">+($C158-$B158)+P158</f>
        <v>7.6700000000000728</v>
      </c>
      <c r="R158" s="37">
        <f t="shared" ref="R158:R163" si="60">$B158-P158</f>
        <v>1187.51</v>
      </c>
    </row>
    <row r="159" spans="1:18">
      <c r="A159" s="46" t="s">
        <v>29</v>
      </c>
      <c r="B159" s="47">
        <v>1192.58</v>
      </c>
      <c r="C159" s="33">
        <v>1192.92</v>
      </c>
      <c r="D159" s="48">
        <f>C159-B159+12.42</f>
        <v>12.760000000000145</v>
      </c>
      <c r="E159" s="49">
        <f>G159-9</f>
        <v>3.7600000000001454</v>
      </c>
      <c r="F159" s="33">
        <f t="shared" si="54"/>
        <v>1189.1599999999999</v>
      </c>
      <c r="G159" s="33">
        <f t="shared" si="55"/>
        <v>12.760000000000145</v>
      </c>
      <c r="H159" s="50">
        <f t="shared" si="56"/>
        <v>1180.1599999999999</v>
      </c>
      <c r="I159" s="54" t="s">
        <v>28</v>
      </c>
      <c r="J159" s="55" t="s">
        <v>28</v>
      </c>
      <c r="K159" s="53">
        <v>7.76</v>
      </c>
      <c r="L159" s="53">
        <f t="shared" si="57"/>
        <v>8.1000000000001453</v>
      </c>
      <c r="M159" s="50">
        <f t="shared" si="58"/>
        <v>1184.82</v>
      </c>
      <c r="N159" s="54" t="s">
        <v>28</v>
      </c>
      <c r="O159" s="55" t="s">
        <v>28</v>
      </c>
      <c r="P159" s="53">
        <v>7.65</v>
      </c>
      <c r="Q159" s="53">
        <f t="shared" si="59"/>
        <v>7.9900000000001459</v>
      </c>
      <c r="R159" s="50">
        <f t="shared" si="60"/>
        <v>1184.9299999999998</v>
      </c>
    </row>
    <row r="160" spans="1:18">
      <c r="A160" s="56" t="s">
        <v>30</v>
      </c>
      <c r="B160" s="57">
        <v>1191.2</v>
      </c>
      <c r="C160" s="58">
        <v>1191.5999999999999</v>
      </c>
      <c r="D160" s="59">
        <f>C160-B160+13.42</f>
        <v>13.819999999999864</v>
      </c>
      <c r="E160" s="49">
        <f>G160-10</f>
        <v>3.8199999999998635</v>
      </c>
      <c r="F160" s="33">
        <f t="shared" si="54"/>
        <v>1187.78</v>
      </c>
      <c r="G160" s="33">
        <f t="shared" si="55"/>
        <v>13.819999999999864</v>
      </c>
      <c r="H160" s="50">
        <f t="shared" si="56"/>
        <v>1177.78</v>
      </c>
      <c r="I160" s="64" t="s">
        <v>28</v>
      </c>
      <c r="J160" s="65" t="s">
        <v>28</v>
      </c>
      <c r="K160" s="62">
        <v>8.7200000000000006</v>
      </c>
      <c r="L160" s="62">
        <f t="shared" si="57"/>
        <v>9.1199999999998642</v>
      </c>
      <c r="M160" s="63">
        <f t="shared" si="58"/>
        <v>1182.48</v>
      </c>
      <c r="N160" s="64" t="s">
        <v>28</v>
      </c>
      <c r="O160" s="65" t="s">
        <v>28</v>
      </c>
      <c r="P160" s="62">
        <v>8.6</v>
      </c>
      <c r="Q160" s="62">
        <f t="shared" si="59"/>
        <v>8.9999999999998632</v>
      </c>
      <c r="R160" s="63">
        <f t="shared" si="60"/>
        <v>1182.6000000000001</v>
      </c>
    </row>
    <row r="161" spans="1:18">
      <c r="A161" s="46" t="s">
        <v>31</v>
      </c>
      <c r="B161" s="47">
        <v>1189.9000000000001</v>
      </c>
      <c r="C161" s="49">
        <v>1190.28</v>
      </c>
      <c r="D161" s="48">
        <f>C161-B161+13.65</f>
        <v>14.029999999999882</v>
      </c>
      <c r="E161" s="49">
        <f>G161-10</f>
        <v>4.0299999999998821</v>
      </c>
      <c r="F161" s="33">
        <f t="shared" si="54"/>
        <v>1186.25</v>
      </c>
      <c r="G161" s="33">
        <f t="shared" si="55"/>
        <v>14.029999999999882</v>
      </c>
      <c r="H161" s="50">
        <f t="shared" si="56"/>
        <v>1176.25</v>
      </c>
      <c r="I161" s="54" t="s">
        <v>28</v>
      </c>
      <c r="J161" s="55" t="s">
        <v>28</v>
      </c>
      <c r="K161" s="53">
        <v>7.73</v>
      </c>
      <c r="L161" s="53">
        <f t="shared" si="57"/>
        <v>8.1099999999998822</v>
      </c>
      <c r="M161" s="50">
        <f t="shared" si="58"/>
        <v>1182.17</v>
      </c>
      <c r="N161" s="54" t="s">
        <v>28</v>
      </c>
      <c r="O161" s="55" t="s">
        <v>28</v>
      </c>
      <c r="P161" s="53">
        <v>7.98</v>
      </c>
      <c r="Q161" s="53">
        <f t="shared" si="59"/>
        <v>8.3599999999998822</v>
      </c>
      <c r="R161" s="50">
        <f t="shared" si="60"/>
        <v>1181.92</v>
      </c>
    </row>
    <row r="162" spans="1:18">
      <c r="A162" s="82" t="s">
        <v>32</v>
      </c>
      <c r="B162" s="83">
        <v>1192.17</v>
      </c>
      <c r="C162" s="84">
        <v>1192.48</v>
      </c>
      <c r="D162" s="57">
        <f>C162-B162+13.55</f>
        <v>13.859999999999946</v>
      </c>
      <c r="E162" s="85">
        <f>G162-10</f>
        <v>3.8599999999999461</v>
      </c>
      <c r="F162" s="86">
        <f t="shared" si="54"/>
        <v>1188.6200000000001</v>
      </c>
      <c r="G162" s="62">
        <f t="shared" si="55"/>
        <v>13.859999999999946</v>
      </c>
      <c r="H162" s="63">
        <f t="shared" si="56"/>
        <v>1178.6200000000001</v>
      </c>
      <c r="I162" s="64" t="s">
        <v>28</v>
      </c>
      <c r="J162" s="65" t="s">
        <v>28</v>
      </c>
      <c r="K162" s="87">
        <v>9.94</v>
      </c>
      <c r="L162" s="88">
        <f t="shared" si="57"/>
        <v>10.249999999999945</v>
      </c>
      <c r="M162" s="98">
        <f t="shared" si="58"/>
        <v>1182.23</v>
      </c>
      <c r="N162" s="64" t="s">
        <v>28</v>
      </c>
      <c r="O162" s="65" t="s">
        <v>28</v>
      </c>
      <c r="P162" s="87">
        <v>9.89</v>
      </c>
      <c r="Q162" s="88">
        <f t="shared" si="59"/>
        <v>10.199999999999946</v>
      </c>
      <c r="R162" s="98">
        <f t="shared" si="60"/>
        <v>1182.28</v>
      </c>
    </row>
    <row r="163" spans="1:18">
      <c r="A163" s="46" t="s">
        <v>33</v>
      </c>
      <c r="B163" s="90">
        <v>1190.67</v>
      </c>
      <c r="C163" s="91">
        <v>1190.8800000000001</v>
      </c>
      <c r="D163" s="47">
        <f>C163-B163+13.3</f>
        <v>13.510000000000037</v>
      </c>
      <c r="E163" s="92">
        <f>G163-9.5</f>
        <v>4.0100000000000371</v>
      </c>
      <c r="F163" s="33">
        <f t="shared" si="54"/>
        <v>1186.8700000000001</v>
      </c>
      <c r="G163" s="53">
        <f t="shared" si="55"/>
        <v>13.510000000000037</v>
      </c>
      <c r="H163" s="50">
        <f t="shared" si="56"/>
        <v>1177.3700000000001</v>
      </c>
      <c r="I163" s="54" t="s">
        <v>28</v>
      </c>
      <c r="J163" s="55" t="s">
        <v>28</v>
      </c>
      <c r="K163" s="93">
        <v>6.35</v>
      </c>
      <c r="L163" s="53">
        <f t="shared" si="57"/>
        <v>6.560000000000036</v>
      </c>
      <c r="M163" s="98">
        <f t="shared" si="58"/>
        <v>1184.3200000000002</v>
      </c>
      <c r="N163" s="54" t="s">
        <v>28</v>
      </c>
      <c r="O163" s="55" t="s">
        <v>28</v>
      </c>
      <c r="P163" s="93">
        <v>6.37</v>
      </c>
      <c r="Q163" s="53">
        <f t="shared" si="59"/>
        <v>6.5800000000000365</v>
      </c>
      <c r="R163" s="98">
        <f t="shared" si="60"/>
        <v>1184.3000000000002</v>
      </c>
    </row>
    <row r="164" spans="1:18">
      <c r="A164" s="56" t="s">
        <v>35</v>
      </c>
      <c r="B164" s="83">
        <v>1187.74</v>
      </c>
      <c r="C164" s="84">
        <v>1187.82</v>
      </c>
      <c r="D164" s="57">
        <f>C164-B164+15.2</f>
        <v>15.279999999999927</v>
      </c>
      <c r="E164" s="85">
        <f>G164-11</f>
        <v>4.2799999999999265</v>
      </c>
      <c r="F164" s="86">
        <f t="shared" si="54"/>
        <v>1183.54</v>
      </c>
      <c r="G164" s="62">
        <f t="shared" si="55"/>
        <v>15.279999999999927</v>
      </c>
      <c r="H164" s="63">
        <f t="shared" si="56"/>
        <v>1172.54</v>
      </c>
      <c r="I164" s="64" t="s">
        <v>28</v>
      </c>
      <c r="J164" s="65" t="s">
        <v>28</v>
      </c>
      <c r="K164" s="65">
        <v>5.7</v>
      </c>
      <c r="L164" s="62">
        <f t="shared" si="57"/>
        <v>5.7799999999999274</v>
      </c>
      <c r="M164" s="63">
        <f>$B164-K164</f>
        <v>1182.04</v>
      </c>
      <c r="N164" s="64" t="s">
        <v>28</v>
      </c>
      <c r="O164" s="65" t="s">
        <v>28</v>
      </c>
      <c r="P164" s="65">
        <v>5.65</v>
      </c>
      <c r="Q164" s="62">
        <f t="shared" si="59"/>
        <v>5.7299999999999276</v>
      </c>
      <c r="R164" s="63">
        <f>$B164-P164</f>
        <v>1182.0899999999999</v>
      </c>
    </row>
    <row r="165" spans="1:18">
      <c r="A165" s="56" t="s">
        <v>50</v>
      </c>
      <c r="B165" s="83">
        <v>1187.68</v>
      </c>
      <c r="C165" s="84">
        <v>1188.3800000000001</v>
      </c>
      <c r="D165" s="57">
        <f>C165-B165+12.61</f>
        <v>13.310000000000045</v>
      </c>
      <c r="E165" s="85">
        <f>G165-11</f>
        <v>2.3100000000000449</v>
      </c>
      <c r="F165" s="86">
        <f t="shared" si="54"/>
        <v>1186.0700000000002</v>
      </c>
      <c r="G165" s="62">
        <f t="shared" si="55"/>
        <v>13.310000000000045</v>
      </c>
      <c r="H165" s="63">
        <f t="shared" si="56"/>
        <v>1175.0700000000002</v>
      </c>
      <c r="I165" s="64" t="s">
        <v>28</v>
      </c>
      <c r="J165" s="65" t="s">
        <v>28</v>
      </c>
      <c r="K165" s="65">
        <v>4.49</v>
      </c>
      <c r="L165" s="62">
        <f t="shared" si="57"/>
        <v>5.1900000000000457</v>
      </c>
      <c r="M165" s="63">
        <f t="shared" ref="M165:M170" si="61">$B165-K165</f>
        <v>1183.19</v>
      </c>
      <c r="N165" s="64" t="s">
        <v>28</v>
      </c>
      <c r="O165" s="65" t="s">
        <v>28</v>
      </c>
      <c r="P165" s="65">
        <v>4.83</v>
      </c>
      <c r="Q165" s="62">
        <f t="shared" si="59"/>
        <v>5.5300000000000455</v>
      </c>
      <c r="R165" s="63">
        <f t="shared" ref="R165:R171" si="62">$B165-P165</f>
        <v>1182.8500000000001</v>
      </c>
    </row>
    <row r="166" spans="1:18">
      <c r="A166" s="56" t="s">
        <v>51</v>
      </c>
      <c r="B166" s="83">
        <v>1184.0899999999999</v>
      </c>
      <c r="C166" s="115">
        <v>1184.5999999999999</v>
      </c>
      <c r="D166" s="57">
        <f>C166-B166+10.73</f>
        <v>11.239999999999991</v>
      </c>
      <c r="E166" s="85">
        <f>G166-8</f>
        <v>3.2399999999999913</v>
      </c>
      <c r="F166" s="86">
        <f t="shared" si="54"/>
        <v>1181.3599999999999</v>
      </c>
      <c r="G166" s="62">
        <f t="shared" si="55"/>
        <v>11.239999999999991</v>
      </c>
      <c r="H166" s="63">
        <f t="shared" si="56"/>
        <v>1173.3599999999999</v>
      </c>
      <c r="I166" s="64" t="s">
        <v>28</v>
      </c>
      <c r="J166" s="65" t="s">
        <v>28</v>
      </c>
      <c r="K166" s="65">
        <v>4.0999999999999996</v>
      </c>
      <c r="L166" s="62">
        <f t="shared" si="57"/>
        <v>4.6099999999999905</v>
      </c>
      <c r="M166" s="63">
        <f t="shared" si="61"/>
        <v>1179.99</v>
      </c>
      <c r="N166" s="64" t="s">
        <v>28</v>
      </c>
      <c r="O166" s="65" t="s">
        <v>28</v>
      </c>
      <c r="P166" s="65">
        <v>4.13</v>
      </c>
      <c r="Q166" s="62">
        <f t="shared" si="59"/>
        <v>4.6399999999999908</v>
      </c>
      <c r="R166" s="63">
        <f t="shared" si="62"/>
        <v>1179.9599999999998</v>
      </c>
    </row>
    <row r="167" spans="1:18">
      <c r="A167" s="56" t="s">
        <v>52</v>
      </c>
      <c r="B167" s="83">
        <v>1192.1099999999999</v>
      </c>
      <c r="C167" s="84">
        <v>1192.6500000000001</v>
      </c>
      <c r="D167" s="57">
        <f>C167-B167+15</f>
        <v>15.540000000000191</v>
      </c>
      <c r="E167" s="85">
        <f>G167-12</f>
        <v>3.540000000000191</v>
      </c>
      <c r="F167" s="86">
        <f t="shared" si="54"/>
        <v>1189.1099999999999</v>
      </c>
      <c r="G167" s="62">
        <f t="shared" si="55"/>
        <v>15.540000000000191</v>
      </c>
      <c r="H167" s="63">
        <f t="shared" si="56"/>
        <v>1177.1099999999999</v>
      </c>
      <c r="I167" s="64" t="s">
        <v>28</v>
      </c>
      <c r="J167" s="65" t="s">
        <v>28</v>
      </c>
      <c r="K167" s="87">
        <v>9.7899999999999991</v>
      </c>
      <c r="L167" s="62">
        <f t="shared" si="57"/>
        <v>10.33000000000019</v>
      </c>
      <c r="M167" s="63">
        <f t="shared" si="61"/>
        <v>1182.32</v>
      </c>
      <c r="N167" s="64" t="s">
        <v>28</v>
      </c>
      <c r="O167" s="65" t="s">
        <v>28</v>
      </c>
      <c r="P167" s="87">
        <v>9.81</v>
      </c>
      <c r="Q167" s="62">
        <f t="shared" si="59"/>
        <v>10.350000000000191</v>
      </c>
      <c r="R167" s="63">
        <f t="shared" si="62"/>
        <v>1182.3</v>
      </c>
    </row>
    <row r="168" spans="1:18">
      <c r="A168" s="56" t="s">
        <v>53</v>
      </c>
      <c r="B168" s="83">
        <v>1193.8699999999999</v>
      </c>
      <c r="C168" s="84">
        <v>1194.3599999999999</v>
      </c>
      <c r="D168" s="57">
        <f>C168-B168+10.7</f>
        <v>11.190000000000008</v>
      </c>
      <c r="E168" s="85">
        <f>G168-7</f>
        <v>4.1900000000000084</v>
      </c>
      <c r="F168" s="86">
        <f t="shared" si="54"/>
        <v>1190.1699999999998</v>
      </c>
      <c r="G168" s="62">
        <f t="shared" si="55"/>
        <v>11.190000000000008</v>
      </c>
      <c r="H168" s="63">
        <f t="shared" si="56"/>
        <v>1183.1699999999998</v>
      </c>
      <c r="I168" s="64" t="s">
        <v>28</v>
      </c>
      <c r="J168" s="65" t="s">
        <v>28</v>
      </c>
      <c r="K168" s="87">
        <v>3.75</v>
      </c>
      <c r="L168" s="62">
        <f t="shared" si="57"/>
        <v>4.2400000000000091</v>
      </c>
      <c r="M168" s="63">
        <f t="shared" si="61"/>
        <v>1190.1199999999999</v>
      </c>
      <c r="N168" s="64" t="s">
        <v>28</v>
      </c>
      <c r="O168" s="65" t="s">
        <v>28</v>
      </c>
      <c r="P168" s="87">
        <v>3.57</v>
      </c>
      <c r="Q168" s="62">
        <f t="shared" si="59"/>
        <v>4.0600000000000094</v>
      </c>
      <c r="R168" s="63">
        <f t="shared" si="62"/>
        <v>1190.3</v>
      </c>
    </row>
    <row r="169" spans="1:18">
      <c r="A169" s="56" t="s">
        <v>54</v>
      </c>
      <c r="B169" s="83">
        <v>1185.1099999999999</v>
      </c>
      <c r="C169" s="84">
        <v>1185.55</v>
      </c>
      <c r="D169" s="57">
        <f>C169-B169+12.48</f>
        <v>12.920000000000055</v>
      </c>
      <c r="E169" s="85">
        <f>G169-9</f>
        <v>3.920000000000055</v>
      </c>
      <c r="F169" s="86">
        <f t="shared" si="54"/>
        <v>1181.6299999999999</v>
      </c>
      <c r="G169" s="62">
        <f t="shared" si="55"/>
        <v>12.920000000000055</v>
      </c>
      <c r="H169" s="63">
        <f t="shared" si="56"/>
        <v>1172.6299999999999</v>
      </c>
      <c r="I169" s="64" t="s">
        <v>28</v>
      </c>
      <c r="J169" s="65" t="s">
        <v>28</v>
      </c>
      <c r="K169" s="65">
        <v>3.48</v>
      </c>
      <c r="L169" s="62">
        <f t="shared" si="57"/>
        <v>3.9200000000000546</v>
      </c>
      <c r="M169" s="63">
        <f t="shared" si="61"/>
        <v>1181.6299999999999</v>
      </c>
      <c r="N169" s="64" t="s">
        <v>28</v>
      </c>
      <c r="O169" s="65" t="s">
        <v>28</v>
      </c>
      <c r="P169" s="65">
        <v>3.36</v>
      </c>
      <c r="Q169" s="62">
        <f t="shared" si="59"/>
        <v>3.8000000000000544</v>
      </c>
      <c r="R169" s="63">
        <f t="shared" si="62"/>
        <v>1181.75</v>
      </c>
    </row>
    <row r="170" spans="1:18">
      <c r="A170" s="56" t="s">
        <v>55</v>
      </c>
      <c r="B170" s="83">
        <v>1189.1600000000001</v>
      </c>
      <c r="C170" s="84">
        <v>1189.76</v>
      </c>
      <c r="D170" s="57">
        <f>C170-B170+15.13</f>
        <v>15.72999999999991</v>
      </c>
      <c r="E170" s="85">
        <f>G170-12</f>
        <v>3.7299999999999098</v>
      </c>
      <c r="F170" s="86">
        <f t="shared" si="54"/>
        <v>1186.03</v>
      </c>
      <c r="G170" s="62">
        <f t="shared" si="55"/>
        <v>15.72999999999991</v>
      </c>
      <c r="H170" s="63">
        <f t="shared" si="56"/>
        <v>1174.03</v>
      </c>
      <c r="I170" s="64" t="s">
        <v>28</v>
      </c>
      <c r="J170" s="65" t="s">
        <v>28</v>
      </c>
      <c r="K170" s="87">
        <v>6.96</v>
      </c>
      <c r="L170" s="62">
        <f t="shared" si="57"/>
        <v>7.559999999999909</v>
      </c>
      <c r="M170" s="63">
        <f t="shared" si="61"/>
        <v>1182.2</v>
      </c>
      <c r="N170" s="64" t="s">
        <v>28</v>
      </c>
      <c r="O170" s="65" t="s">
        <v>28</v>
      </c>
      <c r="P170" s="87">
        <v>6.83</v>
      </c>
      <c r="Q170" s="62">
        <f t="shared" si="59"/>
        <v>7.4299999999999091</v>
      </c>
      <c r="R170" s="63">
        <f t="shared" si="62"/>
        <v>1182.3300000000002</v>
      </c>
    </row>
    <row r="171" spans="1:18">
      <c r="A171" s="56" t="s">
        <v>57</v>
      </c>
      <c r="B171" s="47">
        <v>1193.1189999999999</v>
      </c>
      <c r="C171" s="47">
        <v>1193.4000000000001</v>
      </c>
      <c r="D171" s="47">
        <f>C171-B171+4.94</f>
        <v>5.2210000000001768</v>
      </c>
      <c r="E171" s="92">
        <f>G171-1.1</f>
        <v>4.1210000000001763</v>
      </c>
      <c r="F171" s="33">
        <f>+C171-E171</f>
        <v>1189.279</v>
      </c>
      <c r="G171" s="53">
        <f>D171</f>
        <v>5.2210000000001768</v>
      </c>
      <c r="H171" s="50">
        <f>+C171-G171</f>
        <v>1188.1789999999999</v>
      </c>
      <c r="I171" s="33" t="s">
        <v>28</v>
      </c>
      <c r="J171" s="53" t="s">
        <v>28</v>
      </c>
      <c r="K171" s="87" t="s">
        <v>44</v>
      </c>
      <c r="L171" s="62" t="s">
        <v>44</v>
      </c>
      <c r="M171" s="63" t="s">
        <v>44</v>
      </c>
      <c r="N171" s="33" t="s">
        <v>28</v>
      </c>
      <c r="O171" s="53" t="s">
        <v>28</v>
      </c>
      <c r="P171" s="87">
        <v>3.14</v>
      </c>
      <c r="Q171" s="62">
        <f t="shared" si="59"/>
        <v>3.4210000000001766</v>
      </c>
      <c r="R171" s="63">
        <f t="shared" si="62"/>
        <v>1189.9789999999998</v>
      </c>
    </row>
    <row r="172" spans="1:18" ht="13.5" thickBot="1">
      <c r="A172" s="96" t="s">
        <v>36</v>
      </c>
      <c r="B172" s="116">
        <v>1184.23</v>
      </c>
      <c r="C172" s="117" t="s">
        <v>37</v>
      </c>
      <c r="D172" s="116" t="s">
        <v>37</v>
      </c>
      <c r="E172" s="118" t="s">
        <v>37</v>
      </c>
      <c r="F172" s="119" t="s">
        <v>37</v>
      </c>
      <c r="G172" s="120" t="s">
        <v>37</v>
      </c>
      <c r="H172" s="121" t="s">
        <v>37</v>
      </c>
      <c r="I172" s="122" t="s">
        <v>37</v>
      </c>
      <c r="J172" s="123" t="s">
        <v>37</v>
      </c>
      <c r="K172" s="104">
        <v>4.97</v>
      </c>
      <c r="L172" s="101" t="s">
        <v>37</v>
      </c>
      <c r="M172" s="102">
        <f>$B172-K172</f>
        <v>1179.26</v>
      </c>
      <c r="N172" s="122" t="s">
        <v>37</v>
      </c>
      <c r="O172" s="123" t="s">
        <v>37</v>
      </c>
      <c r="P172" s="104">
        <v>4.4000000000000004</v>
      </c>
      <c r="Q172" s="101" t="s">
        <v>37</v>
      </c>
      <c r="R172" s="102">
        <f>$B172-P172</f>
        <v>1179.83</v>
      </c>
    </row>
    <row r="173" spans="1:18">
      <c r="A173" s="106"/>
      <c r="B173" s="107"/>
      <c r="C173" s="107"/>
      <c r="D173" s="107"/>
      <c r="E173" s="107"/>
      <c r="F173" s="108"/>
      <c r="G173" s="109"/>
      <c r="H173" s="109"/>
      <c r="I173" s="110"/>
      <c r="J173" s="109"/>
      <c r="K173" s="109"/>
      <c r="L173" s="109"/>
      <c r="M173" s="109"/>
    </row>
    <row r="174" spans="1:18">
      <c r="A174" s="3" t="s">
        <v>38</v>
      </c>
      <c r="B174" s="3" t="s">
        <v>39</v>
      </c>
    </row>
    <row r="175" spans="1:18">
      <c r="A175" s="3" t="s">
        <v>40</v>
      </c>
      <c r="B175" s="3" t="s">
        <v>41</v>
      </c>
    </row>
    <row r="176" spans="1:18">
      <c r="A176" s="81" t="s">
        <v>34</v>
      </c>
      <c r="B176" s="81" t="s">
        <v>42</v>
      </c>
      <c r="C176" s="81"/>
      <c r="D176" s="81"/>
      <c r="E176" s="81"/>
      <c r="F176" s="81"/>
      <c r="G176" s="81"/>
      <c r="H176" s="81"/>
      <c r="I176" s="81"/>
    </row>
    <row r="177" spans="1:18">
      <c r="A177" s="81" t="s">
        <v>28</v>
      </c>
      <c r="B177" s="81" t="s">
        <v>43</v>
      </c>
      <c r="C177" s="81"/>
      <c r="D177" s="81"/>
      <c r="E177" s="81"/>
      <c r="F177" s="81"/>
      <c r="G177" s="81"/>
      <c r="H177" s="81"/>
      <c r="I177" s="81"/>
    </row>
    <row r="178" spans="1:18">
      <c r="A178" s="81" t="s">
        <v>44</v>
      </c>
      <c r="B178" s="81" t="s">
        <v>45</v>
      </c>
      <c r="C178" s="81"/>
      <c r="D178" s="81"/>
      <c r="E178" s="81"/>
      <c r="F178" s="81"/>
      <c r="G178" s="81"/>
      <c r="H178" s="81"/>
      <c r="I178" s="81"/>
    </row>
    <row r="179" spans="1:18">
      <c r="A179" s="112" t="s">
        <v>46</v>
      </c>
      <c r="B179" s="112" t="s">
        <v>47</v>
      </c>
      <c r="C179" s="112"/>
      <c r="D179" s="81"/>
      <c r="E179" s="81"/>
      <c r="F179" s="81"/>
      <c r="G179" s="81"/>
      <c r="H179" s="81"/>
      <c r="I179" s="81"/>
    </row>
    <row r="180" spans="1:18">
      <c r="A180" s="113">
        <v>1</v>
      </c>
      <c r="B180" s="81" t="s">
        <v>48</v>
      </c>
      <c r="C180" s="81"/>
      <c r="D180" s="81"/>
      <c r="E180" s="81"/>
      <c r="F180" s="81"/>
      <c r="G180" s="81"/>
      <c r="H180" s="81"/>
      <c r="I180" s="81"/>
      <c r="J180" s="81"/>
    </row>
    <row r="181" spans="1:18" ht="13.5" thickBot="1">
      <c r="A181" s="113">
        <v>2</v>
      </c>
      <c r="B181" s="81" t="s">
        <v>56</v>
      </c>
      <c r="C181" s="81"/>
      <c r="D181" s="81"/>
      <c r="E181" s="81"/>
      <c r="F181" s="81"/>
      <c r="G181" s="81"/>
      <c r="H181" s="81"/>
      <c r="I181" s="81"/>
      <c r="J181" s="81"/>
    </row>
    <row r="182" spans="1:18">
      <c r="A182" s="10"/>
      <c r="B182" s="196" t="s">
        <v>10</v>
      </c>
      <c r="C182" s="198" t="s">
        <v>11</v>
      </c>
      <c r="D182" s="198" t="s">
        <v>12</v>
      </c>
      <c r="E182" s="200" t="s">
        <v>13</v>
      </c>
      <c r="F182" s="201"/>
      <c r="G182" s="201"/>
      <c r="H182" s="202"/>
      <c r="I182" s="203">
        <v>41330</v>
      </c>
      <c r="J182" s="204"/>
      <c r="K182" s="204"/>
      <c r="L182" s="204"/>
      <c r="M182" s="205"/>
      <c r="N182" s="203">
        <v>41354</v>
      </c>
      <c r="O182" s="204"/>
      <c r="P182" s="204"/>
      <c r="Q182" s="204"/>
      <c r="R182" s="205"/>
    </row>
    <row r="183" spans="1:18" ht="25.5">
      <c r="A183" s="11" t="s">
        <v>14</v>
      </c>
      <c r="B183" s="197"/>
      <c r="C183" s="199"/>
      <c r="D183" s="199"/>
      <c r="E183" s="206" t="s">
        <v>15</v>
      </c>
      <c r="F183" s="207"/>
      <c r="G183" s="207" t="s">
        <v>16</v>
      </c>
      <c r="H183" s="208"/>
      <c r="I183" s="12" t="s">
        <v>17</v>
      </c>
      <c r="J183" s="13" t="s">
        <v>18</v>
      </c>
      <c r="K183" s="209" t="s">
        <v>19</v>
      </c>
      <c r="L183" s="210"/>
      <c r="M183" s="14" t="s">
        <v>20</v>
      </c>
      <c r="N183" s="12" t="s">
        <v>17</v>
      </c>
      <c r="O183" s="13" t="s">
        <v>18</v>
      </c>
      <c r="P183" s="209" t="s">
        <v>19</v>
      </c>
      <c r="Q183" s="210"/>
      <c r="R183" s="14" t="s">
        <v>20</v>
      </c>
    </row>
    <row r="184" spans="1:18" ht="16.5" thickBot="1">
      <c r="A184" s="16"/>
      <c r="B184" s="17" t="s">
        <v>49</v>
      </c>
      <c r="C184" s="18" t="s">
        <v>49</v>
      </c>
      <c r="D184" s="19" t="s">
        <v>22</v>
      </c>
      <c r="E184" s="20" t="s">
        <v>22</v>
      </c>
      <c r="F184" s="21" t="s">
        <v>23</v>
      </c>
      <c r="G184" s="22" t="s">
        <v>22</v>
      </c>
      <c r="H184" s="23" t="s">
        <v>23</v>
      </c>
      <c r="I184" s="24" t="s">
        <v>24</v>
      </c>
      <c r="J184" s="25" t="s">
        <v>25</v>
      </c>
      <c r="K184" s="26" t="s">
        <v>24</v>
      </c>
      <c r="L184" s="27" t="s">
        <v>22</v>
      </c>
      <c r="M184" s="28" t="s">
        <v>26</v>
      </c>
      <c r="N184" s="24" t="s">
        <v>24</v>
      </c>
      <c r="O184" s="25" t="s">
        <v>25</v>
      </c>
      <c r="P184" s="26" t="s">
        <v>24</v>
      </c>
      <c r="Q184" s="27" t="s">
        <v>22</v>
      </c>
      <c r="R184" s="28" t="s">
        <v>26</v>
      </c>
    </row>
    <row r="185" spans="1:18">
      <c r="A185" s="31" t="s">
        <v>27</v>
      </c>
      <c r="B185" s="32">
        <v>1194.76</v>
      </c>
      <c r="C185" s="33">
        <v>1195.18</v>
      </c>
      <c r="D185" s="34">
        <f>C185-B185+16.3</f>
        <v>16.720000000000073</v>
      </c>
      <c r="E185" s="35">
        <f>G185-12</f>
        <v>4.7200000000000735</v>
      </c>
      <c r="F185" s="36">
        <f t="shared" ref="F185:F197" si="63">+C185-E185</f>
        <v>1190.46</v>
      </c>
      <c r="G185" s="36">
        <f t="shared" ref="G185:G197" si="64">D185</f>
        <v>16.720000000000073</v>
      </c>
      <c r="H185" s="37">
        <f t="shared" ref="H185:H197" si="65">+C185-G185</f>
        <v>1178.46</v>
      </c>
      <c r="I185" s="42" t="s">
        <v>28</v>
      </c>
      <c r="J185" s="43" t="s">
        <v>28</v>
      </c>
      <c r="K185" s="40">
        <v>7.34</v>
      </c>
      <c r="L185" s="41">
        <f t="shared" ref="L185:L197" si="66">+($C185-$B185)+K185</f>
        <v>7.7600000000000726</v>
      </c>
      <c r="M185" s="37">
        <f t="shared" ref="M185:M190" si="67">$B185-K185</f>
        <v>1187.42</v>
      </c>
      <c r="N185" s="42" t="s">
        <v>28</v>
      </c>
      <c r="O185" s="43" t="s">
        <v>28</v>
      </c>
      <c r="P185" s="40">
        <v>7.2</v>
      </c>
      <c r="Q185" s="41">
        <f t="shared" ref="Q185:Q197" si="68">+($C185-$B185)+P185</f>
        <v>7.6200000000000729</v>
      </c>
      <c r="R185" s="37">
        <f t="shared" ref="R185:R190" si="69">$B185-P185</f>
        <v>1187.56</v>
      </c>
    </row>
    <row r="186" spans="1:18">
      <c r="A186" s="46" t="s">
        <v>29</v>
      </c>
      <c r="B186" s="47">
        <v>1192.58</v>
      </c>
      <c r="C186" s="33">
        <v>1192.92</v>
      </c>
      <c r="D186" s="48">
        <f>C186-B186+12.42</f>
        <v>12.760000000000145</v>
      </c>
      <c r="E186" s="49">
        <f>G186-9</f>
        <v>3.7600000000001454</v>
      </c>
      <c r="F186" s="33">
        <f t="shared" si="63"/>
        <v>1189.1599999999999</v>
      </c>
      <c r="G186" s="33">
        <f t="shared" si="64"/>
        <v>12.760000000000145</v>
      </c>
      <c r="H186" s="50">
        <f t="shared" si="65"/>
        <v>1180.1599999999999</v>
      </c>
      <c r="I186" s="54" t="s">
        <v>28</v>
      </c>
      <c r="J186" s="55" t="s">
        <v>28</v>
      </c>
      <c r="K186" s="53">
        <v>7.52</v>
      </c>
      <c r="L186" s="53">
        <f t="shared" si="66"/>
        <v>7.8600000000001451</v>
      </c>
      <c r="M186" s="50">
        <f t="shared" si="67"/>
        <v>1185.06</v>
      </c>
      <c r="N186" s="54" t="s">
        <v>28</v>
      </c>
      <c r="O186" s="55" t="s">
        <v>28</v>
      </c>
      <c r="P186" s="53">
        <v>7.48</v>
      </c>
      <c r="Q186" s="53">
        <f t="shared" si="68"/>
        <v>7.8200000000001459</v>
      </c>
      <c r="R186" s="50">
        <f t="shared" si="69"/>
        <v>1185.0999999999999</v>
      </c>
    </row>
    <row r="187" spans="1:18">
      <c r="A187" s="56" t="s">
        <v>30</v>
      </c>
      <c r="B187" s="57">
        <v>1191.2</v>
      </c>
      <c r="C187" s="58">
        <v>1191.5999999999999</v>
      </c>
      <c r="D187" s="59">
        <f>C187-B187+13.42</f>
        <v>13.819999999999864</v>
      </c>
      <c r="E187" s="49">
        <f>G187-10</f>
        <v>3.8199999999998635</v>
      </c>
      <c r="F187" s="33">
        <f t="shared" si="63"/>
        <v>1187.78</v>
      </c>
      <c r="G187" s="33">
        <f t="shared" si="64"/>
        <v>13.819999999999864</v>
      </c>
      <c r="H187" s="50">
        <f t="shared" si="65"/>
        <v>1177.78</v>
      </c>
      <c r="I187" s="64" t="s">
        <v>28</v>
      </c>
      <c r="J187" s="65" t="s">
        <v>28</v>
      </c>
      <c r="K187" s="62">
        <v>8.73</v>
      </c>
      <c r="L187" s="62">
        <f t="shared" si="66"/>
        <v>9.129999999999864</v>
      </c>
      <c r="M187" s="63">
        <f t="shared" si="67"/>
        <v>1182.47</v>
      </c>
      <c r="N187" s="64" t="s">
        <v>28</v>
      </c>
      <c r="O187" s="65" t="s">
        <v>28</v>
      </c>
      <c r="P187" s="62">
        <v>8.0299999999999994</v>
      </c>
      <c r="Q187" s="62">
        <f t="shared" si="68"/>
        <v>8.4299999999998629</v>
      </c>
      <c r="R187" s="63">
        <f t="shared" si="69"/>
        <v>1183.17</v>
      </c>
    </row>
    <row r="188" spans="1:18">
      <c r="A188" s="46" t="s">
        <v>31</v>
      </c>
      <c r="B188" s="47">
        <v>1189.9000000000001</v>
      </c>
      <c r="C188" s="49">
        <v>1190.28</v>
      </c>
      <c r="D188" s="48">
        <f>C188-B188+13.65</f>
        <v>14.029999999999882</v>
      </c>
      <c r="E188" s="49">
        <f>G188-10</f>
        <v>4.0299999999998821</v>
      </c>
      <c r="F188" s="33">
        <f t="shared" si="63"/>
        <v>1186.25</v>
      </c>
      <c r="G188" s="33">
        <f t="shared" si="64"/>
        <v>14.029999999999882</v>
      </c>
      <c r="H188" s="50">
        <f t="shared" si="65"/>
        <v>1176.25</v>
      </c>
      <c r="I188" s="54" t="s">
        <v>28</v>
      </c>
      <c r="J188" s="55" t="s">
        <v>28</v>
      </c>
      <c r="K188" s="53">
        <v>7.94</v>
      </c>
      <c r="L188" s="53">
        <f t="shared" si="66"/>
        <v>8.319999999999883</v>
      </c>
      <c r="M188" s="50">
        <f t="shared" si="67"/>
        <v>1181.96</v>
      </c>
      <c r="N188" s="54" t="s">
        <v>28</v>
      </c>
      <c r="O188" s="55" t="s">
        <v>28</v>
      </c>
      <c r="P188" s="53">
        <v>7.26</v>
      </c>
      <c r="Q188" s="53">
        <f t="shared" si="68"/>
        <v>7.6399999999998816</v>
      </c>
      <c r="R188" s="50">
        <f t="shared" si="69"/>
        <v>1182.6400000000001</v>
      </c>
    </row>
    <row r="189" spans="1:18">
      <c r="A189" s="82" t="s">
        <v>32</v>
      </c>
      <c r="B189" s="83">
        <v>1192.17</v>
      </c>
      <c r="C189" s="84">
        <v>1192.48</v>
      </c>
      <c r="D189" s="57">
        <f>C189-B189+13.55</f>
        <v>13.859999999999946</v>
      </c>
      <c r="E189" s="85">
        <f>G189-10</f>
        <v>3.8599999999999461</v>
      </c>
      <c r="F189" s="86">
        <f t="shared" si="63"/>
        <v>1188.6200000000001</v>
      </c>
      <c r="G189" s="62">
        <f t="shared" si="64"/>
        <v>13.859999999999946</v>
      </c>
      <c r="H189" s="63">
        <f t="shared" si="65"/>
        <v>1178.6200000000001</v>
      </c>
      <c r="I189" s="64" t="s">
        <v>28</v>
      </c>
      <c r="J189" s="65" t="s">
        <v>28</v>
      </c>
      <c r="K189" s="65">
        <v>10.1</v>
      </c>
      <c r="L189" s="88">
        <f t="shared" si="66"/>
        <v>10.409999999999945</v>
      </c>
      <c r="M189" s="98">
        <f t="shared" si="67"/>
        <v>1182.0700000000002</v>
      </c>
      <c r="N189" s="64" t="s">
        <v>28</v>
      </c>
      <c r="O189" s="65" t="s">
        <v>28</v>
      </c>
      <c r="P189" s="65">
        <v>9.4700000000000006</v>
      </c>
      <c r="Q189" s="88">
        <f t="shared" si="68"/>
        <v>9.7799999999999461</v>
      </c>
      <c r="R189" s="98">
        <f t="shared" si="69"/>
        <v>1182.7</v>
      </c>
    </row>
    <row r="190" spans="1:18">
      <c r="A190" s="46" t="s">
        <v>33</v>
      </c>
      <c r="B190" s="90">
        <v>1190.67</v>
      </c>
      <c r="C190" s="91">
        <v>1190.8800000000001</v>
      </c>
      <c r="D190" s="47">
        <f>C190-B190+13.3</f>
        <v>13.510000000000037</v>
      </c>
      <c r="E190" s="92">
        <f>G190-9.5</f>
        <v>4.0100000000000371</v>
      </c>
      <c r="F190" s="33">
        <f t="shared" si="63"/>
        <v>1186.8700000000001</v>
      </c>
      <c r="G190" s="53">
        <f t="shared" si="64"/>
        <v>13.510000000000037</v>
      </c>
      <c r="H190" s="50">
        <f t="shared" si="65"/>
        <v>1177.3700000000001</v>
      </c>
      <c r="I190" s="54" t="s">
        <v>28</v>
      </c>
      <c r="J190" s="55" t="s">
        <v>28</v>
      </c>
      <c r="K190" s="93">
        <v>6.49</v>
      </c>
      <c r="L190" s="53">
        <f t="shared" si="66"/>
        <v>6.7000000000000366</v>
      </c>
      <c r="M190" s="98">
        <f t="shared" si="67"/>
        <v>1184.18</v>
      </c>
      <c r="N190" s="54" t="s">
        <v>28</v>
      </c>
      <c r="O190" s="55" t="s">
        <v>28</v>
      </c>
      <c r="P190" s="93">
        <v>6.11</v>
      </c>
      <c r="Q190" s="53">
        <f t="shared" si="68"/>
        <v>6.3200000000000367</v>
      </c>
      <c r="R190" s="98">
        <f t="shared" si="69"/>
        <v>1184.5600000000002</v>
      </c>
    </row>
    <row r="191" spans="1:18">
      <c r="A191" s="56" t="s">
        <v>35</v>
      </c>
      <c r="B191" s="83">
        <v>1187.74</v>
      </c>
      <c r="C191" s="84">
        <v>1187.82</v>
      </c>
      <c r="D191" s="57">
        <f>C191-B191+15.2</f>
        <v>15.279999999999927</v>
      </c>
      <c r="E191" s="85">
        <f>G191-11</f>
        <v>4.2799999999999265</v>
      </c>
      <c r="F191" s="86">
        <f t="shared" si="63"/>
        <v>1183.54</v>
      </c>
      <c r="G191" s="62">
        <f t="shared" si="64"/>
        <v>15.279999999999927</v>
      </c>
      <c r="H191" s="63">
        <f t="shared" si="65"/>
        <v>1172.54</v>
      </c>
      <c r="I191" s="64" t="s">
        <v>28</v>
      </c>
      <c r="J191" s="65" t="s">
        <v>28</v>
      </c>
      <c r="K191" s="65">
        <v>5.43</v>
      </c>
      <c r="L191" s="62">
        <f t="shared" si="66"/>
        <v>5.509999999999927</v>
      </c>
      <c r="M191" s="63">
        <f>$B191-K191</f>
        <v>1182.31</v>
      </c>
      <c r="N191" s="64" t="s">
        <v>28</v>
      </c>
      <c r="O191" s="65" t="s">
        <v>28</v>
      </c>
      <c r="P191" s="65">
        <v>5.3</v>
      </c>
      <c r="Q191" s="62">
        <f t="shared" si="68"/>
        <v>5.3799999999999271</v>
      </c>
      <c r="R191" s="63">
        <f>$B191-P191</f>
        <v>1182.44</v>
      </c>
    </row>
    <row r="192" spans="1:18">
      <c r="A192" s="56" t="s">
        <v>50</v>
      </c>
      <c r="B192" s="83">
        <v>1187.68</v>
      </c>
      <c r="C192" s="84">
        <v>1188.3800000000001</v>
      </c>
      <c r="D192" s="57">
        <f>C192-B192+12.61</f>
        <v>13.310000000000045</v>
      </c>
      <c r="E192" s="85">
        <f>G192-11</f>
        <v>2.3100000000000449</v>
      </c>
      <c r="F192" s="86">
        <f t="shared" si="63"/>
        <v>1186.0700000000002</v>
      </c>
      <c r="G192" s="62">
        <f t="shared" si="64"/>
        <v>13.310000000000045</v>
      </c>
      <c r="H192" s="63">
        <f t="shared" si="65"/>
        <v>1175.0700000000002</v>
      </c>
      <c r="I192" s="64" t="s">
        <v>28</v>
      </c>
      <c r="J192" s="65" t="s">
        <v>28</v>
      </c>
      <c r="K192" s="65">
        <v>5</v>
      </c>
      <c r="L192" s="62">
        <f t="shared" si="66"/>
        <v>5.7000000000000455</v>
      </c>
      <c r="M192" s="63">
        <f t="shared" ref="M192:M197" si="70">$B192-K192</f>
        <v>1182.68</v>
      </c>
      <c r="N192" s="64" t="s">
        <v>28</v>
      </c>
      <c r="O192" s="65" t="s">
        <v>28</v>
      </c>
      <c r="P192" s="65">
        <v>4.08</v>
      </c>
      <c r="Q192" s="62">
        <f t="shared" si="68"/>
        <v>4.7800000000000455</v>
      </c>
      <c r="R192" s="63">
        <f t="shared" ref="R192:R197" si="71">$B192-P192</f>
        <v>1183.6000000000001</v>
      </c>
    </row>
    <row r="193" spans="1:18">
      <c r="A193" s="56" t="s">
        <v>51</v>
      </c>
      <c r="B193" s="83">
        <v>1184.0899999999999</v>
      </c>
      <c r="C193" s="115">
        <v>1184.5999999999999</v>
      </c>
      <c r="D193" s="57">
        <f>C193-B193+10.73</f>
        <v>11.239999999999991</v>
      </c>
      <c r="E193" s="85">
        <f>G193-8</f>
        <v>3.2399999999999913</v>
      </c>
      <c r="F193" s="86">
        <f t="shared" si="63"/>
        <v>1181.3599999999999</v>
      </c>
      <c r="G193" s="62">
        <f t="shared" si="64"/>
        <v>11.239999999999991</v>
      </c>
      <c r="H193" s="63">
        <f t="shared" si="65"/>
        <v>1173.3599999999999</v>
      </c>
      <c r="I193" s="64" t="s">
        <v>28</v>
      </c>
      <c r="J193" s="65" t="s">
        <v>28</v>
      </c>
      <c r="K193" s="65">
        <v>4.22</v>
      </c>
      <c r="L193" s="62">
        <f t="shared" si="66"/>
        <v>4.7299999999999907</v>
      </c>
      <c r="M193" s="63">
        <f t="shared" si="70"/>
        <v>1179.8699999999999</v>
      </c>
      <c r="N193" s="64" t="s">
        <v>28</v>
      </c>
      <c r="O193" s="65" t="s">
        <v>28</v>
      </c>
      <c r="P193" s="65">
        <v>3.85</v>
      </c>
      <c r="Q193" s="62">
        <f t="shared" si="68"/>
        <v>4.3599999999999905</v>
      </c>
      <c r="R193" s="63">
        <f t="shared" si="71"/>
        <v>1180.24</v>
      </c>
    </row>
    <row r="194" spans="1:18">
      <c r="A194" s="56" t="s">
        <v>52</v>
      </c>
      <c r="B194" s="83">
        <v>1192.1099999999999</v>
      </c>
      <c r="C194" s="84">
        <v>1192.6500000000001</v>
      </c>
      <c r="D194" s="57">
        <f>C194-B194+15</f>
        <v>15.540000000000191</v>
      </c>
      <c r="E194" s="85">
        <f>G194-12</f>
        <v>3.540000000000191</v>
      </c>
      <c r="F194" s="86">
        <f t="shared" si="63"/>
        <v>1189.1099999999999</v>
      </c>
      <c r="G194" s="62">
        <f t="shared" si="64"/>
        <v>15.540000000000191</v>
      </c>
      <c r="H194" s="63">
        <f t="shared" si="65"/>
        <v>1177.1099999999999</v>
      </c>
      <c r="I194" s="64" t="s">
        <v>28</v>
      </c>
      <c r="J194" s="65" t="s">
        <v>28</v>
      </c>
      <c r="K194" s="87">
        <v>10.28</v>
      </c>
      <c r="L194" s="62">
        <f t="shared" si="66"/>
        <v>10.82000000000019</v>
      </c>
      <c r="M194" s="63">
        <f t="shared" si="70"/>
        <v>1181.83</v>
      </c>
      <c r="N194" s="64" t="s">
        <v>28</v>
      </c>
      <c r="O194" s="65" t="s">
        <v>28</v>
      </c>
      <c r="P194" s="87">
        <v>9.2200000000000006</v>
      </c>
      <c r="Q194" s="62">
        <f t="shared" si="68"/>
        <v>9.7600000000001916</v>
      </c>
      <c r="R194" s="63">
        <f t="shared" si="71"/>
        <v>1182.8899999999999</v>
      </c>
    </row>
    <row r="195" spans="1:18">
      <c r="A195" s="56" t="s">
        <v>53</v>
      </c>
      <c r="B195" s="83">
        <v>1193.8699999999999</v>
      </c>
      <c r="C195" s="84">
        <v>1194.3599999999999</v>
      </c>
      <c r="D195" s="57">
        <f>C195-B195+10.7</f>
        <v>11.190000000000008</v>
      </c>
      <c r="E195" s="85">
        <f>G195-7</f>
        <v>4.1900000000000084</v>
      </c>
      <c r="F195" s="86">
        <f t="shared" si="63"/>
        <v>1190.1699999999998</v>
      </c>
      <c r="G195" s="62">
        <f t="shared" si="64"/>
        <v>11.190000000000008</v>
      </c>
      <c r="H195" s="63">
        <f t="shared" si="65"/>
        <v>1183.1699999999998</v>
      </c>
      <c r="I195" s="64" t="s">
        <v>28</v>
      </c>
      <c r="J195" s="65" t="s">
        <v>28</v>
      </c>
      <c r="K195" s="87">
        <v>3.67</v>
      </c>
      <c r="L195" s="62">
        <f t="shared" si="66"/>
        <v>4.160000000000009</v>
      </c>
      <c r="M195" s="63">
        <f t="shared" si="70"/>
        <v>1190.1999999999998</v>
      </c>
      <c r="N195" s="64" t="s">
        <v>28</v>
      </c>
      <c r="O195" s="65" t="s">
        <v>28</v>
      </c>
      <c r="P195" s="87">
        <v>3.59</v>
      </c>
      <c r="Q195" s="62">
        <f t="shared" si="68"/>
        <v>4.080000000000009</v>
      </c>
      <c r="R195" s="63">
        <f t="shared" si="71"/>
        <v>1190.28</v>
      </c>
    </row>
    <row r="196" spans="1:18">
      <c r="A196" s="56" t="s">
        <v>54</v>
      </c>
      <c r="B196" s="83">
        <v>1185.1099999999999</v>
      </c>
      <c r="C196" s="84">
        <v>1185.55</v>
      </c>
      <c r="D196" s="57">
        <f>C196-B196+12.48</f>
        <v>12.920000000000055</v>
      </c>
      <c r="E196" s="85">
        <f>G196-9</f>
        <v>3.920000000000055</v>
      </c>
      <c r="F196" s="86">
        <f t="shared" si="63"/>
        <v>1181.6299999999999</v>
      </c>
      <c r="G196" s="62">
        <f t="shared" si="64"/>
        <v>12.920000000000055</v>
      </c>
      <c r="H196" s="63">
        <f t="shared" si="65"/>
        <v>1172.6299999999999</v>
      </c>
      <c r="I196" s="64" t="s">
        <v>28</v>
      </c>
      <c r="J196" s="65" t="s">
        <v>28</v>
      </c>
      <c r="K196" s="65">
        <v>3.48</v>
      </c>
      <c r="L196" s="62">
        <f t="shared" si="66"/>
        <v>3.9200000000000546</v>
      </c>
      <c r="M196" s="63">
        <f t="shared" si="70"/>
        <v>1181.6299999999999</v>
      </c>
      <c r="N196" s="64" t="s">
        <v>28</v>
      </c>
      <c r="O196" s="65" t="s">
        <v>28</v>
      </c>
      <c r="P196" s="65">
        <v>3.22</v>
      </c>
      <c r="Q196" s="62">
        <f t="shared" si="68"/>
        <v>3.6600000000000548</v>
      </c>
      <c r="R196" s="63">
        <f t="shared" si="71"/>
        <v>1181.8899999999999</v>
      </c>
    </row>
    <row r="197" spans="1:18">
      <c r="A197" s="56" t="s">
        <v>55</v>
      </c>
      <c r="B197" s="83">
        <v>1189.1600000000001</v>
      </c>
      <c r="C197" s="84">
        <v>1189.76</v>
      </c>
      <c r="D197" s="57">
        <f>C197-B197+15.13</f>
        <v>15.72999999999991</v>
      </c>
      <c r="E197" s="85">
        <f>G197-12</f>
        <v>3.7299999999999098</v>
      </c>
      <c r="F197" s="86">
        <f t="shared" si="63"/>
        <v>1186.03</v>
      </c>
      <c r="G197" s="62">
        <f t="shared" si="64"/>
        <v>15.72999999999991</v>
      </c>
      <c r="H197" s="63">
        <f t="shared" si="65"/>
        <v>1174.03</v>
      </c>
      <c r="I197" s="64" t="s">
        <v>28</v>
      </c>
      <c r="J197" s="65" t="s">
        <v>28</v>
      </c>
      <c r="K197" s="87">
        <v>6.95</v>
      </c>
      <c r="L197" s="62">
        <f t="shared" si="66"/>
        <v>7.5499999999999092</v>
      </c>
      <c r="M197" s="63">
        <f t="shared" si="70"/>
        <v>1182.21</v>
      </c>
      <c r="N197" s="64" t="s">
        <v>28</v>
      </c>
      <c r="O197" s="65" t="s">
        <v>28</v>
      </c>
      <c r="P197" s="87">
        <v>6.42</v>
      </c>
      <c r="Q197" s="62">
        <f t="shared" si="68"/>
        <v>7.019999999999909</v>
      </c>
      <c r="R197" s="63">
        <f t="shared" si="71"/>
        <v>1182.74</v>
      </c>
    </row>
    <row r="198" spans="1:18">
      <c r="A198" s="56" t="s">
        <v>57</v>
      </c>
      <c r="B198" s="47">
        <v>1193.1189999999999</v>
      </c>
      <c r="C198" s="47">
        <v>1193.4000000000001</v>
      </c>
      <c r="D198" s="47">
        <f>C198-B198+4.94</f>
        <v>5.2210000000001768</v>
      </c>
      <c r="E198" s="92">
        <f>G198-1.1</f>
        <v>4.1210000000001763</v>
      </c>
      <c r="F198" s="33">
        <f>+C198-E198</f>
        <v>1189.279</v>
      </c>
      <c r="G198" s="53">
        <f>D198</f>
        <v>5.2210000000001768</v>
      </c>
      <c r="H198" s="50">
        <f>+C198-G198</f>
        <v>1188.1789999999999</v>
      </c>
      <c r="I198" s="33" t="s">
        <v>28</v>
      </c>
      <c r="J198" s="53" t="s">
        <v>28</v>
      </c>
      <c r="K198" s="87">
        <v>3.19</v>
      </c>
      <c r="L198" s="62">
        <f>+($C198-$B198)+K198</f>
        <v>3.4710000000001764</v>
      </c>
      <c r="M198" s="63">
        <f>$B198-K198</f>
        <v>1189.9289999999999</v>
      </c>
      <c r="N198" s="33" t="s">
        <v>28</v>
      </c>
      <c r="O198" s="53" t="s">
        <v>28</v>
      </c>
      <c r="P198" s="65">
        <v>3.4</v>
      </c>
      <c r="Q198" s="62">
        <f>+($C198-$B198)+P198</f>
        <v>3.6810000000001764</v>
      </c>
      <c r="R198" s="63">
        <f>$B198-P198</f>
        <v>1189.7189999999998</v>
      </c>
    </row>
    <row r="199" spans="1:18" ht="13.5" thickBot="1">
      <c r="A199" s="96" t="s">
        <v>36</v>
      </c>
      <c r="B199" s="116">
        <v>1184.23</v>
      </c>
      <c r="C199" s="117" t="s">
        <v>37</v>
      </c>
      <c r="D199" s="116" t="s">
        <v>37</v>
      </c>
      <c r="E199" s="118" t="s">
        <v>37</v>
      </c>
      <c r="F199" s="119" t="s">
        <v>37</v>
      </c>
      <c r="G199" s="120" t="s">
        <v>37</v>
      </c>
      <c r="H199" s="121" t="s">
        <v>37</v>
      </c>
      <c r="I199" s="122" t="s">
        <v>37</v>
      </c>
      <c r="J199" s="123" t="s">
        <v>37</v>
      </c>
      <c r="K199" s="104">
        <v>4.5999999999999996</v>
      </c>
      <c r="L199" s="101" t="s">
        <v>37</v>
      </c>
      <c r="M199" s="102">
        <f>$B199-K199</f>
        <v>1179.6300000000001</v>
      </c>
      <c r="N199" s="122" t="s">
        <v>37</v>
      </c>
      <c r="O199" s="123" t="s">
        <v>37</v>
      </c>
      <c r="P199" s="104">
        <v>4.47</v>
      </c>
      <c r="Q199" s="101" t="s">
        <v>37</v>
      </c>
      <c r="R199" s="102">
        <f>$B199-P199</f>
        <v>1179.76</v>
      </c>
    </row>
    <row r="200" spans="1:18">
      <c r="A200" s="106"/>
      <c r="B200" s="107"/>
      <c r="C200" s="107"/>
      <c r="D200" s="107"/>
      <c r="E200" s="107"/>
      <c r="F200" s="108"/>
      <c r="G200" s="109"/>
      <c r="H200" s="109"/>
      <c r="I200" s="110"/>
      <c r="J200" s="109"/>
      <c r="K200" s="109"/>
      <c r="L200" s="109"/>
      <c r="M200" s="109"/>
    </row>
    <row r="201" spans="1:18">
      <c r="A201" s="3" t="s">
        <v>38</v>
      </c>
      <c r="B201" s="3" t="s">
        <v>39</v>
      </c>
    </row>
    <row r="202" spans="1:18">
      <c r="A202" s="3" t="s">
        <v>40</v>
      </c>
      <c r="B202" s="3" t="s">
        <v>41</v>
      </c>
    </row>
    <row r="203" spans="1:18">
      <c r="A203" s="81" t="s">
        <v>34</v>
      </c>
      <c r="B203" s="81" t="s">
        <v>42</v>
      </c>
      <c r="C203" s="81"/>
      <c r="D203" s="81"/>
      <c r="E203" s="81"/>
      <c r="F203" s="81"/>
      <c r="G203" s="81"/>
      <c r="H203" s="81"/>
      <c r="I203" s="81"/>
    </row>
    <row r="204" spans="1:18">
      <c r="A204" s="81" t="s">
        <v>28</v>
      </c>
      <c r="B204" s="81" t="s">
        <v>43</v>
      </c>
      <c r="C204" s="81"/>
      <c r="D204" s="81"/>
      <c r="E204" s="81"/>
      <c r="F204" s="81"/>
      <c r="G204" s="81"/>
      <c r="H204" s="81"/>
      <c r="I204" s="81"/>
    </row>
    <row r="205" spans="1:18">
      <c r="A205" s="81" t="s">
        <v>44</v>
      </c>
      <c r="B205" s="81" t="s">
        <v>45</v>
      </c>
      <c r="C205" s="81"/>
      <c r="D205" s="81"/>
      <c r="E205" s="81"/>
      <c r="F205" s="81"/>
      <c r="G205" s="81"/>
      <c r="H205" s="81"/>
      <c r="I205" s="81"/>
    </row>
    <row r="206" spans="1:18">
      <c r="A206" s="112" t="s">
        <v>46</v>
      </c>
      <c r="B206" s="112" t="s">
        <v>47</v>
      </c>
      <c r="C206" s="112"/>
      <c r="D206" s="81"/>
      <c r="E206" s="81"/>
      <c r="F206" s="81"/>
      <c r="G206" s="81"/>
      <c r="H206" s="81"/>
      <c r="I206" s="81"/>
    </row>
    <row r="207" spans="1:18">
      <c r="A207" s="113">
        <v>1</v>
      </c>
      <c r="B207" s="81" t="s">
        <v>48</v>
      </c>
      <c r="C207" s="81"/>
      <c r="D207" s="81"/>
      <c r="E207" s="81"/>
      <c r="F207" s="81"/>
      <c r="G207" s="81"/>
      <c r="H207" s="81"/>
      <c r="I207" s="81"/>
      <c r="J207" s="81"/>
    </row>
    <row r="208" spans="1:18">
      <c r="A208" s="113">
        <v>2</v>
      </c>
      <c r="B208" s="81" t="s">
        <v>56</v>
      </c>
      <c r="C208" s="81"/>
      <c r="D208" s="81"/>
      <c r="E208" s="81"/>
      <c r="F208" s="81"/>
      <c r="G208" s="81"/>
      <c r="H208" s="81"/>
      <c r="I208" s="81"/>
      <c r="J208" s="81"/>
    </row>
  </sheetData>
  <mergeCells count="90">
    <mergeCell ref="N9:R9"/>
    <mergeCell ref="E10:F10"/>
    <mergeCell ref="G10:H10"/>
    <mergeCell ref="K10:L10"/>
    <mergeCell ref="P10:Q10"/>
    <mergeCell ref="B9:B10"/>
    <mergeCell ref="C9:C10"/>
    <mergeCell ref="D9:D10"/>
    <mergeCell ref="E9:H9"/>
    <mergeCell ref="I9:M9"/>
    <mergeCell ref="N18:R18"/>
    <mergeCell ref="E19:F19"/>
    <mergeCell ref="G19:H19"/>
    <mergeCell ref="K19:L19"/>
    <mergeCell ref="P19:Q19"/>
    <mergeCell ref="B18:B19"/>
    <mergeCell ref="C18:C19"/>
    <mergeCell ref="D18:D19"/>
    <mergeCell ref="E18:H18"/>
    <mergeCell ref="I18:M18"/>
    <mergeCell ref="N29:R29"/>
    <mergeCell ref="E30:F30"/>
    <mergeCell ref="G30:H30"/>
    <mergeCell ref="K30:L30"/>
    <mergeCell ref="P30:Q30"/>
    <mergeCell ref="B29:B30"/>
    <mergeCell ref="C29:C30"/>
    <mergeCell ref="D29:D30"/>
    <mergeCell ref="E29:H29"/>
    <mergeCell ref="I29:M29"/>
    <mergeCell ref="N48:R48"/>
    <mergeCell ref="E49:F49"/>
    <mergeCell ref="G49:H49"/>
    <mergeCell ref="K49:L49"/>
    <mergeCell ref="P49:Q49"/>
    <mergeCell ref="B48:B49"/>
    <mergeCell ref="C48:C49"/>
    <mergeCell ref="D48:D49"/>
    <mergeCell ref="E48:H48"/>
    <mergeCell ref="I48:M48"/>
    <mergeCell ref="N74:R74"/>
    <mergeCell ref="E75:F75"/>
    <mergeCell ref="G75:H75"/>
    <mergeCell ref="K75:L75"/>
    <mergeCell ref="P75:Q75"/>
    <mergeCell ref="B74:B75"/>
    <mergeCell ref="C74:C75"/>
    <mergeCell ref="D74:D75"/>
    <mergeCell ref="E74:H74"/>
    <mergeCell ref="I74:M74"/>
    <mergeCell ref="N101:R101"/>
    <mergeCell ref="E102:F102"/>
    <mergeCell ref="G102:H102"/>
    <mergeCell ref="K102:L102"/>
    <mergeCell ref="P102:Q102"/>
    <mergeCell ref="B101:B102"/>
    <mergeCell ref="C101:C102"/>
    <mergeCell ref="D101:D102"/>
    <mergeCell ref="E101:H101"/>
    <mergeCell ref="I101:M101"/>
    <mergeCell ref="N128:R128"/>
    <mergeCell ref="E129:F129"/>
    <mergeCell ref="G129:H129"/>
    <mergeCell ref="K129:L129"/>
    <mergeCell ref="P129:Q129"/>
    <mergeCell ref="B128:B129"/>
    <mergeCell ref="C128:C129"/>
    <mergeCell ref="D128:D129"/>
    <mergeCell ref="E128:H128"/>
    <mergeCell ref="I128:M128"/>
    <mergeCell ref="N155:R155"/>
    <mergeCell ref="E156:F156"/>
    <mergeCell ref="G156:H156"/>
    <mergeCell ref="K156:L156"/>
    <mergeCell ref="P156:Q156"/>
    <mergeCell ref="B155:B156"/>
    <mergeCell ref="C155:C156"/>
    <mergeCell ref="D155:D156"/>
    <mergeCell ref="E155:H155"/>
    <mergeCell ref="I155:M155"/>
    <mergeCell ref="N182:R182"/>
    <mergeCell ref="E183:F183"/>
    <mergeCell ref="G183:H183"/>
    <mergeCell ref="K183:L183"/>
    <mergeCell ref="P183:Q183"/>
    <mergeCell ref="B182:B183"/>
    <mergeCell ref="C182:C183"/>
    <mergeCell ref="D182:D183"/>
    <mergeCell ref="E182:H182"/>
    <mergeCell ref="I182:M182"/>
  </mergeCells>
  <printOptions horizontalCentered="1"/>
  <pageMargins left="0.5" right="0.5" top="1.6" bottom="0.85" header="0.8" footer="0.5"/>
  <pageSetup scale="70" fitToHeight="2" orientation="landscape" r:id="rId1"/>
  <headerFooter alignWithMargins="0">
    <oddHeader>&amp;C&amp;"Times New Roman,Bold"&amp;12 Table 3-6
Fluid-Level Monitoring Summary
&amp;10Remedial Action Plan
Bernard III Land Company, Inc. - Indiana Site, PADEP Facility ID #32-32708</oddHeader>
    <oddFooter>&amp;L&amp;"Times New Roman,Regular"&amp;8&amp;T&amp;  on &amp;D
&amp;C&amp;"Times New Roman,Regular"&amp;8&amp;P&amp;  of &amp;N
&amp;R&amp;"Times New Roman, Regular"&amp;8&amp;F
&amp;Z</oddFooter>
  </headerFooter>
  <rowBreaks count="6" manualBreakCount="6">
    <brk id="47" max="16383" man="1"/>
    <brk id="73" max="16383" man="1"/>
    <brk id="100" max="17" man="1"/>
    <brk id="127" max="16383" man="1"/>
    <brk id="154" max="16383" man="1"/>
    <brk id="1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FJ565"/>
  <sheetViews>
    <sheetView tabSelected="1" zoomScaleNormal="100" zoomScaleSheetLayoutView="80" workbookViewId="0">
      <selection sqref="A1:AE565"/>
    </sheetView>
  </sheetViews>
  <sheetFormatPr defaultColWidth="8" defaultRowHeight="12.75"/>
  <cols>
    <col min="1" max="1" width="30.7109375" style="125" customWidth="1"/>
    <col min="2" max="2" width="9.7109375" style="125" customWidth="1"/>
    <col min="3" max="3" width="3.7109375" style="125" customWidth="1"/>
    <col min="4" max="4" width="9.7109375" style="125" customWidth="1"/>
    <col min="5" max="5" width="3.7109375" style="125" customWidth="1"/>
    <col min="6" max="6" width="6.5703125" style="125" customWidth="1"/>
    <col min="7" max="7" width="9.7109375" style="125" customWidth="1"/>
    <col min="8" max="8" width="3.7109375" style="125" customWidth="1"/>
    <col min="9" max="9" width="7.85546875" style="125" customWidth="1"/>
    <col min="10" max="10" width="9.7109375" style="125" customWidth="1"/>
    <col min="11" max="11" width="3.7109375" style="125" customWidth="1"/>
    <col min="12" max="12" width="6.85546875" style="125" customWidth="1"/>
    <col min="13" max="13" width="9.7109375" style="125" customWidth="1"/>
    <col min="14" max="14" width="3.7109375" style="125" customWidth="1"/>
    <col min="15" max="15" width="7.5703125" style="125" customWidth="1"/>
    <col min="16" max="16" width="9.7109375" style="125" customWidth="1"/>
    <col min="17" max="17" width="3.7109375" style="125" customWidth="1"/>
    <col min="18" max="18" width="6.42578125" style="125" customWidth="1"/>
    <col min="19" max="19" width="9.7109375" style="125" customWidth="1"/>
    <col min="20" max="20" width="3.7109375" style="125" customWidth="1"/>
    <col min="21" max="21" width="7.28515625" style="125" customWidth="1"/>
    <col min="22" max="22" width="9.7109375" style="125" customWidth="1"/>
    <col min="23" max="23" width="3.7109375" style="125" customWidth="1"/>
    <col min="24" max="24" width="7.28515625" style="125" customWidth="1"/>
    <col min="25" max="25" width="9.7109375" style="125" customWidth="1"/>
    <col min="26" max="26" width="3.7109375" style="125" customWidth="1"/>
    <col min="27" max="27" width="6" style="125" customWidth="1"/>
    <col min="28" max="28" width="9.7109375" style="125" customWidth="1"/>
    <col min="29" max="29" width="3.7109375" style="125" customWidth="1"/>
    <col min="30" max="30" width="6.5703125" style="125" customWidth="1"/>
    <col min="31" max="31" width="9.7109375" style="125" customWidth="1"/>
    <col min="32" max="33" width="3.7109375" style="125" customWidth="1"/>
    <col min="34" max="34" width="9.7109375" style="125" customWidth="1"/>
    <col min="35" max="36" width="3.7109375" style="125" customWidth="1"/>
    <col min="37" max="37" width="9.7109375" style="125" customWidth="1"/>
    <col min="38" max="39" width="3.7109375" style="125" customWidth="1"/>
    <col min="40" max="40" width="9.7109375" style="125" customWidth="1"/>
    <col min="41" max="42" width="3.7109375" style="125" customWidth="1"/>
    <col min="43" max="43" width="9.7109375" style="125" customWidth="1"/>
    <col min="44" max="45" width="3.7109375" style="125" customWidth="1"/>
    <col min="46" max="46" width="9.7109375" style="125" customWidth="1"/>
    <col min="47" max="48" width="3.7109375" style="125" customWidth="1"/>
    <col min="49" max="49" width="9.7109375" style="125" customWidth="1"/>
    <col min="50" max="51" width="3.7109375" style="125" customWidth="1"/>
    <col min="52" max="52" width="9.7109375" style="125" customWidth="1"/>
    <col min="53" max="54" width="3.7109375" style="125" customWidth="1"/>
    <col min="55" max="55" width="9.7109375" style="125" customWidth="1"/>
    <col min="56" max="57" width="3.7109375" style="125" customWidth="1"/>
    <col min="58" max="58" width="9.7109375" style="125" customWidth="1"/>
    <col min="59" max="60" width="3.7109375" style="125" customWidth="1"/>
    <col min="61" max="61" width="9.7109375" style="125" customWidth="1"/>
    <col min="62" max="63" width="3.7109375" style="125" customWidth="1"/>
    <col min="64" max="64" width="9.7109375" style="125" customWidth="1"/>
    <col min="65" max="66" width="3.7109375" style="125" customWidth="1"/>
    <col min="67" max="67" width="9.7109375" style="125" customWidth="1"/>
    <col min="68" max="69" width="3.7109375" style="125" customWidth="1"/>
    <col min="70" max="70" width="9.7109375" style="125" customWidth="1"/>
    <col min="71" max="72" width="3.7109375" style="125" customWidth="1"/>
    <col min="73" max="73" width="9.7109375" style="125" customWidth="1"/>
    <col min="74" max="75" width="3.7109375" style="125" customWidth="1"/>
    <col min="76" max="76" width="9.7109375" style="125" customWidth="1"/>
    <col min="77" max="78" width="3.7109375" style="125" customWidth="1"/>
    <col min="79" max="79" width="9.7109375" style="125" customWidth="1"/>
    <col min="80" max="81" width="3.7109375" style="125" customWidth="1"/>
    <col min="82" max="82" width="9.7109375" style="125" customWidth="1"/>
    <col min="83" max="84" width="3.7109375" style="125" customWidth="1"/>
    <col min="85" max="85" width="9.7109375" style="125" customWidth="1"/>
    <col min="86" max="87" width="3.7109375" style="125" customWidth="1"/>
    <col min="88" max="88" width="9.7109375" style="125" customWidth="1"/>
    <col min="89" max="90" width="3.7109375" style="125" customWidth="1"/>
    <col min="91" max="91" width="9.7109375" style="125" customWidth="1"/>
    <col min="92" max="93" width="3.7109375" style="125" customWidth="1"/>
    <col min="94" max="94" width="9.7109375" style="125" customWidth="1"/>
    <col min="95" max="96" width="3.7109375" style="125" customWidth="1"/>
    <col min="97" max="97" width="9.7109375" style="125" customWidth="1"/>
    <col min="98" max="99" width="3.7109375" style="125" customWidth="1"/>
    <col min="100" max="100" width="9.7109375" style="125" customWidth="1"/>
    <col min="101" max="102" width="3.7109375" style="125" customWidth="1"/>
    <col min="103" max="103" width="9.7109375" style="125" customWidth="1"/>
    <col min="104" max="105" width="3.7109375" style="125" customWidth="1"/>
    <col min="106" max="106" width="9.7109375" style="125" customWidth="1"/>
    <col min="107" max="108" width="3.7109375" style="125" customWidth="1"/>
    <col min="109" max="109" width="9.7109375" style="125" customWidth="1"/>
    <col min="110" max="111" width="3.7109375" style="125" customWidth="1"/>
    <col min="112" max="112" width="9.7109375" style="125" customWidth="1"/>
    <col min="113" max="114" width="3.7109375" style="125" customWidth="1"/>
    <col min="115" max="115" width="9.7109375" style="125" customWidth="1"/>
    <col min="116" max="117" width="3.7109375" style="125" customWidth="1"/>
    <col min="118" max="118" width="9.7109375" style="125" customWidth="1"/>
    <col min="119" max="120" width="3.7109375" style="125" customWidth="1"/>
    <col min="121" max="121" width="9.7109375" style="125" customWidth="1"/>
    <col min="122" max="123" width="3.7109375" style="125" customWidth="1"/>
    <col min="124" max="124" width="9.7109375" style="125" customWidth="1"/>
    <col min="125" max="126" width="3.7109375" style="125" customWidth="1"/>
    <col min="127" max="127" width="9.7109375" style="125" customWidth="1"/>
    <col min="128" max="129" width="3.7109375" style="125" customWidth="1"/>
    <col min="130" max="130" width="9.7109375" style="125" customWidth="1"/>
    <col min="131" max="132" width="3.7109375" style="125" customWidth="1"/>
    <col min="133" max="133" width="9.7109375" style="125" customWidth="1"/>
    <col min="134" max="135" width="3.7109375" style="125" customWidth="1"/>
    <col min="136" max="136" width="9.7109375" style="125" customWidth="1"/>
    <col min="137" max="138" width="3.7109375" style="125" customWidth="1"/>
    <col min="139" max="139" width="9.7109375" style="125" customWidth="1"/>
    <col min="140" max="141" width="3.7109375" style="125" customWidth="1"/>
    <col min="142" max="142" width="9.7109375" style="125" customWidth="1"/>
    <col min="143" max="144" width="3.7109375" style="125" customWidth="1"/>
    <col min="145" max="145" width="9.7109375" style="125" customWidth="1"/>
    <col min="146" max="146" width="3.7109375" style="125" customWidth="1"/>
    <col min="147" max="147" width="5.7109375" style="125" bestFit="1" customWidth="1"/>
    <col min="148" max="148" width="9.7109375" style="125" customWidth="1"/>
    <col min="149" max="150" width="3.7109375" style="125" customWidth="1"/>
    <col min="151" max="151" width="9.7109375" style="125" customWidth="1"/>
    <col min="152" max="153" width="3.7109375" style="125" customWidth="1"/>
    <col min="154" max="154" width="9.7109375" style="125" customWidth="1"/>
    <col min="155" max="156" width="3.7109375" style="125" customWidth="1"/>
    <col min="157" max="157" width="9.7109375" style="125" customWidth="1"/>
    <col min="158" max="159" width="3.7109375" style="125" customWidth="1"/>
    <col min="160" max="160" width="9.7109375" style="125" customWidth="1"/>
    <col min="161" max="162" width="3.7109375" style="125" customWidth="1"/>
    <col min="163" max="163" width="9.7109375" style="125" customWidth="1"/>
    <col min="164" max="164" width="3.7109375" style="125" customWidth="1"/>
    <col min="165" max="165" width="5.7109375" style="125" bestFit="1" customWidth="1"/>
    <col min="166" max="166" width="9.7109375" style="125" customWidth="1"/>
    <col min="167" max="168" width="3.7109375" style="125" customWidth="1"/>
    <col min="169" max="169" width="9.7109375" style="125" customWidth="1"/>
    <col min="170" max="171" width="3.7109375" style="125" customWidth="1"/>
    <col min="172" max="172" width="9.7109375" style="125" customWidth="1"/>
    <col min="173" max="174" width="3.7109375" style="125" customWidth="1"/>
    <col min="175" max="175" width="9.7109375" style="125" customWidth="1"/>
    <col min="176" max="177" width="3.7109375" style="125" customWidth="1"/>
    <col min="178" max="178" width="9.7109375" style="125" customWidth="1"/>
    <col min="179" max="180" width="3.7109375" style="125" customWidth="1"/>
    <col min="181" max="181" width="9.7109375" style="125" customWidth="1"/>
    <col min="182" max="183" width="3.7109375" style="125" customWidth="1"/>
    <col min="184" max="184" width="9.7109375" style="125" customWidth="1"/>
    <col min="185" max="186" width="3.7109375" style="125" customWidth="1"/>
    <col min="187" max="187" width="9.7109375" style="125" customWidth="1"/>
    <col min="188" max="189" width="3.7109375" style="125" customWidth="1"/>
    <col min="190" max="190" width="9.7109375" style="125" customWidth="1"/>
    <col min="191" max="192" width="3.7109375" style="125" customWidth="1"/>
    <col min="193" max="193" width="9.7109375" style="125" customWidth="1"/>
    <col min="194" max="195" width="3.7109375" style="125" customWidth="1"/>
    <col min="196" max="196" width="9.7109375" style="125" customWidth="1"/>
    <col min="197" max="198" width="3.7109375" style="125" customWidth="1"/>
    <col min="199" max="199" width="9.7109375" style="125" customWidth="1"/>
    <col min="200" max="201" width="3.7109375" style="125" customWidth="1"/>
    <col min="202" max="202" width="9.7109375" style="125" customWidth="1"/>
    <col min="203" max="204" width="3.7109375" style="125" customWidth="1"/>
    <col min="205" max="205" width="9.7109375" style="125" customWidth="1"/>
    <col min="206" max="207" width="3.7109375" style="125" customWidth="1"/>
    <col min="208" max="208" width="9.7109375" style="125" customWidth="1"/>
    <col min="209" max="210" width="3.7109375" style="125" customWidth="1"/>
    <col min="211" max="211" width="9.7109375" style="125" customWidth="1"/>
    <col min="212" max="213" width="3.7109375" style="125" customWidth="1"/>
    <col min="214" max="214" width="9.7109375" style="125" customWidth="1"/>
    <col min="215" max="216" width="3.7109375" style="125" customWidth="1"/>
    <col min="217" max="217" width="9.7109375" style="125" customWidth="1"/>
    <col min="218" max="219" width="3.7109375" style="125" customWidth="1"/>
    <col min="220" max="220" width="9.7109375" style="125" customWidth="1"/>
    <col min="221" max="222" width="3.7109375" style="125" customWidth="1"/>
    <col min="223" max="223" width="9.7109375" style="125" customWidth="1"/>
    <col min="224" max="225" width="3.7109375" style="125" customWidth="1"/>
    <col min="226" max="226" width="9.7109375" style="125" customWidth="1"/>
    <col min="227" max="228" width="3.7109375" style="125" customWidth="1"/>
    <col min="229" max="229" width="9.7109375" style="125" customWidth="1"/>
    <col min="230" max="231" width="3.7109375" style="125" customWidth="1"/>
    <col min="232" max="232" width="9.7109375" style="125" customWidth="1"/>
    <col min="233" max="234" width="3.7109375" style="125" customWidth="1"/>
    <col min="235" max="235" width="9.7109375" style="125" customWidth="1"/>
    <col min="236" max="237" width="3.7109375" style="125" customWidth="1"/>
    <col min="238" max="238" width="9.7109375" style="125" customWidth="1"/>
    <col min="239" max="240" width="3.7109375" style="125" customWidth="1"/>
    <col min="241" max="241" width="9.7109375" style="125" customWidth="1"/>
    <col min="242" max="243" width="3.7109375" style="125" customWidth="1"/>
    <col min="244" max="244" width="9.7109375" style="125" customWidth="1"/>
    <col min="245" max="246" width="3.7109375" style="125" customWidth="1"/>
    <col min="247" max="247" width="9.7109375" style="125" customWidth="1"/>
    <col min="248" max="249" width="3.7109375" style="125" customWidth="1"/>
    <col min="250" max="250" width="9.7109375" style="125" customWidth="1"/>
    <col min="251" max="252" width="3.7109375" style="125" customWidth="1"/>
    <col min="253" max="253" width="9.7109375" style="125" customWidth="1"/>
    <col min="254" max="254" width="3.7109375" style="125" customWidth="1"/>
    <col min="255" max="256" width="8" style="125"/>
    <col min="257" max="257" width="30.7109375" style="125" customWidth="1"/>
    <col min="258" max="258" width="9.7109375" style="125" customWidth="1"/>
    <col min="259" max="259" width="3.7109375" style="125" customWidth="1"/>
    <col min="260" max="260" width="9.7109375" style="125" customWidth="1"/>
    <col min="261" max="262" width="3.7109375" style="125" customWidth="1"/>
    <col min="263" max="263" width="9.7109375" style="125" customWidth="1"/>
    <col min="264" max="265" width="3.7109375" style="125" customWidth="1"/>
    <col min="266" max="266" width="9.7109375" style="125" customWidth="1"/>
    <col min="267" max="268" width="3.7109375" style="125" customWidth="1"/>
    <col min="269" max="269" width="9.7109375" style="125" customWidth="1"/>
    <col min="270" max="271" width="3.7109375" style="125" customWidth="1"/>
    <col min="272" max="272" width="9.7109375" style="125" customWidth="1"/>
    <col min="273" max="274" width="3.7109375" style="125" customWidth="1"/>
    <col min="275" max="275" width="9.7109375" style="125" customWidth="1"/>
    <col min="276" max="277" width="3.7109375" style="125" customWidth="1"/>
    <col min="278" max="278" width="9.7109375" style="125" customWidth="1"/>
    <col min="279" max="280" width="3.7109375" style="125" customWidth="1"/>
    <col min="281" max="281" width="9.7109375" style="125" customWidth="1"/>
    <col min="282" max="283" width="3.7109375" style="125" customWidth="1"/>
    <col min="284" max="284" width="9.7109375" style="125" customWidth="1"/>
    <col min="285" max="286" width="3.7109375" style="125" customWidth="1"/>
    <col min="287" max="287" width="9.7109375" style="125" customWidth="1"/>
    <col min="288" max="289" width="3.7109375" style="125" customWidth="1"/>
    <col min="290" max="290" width="9.7109375" style="125" customWidth="1"/>
    <col min="291" max="292" width="3.7109375" style="125" customWidth="1"/>
    <col min="293" max="293" width="9.7109375" style="125" customWidth="1"/>
    <col min="294" max="295" width="3.7109375" style="125" customWidth="1"/>
    <col min="296" max="296" width="9.7109375" style="125" customWidth="1"/>
    <col min="297" max="298" width="3.7109375" style="125" customWidth="1"/>
    <col min="299" max="299" width="9.7109375" style="125" customWidth="1"/>
    <col min="300" max="301" width="3.7109375" style="125" customWidth="1"/>
    <col min="302" max="302" width="9.7109375" style="125" customWidth="1"/>
    <col min="303" max="304" width="3.7109375" style="125" customWidth="1"/>
    <col min="305" max="305" width="9.7109375" style="125" customWidth="1"/>
    <col min="306" max="307" width="3.7109375" style="125" customWidth="1"/>
    <col min="308" max="308" width="9.7109375" style="125" customWidth="1"/>
    <col min="309" max="310" width="3.7109375" style="125" customWidth="1"/>
    <col min="311" max="311" width="9.7109375" style="125" customWidth="1"/>
    <col min="312" max="313" width="3.7109375" style="125" customWidth="1"/>
    <col min="314" max="314" width="9.7109375" style="125" customWidth="1"/>
    <col min="315" max="316" width="3.7109375" style="125" customWidth="1"/>
    <col min="317" max="317" width="9.7109375" style="125" customWidth="1"/>
    <col min="318" max="319" width="3.7109375" style="125" customWidth="1"/>
    <col min="320" max="320" width="9.7109375" style="125" customWidth="1"/>
    <col min="321" max="322" width="3.7109375" style="125" customWidth="1"/>
    <col min="323" max="323" width="9.7109375" style="125" customWidth="1"/>
    <col min="324" max="325" width="3.7109375" style="125" customWidth="1"/>
    <col min="326" max="326" width="9.7109375" style="125" customWidth="1"/>
    <col min="327" max="328" width="3.7109375" style="125" customWidth="1"/>
    <col min="329" max="329" width="9.7109375" style="125" customWidth="1"/>
    <col min="330" max="331" width="3.7109375" style="125" customWidth="1"/>
    <col min="332" max="332" width="9.7109375" style="125" customWidth="1"/>
    <col min="333" max="334" width="3.7109375" style="125" customWidth="1"/>
    <col min="335" max="335" width="9.7109375" style="125" customWidth="1"/>
    <col min="336" max="337" width="3.7109375" style="125" customWidth="1"/>
    <col min="338" max="338" width="9.7109375" style="125" customWidth="1"/>
    <col min="339" max="340" width="3.7109375" style="125" customWidth="1"/>
    <col min="341" max="341" width="9.7109375" style="125" customWidth="1"/>
    <col min="342" max="343" width="3.7109375" style="125" customWidth="1"/>
    <col min="344" max="344" width="9.7109375" style="125" customWidth="1"/>
    <col min="345" max="346" width="3.7109375" style="125" customWidth="1"/>
    <col min="347" max="347" width="9.7109375" style="125" customWidth="1"/>
    <col min="348" max="349" width="3.7109375" style="125" customWidth="1"/>
    <col min="350" max="350" width="9.7109375" style="125" customWidth="1"/>
    <col min="351" max="352" width="3.7109375" style="125" customWidth="1"/>
    <col min="353" max="353" width="9.7109375" style="125" customWidth="1"/>
    <col min="354" max="355" width="3.7109375" style="125" customWidth="1"/>
    <col min="356" max="356" width="9.7109375" style="125" customWidth="1"/>
    <col min="357" max="358" width="3.7109375" style="125" customWidth="1"/>
    <col min="359" max="359" width="9.7109375" style="125" customWidth="1"/>
    <col min="360" max="361" width="3.7109375" style="125" customWidth="1"/>
    <col min="362" max="362" width="9.7109375" style="125" customWidth="1"/>
    <col min="363" max="364" width="3.7109375" style="125" customWidth="1"/>
    <col min="365" max="365" width="9.7109375" style="125" customWidth="1"/>
    <col min="366" max="367" width="3.7109375" style="125" customWidth="1"/>
    <col min="368" max="368" width="9.7109375" style="125" customWidth="1"/>
    <col min="369" max="370" width="3.7109375" style="125" customWidth="1"/>
    <col min="371" max="371" width="9.7109375" style="125" customWidth="1"/>
    <col min="372" max="373" width="3.7109375" style="125" customWidth="1"/>
    <col min="374" max="374" width="9.7109375" style="125" customWidth="1"/>
    <col min="375" max="376" width="3.7109375" style="125" customWidth="1"/>
    <col min="377" max="377" width="9.7109375" style="125" customWidth="1"/>
    <col min="378" max="379" width="3.7109375" style="125" customWidth="1"/>
    <col min="380" max="380" width="9.7109375" style="125" customWidth="1"/>
    <col min="381" max="382" width="3.7109375" style="125" customWidth="1"/>
    <col min="383" max="383" width="9.7109375" style="125" customWidth="1"/>
    <col min="384" max="385" width="3.7109375" style="125" customWidth="1"/>
    <col min="386" max="386" width="9.7109375" style="125" customWidth="1"/>
    <col min="387" max="388" width="3.7109375" style="125" customWidth="1"/>
    <col min="389" max="389" width="9.7109375" style="125" customWidth="1"/>
    <col min="390" max="391" width="3.7109375" style="125" customWidth="1"/>
    <col min="392" max="392" width="9.7109375" style="125" customWidth="1"/>
    <col min="393" max="394" width="3.7109375" style="125" customWidth="1"/>
    <col min="395" max="395" width="9.7109375" style="125" customWidth="1"/>
    <col min="396" max="397" width="3.7109375" style="125" customWidth="1"/>
    <col min="398" max="398" width="9.7109375" style="125" customWidth="1"/>
    <col min="399" max="400" width="3.7109375" style="125" customWidth="1"/>
    <col min="401" max="401" width="9.7109375" style="125" customWidth="1"/>
    <col min="402" max="402" width="3.7109375" style="125" customWidth="1"/>
    <col min="403" max="403" width="5.7109375" style="125" bestFit="1" customWidth="1"/>
    <col min="404" max="404" width="9.7109375" style="125" customWidth="1"/>
    <col min="405" max="406" width="3.7109375" style="125" customWidth="1"/>
    <col min="407" max="407" width="9.7109375" style="125" customWidth="1"/>
    <col min="408" max="409" width="3.7109375" style="125" customWidth="1"/>
    <col min="410" max="410" width="9.7109375" style="125" customWidth="1"/>
    <col min="411" max="412" width="3.7109375" style="125" customWidth="1"/>
    <col min="413" max="413" width="9.7109375" style="125" customWidth="1"/>
    <col min="414" max="415" width="3.7109375" style="125" customWidth="1"/>
    <col min="416" max="416" width="9.7109375" style="125" customWidth="1"/>
    <col min="417" max="418" width="3.7109375" style="125" customWidth="1"/>
    <col min="419" max="419" width="9.7109375" style="125" customWidth="1"/>
    <col min="420" max="420" width="3.7109375" style="125" customWidth="1"/>
    <col min="421" max="421" width="5.7109375" style="125" bestFit="1" customWidth="1"/>
    <col min="422" max="422" width="9.7109375" style="125" customWidth="1"/>
    <col min="423" max="424" width="3.7109375" style="125" customWidth="1"/>
    <col min="425" max="425" width="9.7109375" style="125" customWidth="1"/>
    <col min="426" max="427" width="3.7109375" style="125" customWidth="1"/>
    <col min="428" max="428" width="9.7109375" style="125" customWidth="1"/>
    <col min="429" max="430" width="3.7109375" style="125" customWidth="1"/>
    <col min="431" max="431" width="9.7109375" style="125" customWidth="1"/>
    <col min="432" max="433" width="3.7109375" style="125" customWidth="1"/>
    <col min="434" max="434" width="9.7109375" style="125" customWidth="1"/>
    <col min="435" max="436" width="3.7109375" style="125" customWidth="1"/>
    <col min="437" max="437" width="9.7109375" style="125" customWidth="1"/>
    <col min="438" max="439" width="3.7109375" style="125" customWidth="1"/>
    <col min="440" max="440" width="9.7109375" style="125" customWidth="1"/>
    <col min="441" max="442" width="3.7109375" style="125" customWidth="1"/>
    <col min="443" max="443" width="9.7109375" style="125" customWidth="1"/>
    <col min="444" max="445" width="3.7109375" style="125" customWidth="1"/>
    <col min="446" max="446" width="9.7109375" style="125" customWidth="1"/>
    <col min="447" max="448" width="3.7109375" style="125" customWidth="1"/>
    <col min="449" max="449" width="9.7109375" style="125" customWidth="1"/>
    <col min="450" max="451" width="3.7109375" style="125" customWidth="1"/>
    <col min="452" max="452" width="9.7109375" style="125" customWidth="1"/>
    <col min="453" max="454" width="3.7109375" style="125" customWidth="1"/>
    <col min="455" max="455" width="9.7109375" style="125" customWidth="1"/>
    <col min="456" max="457" width="3.7109375" style="125" customWidth="1"/>
    <col min="458" max="458" width="9.7109375" style="125" customWidth="1"/>
    <col min="459" max="460" width="3.7109375" style="125" customWidth="1"/>
    <col min="461" max="461" width="9.7109375" style="125" customWidth="1"/>
    <col min="462" max="463" width="3.7109375" style="125" customWidth="1"/>
    <col min="464" max="464" width="9.7109375" style="125" customWidth="1"/>
    <col min="465" max="466" width="3.7109375" style="125" customWidth="1"/>
    <col min="467" max="467" width="9.7109375" style="125" customWidth="1"/>
    <col min="468" max="469" width="3.7109375" style="125" customWidth="1"/>
    <col min="470" max="470" width="9.7109375" style="125" customWidth="1"/>
    <col min="471" max="472" width="3.7109375" style="125" customWidth="1"/>
    <col min="473" max="473" width="9.7109375" style="125" customWidth="1"/>
    <col min="474" max="475" width="3.7109375" style="125" customWidth="1"/>
    <col min="476" max="476" width="9.7109375" style="125" customWidth="1"/>
    <col min="477" max="478" width="3.7109375" style="125" customWidth="1"/>
    <col min="479" max="479" width="9.7109375" style="125" customWidth="1"/>
    <col min="480" max="481" width="3.7109375" style="125" customWidth="1"/>
    <col min="482" max="482" width="9.7109375" style="125" customWidth="1"/>
    <col min="483" max="484" width="3.7109375" style="125" customWidth="1"/>
    <col min="485" max="485" width="9.7109375" style="125" customWidth="1"/>
    <col min="486" max="487" width="3.7109375" style="125" customWidth="1"/>
    <col min="488" max="488" width="9.7109375" style="125" customWidth="1"/>
    <col min="489" max="490" width="3.7109375" style="125" customWidth="1"/>
    <col min="491" max="491" width="9.7109375" style="125" customWidth="1"/>
    <col min="492" max="493" width="3.7109375" style="125" customWidth="1"/>
    <col min="494" max="494" width="9.7109375" style="125" customWidth="1"/>
    <col min="495" max="496" width="3.7109375" style="125" customWidth="1"/>
    <col min="497" max="497" width="9.7109375" style="125" customWidth="1"/>
    <col min="498" max="499" width="3.7109375" style="125" customWidth="1"/>
    <col min="500" max="500" width="9.7109375" style="125" customWidth="1"/>
    <col min="501" max="502" width="3.7109375" style="125" customWidth="1"/>
    <col min="503" max="503" width="9.7109375" style="125" customWidth="1"/>
    <col min="504" max="505" width="3.7109375" style="125" customWidth="1"/>
    <col min="506" max="506" width="9.7109375" style="125" customWidth="1"/>
    <col min="507" max="508" width="3.7109375" style="125" customWidth="1"/>
    <col min="509" max="509" width="9.7109375" style="125" customWidth="1"/>
    <col min="510" max="510" width="3.7109375" style="125" customWidth="1"/>
    <col min="511" max="512" width="8" style="125"/>
    <col min="513" max="513" width="30.7109375" style="125" customWidth="1"/>
    <col min="514" max="514" width="9.7109375" style="125" customWidth="1"/>
    <col min="515" max="515" width="3.7109375" style="125" customWidth="1"/>
    <col min="516" max="516" width="9.7109375" style="125" customWidth="1"/>
    <col min="517" max="518" width="3.7109375" style="125" customWidth="1"/>
    <col min="519" max="519" width="9.7109375" style="125" customWidth="1"/>
    <col min="520" max="521" width="3.7109375" style="125" customWidth="1"/>
    <col min="522" max="522" width="9.7109375" style="125" customWidth="1"/>
    <col min="523" max="524" width="3.7109375" style="125" customWidth="1"/>
    <col min="525" max="525" width="9.7109375" style="125" customWidth="1"/>
    <col min="526" max="527" width="3.7109375" style="125" customWidth="1"/>
    <col min="528" max="528" width="9.7109375" style="125" customWidth="1"/>
    <col min="529" max="530" width="3.7109375" style="125" customWidth="1"/>
    <col min="531" max="531" width="9.7109375" style="125" customWidth="1"/>
    <col min="532" max="533" width="3.7109375" style="125" customWidth="1"/>
    <col min="534" max="534" width="9.7109375" style="125" customWidth="1"/>
    <col min="535" max="536" width="3.7109375" style="125" customWidth="1"/>
    <col min="537" max="537" width="9.7109375" style="125" customWidth="1"/>
    <col min="538" max="539" width="3.7109375" style="125" customWidth="1"/>
    <col min="540" max="540" width="9.7109375" style="125" customWidth="1"/>
    <col min="541" max="542" width="3.7109375" style="125" customWidth="1"/>
    <col min="543" max="543" width="9.7109375" style="125" customWidth="1"/>
    <col min="544" max="545" width="3.7109375" style="125" customWidth="1"/>
    <col min="546" max="546" width="9.7109375" style="125" customWidth="1"/>
    <col min="547" max="548" width="3.7109375" style="125" customWidth="1"/>
    <col min="549" max="549" width="9.7109375" style="125" customWidth="1"/>
    <col min="550" max="551" width="3.7109375" style="125" customWidth="1"/>
    <col min="552" max="552" width="9.7109375" style="125" customWidth="1"/>
    <col min="553" max="554" width="3.7109375" style="125" customWidth="1"/>
    <col min="555" max="555" width="9.7109375" style="125" customWidth="1"/>
    <col min="556" max="557" width="3.7109375" style="125" customWidth="1"/>
    <col min="558" max="558" width="9.7109375" style="125" customWidth="1"/>
    <col min="559" max="560" width="3.7109375" style="125" customWidth="1"/>
    <col min="561" max="561" width="9.7109375" style="125" customWidth="1"/>
    <col min="562" max="563" width="3.7109375" style="125" customWidth="1"/>
    <col min="564" max="564" width="9.7109375" style="125" customWidth="1"/>
    <col min="565" max="566" width="3.7109375" style="125" customWidth="1"/>
    <col min="567" max="567" width="9.7109375" style="125" customWidth="1"/>
    <col min="568" max="569" width="3.7109375" style="125" customWidth="1"/>
    <col min="570" max="570" width="9.7109375" style="125" customWidth="1"/>
    <col min="571" max="572" width="3.7109375" style="125" customWidth="1"/>
    <col min="573" max="573" width="9.7109375" style="125" customWidth="1"/>
    <col min="574" max="575" width="3.7109375" style="125" customWidth="1"/>
    <col min="576" max="576" width="9.7109375" style="125" customWidth="1"/>
    <col min="577" max="578" width="3.7109375" style="125" customWidth="1"/>
    <col min="579" max="579" width="9.7109375" style="125" customWidth="1"/>
    <col min="580" max="581" width="3.7109375" style="125" customWidth="1"/>
    <col min="582" max="582" width="9.7109375" style="125" customWidth="1"/>
    <col min="583" max="584" width="3.7109375" style="125" customWidth="1"/>
    <col min="585" max="585" width="9.7109375" style="125" customWidth="1"/>
    <col min="586" max="587" width="3.7109375" style="125" customWidth="1"/>
    <col min="588" max="588" width="9.7109375" style="125" customWidth="1"/>
    <col min="589" max="590" width="3.7109375" style="125" customWidth="1"/>
    <col min="591" max="591" width="9.7109375" style="125" customWidth="1"/>
    <col min="592" max="593" width="3.7109375" style="125" customWidth="1"/>
    <col min="594" max="594" width="9.7109375" style="125" customWidth="1"/>
    <col min="595" max="596" width="3.7109375" style="125" customWidth="1"/>
    <col min="597" max="597" width="9.7109375" style="125" customWidth="1"/>
    <col min="598" max="599" width="3.7109375" style="125" customWidth="1"/>
    <col min="600" max="600" width="9.7109375" style="125" customWidth="1"/>
    <col min="601" max="602" width="3.7109375" style="125" customWidth="1"/>
    <col min="603" max="603" width="9.7109375" style="125" customWidth="1"/>
    <col min="604" max="605" width="3.7109375" style="125" customWidth="1"/>
    <col min="606" max="606" width="9.7109375" style="125" customWidth="1"/>
    <col min="607" max="608" width="3.7109375" style="125" customWidth="1"/>
    <col min="609" max="609" width="9.7109375" style="125" customWidth="1"/>
    <col min="610" max="611" width="3.7109375" style="125" customWidth="1"/>
    <col min="612" max="612" width="9.7109375" style="125" customWidth="1"/>
    <col min="613" max="614" width="3.7109375" style="125" customWidth="1"/>
    <col min="615" max="615" width="9.7109375" style="125" customWidth="1"/>
    <col min="616" max="617" width="3.7109375" style="125" customWidth="1"/>
    <col min="618" max="618" width="9.7109375" style="125" customWidth="1"/>
    <col min="619" max="620" width="3.7109375" style="125" customWidth="1"/>
    <col min="621" max="621" width="9.7109375" style="125" customWidth="1"/>
    <col min="622" max="623" width="3.7109375" style="125" customWidth="1"/>
    <col min="624" max="624" width="9.7109375" style="125" customWidth="1"/>
    <col min="625" max="626" width="3.7109375" style="125" customWidth="1"/>
    <col min="627" max="627" width="9.7109375" style="125" customWidth="1"/>
    <col min="628" max="629" width="3.7109375" style="125" customWidth="1"/>
    <col min="630" max="630" width="9.7109375" style="125" customWidth="1"/>
    <col min="631" max="632" width="3.7109375" style="125" customWidth="1"/>
    <col min="633" max="633" width="9.7109375" style="125" customWidth="1"/>
    <col min="634" max="635" width="3.7109375" style="125" customWidth="1"/>
    <col min="636" max="636" width="9.7109375" style="125" customWidth="1"/>
    <col min="637" max="638" width="3.7109375" style="125" customWidth="1"/>
    <col min="639" max="639" width="9.7109375" style="125" customWidth="1"/>
    <col min="640" max="641" width="3.7109375" style="125" customWidth="1"/>
    <col min="642" max="642" width="9.7109375" style="125" customWidth="1"/>
    <col min="643" max="644" width="3.7109375" style="125" customWidth="1"/>
    <col min="645" max="645" width="9.7109375" style="125" customWidth="1"/>
    <col min="646" max="647" width="3.7109375" style="125" customWidth="1"/>
    <col min="648" max="648" width="9.7109375" style="125" customWidth="1"/>
    <col min="649" max="650" width="3.7109375" style="125" customWidth="1"/>
    <col min="651" max="651" width="9.7109375" style="125" customWidth="1"/>
    <col min="652" max="653" width="3.7109375" style="125" customWidth="1"/>
    <col min="654" max="654" width="9.7109375" style="125" customWidth="1"/>
    <col min="655" max="656" width="3.7109375" style="125" customWidth="1"/>
    <col min="657" max="657" width="9.7109375" style="125" customWidth="1"/>
    <col min="658" max="658" width="3.7109375" style="125" customWidth="1"/>
    <col min="659" max="659" width="5.7109375" style="125" bestFit="1" customWidth="1"/>
    <col min="660" max="660" width="9.7109375" style="125" customWidth="1"/>
    <col min="661" max="662" width="3.7109375" style="125" customWidth="1"/>
    <col min="663" max="663" width="9.7109375" style="125" customWidth="1"/>
    <col min="664" max="665" width="3.7109375" style="125" customWidth="1"/>
    <col min="666" max="666" width="9.7109375" style="125" customWidth="1"/>
    <col min="667" max="668" width="3.7109375" style="125" customWidth="1"/>
    <col min="669" max="669" width="9.7109375" style="125" customWidth="1"/>
    <col min="670" max="671" width="3.7109375" style="125" customWidth="1"/>
    <col min="672" max="672" width="9.7109375" style="125" customWidth="1"/>
    <col min="673" max="674" width="3.7109375" style="125" customWidth="1"/>
    <col min="675" max="675" width="9.7109375" style="125" customWidth="1"/>
    <col min="676" max="676" width="3.7109375" style="125" customWidth="1"/>
    <col min="677" max="677" width="5.7109375" style="125" bestFit="1" customWidth="1"/>
    <col min="678" max="678" width="9.7109375" style="125" customWidth="1"/>
    <col min="679" max="680" width="3.7109375" style="125" customWidth="1"/>
    <col min="681" max="681" width="9.7109375" style="125" customWidth="1"/>
    <col min="682" max="683" width="3.7109375" style="125" customWidth="1"/>
    <col min="684" max="684" width="9.7109375" style="125" customWidth="1"/>
    <col min="685" max="686" width="3.7109375" style="125" customWidth="1"/>
    <col min="687" max="687" width="9.7109375" style="125" customWidth="1"/>
    <col min="688" max="689" width="3.7109375" style="125" customWidth="1"/>
    <col min="690" max="690" width="9.7109375" style="125" customWidth="1"/>
    <col min="691" max="692" width="3.7109375" style="125" customWidth="1"/>
    <col min="693" max="693" width="9.7109375" style="125" customWidth="1"/>
    <col min="694" max="695" width="3.7109375" style="125" customWidth="1"/>
    <col min="696" max="696" width="9.7109375" style="125" customWidth="1"/>
    <col min="697" max="698" width="3.7109375" style="125" customWidth="1"/>
    <col min="699" max="699" width="9.7109375" style="125" customWidth="1"/>
    <col min="700" max="701" width="3.7109375" style="125" customWidth="1"/>
    <col min="702" max="702" width="9.7109375" style="125" customWidth="1"/>
    <col min="703" max="704" width="3.7109375" style="125" customWidth="1"/>
    <col min="705" max="705" width="9.7109375" style="125" customWidth="1"/>
    <col min="706" max="707" width="3.7109375" style="125" customWidth="1"/>
    <col min="708" max="708" width="9.7109375" style="125" customWidth="1"/>
    <col min="709" max="710" width="3.7109375" style="125" customWidth="1"/>
    <col min="711" max="711" width="9.7109375" style="125" customWidth="1"/>
    <col min="712" max="713" width="3.7109375" style="125" customWidth="1"/>
    <col min="714" max="714" width="9.7109375" style="125" customWidth="1"/>
    <col min="715" max="716" width="3.7109375" style="125" customWidth="1"/>
    <col min="717" max="717" width="9.7109375" style="125" customWidth="1"/>
    <col min="718" max="719" width="3.7109375" style="125" customWidth="1"/>
    <col min="720" max="720" width="9.7109375" style="125" customWidth="1"/>
    <col min="721" max="722" width="3.7109375" style="125" customWidth="1"/>
    <col min="723" max="723" width="9.7109375" style="125" customWidth="1"/>
    <col min="724" max="725" width="3.7109375" style="125" customWidth="1"/>
    <col min="726" max="726" width="9.7109375" style="125" customWidth="1"/>
    <col min="727" max="728" width="3.7109375" style="125" customWidth="1"/>
    <col min="729" max="729" width="9.7109375" style="125" customWidth="1"/>
    <col min="730" max="731" width="3.7109375" style="125" customWidth="1"/>
    <col min="732" max="732" width="9.7109375" style="125" customWidth="1"/>
    <col min="733" max="734" width="3.7109375" style="125" customWidth="1"/>
    <col min="735" max="735" width="9.7109375" style="125" customWidth="1"/>
    <col min="736" max="737" width="3.7109375" style="125" customWidth="1"/>
    <col min="738" max="738" width="9.7109375" style="125" customWidth="1"/>
    <col min="739" max="740" width="3.7109375" style="125" customWidth="1"/>
    <col min="741" max="741" width="9.7109375" style="125" customWidth="1"/>
    <col min="742" max="743" width="3.7109375" style="125" customWidth="1"/>
    <col min="744" max="744" width="9.7109375" style="125" customWidth="1"/>
    <col min="745" max="746" width="3.7109375" style="125" customWidth="1"/>
    <col min="747" max="747" width="9.7109375" style="125" customWidth="1"/>
    <col min="748" max="749" width="3.7109375" style="125" customWidth="1"/>
    <col min="750" max="750" width="9.7109375" style="125" customWidth="1"/>
    <col min="751" max="752" width="3.7109375" style="125" customWidth="1"/>
    <col min="753" max="753" width="9.7109375" style="125" customWidth="1"/>
    <col min="754" max="755" width="3.7109375" style="125" customWidth="1"/>
    <col min="756" max="756" width="9.7109375" style="125" customWidth="1"/>
    <col min="757" max="758" width="3.7109375" style="125" customWidth="1"/>
    <col min="759" max="759" width="9.7109375" style="125" customWidth="1"/>
    <col min="760" max="761" width="3.7109375" style="125" customWidth="1"/>
    <col min="762" max="762" width="9.7109375" style="125" customWidth="1"/>
    <col min="763" max="764" width="3.7109375" style="125" customWidth="1"/>
    <col min="765" max="765" width="9.7109375" style="125" customWidth="1"/>
    <col min="766" max="766" width="3.7109375" style="125" customWidth="1"/>
    <col min="767" max="768" width="8" style="125"/>
    <col min="769" max="769" width="30.7109375" style="125" customWidth="1"/>
    <col min="770" max="770" width="9.7109375" style="125" customWidth="1"/>
    <col min="771" max="771" width="3.7109375" style="125" customWidth="1"/>
    <col min="772" max="772" width="9.7109375" style="125" customWidth="1"/>
    <col min="773" max="774" width="3.7109375" style="125" customWidth="1"/>
    <col min="775" max="775" width="9.7109375" style="125" customWidth="1"/>
    <col min="776" max="777" width="3.7109375" style="125" customWidth="1"/>
    <col min="778" max="778" width="9.7109375" style="125" customWidth="1"/>
    <col min="779" max="780" width="3.7109375" style="125" customWidth="1"/>
    <col min="781" max="781" width="9.7109375" style="125" customWidth="1"/>
    <col min="782" max="783" width="3.7109375" style="125" customWidth="1"/>
    <col min="784" max="784" width="9.7109375" style="125" customWidth="1"/>
    <col min="785" max="786" width="3.7109375" style="125" customWidth="1"/>
    <col min="787" max="787" width="9.7109375" style="125" customWidth="1"/>
    <col min="788" max="789" width="3.7109375" style="125" customWidth="1"/>
    <col min="790" max="790" width="9.7109375" style="125" customWidth="1"/>
    <col min="791" max="792" width="3.7109375" style="125" customWidth="1"/>
    <col min="793" max="793" width="9.7109375" style="125" customWidth="1"/>
    <col min="794" max="795" width="3.7109375" style="125" customWidth="1"/>
    <col min="796" max="796" width="9.7109375" style="125" customWidth="1"/>
    <col min="797" max="798" width="3.7109375" style="125" customWidth="1"/>
    <col min="799" max="799" width="9.7109375" style="125" customWidth="1"/>
    <col min="800" max="801" width="3.7109375" style="125" customWidth="1"/>
    <col min="802" max="802" width="9.7109375" style="125" customWidth="1"/>
    <col min="803" max="804" width="3.7109375" style="125" customWidth="1"/>
    <col min="805" max="805" width="9.7109375" style="125" customWidth="1"/>
    <col min="806" max="807" width="3.7109375" style="125" customWidth="1"/>
    <col min="808" max="808" width="9.7109375" style="125" customWidth="1"/>
    <col min="809" max="810" width="3.7109375" style="125" customWidth="1"/>
    <col min="811" max="811" width="9.7109375" style="125" customWidth="1"/>
    <col min="812" max="813" width="3.7109375" style="125" customWidth="1"/>
    <col min="814" max="814" width="9.7109375" style="125" customWidth="1"/>
    <col min="815" max="816" width="3.7109375" style="125" customWidth="1"/>
    <col min="817" max="817" width="9.7109375" style="125" customWidth="1"/>
    <col min="818" max="819" width="3.7109375" style="125" customWidth="1"/>
    <col min="820" max="820" width="9.7109375" style="125" customWidth="1"/>
    <col min="821" max="822" width="3.7109375" style="125" customWidth="1"/>
    <col min="823" max="823" width="9.7109375" style="125" customWidth="1"/>
    <col min="824" max="825" width="3.7109375" style="125" customWidth="1"/>
    <col min="826" max="826" width="9.7109375" style="125" customWidth="1"/>
    <col min="827" max="828" width="3.7109375" style="125" customWidth="1"/>
    <col min="829" max="829" width="9.7109375" style="125" customWidth="1"/>
    <col min="830" max="831" width="3.7109375" style="125" customWidth="1"/>
    <col min="832" max="832" width="9.7109375" style="125" customWidth="1"/>
    <col min="833" max="834" width="3.7109375" style="125" customWidth="1"/>
    <col min="835" max="835" width="9.7109375" style="125" customWidth="1"/>
    <col min="836" max="837" width="3.7109375" style="125" customWidth="1"/>
    <col min="838" max="838" width="9.7109375" style="125" customWidth="1"/>
    <col min="839" max="840" width="3.7109375" style="125" customWidth="1"/>
    <col min="841" max="841" width="9.7109375" style="125" customWidth="1"/>
    <col min="842" max="843" width="3.7109375" style="125" customWidth="1"/>
    <col min="844" max="844" width="9.7109375" style="125" customWidth="1"/>
    <col min="845" max="846" width="3.7109375" style="125" customWidth="1"/>
    <col min="847" max="847" width="9.7109375" style="125" customWidth="1"/>
    <col min="848" max="849" width="3.7109375" style="125" customWidth="1"/>
    <col min="850" max="850" width="9.7109375" style="125" customWidth="1"/>
    <col min="851" max="852" width="3.7109375" style="125" customWidth="1"/>
    <col min="853" max="853" width="9.7109375" style="125" customWidth="1"/>
    <col min="854" max="855" width="3.7109375" style="125" customWidth="1"/>
    <col min="856" max="856" width="9.7109375" style="125" customWidth="1"/>
    <col min="857" max="858" width="3.7109375" style="125" customWidth="1"/>
    <col min="859" max="859" width="9.7109375" style="125" customWidth="1"/>
    <col min="860" max="861" width="3.7109375" style="125" customWidth="1"/>
    <col min="862" max="862" width="9.7109375" style="125" customWidth="1"/>
    <col min="863" max="864" width="3.7109375" style="125" customWidth="1"/>
    <col min="865" max="865" width="9.7109375" style="125" customWidth="1"/>
    <col min="866" max="867" width="3.7109375" style="125" customWidth="1"/>
    <col min="868" max="868" width="9.7109375" style="125" customWidth="1"/>
    <col min="869" max="870" width="3.7109375" style="125" customWidth="1"/>
    <col min="871" max="871" width="9.7109375" style="125" customWidth="1"/>
    <col min="872" max="873" width="3.7109375" style="125" customWidth="1"/>
    <col min="874" max="874" width="9.7109375" style="125" customWidth="1"/>
    <col min="875" max="876" width="3.7109375" style="125" customWidth="1"/>
    <col min="877" max="877" width="9.7109375" style="125" customWidth="1"/>
    <col min="878" max="879" width="3.7109375" style="125" customWidth="1"/>
    <col min="880" max="880" width="9.7109375" style="125" customWidth="1"/>
    <col min="881" max="882" width="3.7109375" style="125" customWidth="1"/>
    <col min="883" max="883" width="9.7109375" style="125" customWidth="1"/>
    <col min="884" max="885" width="3.7109375" style="125" customWidth="1"/>
    <col min="886" max="886" width="9.7109375" style="125" customWidth="1"/>
    <col min="887" max="888" width="3.7109375" style="125" customWidth="1"/>
    <col min="889" max="889" width="9.7109375" style="125" customWidth="1"/>
    <col min="890" max="891" width="3.7109375" style="125" customWidth="1"/>
    <col min="892" max="892" width="9.7109375" style="125" customWidth="1"/>
    <col min="893" max="894" width="3.7109375" style="125" customWidth="1"/>
    <col min="895" max="895" width="9.7109375" style="125" customWidth="1"/>
    <col min="896" max="897" width="3.7109375" style="125" customWidth="1"/>
    <col min="898" max="898" width="9.7109375" style="125" customWidth="1"/>
    <col min="899" max="900" width="3.7109375" style="125" customWidth="1"/>
    <col min="901" max="901" width="9.7109375" style="125" customWidth="1"/>
    <col min="902" max="903" width="3.7109375" style="125" customWidth="1"/>
    <col min="904" max="904" width="9.7109375" style="125" customWidth="1"/>
    <col min="905" max="906" width="3.7109375" style="125" customWidth="1"/>
    <col min="907" max="907" width="9.7109375" style="125" customWidth="1"/>
    <col min="908" max="909" width="3.7109375" style="125" customWidth="1"/>
    <col min="910" max="910" width="9.7109375" style="125" customWidth="1"/>
    <col min="911" max="912" width="3.7109375" style="125" customWidth="1"/>
    <col min="913" max="913" width="9.7109375" style="125" customWidth="1"/>
    <col min="914" max="914" width="3.7109375" style="125" customWidth="1"/>
    <col min="915" max="915" width="5.7109375" style="125" bestFit="1" customWidth="1"/>
    <col min="916" max="916" width="9.7109375" style="125" customWidth="1"/>
    <col min="917" max="918" width="3.7109375" style="125" customWidth="1"/>
    <col min="919" max="919" width="9.7109375" style="125" customWidth="1"/>
    <col min="920" max="921" width="3.7109375" style="125" customWidth="1"/>
    <col min="922" max="922" width="9.7109375" style="125" customWidth="1"/>
    <col min="923" max="924" width="3.7109375" style="125" customWidth="1"/>
    <col min="925" max="925" width="9.7109375" style="125" customWidth="1"/>
    <col min="926" max="927" width="3.7109375" style="125" customWidth="1"/>
    <col min="928" max="928" width="9.7109375" style="125" customWidth="1"/>
    <col min="929" max="930" width="3.7109375" style="125" customWidth="1"/>
    <col min="931" max="931" width="9.7109375" style="125" customWidth="1"/>
    <col min="932" max="932" width="3.7109375" style="125" customWidth="1"/>
    <col min="933" max="933" width="5.7109375" style="125" bestFit="1" customWidth="1"/>
    <col min="934" max="934" width="9.7109375" style="125" customWidth="1"/>
    <col min="935" max="936" width="3.7109375" style="125" customWidth="1"/>
    <col min="937" max="937" width="9.7109375" style="125" customWidth="1"/>
    <col min="938" max="939" width="3.7109375" style="125" customWidth="1"/>
    <col min="940" max="940" width="9.7109375" style="125" customWidth="1"/>
    <col min="941" max="942" width="3.7109375" style="125" customWidth="1"/>
    <col min="943" max="943" width="9.7109375" style="125" customWidth="1"/>
    <col min="944" max="945" width="3.7109375" style="125" customWidth="1"/>
    <col min="946" max="946" width="9.7109375" style="125" customWidth="1"/>
    <col min="947" max="948" width="3.7109375" style="125" customWidth="1"/>
    <col min="949" max="949" width="9.7109375" style="125" customWidth="1"/>
    <col min="950" max="951" width="3.7109375" style="125" customWidth="1"/>
    <col min="952" max="952" width="9.7109375" style="125" customWidth="1"/>
    <col min="953" max="954" width="3.7109375" style="125" customWidth="1"/>
    <col min="955" max="955" width="9.7109375" style="125" customWidth="1"/>
    <col min="956" max="957" width="3.7109375" style="125" customWidth="1"/>
    <col min="958" max="958" width="9.7109375" style="125" customWidth="1"/>
    <col min="959" max="960" width="3.7109375" style="125" customWidth="1"/>
    <col min="961" max="961" width="9.7109375" style="125" customWidth="1"/>
    <col min="962" max="963" width="3.7109375" style="125" customWidth="1"/>
    <col min="964" max="964" width="9.7109375" style="125" customWidth="1"/>
    <col min="965" max="966" width="3.7109375" style="125" customWidth="1"/>
    <col min="967" max="967" width="9.7109375" style="125" customWidth="1"/>
    <col min="968" max="969" width="3.7109375" style="125" customWidth="1"/>
    <col min="970" max="970" width="9.7109375" style="125" customWidth="1"/>
    <col min="971" max="972" width="3.7109375" style="125" customWidth="1"/>
    <col min="973" max="973" width="9.7109375" style="125" customWidth="1"/>
    <col min="974" max="975" width="3.7109375" style="125" customWidth="1"/>
    <col min="976" max="976" width="9.7109375" style="125" customWidth="1"/>
    <col min="977" max="978" width="3.7109375" style="125" customWidth="1"/>
    <col min="979" max="979" width="9.7109375" style="125" customWidth="1"/>
    <col min="980" max="981" width="3.7109375" style="125" customWidth="1"/>
    <col min="982" max="982" width="9.7109375" style="125" customWidth="1"/>
    <col min="983" max="984" width="3.7109375" style="125" customWidth="1"/>
    <col min="985" max="985" width="9.7109375" style="125" customWidth="1"/>
    <col min="986" max="987" width="3.7109375" style="125" customWidth="1"/>
    <col min="988" max="988" width="9.7109375" style="125" customWidth="1"/>
    <col min="989" max="990" width="3.7109375" style="125" customWidth="1"/>
    <col min="991" max="991" width="9.7109375" style="125" customWidth="1"/>
    <col min="992" max="993" width="3.7109375" style="125" customWidth="1"/>
    <col min="994" max="994" width="9.7109375" style="125" customWidth="1"/>
    <col min="995" max="996" width="3.7109375" style="125" customWidth="1"/>
    <col min="997" max="997" width="9.7109375" style="125" customWidth="1"/>
    <col min="998" max="999" width="3.7109375" style="125" customWidth="1"/>
    <col min="1000" max="1000" width="9.7109375" style="125" customWidth="1"/>
    <col min="1001" max="1002" width="3.7109375" style="125" customWidth="1"/>
    <col min="1003" max="1003" width="9.7109375" style="125" customWidth="1"/>
    <col min="1004" max="1005" width="3.7109375" style="125" customWidth="1"/>
    <col min="1006" max="1006" width="9.7109375" style="125" customWidth="1"/>
    <col min="1007" max="1008" width="3.7109375" style="125" customWidth="1"/>
    <col min="1009" max="1009" width="9.7109375" style="125" customWidth="1"/>
    <col min="1010" max="1011" width="3.7109375" style="125" customWidth="1"/>
    <col min="1012" max="1012" width="9.7109375" style="125" customWidth="1"/>
    <col min="1013" max="1014" width="3.7109375" style="125" customWidth="1"/>
    <col min="1015" max="1015" width="9.7109375" style="125" customWidth="1"/>
    <col min="1016" max="1017" width="3.7109375" style="125" customWidth="1"/>
    <col min="1018" max="1018" width="9.7109375" style="125" customWidth="1"/>
    <col min="1019" max="1020" width="3.7109375" style="125" customWidth="1"/>
    <col min="1021" max="1021" width="9.7109375" style="125" customWidth="1"/>
    <col min="1022" max="1022" width="3.7109375" style="125" customWidth="1"/>
    <col min="1023" max="1024" width="8" style="125"/>
    <col min="1025" max="1025" width="30.7109375" style="125" customWidth="1"/>
    <col min="1026" max="1026" width="9.7109375" style="125" customWidth="1"/>
    <col min="1027" max="1027" width="3.7109375" style="125" customWidth="1"/>
    <col min="1028" max="1028" width="9.7109375" style="125" customWidth="1"/>
    <col min="1029" max="1030" width="3.7109375" style="125" customWidth="1"/>
    <col min="1031" max="1031" width="9.7109375" style="125" customWidth="1"/>
    <col min="1032" max="1033" width="3.7109375" style="125" customWidth="1"/>
    <col min="1034" max="1034" width="9.7109375" style="125" customWidth="1"/>
    <col min="1035" max="1036" width="3.7109375" style="125" customWidth="1"/>
    <col min="1037" max="1037" width="9.7109375" style="125" customWidth="1"/>
    <col min="1038" max="1039" width="3.7109375" style="125" customWidth="1"/>
    <col min="1040" max="1040" width="9.7109375" style="125" customWidth="1"/>
    <col min="1041" max="1042" width="3.7109375" style="125" customWidth="1"/>
    <col min="1043" max="1043" width="9.7109375" style="125" customWidth="1"/>
    <col min="1044" max="1045" width="3.7109375" style="125" customWidth="1"/>
    <col min="1046" max="1046" width="9.7109375" style="125" customWidth="1"/>
    <col min="1047" max="1048" width="3.7109375" style="125" customWidth="1"/>
    <col min="1049" max="1049" width="9.7109375" style="125" customWidth="1"/>
    <col min="1050" max="1051" width="3.7109375" style="125" customWidth="1"/>
    <col min="1052" max="1052" width="9.7109375" style="125" customWidth="1"/>
    <col min="1053" max="1054" width="3.7109375" style="125" customWidth="1"/>
    <col min="1055" max="1055" width="9.7109375" style="125" customWidth="1"/>
    <col min="1056" max="1057" width="3.7109375" style="125" customWidth="1"/>
    <col min="1058" max="1058" width="9.7109375" style="125" customWidth="1"/>
    <col min="1059" max="1060" width="3.7109375" style="125" customWidth="1"/>
    <col min="1061" max="1061" width="9.7109375" style="125" customWidth="1"/>
    <col min="1062" max="1063" width="3.7109375" style="125" customWidth="1"/>
    <col min="1064" max="1064" width="9.7109375" style="125" customWidth="1"/>
    <col min="1065" max="1066" width="3.7109375" style="125" customWidth="1"/>
    <col min="1067" max="1067" width="9.7109375" style="125" customWidth="1"/>
    <col min="1068" max="1069" width="3.7109375" style="125" customWidth="1"/>
    <col min="1070" max="1070" width="9.7109375" style="125" customWidth="1"/>
    <col min="1071" max="1072" width="3.7109375" style="125" customWidth="1"/>
    <col min="1073" max="1073" width="9.7109375" style="125" customWidth="1"/>
    <col min="1074" max="1075" width="3.7109375" style="125" customWidth="1"/>
    <col min="1076" max="1076" width="9.7109375" style="125" customWidth="1"/>
    <col min="1077" max="1078" width="3.7109375" style="125" customWidth="1"/>
    <col min="1079" max="1079" width="9.7109375" style="125" customWidth="1"/>
    <col min="1080" max="1081" width="3.7109375" style="125" customWidth="1"/>
    <col min="1082" max="1082" width="9.7109375" style="125" customWidth="1"/>
    <col min="1083" max="1084" width="3.7109375" style="125" customWidth="1"/>
    <col min="1085" max="1085" width="9.7109375" style="125" customWidth="1"/>
    <col min="1086" max="1087" width="3.7109375" style="125" customWidth="1"/>
    <col min="1088" max="1088" width="9.7109375" style="125" customWidth="1"/>
    <col min="1089" max="1090" width="3.7109375" style="125" customWidth="1"/>
    <col min="1091" max="1091" width="9.7109375" style="125" customWidth="1"/>
    <col min="1092" max="1093" width="3.7109375" style="125" customWidth="1"/>
    <col min="1094" max="1094" width="9.7109375" style="125" customWidth="1"/>
    <col min="1095" max="1096" width="3.7109375" style="125" customWidth="1"/>
    <col min="1097" max="1097" width="9.7109375" style="125" customWidth="1"/>
    <col min="1098" max="1099" width="3.7109375" style="125" customWidth="1"/>
    <col min="1100" max="1100" width="9.7109375" style="125" customWidth="1"/>
    <col min="1101" max="1102" width="3.7109375" style="125" customWidth="1"/>
    <col min="1103" max="1103" width="9.7109375" style="125" customWidth="1"/>
    <col min="1104" max="1105" width="3.7109375" style="125" customWidth="1"/>
    <col min="1106" max="1106" width="9.7109375" style="125" customWidth="1"/>
    <col min="1107" max="1108" width="3.7109375" style="125" customWidth="1"/>
    <col min="1109" max="1109" width="9.7109375" style="125" customWidth="1"/>
    <col min="1110" max="1111" width="3.7109375" style="125" customWidth="1"/>
    <col min="1112" max="1112" width="9.7109375" style="125" customWidth="1"/>
    <col min="1113" max="1114" width="3.7109375" style="125" customWidth="1"/>
    <col min="1115" max="1115" width="9.7109375" style="125" customWidth="1"/>
    <col min="1116" max="1117" width="3.7109375" style="125" customWidth="1"/>
    <col min="1118" max="1118" width="9.7109375" style="125" customWidth="1"/>
    <col min="1119" max="1120" width="3.7109375" style="125" customWidth="1"/>
    <col min="1121" max="1121" width="9.7109375" style="125" customWidth="1"/>
    <col min="1122" max="1123" width="3.7109375" style="125" customWidth="1"/>
    <col min="1124" max="1124" width="9.7109375" style="125" customWidth="1"/>
    <col min="1125" max="1126" width="3.7109375" style="125" customWidth="1"/>
    <col min="1127" max="1127" width="9.7109375" style="125" customWidth="1"/>
    <col min="1128" max="1129" width="3.7109375" style="125" customWidth="1"/>
    <col min="1130" max="1130" width="9.7109375" style="125" customWidth="1"/>
    <col min="1131" max="1132" width="3.7109375" style="125" customWidth="1"/>
    <col min="1133" max="1133" width="9.7109375" style="125" customWidth="1"/>
    <col min="1134" max="1135" width="3.7109375" style="125" customWidth="1"/>
    <col min="1136" max="1136" width="9.7109375" style="125" customWidth="1"/>
    <col min="1137" max="1138" width="3.7109375" style="125" customWidth="1"/>
    <col min="1139" max="1139" width="9.7109375" style="125" customWidth="1"/>
    <col min="1140" max="1141" width="3.7109375" style="125" customWidth="1"/>
    <col min="1142" max="1142" width="9.7109375" style="125" customWidth="1"/>
    <col min="1143" max="1144" width="3.7109375" style="125" customWidth="1"/>
    <col min="1145" max="1145" width="9.7109375" style="125" customWidth="1"/>
    <col min="1146" max="1147" width="3.7109375" style="125" customWidth="1"/>
    <col min="1148" max="1148" width="9.7109375" style="125" customWidth="1"/>
    <col min="1149" max="1150" width="3.7109375" style="125" customWidth="1"/>
    <col min="1151" max="1151" width="9.7109375" style="125" customWidth="1"/>
    <col min="1152" max="1153" width="3.7109375" style="125" customWidth="1"/>
    <col min="1154" max="1154" width="9.7109375" style="125" customWidth="1"/>
    <col min="1155" max="1156" width="3.7109375" style="125" customWidth="1"/>
    <col min="1157" max="1157" width="9.7109375" style="125" customWidth="1"/>
    <col min="1158" max="1159" width="3.7109375" style="125" customWidth="1"/>
    <col min="1160" max="1160" width="9.7109375" style="125" customWidth="1"/>
    <col min="1161" max="1162" width="3.7109375" style="125" customWidth="1"/>
    <col min="1163" max="1163" width="9.7109375" style="125" customWidth="1"/>
    <col min="1164" max="1165" width="3.7109375" style="125" customWidth="1"/>
    <col min="1166" max="1166" width="9.7109375" style="125" customWidth="1"/>
    <col min="1167" max="1168" width="3.7109375" style="125" customWidth="1"/>
    <col min="1169" max="1169" width="9.7109375" style="125" customWidth="1"/>
    <col min="1170" max="1170" width="3.7109375" style="125" customWidth="1"/>
    <col min="1171" max="1171" width="5.7109375" style="125" bestFit="1" customWidth="1"/>
    <col min="1172" max="1172" width="9.7109375" style="125" customWidth="1"/>
    <col min="1173" max="1174" width="3.7109375" style="125" customWidth="1"/>
    <col min="1175" max="1175" width="9.7109375" style="125" customWidth="1"/>
    <col min="1176" max="1177" width="3.7109375" style="125" customWidth="1"/>
    <col min="1178" max="1178" width="9.7109375" style="125" customWidth="1"/>
    <col min="1179" max="1180" width="3.7109375" style="125" customWidth="1"/>
    <col min="1181" max="1181" width="9.7109375" style="125" customWidth="1"/>
    <col min="1182" max="1183" width="3.7109375" style="125" customWidth="1"/>
    <col min="1184" max="1184" width="9.7109375" style="125" customWidth="1"/>
    <col min="1185" max="1186" width="3.7109375" style="125" customWidth="1"/>
    <col min="1187" max="1187" width="9.7109375" style="125" customWidth="1"/>
    <col min="1188" max="1188" width="3.7109375" style="125" customWidth="1"/>
    <col min="1189" max="1189" width="5.7109375" style="125" bestFit="1" customWidth="1"/>
    <col min="1190" max="1190" width="9.7109375" style="125" customWidth="1"/>
    <col min="1191" max="1192" width="3.7109375" style="125" customWidth="1"/>
    <col min="1193" max="1193" width="9.7109375" style="125" customWidth="1"/>
    <col min="1194" max="1195" width="3.7109375" style="125" customWidth="1"/>
    <col min="1196" max="1196" width="9.7109375" style="125" customWidth="1"/>
    <col min="1197" max="1198" width="3.7109375" style="125" customWidth="1"/>
    <col min="1199" max="1199" width="9.7109375" style="125" customWidth="1"/>
    <col min="1200" max="1201" width="3.7109375" style="125" customWidth="1"/>
    <col min="1202" max="1202" width="9.7109375" style="125" customWidth="1"/>
    <col min="1203" max="1204" width="3.7109375" style="125" customWidth="1"/>
    <col min="1205" max="1205" width="9.7109375" style="125" customWidth="1"/>
    <col min="1206" max="1207" width="3.7109375" style="125" customWidth="1"/>
    <col min="1208" max="1208" width="9.7109375" style="125" customWidth="1"/>
    <col min="1209" max="1210" width="3.7109375" style="125" customWidth="1"/>
    <col min="1211" max="1211" width="9.7109375" style="125" customWidth="1"/>
    <col min="1212" max="1213" width="3.7109375" style="125" customWidth="1"/>
    <col min="1214" max="1214" width="9.7109375" style="125" customWidth="1"/>
    <col min="1215" max="1216" width="3.7109375" style="125" customWidth="1"/>
    <col min="1217" max="1217" width="9.7109375" style="125" customWidth="1"/>
    <col min="1218" max="1219" width="3.7109375" style="125" customWidth="1"/>
    <col min="1220" max="1220" width="9.7109375" style="125" customWidth="1"/>
    <col min="1221" max="1222" width="3.7109375" style="125" customWidth="1"/>
    <col min="1223" max="1223" width="9.7109375" style="125" customWidth="1"/>
    <col min="1224" max="1225" width="3.7109375" style="125" customWidth="1"/>
    <col min="1226" max="1226" width="9.7109375" style="125" customWidth="1"/>
    <col min="1227" max="1228" width="3.7109375" style="125" customWidth="1"/>
    <col min="1229" max="1229" width="9.7109375" style="125" customWidth="1"/>
    <col min="1230" max="1231" width="3.7109375" style="125" customWidth="1"/>
    <col min="1232" max="1232" width="9.7109375" style="125" customWidth="1"/>
    <col min="1233" max="1234" width="3.7109375" style="125" customWidth="1"/>
    <col min="1235" max="1235" width="9.7109375" style="125" customWidth="1"/>
    <col min="1236" max="1237" width="3.7109375" style="125" customWidth="1"/>
    <col min="1238" max="1238" width="9.7109375" style="125" customWidth="1"/>
    <col min="1239" max="1240" width="3.7109375" style="125" customWidth="1"/>
    <col min="1241" max="1241" width="9.7109375" style="125" customWidth="1"/>
    <col min="1242" max="1243" width="3.7109375" style="125" customWidth="1"/>
    <col min="1244" max="1244" width="9.7109375" style="125" customWidth="1"/>
    <col min="1245" max="1246" width="3.7109375" style="125" customWidth="1"/>
    <col min="1247" max="1247" width="9.7109375" style="125" customWidth="1"/>
    <col min="1248" max="1249" width="3.7109375" style="125" customWidth="1"/>
    <col min="1250" max="1250" width="9.7109375" style="125" customWidth="1"/>
    <col min="1251" max="1252" width="3.7109375" style="125" customWidth="1"/>
    <col min="1253" max="1253" width="9.7109375" style="125" customWidth="1"/>
    <col min="1254" max="1255" width="3.7109375" style="125" customWidth="1"/>
    <col min="1256" max="1256" width="9.7109375" style="125" customWidth="1"/>
    <col min="1257" max="1258" width="3.7109375" style="125" customWidth="1"/>
    <col min="1259" max="1259" width="9.7109375" style="125" customWidth="1"/>
    <col min="1260" max="1261" width="3.7109375" style="125" customWidth="1"/>
    <col min="1262" max="1262" width="9.7109375" style="125" customWidth="1"/>
    <col min="1263" max="1264" width="3.7109375" style="125" customWidth="1"/>
    <col min="1265" max="1265" width="9.7109375" style="125" customWidth="1"/>
    <col min="1266" max="1267" width="3.7109375" style="125" customWidth="1"/>
    <col min="1268" max="1268" width="9.7109375" style="125" customWidth="1"/>
    <col min="1269" max="1270" width="3.7109375" style="125" customWidth="1"/>
    <col min="1271" max="1271" width="9.7109375" style="125" customWidth="1"/>
    <col min="1272" max="1273" width="3.7109375" style="125" customWidth="1"/>
    <col min="1274" max="1274" width="9.7109375" style="125" customWidth="1"/>
    <col min="1275" max="1276" width="3.7109375" style="125" customWidth="1"/>
    <col min="1277" max="1277" width="9.7109375" style="125" customWidth="1"/>
    <col min="1278" max="1278" width="3.7109375" style="125" customWidth="1"/>
    <col min="1279" max="1280" width="8" style="125"/>
    <col min="1281" max="1281" width="30.7109375" style="125" customWidth="1"/>
    <col min="1282" max="1282" width="9.7109375" style="125" customWidth="1"/>
    <col min="1283" max="1283" width="3.7109375" style="125" customWidth="1"/>
    <col min="1284" max="1284" width="9.7109375" style="125" customWidth="1"/>
    <col min="1285" max="1286" width="3.7109375" style="125" customWidth="1"/>
    <col min="1287" max="1287" width="9.7109375" style="125" customWidth="1"/>
    <col min="1288" max="1289" width="3.7109375" style="125" customWidth="1"/>
    <col min="1290" max="1290" width="9.7109375" style="125" customWidth="1"/>
    <col min="1291" max="1292" width="3.7109375" style="125" customWidth="1"/>
    <col min="1293" max="1293" width="9.7109375" style="125" customWidth="1"/>
    <col min="1294" max="1295" width="3.7109375" style="125" customWidth="1"/>
    <col min="1296" max="1296" width="9.7109375" style="125" customWidth="1"/>
    <col min="1297" max="1298" width="3.7109375" style="125" customWidth="1"/>
    <col min="1299" max="1299" width="9.7109375" style="125" customWidth="1"/>
    <col min="1300" max="1301" width="3.7109375" style="125" customWidth="1"/>
    <col min="1302" max="1302" width="9.7109375" style="125" customWidth="1"/>
    <col min="1303" max="1304" width="3.7109375" style="125" customWidth="1"/>
    <col min="1305" max="1305" width="9.7109375" style="125" customWidth="1"/>
    <col min="1306" max="1307" width="3.7109375" style="125" customWidth="1"/>
    <col min="1308" max="1308" width="9.7109375" style="125" customWidth="1"/>
    <col min="1309" max="1310" width="3.7109375" style="125" customWidth="1"/>
    <col min="1311" max="1311" width="9.7109375" style="125" customWidth="1"/>
    <col min="1312" max="1313" width="3.7109375" style="125" customWidth="1"/>
    <col min="1314" max="1314" width="9.7109375" style="125" customWidth="1"/>
    <col min="1315" max="1316" width="3.7109375" style="125" customWidth="1"/>
    <col min="1317" max="1317" width="9.7109375" style="125" customWidth="1"/>
    <col min="1318" max="1319" width="3.7109375" style="125" customWidth="1"/>
    <col min="1320" max="1320" width="9.7109375" style="125" customWidth="1"/>
    <col min="1321" max="1322" width="3.7109375" style="125" customWidth="1"/>
    <col min="1323" max="1323" width="9.7109375" style="125" customWidth="1"/>
    <col min="1324" max="1325" width="3.7109375" style="125" customWidth="1"/>
    <col min="1326" max="1326" width="9.7109375" style="125" customWidth="1"/>
    <col min="1327" max="1328" width="3.7109375" style="125" customWidth="1"/>
    <col min="1329" max="1329" width="9.7109375" style="125" customWidth="1"/>
    <col min="1330" max="1331" width="3.7109375" style="125" customWidth="1"/>
    <col min="1332" max="1332" width="9.7109375" style="125" customWidth="1"/>
    <col min="1333" max="1334" width="3.7109375" style="125" customWidth="1"/>
    <col min="1335" max="1335" width="9.7109375" style="125" customWidth="1"/>
    <col min="1336" max="1337" width="3.7109375" style="125" customWidth="1"/>
    <col min="1338" max="1338" width="9.7109375" style="125" customWidth="1"/>
    <col min="1339" max="1340" width="3.7109375" style="125" customWidth="1"/>
    <col min="1341" max="1341" width="9.7109375" style="125" customWidth="1"/>
    <col min="1342" max="1343" width="3.7109375" style="125" customWidth="1"/>
    <col min="1344" max="1344" width="9.7109375" style="125" customWidth="1"/>
    <col min="1345" max="1346" width="3.7109375" style="125" customWidth="1"/>
    <col min="1347" max="1347" width="9.7109375" style="125" customWidth="1"/>
    <col min="1348" max="1349" width="3.7109375" style="125" customWidth="1"/>
    <col min="1350" max="1350" width="9.7109375" style="125" customWidth="1"/>
    <col min="1351" max="1352" width="3.7109375" style="125" customWidth="1"/>
    <col min="1353" max="1353" width="9.7109375" style="125" customWidth="1"/>
    <col min="1354" max="1355" width="3.7109375" style="125" customWidth="1"/>
    <col min="1356" max="1356" width="9.7109375" style="125" customWidth="1"/>
    <col min="1357" max="1358" width="3.7109375" style="125" customWidth="1"/>
    <col min="1359" max="1359" width="9.7109375" style="125" customWidth="1"/>
    <col min="1360" max="1361" width="3.7109375" style="125" customWidth="1"/>
    <col min="1362" max="1362" width="9.7109375" style="125" customWidth="1"/>
    <col min="1363" max="1364" width="3.7109375" style="125" customWidth="1"/>
    <col min="1365" max="1365" width="9.7109375" style="125" customWidth="1"/>
    <col min="1366" max="1367" width="3.7109375" style="125" customWidth="1"/>
    <col min="1368" max="1368" width="9.7109375" style="125" customWidth="1"/>
    <col min="1369" max="1370" width="3.7109375" style="125" customWidth="1"/>
    <col min="1371" max="1371" width="9.7109375" style="125" customWidth="1"/>
    <col min="1372" max="1373" width="3.7109375" style="125" customWidth="1"/>
    <col min="1374" max="1374" width="9.7109375" style="125" customWidth="1"/>
    <col min="1375" max="1376" width="3.7109375" style="125" customWidth="1"/>
    <col min="1377" max="1377" width="9.7109375" style="125" customWidth="1"/>
    <col min="1378" max="1379" width="3.7109375" style="125" customWidth="1"/>
    <col min="1380" max="1380" width="9.7109375" style="125" customWidth="1"/>
    <col min="1381" max="1382" width="3.7109375" style="125" customWidth="1"/>
    <col min="1383" max="1383" width="9.7109375" style="125" customWidth="1"/>
    <col min="1384" max="1385" width="3.7109375" style="125" customWidth="1"/>
    <col min="1386" max="1386" width="9.7109375" style="125" customWidth="1"/>
    <col min="1387" max="1388" width="3.7109375" style="125" customWidth="1"/>
    <col min="1389" max="1389" width="9.7109375" style="125" customWidth="1"/>
    <col min="1390" max="1391" width="3.7109375" style="125" customWidth="1"/>
    <col min="1392" max="1392" width="9.7109375" style="125" customWidth="1"/>
    <col min="1393" max="1394" width="3.7109375" style="125" customWidth="1"/>
    <col min="1395" max="1395" width="9.7109375" style="125" customWidth="1"/>
    <col min="1396" max="1397" width="3.7109375" style="125" customWidth="1"/>
    <col min="1398" max="1398" width="9.7109375" style="125" customWidth="1"/>
    <col min="1399" max="1400" width="3.7109375" style="125" customWidth="1"/>
    <col min="1401" max="1401" width="9.7109375" style="125" customWidth="1"/>
    <col min="1402" max="1403" width="3.7109375" style="125" customWidth="1"/>
    <col min="1404" max="1404" width="9.7109375" style="125" customWidth="1"/>
    <col min="1405" max="1406" width="3.7109375" style="125" customWidth="1"/>
    <col min="1407" max="1407" width="9.7109375" style="125" customWidth="1"/>
    <col min="1408" max="1409" width="3.7109375" style="125" customWidth="1"/>
    <col min="1410" max="1410" width="9.7109375" style="125" customWidth="1"/>
    <col min="1411" max="1412" width="3.7109375" style="125" customWidth="1"/>
    <col min="1413" max="1413" width="9.7109375" style="125" customWidth="1"/>
    <col min="1414" max="1415" width="3.7109375" style="125" customWidth="1"/>
    <col min="1416" max="1416" width="9.7109375" style="125" customWidth="1"/>
    <col min="1417" max="1418" width="3.7109375" style="125" customWidth="1"/>
    <col min="1419" max="1419" width="9.7109375" style="125" customWidth="1"/>
    <col min="1420" max="1421" width="3.7109375" style="125" customWidth="1"/>
    <col min="1422" max="1422" width="9.7109375" style="125" customWidth="1"/>
    <col min="1423" max="1424" width="3.7109375" style="125" customWidth="1"/>
    <col min="1425" max="1425" width="9.7109375" style="125" customWidth="1"/>
    <col min="1426" max="1426" width="3.7109375" style="125" customWidth="1"/>
    <col min="1427" max="1427" width="5.7109375" style="125" bestFit="1" customWidth="1"/>
    <col min="1428" max="1428" width="9.7109375" style="125" customWidth="1"/>
    <col min="1429" max="1430" width="3.7109375" style="125" customWidth="1"/>
    <col min="1431" max="1431" width="9.7109375" style="125" customWidth="1"/>
    <col min="1432" max="1433" width="3.7109375" style="125" customWidth="1"/>
    <col min="1434" max="1434" width="9.7109375" style="125" customWidth="1"/>
    <col min="1435" max="1436" width="3.7109375" style="125" customWidth="1"/>
    <col min="1437" max="1437" width="9.7109375" style="125" customWidth="1"/>
    <col min="1438" max="1439" width="3.7109375" style="125" customWidth="1"/>
    <col min="1440" max="1440" width="9.7109375" style="125" customWidth="1"/>
    <col min="1441" max="1442" width="3.7109375" style="125" customWidth="1"/>
    <col min="1443" max="1443" width="9.7109375" style="125" customWidth="1"/>
    <col min="1444" max="1444" width="3.7109375" style="125" customWidth="1"/>
    <col min="1445" max="1445" width="5.7109375" style="125" bestFit="1" customWidth="1"/>
    <col min="1446" max="1446" width="9.7109375" style="125" customWidth="1"/>
    <col min="1447" max="1448" width="3.7109375" style="125" customWidth="1"/>
    <col min="1449" max="1449" width="9.7109375" style="125" customWidth="1"/>
    <col min="1450" max="1451" width="3.7109375" style="125" customWidth="1"/>
    <col min="1452" max="1452" width="9.7109375" style="125" customWidth="1"/>
    <col min="1453" max="1454" width="3.7109375" style="125" customWidth="1"/>
    <col min="1455" max="1455" width="9.7109375" style="125" customWidth="1"/>
    <col min="1456" max="1457" width="3.7109375" style="125" customWidth="1"/>
    <col min="1458" max="1458" width="9.7109375" style="125" customWidth="1"/>
    <col min="1459" max="1460" width="3.7109375" style="125" customWidth="1"/>
    <col min="1461" max="1461" width="9.7109375" style="125" customWidth="1"/>
    <col min="1462" max="1463" width="3.7109375" style="125" customWidth="1"/>
    <col min="1464" max="1464" width="9.7109375" style="125" customWidth="1"/>
    <col min="1465" max="1466" width="3.7109375" style="125" customWidth="1"/>
    <col min="1467" max="1467" width="9.7109375" style="125" customWidth="1"/>
    <col min="1468" max="1469" width="3.7109375" style="125" customWidth="1"/>
    <col min="1470" max="1470" width="9.7109375" style="125" customWidth="1"/>
    <col min="1471" max="1472" width="3.7109375" style="125" customWidth="1"/>
    <col min="1473" max="1473" width="9.7109375" style="125" customWidth="1"/>
    <col min="1474" max="1475" width="3.7109375" style="125" customWidth="1"/>
    <col min="1476" max="1476" width="9.7109375" style="125" customWidth="1"/>
    <col min="1477" max="1478" width="3.7109375" style="125" customWidth="1"/>
    <col min="1479" max="1479" width="9.7109375" style="125" customWidth="1"/>
    <col min="1480" max="1481" width="3.7109375" style="125" customWidth="1"/>
    <col min="1482" max="1482" width="9.7109375" style="125" customWidth="1"/>
    <col min="1483" max="1484" width="3.7109375" style="125" customWidth="1"/>
    <col min="1485" max="1485" width="9.7109375" style="125" customWidth="1"/>
    <col min="1486" max="1487" width="3.7109375" style="125" customWidth="1"/>
    <col min="1488" max="1488" width="9.7109375" style="125" customWidth="1"/>
    <col min="1489" max="1490" width="3.7109375" style="125" customWidth="1"/>
    <col min="1491" max="1491" width="9.7109375" style="125" customWidth="1"/>
    <col min="1492" max="1493" width="3.7109375" style="125" customWidth="1"/>
    <col min="1494" max="1494" width="9.7109375" style="125" customWidth="1"/>
    <col min="1495" max="1496" width="3.7109375" style="125" customWidth="1"/>
    <col min="1497" max="1497" width="9.7109375" style="125" customWidth="1"/>
    <col min="1498" max="1499" width="3.7109375" style="125" customWidth="1"/>
    <col min="1500" max="1500" width="9.7109375" style="125" customWidth="1"/>
    <col min="1501" max="1502" width="3.7109375" style="125" customWidth="1"/>
    <col min="1503" max="1503" width="9.7109375" style="125" customWidth="1"/>
    <col min="1504" max="1505" width="3.7109375" style="125" customWidth="1"/>
    <col min="1506" max="1506" width="9.7109375" style="125" customWidth="1"/>
    <col min="1507" max="1508" width="3.7109375" style="125" customWidth="1"/>
    <col min="1509" max="1509" width="9.7109375" style="125" customWidth="1"/>
    <col min="1510" max="1511" width="3.7109375" style="125" customWidth="1"/>
    <col min="1512" max="1512" width="9.7109375" style="125" customWidth="1"/>
    <col min="1513" max="1514" width="3.7109375" style="125" customWidth="1"/>
    <col min="1515" max="1515" width="9.7109375" style="125" customWidth="1"/>
    <col min="1516" max="1517" width="3.7109375" style="125" customWidth="1"/>
    <col min="1518" max="1518" width="9.7109375" style="125" customWidth="1"/>
    <col min="1519" max="1520" width="3.7109375" style="125" customWidth="1"/>
    <col min="1521" max="1521" width="9.7109375" style="125" customWidth="1"/>
    <col min="1522" max="1523" width="3.7109375" style="125" customWidth="1"/>
    <col min="1524" max="1524" width="9.7109375" style="125" customWidth="1"/>
    <col min="1525" max="1526" width="3.7109375" style="125" customWidth="1"/>
    <col min="1527" max="1527" width="9.7109375" style="125" customWidth="1"/>
    <col min="1528" max="1529" width="3.7109375" style="125" customWidth="1"/>
    <col min="1530" max="1530" width="9.7109375" style="125" customWidth="1"/>
    <col min="1531" max="1532" width="3.7109375" style="125" customWidth="1"/>
    <col min="1533" max="1533" width="9.7109375" style="125" customWidth="1"/>
    <col min="1534" max="1534" width="3.7109375" style="125" customWidth="1"/>
    <col min="1535" max="1536" width="8" style="125"/>
    <col min="1537" max="1537" width="30.7109375" style="125" customWidth="1"/>
    <col min="1538" max="1538" width="9.7109375" style="125" customWidth="1"/>
    <col min="1539" max="1539" width="3.7109375" style="125" customWidth="1"/>
    <col min="1540" max="1540" width="9.7109375" style="125" customWidth="1"/>
    <col min="1541" max="1542" width="3.7109375" style="125" customWidth="1"/>
    <col min="1543" max="1543" width="9.7109375" style="125" customWidth="1"/>
    <col min="1544" max="1545" width="3.7109375" style="125" customWidth="1"/>
    <col min="1546" max="1546" width="9.7109375" style="125" customWidth="1"/>
    <col min="1547" max="1548" width="3.7109375" style="125" customWidth="1"/>
    <col min="1549" max="1549" width="9.7109375" style="125" customWidth="1"/>
    <col min="1550" max="1551" width="3.7109375" style="125" customWidth="1"/>
    <col min="1552" max="1552" width="9.7109375" style="125" customWidth="1"/>
    <col min="1553" max="1554" width="3.7109375" style="125" customWidth="1"/>
    <col min="1555" max="1555" width="9.7109375" style="125" customWidth="1"/>
    <col min="1556" max="1557" width="3.7109375" style="125" customWidth="1"/>
    <col min="1558" max="1558" width="9.7109375" style="125" customWidth="1"/>
    <col min="1559" max="1560" width="3.7109375" style="125" customWidth="1"/>
    <col min="1561" max="1561" width="9.7109375" style="125" customWidth="1"/>
    <col min="1562" max="1563" width="3.7109375" style="125" customWidth="1"/>
    <col min="1564" max="1564" width="9.7109375" style="125" customWidth="1"/>
    <col min="1565" max="1566" width="3.7109375" style="125" customWidth="1"/>
    <col min="1567" max="1567" width="9.7109375" style="125" customWidth="1"/>
    <col min="1568" max="1569" width="3.7109375" style="125" customWidth="1"/>
    <col min="1570" max="1570" width="9.7109375" style="125" customWidth="1"/>
    <col min="1571" max="1572" width="3.7109375" style="125" customWidth="1"/>
    <col min="1573" max="1573" width="9.7109375" style="125" customWidth="1"/>
    <col min="1574" max="1575" width="3.7109375" style="125" customWidth="1"/>
    <col min="1576" max="1576" width="9.7109375" style="125" customWidth="1"/>
    <col min="1577" max="1578" width="3.7109375" style="125" customWidth="1"/>
    <col min="1579" max="1579" width="9.7109375" style="125" customWidth="1"/>
    <col min="1580" max="1581" width="3.7109375" style="125" customWidth="1"/>
    <col min="1582" max="1582" width="9.7109375" style="125" customWidth="1"/>
    <col min="1583" max="1584" width="3.7109375" style="125" customWidth="1"/>
    <col min="1585" max="1585" width="9.7109375" style="125" customWidth="1"/>
    <col min="1586" max="1587" width="3.7109375" style="125" customWidth="1"/>
    <col min="1588" max="1588" width="9.7109375" style="125" customWidth="1"/>
    <col min="1589" max="1590" width="3.7109375" style="125" customWidth="1"/>
    <col min="1591" max="1591" width="9.7109375" style="125" customWidth="1"/>
    <col min="1592" max="1593" width="3.7109375" style="125" customWidth="1"/>
    <col min="1594" max="1594" width="9.7109375" style="125" customWidth="1"/>
    <col min="1595" max="1596" width="3.7109375" style="125" customWidth="1"/>
    <col min="1597" max="1597" width="9.7109375" style="125" customWidth="1"/>
    <col min="1598" max="1599" width="3.7109375" style="125" customWidth="1"/>
    <col min="1600" max="1600" width="9.7109375" style="125" customWidth="1"/>
    <col min="1601" max="1602" width="3.7109375" style="125" customWidth="1"/>
    <col min="1603" max="1603" width="9.7109375" style="125" customWidth="1"/>
    <col min="1604" max="1605" width="3.7109375" style="125" customWidth="1"/>
    <col min="1606" max="1606" width="9.7109375" style="125" customWidth="1"/>
    <col min="1607" max="1608" width="3.7109375" style="125" customWidth="1"/>
    <col min="1609" max="1609" width="9.7109375" style="125" customWidth="1"/>
    <col min="1610" max="1611" width="3.7109375" style="125" customWidth="1"/>
    <col min="1612" max="1612" width="9.7109375" style="125" customWidth="1"/>
    <col min="1613" max="1614" width="3.7109375" style="125" customWidth="1"/>
    <col min="1615" max="1615" width="9.7109375" style="125" customWidth="1"/>
    <col min="1616" max="1617" width="3.7109375" style="125" customWidth="1"/>
    <col min="1618" max="1618" width="9.7109375" style="125" customWidth="1"/>
    <col min="1619" max="1620" width="3.7109375" style="125" customWidth="1"/>
    <col min="1621" max="1621" width="9.7109375" style="125" customWidth="1"/>
    <col min="1622" max="1623" width="3.7109375" style="125" customWidth="1"/>
    <col min="1624" max="1624" width="9.7109375" style="125" customWidth="1"/>
    <col min="1625" max="1626" width="3.7109375" style="125" customWidth="1"/>
    <col min="1627" max="1627" width="9.7109375" style="125" customWidth="1"/>
    <col min="1628" max="1629" width="3.7109375" style="125" customWidth="1"/>
    <col min="1630" max="1630" width="9.7109375" style="125" customWidth="1"/>
    <col min="1631" max="1632" width="3.7109375" style="125" customWidth="1"/>
    <col min="1633" max="1633" width="9.7109375" style="125" customWidth="1"/>
    <col min="1634" max="1635" width="3.7109375" style="125" customWidth="1"/>
    <col min="1636" max="1636" width="9.7109375" style="125" customWidth="1"/>
    <col min="1637" max="1638" width="3.7109375" style="125" customWidth="1"/>
    <col min="1639" max="1639" width="9.7109375" style="125" customWidth="1"/>
    <col min="1640" max="1641" width="3.7109375" style="125" customWidth="1"/>
    <col min="1642" max="1642" width="9.7109375" style="125" customWidth="1"/>
    <col min="1643" max="1644" width="3.7109375" style="125" customWidth="1"/>
    <col min="1645" max="1645" width="9.7109375" style="125" customWidth="1"/>
    <col min="1646" max="1647" width="3.7109375" style="125" customWidth="1"/>
    <col min="1648" max="1648" width="9.7109375" style="125" customWidth="1"/>
    <col min="1649" max="1650" width="3.7109375" style="125" customWidth="1"/>
    <col min="1651" max="1651" width="9.7109375" style="125" customWidth="1"/>
    <col min="1652" max="1653" width="3.7109375" style="125" customWidth="1"/>
    <col min="1654" max="1654" width="9.7109375" style="125" customWidth="1"/>
    <col min="1655" max="1656" width="3.7109375" style="125" customWidth="1"/>
    <col min="1657" max="1657" width="9.7109375" style="125" customWidth="1"/>
    <col min="1658" max="1659" width="3.7109375" style="125" customWidth="1"/>
    <col min="1660" max="1660" width="9.7109375" style="125" customWidth="1"/>
    <col min="1661" max="1662" width="3.7109375" style="125" customWidth="1"/>
    <col min="1663" max="1663" width="9.7109375" style="125" customWidth="1"/>
    <col min="1664" max="1665" width="3.7109375" style="125" customWidth="1"/>
    <col min="1666" max="1666" width="9.7109375" style="125" customWidth="1"/>
    <col min="1667" max="1668" width="3.7109375" style="125" customWidth="1"/>
    <col min="1669" max="1669" width="9.7109375" style="125" customWidth="1"/>
    <col min="1670" max="1671" width="3.7109375" style="125" customWidth="1"/>
    <col min="1672" max="1672" width="9.7109375" style="125" customWidth="1"/>
    <col min="1673" max="1674" width="3.7109375" style="125" customWidth="1"/>
    <col min="1675" max="1675" width="9.7109375" style="125" customWidth="1"/>
    <col min="1676" max="1677" width="3.7109375" style="125" customWidth="1"/>
    <col min="1678" max="1678" width="9.7109375" style="125" customWidth="1"/>
    <col min="1679" max="1680" width="3.7109375" style="125" customWidth="1"/>
    <col min="1681" max="1681" width="9.7109375" style="125" customWidth="1"/>
    <col min="1682" max="1682" width="3.7109375" style="125" customWidth="1"/>
    <col min="1683" max="1683" width="5.7109375" style="125" bestFit="1" customWidth="1"/>
    <col min="1684" max="1684" width="9.7109375" style="125" customWidth="1"/>
    <col min="1685" max="1686" width="3.7109375" style="125" customWidth="1"/>
    <col min="1687" max="1687" width="9.7109375" style="125" customWidth="1"/>
    <col min="1688" max="1689" width="3.7109375" style="125" customWidth="1"/>
    <col min="1690" max="1690" width="9.7109375" style="125" customWidth="1"/>
    <col min="1691" max="1692" width="3.7109375" style="125" customWidth="1"/>
    <col min="1693" max="1693" width="9.7109375" style="125" customWidth="1"/>
    <col min="1694" max="1695" width="3.7109375" style="125" customWidth="1"/>
    <col min="1696" max="1696" width="9.7109375" style="125" customWidth="1"/>
    <col min="1697" max="1698" width="3.7109375" style="125" customWidth="1"/>
    <col min="1699" max="1699" width="9.7109375" style="125" customWidth="1"/>
    <col min="1700" max="1700" width="3.7109375" style="125" customWidth="1"/>
    <col min="1701" max="1701" width="5.7109375" style="125" bestFit="1" customWidth="1"/>
    <col min="1702" max="1702" width="9.7109375" style="125" customWidth="1"/>
    <col min="1703" max="1704" width="3.7109375" style="125" customWidth="1"/>
    <col min="1705" max="1705" width="9.7109375" style="125" customWidth="1"/>
    <col min="1706" max="1707" width="3.7109375" style="125" customWidth="1"/>
    <col min="1708" max="1708" width="9.7109375" style="125" customWidth="1"/>
    <col min="1709" max="1710" width="3.7109375" style="125" customWidth="1"/>
    <col min="1711" max="1711" width="9.7109375" style="125" customWidth="1"/>
    <col min="1712" max="1713" width="3.7109375" style="125" customWidth="1"/>
    <col min="1714" max="1714" width="9.7109375" style="125" customWidth="1"/>
    <col min="1715" max="1716" width="3.7109375" style="125" customWidth="1"/>
    <col min="1717" max="1717" width="9.7109375" style="125" customWidth="1"/>
    <col min="1718" max="1719" width="3.7109375" style="125" customWidth="1"/>
    <col min="1720" max="1720" width="9.7109375" style="125" customWidth="1"/>
    <col min="1721" max="1722" width="3.7109375" style="125" customWidth="1"/>
    <col min="1723" max="1723" width="9.7109375" style="125" customWidth="1"/>
    <col min="1724" max="1725" width="3.7109375" style="125" customWidth="1"/>
    <col min="1726" max="1726" width="9.7109375" style="125" customWidth="1"/>
    <col min="1727" max="1728" width="3.7109375" style="125" customWidth="1"/>
    <col min="1729" max="1729" width="9.7109375" style="125" customWidth="1"/>
    <col min="1730" max="1731" width="3.7109375" style="125" customWidth="1"/>
    <col min="1732" max="1732" width="9.7109375" style="125" customWidth="1"/>
    <col min="1733" max="1734" width="3.7109375" style="125" customWidth="1"/>
    <col min="1735" max="1735" width="9.7109375" style="125" customWidth="1"/>
    <col min="1736" max="1737" width="3.7109375" style="125" customWidth="1"/>
    <col min="1738" max="1738" width="9.7109375" style="125" customWidth="1"/>
    <col min="1739" max="1740" width="3.7109375" style="125" customWidth="1"/>
    <col min="1741" max="1741" width="9.7109375" style="125" customWidth="1"/>
    <col min="1742" max="1743" width="3.7109375" style="125" customWidth="1"/>
    <col min="1744" max="1744" width="9.7109375" style="125" customWidth="1"/>
    <col min="1745" max="1746" width="3.7109375" style="125" customWidth="1"/>
    <col min="1747" max="1747" width="9.7109375" style="125" customWidth="1"/>
    <col min="1748" max="1749" width="3.7109375" style="125" customWidth="1"/>
    <col min="1750" max="1750" width="9.7109375" style="125" customWidth="1"/>
    <col min="1751" max="1752" width="3.7109375" style="125" customWidth="1"/>
    <col min="1753" max="1753" width="9.7109375" style="125" customWidth="1"/>
    <col min="1754" max="1755" width="3.7109375" style="125" customWidth="1"/>
    <col min="1756" max="1756" width="9.7109375" style="125" customWidth="1"/>
    <col min="1757" max="1758" width="3.7109375" style="125" customWidth="1"/>
    <col min="1759" max="1759" width="9.7109375" style="125" customWidth="1"/>
    <col min="1760" max="1761" width="3.7109375" style="125" customWidth="1"/>
    <col min="1762" max="1762" width="9.7109375" style="125" customWidth="1"/>
    <col min="1763" max="1764" width="3.7109375" style="125" customWidth="1"/>
    <col min="1765" max="1765" width="9.7109375" style="125" customWidth="1"/>
    <col min="1766" max="1767" width="3.7109375" style="125" customWidth="1"/>
    <col min="1768" max="1768" width="9.7109375" style="125" customWidth="1"/>
    <col min="1769" max="1770" width="3.7109375" style="125" customWidth="1"/>
    <col min="1771" max="1771" width="9.7109375" style="125" customWidth="1"/>
    <col min="1772" max="1773" width="3.7109375" style="125" customWidth="1"/>
    <col min="1774" max="1774" width="9.7109375" style="125" customWidth="1"/>
    <col min="1775" max="1776" width="3.7109375" style="125" customWidth="1"/>
    <col min="1777" max="1777" width="9.7109375" style="125" customWidth="1"/>
    <col min="1778" max="1779" width="3.7109375" style="125" customWidth="1"/>
    <col min="1780" max="1780" width="9.7109375" style="125" customWidth="1"/>
    <col min="1781" max="1782" width="3.7109375" style="125" customWidth="1"/>
    <col min="1783" max="1783" width="9.7109375" style="125" customWidth="1"/>
    <col min="1784" max="1785" width="3.7109375" style="125" customWidth="1"/>
    <col min="1786" max="1786" width="9.7109375" style="125" customWidth="1"/>
    <col min="1787" max="1788" width="3.7109375" style="125" customWidth="1"/>
    <col min="1789" max="1789" width="9.7109375" style="125" customWidth="1"/>
    <col min="1790" max="1790" width="3.7109375" style="125" customWidth="1"/>
    <col min="1791" max="1792" width="8" style="125"/>
    <col min="1793" max="1793" width="30.7109375" style="125" customWidth="1"/>
    <col min="1794" max="1794" width="9.7109375" style="125" customWidth="1"/>
    <col min="1795" max="1795" width="3.7109375" style="125" customWidth="1"/>
    <col min="1796" max="1796" width="9.7109375" style="125" customWidth="1"/>
    <col min="1797" max="1798" width="3.7109375" style="125" customWidth="1"/>
    <col min="1799" max="1799" width="9.7109375" style="125" customWidth="1"/>
    <col min="1800" max="1801" width="3.7109375" style="125" customWidth="1"/>
    <col min="1802" max="1802" width="9.7109375" style="125" customWidth="1"/>
    <col min="1803" max="1804" width="3.7109375" style="125" customWidth="1"/>
    <col min="1805" max="1805" width="9.7109375" style="125" customWidth="1"/>
    <col min="1806" max="1807" width="3.7109375" style="125" customWidth="1"/>
    <col min="1808" max="1808" width="9.7109375" style="125" customWidth="1"/>
    <col min="1809" max="1810" width="3.7109375" style="125" customWidth="1"/>
    <col min="1811" max="1811" width="9.7109375" style="125" customWidth="1"/>
    <col min="1812" max="1813" width="3.7109375" style="125" customWidth="1"/>
    <col min="1814" max="1814" width="9.7109375" style="125" customWidth="1"/>
    <col min="1815" max="1816" width="3.7109375" style="125" customWidth="1"/>
    <col min="1817" max="1817" width="9.7109375" style="125" customWidth="1"/>
    <col min="1818" max="1819" width="3.7109375" style="125" customWidth="1"/>
    <col min="1820" max="1820" width="9.7109375" style="125" customWidth="1"/>
    <col min="1821" max="1822" width="3.7109375" style="125" customWidth="1"/>
    <col min="1823" max="1823" width="9.7109375" style="125" customWidth="1"/>
    <col min="1824" max="1825" width="3.7109375" style="125" customWidth="1"/>
    <col min="1826" max="1826" width="9.7109375" style="125" customWidth="1"/>
    <col min="1827" max="1828" width="3.7109375" style="125" customWidth="1"/>
    <col min="1829" max="1829" width="9.7109375" style="125" customWidth="1"/>
    <col min="1830" max="1831" width="3.7109375" style="125" customWidth="1"/>
    <col min="1832" max="1832" width="9.7109375" style="125" customWidth="1"/>
    <col min="1833" max="1834" width="3.7109375" style="125" customWidth="1"/>
    <col min="1835" max="1835" width="9.7109375" style="125" customWidth="1"/>
    <col min="1836" max="1837" width="3.7109375" style="125" customWidth="1"/>
    <col min="1838" max="1838" width="9.7109375" style="125" customWidth="1"/>
    <col min="1839" max="1840" width="3.7109375" style="125" customWidth="1"/>
    <col min="1841" max="1841" width="9.7109375" style="125" customWidth="1"/>
    <col min="1842" max="1843" width="3.7109375" style="125" customWidth="1"/>
    <col min="1844" max="1844" width="9.7109375" style="125" customWidth="1"/>
    <col min="1845" max="1846" width="3.7109375" style="125" customWidth="1"/>
    <col min="1847" max="1847" width="9.7109375" style="125" customWidth="1"/>
    <col min="1848" max="1849" width="3.7109375" style="125" customWidth="1"/>
    <col min="1850" max="1850" width="9.7109375" style="125" customWidth="1"/>
    <col min="1851" max="1852" width="3.7109375" style="125" customWidth="1"/>
    <col min="1853" max="1853" width="9.7109375" style="125" customWidth="1"/>
    <col min="1854" max="1855" width="3.7109375" style="125" customWidth="1"/>
    <col min="1856" max="1856" width="9.7109375" style="125" customWidth="1"/>
    <col min="1857" max="1858" width="3.7109375" style="125" customWidth="1"/>
    <col min="1859" max="1859" width="9.7109375" style="125" customWidth="1"/>
    <col min="1860" max="1861" width="3.7109375" style="125" customWidth="1"/>
    <col min="1862" max="1862" width="9.7109375" style="125" customWidth="1"/>
    <col min="1863" max="1864" width="3.7109375" style="125" customWidth="1"/>
    <col min="1865" max="1865" width="9.7109375" style="125" customWidth="1"/>
    <col min="1866" max="1867" width="3.7109375" style="125" customWidth="1"/>
    <col min="1868" max="1868" width="9.7109375" style="125" customWidth="1"/>
    <col min="1869" max="1870" width="3.7109375" style="125" customWidth="1"/>
    <col min="1871" max="1871" width="9.7109375" style="125" customWidth="1"/>
    <col min="1872" max="1873" width="3.7109375" style="125" customWidth="1"/>
    <col min="1874" max="1874" width="9.7109375" style="125" customWidth="1"/>
    <col min="1875" max="1876" width="3.7109375" style="125" customWidth="1"/>
    <col min="1877" max="1877" width="9.7109375" style="125" customWidth="1"/>
    <col min="1878" max="1879" width="3.7109375" style="125" customWidth="1"/>
    <col min="1880" max="1880" width="9.7109375" style="125" customWidth="1"/>
    <col min="1881" max="1882" width="3.7109375" style="125" customWidth="1"/>
    <col min="1883" max="1883" width="9.7109375" style="125" customWidth="1"/>
    <col min="1884" max="1885" width="3.7109375" style="125" customWidth="1"/>
    <col min="1886" max="1886" width="9.7109375" style="125" customWidth="1"/>
    <col min="1887" max="1888" width="3.7109375" style="125" customWidth="1"/>
    <col min="1889" max="1889" width="9.7109375" style="125" customWidth="1"/>
    <col min="1890" max="1891" width="3.7109375" style="125" customWidth="1"/>
    <col min="1892" max="1892" width="9.7109375" style="125" customWidth="1"/>
    <col min="1893" max="1894" width="3.7109375" style="125" customWidth="1"/>
    <col min="1895" max="1895" width="9.7109375" style="125" customWidth="1"/>
    <col min="1896" max="1897" width="3.7109375" style="125" customWidth="1"/>
    <col min="1898" max="1898" width="9.7109375" style="125" customWidth="1"/>
    <col min="1899" max="1900" width="3.7109375" style="125" customWidth="1"/>
    <col min="1901" max="1901" width="9.7109375" style="125" customWidth="1"/>
    <col min="1902" max="1903" width="3.7109375" style="125" customWidth="1"/>
    <col min="1904" max="1904" width="9.7109375" style="125" customWidth="1"/>
    <col min="1905" max="1906" width="3.7109375" style="125" customWidth="1"/>
    <col min="1907" max="1907" width="9.7109375" style="125" customWidth="1"/>
    <col min="1908" max="1909" width="3.7109375" style="125" customWidth="1"/>
    <col min="1910" max="1910" width="9.7109375" style="125" customWidth="1"/>
    <col min="1911" max="1912" width="3.7109375" style="125" customWidth="1"/>
    <col min="1913" max="1913" width="9.7109375" style="125" customWidth="1"/>
    <col min="1914" max="1915" width="3.7109375" style="125" customWidth="1"/>
    <col min="1916" max="1916" width="9.7109375" style="125" customWidth="1"/>
    <col min="1917" max="1918" width="3.7109375" style="125" customWidth="1"/>
    <col min="1919" max="1919" width="9.7109375" style="125" customWidth="1"/>
    <col min="1920" max="1921" width="3.7109375" style="125" customWidth="1"/>
    <col min="1922" max="1922" width="9.7109375" style="125" customWidth="1"/>
    <col min="1923" max="1924" width="3.7109375" style="125" customWidth="1"/>
    <col min="1925" max="1925" width="9.7109375" style="125" customWidth="1"/>
    <col min="1926" max="1927" width="3.7109375" style="125" customWidth="1"/>
    <col min="1928" max="1928" width="9.7109375" style="125" customWidth="1"/>
    <col min="1929" max="1930" width="3.7109375" style="125" customWidth="1"/>
    <col min="1931" max="1931" width="9.7109375" style="125" customWidth="1"/>
    <col min="1932" max="1933" width="3.7109375" style="125" customWidth="1"/>
    <col min="1934" max="1934" width="9.7109375" style="125" customWidth="1"/>
    <col min="1935" max="1936" width="3.7109375" style="125" customWidth="1"/>
    <col min="1937" max="1937" width="9.7109375" style="125" customWidth="1"/>
    <col min="1938" max="1938" width="3.7109375" style="125" customWidth="1"/>
    <col min="1939" max="1939" width="5.7109375" style="125" bestFit="1" customWidth="1"/>
    <col min="1940" max="1940" width="9.7109375" style="125" customWidth="1"/>
    <col min="1941" max="1942" width="3.7109375" style="125" customWidth="1"/>
    <col min="1943" max="1943" width="9.7109375" style="125" customWidth="1"/>
    <col min="1944" max="1945" width="3.7109375" style="125" customWidth="1"/>
    <col min="1946" max="1946" width="9.7109375" style="125" customWidth="1"/>
    <col min="1947" max="1948" width="3.7109375" style="125" customWidth="1"/>
    <col min="1949" max="1949" width="9.7109375" style="125" customWidth="1"/>
    <col min="1950" max="1951" width="3.7109375" style="125" customWidth="1"/>
    <col min="1952" max="1952" width="9.7109375" style="125" customWidth="1"/>
    <col min="1953" max="1954" width="3.7109375" style="125" customWidth="1"/>
    <col min="1955" max="1955" width="9.7109375" style="125" customWidth="1"/>
    <col min="1956" max="1956" width="3.7109375" style="125" customWidth="1"/>
    <col min="1957" max="1957" width="5.7109375" style="125" bestFit="1" customWidth="1"/>
    <col min="1958" max="1958" width="9.7109375" style="125" customWidth="1"/>
    <col min="1959" max="1960" width="3.7109375" style="125" customWidth="1"/>
    <col min="1961" max="1961" width="9.7109375" style="125" customWidth="1"/>
    <col min="1962" max="1963" width="3.7109375" style="125" customWidth="1"/>
    <col min="1964" max="1964" width="9.7109375" style="125" customWidth="1"/>
    <col min="1965" max="1966" width="3.7109375" style="125" customWidth="1"/>
    <col min="1967" max="1967" width="9.7109375" style="125" customWidth="1"/>
    <col min="1968" max="1969" width="3.7109375" style="125" customWidth="1"/>
    <col min="1970" max="1970" width="9.7109375" style="125" customWidth="1"/>
    <col min="1971" max="1972" width="3.7109375" style="125" customWidth="1"/>
    <col min="1973" max="1973" width="9.7109375" style="125" customWidth="1"/>
    <col min="1974" max="1975" width="3.7109375" style="125" customWidth="1"/>
    <col min="1976" max="1976" width="9.7109375" style="125" customWidth="1"/>
    <col min="1977" max="1978" width="3.7109375" style="125" customWidth="1"/>
    <col min="1979" max="1979" width="9.7109375" style="125" customWidth="1"/>
    <col min="1980" max="1981" width="3.7109375" style="125" customWidth="1"/>
    <col min="1982" max="1982" width="9.7109375" style="125" customWidth="1"/>
    <col min="1983" max="1984" width="3.7109375" style="125" customWidth="1"/>
    <col min="1985" max="1985" width="9.7109375" style="125" customWidth="1"/>
    <col min="1986" max="1987" width="3.7109375" style="125" customWidth="1"/>
    <col min="1988" max="1988" width="9.7109375" style="125" customWidth="1"/>
    <col min="1989" max="1990" width="3.7109375" style="125" customWidth="1"/>
    <col min="1991" max="1991" width="9.7109375" style="125" customWidth="1"/>
    <col min="1992" max="1993" width="3.7109375" style="125" customWidth="1"/>
    <col min="1994" max="1994" width="9.7109375" style="125" customWidth="1"/>
    <col min="1995" max="1996" width="3.7109375" style="125" customWidth="1"/>
    <col min="1997" max="1997" width="9.7109375" style="125" customWidth="1"/>
    <col min="1998" max="1999" width="3.7109375" style="125" customWidth="1"/>
    <col min="2000" max="2000" width="9.7109375" style="125" customWidth="1"/>
    <col min="2001" max="2002" width="3.7109375" style="125" customWidth="1"/>
    <col min="2003" max="2003" width="9.7109375" style="125" customWidth="1"/>
    <col min="2004" max="2005" width="3.7109375" style="125" customWidth="1"/>
    <col min="2006" max="2006" width="9.7109375" style="125" customWidth="1"/>
    <col min="2007" max="2008" width="3.7109375" style="125" customWidth="1"/>
    <col min="2009" max="2009" width="9.7109375" style="125" customWidth="1"/>
    <col min="2010" max="2011" width="3.7109375" style="125" customWidth="1"/>
    <col min="2012" max="2012" width="9.7109375" style="125" customWidth="1"/>
    <col min="2013" max="2014" width="3.7109375" style="125" customWidth="1"/>
    <col min="2015" max="2015" width="9.7109375" style="125" customWidth="1"/>
    <col min="2016" max="2017" width="3.7109375" style="125" customWidth="1"/>
    <col min="2018" max="2018" width="9.7109375" style="125" customWidth="1"/>
    <col min="2019" max="2020" width="3.7109375" style="125" customWidth="1"/>
    <col min="2021" max="2021" width="9.7109375" style="125" customWidth="1"/>
    <col min="2022" max="2023" width="3.7109375" style="125" customWidth="1"/>
    <col min="2024" max="2024" width="9.7109375" style="125" customWidth="1"/>
    <col min="2025" max="2026" width="3.7109375" style="125" customWidth="1"/>
    <col min="2027" max="2027" width="9.7109375" style="125" customWidth="1"/>
    <col min="2028" max="2029" width="3.7109375" style="125" customWidth="1"/>
    <col min="2030" max="2030" width="9.7109375" style="125" customWidth="1"/>
    <col min="2031" max="2032" width="3.7109375" style="125" customWidth="1"/>
    <col min="2033" max="2033" width="9.7109375" style="125" customWidth="1"/>
    <col min="2034" max="2035" width="3.7109375" style="125" customWidth="1"/>
    <col min="2036" max="2036" width="9.7109375" style="125" customWidth="1"/>
    <col min="2037" max="2038" width="3.7109375" style="125" customWidth="1"/>
    <col min="2039" max="2039" width="9.7109375" style="125" customWidth="1"/>
    <col min="2040" max="2041" width="3.7109375" style="125" customWidth="1"/>
    <col min="2042" max="2042" width="9.7109375" style="125" customWidth="1"/>
    <col min="2043" max="2044" width="3.7109375" style="125" customWidth="1"/>
    <col min="2045" max="2045" width="9.7109375" style="125" customWidth="1"/>
    <col min="2046" max="2046" width="3.7109375" style="125" customWidth="1"/>
    <col min="2047" max="2048" width="8" style="125"/>
    <col min="2049" max="2049" width="30.7109375" style="125" customWidth="1"/>
    <col min="2050" max="2050" width="9.7109375" style="125" customWidth="1"/>
    <col min="2051" max="2051" width="3.7109375" style="125" customWidth="1"/>
    <col min="2052" max="2052" width="9.7109375" style="125" customWidth="1"/>
    <col min="2053" max="2054" width="3.7109375" style="125" customWidth="1"/>
    <col min="2055" max="2055" width="9.7109375" style="125" customWidth="1"/>
    <col min="2056" max="2057" width="3.7109375" style="125" customWidth="1"/>
    <col min="2058" max="2058" width="9.7109375" style="125" customWidth="1"/>
    <col min="2059" max="2060" width="3.7109375" style="125" customWidth="1"/>
    <col min="2061" max="2061" width="9.7109375" style="125" customWidth="1"/>
    <col min="2062" max="2063" width="3.7109375" style="125" customWidth="1"/>
    <col min="2064" max="2064" width="9.7109375" style="125" customWidth="1"/>
    <col min="2065" max="2066" width="3.7109375" style="125" customWidth="1"/>
    <col min="2067" max="2067" width="9.7109375" style="125" customWidth="1"/>
    <col min="2068" max="2069" width="3.7109375" style="125" customWidth="1"/>
    <col min="2070" max="2070" width="9.7109375" style="125" customWidth="1"/>
    <col min="2071" max="2072" width="3.7109375" style="125" customWidth="1"/>
    <col min="2073" max="2073" width="9.7109375" style="125" customWidth="1"/>
    <col min="2074" max="2075" width="3.7109375" style="125" customWidth="1"/>
    <col min="2076" max="2076" width="9.7109375" style="125" customWidth="1"/>
    <col min="2077" max="2078" width="3.7109375" style="125" customWidth="1"/>
    <col min="2079" max="2079" width="9.7109375" style="125" customWidth="1"/>
    <col min="2080" max="2081" width="3.7109375" style="125" customWidth="1"/>
    <col min="2082" max="2082" width="9.7109375" style="125" customWidth="1"/>
    <col min="2083" max="2084" width="3.7109375" style="125" customWidth="1"/>
    <col min="2085" max="2085" width="9.7109375" style="125" customWidth="1"/>
    <col min="2086" max="2087" width="3.7109375" style="125" customWidth="1"/>
    <col min="2088" max="2088" width="9.7109375" style="125" customWidth="1"/>
    <col min="2089" max="2090" width="3.7109375" style="125" customWidth="1"/>
    <col min="2091" max="2091" width="9.7109375" style="125" customWidth="1"/>
    <col min="2092" max="2093" width="3.7109375" style="125" customWidth="1"/>
    <col min="2094" max="2094" width="9.7109375" style="125" customWidth="1"/>
    <col min="2095" max="2096" width="3.7109375" style="125" customWidth="1"/>
    <col min="2097" max="2097" width="9.7109375" style="125" customWidth="1"/>
    <col min="2098" max="2099" width="3.7109375" style="125" customWidth="1"/>
    <col min="2100" max="2100" width="9.7109375" style="125" customWidth="1"/>
    <col min="2101" max="2102" width="3.7109375" style="125" customWidth="1"/>
    <col min="2103" max="2103" width="9.7109375" style="125" customWidth="1"/>
    <col min="2104" max="2105" width="3.7109375" style="125" customWidth="1"/>
    <col min="2106" max="2106" width="9.7109375" style="125" customWidth="1"/>
    <col min="2107" max="2108" width="3.7109375" style="125" customWidth="1"/>
    <col min="2109" max="2109" width="9.7109375" style="125" customWidth="1"/>
    <col min="2110" max="2111" width="3.7109375" style="125" customWidth="1"/>
    <col min="2112" max="2112" width="9.7109375" style="125" customWidth="1"/>
    <col min="2113" max="2114" width="3.7109375" style="125" customWidth="1"/>
    <col min="2115" max="2115" width="9.7109375" style="125" customWidth="1"/>
    <col min="2116" max="2117" width="3.7109375" style="125" customWidth="1"/>
    <col min="2118" max="2118" width="9.7109375" style="125" customWidth="1"/>
    <col min="2119" max="2120" width="3.7109375" style="125" customWidth="1"/>
    <col min="2121" max="2121" width="9.7109375" style="125" customWidth="1"/>
    <col min="2122" max="2123" width="3.7109375" style="125" customWidth="1"/>
    <col min="2124" max="2124" width="9.7109375" style="125" customWidth="1"/>
    <col min="2125" max="2126" width="3.7109375" style="125" customWidth="1"/>
    <col min="2127" max="2127" width="9.7109375" style="125" customWidth="1"/>
    <col min="2128" max="2129" width="3.7109375" style="125" customWidth="1"/>
    <col min="2130" max="2130" width="9.7109375" style="125" customWidth="1"/>
    <col min="2131" max="2132" width="3.7109375" style="125" customWidth="1"/>
    <col min="2133" max="2133" width="9.7109375" style="125" customWidth="1"/>
    <col min="2134" max="2135" width="3.7109375" style="125" customWidth="1"/>
    <col min="2136" max="2136" width="9.7109375" style="125" customWidth="1"/>
    <col min="2137" max="2138" width="3.7109375" style="125" customWidth="1"/>
    <col min="2139" max="2139" width="9.7109375" style="125" customWidth="1"/>
    <col min="2140" max="2141" width="3.7109375" style="125" customWidth="1"/>
    <col min="2142" max="2142" width="9.7109375" style="125" customWidth="1"/>
    <col min="2143" max="2144" width="3.7109375" style="125" customWidth="1"/>
    <col min="2145" max="2145" width="9.7109375" style="125" customWidth="1"/>
    <col min="2146" max="2147" width="3.7109375" style="125" customWidth="1"/>
    <col min="2148" max="2148" width="9.7109375" style="125" customWidth="1"/>
    <col min="2149" max="2150" width="3.7109375" style="125" customWidth="1"/>
    <col min="2151" max="2151" width="9.7109375" style="125" customWidth="1"/>
    <col min="2152" max="2153" width="3.7109375" style="125" customWidth="1"/>
    <col min="2154" max="2154" width="9.7109375" style="125" customWidth="1"/>
    <col min="2155" max="2156" width="3.7109375" style="125" customWidth="1"/>
    <col min="2157" max="2157" width="9.7109375" style="125" customWidth="1"/>
    <col min="2158" max="2159" width="3.7109375" style="125" customWidth="1"/>
    <col min="2160" max="2160" width="9.7109375" style="125" customWidth="1"/>
    <col min="2161" max="2162" width="3.7109375" style="125" customWidth="1"/>
    <col min="2163" max="2163" width="9.7109375" style="125" customWidth="1"/>
    <col min="2164" max="2165" width="3.7109375" style="125" customWidth="1"/>
    <col min="2166" max="2166" width="9.7109375" style="125" customWidth="1"/>
    <col min="2167" max="2168" width="3.7109375" style="125" customWidth="1"/>
    <col min="2169" max="2169" width="9.7109375" style="125" customWidth="1"/>
    <col min="2170" max="2171" width="3.7109375" style="125" customWidth="1"/>
    <col min="2172" max="2172" width="9.7109375" style="125" customWidth="1"/>
    <col min="2173" max="2174" width="3.7109375" style="125" customWidth="1"/>
    <col min="2175" max="2175" width="9.7109375" style="125" customWidth="1"/>
    <col min="2176" max="2177" width="3.7109375" style="125" customWidth="1"/>
    <col min="2178" max="2178" width="9.7109375" style="125" customWidth="1"/>
    <col min="2179" max="2180" width="3.7109375" style="125" customWidth="1"/>
    <col min="2181" max="2181" width="9.7109375" style="125" customWidth="1"/>
    <col min="2182" max="2183" width="3.7109375" style="125" customWidth="1"/>
    <col min="2184" max="2184" width="9.7109375" style="125" customWidth="1"/>
    <col min="2185" max="2186" width="3.7109375" style="125" customWidth="1"/>
    <col min="2187" max="2187" width="9.7109375" style="125" customWidth="1"/>
    <col min="2188" max="2189" width="3.7109375" style="125" customWidth="1"/>
    <col min="2190" max="2190" width="9.7109375" style="125" customWidth="1"/>
    <col min="2191" max="2192" width="3.7109375" style="125" customWidth="1"/>
    <col min="2193" max="2193" width="9.7109375" style="125" customWidth="1"/>
    <col min="2194" max="2194" width="3.7109375" style="125" customWidth="1"/>
    <col min="2195" max="2195" width="5.7109375" style="125" bestFit="1" customWidth="1"/>
    <col min="2196" max="2196" width="9.7109375" style="125" customWidth="1"/>
    <col min="2197" max="2198" width="3.7109375" style="125" customWidth="1"/>
    <col min="2199" max="2199" width="9.7109375" style="125" customWidth="1"/>
    <col min="2200" max="2201" width="3.7109375" style="125" customWidth="1"/>
    <col min="2202" max="2202" width="9.7109375" style="125" customWidth="1"/>
    <col min="2203" max="2204" width="3.7109375" style="125" customWidth="1"/>
    <col min="2205" max="2205" width="9.7109375" style="125" customWidth="1"/>
    <col min="2206" max="2207" width="3.7109375" style="125" customWidth="1"/>
    <col min="2208" max="2208" width="9.7109375" style="125" customWidth="1"/>
    <col min="2209" max="2210" width="3.7109375" style="125" customWidth="1"/>
    <col min="2211" max="2211" width="9.7109375" style="125" customWidth="1"/>
    <col min="2212" max="2212" width="3.7109375" style="125" customWidth="1"/>
    <col min="2213" max="2213" width="5.7109375" style="125" bestFit="1" customWidth="1"/>
    <col min="2214" max="2214" width="9.7109375" style="125" customWidth="1"/>
    <col min="2215" max="2216" width="3.7109375" style="125" customWidth="1"/>
    <col min="2217" max="2217" width="9.7109375" style="125" customWidth="1"/>
    <col min="2218" max="2219" width="3.7109375" style="125" customWidth="1"/>
    <col min="2220" max="2220" width="9.7109375" style="125" customWidth="1"/>
    <col min="2221" max="2222" width="3.7109375" style="125" customWidth="1"/>
    <col min="2223" max="2223" width="9.7109375" style="125" customWidth="1"/>
    <col min="2224" max="2225" width="3.7109375" style="125" customWidth="1"/>
    <col min="2226" max="2226" width="9.7109375" style="125" customWidth="1"/>
    <col min="2227" max="2228" width="3.7109375" style="125" customWidth="1"/>
    <col min="2229" max="2229" width="9.7109375" style="125" customWidth="1"/>
    <col min="2230" max="2231" width="3.7109375" style="125" customWidth="1"/>
    <col min="2232" max="2232" width="9.7109375" style="125" customWidth="1"/>
    <col min="2233" max="2234" width="3.7109375" style="125" customWidth="1"/>
    <col min="2235" max="2235" width="9.7109375" style="125" customWidth="1"/>
    <col min="2236" max="2237" width="3.7109375" style="125" customWidth="1"/>
    <col min="2238" max="2238" width="9.7109375" style="125" customWidth="1"/>
    <col min="2239" max="2240" width="3.7109375" style="125" customWidth="1"/>
    <col min="2241" max="2241" width="9.7109375" style="125" customWidth="1"/>
    <col min="2242" max="2243" width="3.7109375" style="125" customWidth="1"/>
    <col min="2244" max="2244" width="9.7109375" style="125" customWidth="1"/>
    <col min="2245" max="2246" width="3.7109375" style="125" customWidth="1"/>
    <col min="2247" max="2247" width="9.7109375" style="125" customWidth="1"/>
    <col min="2248" max="2249" width="3.7109375" style="125" customWidth="1"/>
    <col min="2250" max="2250" width="9.7109375" style="125" customWidth="1"/>
    <col min="2251" max="2252" width="3.7109375" style="125" customWidth="1"/>
    <col min="2253" max="2253" width="9.7109375" style="125" customWidth="1"/>
    <col min="2254" max="2255" width="3.7109375" style="125" customWidth="1"/>
    <col min="2256" max="2256" width="9.7109375" style="125" customWidth="1"/>
    <col min="2257" max="2258" width="3.7109375" style="125" customWidth="1"/>
    <col min="2259" max="2259" width="9.7109375" style="125" customWidth="1"/>
    <col min="2260" max="2261" width="3.7109375" style="125" customWidth="1"/>
    <col min="2262" max="2262" width="9.7109375" style="125" customWidth="1"/>
    <col min="2263" max="2264" width="3.7109375" style="125" customWidth="1"/>
    <col min="2265" max="2265" width="9.7109375" style="125" customWidth="1"/>
    <col min="2266" max="2267" width="3.7109375" style="125" customWidth="1"/>
    <col min="2268" max="2268" width="9.7109375" style="125" customWidth="1"/>
    <col min="2269" max="2270" width="3.7109375" style="125" customWidth="1"/>
    <col min="2271" max="2271" width="9.7109375" style="125" customWidth="1"/>
    <col min="2272" max="2273" width="3.7109375" style="125" customWidth="1"/>
    <col min="2274" max="2274" width="9.7109375" style="125" customWidth="1"/>
    <col min="2275" max="2276" width="3.7109375" style="125" customWidth="1"/>
    <col min="2277" max="2277" width="9.7109375" style="125" customWidth="1"/>
    <col min="2278" max="2279" width="3.7109375" style="125" customWidth="1"/>
    <col min="2280" max="2280" width="9.7109375" style="125" customWidth="1"/>
    <col min="2281" max="2282" width="3.7109375" style="125" customWidth="1"/>
    <col min="2283" max="2283" width="9.7109375" style="125" customWidth="1"/>
    <col min="2284" max="2285" width="3.7109375" style="125" customWidth="1"/>
    <col min="2286" max="2286" width="9.7109375" style="125" customWidth="1"/>
    <col min="2287" max="2288" width="3.7109375" style="125" customWidth="1"/>
    <col min="2289" max="2289" width="9.7109375" style="125" customWidth="1"/>
    <col min="2290" max="2291" width="3.7109375" style="125" customWidth="1"/>
    <col min="2292" max="2292" width="9.7109375" style="125" customWidth="1"/>
    <col min="2293" max="2294" width="3.7109375" style="125" customWidth="1"/>
    <col min="2295" max="2295" width="9.7109375" style="125" customWidth="1"/>
    <col min="2296" max="2297" width="3.7109375" style="125" customWidth="1"/>
    <col min="2298" max="2298" width="9.7109375" style="125" customWidth="1"/>
    <col min="2299" max="2300" width="3.7109375" style="125" customWidth="1"/>
    <col min="2301" max="2301" width="9.7109375" style="125" customWidth="1"/>
    <col min="2302" max="2302" width="3.7109375" style="125" customWidth="1"/>
    <col min="2303" max="2304" width="8" style="125"/>
    <col min="2305" max="2305" width="30.7109375" style="125" customWidth="1"/>
    <col min="2306" max="2306" width="9.7109375" style="125" customWidth="1"/>
    <col min="2307" max="2307" width="3.7109375" style="125" customWidth="1"/>
    <col min="2308" max="2308" width="9.7109375" style="125" customWidth="1"/>
    <col min="2309" max="2310" width="3.7109375" style="125" customWidth="1"/>
    <col min="2311" max="2311" width="9.7109375" style="125" customWidth="1"/>
    <col min="2312" max="2313" width="3.7109375" style="125" customWidth="1"/>
    <col min="2314" max="2314" width="9.7109375" style="125" customWidth="1"/>
    <col min="2315" max="2316" width="3.7109375" style="125" customWidth="1"/>
    <col min="2317" max="2317" width="9.7109375" style="125" customWidth="1"/>
    <col min="2318" max="2319" width="3.7109375" style="125" customWidth="1"/>
    <col min="2320" max="2320" width="9.7109375" style="125" customWidth="1"/>
    <col min="2321" max="2322" width="3.7109375" style="125" customWidth="1"/>
    <col min="2323" max="2323" width="9.7109375" style="125" customWidth="1"/>
    <col min="2324" max="2325" width="3.7109375" style="125" customWidth="1"/>
    <col min="2326" max="2326" width="9.7109375" style="125" customWidth="1"/>
    <col min="2327" max="2328" width="3.7109375" style="125" customWidth="1"/>
    <col min="2329" max="2329" width="9.7109375" style="125" customWidth="1"/>
    <col min="2330" max="2331" width="3.7109375" style="125" customWidth="1"/>
    <col min="2332" max="2332" width="9.7109375" style="125" customWidth="1"/>
    <col min="2333" max="2334" width="3.7109375" style="125" customWidth="1"/>
    <col min="2335" max="2335" width="9.7109375" style="125" customWidth="1"/>
    <col min="2336" max="2337" width="3.7109375" style="125" customWidth="1"/>
    <col min="2338" max="2338" width="9.7109375" style="125" customWidth="1"/>
    <col min="2339" max="2340" width="3.7109375" style="125" customWidth="1"/>
    <col min="2341" max="2341" width="9.7109375" style="125" customWidth="1"/>
    <col min="2342" max="2343" width="3.7109375" style="125" customWidth="1"/>
    <col min="2344" max="2344" width="9.7109375" style="125" customWidth="1"/>
    <col min="2345" max="2346" width="3.7109375" style="125" customWidth="1"/>
    <col min="2347" max="2347" width="9.7109375" style="125" customWidth="1"/>
    <col min="2348" max="2349" width="3.7109375" style="125" customWidth="1"/>
    <col min="2350" max="2350" width="9.7109375" style="125" customWidth="1"/>
    <col min="2351" max="2352" width="3.7109375" style="125" customWidth="1"/>
    <col min="2353" max="2353" width="9.7109375" style="125" customWidth="1"/>
    <col min="2354" max="2355" width="3.7109375" style="125" customWidth="1"/>
    <col min="2356" max="2356" width="9.7109375" style="125" customWidth="1"/>
    <col min="2357" max="2358" width="3.7109375" style="125" customWidth="1"/>
    <col min="2359" max="2359" width="9.7109375" style="125" customWidth="1"/>
    <col min="2360" max="2361" width="3.7109375" style="125" customWidth="1"/>
    <col min="2362" max="2362" width="9.7109375" style="125" customWidth="1"/>
    <col min="2363" max="2364" width="3.7109375" style="125" customWidth="1"/>
    <col min="2365" max="2365" width="9.7109375" style="125" customWidth="1"/>
    <col min="2366" max="2367" width="3.7109375" style="125" customWidth="1"/>
    <col min="2368" max="2368" width="9.7109375" style="125" customWidth="1"/>
    <col min="2369" max="2370" width="3.7109375" style="125" customWidth="1"/>
    <col min="2371" max="2371" width="9.7109375" style="125" customWidth="1"/>
    <col min="2372" max="2373" width="3.7109375" style="125" customWidth="1"/>
    <col min="2374" max="2374" width="9.7109375" style="125" customWidth="1"/>
    <col min="2375" max="2376" width="3.7109375" style="125" customWidth="1"/>
    <col min="2377" max="2377" width="9.7109375" style="125" customWidth="1"/>
    <col min="2378" max="2379" width="3.7109375" style="125" customWidth="1"/>
    <col min="2380" max="2380" width="9.7109375" style="125" customWidth="1"/>
    <col min="2381" max="2382" width="3.7109375" style="125" customWidth="1"/>
    <col min="2383" max="2383" width="9.7109375" style="125" customWidth="1"/>
    <col min="2384" max="2385" width="3.7109375" style="125" customWidth="1"/>
    <col min="2386" max="2386" width="9.7109375" style="125" customWidth="1"/>
    <col min="2387" max="2388" width="3.7109375" style="125" customWidth="1"/>
    <col min="2389" max="2389" width="9.7109375" style="125" customWidth="1"/>
    <col min="2390" max="2391" width="3.7109375" style="125" customWidth="1"/>
    <col min="2392" max="2392" width="9.7109375" style="125" customWidth="1"/>
    <col min="2393" max="2394" width="3.7109375" style="125" customWidth="1"/>
    <col min="2395" max="2395" width="9.7109375" style="125" customWidth="1"/>
    <col min="2396" max="2397" width="3.7109375" style="125" customWidth="1"/>
    <col min="2398" max="2398" width="9.7109375" style="125" customWidth="1"/>
    <col min="2399" max="2400" width="3.7109375" style="125" customWidth="1"/>
    <col min="2401" max="2401" width="9.7109375" style="125" customWidth="1"/>
    <col min="2402" max="2403" width="3.7109375" style="125" customWidth="1"/>
    <col min="2404" max="2404" width="9.7109375" style="125" customWidth="1"/>
    <col min="2405" max="2406" width="3.7109375" style="125" customWidth="1"/>
    <col min="2407" max="2407" width="9.7109375" style="125" customWidth="1"/>
    <col min="2408" max="2409" width="3.7109375" style="125" customWidth="1"/>
    <col min="2410" max="2410" width="9.7109375" style="125" customWidth="1"/>
    <col min="2411" max="2412" width="3.7109375" style="125" customWidth="1"/>
    <col min="2413" max="2413" width="9.7109375" style="125" customWidth="1"/>
    <col min="2414" max="2415" width="3.7109375" style="125" customWidth="1"/>
    <col min="2416" max="2416" width="9.7109375" style="125" customWidth="1"/>
    <col min="2417" max="2418" width="3.7109375" style="125" customWidth="1"/>
    <col min="2419" max="2419" width="9.7109375" style="125" customWidth="1"/>
    <col min="2420" max="2421" width="3.7109375" style="125" customWidth="1"/>
    <col min="2422" max="2422" width="9.7109375" style="125" customWidth="1"/>
    <col min="2423" max="2424" width="3.7109375" style="125" customWidth="1"/>
    <col min="2425" max="2425" width="9.7109375" style="125" customWidth="1"/>
    <col min="2426" max="2427" width="3.7109375" style="125" customWidth="1"/>
    <col min="2428" max="2428" width="9.7109375" style="125" customWidth="1"/>
    <col min="2429" max="2430" width="3.7109375" style="125" customWidth="1"/>
    <col min="2431" max="2431" width="9.7109375" style="125" customWidth="1"/>
    <col min="2432" max="2433" width="3.7109375" style="125" customWidth="1"/>
    <col min="2434" max="2434" width="9.7109375" style="125" customWidth="1"/>
    <col min="2435" max="2436" width="3.7109375" style="125" customWidth="1"/>
    <col min="2437" max="2437" width="9.7109375" style="125" customWidth="1"/>
    <col min="2438" max="2439" width="3.7109375" style="125" customWidth="1"/>
    <col min="2440" max="2440" width="9.7109375" style="125" customWidth="1"/>
    <col min="2441" max="2442" width="3.7109375" style="125" customWidth="1"/>
    <col min="2443" max="2443" width="9.7109375" style="125" customWidth="1"/>
    <col min="2444" max="2445" width="3.7109375" style="125" customWidth="1"/>
    <col min="2446" max="2446" width="9.7109375" style="125" customWidth="1"/>
    <col min="2447" max="2448" width="3.7109375" style="125" customWidth="1"/>
    <col min="2449" max="2449" width="9.7109375" style="125" customWidth="1"/>
    <col min="2450" max="2450" width="3.7109375" style="125" customWidth="1"/>
    <col min="2451" max="2451" width="5.7109375" style="125" bestFit="1" customWidth="1"/>
    <col min="2452" max="2452" width="9.7109375" style="125" customWidth="1"/>
    <col min="2453" max="2454" width="3.7109375" style="125" customWidth="1"/>
    <col min="2455" max="2455" width="9.7109375" style="125" customWidth="1"/>
    <col min="2456" max="2457" width="3.7109375" style="125" customWidth="1"/>
    <col min="2458" max="2458" width="9.7109375" style="125" customWidth="1"/>
    <col min="2459" max="2460" width="3.7109375" style="125" customWidth="1"/>
    <col min="2461" max="2461" width="9.7109375" style="125" customWidth="1"/>
    <col min="2462" max="2463" width="3.7109375" style="125" customWidth="1"/>
    <col min="2464" max="2464" width="9.7109375" style="125" customWidth="1"/>
    <col min="2465" max="2466" width="3.7109375" style="125" customWidth="1"/>
    <col min="2467" max="2467" width="9.7109375" style="125" customWidth="1"/>
    <col min="2468" max="2468" width="3.7109375" style="125" customWidth="1"/>
    <col min="2469" max="2469" width="5.7109375" style="125" bestFit="1" customWidth="1"/>
    <col min="2470" max="2470" width="9.7109375" style="125" customWidth="1"/>
    <col min="2471" max="2472" width="3.7109375" style="125" customWidth="1"/>
    <col min="2473" max="2473" width="9.7109375" style="125" customWidth="1"/>
    <col min="2474" max="2475" width="3.7109375" style="125" customWidth="1"/>
    <col min="2476" max="2476" width="9.7109375" style="125" customWidth="1"/>
    <col min="2477" max="2478" width="3.7109375" style="125" customWidth="1"/>
    <col min="2479" max="2479" width="9.7109375" style="125" customWidth="1"/>
    <col min="2480" max="2481" width="3.7109375" style="125" customWidth="1"/>
    <col min="2482" max="2482" width="9.7109375" style="125" customWidth="1"/>
    <col min="2483" max="2484" width="3.7109375" style="125" customWidth="1"/>
    <col min="2485" max="2485" width="9.7109375" style="125" customWidth="1"/>
    <col min="2486" max="2487" width="3.7109375" style="125" customWidth="1"/>
    <col min="2488" max="2488" width="9.7109375" style="125" customWidth="1"/>
    <col min="2489" max="2490" width="3.7109375" style="125" customWidth="1"/>
    <col min="2491" max="2491" width="9.7109375" style="125" customWidth="1"/>
    <col min="2492" max="2493" width="3.7109375" style="125" customWidth="1"/>
    <col min="2494" max="2494" width="9.7109375" style="125" customWidth="1"/>
    <col min="2495" max="2496" width="3.7109375" style="125" customWidth="1"/>
    <col min="2497" max="2497" width="9.7109375" style="125" customWidth="1"/>
    <col min="2498" max="2499" width="3.7109375" style="125" customWidth="1"/>
    <col min="2500" max="2500" width="9.7109375" style="125" customWidth="1"/>
    <col min="2501" max="2502" width="3.7109375" style="125" customWidth="1"/>
    <col min="2503" max="2503" width="9.7109375" style="125" customWidth="1"/>
    <col min="2504" max="2505" width="3.7109375" style="125" customWidth="1"/>
    <col min="2506" max="2506" width="9.7109375" style="125" customWidth="1"/>
    <col min="2507" max="2508" width="3.7109375" style="125" customWidth="1"/>
    <col min="2509" max="2509" width="9.7109375" style="125" customWidth="1"/>
    <col min="2510" max="2511" width="3.7109375" style="125" customWidth="1"/>
    <col min="2512" max="2512" width="9.7109375" style="125" customWidth="1"/>
    <col min="2513" max="2514" width="3.7109375" style="125" customWidth="1"/>
    <col min="2515" max="2515" width="9.7109375" style="125" customWidth="1"/>
    <col min="2516" max="2517" width="3.7109375" style="125" customWidth="1"/>
    <col min="2518" max="2518" width="9.7109375" style="125" customWidth="1"/>
    <col min="2519" max="2520" width="3.7109375" style="125" customWidth="1"/>
    <col min="2521" max="2521" width="9.7109375" style="125" customWidth="1"/>
    <col min="2522" max="2523" width="3.7109375" style="125" customWidth="1"/>
    <col min="2524" max="2524" width="9.7109375" style="125" customWidth="1"/>
    <col min="2525" max="2526" width="3.7109375" style="125" customWidth="1"/>
    <col min="2527" max="2527" width="9.7109375" style="125" customWidth="1"/>
    <col min="2528" max="2529" width="3.7109375" style="125" customWidth="1"/>
    <col min="2530" max="2530" width="9.7109375" style="125" customWidth="1"/>
    <col min="2531" max="2532" width="3.7109375" style="125" customWidth="1"/>
    <col min="2533" max="2533" width="9.7109375" style="125" customWidth="1"/>
    <col min="2534" max="2535" width="3.7109375" style="125" customWidth="1"/>
    <col min="2536" max="2536" width="9.7109375" style="125" customWidth="1"/>
    <col min="2537" max="2538" width="3.7109375" style="125" customWidth="1"/>
    <col min="2539" max="2539" width="9.7109375" style="125" customWidth="1"/>
    <col min="2540" max="2541" width="3.7109375" style="125" customWidth="1"/>
    <col min="2542" max="2542" width="9.7109375" style="125" customWidth="1"/>
    <col min="2543" max="2544" width="3.7109375" style="125" customWidth="1"/>
    <col min="2545" max="2545" width="9.7109375" style="125" customWidth="1"/>
    <col min="2546" max="2547" width="3.7109375" style="125" customWidth="1"/>
    <col min="2548" max="2548" width="9.7109375" style="125" customWidth="1"/>
    <col min="2549" max="2550" width="3.7109375" style="125" customWidth="1"/>
    <col min="2551" max="2551" width="9.7109375" style="125" customWidth="1"/>
    <col min="2552" max="2553" width="3.7109375" style="125" customWidth="1"/>
    <col min="2554" max="2554" width="9.7109375" style="125" customWidth="1"/>
    <col min="2555" max="2556" width="3.7109375" style="125" customWidth="1"/>
    <col min="2557" max="2557" width="9.7109375" style="125" customWidth="1"/>
    <col min="2558" max="2558" width="3.7109375" style="125" customWidth="1"/>
    <col min="2559" max="2560" width="8" style="125"/>
    <col min="2561" max="2561" width="30.7109375" style="125" customWidth="1"/>
    <col min="2562" max="2562" width="9.7109375" style="125" customWidth="1"/>
    <col min="2563" max="2563" width="3.7109375" style="125" customWidth="1"/>
    <col min="2564" max="2564" width="9.7109375" style="125" customWidth="1"/>
    <col min="2565" max="2566" width="3.7109375" style="125" customWidth="1"/>
    <col min="2567" max="2567" width="9.7109375" style="125" customWidth="1"/>
    <col min="2568" max="2569" width="3.7109375" style="125" customWidth="1"/>
    <col min="2570" max="2570" width="9.7109375" style="125" customWidth="1"/>
    <col min="2571" max="2572" width="3.7109375" style="125" customWidth="1"/>
    <col min="2573" max="2573" width="9.7109375" style="125" customWidth="1"/>
    <col min="2574" max="2575" width="3.7109375" style="125" customWidth="1"/>
    <col min="2576" max="2576" width="9.7109375" style="125" customWidth="1"/>
    <col min="2577" max="2578" width="3.7109375" style="125" customWidth="1"/>
    <col min="2579" max="2579" width="9.7109375" style="125" customWidth="1"/>
    <col min="2580" max="2581" width="3.7109375" style="125" customWidth="1"/>
    <col min="2582" max="2582" width="9.7109375" style="125" customWidth="1"/>
    <col min="2583" max="2584" width="3.7109375" style="125" customWidth="1"/>
    <col min="2585" max="2585" width="9.7109375" style="125" customWidth="1"/>
    <col min="2586" max="2587" width="3.7109375" style="125" customWidth="1"/>
    <col min="2588" max="2588" width="9.7109375" style="125" customWidth="1"/>
    <col min="2589" max="2590" width="3.7109375" style="125" customWidth="1"/>
    <col min="2591" max="2591" width="9.7109375" style="125" customWidth="1"/>
    <col min="2592" max="2593" width="3.7109375" style="125" customWidth="1"/>
    <col min="2594" max="2594" width="9.7109375" style="125" customWidth="1"/>
    <col min="2595" max="2596" width="3.7109375" style="125" customWidth="1"/>
    <col min="2597" max="2597" width="9.7109375" style="125" customWidth="1"/>
    <col min="2598" max="2599" width="3.7109375" style="125" customWidth="1"/>
    <col min="2600" max="2600" width="9.7109375" style="125" customWidth="1"/>
    <col min="2601" max="2602" width="3.7109375" style="125" customWidth="1"/>
    <col min="2603" max="2603" width="9.7109375" style="125" customWidth="1"/>
    <col min="2604" max="2605" width="3.7109375" style="125" customWidth="1"/>
    <col min="2606" max="2606" width="9.7109375" style="125" customWidth="1"/>
    <col min="2607" max="2608" width="3.7109375" style="125" customWidth="1"/>
    <col min="2609" max="2609" width="9.7109375" style="125" customWidth="1"/>
    <col min="2610" max="2611" width="3.7109375" style="125" customWidth="1"/>
    <col min="2612" max="2612" width="9.7109375" style="125" customWidth="1"/>
    <col min="2613" max="2614" width="3.7109375" style="125" customWidth="1"/>
    <col min="2615" max="2615" width="9.7109375" style="125" customWidth="1"/>
    <col min="2616" max="2617" width="3.7109375" style="125" customWidth="1"/>
    <col min="2618" max="2618" width="9.7109375" style="125" customWidth="1"/>
    <col min="2619" max="2620" width="3.7109375" style="125" customWidth="1"/>
    <col min="2621" max="2621" width="9.7109375" style="125" customWidth="1"/>
    <col min="2622" max="2623" width="3.7109375" style="125" customWidth="1"/>
    <col min="2624" max="2624" width="9.7109375" style="125" customWidth="1"/>
    <col min="2625" max="2626" width="3.7109375" style="125" customWidth="1"/>
    <col min="2627" max="2627" width="9.7109375" style="125" customWidth="1"/>
    <col min="2628" max="2629" width="3.7109375" style="125" customWidth="1"/>
    <col min="2630" max="2630" width="9.7109375" style="125" customWidth="1"/>
    <col min="2631" max="2632" width="3.7109375" style="125" customWidth="1"/>
    <col min="2633" max="2633" width="9.7109375" style="125" customWidth="1"/>
    <col min="2634" max="2635" width="3.7109375" style="125" customWidth="1"/>
    <col min="2636" max="2636" width="9.7109375" style="125" customWidth="1"/>
    <col min="2637" max="2638" width="3.7109375" style="125" customWidth="1"/>
    <col min="2639" max="2639" width="9.7109375" style="125" customWidth="1"/>
    <col min="2640" max="2641" width="3.7109375" style="125" customWidth="1"/>
    <col min="2642" max="2642" width="9.7109375" style="125" customWidth="1"/>
    <col min="2643" max="2644" width="3.7109375" style="125" customWidth="1"/>
    <col min="2645" max="2645" width="9.7109375" style="125" customWidth="1"/>
    <col min="2646" max="2647" width="3.7109375" style="125" customWidth="1"/>
    <col min="2648" max="2648" width="9.7109375" style="125" customWidth="1"/>
    <col min="2649" max="2650" width="3.7109375" style="125" customWidth="1"/>
    <col min="2651" max="2651" width="9.7109375" style="125" customWidth="1"/>
    <col min="2652" max="2653" width="3.7109375" style="125" customWidth="1"/>
    <col min="2654" max="2654" width="9.7109375" style="125" customWidth="1"/>
    <col min="2655" max="2656" width="3.7109375" style="125" customWidth="1"/>
    <col min="2657" max="2657" width="9.7109375" style="125" customWidth="1"/>
    <col min="2658" max="2659" width="3.7109375" style="125" customWidth="1"/>
    <col min="2660" max="2660" width="9.7109375" style="125" customWidth="1"/>
    <col min="2661" max="2662" width="3.7109375" style="125" customWidth="1"/>
    <col min="2663" max="2663" width="9.7109375" style="125" customWidth="1"/>
    <col min="2664" max="2665" width="3.7109375" style="125" customWidth="1"/>
    <col min="2666" max="2666" width="9.7109375" style="125" customWidth="1"/>
    <col min="2667" max="2668" width="3.7109375" style="125" customWidth="1"/>
    <col min="2669" max="2669" width="9.7109375" style="125" customWidth="1"/>
    <col min="2670" max="2671" width="3.7109375" style="125" customWidth="1"/>
    <col min="2672" max="2672" width="9.7109375" style="125" customWidth="1"/>
    <col min="2673" max="2674" width="3.7109375" style="125" customWidth="1"/>
    <col min="2675" max="2675" width="9.7109375" style="125" customWidth="1"/>
    <col min="2676" max="2677" width="3.7109375" style="125" customWidth="1"/>
    <col min="2678" max="2678" width="9.7109375" style="125" customWidth="1"/>
    <col min="2679" max="2680" width="3.7109375" style="125" customWidth="1"/>
    <col min="2681" max="2681" width="9.7109375" style="125" customWidth="1"/>
    <col min="2682" max="2683" width="3.7109375" style="125" customWidth="1"/>
    <col min="2684" max="2684" width="9.7109375" style="125" customWidth="1"/>
    <col min="2685" max="2686" width="3.7109375" style="125" customWidth="1"/>
    <col min="2687" max="2687" width="9.7109375" style="125" customWidth="1"/>
    <col min="2688" max="2689" width="3.7109375" style="125" customWidth="1"/>
    <col min="2690" max="2690" width="9.7109375" style="125" customWidth="1"/>
    <col min="2691" max="2692" width="3.7109375" style="125" customWidth="1"/>
    <col min="2693" max="2693" width="9.7109375" style="125" customWidth="1"/>
    <col min="2694" max="2695" width="3.7109375" style="125" customWidth="1"/>
    <col min="2696" max="2696" width="9.7109375" style="125" customWidth="1"/>
    <col min="2697" max="2698" width="3.7109375" style="125" customWidth="1"/>
    <col min="2699" max="2699" width="9.7109375" style="125" customWidth="1"/>
    <col min="2700" max="2701" width="3.7109375" style="125" customWidth="1"/>
    <col min="2702" max="2702" width="9.7109375" style="125" customWidth="1"/>
    <col min="2703" max="2704" width="3.7109375" style="125" customWidth="1"/>
    <col min="2705" max="2705" width="9.7109375" style="125" customWidth="1"/>
    <col min="2706" max="2706" width="3.7109375" style="125" customWidth="1"/>
    <col min="2707" max="2707" width="5.7109375" style="125" bestFit="1" customWidth="1"/>
    <col min="2708" max="2708" width="9.7109375" style="125" customWidth="1"/>
    <col min="2709" max="2710" width="3.7109375" style="125" customWidth="1"/>
    <col min="2711" max="2711" width="9.7109375" style="125" customWidth="1"/>
    <col min="2712" max="2713" width="3.7109375" style="125" customWidth="1"/>
    <col min="2714" max="2714" width="9.7109375" style="125" customWidth="1"/>
    <col min="2715" max="2716" width="3.7109375" style="125" customWidth="1"/>
    <col min="2717" max="2717" width="9.7109375" style="125" customWidth="1"/>
    <col min="2718" max="2719" width="3.7109375" style="125" customWidth="1"/>
    <col min="2720" max="2720" width="9.7109375" style="125" customWidth="1"/>
    <col min="2721" max="2722" width="3.7109375" style="125" customWidth="1"/>
    <col min="2723" max="2723" width="9.7109375" style="125" customWidth="1"/>
    <col min="2724" max="2724" width="3.7109375" style="125" customWidth="1"/>
    <col min="2725" max="2725" width="5.7109375" style="125" bestFit="1" customWidth="1"/>
    <col min="2726" max="2726" width="9.7109375" style="125" customWidth="1"/>
    <col min="2727" max="2728" width="3.7109375" style="125" customWidth="1"/>
    <col min="2729" max="2729" width="9.7109375" style="125" customWidth="1"/>
    <col min="2730" max="2731" width="3.7109375" style="125" customWidth="1"/>
    <col min="2732" max="2732" width="9.7109375" style="125" customWidth="1"/>
    <col min="2733" max="2734" width="3.7109375" style="125" customWidth="1"/>
    <col min="2735" max="2735" width="9.7109375" style="125" customWidth="1"/>
    <col min="2736" max="2737" width="3.7109375" style="125" customWidth="1"/>
    <col min="2738" max="2738" width="9.7109375" style="125" customWidth="1"/>
    <col min="2739" max="2740" width="3.7109375" style="125" customWidth="1"/>
    <col min="2741" max="2741" width="9.7109375" style="125" customWidth="1"/>
    <col min="2742" max="2743" width="3.7109375" style="125" customWidth="1"/>
    <col min="2744" max="2744" width="9.7109375" style="125" customWidth="1"/>
    <col min="2745" max="2746" width="3.7109375" style="125" customWidth="1"/>
    <col min="2747" max="2747" width="9.7109375" style="125" customWidth="1"/>
    <col min="2748" max="2749" width="3.7109375" style="125" customWidth="1"/>
    <col min="2750" max="2750" width="9.7109375" style="125" customWidth="1"/>
    <col min="2751" max="2752" width="3.7109375" style="125" customWidth="1"/>
    <col min="2753" max="2753" width="9.7109375" style="125" customWidth="1"/>
    <col min="2754" max="2755" width="3.7109375" style="125" customWidth="1"/>
    <col min="2756" max="2756" width="9.7109375" style="125" customWidth="1"/>
    <col min="2757" max="2758" width="3.7109375" style="125" customWidth="1"/>
    <col min="2759" max="2759" width="9.7109375" style="125" customWidth="1"/>
    <col min="2760" max="2761" width="3.7109375" style="125" customWidth="1"/>
    <col min="2762" max="2762" width="9.7109375" style="125" customWidth="1"/>
    <col min="2763" max="2764" width="3.7109375" style="125" customWidth="1"/>
    <col min="2765" max="2765" width="9.7109375" style="125" customWidth="1"/>
    <col min="2766" max="2767" width="3.7109375" style="125" customWidth="1"/>
    <col min="2768" max="2768" width="9.7109375" style="125" customWidth="1"/>
    <col min="2769" max="2770" width="3.7109375" style="125" customWidth="1"/>
    <col min="2771" max="2771" width="9.7109375" style="125" customWidth="1"/>
    <col min="2772" max="2773" width="3.7109375" style="125" customWidth="1"/>
    <col min="2774" max="2774" width="9.7109375" style="125" customWidth="1"/>
    <col min="2775" max="2776" width="3.7109375" style="125" customWidth="1"/>
    <col min="2777" max="2777" width="9.7109375" style="125" customWidth="1"/>
    <col min="2778" max="2779" width="3.7109375" style="125" customWidth="1"/>
    <col min="2780" max="2780" width="9.7109375" style="125" customWidth="1"/>
    <col min="2781" max="2782" width="3.7109375" style="125" customWidth="1"/>
    <col min="2783" max="2783" width="9.7109375" style="125" customWidth="1"/>
    <col min="2784" max="2785" width="3.7109375" style="125" customWidth="1"/>
    <col min="2786" max="2786" width="9.7109375" style="125" customWidth="1"/>
    <col min="2787" max="2788" width="3.7109375" style="125" customWidth="1"/>
    <col min="2789" max="2789" width="9.7109375" style="125" customWidth="1"/>
    <col min="2790" max="2791" width="3.7109375" style="125" customWidth="1"/>
    <col min="2792" max="2792" width="9.7109375" style="125" customWidth="1"/>
    <col min="2793" max="2794" width="3.7109375" style="125" customWidth="1"/>
    <col min="2795" max="2795" width="9.7109375" style="125" customWidth="1"/>
    <col min="2796" max="2797" width="3.7109375" style="125" customWidth="1"/>
    <col min="2798" max="2798" width="9.7109375" style="125" customWidth="1"/>
    <col min="2799" max="2800" width="3.7109375" style="125" customWidth="1"/>
    <col min="2801" max="2801" width="9.7109375" style="125" customWidth="1"/>
    <col min="2802" max="2803" width="3.7109375" style="125" customWidth="1"/>
    <col min="2804" max="2804" width="9.7109375" style="125" customWidth="1"/>
    <col min="2805" max="2806" width="3.7109375" style="125" customWidth="1"/>
    <col min="2807" max="2807" width="9.7109375" style="125" customWidth="1"/>
    <col min="2808" max="2809" width="3.7109375" style="125" customWidth="1"/>
    <col min="2810" max="2810" width="9.7109375" style="125" customWidth="1"/>
    <col min="2811" max="2812" width="3.7109375" style="125" customWidth="1"/>
    <col min="2813" max="2813" width="9.7109375" style="125" customWidth="1"/>
    <col min="2814" max="2814" width="3.7109375" style="125" customWidth="1"/>
    <col min="2815" max="2816" width="8" style="125"/>
    <col min="2817" max="2817" width="30.7109375" style="125" customWidth="1"/>
    <col min="2818" max="2818" width="9.7109375" style="125" customWidth="1"/>
    <col min="2819" max="2819" width="3.7109375" style="125" customWidth="1"/>
    <col min="2820" max="2820" width="9.7109375" style="125" customWidth="1"/>
    <col min="2821" max="2822" width="3.7109375" style="125" customWidth="1"/>
    <col min="2823" max="2823" width="9.7109375" style="125" customWidth="1"/>
    <col min="2824" max="2825" width="3.7109375" style="125" customWidth="1"/>
    <col min="2826" max="2826" width="9.7109375" style="125" customWidth="1"/>
    <col min="2827" max="2828" width="3.7109375" style="125" customWidth="1"/>
    <col min="2829" max="2829" width="9.7109375" style="125" customWidth="1"/>
    <col min="2830" max="2831" width="3.7109375" style="125" customWidth="1"/>
    <col min="2832" max="2832" width="9.7109375" style="125" customWidth="1"/>
    <col min="2833" max="2834" width="3.7109375" style="125" customWidth="1"/>
    <col min="2835" max="2835" width="9.7109375" style="125" customWidth="1"/>
    <col min="2836" max="2837" width="3.7109375" style="125" customWidth="1"/>
    <col min="2838" max="2838" width="9.7109375" style="125" customWidth="1"/>
    <col min="2839" max="2840" width="3.7109375" style="125" customWidth="1"/>
    <col min="2841" max="2841" width="9.7109375" style="125" customWidth="1"/>
    <col min="2842" max="2843" width="3.7109375" style="125" customWidth="1"/>
    <col min="2844" max="2844" width="9.7109375" style="125" customWidth="1"/>
    <col min="2845" max="2846" width="3.7109375" style="125" customWidth="1"/>
    <col min="2847" max="2847" width="9.7109375" style="125" customWidth="1"/>
    <col min="2848" max="2849" width="3.7109375" style="125" customWidth="1"/>
    <col min="2850" max="2850" width="9.7109375" style="125" customWidth="1"/>
    <col min="2851" max="2852" width="3.7109375" style="125" customWidth="1"/>
    <col min="2853" max="2853" width="9.7109375" style="125" customWidth="1"/>
    <col min="2854" max="2855" width="3.7109375" style="125" customWidth="1"/>
    <col min="2856" max="2856" width="9.7109375" style="125" customWidth="1"/>
    <col min="2857" max="2858" width="3.7109375" style="125" customWidth="1"/>
    <col min="2859" max="2859" width="9.7109375" style="125" customWidth="1"/>
    <col min="2860" max="2861" width="3.7109375" style="125" customWidth="1"/>
    <col min="2862" max="2862" width="9.7109375" style="125" customWidth="1"/>
    <col min="2863" max="2864" width="3.7109375" style="125" customWidth="1"/>
    <col min="2865" max="2865" width="9.7109375" style="125" customWidth="1"/>
    <col min="2866" max="2867" width="3.7109375" style="125" customWidth="1"/>
    <col min="2868" max="2868" width="9.7109375" style="125" customWidth="1"/>
    <col min="2869" max="2870" width="3.7109375" style="125" customWidth="1"/>
    <col min="2871" max="2871" width="9.7109375" style="125" customWidth="1"/>
    <col min="2872" max="2873" width="3.7109375" style="125" customWidth="1"/>
    <col min="2874" max="2874" width="9.7109375" style="125" customWidth="1"/>
    <col min="2875" max="2876" width="3.7109375" style="125" customWidth="1"/>
    <col min="2877" max="2877" width="9.7109375" style="125" customWidth="1"/>
    <col min="2878" max="2879" width="3.7109375" style="125" customWidth="1"/>
    <col min="2880" max="2880" width="9.7109375" style="125" customWidth="1"/>
    <col min="2881" max="2882" width="3.7109375" style="125" customWidth="1"/>
    <col min="2883" max="2883" width="9.7109375" style="125" customWidth="1"/>
    <col min="2884" max="2885" width="3.7109375" style="125" customWidth="1"/>
    <col min="2886" max="2886" width="9.7109375" style="125" customWidth="1"/>
    <col min="2887" max="2888" width="3.7109375" style="125" customWidth="1"/>
    <col min="2889" max="2889" width="9.7109375" style="125" customWidth="1"/>
    <col min="2890" max="2891" width="3.7109375" style="125" customWidth="1"/>
    <col min="2892" max="2892" width="9.7109375" style="125" customWidth="1"/>
    <col min="2893" max="2894" width="3.7109375" style="125" customWidth="1"/>
    <col min="2895" max="2895" width="9.7109375" style="125" customWidth="1"/>
    <col min="2896" max="2897" width="3.7109375" style="125" customWidth="1"/>
    <col min="2898" max="2898" width="9.7109375" style="125" customWidth="1"/>
    <col min="2899" max="2900" width="3.7109375" style="125" customWidth="1"/>
    <col min="2901" max="2901" width="9.7109375" style="125" customWidth="1"/>
    <col min="2902" max="2903" width="3.7109375" style="125" customWidth="1"/>
    <col min="2904" max="2904" width="9.7109375" style="125" customWidth="1"/>
    <col min="2905" max="2906" width="3.7109375" style="125" customWidth="1"/>
    <col min="2907" max="2907" width="9.7109375" style="125" customWidth="1"/>
    <col min="2908" max="2909" width="3.7109375" style="125" customWidth="1"/>
    <col min="2910" max="2910" width="9.7109375" style="125" customWidth="1"/>
    <col min="2911" max="2912" width="3.7109375" style="125" customWidth="1"/>
    <col min="2913" max="2913" width="9.7109375" style="125" customWidth="1"/>
    <col min="2914" max="2915" width="3.7109375" style="125" customWidth="1"/>
    <col min="2916" max="2916" width="9.7109375" style="125" customWidth="1"/>
    <col min="2917" max="2918" width="3.7109375" style="125" customWidth="1"/>
    <col min="2919" max="2919" width="9.7109375" style="125" customWidth="1"/>
    <col min="2920" max="2921" width="3.7109375" style="125" customWidth="1"/>
    <col min="2922" max="2922" width="9.7109375" style="125" customWidth="1"/>
    <col min="2923" max="2924" width="3.7109375" style="125" customWidth="1"/>
    <col min="2925" max="2925" width="9.7109375" style="125" customWidth="1"/>
    <col min="2926" max="2927" width="3.7109375" style="125" customWidth="1"/>
    <col min="2928" max="2928" width="9.7109375" style="125" customWidth="1"/>
    <col min="2929" max="2930" width="3.7109375" style="125" customWidth="1"/>
    <col min="2931" max="2931" width="9.7109375" style="125" customWidth="1"/>
    <col min="2932" max="2933" width="3.7109375" style="125" customWidth="1"/>
    <col min="2934" max="2934" width="9.7109375" style="125" customWidth="1"/>
    <col min="2935" max="2936" width="3.7109375" style="125" customWidth="1"/>
    <col min="2937" max="2937" width="9.7109375" style="125" customWidth="1"/>
    <col min="2938" max="2939" width="3.7109375" style="125" customWidth="1"/>
    <col min="2940" max="2940" width="9.7109375" style="125" customWidth="1"/>
    <col min="2941" max="2942" width="3.7109375" style="125" customWidth="1"/>
    <col min="2943" max="2943" width="9.7109375" style="125" customWidth="1"/>
    <col min="2944" max="2945" width="3.7109375" style="125" customWidth="1"/>
    <col min="2946" max="2946" width="9.7109375" style="125" customWidth="1"/>
    <col min="2947" max="2948" width="3.7109375" style="125" customWidth="1"/>
    <col min="2949" max="2949" width="9.7109375" style="125" customWidth="1"/>
    <col min="2950" max="2951" width="3.7109375" style="125" customWidth="1"/>
    <col min="2952" max="2952" width="9.7109375" style="125" customWidth="1"/>
    <col min="2953" max="2954" width="3.7109375" style="125" customWidth="1"/>
    <col min="2955" max="2955" width="9.7109375" style="125" customWidth="1"/>
    <col min="2956" max="2957" width="3.7109375" style="125" customWidth="1"/>
    <col min="2958" max="2958" width="9.7109375" style="125" customWidth="1"/>
    <col min="2959" max="2960" width="3.7109375" style="125" customWidth="1"/>
    <col min="2961" max="2961" width="9.7109375" style="125" customWidth="1"/>
    <col min="2962" max="2962" width="3.7109375" style="125" customWidth="1"/>
    <col min="2963" max="2963" width="5.7109375" style="125" bestFit="1" customWidth="1"/>
    <col min="2964" max="2964" width="9.7109375" style="125" customWidth="1"/>
    <col min="2965" max="2966" width="3.7109375" style="125" customWidth="1"/>
    <col min="2967" max="2967" width="9.7109375" style="125" customWidth="1"/>
    <col min="2968" max="2969" width="3.7109375" style="125" customWidth="1"/>
    <col min="2970" max="2970" width="9.7109375" style="125" customWidth="1"/>
    <col min="2971" max="2972" width="3.7109375" style="125" customWidth="1"/>
    <col min="2973" max="2973" width="9.7109375" style="125" customWidth="1"/>
    <col min="2974" max="2975" width="3.7109375" style="125" customWidth="1"/>
    <col min="2976" max="2976" width="9.7109375" style="125" customWidth="1"/>
    <col min="2977" max="2978" width="3.7109375" style="125" customWidth="1"/>
    <col min="2979" max="2979" width="9.7109375" style="125" customWidth="1"/>
    <col min="2980" max="2980" width="3.7109375" style="125" customWidth="1"/>
    <col min="2981" max="2981" width="5.7109375" style="125" bestFit="1" customWidth="1"/>
    <col min="2982" max="2982" width="9.7109375" style="125" customWidth="1"/>
    <col min="2983" max="2984" width="3.7109375" style="125" customWidth="1"/>
    <col min="2985" max="2985" width="9.7109375" style="125" customWidth="1"/>
    <col min="2986" max="2987" width="3.7109375" style="125" customWidth="1"/>
    <col min="2988" max="2988" width="9.7109375" style="125" customWidth="1"/>
    <col min="2989" max="2990" width="3.7109375" style="125" customWidth="1"/>
    <col min="2991" max="2991" width="9.7109375" style="125" customWidth="1"/>
    <col min="2992" max="2993" width="3.7109375" style="125" customWidth="1"/>
    <col min="2994" max="2994" width="9.7109375" style="125" customWidth="1"/>
    <col min="2995" max="2996" width="3.7109375" style="125" customWidth="1"/>
    <col min="2997" max="2997" width="9.7109375" style="125" customWidth="1"/>
    <col min="2998" max="2999" width="3.7109375" style="125" customWidth="1"/>
    <col min="3000" max="3000" width="9.7109375" style="125" customWidth="1"/>
    <col min="3001" max="3002" width="3.7109375" style="125" customWidth="1"/>
    <col min="3003" max="3003" width="9.7109375" style="125" customWidth="1"/>
    <col min="3004" max="3005" width="3.7109375" style="125" customWidth="1"/>
    <col min="3006" max="3006" width="9.7109375" style="125" customWidth="1"/>
    <col min="3007" max="3008" width="3.7109375" style="125" customWidth="1"/>
    <col min="3009" max="3009" width="9.7109375" style="125" customWidth="1"/>
    <col min="3010" max="3011" width="3.7109375" style="125" customWidth="1"/>
    <col min="3012" max="3012" width="9.7109375" style="125" customWidth="1"/>
    <col min="3013" max="3014" width="3.7109375" style="125" customWidth="1"/>
    <col min="3015" max="3015" width="9.7109375" style="125" customWidth="1"/>
    <col min="3016" max="3017" width="3.7109375" style="125" customWidth="1"/>
    <col min="3018" max="3018" width="9.7109375" style="125" customWidth="1"/>
    <col min="3019" max="3020" width="3.7109375" style="125" customWidth="1"/>
    <col min="3021" max="3021" width="9.7109375" style="125" customWidth="1"/>
    <col min="3022" max="3023" width="3.7109375" style="125" customWidth="1"/>
    <col min="3024" max="3024" width="9.7109375" style="125" customWidth="1"/>
    <col min="3025" max="3026" width="3.7109375" style="125" customWidth="1"/>
    <col min="3027" max="3027" width="9.7109375" style="125" customWidth="1"/>
    <col min="3028" max="3029" width="3.7109375" style="125" customWidth="1"/>
    <col min="3030" max="3030" width="9.7109375" style="125" customWidth="1"/>
    <col min="3031" max="3032" width="3.7109375" style="125" customWidth="1"/>
    <col min="3033" max="3033" width="9.7109375" style="125" customWidth="1"/>
    <col min="3034" max="3035" width="3.7109375" style="125" customWidth="1"/>
    <col min="3036" max="3036" width="9.7109375" style="125" customWidth="1"/>
    <col min="3037" max="3038" width="3.7109375" style="125" customWidth="1"/>
    <col min="3039" max="3039" width="9.7109375" style="125" customWidth="1"/>
    <col min="3040" max="3041" width="3.7109375" style="125" customWidth="1"/>
    <col min="3042" max="3042" width="9.7109375" style="125" customWidth="1"/>
    <col min="3043" max="3044" width="3.7109375" style="125" customWidth="1"/>
    <col min="3045" max="3045" width="9.7109375" style="125" customWidth="1"/>
    <col min="3046" max="3047" width="3.7109375" style="125" customWidth="1"/>
    <col min="3048" max="3048" width="9.7109375" style="125" customWidth="1"/>
    <col min="3049" max="3050" width="3.7109375" style="125" customWidth="1"/>
    <col min="3051" max="3051" width="9.7109375" style="125" customWidth="1"/>
    <col min="3052" max="3053" width="3.7109375" style="125" customWidth="1"/>
    <col min="3054" max="3054" width="9.7109375" style="125" customWidth="1"/>
    <col min="3055" max="3056" width="3.7109375" style="125" customWidth="1"/>
    <col min="3057" max="3057" width="9.7109375" style="125" customWidth="1"/>
    <col min="3058" max="3059" width="3.7109375" style="125" customWidth="1"/>
    <col min="3060" max="3060" width="9.7109375" style="125" customWidth="1"/>
    <col min="3061" max="3062" width="3.7109375" style="125" customWidth="1"/>
    <col min="3063" max="3063" width="9.7109375" style="125" customWidth="1"/>
    <col min="3064" max="3065" width="3.7109375" style="125" customWidth="1"/>
    <col min="3066" max="3066" width="9.7109375" style="125" customWidth="1"/>
    <col min="3067" max="3068" width="3.7109375" style="125" customWidth="1"/>
    <col min="3069" max="3069" width="9.7109375" style="125" customWidth="1"/>
    <col min="3070" max="3070" width="3.7109375" style="125" customWidth="1"/>
    <col min="3071" max="3072" width="8" style="125"/>
    <col min="3073" max="3073" width="30.7109375" style="125" customWidth="1"/>
    <col min="3074" max="3074" width="9.7109375" style="125" customWidth="1"/>
    <col min="3075" max="3075" width="3.7109375" style="125" customWidth="1"/>
    <col min="3076" max="3076" width="9.7109375" style="125" customWidth="1"/>
    <col min="3077" max="3078" width="3.7109375" style="125" customWidth="1"/>
    <col min="3079" max="3079" width="9.7109375" style="125" customWidth="1"/>
    <col min="3080" max="3081" width="3.7109375" style="125" customWidth="1"/>
    <col min="3082" max="3082" width="9.7109375" style="125" customWidth="1"/>
    <col min="3083" max="3084" width="3.7109375" style="125" customWidth="1"/>
    <col min="3085" max="3085" width="9.7109375" style="125" customWidth="1"/>
    <col min="3086" max="3087" width="3.7109375" style="125" customWidth="1"/>
    <col min="3088" max="3088" width="9.7109375" style="125" customWidth="1"/>
    <col min="3089" max="3090" width="3.7109375" style="125" customWidth="1"/>
    <col min="3091" max="3091" width="9.7109375" style="125" customWidth="1"/>
    <col min="3092" max="3093" width="3.7109375" style="125" customWidth="1"/>
    <col min="3094" max="3094" width="9.7109375" style="125" customWidth="1"/>
    <col min="3095" max="3096" width="3.7109375" style="125" customWidth="1"/>
    <col min="3097" max="3097" width="9.7109375" style="125" customWidth="1"/>
    <col min="3098" max="3099" width="3.7109375" style="125" customWidth="1"/>
    <col min="3100" max="3100" width="9.7109375" style="125" customWidth="1"/>
    <col min="3101" max="3102" width="3.7109375" style="125" customWidth="1"/>
    <col min="3103" max="3103" width="9.7109375" style="125" customWidth="1"/>
    <col min="3104" max="3105" width="3.7109375" style="125" customWidth="1"/>
    <col min="3106" max="3106" width="9.7109375" style="125" customWidth="1"/>
    <col min="3107" max="3108" width="3.7109375" style="125" customWidth="1"/>
    <col min="3109" max="3109" width="9.7109375" style="125" customWidth="1"/>
    <col min="3110" max="3111" width="3.7109375" style="125" customWidth="1"/>
    <col min="3112" max="3112" width="9.7109375" style="125" customWidth="1"/>
    <col min="3113" max="3114" width="3.7109375" style="125" customWidth="1"/>
    <col min="3115" max="3115" width="9.7109375" style="125" customWidth="1"/>
    <col min="3116" max="3117" width="3.7109375" style="125" customWidth="1"/>
    <col min="3118" max="3118" width="9.7109375" style="125" customWidth="1"/>
    <col min="3119" max="3120" width="3.7109375" style="125" customWidth="1"/>
    <col min="3121" max="3121" width="9.7109375" style="125" customWidth="1"/>
    <col min="3122" max="3123" width="3.7109375" style="125" customWidth="1"/>
    <col min="3124" max="3124" width="9.7109375" style="125" customWidth="1"/>
    <col min="3125" max="3126" width="3.7109375" style="125" customWidth="1"/>
    <col min="3127" max="3127" width="9.7109375" style="125" customWidth="1"/>
    <col min="3128" max="3129" width="3.7109375" style="125" customWidth="1"/>
    <col min="3130" max="3130" width="9.7109375" style="125" customWidth="1"/>
    <col min="3131" max="3132" width="3.7109375" style="125" customWidth="1"/>
    <col min="3133" max="3133" width="9.7109375" style="125" customWidth="1"/>
    <col min="3134" max="3135" width="3.7109375" style="125" customWidth="1"/>
    <col min="3136" max="3136" width="9.7109375" style="125" customWidth="1"/>
    <col min="3137" max="3138" width="3.7109375" style="125" customWidth="1"/>
    <col min="3139" max="3139" width="9.7109375" style="125" customWidth="1"/>
    <col min="3140" max="3141" width="3.7109375" style="125" customWidth="1"/>
    <col min="3142" max="3142" width="9.7109375" style="125" customWidth="1"/>
    <col min="3143" max="3144" width="3.7109375" style="125" customWidth="1"/>
    <col min="3145" max="3145" width="9.7109375" style="125" customWidth="1"/>
    <col min="3146" max="3147" width="3.7109375" style="125" customWidth="1"/>
    <col min="3148" max="3148" width="9.7109375" style="125" customWidth="1"/>
    <col min="3149" max="3150" width="3.7109375" style="125" customWidth="1"/>
    <col min="3151" max="3151" width="9.7109375" style="125" customWidth="1"/>
    <col min="3152" max="3153" width="3.7109375" style="125" customWidth="1"/>
    <col min="3154" max="3154" width="9.7109375" style="125" customWidth="1"/>
    <col min="3155" max="3156" width="3.7109375" style="125" customWidth="1"/>
    <col min="3157" max="3157" width="9.7109375" style="125" customWidth="1"/>
    <col min="3158" max="3159" width="3.7109375" style="125" customWidth="1"/>
    <col min="3160" max="3160" width="9.7109375" style="125" customWidth="1"/>
    <col min="3161" max="3162" width="3.7109375" style="125" customWidth="1"/>
    <col min="3163" max="3163" width="9.7109375" style="125" customWidth="1"/>
    <col min="3164" max="3165" width="3.7109375" style="125" customWidth="1"/>
    <col min="3166" max="3166" width="9.7109375" style="125" customWidth="1"/>
    <col min="3167" max="3168" width="3.7109375" style="125" customWidth="1"/>
    <col min="3169" max="3169" width="9.7109375" style="125" customWidth="1"/>
    <col min="3170" max="3171" width="3.7109375" style="125" customWidth="1"/>
    <col min="3172" max="3172" width="9.7109375" style="125" customWidth="1"/>
    <col min="3173" max="3174" width="3.7109375" style="125" customWidth="1"/>
    <col min="3175" max="3175" width="9.7109375" style="125" customWidth="1"/>
    <col min="3176" max="3177" width="3.7109375" style="125" customWidth="1"/>
    <col min="3178" max="3178" width="9.7109375" style="125" customWidth="1"/>
    <col min="3179" max="3180" width="3.7109375" style="125" customWidth="1"/>
    <col min="3181" max="3181" width="9.7109375" style="125" customWidth="1"/>
    <col min="3182" max="3183" width="3.7109375" style="125" customWidth="1"/>
    <col min="3184" max="3184" width="9.7109375" style="125" customWidth="1"/>
    <col min="3185" max="3186" width="3.7109375" style="125" customWidth="1"/>
    <col min="3187" max="3187" width="9.7109375" style="125" customWidth="1"/>
    <col min="3188" max="3189" width="3.7109375" style="125" customWidth="1"/>
    <col min="3190" max="3190" width="9.7109375" style="125" customWidth="1"/>
    <col min="3191" max="3192" width="3.7109375" style="125" customWidth="1"/>
    <col min="3193" max="3193" width="9.7109375" style="125" customWidth="1"/>
    <col min="3194" max="3195" width="3.7109375" style="125" customWidth="1"/>
    <col min="3196" max="3196" width="9.7109375" style="125" customWidth="1"/>
    <col min="3197" max="3198" width="3.7109375" style="125" customWidth="1"/>
    <col min="3199" max="3199" width="9.7109375" style="125" customWidth="1"/>
    <col min="3200" max="3201" width="3.7109375" style="125" customWidth="1"/>
    <col min="3202" max="3202" width="9.7109375" style="125" customWidth="1"/>
    <col min="3203" max="3204" width="3.7109375" style="125" customWidth="1"/>
    <col min="3205" max="3205" width="9.7109375" style="125" customWidth="1"/>
    <col min="3206" max="3207" width="3.7109375" style="125" customWidth="1"/>
    <col min="3208" max="3208" width="9.7109375" style="125" customWidth="1"/>
    <col min="3209" max="3210" width="3.7109375" style="125" customWidth="1"/>
    <col min="3211" max="3211" width="9.7109375" style="125" customWidth="1"/>
    <col min="3212" max="3213" width="3.7109375" style="125" customWidth="1"/>
    <col min="3214" max="3214" width="9.7109375" style="125" customWidth="1"/>
    <col min="3215" max="3216" width="3.7109375" style="125" customWidth="1"/>
    <col min="3217" max="3217" width="9.7109375" style="125" customWidth="1"/>
    <col min="3218" max="3218" width="3.7109375" style="125" customWidth="1"/>
    <col min="3219" max="3219" width="5.7109375" style="125" bestFit="1" customWidth="1"/>
    <col min="3220" max="3220" width="9.7109375" style="125" customWidth="1"/>
    <col min="3221" max="3222" width="3.7109375" style="125" customWidth="1"/>
    <col min="3223" max="3223" width="9.7109375" style="125" customWidth="1"/>
    <col min="3224" max="3225" width="3.7109375" style="125" customWidth="1"/>
    <col min="3226" max="3226" width="9.7109375" style="125" customWidth="1"/>
    <col min="3227" max="3228" width="3.7109375" style="125" customWidth="1"/>
    <col min="3229" max="3229" width="9.7109375" style="125" customWidth="1"/>
    <col min="3230" max="3231" width="3.7109375" style="125" customWidth="1"/>
    <col min="3232" max="3232" width="9.7109375" style="125" customWidth="1"/>
    <col min="3233" max="3234" width="3.7109375" style="125" customWidth="1"/>
    <col min="3235" max="3235" width="9.7109375" style="125" customWidth="1"/>
    <col min="3236" max="3236" width="3.7109375" style="125" customWidth="1"/>
    <col min="3237" max="3237" width="5.7109375" style="125" bestFit="1" customWidth="1"/>
    <col min="3238" max="3238" width="9.7109375" style="125" customWidth="1"/>
    <col min="3239" max="3240" width="3.7109375" style="125" customWidth="1"/>
    <col min="3241" max="3241" width="9.7109375" style="125" customWidth="1"/>
    <col min="3242" max="3243" width="3.7109375" style="125" customWidth="1"/>
    <col min="3244" max="3244" width="9.7109375" style="125" customWidth="1"/>
    <col min="3245" max="3246" width="3.7109375" style="125" customWidth="1"/>
    <col min="3247" max="3247" width="9.7109375" style="125" customWidth="1"/>
    <col min="3248" max="3249" width="3.7109375" style="125" customWidth="1"/>
    <col min="3250" max="3250" width="9.7109375" style="125" customWidth="1"/>
    <col min="3251" max="3252" width="3.7109375" style="125" customWidth="1"/>
    <col min="3253" max="3253" width="9.7109375" style="125" customWidth="1"/>
    <col min="3254" max="3255" width="3.7109375" style="125" customWidth="1"/>
    <col min="3256" max="3256" width="9.7109375" style="125" customWidth="1"/>
    <col min="3257" max="3258" width="3.7109375" style="125" customWidth="1"/>
    <col min="3259" max="3259" width="9.7109375" style="125" customWidth="1"/>
    <col min="3260" max="3261" width="3.7109375" style="125" customWidth="1"/>
    <col min="3262" max="3262" width="9.7109375" style="125" customWidth="1"/>
    <col min="3263" max="3264" width="3.7109375" style="125" customWidth="1"/>
    <col min="3265" max="3265" width="9.7109375" style="125" customWidth="1"/>
    <col min="3266" max="3267" width="3.7109375" style="125" customWidth="1"/>
    <col min="3268" max="3268" width="9.7109375" style="125" customWidth="1"/>
    <col min="3269" max="3270" width="3.7109375" style="125" customWidth="1"/>
    <col min="3271" max="3271" width="9.7109375" style="125" customWidth="1"/>
    <col min="3272" max="3273" width="3.7109375" style="125" customWidth="1"/>
    <col min="3274" max="3274" width="9.7109375" style="125" customWidth="1"/>
    <col min="3275" max="3276" width="3.7109375" style="125" customWidth="1"/>
    <col min="3277" max="3277" width="9.7109375" style="125" customWidth="1"/>
    <col min="3278" max="3279" width="3.7109375" style="125" customWidth="1"/>
    <col min="3280" max="3280" width="9.7109375" style="125" customWidth="1"/>
    <col min="3281" max="3282" width="3.7109375" style="125" customWidth="1"/>
    <col min="3283" max="3283" width="9.7109375" style="125" customWidth="1"/>
    <col min="3284" max="3285" width="3.7109375" style="125" customWidth="1"/>
    <col min="3286" max="3286" width="9.7109375" style="125" customWidth="1"/>
    <col min="3287" max="3288" width="3.7109375" style="125" customWidth="1"/>
    <col min="3289" max="3289" width="9.7109375" style="125" customWidth="1"/>
    <col min="3290" max="3291" width="3.7109375" style="125" customWidth="1"/>
    <col min="3292" max="3292" width="9.7109375" style="125" customWidth="1"/>
    <col min="3293" max="3294" width="3.7109375" style="125" customWidth="1"/>
    <col min="3295" max="3295" width="9.7109375" style="125" customWidth="1"/>
    <col min="3296" max="3297" width="3.7109375" style="125" customWidth="1"/>
    <col min="3298" max="3298" width="9.7109375" style="125" customWidth="1"/>
    <col min="3299" max="3300" width="3.7109375" style="125" customWidth="1"/>
    <col min="3301" max="3301" width="9.7109375" style="125" customWidth="1"/>
    <col min="3302" max="3303" width="3.7109375" style="125" customWidth="1"/>
    <col min="3304" max="3304" width="9.7109375" style="125" customWidth="1"/>
    <col min="3305" max="3306" width="3.7109375" style="125" customWidth="1"/>
    <col min="3307" max="3307" width="9.7109375" style="125" customWidth="1"/>
    <col min="3308" max="3309" width="3.7109375" style="125" customWidth="1"/>
    <col min="3310" max="3310" width="9.7109375" style="125" customWidth="1"/>
    <col min="3311" max="3312" width="3.7109375" style="125" customWidth="1"/>
    <col min="3313" max="3313" width="9.7109375" style="125" customWidth="1"/>
    <col min="3314" max="3315" width="3.7109375" style="125" customWidth="1"/>
    <col min="3316" max="3316" width="9.7109375" style="125" customWidth="1"/>
    <col min="3317" max="3318" width="3.7109375" style="125" customWidth="1"/>
    <col min="3319" max="3319" width="9.7109375" style="125" customWidth="1"/>
    <col min="3320" max="3321" width="3.7109375" style="125" customWidth="1"/>
    <col min="3322" max="3322" width="9.7109375" style="125" customWidth="1"/>
    <col min="3323" max="3324" width="3.7109375" style="125" customWidth="1"/>
    <col min="3325" max="3325" width="9.7109375" style="125" customWidth="1"/>
    <col min="3326" max="3326" width="3.7109375" style="125" customWidth="1"/>
    <col min="3327" max="3328" width="8" style="125"/>
    <col min="3329" max="3329" width="30.7109375" style="125" customWidth="1"/>
    <col min="3330" max="3330" width="9.7109375" style="125" customWidth="1"/>
    <col min="3331" max="3331" width="3.7109375" style="125" customWidth="1"/>
    <col min="3332" max="3332" width="9.7109375" style="125" customWidth="1"/>
    <col min="3333" max="3334" width="3.7109375" style="125" customWidth="1"/>
    <col min="3335" max="3335" width="9.7109375" style="125" customWidth="1"/>
    <col min="3336" max="3337" width="3.7109375" style="125" customWidth="1"/>
    <col min="3338" max="3338" width="9.7109375" style="125" customWidth="1"/>
    <col min="3339" max="3340" width="3.7109375" style="125" customWidth="1"/>
    <col min="3341" max="3341" width="9.7109375" style="125" customWidth="1"/>
    <col min="3342" max="3343" width="3.7109375" style="125" customWidth="1"/>
    <col min="3344" max="3344" width="9.7109375" style="125" customWidth="1"/>
    <col min="3345" max="3346" width="3.7109375" style="125" customWidth="1"/>
    <col min="3347" max="3347" width="9.7109375" style="125" customWidth="1"/>
    <col min="3348" max="3349" width="3.7109375" style="125" customWidth="1"/>
    <col min="3350" max="3350" width="9.7109375" style="125" customWidth="1"/>
    <col min="3351" max="3352" width="3.7109375" style="125" customWidth="1"/>
    <col min="3353" max="3353" width="9.7109375" style="125" customWidth="1"/>
    <col min="3354" max="3355" width="3.7109375" style="125" customWidth="1"/>
    <col min="3356" max="3356" width="9.7109375" style="125" customWidth="1"/>
    <col min="3357" max="3358" width="3.7109375" style="125" customWidth="1"/>
    <col min="3359" max="3359" width="9.7109375" style="125" customWidth="1"/>
    <col min="3360" max="3361" width="3.7109375" style="125" customWidth="1"/>
    <col min="3362" max="3362" width="9.7109375" style="125" customWidth="1"/>
    <col min="3363" max="3364" width="3.7109375" style="125" customWidth="1"/>
    <col min="3365" max="3365" width="9.7109375" style="125" customWidth="1"/>
    <col min="3366" max="3367" width="3.7109375" style="125" customWidth="1"/>
    <col min="3368" max="3368" width="9.7109375" style="125" customWidth="1"/>
    <col min="3369" max="3370" width="3.7109375" style="125" customWidth="1"/>
    <col min="3371" max="3371" width="9.7109375" style="125" customWidth="1"/>
    <col min="3372" max="3373" width="3.7109375" style="125" customWidth="1"/>
    <col min="3374" max="3374" width="9.7109375" style="125" customWidth="1"/>
    <col min="3375" max="3376" width="3.7109375" style="125" customWidth="1"/>
    <col min="3377" max="3377" width="9.7109375" style="125" customWidth="1"/>
    <col min="3378" max="3379" width="3.7109375" style="125" customWidth="1"/>
    <col min="3380" max="3380" width="9.7109375" style="125" customWidth="1"/>
    <col min="3381" max="3382" width="3.7109375" style="125" customWidth="1"/>
    <col min="3383" max="3383" width="9.7109375" style="125" customWidth="1"/>
    <col min="3384" max="3385" width="3.7109375" style="125" customWidth="1"/>
    <col min="3386" max="3386" width="9.7109375" style="125" customWidth="1"/>
    <col min="3387" max="3388" width="3.7109375" style="125" customWidth="1"/>
    <col min="3389" max="3389" width="9.7109375" style="125" customWidth="1"/>
    <col min="3390" max="3391" width="3.7109375" style="125" customWidth="1"/>
    <col min="3392" max="3392" width="9.7109375" style="125" customWidth="1"/>
    <col min="3393" max="3394" width="3.7109375" style="125" customWidth="1"/>
    <col min="3395" max="3395" width="9.7109375" style="125" customWidth="1"/>
    <col min="3396" max="3397" width="3.7109375" style="125" customWidth="1"/>
    <col min="3398" max="3398" width="9.7109375" style="125" customWidth="1"/>
    <col min="3399" max="3400" width="3.7109375" style="125" customWidth="1"/>
    <col min="3401" max="3401" width="9.7109375" style="125" customWidth="1"/>
    <col min="3402" max="3403" width="3.7109375" style="125" customWidth="1"/>
    <col min="3404" max="3404" width="9.7109375" style="125" customWidth="1"/>
    <col min="3405" max="3406" width="3.7109375" style="125" customWidth="1"/>
    <col min="3407" max="3407" width="9.7109375" style="125" customWidth="1"/>
    <col min="3408" max="3409" width="3.7109375" style="125" customWidth="1"/>
    <col min="3410" max="3410" width="9.7109375" style="125" customWidth="1"/>
    <col min="3411" max="3412" width="3.7109375" style="125" customWidth="1"/>
    <col min="3413" max="3413" width="9.7109375" style="125" customWidth="1"/>
    <col min="3414" max="3415" width="3.7109375" style="125" customWidth="1"/>
    <col min="3416" max="3416" width="9.7109375" style="125" customWidth="1"/>
    <col min="3417" max="3418" width="3.7109375" style="125" customWidth="1"/>
    <col min="3419" max="3419" width="9.7109375" style="125" customWidth="1"/>
    <col min="3420" max="3421" width="3.7109375" style="125" customWidth="1"/>
    <col min="3422" max="3422" width="9.7109375" style="125" customWidth="1"/>
    <col min="3423" max="3424" width="3.7109375" style="125" customWidth="1"/>
    <col min="3425" max="3425" width="9.7109375" style="125" customWidth="1"/>
    <col min="3426" max="3427" width="3.7109375" style="125" customWidth="1"/>
    <col min="3428" max="3428" width="9.7109375" style="125" customWidth="1"/>
    <col min="3429" max="3430" width="3.7109375" style="125" customWidth="1"/>
    <col min="3431" max="3431" width="9.7109375" style="125" customWidth="1"/>
    <col min="3432" max="3433" width="3.7109375" style="125" customWidth="1"/>
    <col min="3434" max="3434" width="9.7109375" style="125" customWidth="1"/>
    <col min="3435" max="3436" width="3.7109375" style="125" customWidth="1"/>
    <col min="3437" max="3437" width="9.7109375" style="125" customWidth="1"/>
    <col min="3438" max="3439" width="3.7109375" style="125" customWidth="1"/>
    <col min="3440" max="3440" width="9.7109375" style="125" customWidth="1"/>
    <col min="3441" max="3442" width="3.7109375" style="125" customWidth="1"/>
    <col min="3443" max="3443" width="9.7109375" style="125" customWidth="1"/>
    <col min="3444" max="3445" width="3.7109375" style="125" customWidth="1"/>
    <col min="3446" max="3446" width="9.7109375" style="125" customWidth="1"/>
    <col min="3447" max="3448" width="3.7109375" style="125" customWidth="1"/>
    <col min="3449" max="3449" width="9.7109375" style="125" customWidth="1"/>
    <col min="3450" max="3451" width="3.7109375" style="125" customWidth="1"/>
    <col min="3452" max="3452" width="9.7109375" style="125" customWidth="1"/>
    <col min="3453" max="3454" width="3.7109375" style="125" customWidth="1"/>
    <col min="3455" max="3455" width="9.7109375" style="125" customWidth="1"/>
    <col min="3456" max="3457" width="3.7109375" style="125" customWidth="1"/>
    <col min="3458" max="3458" width="9.7109375" style="125" customWidth="1"/>
    <col min="3459" max="3460" width="3.7109375" style="125" customWidth="1"/>
    <col min="3461" max="3461" width="9.7109375" style="125" customWidth="1"/>
    <col min="3462" max="3463" width="3.7109375" style="125" customWidth="1"/>
    <col min="3464" max="3464" width="9.7109375" style="125" customWidth="1"/>
    <col min="3465" max="3466" width="3.7109375" style="125" customWidth="1"/>
    <col min="3467" max="3467" width="9.7109375" style="125" customWidth="1"/>
    <col min="3468" max="3469" width="3.7109375" style="125" customWidth="1"/>
    <col min="3470" max="3470" width="9.7109375" style="125" customWidth="1"/>
    <col min="3471" max="3472" width="3.7109375" style="125" customWidth="1"/>
    <col min="3473" max="3473" width="9.7109375" style="125" customWidth="1"/>
    <col min="3474" max="3474" width="3.7109375" style="125" customWidth="1"/>
    <col min="3475" max="3475" width="5.7109375" style="125" bestFit="1" customWidth="1"/>
    <col min="3476" max="3476" width="9.7109375" style="125" customWidth="1"/>
    <col min="3477" max="3478" width="3.7109375" style="125" customWidth="1"/>
    <col min="3479" max="3479" width="9.7109375" style="125" customWidth="1"/>
    <col min="3480" max="3481" width="3.7109375" style="125" customWidth="1"/>
    <col min="3482" max="3482" width="9.7109375" style="125" customWidth="1"/>
    <col min="3483" max="3484" width="3.7109375" style="125" customWidth="1"/>
    <col min="3485" max="3485" width="9.7109375" style="125" customWidth="1"/>
    <col min="3486" max="3487" width="3.7109375" style="125" customWidth="1"/>
    <col min="3488" max="3488" width="9.7109375" style="125" customWidth="1"/>
    <col min="3489" max="3490" width="3.7109375" style="125" customWidth="1"/>
    <col min="3491" max="3491" width="9.7109375" style="125" customWidth="1"/>
    <col min="3492" max="3492" width="3.7109375" style="125" customWidth="1"/>
    <col min="3493" max="3493" width="5.7109375" style="125" bestFit="1" customWidth="1"/>
    <col min="3494" max="3494" width="9.7109375" style="125" customWidth="1"/>
    <col min="3495" max="3496" width="3.7109375" style="125" customWidth="1"/>
    <col min="3497" max="3497" width="9.7109375" style="125" customWidth="1"/>
    <col min="3498" max="3499" width="3.7109375" style="125" customWidth="1"/>
    <col min="3500" max="3500" width="9.7109375" style="125" customWidth="1"/>
    <col min="3501" max="3502" width="3.7109375" style="125" customWidth="1"/>
    <col min="3503" max="3503" width="9.7109375" style="125" customWidth="1"/>
    <col min="3504" max="3505" width="3.7109375" style="125" customWidth="1"/>
    <col min="3506" max="3506" width="9.7109375" style="125" customWidth="1"/>
    <col min="3507" max="3508" width="3.7109375" style="125" customWidth="1"/>
    <col min="3509" max="3509" width="9.7109375" style="125" customWidth="1"/>
    <col min="3510" max="3511" width="3.7109375" style="125" customWidth="1"/>
    <col min="3512" max="3512" width="9.7109375" style="125" customWidth="1"/>
    <col min="3513" max="3514" width="3.7109375" style="125" customWidth="1"/>
    <col min="3515" max="3515" width="9.7109375" style="125" customWidth="1"/>
    <col min="3516" max="3517" width="3.7109375" style="125" customWidth="1"/>
    <col min="3518" max="3518" width="9.7109375" style="125" customWidth="1"/>
    <col min="3519" max="3520" width="3.7109375" style="125" customWidth="1"/>
    <col min="3521" max="3521" width="9.7109375" style="125" customWidth="1"/>
    <col min="3522" max="3523" width="3.7109375" style="125" customWidth="1"/>
    <col min="3524" max="3524" width="9.7109375" style="125" customWidth="1"/>
    <col min="3525" max="3526" width="3.7109375" style="125" customWidth="1"/>
    <col min="3527" max="3527" width="9.7109375" style="125" customWidth="1"/>
    <col min="3528" max="3529" width="3.7109375" style="125" customWidth="1"/>
    <col min="3530" max="3530" width="9.7109375" style="125" customWidth="1"/>
    <col min="3531" max="3532" width="3.7109375" style="125" customWidth="1"/>
    <col min="3533" max="3533" width="9.7109375" style="125" customWidth="1"/>
    <col min="3534" max="3535" width="3.7109375" style="125" customWidth="1"/>
    <col min="3536" max="3536" width="9.7109375" style="125" customWidth="1"/>
    <col min="3537" max="3538" width="3.7109375" style="125" customWidth="1"/>
    <col min="3539" max="3539" width="9.7109375" style="125" customWidth="1"/>
    <col min="3540" max="3541" width="3.7109375" style="125" customWidth="1"/>
    <col min="3542" max="3542" width="9.7109375" style="125" customWidth="1"/>
    <col min="3543" max="3544" width="3.7109375" style="125" customWidth="1"/>
    <col min="3545" max="3545" width="9.7109375" style="125" customWidth="1"/>
    <col min="3546" max="3547" width="3.7109375" style="125" customWidth="1"/>
    <col min="3548" max="3548" width="9.7109375" style="125" customWidth="1"/>
    <col min="3549" max="3550" width="3.7109375" style="125" customWidth="1"/>
    <col min="3551" max="3551" width="9.7109375" style="125" customWidth="1"/>
    <col min="3552" max="3553" width="3.7109375" style="125" customWidth="1"/>
    <col min="3554" max="3554" width="9.7109375" style="125" customWidth="1"/>
    <col min="3555" max="3556" width="3.7109375" style="125" customWidth="1"/>
    <col min="3557" max="3557" width="9.7109375" style="125" customWidth="1"/>
    <col min="3558" max="3559" width="3.7109375" style="125" customWidth="1"/>
    <col min="3560" max="3560" width="9.7109375" style="125" customWidth="1"/>
    <col min="3561" max="3562" width="3.7109375" style="125" customWidth="1"/>
    <col min="3563" max="3563" width="9.7109375" style="125" customWidth="1"/>
    <col min="3564" max="3565" width="3.7109375" style="125" customWidth="1"/>
    <col min="3566" max="3566" width="9.7109375" style="125" customWidth="1"/>
    <col min="3567" max="3568" width="3.7109375" style="125" customWidth="1"/>
    <col min="3569" max="3569" width="9.7109375" style="125" customWidth="1"/>
    <col min="3570" max="3571" width="3.7109375" style="125" customWidth="1"/>
    <col min="3572" max="3572" width="9.7109375" style="125" customWidth="1"/>
    <col min="3573" max="3574" width="3.7109375" style="125" customWidth="1"/>
    <col min="3575" max="3575" width="9.7109375" style="125" customWidth="1"/>
    <col min="3576" max="3577" width="3.7109375" style="125" customWidth="1"/>
    <col min="3578" max="3578" width="9.7109375" style="125" customWidth="1"/>
    <col min="3579" max="3580" width="3.7109375" style="125" customWidth="1"/>
    <col min="3581" max="3581" width="9.7109375" style="125" customWidth="1"/>
    <col min="3582" max="3582" width="3.7109375" style="125" customWidth="1"/>
    <col min="3583" max="3584" width="8" style="125"/>
    <col min="3585" max="3585" width="30.7109375" style="125" customWidth="1"/>
    <col min="3586" max="3586" width="9.7109375" style="125" customWidth="1"/>
    <col min="3587" max="3587" width="3.7109375" style="125" customWidth="1"/>
    <col min="3588" max="3588" width="9.7109375" style="125" customWidth="1"/>
    <col min="3589" max="3590" width="3.7109375" style="125" customWidth="1"/>
    <col min="3591" max="3591" width="9.7109375" style="125" customWidth="1"/>
    <col min="3592" max="3593" width="3.7109375" style="125" customWidth="1"/>
    <col min="3594" max="3594" width="9.7109375" style="125" customWidth="1"/>
    <col min="3595" max="3596" width="3.7109375" style="125" customWidth="1"/>
    <col min="3597" max="3597" width="9.7109375" style="125" customWidth="1"/>
    <col min="3598" max="3599" width="3.7109375" style="125" customWidth="1"/>
    <col min="3600" max="3600" width="9.7109375" style="125" customWidth="1"/>
    <col min="3601" max="3602" width="3.7109375" style="125" customWidth="1"/>
    <col min="3603" max="3603" width="9.7109375" style="125" customWidth="1"/>
    <col min="3604" max="3605" width="3.7109375" style="125" customWidth="1"/>
    <col min="3606" max="3606" width="9.7109375" style="125" customWidth="1"/>
    <col min="3607" max="3608" width="3.7109375" style="125" customWidth="1"/>
    <col min="3609" max="3609" width="9.7109375" style="125" customWidth="1"/>
    <col min="3610" max="3611" width="3.7109375" style="125" customWidth="1"/>
    <col min="3612" max="3612" width="9.7109375" style="125" customWidth="1"/>
    <col min="3613" max="3614" width="3.7109375" style="125" customWidth="1"/>
    <col min="3615" max="3615" width="9.7109375" style="125" customWidth="1"/>
    <col min="3616" max="3617" width="3.7109375" style="125" customWidth="1"/>
    <col min="3618" max="3618" width="9.7109375" style="125" customWidth="1"/>
    <col min="3619" max="3620" width="3.7109375" style="125" customWidth="1"/>
    <col min="3621" max="3621" width="9.7109375" style="125" customWidth="1"/>
    <col min="3622" max="3623" width="3.7109375" style="125" customWidth="1"/>
    <col min="3624" max="3624" width="9.7109375" style="125" customWidth="1"/>
    <col min="3625" max="3626" width="3.7109375" style="125" customWidth="1"/>
    <col min="3627" max="3627" width="9.7109375" style="125" customWidth="1"/>
    <col min="3628" max="3629" width="3.7109375" style="125" customWidth="1"/>
    <col min="3630" max="3630" width="9.7109375" style="125" customWidth="1"/>
    <col min="3631" max="3632" width="3.7109375" style="125" customWidth="1"/>
    <col min="3633" max="3633" width="9.7109375" style="125" customWidth="1"/>
    <col min="3634" max="3635" width="3.7109375" style="125" customWidth="1"/>
    <col min="3636" max="3636" width="9.7109375" style="125" customWidth="1"/>
    <col min="3637" max="3638" width="3.7109375" style="125" customWidth="1"/>
    <col min="3639" max="3639" width="9.7109375" style="125" customWidth="1"/>
    <col min="3640" max="3641" width="3.7109375" style="125" customWidth="1"/>
    <col min="3642" max="3642" width="9.7109375" style="125" customWidth="1"/>
    <col min="3643" max="3644" width="3.7109375" style="125" customWidth="1"/>
    <col min="3645" max="3645" width="9.7109375" style="125" customWidth="1"/>
    <col min="3646" max="3647" width="3.7109375" style="125" customWidth="1"/>
    <col min="3648" max="3648" width="9.7109375" style="125" customWidth="1"/>
    <col min="3649" max="3650" width="3.7109375" style="125" customWidth="1"/>
    <col min="3651" max="3651" width="9.7109375" style="125" customWidth="1"/>
    <col min="3652" max="3653" width="3.7109375" style="125" customWidth="1"/>
    <col min="3654" max="3654" width="9.7109375" style="125" customWidth="1"/>
    <col min="3655" max="3656" width="3.7109375" style="125" customWidth="1"/>
    <col min="3657" max="3657" width="9.7109375" style="125" customWidth="1"/>
    <col min="3658" max="3659" width="3.7109375" style="125" customWidth="1"/>
    <col min="3660" max="3660" width="9.7109375" style="125" customWidth="1"/>
    <col min="3661" max="3662" width="3.7109375" style="125" customWidth="1"/>
    <col min="3663" max="3663" width="9.7109375" style="125" customWidth="1"/>
    <col min="3664" max="3665" width="3.7109375" style="125" customWidth="1"/>
    <col min="3666" max="3666" width="9.7109375" style="125" customWidth="1"/>
    <col min="3667" max="3668" width="3.7109375" style="125" customWidth="1"/>
    <col min="3669" max="3669" width="9.7109375" style="125" customWidth="1"/>
    <col min="3670" max="3671" width="3.7109375" style="125" customWidth="1"/>
    <col min="3672" max="3672" width="9.7109375" style="125" customWidth="1"/>
    <col min="3673" max="3674" width="3.7109375" style="125" customWidth="1"/>
    <col min="3675" max="3675" width="9.7109375" style="125" customWidth="1"/>
    <col min="3676" max="3677" width="3.7109375" style="125" customWidth="1"/>
    <col min="3678" max="3678" width="9.7109375" style="125" customWidth="1"/>
    <col min="3679" max="3680" width="3.7109375" style="125" customWidth="1"/>
    <col min="3681" max="3681" width="9.7109375" style="125" customWidth="1"/>
    <col min="3682" max="3683" width="3.7109375" style="125" customWidth="1"/>
    <col min="3684" max="3684" width="9.7109375" style="125" customWidth="1"/>
    <col min="3685" max="3686" width="3.7109375" style="125" customWidth="1"/>
    <col min="3687" max="3687" width="9.7109375" style="125" customWidth="1"/>
    <col min="3688" max="3689" width="3.7109375" style="125" customWidth="1"/>
    <col min="3690" max="3690" width="9.7109375" style="125" customWidth="1"/>
    <col min="3691" max="3692" width="3.7109375" style="125" customWidth="1"/>
    <col min="3693" max="3693" width="9.7109375" style="125" customWidth="1"/>
    <col min="3694" max="3695" width="3.7109375" style="125" customWidth="1"/>
    <col min="3696" max="3696" width="9.7109375" style="125" customWidth="1"/>
    <col min="3697" max="3698" width="3.7109375" style="125" customWidth="1"/>
    <col min="3699" max="3699" width="9.7109375" style="125" customWidth="1"/>
    <col min="3700" max="3701" width="3.7109375" style="125" customWidth="1"/>
    <col min="3702" max="3702" width="9.7109375" style="125" customWidth="1"/>
    <col min="3703" max="3704" width="3.7109375" style="125" customWidth="1"/>
    <col min="3705" max="3705" width="9.7109375" style="125" customWidth="1"/>
    <col min="3706" max="3707" width="3.7109375" style="125" customWidth="1"/>
    <col min="3708" max="3708" width="9.7109375" style="125" customWidth="1"/>
    <col min="3709" max="3710" width="3.7109375" style="125" customWidth="1"/>
    <col min="3711" max="3711" width="9.7109375" style="125" customWidth="1"/>
    <col min="3712" max="3713" width="3.7109375" style="125" customWidth="1"/>
    <col min="3714" max="3714" width="9.7109375" style="125" customWidth="1"/>
    <col min="3715" max="3716" width="3.7109375" style="125" customWidth="1"/>
    <col min="3717" max="3717" width="9.7109375" style="125" customWidth="1"/>
    <col min="3718" max="3719" width="3.7109375" style="125" customWidth="1"/>
    <col min="3720" max="3720" width="9.7109375" style="125" customWidth="1"/>
    <col min="3721" max="3722" width="3.7109375" style="125" customWidth="1"/>
    <col min="3723" max="3723" width="9.7109375" style="125" customWidth="1"/>
    <col min="3724" max="3725" width="3.7109375" style="125" customWidth="1"/>
    <col min="3726" max="3726" width="9.7109375" style="125" customWidth="1"/>
    <col min="3727" max="3728" width="3.7109375" style="125" customWidth="1"/>
    <col min="3729" max="3729" width="9.7109375" style="125" customWidth="1"/>
    <col min="3730" max="3730" width="3.7109375" style="125" customWidth="1"/>
    <col min="3731" max="3731" width="5.7109375" style="125" bestFit="1" customWidth="1"/>
    <col min="3732" max="3732" width="9.7109375" style="125" customWidth="1"/>
    <col min="3733" max="3734" width="3.7109375" style="125" customWidth="1"/>
    <col min="3735" max="3735" width="9.7109375" style="125" customWidth="1"/>
    <col min="3736" max="3737" width="3.7109375" style="125" customWidth="1"/>
    <col min="3738" max="3738" width="9.7109375" style="125" customWidth="1"/>
    <col min="3739" max="3740" width="3.7109375" style="125" customWidth="1"/>
    <col min="3741" max="3741" width="9.7109375" style="125" customWidth="1"/>
    <col min="3742" max="3743" width="3.7109375" style="125" customWidth="1"/>
    <col min="3744" max="3744" width="9.7109375" style="125" customWidth="1"/>
    <col min="3745" max="3746" width="3.7109375" style="125" customWidth="1"/>
    <col min="3747" max="3747" width="9.7109375" style="125" customWidth="1"/>
    <col min="3748" max="3748" width="3.7109375" style="125" customWidth="1"/>
    <col min="3749" max="3749" width="5.7109375" style="125" bestFit="1" customWidth="1"/>
    <col min="3750" max="3750" width="9.7109375" style="125" customWidth="1"/>
    <col min="3751" max="3752" width="3.7109375" style="125" customWidth="1"/>
    <col min="3753" max="3753" width="9.7109375" style="125" customWidth="1"/>
    <col min="3754" max="3755" width="3.7109375" style="125" customWidth="1"/>
    <col min="3756" max="3756" width="9.7109375" style="125" customWidth="1"/>
    <col min="3757" max="3758" width="3.7109375" style="125" customWidth="1"/>
    <col min="3759" max="3759" width="9.7109375" style="125" customWidth="1"/>
    <col min="3760" max="3761" width="3.7109375" style="125" customWidth="1"/>
    <col min="3762" max="3762" width="9.7109375" style="125" customWidth="1"/>
    <col min="3763" max="3764" width="3.7109375" style="125" customWidth="1"/>
    <col min="3765" max="3765" width="9.7109375" style="125" customWidth="1"/>
    <col min="3766" max="3767" width="3.7109375" style="125" customWidth="1"/>
    <col min="3768" max="3768" width="9.7109375" style="125" customWidth="1"/>
    <col min="3769" max="3770" width="3.7109375" style="125" customWidth="1"/>
    <col min="3771" max="3771" width="9.7109375" style="125" customWidth="1"/>
    <col min="3772" max="3773" width="3.7109375" style="125" customWidth="1"/>
    <col min="3774" max="3774" width="9.7109375" style="125" customWidth="1"/>
    <col min="3775" max="3776" width="3.7109375" style="125" customWidth="1"/>
    <col min="3777" max="3777" width="9.7109375" style="125" customWidth="1"/>
    <col min="3778" max="3779" width="3.7109375" style="125" customWidth="1"/>
    <col min="3780" max="3780" width="9.7109375" style="125" customWidth="1"/>
    <col min="3781" max="3782" width="3.7109375" style="125" customWidth="1"/>
    <col min="3783" max="3783" width="9.7109375" style="125" customWidth="1"/>
    <col min="3784" max="3785" width="3.7109375" style="125" customWidth="1"/>
    <col min="3786" max="3786" width="9.7109375" style="125" customWidth="1"/>
    <col min="3787" max="3788" width="3.7109375" style="125" customWidth="1"/>
    <col min="3789" max="3789" width="9.7109375" style="125" customWidth="1"/>
    <col min="3790" max="3791" width="3.7109375" style="125" customWidth="1"/>
    <col min="3792" max="3792" width="9.7109375" style="125" customWidth="1"/>
    <col min="3793" max="3794" width="3.7109375" style="125" customWidth="1"/>
    <col min="3795" max="3795" width="9.7109375" style="125" customWidth="1"/>
    <col min="3796" max="3797" width="3.7109375" style="125" customWidth="1"/>
    <col min="3798" max="3798" width="9.7109375" style="125" customWidth="1"/>
    <col min="3799" max="3800" width="3.7109375" style="125" customWidth="1"/>
    <col min="3801" max="3801" width="9.7109375" style="125" customWidth="1"/>
    <col min="3802" max="3803" width="3.7109375" style="125" customWidth="1"/>
    <col min="3804" max="3804" width="9.7109375" style="125" customWidth="1"/>
    <col min="3805" max="3806" width="3.7109375" style="125" customWidth="1"/>
    <col min="3807" max="3807" width="9.7109375" style="125" customWidth="1"/>
    <col min="3808" max="3809" width="3.7109375" style="125" customWidth="1"/>
    <col min="3810" max="3810" width="9.7109375" style="125" customWidth="1"/>
    <col min="3811" max="3812" width="3.7109375" style="125" customWidth="1"/>
    <col min="3813" max="3813" width="9.7109375" style="125" customWidth="1"/>
    <col min="3814" max="3815" width="3.7109375" style="125" customWidth="1"/>
    <col min="3816" max="3816" width="9.7109375" style="125" customWidth="1"/>
    <col min="3817" max="3818" width="3.7109375" style="125" customWidth="1"/>
    <col min="3819" max="3819" width="9.7109375" style="125" customWidth="1"/>
    <col min="3820" max="3821" width="3.7109375" style="125" customWidth="1"/>
    <col min="3822" max="3822" width="9.7109375" style="125" customWidth="1"/>
    <col min="3823" max="3824" width="3.7109375" style="125" customWidth="1"/>
    <col min="3825" max="3825" width="9.7109375" style="125" customWidth="1"/>
    <col min="3826" max="3827" width="3.7109375" style="125" customWidth="1"/>
    <col min="3828" max="3828" width="9.7109375" style="125" customWidth="1"/>
    <col min="3829" max="3830" width="3.7109375" style="125" customWidth="1"/>
    <col min="3831" max="3831" width="9.7109375" style="125" customWidth="1"/>
    <col min="3832" max="3833" width="3.7109375" style="125" customWidth="1"/>
    <col min="3834" max="3834" width="9.7109375" style="125" customWidth="1"/>
    <col min="3835" max="3836" width="3.7109375" style="125" customWidth="1"/>
    <col min="3837" max="3837" width="9.7109375" style="125" customWidth="1"/>
    <col min="3838" max="3838" width="3.7109375" style="125" customWidth="1"/>
    <col min="3839" max="3840" width="8" style="125"/>
    <col min="3841" max="3841" width="30.7109375" style="125" customWidth="1"/>
    <col min="3842" max="3842" width="9.7109375" style="125" customWidth="1"/>
    <col min="3843" max="3843" width="3.7109375" style="125" customWidth="1"/>
    <col min="3844" max="3844" width="9.7109375" style="125" customWidth="1"/>
    <col min="3845" max="3846" width="3.7109375" style="125" customWidth="1"/>
    <col min="3847" max="3847" width="9.7109375" style="125" customWidth="1"/>
    <col min="3848" max="3849" width="3.7109375" style="125" customWidth="1"/>
    <col min="3850" max="3850" width="9.7109375" style="125" customWidth="1"/>
    <col min="3851" max="3852" width="3.7109375" style="125" customWidth="1"/>
    <col min="3853" max="3853" width="9.7109375" style="125" customWidth="1"/>
    <col min="3854" max="3855" width="3.7109375" style="125" customWidth="1"/>
    <col min="3856" max="3856" width="9.7109375" style="125" customWidth="1"/>
    <col min="3857" max="3858" width="3.7109375" style="125" customWidth="1"/>
    <col min="3859" max="3859" width="9.7109375" style="125" customWidth="1"/>
    <col min="3860" max="3861" width="3.7109375" style="125" customWidth="1"/>
    <col min="3862" max="3862" width="9.7109375" style="125" customWidth="1"/>
    <col min="3863" max="3864" width="3.7109375" style="125" customWidth="1"/>
    <col min="3865" max="3865" width="9.7109375" style="125" customWidth="1"/>
    <col min="3866" max="3867" width="3.7109375" style="125" customWidth="1"/>
    <col min="3868" max="3868" width="9.7109375" style="125" customWidth="1"/>
    <col min="3869" max="3870" width="3.7109375" style="125" customWidth="1"/>
    <col min="3871" max="3871" width="9.7109375" style="125" customWidth="1"/>
    <col min="3872" max="3873" width="3.7109375" style="125" customWidth="1"/>
    <col min="3874" max="3874" width="9.7109375" style="125" customWidth="1"/>
    <col min="3875" max="3876" width="3.7109375" style="125" customWidth="1"/>
    <col min="3877" max="3877" width="9.7109375" style="125" customWidth="1"/>
    <col min="3878" max="3879" width="3.7109375" style="125" customWidth="1"/>
    <col min="3880" max="3880" width="9.7109375" style="125" customWidth="1"/>
    <col min="3881" max="3882" width="3.7109375" style="125" customWidth="1"/>
    <col min="3883" max="3883" width="9.7109375" style="125" customWidth="1"/>
    <col min="3884" max="3885" width="3.7109375" style="125" customWidth="1"/>
    <col min="3886" max="3886" width="9.7109375" style="125" customWidth="1"/>
    <col min="3887" max="3888" width="3.7109375" style="125" customWidth="1"/>
    <col min="3889" max="3889" width="9.7109375" style="125" customWidth="1"/>
    <col min="3890" max="3891" width="3.7109375" style="125" customWidth="1"/>
    <col min="3892" max="3892" width="9.7109375" style="125" customWidth="1"/>
    <col min="3893" max="3894" width="3.7109375" style="125" customWidth="1"/>
    <col min="3895" max="3895" width="9.7109375" style="125" customWidth="1"/>
    <col min="3896" max="3897" width="3.7109375" style="125" customWidth="1"/>
    <col min="3898" max="3898" width="9.7109375" style="125" customWidth="1"/>
    <col min="3899" max="3900" width="3.7109375" style="125" customWidth="1"/>
    <col min="3901" max="3901" width="9.7109375" style="125" customWidth="1"/>
    <col min="3902" max="3903" width="3.7109375" style="125" customWidth="1"/>
    <col min="3904" max="3904" width="9.7109375" style="125" customWidth="1"/>
    <col min="3905" max="3906" width="3.7109375" style="125" customWidth="1"/>
    <col min="3907" max="3907" width="9.7109375" style="125" customWidth="1"/>
    <col min="3908" max="3909" width="3.7109375" style="125" customWidth="1"/>
    <col min="3910" max="3910" width="9.7109375" style="125" customWidth="1"/>
    <col min="3911" max="3912" width="3.7109375" style="125" customWidth="1"/>
    <col min="3913" max="3913" width="9.7109375" style="125" customWidth="1"/>
    <col min="3914" max="3915" width="3.7109375" style="125" customWidth="1"/>
    <col min="3916" max="3916" width="9.7109375" style="125" customWidth="1"/>
    <col min="3917" max="3918" width="3.7109375" style="125" customWidth="1"/>
    <col min="3919" max="3919" width="9.7109375" style="125" customWidth="1"/>
    <col min="3920" max="3921" width="3.7109375" style="125" customWidth="1"/>
    <col min="3922" max="3922" width="9.7109375" style="125" customWidth="1"/>
    <col min="3923" max="3924" width="3.7109375" style="125" customWidth="1"/>
    <col min="3925" max="3925" width="9.7109375" style="125" customWidth="1"/>
    <col min="3926" max="3927" width="3.7109375" style="125" customWidth="1"/>
    <col min="3928" max="3928" width="9.7109375" style="125" customWidth="1"/>
    <col min="3929" max="3930" width="3.7109375" style="125" customWidth="1"/>
    <col min="3931" max="3931" width="9.7109375" style="125" customWidth="1"/>
    <col min="3932" max="3933" width="3.7109375" style="125" customWidth="1"/>
    <col min="3934" max="3934" width="9.7109375" style="125" customWidth="1"/>
    <col min="3935" max="3936" width="3.7109375" style="125" customWidth="1"/>
    <col min="3937" max="3937" width="9.7109375" style="125" customWidth="1"/>
    <col min="3938" max="3939" width="3.7109375" style="125" customWidth="1"/>
    <col min="3940" max="3940" width="9.7109375" style="125" customWidth="1"/>
    <col min="3941" max="3942" width="3.7109375" style="125" customWidth="1"/>
    <col min="3943" max="3943" width="9.7109375" style="125" customWidth="1"/>
    <col min="3944" max="3945" width="3.7109375" style="125" customWidth="1"/>
    <col min="3946" max="3946" width="9.7109375" style="125" customWidth="1"/>
    <col min="3947" max="3948" width="3.7109375" style="125" customWidth="1"/>
    <col min="3949" max="3949" width="9.7109375" style="125" customWidth="1"/>
    <col min="3950" max="3951" width="3.7109375" style="125" customWidth="1"/>
    <col min="3952" max="3952" width="9.7109375" style="125" customWidth="1"/>
    <col min="3953" max="3954" width="3.7109375" style="125" customWidth="1"/>
    <col min="3955" max="3955" width="9.7109375" style="125" customWidth="1"/>
    <col min="3956" max="3957" width="3.7109375" style="125" customWidth="1"/>
    <col min="3958" max="3958" width="9.7109375" style="125" customWidth="1"/>
    <col min="3959" max="3960" width="3.7109375" style="125" customWidth="1"/>
    <col min="3961" max="3961" width="9.7109375" style="125" customWidth="1"/>
    <col min="3962" max="3963" width="3.7109375" style="125" customWidth="1"/>
    <col min="3964" max="3964" width="9.7109375" style="125" customWidth="1"/>
    <col min="3965" max="3966" width="3.7109375" style="125" customWidth="1"/>
    <col min="3967" max="3967" width="9.7109375" style="125" customWidth="1"/>
    <col min="3968" max="3969" width="3.7109375" style="125" customWidth="1"/>
    <col min="3970" max="3970" width="9.7109375" style="125" customWidth="1"/>
    <col min="3971" max="3972" width="3.7109375" style="125" customWidth="1"/>
    <col min="3973" max="3973" width="9.7109375" style="125" customWidth="1"/>
    <col min="3974" max="3975" width="3.7109375" style="125" customWidth="1"/>
    <col min="3976" max="3976" width="9.7109375" style="125" customWidth="1"/>
    <col min="3977" max="3978" width="3.7109375" style="125" customWidth="1"/>
    <col min="3979" max="3979" width="9.7109375" style="125" customWidth="1"/>
    <col min="3980" max="3981" width="3.7109375" style="125" customWidth="1"/>
    <col min="3982" max="3982" width="9.7109375" style="125" customWidth="1"/>
    <col min="3983" max="3984" width="3.7109375" style="125" customWidth="1"/>
    <col min="3985" max="3985" width="9.7109375" style="125" customWidth="1"/>
    <col min="3986" max="3986" width="3.7109375" style="125" customWidth="1"/>
    <col min="3987" max="3987" width="5.7109375" style="125" bestFit="1" customWidth="1"/>
    <col min="3988" max="3988" width="9.7109375" style="125" customWidth="1"/>
    <col min="3989" max="3990" width="3.7109375" style="125" customWidth="1"/>
    <col min="3991" max="3991" width="9.7109375" style="125" customWidth="1"/>
    <col min="3992" max="3993" width="3.7109375" style="125" customWidth="1"/>
    <col min="3994" max="3994" width="9.7109375" style="125" customWidth="1"/>
    <col min="3995" max="3996" width="3.7109375" style="125" customWidth="1"/>
    <col min="3997" max="3997" width="9.7109375" style="125" customWidth="1"/>
    <col min="3998" max="3999" width="3.7109375" style="125" customWidth="1"/>
    <col min="4000" max="4000" width="9.7109375" style="125" customWidth="1"/>
    <col min="4001" max="4002" width="3.7109375" style="125" customWidth="1"/>
    <col min="4003" max="4003" width="9.7109375" style="125" customWidth="1"/>
    <col min="4004" max="4004" width="3.7109375" style="125" customWidth="1"/>
    <col min="4005" max="4005" width="5.7109375" style="125" bestFit="1" customWidth="1"/>
    <col min="4006" max="4006" width="9.7109375" style="125" customWidth="1"/>
    <col min="4007" max="4008" width="3.7109375" style="125" customWidth="1"/>
    <col min="4009" max="4009" width="9.7109375" style="125" customWidth="1"/>
    <col min="4010" max="4011" width="3.7109375" style="125" customWidth="1"/>
    <col min="4012" max="4012" width="9.7109375" style="125" customWidth="1"/>
    <col min="4013" max="4014" width="3.7109375" style="125" customWidth="1"/>
    <col min="4015" max="4015" width="9.7109375" style="125" customWidth="1"/>
    <col min="4016" max="4017" width="3.7109375" style="125" customWidth="1"/>
    <col min="4018" max="4018" width="9.7109375" style="125" customWidth="1"/>
    <col min="4019" max="4020" width="3.7109375" style="125" customWidth="1"/>
    <col min="4021" max="4021" width="9.7109375" style="125" customWidth="1"/>
    <col min="4022" max="4023" width="3.7109375" style="125" customWidth="1"/>
    <col min="4024" max="4024" width="9.7109375" style="125" customWidth="1"/>
    <col min="4025" max="4026" width="3.7109375" style="125" customWidth="1"/>
    <col min="4027" max="4027" width="9.7109375" style="125" customWidth="1"/>
    <col min="4028" max="4029" width="3.7109375" style="125" customWidth="1"/>
    <col min="4030" max="4030" width="9.7109375" style="125" customWidth="1"/>
    <col min="4031" max="4032" width="3.7109375" style="125" customWidth="1"/>
    <col min="4033" max="4033" width="9.7109375" style="125" customWidth="1"/>
    <col min="4034" max="4035" width="3.7109375" style="125" customWidth="1"/>
    <col min="4036" max="4036" width="9.7109375" style="125" customWidth="1"/>
    <col min="4037" max="4038" width="3.7109375" style="125" customWidth="1"/>
    <col min="4039" max="4039" width="9.7109375" style="125" customWidth="1"/>
    <col min="4040" max="4041" width="3.7109375" style="125" customWidth="1"/>
    <col min="4042" max="4042" width="9.7109375" style="125" customWidth="1"/>
    <col min="4043" max="4044" width="3.7109375" style="125" customWidth="1"/>
    <col min="4045" max="4045" width="9.7109375" style="125" customWidth="1"/>
    <col min="4046" max="4047" width="3.7109375" style="125" customWidth="1"/>
    <col min="4048" max="4048" width="9.7109375" style="125" customWidth="1"/>
    <col min="4049" max="4050" width="3.7109375" style="125" customWidth="1"/>
    <col min="4051" max="4051" width="9.7109375" style="125" customWidth="1"/>
    <col min="4052" max="4053" width="3.7109375" style="125" customWidth="1"/>
    <col min="4054" max="4054" width="9.7109375" style="125" customWidth="1"/>
    <col min="4055" max="4056" width="3.7109375" style="125" customWidth="1"/>
    <col min="4057" max="4057" width="9.7109375" style="125" customWidth="1"/>
    <col min="4058" max="4059" width="3.7109375" style="125" customWidth="1"/>
    <col min="4060" max="4060" width="9.7109375" style="125" customWidth="1"/>
    <col min="4061" max="4062" width="3.7109375" style="125" customWidth="1"/>
    <col min="4063" max="4063" width="9.7109375" style="125" customWidth="1"/>
    <col min="4064" max="4065" width="3.7109375" style="125" customWidth="1"/>
    <col min="4066" max="4066" width="9.7109375" style="125" customWidth="1"/>
    <col min="4067" max="4068" width="3.7109375" style="125" customWidth="1"/>
    <col min="4069" max="4069" width="9.7109375" style="125" customWidth="1"/>
    <col min="4070" max="4071" width="3.7109375" style="125" customWidth="1"/>
    <col min="4072" max="4072" width="9.7109375" style="125" customWidth="1"/>
    <col min="4073" max="4074" width="3.7109375" style="125" customWidth="1"/>
    <col min="4075" max="4075" width="9.7109375" style="125" customWidth="1"/>
    <col min="4076" max="4077" width="3.7109375" style="125" customWidth="1"/>
    <col min="4078" max="4078" width="9.7109375" style="125" customWidth="1"/>
    <col min="4079" max="4080" width="3.7109375" style="125" customWidth="1"/>
    <col min="4081" max="4081" width="9.7109375" style="125" customWidth="1"/>
    <col min="4082" max="4083" width="3.7109375" style="125" customWidth="1"/>
    <col min="4084" max="4084" width="9.7109375" style="125" customWidth="1"/>
    <col min="4085" max="4086" width="3.7109375" style="125" customWidth="1"/>
    <col min="4087" max="4087" width="9.7109375" style="125" customWidth="1"/>
    <col min="4088" max="4089" width="3.7109375" style="125" customWidth="1"/>
    <col min="4090" max="4090" width="9.7109375" style="125" customWidth="1"/>
    <col min="4091" max="4092" width="3.7109375" style="125" customWidth="1"/>
    <col min="4093" max="4093" width="9.7109375" style="125" customWidth="1"/>
    <col min="4094" max="4094" width="3.7109375" style="125" customWidth="1"/>
    <col min="4095" max="4096" width="8" style="125"/>
    <col min="4097" max="4097" width="30.7109375" style="125" customWidth="1"/>
    <col min="4098" max="4098" width="9.7109375" style="125" customWidth="1"/>
    <col min="4099" max="4099" width="3.7109375" style="125" customWidth="1"/>
    <col min="4100" max="4100" width="9.7109375" style="125" customWidth="1"/>
    <col min="4101" max="4102" width="3.7109375" style="125" customWidth="1"/>
    <col min="4103" max="4103" width="9.7109375" style="125" customWidth="1"/>
    <col min="4104" max="4105" width="3.7109375" style="125" customWidth="1"/>
    <col min="4106" max="4106" width="9.7109375" style="125" customWidth="1"/>
    <col min="4107" max="4108" width="3.7109375" style="125" customWidth="1"/>
    <col min="4109" max="4109" width="9.7109375" style="125" customWidth="1"/>
    <col min="4110" max="4111" width="3.7109375" style="125" customWidth="1"/>
    <col min="4112" max="4112" width="9.7109375" style="125" customWidth="1"/>
    <col min="4113" max="4114" width="3.7109375" style="125" customWidth="1"/>
    <col min="4115" max="4115" width="9.7109375" style="125" customWidth="1"/>
    <col min="4116" max="4117" width="3.7109375" style="125" customWidth="1"/>
    <col min="4118" max="4118" width="9.7109375" style="125" customWidth="1"/>
    <col min="4119" max="4120" width="3.7109375" style="125" customWidth="1"/>
    <col min="4121" max="4121" width="9.7109375" style="125" customWidth="1"/>
    <col min="4122" max="4123" width="3.7109375" style="125" customWidth="1"/>
    <col min="4124" max="4124" width="9.7109375" style="125" customWidth="1"/>
    <col min="4125" max="4126" width="3.7109375" style="125" customWidth="1"/>
    <col min="4127" max="4127" width="9.7109375" style="125" customWidth="1"/>
    <col min="4128" max="4129" width="3.7109375" style="125" customWidth="1"/>
    <col min="4130" max="4130" width="9.7109375" style="125" customWidth="1"/>
    <col min="4131" max="4132" width="3.7109375" style="125" customWidth="1"/>
    <col min="4133" max="4133" width="9.7109375" style="125" customWidth="1"/>
    <col min="4134" max="4135" width="3.7109375" style="125" customWidth="1"/>
    <col min="4136" max="4136" width="9.7109375" style="125" customWidth="1"/>
    <col min="4137" max="4138" width="3.7109375" style="125" customWidth="1"/>
    <col min="4139" max="4139" width="9.7109375" style="125" customWidth="1"/>
    <col min="4140" max="4141" width="3.7109375" style="125" customWidth="1"/>
    <col min="4142" max="4142" width="9.7109375" style="125" customWidth="1"/>
    <col min="4143" max="4144" width="3.7109375" style="125" customWidth="1"/>
    <col min="4145" max="4145" width="9.7109375" style="125" customWidth="1"/>
    <col min="4146" max="4147" width="3.7109375" style="125" customWidth="1"/>
    <col min="4148" max="4148" width="9.7109375" style="125" customWidth="1"/>
    <col min="4149" max="4150" width="3.7109375" style="125" customWidth="1"/>
    <col min="4151" max="4151" width="9.7109375" style="125" customWidth="1"/>
    <col min="4152" max="4153" width="3.7109375" style="125" customWidth="1"/>
    <col min="4154" max="4154" width="9.7109375" style="125" customWidth="1"/>
    <col min="4155" max="4156" width="3.7109375" style="125" customWidth="1"/>
    <col min="4157" max="4157" width="9.7109375" style="125" customWidth="1"/>
    <col min="4158" max="4159" width="3.7109375" style="125" customWidth="1"/>
    <col min="4160" max="4160" width="9.7109375" style="125" customWidth="1"/>
    <col min="4161" max="4162" width="3.7109375" style="125" customWidth="1"/>
    <col min="4163" max="4163" width="9.7109375" style="125" customWidth="1"/>
    <col min="4164" max="4165" width="3.7109375" style="125" customWidth="1"/>
    <col min="4166" max="4166" width="9.7109375" style="125" customWidth="1"/>
    <col min="4167" max="4168" width="3.7109375" style="125" customWidth="1"/>
    <col min="4169" max="4169" width="9.7109375" style="125" customWidth="1"/>
    <col min="4170" max="4171" width="3.7109375" style="125" customWidth="1"/>
    <col min="4172" max="4172" width="9.7109375" style="125" customWidth="1"/>
    <col min="4173" max="4174" width="3.7109375" style="125" customWidth="1"/>
    <col min="4175" max="4175" width="9.7109375" style="125" customWidth="1"/>
    <col min="4176" max="4177" width="3.7109375" style="125" customWidth="1"/>
    <col min="4178" max="4178" width="9.7109375" style="125" customWidth="1"/>
    <col min="4179" max="4180" width="3.7109375" style="125" customWidth="1"/>
    <col min="4181" max="4181" width="9.7109375" style="125" customWidth="1"/>
    <col min="4182" max="4183" width="3.7109375" style="125" customWidth="1"/>
    <col min="4184" max="4184" width="9.7109375" style="125" customWidth="1"/>
    <col min="4185" max="4186" width="3.7109375" style="125" customWidth="1"/>
    <col min="4187" max="4187" width="9.7109375" style="125" customWidth="1"/>
    <col min="4188" max="4189" width="3.7109375" style="125" customWidth="1"/>
    <col min="4190" max="4190" width="9.7109375" style="125" customWidth="1"/>
    <col min="4191" max="4192" width="3.7109375" style="125" customWidth="1"/>
    <col min="4193" max="4193" width="9.7109375" style="125" customWidth="1"/>
    <col min="4194" max="4195" width="3.7109375" style="125" customWidth="1"/>
    <col min="4196" max="4196" width="9.7109375" style="125" customWidth="1"/>
    <col min="4197" max="4198" width="3.7109375" style="125" customWidth="1"/>
    <col min="4199" max="4199" width="9.7109375" style="125" customWidth="1"/>
    <col min="4200" max="4201" width="3.7109375" style="125" customWidth="1"/>
    <col min="4202" max="4202" width="9.7109375" style="125" customWidth="1"/>
    <col min="4203" max="4204" width="3.7109375" style="125" customWidth="1"/>
    <col min="4205" max="4205" width="9.7109375" style="125" customWidth="1"/>
    <col min="4206" max="4207" width="3.7109375" style="125" customWidth="1"/>
    <col min="4208" max="4208" width="9.7109375" style="125" customWidth="1"/>
    <col min="4209" max="4210" width="3.7109375" style="125" customWidth="1"/>
    <col min="4211" max="4211" width="9.7109375" style="125" customWidth="1"/>
    <col min="4212" max="4213" width="3.7109375" style="125" customWidth="1"/>
    <col min="4214" max="4214" width="9.7109375" style="125" customWidth="1"/>
    <col min="4215" max="4216" width="3.7109375" style="125" customWidth="1"/>
    <col min="4217" max="4217" width="9.7109375" style="125" customWidth="1"/>
    <col min="4218" max="4219" width="3.7109375" style="125" customWidth="1"/>
    <col min="4220" max="4220" width="9.7109375" style="125" customWidth="1"/>
    <col min="4221" max="4222" width="3.7109375" style="125" customWidth="1"/>
    <col min="4223" max="4223" width="9.7109375" style="125" customWidth="1"/>
    <col min="4224" max="4225" width="3.7109375" style="125" customWidth="1"/>
    <col min="4226" max="4226" width="9.7109375" style="125" customWidth="1"/>
    <col min="4227" max="4228" width="3.7109375" style="125" customWidth="1"/>
    <col min="4229" max="4229" width="9.7109375" style="125" customWidth="1"/>
    <col min="4230" max="4231" width="3.7109375" style="125" customWidth="1"/>
    <col min="4232" max="4232" width="9.7109375" style="125" customWidth="1"/>
    <col min="4233" max="4234" width="3.7109375" style="125" customWidth="1"/>
    <col min="4235" max="4235" width="9.7109375" style="125" customWidth="1"/>
    <col min="4236" max="4237" width="3.7109375" style="125" customWidth="1"/>
    <col min="4238" max="4238" width="9.7109375" style="125" customWidth="1"/>
    <col min="4239" max="4240" width="3.7109375" style="125" customWidth="1"/>
    <col min="4241" max="4241" width="9.7109375" style="125" customWidth="1"/>
    <col min="4242" max="4242" width="3.7109375" style="125" customWidth="1"/>
    <col min="4243" max="4243" width="5.7109375" style="125" bestFit="1" customWidth="1"/>
    <col min="4244" max="4244" width="9.7109375" style="125" customWidth="1"/>
    <col min="4245" max="4246" width="3.7109375" style="125" customWidth="1"/>
    <col min="4247" max="4247" width="9.7109375" style="125" customWidth="1"/>
    <col min="4248" max="4249" width="3.7109375" style="125" customWidth="1"/>
    <col min="4250" max="4250" width="9.7109375" style="125" customWidth="1"/>
    <col min="4251" max="4252" width="3.7109375" style="125" customWidth="1"/>
    <col min="4253" max="4253" width="9.7109375" style="125" customWidth="1"/>
    <col min="4254" max="4255" width="3.7109375" style="125" customWidth="1"/>
    <col min="4256" max="4256" width="9.7109375" style="125" customWidth="1"/>
    <col min="4257" max="4258" width="3.7109375" style="125" customWidth="1"/>
    <col min="4259" max="4259" width="9.7109375" style="125" customWidth="1"/>
    <col min="4260" max="4260" width="3.7109375" style="125" customWidth="1"/>
    <col min="4261" max="4261" width="5.7109375" style="125" bestFit="1" customWidth="1"/>
    <col min="4262" max="4262" width="9.7109375" style="125" customWidth="1"/>
    <col min="4263" max="4264" width="3.7109375" style="125" customWidth="1"/>
    <col min="4265" max="4265" width="9.7109375" style="125" customWidth="1"/>
    <col min="4266" max="4267" width="3.7109375" style="125" customWidth="1"/>
    <col min="4268" max="4268" width="9.7109375" style="125" customWidth="1"/>
    <col min="4269" max="4270" width="3.7109375" style="125" customWidth="1"/>
    <col min="4271" max="4271" width="9.7109375" style="125" customWidth="1"/>
    <col min="4272" max="4273" width="3.7109375" style="125" customWidth="1"/>
    <col min="4274" max="4274" width="9.7109375" style="125" customWidth="1"/>
    <col min="4275" max="4276" width="3.7109375" style="125" customWidth="1"/>
    <col min="4277" max="4277" width="9.7109375" style="125" customWidth="1"/>
    <col min="4278" max="4279" width="3.7109375" style="125" customWidth="1"/>
    <col min="4280" max="4280" width="9.7109375" style="125" customWidth="1"/>
    <col min="4281" max="4282" width="3.7109375" style="125" customWidth="1"/>
    <col min="4283" max="4283" width="9.7109375" style="125" customWidth="1"/>
    <col min="4284" max="4285" width="3.7109375" style="125" customWidth="1"/>
    <col min="4286" max="4286" width="9.7109375" style="125" customWidth="1"/>
    <col min="4287" max="4288" width="3.7109375" style="125" customWidth="1"/>
    <col min="4289" max="4289" width="9.7109375" style="125" customWidth="1"/>
    <col min="4290" max="4291" width="3.7109375" style="125" customWidth="1"/>
    <col min="4292" max="4292" width="9.7109375" style="125" customWidth="1"/>
    <col min="4293" max="4294" width="3.7109375" style="125" customWidth="1"/>
    <col min="4295" max="4295" width="9.7109375" style="125" customWidth="1"/>
    <col min="4296" max="4297" width="3.7109375" style="125" customWidth="1"/>
    <col min="4298" max="4298" width="9.7109375" style="125" customWidth="1"/>
    <col min="4299" max="4300" width="3.7109375" style="125" customWidth="1"/>
    <col min="4301" max="4301" width="9.7109375" style="125" customWidth="1"/>
    <col min="4302" max="4303" width="3.7109375" style="125" customWidth="1"/>
    <col min="4304" max="4304" width="9.7109375" style="125" customWidth="1"/>
    <col min="4305" max="4306" width="3.7109375" style="125" customWidth="1"/>
    <col min="4307" max="4307" width="9.7109375" style="125" customWidth="1"/>
    <col min="4308" max="4309" width="3.7109375" style="125" customWidth="1"/>
    <col min="4310" max="4310" width="9.7109375" style="125" customWidth="1"/>
    <col min="4311" max="4312" width="3.7109375" style="125" customWidth="1"/>
    <col min="4313" max="4313" width="9.7109375" style="125" customWidth="1"/>
    <col min="4314" max="4315" width="3.7109375" style="125" customWidth="1"/>
    <col min="4316" max="4316" width="9.7109375" style="125" customWidth="1"/>
    <col min="4317" max="4318" width="3.7109375" style="125" customWidth="1"/>
    <col min="4319" max="4319" width="9.7109375" style="125" customWidth="1"/>
    <col min="4320" max="4321" width="3.7109375" style="125" customWidth="1"/>
    <col min="4322" max="4322" width="9.7109375" style="125" customWidth="1"/>
    <col min="4323" max="4324" width="3.7109375" style="125" customWidth="1"/>
    <col min="4325" max="4325" width="9.7109375" style="125" customWidth="1"/>
    <col min="4326" max="4327" width="3.7109375" style="125" customWidth="1"/>
    <col min="4328" max="4328" width="9.7109375" style="125" customWidth="1"/>
    <col min="4329" max="4330" width="3.7109375" style="125" customWidth="1"/>
    <col min="4331" max="4331" width="9.7109375" style="125" customWidth="1"/>
    <col min="4332" max="4333" width="3.7109375" style="125" customWidth="1"/>
    <col min="4334" max="4334" width="9.7109375" style="125" customWidth="1"/>
    <col min="4335" max="4336" width="3.7109375" style="125" customWidth="1"/>
    <col min="4337" max="4337" width="9.7109375" style="125" customWidth="1"/>
    <col min="4338" max="4339" width="3.7109375" style="125" customWidth="1"/>
    <col min="4340" max="4340" width="9.7109375" style="125" customWidth="1"/>
    <col min="4341" max="4342" width="3.7109375" style="125" customWidth="1"/>
    <col min="4343" max="4343" width="9.7109375" style="125" customWidth="1"/>
    <col min="4344" max="4345" width="3.7109375" style="125" customWidth="1"/>
    <col min="4346" max="4346" width="9.7109375" style="125" customWidth="1"/>
    <col min="4347" max="4348" width="3.7109375" style="125" customWidth="1"/>
    <col min="4349" max="4349" width="9.7109375" style="125" customWidth="1"/>
    <col min="4350" max="4350" width="3.7109375" style="125" customWidth="1"/>
    <col min="4351" max="4352" width="8" style="125"/>
    <col min="4353" max="4353" width="30.7109375" style="125" customWidth="1"/>
    <col min="4354" max="4354" width="9.7109375" style="125" customWidth="1"/>
    <col min="4355" max="4355" width="3.7109375" style="125" customWidth="1"/>
    <col min="4356" max="4356" width="9.7109375" style="125" customWidth="1"/>
    <col min="4357" max="4358" width="3.7109375" style="125" customWidth="1"/>
    <col min="4359" max="4359" width="9.7109375" style="125" customWidth="1"/>
    <col min="4360" max="4361" width="3.7109375" style="125" customWidth="1"/>
    <col min="4362" max="4362" width="9.7109375" style="125" customWidth="1"/>
    <col min="4363" max="4364" width="3.7109375" style="125" customWidth="1"/>
    <col min="4365" max="4365" width="9.7109375" style="125" customWidth="1"/>
    <col min="4366" max="4367" width="3.7109375" style="125" customWidth="1"/>
    <col min="4368" max="4368" width="9.7109375" style="125" customWidth="1"/>
    <col min="4369" max="4370" width="3.7109375" style="125" customWidth="1"/>
    <col min="4371" max="4371" width="9.7109375" style="125" customWidth="1"/>
    <col min="4372" max="4373" width="3.7109375" style="125" customWidth="1"/>
    <col min="4374" max="4374" width="9.7109375" style="125" customWidth="1"/>
    <col min="4375" max="4376" width="3.7109375" style="125" customWidth="1"/>
    <col min="4377" max="4377" width="9.7109375" style="125" customWidth="1"/>
    <col min="4378" max="4379" width="3.7109375" style="125" customWidth="1"/>
    <col min="4380" max="4380" width="9.7109375" style="125" customWidth="1"/>
    <col min="4381" max="4382" width="3.7109375" style="125" customWidth="1"/>
    <col min="4383" max="4383" width="9.7109375" style="125" customWidth="1"/>
    <col min="4384" max="4385" width="3.7109375" style="125" customWidth="1"/>
    <col min="4386" max="4386" width="9.7109375" style="125" customWidth="1"/>
    <col min="4387" max="4388" width="3.7109375" style="125" customWidth="1"/>
    <col min="4389" max="4389" width="9.7109375" style="125" customWidth="1"/>
    <col min="4390" max="4391" width="3.7109375" style="125" customWidth="1"/>
    <col min="4392" max="4392" width="9.7109375" style="125" customWidth="1"/>
    <col min="4393" max="4394" width="3.7109375" style="125" customWidth="1"/>
    <col min="4395" max="4395" width="9.7109375" style="125" customWidth="1"/>
    <col min="4396" max="4397" width="3.7109375" style="125" customWidth="1"/>
    <col min="4398" max="4398" width="9.7109375" style="125" customWidth="1"/>
    <col min="4399" max="4400" width="3.7109375" style="125" customWidth="1"/>
    <col min="4401" max="4401" width="9.7109375" style="125" customWidth="1"/>
    <col min="4402" max="4403" width="3.7109375" style="125" customWidth="1"/>
    <col min="4404" max="4404" width="9.7109375" style="125" customWidth="1"/>
    <col min="4405" max="4406" width="3.7109375" style="125" customWidth="1"/>
    <col min="4407" max="4407" width="9.7109375" style="125" customWidth="1"/>
    <col min="4408" max="4409" width="3.7109375" style="125" customWidth="1"/>
    <col min="4410" max="4410" width="9.7109375" style="125" customWidth="1"/>
    <col min="4411" max="4412" width="3.7109375" style="125" customWidth="1"/>
    <col min="4413" max="4413" width="9.7109375" style="125" customWidth="1"/>
    <col min="4414" max="4415" width="3.7109375" style="125" customWidth="1"/>
    <col min="4416" max="4416" width="9.7109375" style="125" customWidth="1"/>
    <col min="4417" max="4418" width="3.7109375" style="125" customWidth="1"/>
    <col min="4419" max="4419" width="9.7109375" style="125" customWidth="1"/>
    <col min="4420" max="4421" width="3.7109375" style="125" customWidth="1"/>
    <col min="4422" max="4422" width="9.7109375" style="125" customWidth="1"/>
    <col min="4423" max="4424" width="3.7109375" style="125" customWidth="1"/>
    <col min="4425" max="4425" width="9.7109375" style="125" customWidth="1"/>
    <col min="4426" max="4427" width="3.7109375" style="125" customWidth="1"/>
    <col min="4428" max="4428" width="9.7109375" style="125" customWidth="1"/>
    <col min="4429" max="4430" width="3.7109375" style="125" customWidth="1"/>
    <col min="4431" max="4431" width="9.7109375" style="125" customWidth="1"/>
    <col min="4432" max="4433" width="3.7109375" style="125" customWidth="1"/>
    <col min="4434" max="4434" width="9.7109375" style="125" customWidth="1"/>
    <col min="4435" max="4436" width="3.7109375" style="125" customWidth="1"/>
    <col min="4437" max="4437" width="9.7109375" style="125" customWidth="1"/>
    <col min="4438" max="4439" width="3.7109375" style="125" customWidth="1"/>
    <col min="4440" max="4440" width="9.7109375" style="125" customWidth="1"/>
    <col min="4441" max="4442" width="3.7109375" style="125" customWidth="1"/>
    <col min="4443" max="4443" width="9.7109375" style="125" customWidth="1"/>
    <col min="4444" max="4445" width="3.7109375" style="125" customWidth="1"/>
    <col min="4446" max="4446" width="9.7109375" style="125" customWidth="1"/>
    <col min="4447" max="4448" width="3.7109375" style="125" customWidth="1"/>
    <col min="4449" max="4449" width="9.7109375" style="125" customWidth="1"/>
    <col min="4450" max="4451" width="3.7109375" style="125" customWidth="1"/>
    <col min="4452" max="4452" width="9.7109375" style="125" customWidth="1"/>
    <col min="4453" max="4454" width="3.7109375" style="125" customWidth="1"/>
    <col min="4455" max="4455" width="9.7109375" style="125" customWidth="1"/>
    <col min="4456" max="4457" width="3.7109375" style="125" customWidth="1"/>
    <col min="4458" max="4458" width="9.7109375" style="125" customWidth="1"/>
    <col min="4459" max="4460" width="3.7109375" style="125" customWidth="1"/>
    <col min="4461" max="4461" width="9.7109375" style="125" customWidth="1"/>
    <col min="4462" max="4463" width="3.7109375" style="125" customWidth="1"/>
    <col min="4464" max="4464" width="9.7109375" style="125" customWidth="1"/>
    <col min="4465" max="4466" width="3.7109375" style="125" customWidth="1"/>
    <col min="4467" max="4467" width="9.7109375" style="125" customWidth="1"/>
    <col min="4468" max="4469" width="3.7109375" style="125" customWidth="1"/>
    <col min="4470" max="4470" width="9.7109375" style="125" customWidth="1"/>
    <col min="4471" max="4472" width="3.7109375" style="125" customWidth="1"/>
    <col min="4473" max="4473" width="9.7109375" style="125" customWidth="1"/>
    <col min="4474" max="4475" width="3.7109375" style="125" customWidth="1"/>
    <col min="4476" max="4476" width="9.7109375" style="125" customWidth="1"/>
    <col min="4477" max="4478" width="3.7109375" style="125" customWidth="1"/>
    <col min="4479" max="4479" width="9.7109375" style="125" customWidth="1"/>
    <col min="4480" max="4481" width="3.7109375" style="125" customWidth="1"/>
    <col min="4482" max="4482" width="9.7109375" style="125" customWidth="1"/>
    <col min="4483" max="4484" width="3.7109375" style="125" customWidth="1"/>
    <col min="4485" max="4485" width="9.7109375" style="125" customWidth="1"/>
    <col min="4486" max="4487" width="3.7109375" style="125" customWidth="1"/>
    <col min="4488" max="4488" width="9.7109375" style="125" customWidth="1"/>
    <col min="4489" max="4490" width="3.7109375" style="125" customWidth="1"/>
    <col min="4491" max="4491" width="9.7109375" style="125" customWidth="1"/>
    <col min="4492" max="4493" width="3.7109375" style="125" customWidth="1"/>
    <col min="4494" max="4494" width="9.7109375" style="125" customWidth="1"/>
    <col min="4495" max="4496" width="3.7109375" style="125" customWidth="1"/>
    <col min="4497" max="4497" width="9.7109375" style="125" customWidth="1"/>
    <col min="4498" max="4498" width="3.7109375" style="125" customWidth="1"/>
    <col min="4499" max="4499" width="5.7109375" style="125" bestFit="1" customWidth="1"/>
    <col min="4500" max="4500" width="9.7109375" style="125" customWidth="1"/>
    <col min="4501" max="4502" width="3.7109375" style="125" customWidth="1"/>
    <col min="4503" max="4503" width="9.7109375" style="125" customWidth="1"/>
    <col min="4504" max="4505" width="3.7109375" style="125" customWidth="1"/>
    <col min="4506" max="4506" width="9.7109375" style="125" customWidth="1"/>
    <col min="4507" max="4508" width="3.7109375" style="125" customWidth="1"/>
    <col min="4509" max="4509" width="9.7109375" style="125" customWidth="1"/>
    <col min="4510" max="4511" width="3.7109375" style="125" customWidth="1"/>
    <col min="4512" max="4512" width="9.7109375" style="125" customWidth="1"/>
    <col min="4513" max="4514" width="3.7109375" style="125" customWidth="1"/>
    <col min="4515" max="4515" width="9.7109375" style="125" customWidth="1"/>
    <col min="4516" max="4516" width="3.7109375" style="125" customWidth="1"/>
    <col min="4517" max="4517" width="5.7109375" style="125" bestFit="1" customWidth="1"/>
    <col min="4518" max="4518" width="9.7109375" style="125" customWidth="1"/>
    <col min="4519" max="4520" width="3.7109375" style="125" customWidth="1"/>
    <col min="4521" max="4521" width="9.7109375" style="125" customWidth="1"/>
    <col min="4522" max="4523" width="3.7109375" style="125" customWidth="1"/>
    <col min="4524" max="4524" width="9.7109375" style="125" customWidth="1"/>
    <col min="4525" max="4526" width="3.7109375" style="125" customWidth="1"/>
    <col min="4527" max="4527" width="9.7109375" style="125" customWidth="1"/>
    <col min="4528" max="4529" width="3.7109375" style="125" customWidth="1"/>
    <col min="4530" max="4530" width="9.7109375" style="125" customWidth="1"/>
    <col min="4531" max="4532" width="3.7109375" style="125" customWidth="1"/>
    <col min="4533" max="4533" width="9.7109375" style="125" customWidth="1"/>
    <col min="4534" max="4535" width="3.7109375" style="125" customWidth="1"/>
    <col min="4536" max="4536" width="9.7109375" style="125" customWidth="1"/>
    <col min="4537" max="4538" width="3.7109375" style="125" customWidth="1"/>
    <col min="4539" max="4539" width="9.7109375" style="125" customWidth="1"/>
    <col min="4540" max="4541" width="3.7109375" style="125" customWidth="1"/>
    <col min="4542" max="4542" width="9.7109375" style="125" customWidth="1"/>
    <col min="4543" max="4544" width="3.7109375" style="125" customWidth="1"/>
    <col min="4545" max="4545" width="9.7109375" style="125" customWidth="1"/>
    <col min="4546" max="4547" width="3.7109375" style="125" customWidth="1"/>
    <col min="4548" max="4548" width="9.7109375" style="125" customWidth="1"/>
    <col min="4549" max="4550" width="3.7109375" style="125" customWidth="1"/>
    <col min="4551" max="4551" width="9.7109375" style="125" customWidth="1"/>
    <col min="4552" max="4553" width="3.7109375" style="125" customWidth="1"/>
    <col min="4554" max="4554" width="9.7109375" style="125" customWidth="1"/>
    <col min="4555" max="4556" width="3.7109375" style="125" customWidth="1"/>
    <col min="4557" max="4557" width="9.7109375" style="125" customWidth="1"/>
    <col min="4558" max="4559" width="3.7109375" style="125" customWidth="1"/>
    <col min="4560" max="4560" width="9.7109375" style="125" customWidth="1"/>
    <col min="4561" max="4562" width="3.7109375" style="125" customWidth="1"/>
    <col min="4563" max="4563" width="9.7109375" style="125" customWidth="1"/>
    <col min="4564" max="4565" width="3.7109375" style="125" customWidth="1"/>
    <col min="4566" max="4566" width="9.7109375" style="125" customWidth="1"/>
    <col min="4567" max="4568" width="3.7109375" style="125" customWidth="1"/>
    <col min="4569" max="4569" width="9.7109375" style="125" customWidth="1"/>
    <col min="4570" max="4571" width="3.7109375" style="125" customWidth="1"/>
    <col min="4572" max="4572" width="9.7109375" style="125" customWidth="1"/>
    <col min="4573" max="4574" width="3.7109375" style="125" customWidth="1"/>
    <col min="4575" max="4575" width="9.7109375" style="125" customWidth="1"/>
    <col min="4576" max="4577" width="3.7109375" style="125" customWidth="1"/>
    <col min="4578" max="4578" width="9.7109375" style="125" customWidth="1"/>
    <col min="4579" max="4580" width="3.7109375" style="125" customWidth="1"/>
    <col min="4581" max="4581" width="9.7109375" style="125" customWidth="1"/>
    <col min="4582" max="4583" width="3.7109375" style="125" customWidth="1"/>
    <col min="4584" max="4584" width="9.7109375" style="125" customWidth="1"/>
    <col min="4585" max="4586" width="3.7109375" style="125" customWidth="1"/>
    <col min="4587" max="4587" width="9.7109375" style="125" customWidth="1"/>
    <col min="4588" max="4589" width="3.7109375" style="125" customWidth="1"/>
    <col min="4590" max="4590" width="9.7109375" style="125" customWidth="1"/>
    <col min="4591" max="4592" width="3.7109375" style="125" customWidth="1"/>
    <col min="4593" max="4593" width="9.7109375" style="125" customWidth="1"/>
    <col min="4594" max="4595" width="3.7109375" style="125" customWidth="1"/>
    <col min="4596" max="4596" width="9.7109375" style="125" customWidth="1"/>
    <col min="4597" max="4598" width="3.7109375" style="125" customWidth="1"/>
    <col min="4599" max="4599" width="9.7109375" style="125" customWidth="1"/>
    <col min="4600" max="4601" width="3.7109375" style="125" customWidth="1"/>
    <col min="4602" max="4602" width="9.7109375" style="125" customWidth="1"/>
    <col min="4603" max="4604" width="3.7109375" style="125" customWidth="1"/>
    <col min="4605" max="4605" width="9.7109375" style="125" customWidth="1"/>
    <col min="4606" max="4606" width="3.7109375" style="125" customWidth="1"/>
    <col min="4607" max="4608" width="8" style="125"/>
    <col min="4609" max="4609" width="30.7109375" style="125" customWidth="1"/>
    <col min="4610" max="4610" width="9.7109375" style="125" customWidth="1"/>
    <col min="4611" max="4611" width="3.7109375" style="125" customWidth="1"/>
    <col min="4612" max="4612" width="9.7109375" style="125" customWidth="1"/>
    <col min="4613" max="4614" width="3.7109375" style="125" customWidth="1"/>
    <col min="4615" max="4615" width="9.7109375" style="125" customWidth="1"/>
    <col min="4616" max="4617" width="3.7109375" style="125" customWidth="1"/>
    <col min="4618" max="4618" width="9.7109375" style="125" customWidth="1"/>
    <col min="4619" max="4620" width="3.7109375" style="125" customWidth="1"/>
    <col min="4621" max="4621" width="9.7109375" style="125" customWidth="1"/>
    <col min="4622" max="4623" width="3.7109375" style="125" customWidth="1"/>
    <col min="4624" max="4624" width="9.7109375" style="125" customWidth="1"/>
    <col min="4625" max="4626" width="3.7109375" style="125" customWidth="1"/>
    <col min="4627" max="4627" width="9.7109375" style="125" customWidth="1"/>
    <col min="4628" max="4629" width="3.7109375" style="125" customWidth="1"/>
    <col min="4630" max="4630" width="9.7109375" style="125" customWidth="1"/>
    <col min="4631" max="4632" width="3.7109375" style="125" customWidth="1"/>
    <col min="4633" max="4633" width="9.7109375" style="125" customWidth="1"/>
    <col min="4634" max="4635" width="3.7109375" style="125" customWidth="1"/>
    <col min="4636" max="4636" width="9.7109375" style="125" customWidth="1"/>
    <col min="4637" max="4638" width="3.7109375" style="125" customWidth="1"/>
    <col min="4639" max="4639" width="9.7109375" style="125" customWidth="1"/>
    <col min="4640" max="4641" width="3.7109375" style="125" customWidth="1"/>
    <col min="4642" max="4642" width="9.7109375" style="125" customWidth="1"/>
    <col min="4643" max="4644" width="3.7109375" style="125" customWidth="1"/>
    <col min="4645" max="4645" width="9.7109375" style="125" customWidth="1"/>
    <col min="4646" max="4647" width="3.7109375" style="125" customWidth="1"/>
    <col min="4648" max="4648" width="9.7109375" style="125" customWidth="1"/>
    <col min="4649" max="4650" width="3.7109375" style="125" customWidth="1"/>
    <col min="4651" max="4651" width="9.7109375" style="125" customWidth="1"/>
    <col min="4652" max="4653" width="3.7109375" style="125" customWidth="1"/>
    <col min="4654" max="4654" width="9.7109375" style="125" customWidth="1"/>
    <col min="4655" max="4656" width="3.7109375" style="125" customWidth="1"/>
    <col min="4657" max="4657" width="9.7109375" style="125" customWidth="1"/>
    <col min="4658" max="4659" width="3.7109375" style="125" customWidth="1"/>
    <col min="4660" max="4660" width="9.7109375" style="125" customWidth="1"/>
    <col min="4661" max="4662" width="3.7109375" style="125" customWidth="1"/>
    <col min="4663" max="4663" width="9.7109375" style="125" customWidth="1"/>
    <col min="4664" max="4665" width="3.7109375" style="125" customWidth="1"/>
    <col min="4666" max="4666" width="9.7109375" style="125" customWidth="1"/>
    <col min="4667" max="4668" width="3.7109375" style="125" customWidth="1"/>
    <col min="4669" max="4669" width="9.7109375" style="125" customWidth="1"/>
    <col min="4670" max="4671" width="3.7109375" style="125" customWidth="1"/>
    <col min="4672" max="4672" width="9.7109375" style="125" customWidth="1"/>
    <col min="4673" max="4674" width="3.7109375" style="125" customWidth="1"/>
    <col min="4675" max="4675" width="9.7109375" style="125" customWidth="1"/>
    <col min="4676" max="4677" width="3.7109375" style="125" customWidth="1"/>
    <col min="4678" max="4678" width="9.7109375" style="125" customWidth="1"/>
    <col min="4679" max="4680" width="3.7109375" style="125" customWidth="1"/>
    <col min="4681" max="4681" width="9.7109375" style="125" customWidth="1"/>
    <col min="4682" max="4683" width="3.7109375" style="125" customWidth="1"/>
    <col min="4684" max="4684" width="9.7109375" style="125" customWidth="1"/>
    <col min="4685" max="4686" width="3.7109375" style="125" customWidth="1"/>
    <col min="4687" max="4687" width="9.7109375" style="125" customWidth="1"/>
    <col min="4688" max="4689" width="3.7109375" style="125" customWidth="1"/>
    <col min="4690" max="4690" width="9.7109375" style="125" customWidth="1"/>
    <col min="4691" max="4692" width="3.7109375" style="125" customWidth="1"/>
    <col min="4693" max="4693" width="9.7109375" style="125" customWidth="1"/>
    <col min="4694" max="4695" width="3.7109375" style="125" customWidth="1"/>
    <col min="4696" max="4696" width="9.7109375" style="125" customWidth="1"/>
    <col min="4697" max="4698" width="3.7109375" style="125" customWidth="1"/>
    <col min="4699" max="4699" width="9.7109375" style="125" customWidth="1"/>
    <col min="4700" max="4701" width="3.7109375" style="125" customWidth="1"/>
    <col min="4702" max="4702" width="9.7109375" style="125" customWidth="1"/>
    <col min="4703" max="4704" width="3.7109375" style="125" customWidth="1"/>
    <col min="4705" max="4705" width="9.7109375" style="125" customWidth="1"/>
    <col min="4706" max="4707" width="3.7109375" style="125" customWidth="1"/>
    <col min="4708" max="4708" width="9.7109375" style="125" customWidth="1"/>
    <col min="4709" max="4710" width="3.7109375" style="125" customWidth="1"/>
    <col min="4711" max="4711" width="9.7109375" style="125" customWidth="1"/>
    <col min="4712" max="4713" width="3.7109375" style="125" customWidth="1"/>
    <col min="4714" max="4714" width="9.7109375" style="125" customWidth="1"/>
    <col min="4715" max="4716" width="3.7109375" style="125" customWidth="1"/>
    <col min="4717" max="4717" width="9.7109375" style="125" customWidth="1"/>
    <col min="4718" max="4719" width="3.7109375" style="125" customWidth="1"/>
    <col min="4720" max="4720" width="9.7109375" style="125" customWidth="1"/>
    <col min="4721" max="4722" width="3.7109375" style="125" customWidth="1"/>
    <col min="4723" max="4723" width="9.7109375" style="125" customWidth="1"/>
    <col min="4724" max="4725" width="3.7109375" style="125" customWidth="1"/>
    <col min="4726" max="4726" width="9.7109375" style="125" customWidth="1"/>
    <col min="4727" max="4728" width="3.7109375" style="125" customWidth="1"/>
    <col min="4729" max="4729" width="9.7109375" style="125" customWidth="1"/>
    <col min="4730" max="4731" width="3.7109375" style="125" customWidth="1"/>
    <col min="4732" max="4732" width="9.7109375" style="125" customWidth="1"/>
    <col min="4733" max="4734" width="3.7109375" style="125" customWidth="1"/>
    <col min="4735" max="4735" width="9.7109375" style="125" customWidth="1"/>
    <col min="4736" max="4737" width="3.7109375" style="125" customWidth="1"/>
    <col min="4738" max="4738" width="9.7109375" style="125" customWidth="1"/>
    <col min="4739" max="4740" width="3.7109375" style="125" customWidth="1"/>
    <col min="4741" max="4741" width="9.7109375" style="125" customWidth="1"/>
    <col min="4742" max="4743" width="3.7109375" style="125" customWidth="1"/>
    <col min="4744" max="4744" width="9.7109375" style="125" customWidth="1"/>
    <col min="4745" max="4746" width="3.7109375" style="125" customWidth="1"/>
    <col min="4747" max="4747" width="9.7109375" style="125" customWidth="1"/>
    <col min="4748" max="4749" width="3.7109375" style="125" customWidth="1"/>
    <col min="4750" max="4750" width="9.7109375" style="125" customWidth="1"/>
    <col min="4751" max="4752" width="3.7109375" style="125" customWidth="1"/>
    <col min="4753" max="4753" width="9.7109375" style="125" customWidth="1"/>
    <col min="4754" max="4754" width="3.7109375" style="125" customWidth="1"/>
    <col min="4755" max="4755" width="5.7109375" style="125" bestFit="1" customWidth="1"/>
    <col min="4756" max="4756" width="9.7109375" style="125" customWidth="1"/>
    <col min="4757" max="4758" width="3.7109375" style="125" customWidth="1"/>
    <col min="4759" max="4759" width="9.7109375" style="125" customWidth="1"/>
    <col min="4760" max="4761" width="3.7109375" style="125" customWidth="1"/>
    <col min="4762" max="4762" width="9.7109375" style="125" customWidth="1"/>
    <col min="4763" max="4764" width="3.7109375" style="125" customWidth="1"/>
    <col min="4765" max="4765" width="9.7109375" style="125" customWidth="1"/>
    <col min="4766" max="4767" width="3.7109375" style="125" customWidth="1"/>
    <col min="4768" max="4768" width="9.7109375" style="125" customWidth="1"/>
    <col min="4769" max="4770" width="3.7109375" style="125" customWidth="1"/>
    <col min="4771" max="4771" width="9.7109375" style="125" customWidth="1"/>
    <col min="4772" max="4772" width="3.7109375" style="125" customWidth="1"/>
    <col min="4773" max="4773" width="5.7109375" style="125" bestFit="1" customWidth="1"/>
    <col min="4774" max="4774" width="9.7109375" style="125" customWidth="1"/>
    <col min="4775" max="4776" width="3.7109375" style="125" customWidth="1"/>
    <col min="4777" max="4777" width="9.7109375" style="125" customWidth="1"/>
    <col min="4778" max="4779" width="3.7109375" style="125" customWidth="1"/>
    <col min="4780" max="4780" width="9.7109375" style="125" customWidth="1"/>
    <col min="4781" max="4782" width="3.7109375" style="125" customWidth="1"/>
    <col min="4783" max="4783" width="9.7109375" style="125" customWidth="1"/>
    <col min="4784" max="4785" width="3.7109375" style="125" customWidth="1"/>
    <col min="4786" max="4786" width="9.7109375" style="125" customWidth="1"/>
    <col min="4787" max="4788" width="3.7109375" style="125" customWidth="1"/>
    <col min="4789" max="4789" width="9.7109375" style="125" customWidth="1"/>
    <col min="4790" max="4791" width="3.7109375" style="125" customWidth="1"/>
    <col min="4792" max="4792" width="9.7109375" style="125" customWidth="1"/>
    <col min="4793" max="4794" width="3.7109375" style="125" customWidth="1"/>
    <col min="4795" max="4795" width="9.7109375" style="125" customWidth="1"/>
    <col min="4796" max="4797" width="3.7109375" style="125" customWidth="1"/>
    <col min="4798" max="4798" width="9.7109375" style="125" customWidth="1"/>
    <col min="4799" max="4800" width="3.7109375" style="125" customWidth="1"/>
    <col min="4801" max="4801" width="9.7109375" style="125" customWidth="1"/>
    <col min="4802" max="4803" width="3.7109375" style="125" customWidth="1"/>
    <col min="4804" max="4804" width="9.7109375" style="125" customWidth="1"/>
    <col min="4805" max="4806" width="3.7109375" style="125" customWidth="1"/>
    <col min="4807" max="4807" width="9.7109375" style="125" customWidth="1"/>
    <col min="4808" max="4809" width="3.7109375" style="125" customWidth="1"/>
    <col min="4810" max="4810" width="9.7109375" style="125" customWidth="1"/>
    <col min="4811" max="4812" width="3.7109375" style="125" customWidth="1"/>
    <col min="4813" max="4813" width="9.7109375" style="125" customWidth="1"/>
    <col min="4814" max="4815" width="3.7109375" style="125" customWidth="1"/>
    <col min="4816" max="4816" width="9.7109375" style="125" customWidth="1"/>
    <col min="4817" max="4818" width="3.7109375" style="125" customWidth="1"/>
    <col min="4819" max="4819" width="9.7109375" style="125" customWidth="1"/>
    <col min="4820" max="4821" width="3.7109375" style="125" customWidth="1"/>
    <col min="4822" max="4822" width="9.7109375" style="125" customWidth="1"/>
    <col min="4823" max="4824" width="3.7109375" style="125" customWidth="1"/>
    <col min="4825" max="4825" width="9.7109375" style="125" customWidth="1"/>
    <col min="4826" max="4827" width="3.7109375" style="125" customWidth="1"/>
    <col min="4828" max="4828" width="9.7109375" style="125" customWidth="1"/>
    <col min="4829" max="4830" width="3.7109375" style="125" customWidth="1"/>
    <col min="4831" max="4831" width="9.7109375" style="125" customWidth="1"/>
    <col min="4832" max="4833" width="3.7109375" style="125" customWidth="1"/>
    <col min="4834" max="4834" width="9.7109375" style="125" customWidth="1"/>
    <col min="4835" max="4836" width="3.7109375" style="125" customWidth="1"/>
    <col min="4837" max="4837" width="9.7109375" style="125" customWidth="1"/>
    <col min="4838" max="4839" width="3.7109375" style="125" customWidth="1"/>
    <col min="4840" max="4840" width="9.7109375" style="125" customWidth="1"/>
    <col min="4841" max="4842" width="3.7109375" style="125" customWidth="1"/>
    <col min="4843" max="4843" width="9.7109375" style="125" customWidth="1"/>
    <col min="4844" max="4845" width="3.7109375" style="125" customWidth="1"/>
    <col min="4846" max="4846" width="9.7109375" style="125" customWidth="1"/>
    <col min="4847" max="4848" width="3.7109375" style="125" customWidth="1"/>
    <col min="4849" max="4849" width="9.7109375" style="125" customWidth="1"/>
    <col min="4850" max="4851" width="3.7109375" style="125" customWidth="1"/>
    <col min="4852" max="4852" width="9.7109375" style="125" customWidth="1"/>
    <col min="4853" max="4854" width="3.7109375" style="125" customWidth="1"/>
    <col min="4855" max="4855" width="9.7109375" style="125" customWidth="1"/>
    <col min="4856" max="4857" width="3.7109375" style="125" customWidth="1"/>
    <col min="4858" max="4858" width="9.7109375" style="125" customWidth="1"/>
    <col min="4859" max="4860" width="3.7109375" style="125" customWidth="1"/>
    <col min="4861" max="4861" width="9.7109375" style="125" customWidth="1"/>
    <col min="4862" max="4862" width="3.7109375" style="125" customWidth="1"/>
    <col min="4863" max="4864" width="8" style="125"/>
    <col min="4865" max="4865" width="30.7109375" style="125" customWidth="1"/>
    <col min="4866" max="4866" width="9.7109375" style="125" customWidth="1"/>
    <col min="4867" max="4867" width="3.7109375" style="125" customWidth="1"/>
    <col min="4868" max="4868" width="9.7109375" style="125" customWidth="1"/>
    <col min="4869" max="4870" width="3.7109375" style="125" customWidth="1"/>
    <col min="4871" max="4871" width="9.7109375" style="125" customWidth="1"/>
    <col min="4872" max="4873" width="3.7109375" style="125" customWidth="1"/>
    <col min="4874" max="4874" width="9.7109375" style="125" customWidth="1"/>
    <col min="4875" max="4876" width="3.7109375" style="125" customWidth="1"/>
    <col min="4877" max="4877" width="9.7109375" style="125" customWidth="1"/>
    <col min="4878" max="4879" width="3.7109375" style="125" customWidth="1"/>
    <col min="4880" max="4880" width="9.7109375" style="125" customWidth="1"/>
    <col min="4881" max="4882" width="3.7109375" style="125" customWidth="1"/>
    <col min="4883" max="4883" width="9.7109375" style="125" customWidth="1"/>
    <col min="4884" max="4885" width="3.7109375" style="125" customWidth="1"/>
    <col min="4886" max="4886" width="9.7109375" style="125" customWidth="1"/>
    <col min="4887" max="4888" width="3.7109375" style="125" customWidth="1"/>
    <col min="4889" max="4889" width="9.7109375" style="125" customWidth="1"/>
    <col min="4890" max="4891" width="3.7109375" style="125" customWidth="1"/>
    <col min="4892" max="4892" width="9.7109375" style="125" customWidth="1"/>
    <col min="4893" max="4894" width="3.7109375" style="125" customWidth="1"/>
    <col min="4895" max="4895" width="9.7109375" style="125" customWidth="1"/>
    <col min="4896" max="4897" width="3.7109375" style="125" customWidth="1"/>
    <col min="4898" max="4898" width="9.7109375" style="125" customWidth="1"/>
    <col min="4899" max="4900" width="3.7109375" style="125" customWidth="1"/>
    <col min="4901" max="4901" width="9.7109375" style="125" customWidth="1"/>
    <col min="4902" max="4903" width="3.7109375" style="125" customWidth="1"/>
    <col min="4904" max="4904" width="9.7109375" style="125" customWidth="1"/>
    <col min="4905" max="4906" width="3.7109375" style="125" customWidth="1"/>
    <col min="4907" max="4907" width="9.7109375" style="125" customWidth="1"/>
    <col min="4908" max="4909" width="3.7109375" style="125" customWidth="1"/>
    <col min="4910" max="4910" width="9.7109375" style="125" customWidth="1"/>
    <col min="4911" max="4912" width="3.7109375" style="125" customWidth="1"/>
    <col min="4913" max="4913" width="9.7109375" style="125" customWidth="1"/>
    <col min="4914" max="4915" width="3.7109375" style="125" customWidth="1"/>
    <col min="4916" max="4916" width="9.7109375" style="125" customWidth="1"/>
    <col min="4917" max="4918" width="3.7109375" style="125" customWidth="1"/>
    <col min="4919" max="4919" width="9.7109375" style="125" customWidth="1"/>
    <col min="4920" max="4921" width="3.7109375" style="125" customWidth="1"/>
    <col min="4922" max="4922" width="9.7109375" style="125" customWidth="1"/>
    <col min="4923" max="4924" width="3.7109375" style="125" customWidth="1"/>
    <col min="4925" max="4925" width="9.7109375" style="125" customWidth="1"/>
    <col min="4926" max="4927" width="3.7109375" style="125" customWidth="1"/>
    <col min="4928" max="4928" width="9.7109375" style="125" customWidth="1"/>
    <col min="4929" max="4930" width="3.7109375" style="125" customWidth="1"/>
    <col min="4931" max="4931" width="9.7109375" style="125" customWidth="1"/>
    <col min="4932" max="4933" width="3.7109375" style="125" customWidth="1"/>
    <col min="4934" max="4934" width="9.7109375" style="125" customWidth="1"/>
    <col min="4935" max="4936" width="3.7109375" style="125" customWidth="1"/>
    <col min="4937" max="4937" width="9.7109375" style="125" customWidth="1"/>
    <col min="4938" max="4939" width="3.7109375" style="125" customWidth="1"/>
    <col min="4940" max="4940" width="9.7109375" style="125" customWidth="1"/>
    <col min="4941" max="4942" width="3.7109375" style="125" customWidth="1"/>
    <col min="4943" max="4943" width="9.7109375" style="125" customWidth="1"/>
    <col min="4944" max="4945" width="3.7109375" style="125" customWidth="1"/>
    <col min="4946" max="4946" width="9.7109375" style="125" customWidth="1"/>
    <col min="4947" max="4948" width="3.7109375" style="125" customWidth="1"/>
    <col min="4949" max="4949" width="9.7109375" style="125" customWidth="1"/>
    <col min="4950" max="4951" width="3.7109375" style="125" customWidth="1"/>
    <col min="4952" max="4952" width="9.7109375" style="125" customWidth="1"/>
    <col min="4953" max="4954" width="3.7109375" style="125" customWidth="1"/>
    <col min="4955" max="4955" width="9.7109375" style="125" customWidth="1"/>
    <col min="4956" max="4957" width="3.7109375" style="125" customWidth="1"/>
    <col min="4958" max="4958" width="9.7109375" style="125" customWidth="1"/>
    <col min="4959" max="4960" width="3.7109375" style="125" customWidth="1"/>
    <col min="4961" max="4961" width="9.7109375" style="125" customWidth="1"/>
    <col min="4962" max="4963" width="3.7109375" style="125" customWidth="1"/>
    <col min="4964" max="4964" width="9.7109375" style="125" customWidth="1"/>
    <col min="4965" max="4966" width="3.7109375" style="125" customWidth="1"/>
    <col min="4967" max="4967" width="9.7109375" style="125" customWidth="1"/>
    <col min="4968" max="4969" width="3.7109375" style="125" customWidth="1"/>
    <col min="4970" max="4970" width="9.7109375" style="125" customWidth="1"/>
    <col min="4971" max="4972" width="3.7109375" style="125" customWidth="1"/>
    <col min="4973" max="4973" width="9.7109375" style="125" customWidth="1"/>
    <col min="4974" max="4975" width="3.7109375" style="125" customWidth="1"/>
    <col min="4976" max="4976" width="9.7109375" style="125" customWidth="1"/>
    <col min="4977" max="4978" width="3.7109375" style="125" customWidth="1"/>
    <col min="4979" max="4979" width="9.7109375" style="125" customWidth="1"/>
    <col min="4980" max="4981" width="3.7109375" style="125" customWidth="1"/>
    <col min="4982" max="4982" width="9.7109375" style="125" customWidth="1"/>
    <col min="4983" max="4984" width="3.7109375" style="125" customWidth="1"/>
    <col min="4985" max="4985" width="9.7109375" style="125" customWidth="1"/>
    <col min="4986" max="4987" width="3.7109375" style="125" customWidth="1"/>
    <col min="4988" max="4988" width="9.7109375" style="125" customWidth="1"/>
    <col min="4989" max="4990" width="3.7109375" style="125" customWidth="1"/>
    <col min="4991" max="4991" width="9.7109375" style="125" customWidth="1"/>
    <col min="4992" max="4993" width="3.7109375" style="125" customWidth="1"/>
    <col min="4994" max="4994" width="9.7109375" style="125" customWidth="1"/>
    <col min="4995" max="4996" width="3.7109375" style="125" customWidth="1"/>
    <col min="4997" max="4997" width="9.7109375" style="125" customWidth="1"/>
    <col min="4998" max="4999" width="3.7109375" style="125" customWidth="1"/>
    <col min="5000" max="5000" width="9.7109375" style="125" customWidth="1"/>
    <col min="5001" max="5002" width="3.7109375" style="125" customWidth="1"/>
    <col min="5003" max="5003" width="9.7109375" style="125" customWidth="1"/>
    <col min="5004" max="5005" width="3.7109375" style="125" customWidth="1"/>
    <col min="5006" max="5006" width="9.7109375" style="125" customWidth="1"/>
    <col min="5007" max="5008" width="3.7109375" style="125" customWidth="1"/>
    <col min="5009" max="5009" width="9.7109375" style="125" customWidth="1"/>
    <col min="5010" max="5010" width="3.7109375" style="125" customWidth="1"/>
    <col min="5011" max="5011" width="5.7109375" style="125" bestFit="1" customWidth="1"/>
    <col min="5012" max="5012" width="9.7109375" style="125" customWidth="1"/>
    <col min="5013" max="5014" width="3.7109375" style="125" customWidth="1"/>
    <col min="5015" max="5015" width="9.7109375" style="125" customWidth="1"/>
    <col min="5016" max="5017" width="3.7109375" style="125" customWidth="1"/>
    <col min="5018" max="5018" width="9.7109375" style="125" customWidth="1"/>
    <col min="5019" max="5020" width="3.7109375" style="125" customWidth="1"/>
    <col min="5021" max="5021" width="9.7109375" style="125" customWidth="1"/>
    <col min="5022" max="5023" width="3.7109375" style="125" customWidth="1"/>
    <col min="5024" max="5024" width="9.7109375" style="125" customWidth="1"/>
    <col min="5025" max="5026" width="3.7109375" style="125" customWidth="1"/>
    <col min="5027" max="5027" width="9.7109375" style="125" customWidth="1"/>
    <col min="5028" max="5028" width="3.7109375" style="125" customWidth="1"/>
    <col min="5029" max="5029" width="5.7109375" style="125" bestFit="1" customWidth="1"/>
    <col min="5030" max="5030" width="9.7109375" style="125" customWidth="1"/>
    <col min="5031" max="5032" width="3.7109375" style="125" customWidth="1"/>
    <col min="5033" max="5033" width="9.7109375" style="125" customWidth="1"/>
    <col min="5034" max="5035" width="3.7109375" style="125" customWidth="1"/>
    <col min="5036" max="5036" width="9.7109375" style="125" customWidth="1"/>
    <col min="5037" max="5038" width="3.7109375" style="125" customWidth="1"/>
    <col min="5039" max="5039" width="9.7109375" style="125" customWidth="1"/>
    <col min="5040" max="5041" width="3.7109375" style="125" customWidth="1"/>
    <col min="5042" max="5042" width="9.7109375" style="125" customWidth="1"/>
    <col min="5043" max="5044" width="3.7109375" style="125" customWidth="1"/>
    <col min="5045" max="5045" width="9.7109375" style="125" customWidth="1"/>
    <col min="5046" max="5047" width="3.7109375" style="125" customWidth="1"/>
    <col min="5048" max="5048" width="9.7109375" style="125" customWidth="1"/>
    <col min="5049" max="5050" width="3.7109375" style="125" customWidth="1"/>
    <col min="5051" max="5051" width="9.7109375" style="125" customWidth="1"/>
    <col min="5052" max="5053" width="3.7109375" style="125" customWidth="1"/>
    <col min="5054" max="5054" width="9.7109375" style="125" customWidth="1"/>
    <col min="5055" max="5056" width="3.7109375" style="125" customWidth="1"/>
    <col min="5057" max="5057" width="9.7109375" style="125" customWidth="1"/>
    <col min="5058" max="5059" width="3.7109375" style="125" customWidth="1"/>
    <col min="5060" max="5060" width="9.7109375" style="125" customWidth="1"/>
    <col min="5061" max="5062" width="3.7109375" style="125" customWidth="1"/>
    <col min="5063" max="5063" width="9.7109375" style="125" customWidth="1"/>
    <col min="5064" max="5065" width="3.7109375" style="125" customWidth="1"/>
    <col min="5066" max="5066" width="9.7109375" style="125" customWidth="1"/>
    <col min="5067" max="5068" width="3.7109375" style="125" customWidth="1"/>
    <col min="5069" max="5069" width="9.7109375" style="125" customWidth="1"/>
    <col min="5070" max="5071" width="3.7109375" style="125" customWidth="1"/>
    <col min="5072" max="5072" width="9.7109375" style="125" customWidth="1"/>
    <col min="5073" max="5074" width="3.7109375" style="125" customWidth="1"/>
    <col min="5075" max="5075" width="9.7109375" style="125" customWidth="1"/>
    <col min="5076" max="5077" width="3.7109375" style="125" customWidth="1"/>
    <col min="5078" max="5078" width="9.7109375" style="125" customWidth="1"/>
    <col min="5079" max="5080" width="3.7109375" style="125" customWidth="1"/>
    <col min="5081" max="5081" width="9.7109375" style="125" customWidth="1"/>
    <col min="5082" max="5083" width="3.7109375" style="125" customWidth="1"/>
    <col min="5084" max="5084" width="9.7109375" style="125" customWidth="1"/>
    <col min="5085" max="5086" width="3.7109375" style="125" customWidth="1"/>
    <col min="5087" max="5087" width="9.7109375" style="125" customWidth="1"/>
    <col min="5088" max="5089" width="3.7109375" style="125" customWidth="1"/>
    <col min="5090" max="5090" width="9.7109375" style="125" customWidth="1"/>
    <col min="5091" max="5092" width="3.7109375" style="125" customWidth="1"/>
    <col min="5093" max="5093" width="9.7109375" style="125" customWidth="1"/>
    <col min="5094" max="5095" width="3.7109375" style="125" customWidth="1"/>
    <col min="5096" max="5096" width="9.7109375" style="125" customWidth="1"/>
    <col min="5097" max="5098" width="3.7109375" style="125" customWidth="1"/>
    <col min="5099" max="5099" width="9.7109375" style="125" customWidth="1"/>
    <col min="5100" max="5101" width="3.7109375" style="125" customWidth="1"/>
    <col min="5102" max="5102" width="9.7109375" style="125" customWidth="1"/>
    <col min="5103" max="5104" width="3.7109375" style="125" customWidth="1"/>
    <col min="5105" max="5105" width="9.7109375" style="125" customWidth="1"/>
    <col min="5106" max="5107" width="3.7109375" style="125" customWidth="1"/>
    <col min="5108" max="5108" width="9.7109375" style="125" customWidth="1"/>
    <col min="5109" max="5110" width="3.7109375" style="125" customWidth="1"/>
    <col min="5111" max="5111" width="9.7109375" style="125" customWidth="1"/>
    <col min="5112" max="5113" width="3.7109375" style="125" customWidth="1"/>
    <col min="5114" max="5114" width="9.7109375" style="125" customWidth="1"/>
    <col min="5115" max="5116" width="3.7109375" style="125" customWidth="1"/>
    <col min="5117" max="5117" width="9.7109375" style="125" customWidth="1"/>
    <col min="5118" max="5118" width="3.7109375" style="125" customWidth="1"/>
    <col min="5119" max="5120" width="8" style="125"/>
    <col min="5121" max="5121" width="30.7109375" style="125" customWidth="1"/>
    <col min="5122" max="5122" width="9.7109375" style="125" customWidth="1"/>
    <col min="5123" max="5123" width="3.7109375" style="125" customWidth="1"/>
    <col min="5124" max="5124" width="9.7109375" style="125" customWidth="1"/>
    <col min="5125" max="5126" width="3.7109375" style="125" customWidth="1"/>
    <col min="5127" max="5127" width="9.7109375" style="125" customWidth="1"/>
    <col min="5128" max="5129" width="3.7109375" style="125" customWidth="1"/>
    <col min="5130" max="5130" width="9.7109375" style="125" customWidth="1"/>
    <col min="5131" max="5132" width="3.7109375" style="125" customWidth="1"/>
    <col min="5133" max="5133" width="9.7109375" style="125" customWidth="1"/>
    <col min="5134" max="5135" width="3.7109375" style="125" customWidth="1"/>
    <col min="5136" max="5136" width="9.7109375" style="125" customWidth="1"/>
    <col min="5137" max="5138" width="3.7109375" style="125" customWidth="1"/>
    <col min="5139" max="5139" width="9.7109375" style="125" customWidth="1"/>
    <col min="5140" max="5141" width="3.7109375" style="125" customWidth="1"/>
    <col min="5142" max="5142" width="9.7109375" style="125" customWidth="1"/>
    <col min="5143" max="5144" width="3.7109375" style="125" customWidth="1"/>
    <col min="5145" max="5145" width="9.7109375" style="125" customWidth="1"/>
    <col min="5146" max="5147" width="3.7109375" style="125" customWidth="1"/>
    <col min="5148" max="5148" width="9.7109375" style="125" customWidth="1"/>
    <col min="5149" max="5150" width="3.7109375" style="125" customWidth="1"/>
    <col min="5151" max="5151" width="9.7109375" style="125" customWidth="1"/>
    <col min="5152" max="5153" width="3.7109375" style="125" customWidth="1"/>
    <col min="5154" max="5154" width="9.7109375" style="125" customWidth="1"/>
    <col min="5155" max="5156" width="3.7109375" style="125" customWidth="1"/>
    <col min="5157" max="5157" width="9.7109375" style="125" customWidth="1"/>
    <col min="5158" max="5159" width="3.7109375" style="125" customWidth="1"/>
    <col min="5160" max="5160" width="9.7109375" style="125" customWidth="1"/>
    <col min="5161" max="5162" width="3.7109375" style="125" customWidth="1"/>
    <col min="5163" max="5163" width="9.7109375" style="125" customWidth="1"/>
    <col min="5164" max="5165" width="3.7109375" style="125" customWidth="1"/>
    <col min="5166" max="5166" width="9.7109375" style="125" customWidth="1"/>
    <col min="5167" max="5168" width="3.7109375" style="125" customWidth="1"/>
    <col min="5169" max="5169" width="9.7109375" style="125" customWidth="1"/>
    <col min="5170" max="5171" width="3.7109375" style="125" customWidth="1"/>
    <col min="5172" max="5172" width="9.7109375" style="125" customWidth="1"/>
    <col min="5173" max="5174" width="3.7109375" style="125" customWidth="1"/>
    <col min="5175" max="5175" width="9.7109375" style="125" customWidth="1"/>
    <col min="5176" max="5177" width="3.7109375" style="125" customWidth="1"/>
    <col min="5178" max="5178" width="9.7109375" style="125" customWidth="1"/>
    <col min="5179" max="5180" width="3.7109375" style="125" customWidth="1"/>
    <col min="5181" max="5181" width="9.7109375" style="125" customWidth="1"/>
    <col min="5182" max="5183" width="3.7109375" style="125" customWidth="1"/>
    <col min="5184" max="5184" width="9.7109375" style="125" customWidth="1"/>
    <col min="5185" max="5186" width="3.7109375" style="125" customWidth="1"/>
    <col min="5187" max="5187" width="9.7109375" style="125" customWidth="1"/>
    <col min="5188" max="5189" width="3.7109375" style="125" customWidth="1"/>
    <col min="5190" max="5190" width="9.7109375" style="125" customWidth="1"/>
    <col min="5191" max="5192" width="3.7109375" style="125" customWidth="1"/>
    <col min="5193" max="5193" width="9.7109375" style="125" customWidth="1"/>
    <col min="5194" max="5195" width="3.7109375" style="125" customWidth="1"/>
    <col min="5196" max="5196" width="9.7109375" style="125" customWidth="1"/>
    <col min="5197" max="5198" width="3.7109375" style="125" customWidth="1"/>
    <col min="5199" max="5199" width="9.7109375" style="125" customWidth="1"/>
    <col min="5200" max="5201" width="3.7109375" style="125" customWidth="1"/>
    <col min="5202" max="5202" width="9.7109375" style="125" customWidth="1"/>
    <col min="5203" max="5204" width="3.7109375" style="125" customWidth="1"/>
    <col min="5205" max="5205" width="9.7109375" style="125" customWidth="1"/>
    <col min="5206" max="5207" width="3.7109375" style="125" customWidth="1"/>
    <col min="5208" max="5208" width="9.7109375" style="125" customWidth="1"/>
    <col min="5209" max="5210" width="3.7109375" style="125" customWidth="1"/>
    <col min="5211" max="5211" width="9.7109375" style="125" customWidth="1"/>
    <col min="5212" max="5213" width="3.7109375" style="125" customWidth="1"/>
    <col min="5214" max="5214" width="9.7109375" style="125" customWidth="1"/>
    <col min="5215" max="5216" width="3.7109375" style="125" customWidth="1"/>
    <col min="5217" max="5217" width="9.7109375" style="125" customWidth="1"/>
    <col min="5218" max="5219" width="3.7109375" style="125" customWidth="1"/>
    <col min="5220" max="5220" width="9.7109375" style="125" customWidth="1"/>
    <col min="5221" max="5222" width="3.7109375" style="125" customWidth="1"/>
    <col min="5223" max="5223" width="9.7109375" style="125" customWidth="1"/>
    <col min="5224" max="5225" width="3.7109375" style="125" customWidth="1"/>
    <col min="5226" max="5226" width="9.7109375" style="125" customWidth="1"/>
    <col min="5227" max="5228" width="3.7109375" style="125" customWidth="1"/>
    <col min="5229" max="5229" width="9.7109375" style="125" customWidth="1"/>
    <col min="5230" max="5231" width="3.7109375" style="125" customWidth="1"/>
    <col min="5232" max="5232" width="9.7109375" style="125" customWidth="1"/>
    <col min="5233" max="5234" width="3.7109375" style="125" customWidth="1"/>
    <col min="5235" max="5235" width="9.7109375" style="125" customWidth="1"/>
    <col min="5236" max="5237" width="3.7109375" style="125" customWidth="1"/>
    <col min="5238" max="5238" width="9.7109375" style="125" customWidth="1"/>
    <col min="5239" max="5240" width="3.7109375" style="125" customWidth="1"/>
    <col min="5241" max="5241" width="9.7109375" style="125" customWidth="1"/>
    <col min="5242" max="5243" width="3.7109375" style="125" customWidth="1"/>
    <col min="5244" max="5244" width="9.7109375" style="125" customWidth="1"/>
    <col min="5245" max="5246" width="3.7109375" style="125" customWidth="1"/>
    <col min="5247" max="5247" width="9.7109375" style="125" customWidth="1"/>
    <col min="5248" max="5249" width="3.7109375" style="125" customWidth="1"/>
    <col min="5250" max="5250" width="9.7109375" style="125" customWidth="1"/>
    <col min="5251" max="5252" width="3.7109375" style="125" customWidth="1"/>
    <col min="5253" max="5253" width="9.7109375" style="125" customWidth="1"/>
    <col min="5254" max="5255" width="3.7109375" style="125" customWidth="1"/>
    <col min="5256" max="5256" width="9.7109375" style="125" customWidth="1"/>
    <col min="5257" max="5258" width="3.7109375" style="125" customWidth="1"/>
    <col min="5259" max="5259" width="9.7109375" style="125" customWidth="1"/>
    <col min="5260" max="5261" width="3.7109375" style="125" customWidth="1"/>
    <col min="5262" max="5262" width="9.7109375" style="125" customWidth="1"/>
    <col min="5263" max="5264" width="3.7109375" style="125" customWidth="1"/>
    <col min="5265" max="5265" width="9.7109375" style="125" customWidth="1"/>
    <col min="5266" max="5266" width="3.7109375" style="125" customWidth="1"/>
    <col min="5267" max="5267" width="5.7109375" style="125" bestFit="1" customWidth="1"/>
    <col min="5268" max="5268" width="9.7109375" style="125" customWidth="1"/>
    <col min="5269" max="5270" width="3.7109375" style="125" customWidth="1"/>
    <col min="5271" max="5271" width="9.7109375" style="125" customWidth="1"/>
    <col min="5272" max="5273" width="3.7109375" style="125" customWidth="1"/>
    <col min="5274" max="5274" width="9.7109375" style="125" customWidth="1"/>
    <col min="5275" max="5276" width="3.7109375" style="125" customWidth="1"/>
    <col min="5277" max="5277" width="9.7109375" style="125" customWidth="1"/>
    <col min="5278" max="5279" width="3.7109375" style="125" customWidth="1"/>
    <col min="5280" max="5280" width="9.7109375" style="125" customWidth="1"/>
    <col min="5281" max="5282" width="3.7109375" style="125" customWidth="1"/>
    <col min="5283" max="5283" width="9.7109375" style="125" customWidth="1"/>
    <col min="5284" max="5284" width="3.7109375" style="125" customWidth="1"/>
    <col min="5285" max="5285" width="5.7109375" style="125" bestFit="1" customWidth="1"/>
    <col min="5286" max="5286" width="9.7109375" style="125" customWidth="1"/>
    <col min="5287" max="5288" width="3.7109375" style="125" customWidth="1"/>
    <col min="5289" max="5289" width="9.7109375" style="125" customWidth="1"/>
    <col min="5290" max="5291" width="3.7109375" style="125" customWidth="1"/>
    <col min="5292" max="5292" width="9.7109375" style="125" customWidth="1"/>
    <col min="5293" max="5294" width="3.7109375" style="125" customWidth="1"/>
    <col min="5295" max="5295" width="9.7109375" style="125" customWidth="1"/>
    <col min="5296" max="5297" width="3.7109375" style="125" customWidth="1"/>
    <col min="5298" max="5298" width="9.7109375" style="125" customWidth="1"/>
    <col min="5299" max="5300" width="3.7109375" style="125" customWidth="1"/>
    <col min="5301" max="5301" width="9.7109375" style="125" customWidth="1"/>
    <col min="5302" max="5303" width="3.7109375" style="125" customWidth="1"/>
    <col min="5304" max="5304" width="9.7109375" style="125" customWidth="1"/>
    <col min="5305" max="5306" width="3.7109375" style="125" customWidth="1"/>
    <col min="5307" max="5307" width="9.7109375" style="125" customWidth="1"/>
    <col min="5308" max="5309" width="3.7109375" style="125" customWidth="1"/>
    <col min="5310" max="5310" width="9.7109375" style="125" customWidth="1"/>
    <col min="5311" max="5312" width="3.7109375" style="125" customWidth="1"/>
    <col min="5313" max="5313" width="9.7109375" style="125" customWidth="1"/>
    <col min="5314" max="5315" width="3.7109375" style="125" customWidth="1"/>
    <col min="5316" max="5316" width="9.7109375" style="125" customWidth="1"/>
    <col min="5317" max="5318" width="3.7109375" style="125" customWidth="1"/>
    <col min="5319" max="5319" width="9.7109375" style="125" customWidth="1"/>
    <col min="5320" max="5321" width="3.7109375" style="125" customWidth="1"/>
    <col min="5322" max="5322" width="9.7109375" style="125" customWidth="1"/>
    <col min="5323" max="5324" width="3.7109375" style="125" customWidth="1"/>
    <col min="5325" max="5325" width="9.7109375" style="125" customWidth="1"/>
    <col min="5326" max="5327" width="3.7109375" style="125" customWidth="1"/>
    <col min="5328" max="5328" width="9.7109375" style="125" customWidth="1"/>
    <col min="5329" max="5330" width="3.7109375" style="125" customWidth="1"/>
    <col min="5331" max="5331" width="9.7109375" style="125" customWidth="1"/>
    <col min="5332" max="5333" width="3.7109375" style="125" customWidth="1"/>
    <col min="5334" max="5334" width="9.7109375" style="125" customWidth="1"/>
    <col min="5335" max="5336" width="3.7109375" style="125" customWidth="1"/>
    <col min="5337" max="5337" width="9.7109375" style="125" customWidth="1"/>
    <col min="5338" max="5339" width="3.7109375" style="125" customWidth="1"/>
    <col min="5340" max="5340" width="9.7109375" style="125" customWidth="1"/>
    <col min="5341" max="5342" width="3.7109375" style="125" customWidth="1"/>
    <col min="5343" max="5343" width="9.7109375" style="125" customWidth="1"/>
    <col min="5344" max="5345" width="3.7109375" style="125" customWidth="1"/>
    <col min="5346" max="5346" width="9.7109375" style="125" customWidth="1"/>
    <col min="5347" max="5348" width="3.7109375" style="125" customWidth="1"/>
    <col min="5349" max="5349" width="9.7109375" style="125" customWidth="1"/>
    <col min="5350" max="5351" width="3.7109375" style="125" customWidth="1"/>
    <col min="5352" max="5352" width="9.7109375" style="125" customWidth="1"/>
    <col min="5353" max="5354" width="3.7109375" style="125" customWidth="1"/>
    <col min="5355" max="5355" width="9.7109375" style="125" customWidth="1"/>
    <col min="5356" max="5357" width="3.7109375" style="125" customWidth="1"/>
    <col min="5358" max="5358" width="9.7109375" style="125" customWidth="1"/>
    <col min="5359" max="5360" width="3.7109375" style="125" customWidth="1"/>
    <col min="5361" max="5361" width="9.7109375" style="125" customWidth="1"/>
    <col min="5362" max="5363" width="3.7109375" style="125" customWidth="1"/>
    <col min="5364" max="5364" width="9.7109375" style="125" customWidth="1"/>
    <col min="5365" max="5366" width="3.7109375" style="125" customWidth="1"/>
    <col min="5367" max="5367" width="9.7109375" style="125" customWidth="1"/>
    <col min="5368" max="5369" width="3.7109375" style="125" customWidth="1"/>
    <col min="5370" max="5370" width="9.7109375" style="125" customWidth="1"/>
    <col min="5371" max="5372" width="3.7109375" style="125" customWidth="1"/>
    <col min="5373" max="5373" width="9.7109375" style="125" customWidth="1"/>
    <col min="5374" max="5374" width="3.7109375" style="125" customWidth="1"/>
    <col min="5375" max="5376" width="8" style="125"/>
    <col min="5377" max="5377" width="30.7109375" style="125" customWidth="1"/>
    <col min="5378" max="5378" width="9.7109375" style="125" customWidth="1"/>
    <col min="5379" max="5379" width="3.7109375" style="125" customWidth="1"/>
    <col min="5380" max="5380" width="9.7109375" style="125" customWidth="1"/>
    <col min="5381" max="5382" width="3.7109375" style="125" customWidth="1"/>
    <col min="5383" max="5383" width="9.7109375" style="125" customWidth="1"/>
    <col min="5384" max="5385" width="3.7109375" style="125" customWidth="1"/>
    <col min="5386" max="5386" width="9.7109375" style="125" customWidth="1"/>
    <col min="5387" max="5388" width="3.7109375" style="125" customWidth="1"/>
    <col min="5389" max="5389" width="9.7109375" style="125" customWidth="1"/>
    <col min="5390" max="5391" width="3.7109375" style="125" customWidth="1"/>
    <col min="5392" max="5392" width="9.7109375" style="125" customWidth="1"/>
    <col min="5393" max="5394" width="3.7109375" style="125" customWidth="1"/>
    <col min="5395" max="5395" width="9.7109375" style="125" customWidth="1"/>
    <col min="5396" max="5397" width="3.7109375" style="125" customWidth="1"/>
    <col min="5398" max="5398" width="9.7109375" style="125" customWidth="1"/>
    <col min="5399" max="5400" width="3.7109375" style="125" customWidth="1"/>
    <col min="5401" max="5401" width="9.7109375" style="125" customWidth="1"/>
    <col min="5402" max="5403" width="3.7109375" style="125" customWidth="1"/>
    <col min="5404" max="5404" width="9.7109375" style="125" customWidth="1"/>
    <col min="5405" max="5406" width="3.7109375" style="125" customWidth="1"/>
    <col min="5407" max="5407" width="9.7109375" style="125" customWidth="1"/>
    <col min="5408" max="5409" width="3.7109375" style="125" customWidth="1"/>
    <col min="5410" max="5410" width="9.7109375" style="125" customWidth="1"/>
    <col min="5411" max="5412" width="3.7109375" style="125" customWidth="1"/>
    <col min="5413" max="5413" width="9.7109375" style="125" customWidth="1"/>
    <col min="5414" max="5415" width="3.7109375" style="125" customWidth="1"/>
    <col min="5416" max="5416" width="9.7109375" style="125" customWidth="1"/>
    <col min="5417" max="5418" width="3.7109375" style="125" customWidth="1"/>
    <col min="5419" max="5419" width="9.7109375" style="125" customWidth="1"/>
    <col min="5420" max="5421" width="3.7109375" style="125" customWidth="1"/>
    <col min="5422" max="5422" width="9.7109375" style="125" customWidth="1"/>
    <col min="5423" max="5424" width="3.7109375" style="125" customWidth="1"/>
    <col min="5425" max="5425" width="9.7109375" style="125" customWidth="1"/>
    <col min="5426" max="5427" width="3.7109375" style="125" customWidth="1"/>
    <col min="5428" max="5428" width="9.7109375" style="125" customWidth="1"/>
    <col min="5429" max="5430" width="3.7109375" style="125" customWidth="1"/>
    <col min="5431" max="5431" width="9.7109375" style="125" customWidth="1"/>
    <col min="5432" max="5433" width="3.7109375" style="125" customWidth="1"/>
    <col min="5434" max="5434" width="9.7109375" style="125" customWidth="1"/>
    <col min="5435" max="5436" width="3.7109375" style="125" customWidth="1"/>
    <col min="5437" max="5437" width="9.7109375" style="125" customWidth="1"/>
    <col min="5438" max="5439" width="3.7109375" style="125" customWidth="1"/>
    <col min="5440" max="5440" width="9.7109375" style="125" customWidth="1"/>
    <col min="5441" max="5442" width="3.7109375" style="125" customWidth="1"/>
    <col min="5443" max="5443" width="9.7109375" style="125" customWidth="1"/>
    <col min="5444" max="5445" width="3.7109375" style="125" customWidth="1"/>
    <col min="5446" max="5446" width="9.7109375" style="125" customWidth="1"/>
    <col min="5447" max="5448" width="3.7109375" style="125" customWidth="1"/>
    <col min="5449" max="5449" width="9.7109375" style="125" customWidth="1"/>
    <col min="5450" max="5451" width="3.7109375" style="125" customWidth="1"/>
    <col min="5452" max="5452" width="9.7109375" style="125" customWidth="1"/>
    <col min="5453" max="5454" width="3.7109375" style="125" customWidth="1"/>
    <col min="5455" max="5455" width="9.7109375" style="125" customWidth="1"/>
    <col min="5456" max="5457" width="3.7109375" style="125" customWidth="1"/>
    <col min="5458" max="5458" width="9.7109375" style="125" customWidth="1"/>
    <col min="5459" max="5460" width="3.7109375" style="125" customWidth="1"/>
    <col min="5461" max="5461" width="9.7109375" style="125" customWidth="1"/>
    <col min="5462" max="5463" width="3.7109375" style="125" customWidth="1"/>
    <col min="5464" max="5464" width="9.7109375" style="125" customWidth="1"/>
    <col min="5465" max="5466" width="3.7109375" style="125" customWidth="1"/>
    <col min="5467" max="5467" width="9.7109375" style="125" customWidth="1"/>
    <col min="5468" max="5469" width="3.7109375" style="125" customWidth="1"/>
    <col min="5470" max="5470" width="9.7109375" style="125" customWidth="1"/>
    <col min="5471" max="5472" width="3.7109375" style="125" customWidth="1"/>
    <col min="5473" max="5473" width="9.7109375" style="125" customWidth="1"/>
    <col min="5474" max="5475" width="3.7109375" style="125" customWidth="1"/>
    <col min="5476" max="5476" width="9.7109375" style="125" customWidth="1"/>
    <col min="5477" max="5478" width="3.7109375" style="125" customWidth="1"/>
    <col min="5479" max="5479" width="9.7109375" style="125" customWidth="1"/>
    <col min="5480" max="5481" width="3.7109375" style="125" customWidth="1"/>
    <col min="5482" max="5482" width="9.7109375" style="125" customWidth="1"/>
    <col min="5483" max="5484" width="3.7109375" style="125" customWidth="1"/>
    <col min="5485" max="5485" width="9.7109375" style="125" customWidth="1"/>
    <col min="5486" max="5487" width="3.7109375" style="125" customWidth="1"/>
    <col min="5488" max="5488" width="9.7109375" style="125" customWidth="1"/>
    <col min="5489" max="5490" width="3.7109375" style="125" customWidth="1"/>
    <col min="5491" max="5491" width="9.7109375" style="125" customWidth="1"/>
    <col min="5492" max="5493" width="3.7109375" style="125" customWidth="1"/>
    <col min="5494" max="5494" width="9.7109375" style="125" customWidth="1"/>
    <col min="5495" max="5496" width="3.7109375" style="125" customWidth="1"/>
    <col min="5497" max="5497" width="9.7109375" style="125" customWidth="1"/>
    <col min="5498" max="5499" width="3.7109375" style="125" customWidth="1"/>
    <col min="5500" max="5500" width="9.7109375" style="125" customWidth="1"/>
    <col min="5501" max="5502" width="3.7109375" style="125" customWidth="1"/>
    <col min="5503" max="5503" width="9.7109375" style="125" customWidth="1"/>
    <col min="5504" max="5505" width="3.7109375" style="125" customWidth="1"/>
    <col min="5506" max="5506" width="9.7109375" style="125" customWidth="1"/>
    <col min="5507" max="5508" width="3.7109375" style="125" customWidth="1"/>
    <col min="5509" max="5509" width="9.7109375" style="125" customWidth="1"/>
    <col min="5510" max="5511" width="3.7109375" style="125" customWidth="1"/>
    <col min="5512" max="5512" width="9.7109375" style="125" customWidth="1"/>
    <col min="5513" max="5514" width="3.7109375" style="125" customWidth="1"/>
    <col min="5515" max="5515" width="9.7109375" style="125" customWidth="1"/>
    <col min="5516" max="5517" width="3.7109375" style="125" customWidth="1"/>
    <col min="5518" max="5518" width="9.7109375" style="125" customWidth="1"/>
    <col min="5519" max="5520" width="3.7109375" style="125" customWidth="1"/>
    <col min="5521" max="5521" width="9.7109375" style="125" customWidth="1"/>
    <col min="5522" max="5522" width="3.7109375" style="125" customWidth="1"/>
    <col min="5523" max="5523" width="5.7109375" style="125" bestFit="1" customWidth="1"/>
    <col min="5524" max="5524" width="9.7109375" style="125" customWidth="1"/>
    <col min="5525" max="5526" width="3.7109375" style="125" customWidth="1"/>
    <col min="5527" max="5527" width="9.7109375" style="125" customWidth="1"/>
    <col min="5528" max="5529" width="3.7109375" style="125" customWidth="1"/>
    <col min="5530" max="5530" width="9.7109375" style="125" customWidth="1"/>
    <col min="5531" max="5532" width="3.7109375" style="125" customWidth="1"/>
    <col min="5533" max="5533" width="9.7109375" style="125" customWidth="1"/>
    <col min="5534" max="5535" width="3.7109375" style="125" customWidth="1"/>
    <col min="5536" max="5536" width="9.7109375" style="125" customWidth="1"/>
    <col min="5537" max="5538" width="3.7109375" style="125" customWidth="1"/>
    <col min="5539" max="5539" width="9.7109375" style="125" customWidth="1"/>
    <col min="5540" max="5540" width="3.7109375" style="125" customWidth="1"/>
    <col min="5541" max="5541" width="5.7109375" style="125" bestFit="1" customWidth="1"/>
    <col min="5542" max="5542" width="9.7109375" style="125" customWidth="1"/>
    <col min="5543" max="5544" width="3.7109375" style="125" customWidth="1"/>
    <col min="5545" max="5545" width="9.7109375" style="125" customWidth="1"/>
    <col min="5546" max="5547" width="3.7109375" style="125" customWidth="1"/>
    <col min="5548" max="5548" width="9.7109375" style="125" customWidth="1"/>
    <col min="5549" max="5550" width="3.7109375" style="125" customWidth="1"/>
    <col min="5551" max="5551" width="9.7109375" style="125" customWidth="1"/>
    <col min="5552" max="5553" width="3.7109375" style="125" customWidth="1"/>
    <col min="5554" max="5554" width="9.7109375" style="125" customWidth="1"/>
    <col min="5555" max="5556" width="3.7109375" style="125" customWidth="1"/>
    <col min="5557" max="5557" width="9.7109375" style="125" customWidth="1"/>
    <col min="5558" max="5559" width="3.7109375" style="125" customWidth="1"/>
    <col min="5560" max="5560" width="9.7109375" style="125" customWidth="1"/>
    <col min="5561" max="5562" width="3.7109375" style="125" customWidth="1"/>
    <col min="5563" max="5563" width="9.7109375" style="125" customWidth="1"/>
    <col min="5564" max="5565" width="3.7109375" style="125" customWidth="1"/>
    <col min="5566" max="5566" width="9.7109375" style="125" customWidth="1"/>
    <col min="5567" max="5568" width="3.7109375" style="125" customWidth="1"/>
    <col min="5569" max="5569" width="9.7109375" style="125" customWidth="1"/>
    <col min="5570" max="5571" width="3.7109375" style="125" customWidth="1"/>
    <col min="5572" max="5572" width="9.7109375" style="125" customWidth="1"/>
    <col min="5573" max="5574" width="3.7109375" style="125" customWidth="1"/>
    <col min="5575" max="5575" width="9.7109375" style="125" customWidth="1"/>
    <col min="5576" max="5577" width="3.7109375" style="125" customWidth="1"/>
    <col min="5578" max="5578" width="9.7109375" style="125" customWidth="1"/>
    <col min="5579" max="5580" width="3.7109375" style="125" customWidth="1"/>
    <col min="5581" max="5581" width="9.7109375" style="125" customWidth="1"/>
    <col min="5582" max="5583" width="3.7109375" style="125" customWidth="1"/>
    <col min="5584" max="5584" width="9.7109375" style="125" customWidth="1"/>
    <col min="5585" max="5586" width="3.7109375" style="125" customWidth="1"/>
    <col min="5587" max="5587" width="9.7109375" style="125" customWidth="1"/>
    <col min="5588" max="5589" width="3.7109375" style="125" customWidth="1"/>
    <col min="5590" max="5590" width="9.7109375" style="125" customWidth="1"/>
    <col min="5591" max="5592" width="3.7109375" style="125" customWidth="1"/>
    <col min="5593" max="5593" width="9.7109375" style="125" customWidth="1"/>
    <col min="5594" max="5595" width="3.7109375" style="125" customWidth="1"/>
    <col min="5596" max="5596" width="9.7109375" style="125" customWidth="1"/>
    <col min="5597" max="5598" width="3.7109375" style="125" customWidth="1"/>
    <col min="5599" max="5599" width="9.7109375" style="125" customWidth="1"/>
    <col min="5600" max="5601" width="3.7109375" style="125" customWidth="1"/>
    <col min="5602" max="5602" width="9.7109375" style="125" customWidth="1"/>
    <col min="5603" max="5604" width="3.7109375" style="125" customWidth="1"/>
    <col min="5605" max="5605" width="9.7109375" style="125" customWidth="1"/>
    <col min="5606" max="5607" width="3.7109375" style="125" customWidth="1"/>
    <col min="5608" max="5608" width="9.7109375" style="125" customWidth="1"/>
    <col min="5609" max="5610" width="3.7109375" style="125" customWidth="1"/>
    <col min="5611" max="5611" width="9.7109375" style="125" customWidth="1"/>
    <col min="5612" max="5613" width="3.7109375" style="125" customWidth="1"/>
    <col min="5614" max="5614" width="9.7109375" style="125" customWidth="1"/>
    <col min="5615" max="5616" width="3.7109375" style="125" customWidth="1"/>
    <col min="5617" max="5617" width="9.7109375" style="125" customWidth="1"/>
    <col min="5618" max="5619" width="3.7109375" style="125" customWidth="1"/>
    <col min="5620" max="5620" width="9.7109375" style="125" customWidth="1"/>
    <col min="5621" max="5622" width="3.7109375" style="125" customWidth="1"/>
    <col min="5623" max="5623" width="9.7109375" style="125" customWidth="1"/>
    <col min="5624" max="5625" width="3.7109375" style="125" customWidth="1"/>
    <col min="5626" max="5626" width="9.7109375" style="125" customWidth="1"/>
    <col min="5627" max="5628" width="3.7109375" style="125" customWidth="1"/>
    <col min="5629" max="5629" width="9.7109375" style="125" customWidth="1"/>
    <col min="5630" max="5630" width="3.7109375" style="125" customWidth="1"/>
    <col min="5631" max="5632" width="8" style="125"/>
    <col min="5633" max="5633" width="30.7109375" style="125" customWidth="1"/>
    <col min="5634" max="5634" width="9.7109375" style="125" customWidth="1"/>
    <col min="5635" max="5635" width="3.7109375" style="125" customWidth="1"/>
    <col min="5636" max="5636" width="9.7109375" style="125" customWidth="1"/>
    <col min="5637" max="5638" width="3.7109375" style="125" customWidth="1"/>
    <col min="5639" max="5639" width="9.7109375" style="125" customWidth="1"/>
    <col min="5640" max="5641" width="3.7109375" style="125" customWidth="1"/>
    <col min="5642" max="5642" width="9.7109375" style="125" customWidth="1"/>
    <col min="5643" max="5644" width="3.7109375" style="125" customWidth="1"/>
    <col min="5645" max="5645" width="9.7109375" style="125" customWidth="1"/>
    <col min="5646" max="5647" width="3.7109375" style="125" customWidth="1"/>
    <col min="5648" max="5648" width="9.7109375" style="125" customWidth="1"/>
    <col min="5649" max="5650" width="3.7109375" style="125" customWidth="1"/>
    <col min="5651" max="5651" width="9.7109375" style="125" customWidth="1"/>
    <col min="5652" max="5653" width="3.7109375" style="125" customWidth="1"/>
    <col min="5654" max="5654" width="9.7109375" style="125" customWidth="1"/>
    <col min="5655" max="5656" width="3.7109375" style="125" customWidth="1"/>
    <col min="5657" max="5657" width="9.7109375" style="125" customWidth="1"/>
    <col min="5658" max="5659" width="3.7109375" style="125" customWidth="1"/>
    <col min="5660" max="5660" width="9.7109375" style="125" customWidth="1"/>
    <col min="5661" max="5662" width="3.7109375" style="125" customWidth="1"/>
    <col min="5663" max="5663" width="9.7109375" style="125" customWidth="1"/>
    <col min="5664" max="5665" width="3.7109375" style="125" customWidth="1"/>
    <col min="5666" max="5666" width="9.7109375" style="125" customWidth="1"/>
    <col min="5667" max="5668" width="3.7109375" style="125" customWidth="1"/>
    <col min="5669" max="5669" width="9.7109375" style="125" customWidth="1"/>
    <col min="5670" max="5671" width="3.7109375" style="125" customWidth="1"/>
    <col min="5672" max="5672" width="9.7109375" style="125" customWidth="1"/>
    <col min="5673" max="5674" width="3.7109375" style="125" customWidth="1"/>
    <col min="5675" max="5675" width="9.7109375" style="125" customWidth="1"/>
    <col min="5676" max="5677" width="3.7109375" style="125" customWidth="1"/>
    <col min="5678" max="5678" width="9.7109375" style="125" customWidth="1"/>
    <col min="5679" max="5680" width="3.7109375" style="125" customWidth="1"/>
    <col min="5681" max="5681" width="9.7109375" style="125" customWidth="1"/>
    <col min="5682" max="5683" width="3.7109375" style="125" customWidth="1"/>
    <col min="5684" max="5684" width="9.7109375" style="125" customWidth="1"/>
    <col min="5685" max="5686" width="3.7109375" style="125" customWidth="1"/>
    <col min="5687" max="5687" width="9.7109375" style="125" customWidth="1"/>
    <col min="5688" max="5689" width="3.7109375" style="125" customWidth="1"/>
    <col min="5690" max="5690" width="9.7109375" style="125" customWidth="1"/>
    <col min="5691" max="5692" width="3.7109375" style="125" customWidth="1"/>
    <col min="5693" max="5693" width="9.7109375" style="125" customWidth="1"/>
    <col min="5694" max="5695" width="3.7109375" style="125" customWidth="1"/>
    <col min="5696" max="5696" width="9.7109375" style="125" customWidth="1"/>
    <col min="5697" max="5698" width="3.7109375" style="125" customWidth="1"/>
    <col min="5699" max="5699" width="9.7109375" style="125" customWidth="1"/>
    <col min="5700" max="5701" width="3.7109375" style="125" customWidth="1"/>
    <col min="5702" max="5702" width="9.7109375" style="125" customWidth="1"/>
    <col min="5703" max="5704" width="3.7109375" style="125" customWidth="1"/>
    <col min="5705" max="5705" width="9.7109375" style="125" customWidth="1"/>
    <col min="5706" max="5707" width="3.7109375" style="125" customWidth="1"/>
    <col min="5708" max="5708" width="9.7109375" style="125" customWidth="1"/>
    <col min="5709" max="5710" width="3.7109375" style="125" customWidth="1"/>
    <col min="5711" max="5711" width="9.7109375" style="125" customWidth="1"/>
    <col min="5712" max="5713" width="3.7109375" style="125" customWidth="1"/>
    <col min="5714" max="5714" width="9.7109375" style="125" customWidth="1"/>
    <col min="5715" max="5716" width="3.7109375" style="125" customWidth="1"/>
    <col min="5717" max="5717" width="9.7109375" style="125" customWidth="1"/>
    <col min="5718" max="5719" width="3.7109375" style="125" customWidth="1"/>
    <col min="5720" max="5720" width="9.7109375" style="125" customWidth="1"/>
    <col min="5721" max="5722" width="3.7109375" style="125" customWidth="1"/>
    <col min="5723" max="5723" width="9.7109375" style="125" customWidth="1"/>
    <col min="5724" max="5725" width="3.7109375" style="125" customWidth="1"/>
    <col min="5726" max="5726" width="9.7109375" style="125" customWidth="1"/>
    <col min="5727" max="5728" width="3.7109375" style="125" customWidth="1"/>
    <col min="5729" max="5729" width="9.7109375" style="125" customWidth="1"/>
    <col min="5730" max="5731" width="3.7109375" style="125" customWidth="1"/>
    <col min="5732" max="5732" width="9.7109375" style="125" customWidth="1"/>
    <col min="5733" max="5734" width="3.7109375" style="125" customWidth="1"/>
    <col min="5735" max="5735" width="9.7109375" style="125" customWidth="1"/>
    <col min="5736" max="5737" width="3.7109375" style="125" customWidth="1"/>
    <col min="5738" max="5738" width="9.7109375" style="125" customWidth="1"/>
    <col min="5739" max="5740" width="3.7109375" style="125" customWidth="1"/>
    <col min="5741" max="5741" width="9.7109375" style="125" customWidth="1"/>
    <col min="5742" max="5743" width="3.7109375" style="125" customWidth="1"/>
    <col min="5744" max="5744" width="9.7109375" style="125" customWidth="1"/>
    <col min="5745" max="5746" width="3.7109375" style="125" customWidth="1"/>
    <col min="5747" max="5747" width="9.7109375" style="125" customWidth="1"/>
    <col min="5748" max="5749" width="3.7109375" style="125" customWidth="1"/>
    <col min="5750" max="5750" width="9.7109375" style="125" customWidth="1"/>
    <col min="5751" max="5752" width="3.7109375" style="125" customWidth="1"/>
    <col min="5753" max="5753" width="9.7109375" style="125" customWidth="1"/>
    <col min="5754" max="5755" width="3.7109375" style="125" customWidth="1"/>
    <col min="5756" max="5756" width="9.7109375" style="125" customWidth="1"/>
    <col min="5757" max="5758" width="3.7109375" style="125" customWidth="1"/>
    <col min="5759" max="5759" width="9.7109375" style="125" customWidth="1"/>
    <col min="5760" max="5761" width="3.7109375" style="125" customWidth="1"/>
    <col min="5762" max="5762" width="9.7109375" style="125" customWidth="1"/>
    <col min="5763" max="5764" width="3.7109375" style="125" customWidth="1"/>
    <col min="5765" max="5765" width="9.7109375" style="125" customWidth="1"/>
    <col min="5766" max="5767" width="3.7109375" style="125" customWidth="1"/>
    <col min="5768" max="5768" width="9.7109375" style="125" customWidth="1"/>
    <col min="5769" max="5770" width="3.7109375" style="125" customWidth="1"/>
    <col min="5771" max="5771" width="9.7109375" style="125" customWidth="1"/>
    <col min="5772" max="5773" width="3.7109375" style="125" customWidth="1"/>
    <col min="5774" max="5774" width="9.7109375" style="125" customWidth="1"/>
    <col min="5775" max="5776" width="3.7109375" style="125" customWidth="1"/>
    <col min="5777" max="5777" width="9.7109375" style="125" customWidth="1"/>
    <col min="5778" max="5778" width="3.7109375" style="125" customWidth="1"/>
    <col min="5779" max="5779" width="5.7109375" style="125" bestFit="1" customWidth="1"/>
    <col min="5780" max="5780" width="9.7109375" style="125" customWidth="1"/>
    <col min="5781" max="5782" width="3.7109375" style="125" customWidth="1"/>
    <col min="5783" max="5783" width="9.7109375" style="125" customWidth="1"/>
    <col min="5784" max="5785" width="3.7109375" style="125" customWidth="1"/>
    <col min="5786" max="5786" width="9.7109375" style="125" customWidth="1"/>
    <col min="5787" max="5788" width="3.7109375" style="125" customWidth="1"/>
    <col min="5789" max="5789" width="9.7109375" style="125" customWidth="1"/>
    <col min="5790" max="5791" width="3.7109375" style="125" customWidth="1"/>
    <col min="5792" max="5792" width="9.7109375" style="125" customWidth="1"/>
    <col min="5793" max="5794" width="3.7109375" style="125" customWidth="1"/>
    <col min="5795" max="5795" width="9.7109375" style="125" customWidth="1"/>
    <col min="5796" max="5796" width="3.7109375" style="125" customWidth="1"/>
    <col min="5797" max="5797" width="5.7109375" style="125" bestFit="1" customWidth="1"/>
    <col min="5798" max="5798" width="9.7109375" style="125" customWidth="1"/>
    <col min="5799" max="5800" width="3.7109375" style="125" customWidth="1"/>
    <col min="5801" max="5801" width="9.7109375" style="125" customWidth="1"/>
    <col min="5802" max="5803" width="3.7109375" style="125" customWidth="1"/>
    <col min="5804" max="5804" width="9.7109375" style="125" customWidth="1"/>
    <col min="5805" max="5806" width="3.7109375" style="125" customWidth="1"/>
    <col min="5807" max="5807" width="9.7109375" style="125" customWidth="1"/>
    <col min="5808" max="5809" width="3.7109375" style="125" customWidth="1"/>
    <col min="5810" max="5810" width="9.7109375" style="125" customWidth="1"/>
    <col min="5811" max="5812" width="3.7109375" style="125" customWidth="1"/>
    <col min="5813" max="5813" width="9.7109375" style="125" customWidth="1"/>
    <col min="5814" max="5815" width="3.7109375" style="125" customWidth="1"/>
    <col min="5816" max="5816" width="9.7109375" style="125" customWidth="1"/>
    <col min="5817" max="5818" width="3.7109375" style="125" customWidth="1"/>
    <col min="5819" max="5819" width="9.7109375" style="125" customWidth="1"/>
    <col min="5820" max="5821" width="3.7109375" style="125" customWidth="1"/>
    <col min="5822" max="5822" width="9.7109375" style="125" customWidth="1"/>
    <col min="5823" max="5824" width="3.7109375" style="125" customWidth="1"/>
    <col min="5825" max="5825" width="9.7109375" style="125" customWidth="1"/>
    <col min="5826" max="5827" width="3.7109375" style="125" customWidth="1"/>
    <col min="5828" max="5828" width="9.7109375" style="125" customWidth="1"/>
    <col min="5829" max="5830" width="3.7109375" style="125" customWidth="1"/>
    <col min="5831" max="5831" width="9.7109375" style="125" customWidth="1"/>
    <col min="5832" max="5833" width="3.7109375" style="125" customWidth="1"/>
    <col min="5834" max="5834" width="9.7109375" style="125" customWidth="1"/>
    <col min="5835" max="5836" width="3.7109375" style="125" customWidth="1"/>
    <col min="5837" max="5837" width="9.7109375" style="125" customWidth="1"/>
    <col min="5838" max="5839" width="3.7109375" style="125" customWidth="1"/>
    <col min="5840" max="5840" width="9.7109375" style="125" customWidth="1"/>
    <col min="5841" max="5842" width="3.7109375" style="125" customWidth="1"/>
    <col min="5843" max="5843" width="9.7109375" style="125" customWidth="1"/>
    <col min="5844" max="5845" width="3.7109375" style="125" customWidth="1"/>
    <col min="5846" max="5846" width="9.7109375" style="125" customWidth="1"/>
    <col min="5847" max="5848" width="3.7109375" style="125" customWidth="1"/>
    <col min="5849" max="5849" width="9.7109375" style="125" customWidth="1"/>
    <col min="5850" max="5851" width="3.7109375" style="125" customWidth="1"/>
    <col min="5852" max="5852" width="9.7109375" style="125" customWidth="1"/>
    <col min="5853" max="5854" width="3.7109375" style="125" customWidth="1"/>
    <col min="5855" max="5855" width="9.7109375" style="125" customWidth="1"/>
    <col min="5856" max="5857" width="3.7109375" style="125" customWidth="1"/>
    <col min="5858" max="5858" width="9.7109375" style="125" customWidth="1"/>
    <col min="5859" max="5860" width="3.7109375" style="125" customWidth="1"/>
    <col min="5861" max="5861" width="9.7109375" style="125" customWidth="1"/>
    <col min="5862" max="5863" width="3.7109375" style="125" customWidth="1"/>
    <col min="5864" max="5864" width="9.7109375" style="125" customWidth="1"/>
    <col min="5865" max="5866" width="3.7109375" style="125" customWidth="1"/>
    <col min="5867" max="5867" width="9.7109375" style="125" customWidth="1"/>
    <col min="5868" max="5869" width="3.7109375" style="125" customWidth="1"/>
    <col min="5870" max="5870" width="9.7109375" style="125" customWidth="1"/>
    <col min="5871" max="5872" width="3.7109375" style="125" customWidth="1"/>
    <col min="5873" max="5873" width="9.7109375" style="125" customWidth="1"/>
    <col min="5874" max="5875" width="3.7109375" style="125" customWidth="1"/>
    <col min="5876" max="5876" width="9.7109375" style="125" customWidth="1"/>
    <col min="5877" max="5878" width="3.7109375" style="125" customWidth="1"/>
    <col min="5879" max="5879" width="9.7109375" style="125" customWidth="1"/>
    <col min="5880" max="5881" width="3.7109375" style="125" customWidth="1"/>
    <col min="5882" max="5882" width="9.7109375" style="125" customWidth="1"/>
    <col min="5883" max="5884" width="3.7109375" style="125" customWidth="1"/>
    <col min="5885" max="5885" width="9.7109375" style="125" customWidth="1"/>
    <col min="5886" max="5886" width="3.7109375" style="125" customWidth="1"/>
    <col min="5887" max="5888" width="8" style="125"/>
    <col min="5889" max="5889" width="30.7109375" style="125" customWidth="1"/>
    <col min="5890" max="5890" width="9.7109375" style="125" customWidth="1"/>
    <col min="5891" max="5891" width="3.7109375" style="125" customWidth="1"/>
    <col min="5892" max="5892" width="9.7109375" style="125" customWidth="1"/>
    <col min="5893" max="5894" width="3.7109375" style="125" customWidth="1"/>
    <col min="5895" max="5895" width="9.7109375" style="125" customWidth="1"/>
    <col min="5896" max="5897" width="3.7109375" style="125" customWidth="1"/>
    <col min="5898" max="5898" width="9.7109375" style="125" customWidth="1"/>
    <col min="5899" max="5900" width="3.7109375" style="125" customWidth="1"/>
    <col min="5901" max="5901" width="9.7109375" style="125" customWidth="1"/>
    <col min="5902" max="5903" width="3.7109375" style="125" customWidth="1"/>
    <col min="5904" max="5904" width="9.7109375" style="125" customWidth="1"/>
    <col min="5905" max="5906" width="3.7109375" style="125" customWidth="1"/>
    <col min="5907" max="5907" width="9.7109375" style="125" customWidth="1"/>
    <col min="5908" max="5909" width="3.7109375" style="125" customWidth="1"/>
    <col min="5910" max="5910" width="9.7109375" style="125" customWidth="1"/>
    <col min="5911" max="5912" width="3.7109375" style="125" customWidth="1"/>
    <col min="5913" max="5913" width="9.7109375" style="125" customWidth="1"/>
    <col min="5914" max="5915" width="3.7109375" style="125" customWidth="1"/>
    <col min="5916" max="5916" width="9.7109375" style="125" customWidth="1"/>
    <col min="5917" max="5918" width="3.7109375" style="125" customWidth="1"/>
    <col min="5919" max="5919" width="9.7109375" style="125" customWidth="1"/>
    <col min="5920" max="5921" width="3.7109375" style="125" customWidth="1"/>
    <col min="5922" max="5922" width="9.7109375" style="125" customWidth="1"/>
    <col min="5923" max="5924" width="3.7109375" style="125" customWidth="1"/>
    <col min="5925" max="5925" width="9.7109375" style="125" customWidth="1"/>
    <col min="5926" max="5927" width="3.7109375" style="125" customWidth="1"/>
    <col min="5928" max="5928" width="9.7109375" style="125" customWidth="1"/>
    <col min="5929" max="5930" width="3.7109375" style="125" customWidth="1"/>
    <col min="5931" max="5931" width="9.7109375" style="125" customWidth="1"/>
    <col min="5932" max="5933" width="3.7109375" style="125" customWidth="1"/>
    <col min="5934" max="5934" width="9.7109375" style="125" customWidth="1"/>
    <col min="5935" max="5936" width="3.7109375" style="125" customWidth="1"/>
    <col min="5937" max="5937" width="9.7109375" style="125" customWidth="1"/>
    <col min="5938" max="5939" width="3.7109375" style="125" customWidth="1"/>
    <col min="5940" max="5940" width="9.7109375" style="125" customWidth="1"/>
    <col min="5941" max="5942" width="3.7109375" style="125" customWidth="1"/>
    <col min="5943" max="5943" width="9.7109375" style="125" customWidth="1"/>
    <col min="5944" max="5945" width="3.7109375" style="125" customWidth="1"/>
    <col min="5946" max="5946" width="9.7109375" style="125" customWidth="1"/>
    <col min="5947" max="5948" width="3.7109375" style="125" customWidth="1"/>
    <col min="5949" max="5949" width="9.7109375" style="125" customWidth="1"/>
    <col min="5950" max="5951" width="3.7109375" style="125" customWidth="1"/>
    <col min="5952" max="5952" width="9.7109375" style="125" customWidth="1"/>
    <col min="5953" max="5954" width="3.7109375" style="125" customWidth="1"/>
    <col min="5955" max="5955" width="9.7109375" style="125" customWidth="1"/>
    <col min="5956" max="5957" width="3.7109375" style="125" customWidth="1"/>
    <col min="5958" max="5958" width="9.7109375" style="125" customWidth="1"/>
    <col min="5959" max="5960" width="3.7109375" style="125" customWidth="1"/>
    <col min="5961" max="5961" width="9.7109375" style="125" customWidth="1"/>
    <col min="5962" max="5963" width="3.7109375" style="125" customWidth="1"/>
    <col min="5964" max="5964" width="9.7109375" style="125" customWidth="1"/>
    <col min="5965" max="5966" width="3.7109375" style="125" customWidth="1"/>
    <col min="5967" max="5967" width="9.7109375" style="125" customWidth="1"/>
    <col min="5968" max="5969" width="3.7109375" style="125" customWidth="1"/>
    <col min="5970" max="5970" width="9.7109375" style="125" customWidth="1"/>
    <col min="5971" max="5972" width="3.7109375" style="125" customWidth="1"/>
    <col min="5973" max="5973" width="9.7109375" style="125" customWidth="1"/>
    <col min="5974" max="5975" width="3.7109375" style="125" customWidth="1"/>
    <col min="5976" max="5976" width="9.7109375" style="125" customWidth="1"/>
    <col min="5977" max="5978" width="3.7109375" style="125" customWidth="1"/>
    <col min="5979" max="5979" width="9.7109375" style="125" customWidth="1"/>
    <col min="5980" max="5981" width="3.7109375" style="125" customWidth="1"/>
    <col min="5982" max="5982" width="9.7109375" style="125" customWidth="1"/>
    <col min="5983" max="5984" width="3.7109375" style="125" customWidth="1"/>
    <col min="5985" max="5985" width="9.7109375" style="125" customWidth="1"/>
    <col min="5986" max="5987" width="3.7109375" style="125" customWidth="1"/>
    <col min="5988" max="5988" width="9.7109375" style="125" customWidth="1"/>
    <col min="5989" max="5990" width="3.7109375" style="125" customWidth="1"/>
    <col min="5991" max="5991" width="9.7109375" style="125" customWidth="1"/>
    <col min="5992" max="5993" width="3.7109375" style="125" customWidth="1"/>
    <col min="5994" max="5994" width="9.7109375" style="125" customWidth="1"/>
    <col min="5995" max="5996" width="3.7109375" style="125" customWidth="1"/>
    <col min="5997" max="5997" width="9.7109375" style="125" customWidth="1"/>
    <col min="5998" max="5999" width="3.7109375" style="125" customWidth="1"/>
    <col min="6000" max="6000" width="9.7109375" style="125" customWidth="1"/>
    <col min="6001" max="6002" width="3.7109375" style="125" customWidth="1"/>
    <col min="6003" max="6003" width="9.7109375" style="125" customWidth="1"/>
    <col min="6004" max="6005" width="3.7109375" style="125" customWidth="1"/>
    <col min="6006" max="6006" width="9.7109375" style="125" customWidth="1"/>
    <col min="6007" max="6008" width="3.7109375" style="125" customWidth="1"/>
    <col min="6009" max="6009" width="9.7109375" style="125" customWidth="1"/>
    <col min="6010" max="6011" width="3.7109375" style="125" customWidth="1"/>
    <col min="6012" max="6012" width="9.7109375" style="125" customWidth="1"/>
    <col min="6013" max="6014" width="3.7109375" style="125" customWidth="1"/>
    <col min="6015" max="6015" width="9.7109375" style="125" customWidth="1"/>
    <col min="6016" max="6017" width="3.7109375" style="125" customWidth="1"/>
    <col min="6018" max="6018" width="9.7109375" style="125" customWidth="1"/>
    <col min="6019" max="6020" width="3.7109375" style="125" customWidth="1"/>
    <col min="6021" max="6021" width="9.7109375" style="125" customWidth="1"/>
    <col min="6022" max="6023" width="3.7109375" style="125" customWidth="1"/>
    <col min="6024" max="6024" width="9.7109375" style="125" customWidth="1"/>
    <col min="6025" max="6026" width="3.7109375" style="125" customWidth="1"/>
    <col min="6027" max="6027" width="9.7109375" style="125" customWidth="1"/>
    <col min="6028" max="6029" width="3.7109375" style="125" customWidth="1"/>
    <col min="6030" max="6030" width="9.7109375" style="125" customWidth="1"/>
    <col min="6031" max="6032" width="3.7109375" style="125" customWidth="1"/>
    <col min="6033" max="6033" width="9.7109375" style="125" customWidth="1"/>
    <col min="6034" max="6034" width="3.7109375" style="125" customWidth="1"/>
    <col min="6035" max="6035" width="5.7109375" style="125" bestFit="1" customWidth="1"/>
    <col min="6036" max="6036" width="9.7109375" style="125" customWidth="1"/>
    <col min="6037" max="6038" width="3.7109375" style="125" customWidth="1"/>
    <col min="6039" max="6039" width="9.7109375" style="125" customWidth="1"/>
    <col min="6040" max="6041" width="3.7109375" style="125" customWidth="1"/>
    <col min="6042" max="6042" width="9.7109375" style="125" customWidth="1"/>
    <col min="6043" max="6044" width="3.7109375" style="125" customWidth="1"/>
    <col min="6045" max="6045" width="9.7109375" style="125" customWidth="1"/>
    <col min="6046" max="6047" width="3.7109375" style="125" customWidth="1"/>
    <col min="6048" max="6048" width="9.7109375" style="125" customWidth="1"/>
    <col min="6049" max="6050" width="3.7109375" style="125" customWidth="1"/>
    <col min="6051" max="6051" width="9.7109375" style="125" customWidth="1"/>
    <col min="6052" max="6052" width="3.7109375" style="125" customWidth="1"/>
    <col min="6053" max="6053" width="5.7109375" style="125" bestFit="1" customWidth="1"/>
    <col min="6054" max="6054" width="9.7109375" style="125" customWidth="1"/>
    <col min="6055" max="6056" width="3.7109375" style="125" customWidth="1"/>
    <col min="6057" max="6057" width="9.7109375" style="125" customWidth="1"/>
    <col min="6058" max="6059" width="3.7109375" style="125" customWidth="1"/>
    <col min="6060" max="6060" width="9.7109375" style="125" customWidth="1"/>
    <col min="6061" max="6062" width="3.7109375" style="125" customWidth="1"/>
    <col min="6063" max="6063" width="9.7109375" style="125" customWidth="1"/>
    <col min="6064" max="6065" width="3.7109375" style="125" customWidth="1"/>
    <col min="6066" max="6066" width="9.7109375" style="125" customWidth="1"/>
    <col min="6067" max="6068" width="3.7109375" style="125" customWidth="1"/>
    <col min="6069" max="6069" width="9.7109375" style="125" customWidth="1"/>
    <col min="6070" max="6071" width="3.7109375" style="125" customWidth="1"/>
    <col min="6072" max="6072" width="9.7109375" style="125" customWidth="1"/>
    <col min="6073" max="6074" width="3.7109375" style="125" customWidth="1"/>
    <col min="6075" max="6075" width="9.7109375" style="125" customWidth="1"/>
    <col min="6076" max="6077" width="3.7109375" style="125" customWidth="1"/>
    <col min="6078" max="6078" width="9.7109375" style="125" customWidth="1"/>
    <col min="6079" max="6080" width="3.7109375" style="125" customWidth="1"/>
    <col min="6081" max="6081" width="9.7109375" style="125" customWidth="1"/>
    <col min="6082" max="6083" width="3.7109375" style="125" customWidth="1"/>
    <col min="6084" max="6084" width="9.7109375" style="125" customWidth="1"/>
    <col min="6085" max="6086" width="3.7109375" style="125" customWidth="1"/>
    <col min="6087" max="6087" width="9.7109375" style="125" customWidth="1"/>
    <col min="6088" max="6089" width="3.7109375" style="125" customWidth="1"/>
    <col min="6090" max="6090" width="9.7109375" style="125" customWidth="1"/>
    <col min="6091" max="6092" width="3.7109375" style="125" customWidth="1"/>
    <col min="6093" max="6093" width="9.7109375" style="125" customWidth="1"/>
    <col min="6094" max="6095" width="3.7109375" style="125" customWidth="1"/>
    <col min="6096" max="6096" width="9.7109375" style="125" customWidth="1"/>
    <col min="6097" max="6098" width="3.7109375" style="125" customWidth="1"/>
    <col min="6099" max="6099" width="9.7109375" style="125" customWidth="1"/>
    <col min="6100" max="6101" width="3.7109375" style="125" customWidth="1"/>
    <col min="6102" max="6102" width="9.7109375" style="125" customWidth="1"/>
    <col min="6103" max="6104" width="3.7109375" style="125" customWidth="1"/>
    <col min="6105" max="6105" width="9.7109375" style="125" customWidth="1"/>
    <col min="6106" max="6107" width="3.7109375" style="125" customWidth="1"/>
    <col min="6108" max="6108" width="9.7109375" style="125" customWidth="1"/>
    <col min="6109" max="6110" width="3.7109375" style="125" customWidth="1"/>
    <col min="6111" max="6111" width="9.7109375" style="125" customWidth="1"/>
    <col min="6112" max="6113" width="3.7109375" style="125" customWidth="1"/>
    <col min="6114" max="6114" width="9.7109375" style="125" customWidth="1"/>
    <col min="6115" max="6116" width="3.7109375" style="125" customWidth="1"/>
    <col min="6117" max="6117" width="9.7109375" style="125" customWidth="1"/>
    <col min="6118" max="6119" width="3.7109375" style="125" customWidth="1"/>
    <col min="6120" max="6120" width="9.7109375" style="125" customWidth="1"/>
    <col min="6121" max="6122" width="3.7109375" style="125" customWidth="1"/>
    <col min="6123" max="6123" width="9.7109375" style="125" customWidth="1"/>
    <col min="6124" max="6125" width="3.7109375" style="125" customWidth="1"/>
    <col min="6126" max="6126" width="9.7109375" style="125" customWidth="1"/>
    <col min="6127" max="6128" width="3.7109375" style="125" customWidth="1"/>
    <col min="6129" max="6129" width="9.7109375" style="125" customWidth="1"/>
    <col min="6130" max="6131" width="3.7109375" style="125" customWidth="1"/>
    <col min="6132" max="6132" width="9.7109375" style="125" customWidth="1"/>
    <col min="6133" max="6134" width="3.7109375" style="125" customWidth="1"/>
    <col min="6135" max="6135" width="9.7109375" style="125" customWidth="1"/>
    <col min="6136" max="6137" width="3.7109375" style="125" customWidth="1"/>
    <col min="6138" max="6138" width="9.7109375" style="125" customWidth="1"/>
    <col min="6139" max="6140" width="3.7109375" style="125" customWidth="1"/>
    <col min="6141" max="6141" width="9.7109375" style="125" customWidth="1"/>
    <col min="6142" max="6142" width="3.7109375" style="125" customWidth="1"/>
    <col min="6143" max="6144" width="8" style="125"/>
    <col min="6145" max="6145" width="30.7109375" style="125" customWidth="1"/>
    <col min="6146" max="6146" width="9.7109375" style="125" customWidth="1"/>
    <col min="6147" max="6147" width="3.7109375" style="125" customWidth="1"/>
    <col min="6148" max="6148" width="9.7109375" style="125" customWidth="1"/>
    <col min="6149" max="6150" width="3.7109375" style="125" customWidth="1"/>
    <col min="6151" max="6151" width="9.7109375" style="125" customWidth="1"/>
    <col min="6152" max="6153" width="3.7109375" style="125" customWidth="1"/>
    <col min="6154" max="6154" width="9.7109375" style="125" customWidth="1"/>
    <col min="6155" max="6156" width="3.7109375" style="125" customWidth="1"/>
    <col min="6157" max="6157" width="9.7109375" style="125" customWidth="1"/>
    <col min="6158" max="6159" width="3.7109375" style="125" customWidth="1"/>
    <col min="6160" max="6160" width="9.7109375" style="125" customWidth="1"/>
    <col min="6161" max="6162" width="3.7109375" style="125" customWidth="1"/>
    <col min="6163" max="6163" width="9.7109375" style="125" customWidth="1"/>
    <col min="6164" max="6165" width="3.7109375" style="125" customWidth="1"/>
    <col min="6166" max="6166" width="9.7109375" style="125" customWidth="1"/>
    <col min="6167" max="6168" width="3.7109375" style="125" customWidth="1"/>
    <col min="6169" max="6169" width="9.7109375" style="125" customWidth="1"/>
    <col min="6170" max="6171" width="3.7109375" style="125" customWidth="1"/>
    <col min="6172" max="6172" width="9.7109375" style="125" customWidth="1"/>
    <col min="6173" max="6174" width="3.7109375" style="125" customWidth="1"/>
    <col min="6175" max="6175" width="9.7109375" style="125" customWidth="1"/>
    <col min="6176" max="6177" width="3.7109375" style="125" customWidth="1"/>
    <col min="6178" max="6178" width="9.7109375" style="125" customWidth="1"/>
    <col min="6179" max="6180" width="3.7109375" style="125" customWidth="1"/>
    <col min="6181" max="6181" width="9.7109375" style="125" customWidth="1"/>
    <col min="6182" max="6183" width="3.7109375" style="125" customWidth="1"/>
    <col min="6184" max="6184" width="9.7109375" style="125" customWidth="1"/>
    <col min="6185" max="6186" width="3.7109375" style="125" customWidth="1"/>
    <col min="6187" max="6187" width="9.7109375" style="125" customWidth="1"/>
    <col min="6188" max="6189" width="3.7109375" style="125" customWidth="1"/>
    <col min="6190" max="6190" width="9.7109375" style="125" customWidth="1"/>
    <col min="6191" max="6192" width="3.7109375" style="125" customWidth="1"/>
    <col min="6193" max="6193" width="9.7109375" style="125" customWidth="1"/>
    <col min="6194" max="6195" width="3.7109375" style="125" customWidth="1"/>
    <col min="6196" max="6196" width="9.7109375" style="125" customWidth="1"/>
    <col min="6197" max="6198" width="3.7109375" style="125" customWidth="1"/>
    <col min="6199" max="6199" width="9.7109375" style="125" customWidth="1"/>
    <col min="6200" max="6201" width="3.7109375" style="125" customWidth="1"/>
    <col min="6202" max="6202" width="9.7109375" style="125" customWidth="1"/>
    <col min="6203" max="6204" width="3.7109375" style="125" customWidth="1"/>
    <col min="6205" max="6205" width="9.7109375" style="125" customWidth="1"/>
    <col min="6206" max="6207" width="3.7109375" style="125" customWidth="1"/>
    <col min="6208" max="6208" width="9.7109375" style="125" customWidth="1"/>
    <col min="6209" max="6210" width="3.7109375" style="125" customWidth="1"/>
    <col min="6211" max="6211" width="9.7109375" style="125" customWidth="1"/>
    <col min="6212" max="6213" width="3.7109375" style="125" customWidth="1"/>
    <col min="6214" max="6214" width="9.7109375" style="125" customWidth="1"/>
    <col min="6215" max="6216" width="3.7109375" style="125" customWidth="1"/>
    <col min="6217" max="6217" width="9.7109375" style="125" customWidth="1"/>
    <col min="6218" max="6219" width="3.7109375" style="125" customWidth="1"/>
    <col min="6220" max="6220" width="9.7109375" style="125" customWidth="1"/>
    <col min="6221" max="6222" width="3.7109375" style="125" customWidth="1"/>
    <col min="6223" max="6223" width="9.7109375" style="125" customWidth="1"/>
    <col min="6224" max="6225" width="3.7109375" style="125" customWidth="1"/>
    <col min="6226" max="6226" width="9.7109375" style="125" customWidth="1"/>
    <col min="6227" max="6228" width="3.7109375" style="125" customWidth="1"/>
    <col min="6229" max="6229" width="9.7109375" style="125" customWidth="1"/>
    <col min="6230" max="6231" width="3.7109375" style="125" customWidth="1"/>
    <col min="6232" max="6232" width="9.7109375" style="125" customWidth="1"/>
    <col min="6233" max="6234" width="3.7109375" style="125" customWidth="1"/>
    <col min="6235" max="6235" width="9.7109375" style="125" customWidth="1"/>
    <col min="6236" max="6237" width="3.7109375" style="125" customWidth="1"/>
    <col min="6238" max="6238" width="9.7109375" style="125" customWidth="1"/>
    <col min="6239" max="6240" width="3.7109375" style="125" customWidth="1"/>
    <col min="6241" max="6241" width="9.7109375" style="125" customWidth="1"/>
    <col min="6242" max="6243" width="3.7109375" style="125" customWidth="1"/>
    <col min="6244" max="6244" width="9.7109375" style="125" customWidth="1"/>
    <col min="6245" max="6246" width="3.7109375" style="125" customWidth="1"/>
    <col min="6247" max="6247" width="9.7109375" style="125" customWidth="1"/>
    <col min="6248" max="6249" width="3.7109375" style="125" customWidth="1"/>
    <col min="6250" max="6250" width="9.7109375" style="125" customWidth="1"/>
    <col min="6251" max="6252" width="3.7109375" style="125" customWidth="1"/>
    <col min="6253" max="6253" width="9.7109375" style="125" customWidth="1"/>
    <col min="6254" max="6255" width="3.7109375" style="125" customWidth="1"/>
    <col min="6256" max="6256" width="9.7109375" style="125" customWidth="1"/>
    <col min="6257" max="6258" width="3.7109375" style="125" customWidth="1"/>
    <col min="6259" max="6259" width="9.7109375" style="125" customWidth="1"/>
    <col min="6260" max="6261" width="3.7109375" style="125" customWidth="1"/>
    <col min="6262" max="6262" width="9.7109375" style="125" customWidth="1"/>
    <col min="6263" max="6264" width="3.7109375" style="125" customWidth="1"/>
    <col min="6265" max="6265" width="9.7109375" style="125" customWidth="1"/>
    <col min="6266" max="6267" width="3.7109375" style="125" customWidth="1"/>
    <col min="6268" max="6268" width="9.7109375" style="125" customWidth="1"/>
    <col min="6269" max="6270" width="3.7109375" style="125" customWidth="1"/>
    <col min="6271" max="6271" width="9.7109375" style="125" customWidth="1"/>
    <col min="6272" max="6273" width="3.7109375" style="125" customWidth="1"/>
    <col min="6274" max="6274" width="9.7109375" style="125" customWidth="1"/>
    <col min="6275" max="6276" width="3.7109375" style="125" customWidth="1"/>
    <col min="6277" max="6277" width="9.7109375" style="125" customWidth="1"/>
    <col min="6278" max="6279" width="3.7109375" style="125" customWidth="1"/>
    <col min="6280" max="6280" width="9.7109375" style="125" customWidth="1"/>
    <col min="6281" max="6282" width="3.7109375" style="125" customWidth="1"/>
    <col min="6283" max="6283" width="9.7109375" style="125" customWidth="1"/>
    <col min="6284" max="6285" width="3.7109375" style="125" customWidth="1"/>
    <col min="6286" max="6286" width="9.7109375" style="125" customWidth="1"/>
    <col min="6287" max="6288" width="3.7109375" style="125" customWidth="1"/>
    <col min="6289" max="6289" width="9.7109375" style="125" customWidth="1"/>
    <col min="6290" max="6290" width="3.7109375" style="125" customWidth="1"/>
    <col min="6291" max="6291" width="5.7109375" style="125" bestFit="1" customWidth="1"/>
    <col min="6292" max="6292" width="9.7109375" style="125" customWidth="1"/>
    <col min="6293" max="6294" width="3.7109375" style="125" customWidth="1"/>
    <col min="6295" max="6295" width="9.7109375" style="125" customWidth="1"/>
    <col min="6296" max="6297" width="3.7109375" style="125" customWidth="1"/>
    <col min="6298" max="6298" width="9.7109375" style="125" customWidth="1"/>
    <col min="6299" max="6300" width="3.7109375" style="125" customWidth="1"/>
    <col min="6301" max="6301" width="9.7109375" style="125" customWidth="1"/>
    <col min="6302" max="6303" width="3.7109375" style="125" customWidth="1"/>
    <col min="6304" max="6304" width="9.7109375" style="125" customWidth="1"/>
    <col min="6305" max="6306" width="3.7109375" style="125" customWidth="1"/>
    <col min="6307" max="6307" width="9.7109375" style="125" customWidth="1"/>
    <col min="6308" max="6308" width="3.7109375" style="125" customWidth="1"/>
    <col min="6309" max="6309" width="5.7109375" style="125" bestFit="1" customWidth="1"/>
    <col min="6310" max="6310" width="9.7109375" style="125" customWidth="1"/>
    <col min="6311" max="6312" width="3.7109375" style="125" customWidth="1"/>
    <col min="6313" max="6313" width="9.7109375" style="125" customWidth="1"/>
    <col min="6314" max="6315" width="3.7109375" style="125" customWidth="1"/>
    <col min="6316" max="6316" width="9.7109375" style="125" customWidth="1"/>
    <col min="6317" max="6318" width="3.7109375" style="125" customWidth="1"/>
    <col min="6319" max="6319" width="9.7109375" style="125" customWidth="1"/>
    <col min="6320" max="6321" width="3.7109375" style="125" customWidth="1"/>
    <col min="6322" max="6322" width="9.7109375" style="125" customWidth="1"/>
    <col min="6323" max="6324" width="3.7109375" style="125" customWidth="1"/>
    <col min="6325" max="6325" width="9.7109375" style="125" customWidth="1"/>
    <col min="6326" max="6327" width="3.7109375" style="125" customWidth="1"/>
    <col min="6328" max="6328" width="9.7109375" style="125" customWidth="1"/>
    <col min="6329" max="6330" width="3.7109375" style="125" customWidth="1"/>
    <col min="6331" max="6331" width="9.7109375" style="125" customWidth="1"/>
    <col min="6332" max="6333" width="3.7109375" style="125" customWidth="1"/>
    <col min="6334" max="6334" width="9.7109375" style="125" customWidth="1"/>
    <col min="6335" max="6336" width="3.7109375" style="125" customWidth="1"/>
    <col min="6337" max="6337" width="9.7109375" style="125" customWidth="1"/>
    <col min="6338" max="6339" width="3.7109375" style="125" customWidth="1"/>
    <col min="6340" max="6340" width="9.7109375" style="125" customWidth="1"/>
    <col min="6341" max="6342" width="3.7109375" style="125" customWidth="1"/>
    <col min="6343" max="6343" width="9.7109375" style="125" customWidth="1"/>
    <col min="6344" max="6345" width="3.7109375" style="125" customWidth="1"/>
    <col min="6346" max="6346" width="9.7109375" style="125" customWidth="1"/>
    <col min="6347" max="6348" width="3.7109375" style="125" customWidth="1"/>
    <col min="6349" max="6349" width="9.7109375" style="125" customWidth="1"/>
    <col min="6350" max="6351" width="3.7109375" style="125" customWidth="1"/>
    <col min="6352" max="6352" width="9.7109375" style="125" customWidth="1"/>
    <col min="6353" max="6354" width="3.7109375" style="125" customWidth="1"/>
    <col min="6355" max="6355" width="9.7109375" style="125" customWidth="1"/>
    <col min="6356" max="6357" width="3.7109375" style="125" customWidth="1"/>
    <col min="6358" max="6358" width="9.7109375" style="125" customWidth="1"/>
    <col min="6359" max="6360" width="3.7109375" style="125" customWidth="1"/>
    <col min="6361" max="6361" width="9.7109375" style="125" customWidth="1"/>
    <col min="6362" max="6363" width="3.7109375" style="125" customWidth="1"/>
    <col min="6364" max="6364" width="9.7109375" style="125" customWidth="1"/>
    <col min="6365" max="6366" width="3.7109375" style="125" customWidth="1"/>
    <col min="6367" max="6367" width="9.7109375" style="125" customWidth="1"/>
    <col min="6368" max="6369" width="3.7109375" style="125" customWidth="1"/>
    <col min="6370" max="6370" width="9.7109375" style="125" customWidth="1"/>
    <col min="6371" max="6372" width="3.7109375" style="125" customWidth="1"/>
    <col min="6373" max="6373" width="9.7109375" style="125" customWidth="1"/>
    <col min="6374" max="6375" width="3.7109375" style="125" customWidth="1"/>
    <col min="6376" max="6376" width="9.7109375" style="125" customWidth="1"/>
    <col min="6377" max="6378" width="3.7109375" style="125" customWidth="1"/>
    <col min="6379" max="6379" width="9.7109375" style="125" customWidth="1"/>
    <col min="6380" max="6381" width="3.7109375" style="125" customWidth="1"/>
    <col min="6382" max="6382" width="9.7109375" style="125" customWidth="1"/>
    <col min="6383" max="6384" width="3.7109375" style="125" customWidth="1"/>
    <col min="6385" max="6385" width="9.7109375" style="125" customWidth="1"/>
    <col min="6386" max="6387" width="3.7109375" style="125" customWidth="1"/>
    <col min="6388" max="6388" width="9.7109375" style="125" customWidth="1"/>
    <col min="6389" max="6390" width="3.7109375" style="125" customWidth="1"/>
    <col min="6391" max="6391" width="9.7109375" style="125" customWidth="1"/>
    <col min="6392" max="6393" width="3.7109375" style="125" customWidth="1"/>
    <col min="6394" max="6394" width="9.7109375" style="125" customWidth="1"/>
    <col min="6395" max="6396" width="3.7109375" style="125" customWidth="1"/>
    <col min="6397" max="6397" width="9.7109375" style="125" customWidth="1"/>
    <col min="6398" max="6398" width="3.7109375" style="125" customWidth="1"/>
    <col min="6399" max="6400" width="8" style="125"/>
    <col min="6401" max="6401" width="30.7109375" style="125" customWidth="1"/>
    <col min="6402" max="6402" width="9.7109375" style="125" customWidth="1"/>
    <col min="6403" max="6403" width="3.7109375" style="125" customWidth="1"/>
    <col min="6404" max="6404" width="9.7109375" style="125" customWidth="1"/>
    <col min="6405" max="6406" width="3.7109375" style="125" customWidth="1"/>
    <col min="6407" max="6407" width="9.7109375" style="125" customWidth="1"/>
    <col min="6408" max="6409" width="3.7109375" style="125" customWidth="1"/>
    <col min="6410" max="6410" width="9.7109375" style="125" customWidth="1"/>
    <col min="6411" max="6412" width="3.7109375" style="125" customWidth="1"/>
    <col min="6413" max="6413" width="9.7109375" style="125" customWidth="1"/>
    <col min="6414" max="6415" width="3.7109375" style="125" customWidth="1"/>
    <col min="6416" max="6416" width="9.7109375" style="125" customWidth="1"/>
    <col min="6417" max="6418" width="3.7109375" style="125" customWidth="1"/>
    <col min="6419" max="6419" width="9.7109375" style="125" customWidth="1"/>
    <col min="6420" max="6421" width="3.7109375" style="125" customWidth="1"/>
    <col min="6422" max="6422" width="9.7109375" style="125" customWidth="1"/>
    <col min="6423" max="6424" width="3.7109375" style="125" customWidth="1"/>
    <col min="6425" max="6425" width="9.7109375" style="125" customWidth="1"/>
    <col min="6426" max="6427" width="3.7109375" style="125" customWidth="1"/>
    <col min="6428" max="6428" width="9.7109375" style="125" customWidth="1"/>
    <col min="6429" max="6430" width="3.7109375" style="125" customWidth="1"/>
    <col min="6431" max="6431" width="9.7109375" style="125" customWidth="1"/>
    <col min="6432" max="6433" width="3.7109375" style="125" customWidth="1"/>
    <col min="6434" max="6434" width="9.7109375" style="125" customWidth="1"/>
    <col min="6435" max="6436" width="3.7109375" style="125" customWidth="1"/>
    <col min="6437" max="6437" width="9.7109375" style="125" customWidth="1"/>
    <col min="6438" max="6439" width="3.7109375" style="125" customWidth="1"/>
    <col min="6440" max="6440" width="9.7109375" style="125" customWidth="1"/>
    <col min="6441" max="6442" width="3.7109375" style="125" customWidth="1"/>
    <col min="6443" max="6443" width="9.7109375" style="125" customWidth="1"/>
    <col min="6444" max="6445" width="3.7109375" style="125" customWidth="1"/>
    <col min="6446" max="6446" width="9.7109375" style="125" customWidth="1"/>
    <col min="6447" max="6448" width="3.7109375" style="125" customWidth="1"/>
    <col min="6449" max="6449" width="9.7109375" style="125" customWidth="1"/>
    <col min="6450" max="6451" width="3.7109375" style="125" customWidth="1"/>
    <col min="6452" max="6452" width="9.7109375" style="125" customWidth="1"/>
    <col min="6453" max="6454" width="3.7109375" style="125" customWidth="1"/>
    <col min="6455" max="6455" width="9.7109375" style="125" customWidth="1"/>
    <col min="6456" max="6457" width="3.7109375" style="125" customWidth="1"/>
    <col min="6458" max="6458" width="9.7109375" style="125" customWidth="1"/>
    <col min="6459" max="6460" width="3.7109375" style="125" customWidth="1"/>
    <col min="6461" max="6461" width="9.7109375" style="125" customWidth="1"/>
    <col min="6462" max="6463" width="3.7109375" style="125" customWidth="1"/>
    <col min="6464" max="6464" width="9.7109375" style="125" customWidth="1"/>
    <col min="6465" max="6466" width="3.7109375" style="125" customWidth="1"/>
    <col min="6467" max="6467" width="9.7109375" style="125" customWidth="1"/>
    <col min="6468" max="6469" width="3.7109375" style="125" customWidth="1"/>
    <col min="6470" max="6470" width="9.7109375" style="125" customWidth="1"/>
    <col min="6471" max="6472" width="3.7109375" style="125" customWidth="1"/>
    <col min="6473" max="6473" width="9.7109375" style="125" customWidth="1"/>
    <col min="6474" max="6475" width="3.7109375" style="125" customWidth="1"/>
    <col min="6476" max="6476" width="9.7109375" style="125" customWidth="1"/>
    <col min="6477" max="6478" width="3.7109375" style="125" customWidth="1"/>
    <col min="6479" max="6479" width="9.7109375" style="125" customWidth="1"/>
    <col min="6480" max="6481" width="3.7109375" style="125" customWidth="1"/>
    <col min="6482" max="6482" width="9.7109375" style="125" customWidth="1"/>
    <col min="6483" max="6484" width="3.7109375" style="125" customWidth="1"/>
    <col min="6485" max="6485" width="9.7109375" style="125" customWidth="1"/>
    <col min="6486" max="6487" width="3.7109375" style="125" customWidth="1"/>
    <col min="6488" max="6488" width="9.7109375" style="125" customWidth="1"/>
    <col min="6489" max="6490" width="3.7109375" style="125" customWidth="1"/>
    <col min="6491" max="6491" width="9.7109375" style="125" customWidth="1"/>
    <col min="6492" max="6493" width="3.7109375" style="125" customWidth="1"/>
    <col min="6494" max="6494" width="9.7109375" style="125" customWidth="1"/>
    <col min="6495" max="6496" width="3.7109375" style="125" customWidth="1"/>
    <col min="6497" max="6497" width="9.7109375" style="125" customWidth="1"/>
    <col min="6498" max="6499" width="3.7109375" style="125" customWidth="1"/>
    <col min="6500" max="6500" width="9.7109375" style="125" customWidth="1"/>
    <col min="6501" max="6502" width="3.7109375" style="125" customWidth="1"/>
    <col min="6503" max="6503" width="9.7109375" style="125" customWidth="1"/>
    <col min="6504" max="6505" width="3.7109375" style="125" customWidth="1"/>
    <col min="6506" max="6506" width="9.7109375" style="125" customWidth="1"/>
    <col min="6507" max="6508" width="3.7109375" style="125" customWidth="1"/>
    <col min="6509" max="6509" width="9.7109375" style="125" customWidth="1"/>
    <col min="6510" max="6511" width="3.7109375" style="125" customWidth="1"/>
    <col min="6512" max="6512" width="9.7109375" style="125" customWidth="1"/>
    <col min="6513" max="6514" width="3.7109375" style="125" customWidth="1"/>
    <col min="6515" max="6515" width="9.7109375" style="125" customWidth="1"/>
    <col min="6516" max="6517" width="3.7109375" style="125" customWidth="1"/>
    <col min="6518" max="6518" width="9.7109375" style="125" customWidth="1"/>
    <col min="6519" max="6520" width="3.7109375" style="125" customWidth="1"/>
    <col min="6521" max="6521" width="9.7109375" style="125" customWidth="1"/>
    <col min="6522" max="6523" width="3.7109375" style="125" customWidth="1"/>
    <col min="6524" max="6524" width="9.7109375" style="125" customWidth="1"/>
    <col min="6525" max="6526" width="3.7109375" style="125" customWidth="1"/>
    <col min="6527" max="6527" width="9.7109375" style="125" customWidth="1"/>
    <col min="6528" max="6529" width="3.7109375" style="125" customWidth="1"/>
    <col min="6530" max="6530" width="9.7109375" style="125" customWidth="1"/>
    <col min="6531" max="6532" width="3.7109375" style="125" customWidth="1"/>
    <col min="6533" max="6533" width="9.7109375" style="125" customWidth="1"/>
    <col min="6534" max="6535" width="3.7109375" style="125" customWidth="1"/>
    <col min="6536" max="6536" width="9.7109375" style="125" customWidth="1"/>
    <col min="6537" max="6538" width="3.7109375" style="125" customWidth="1"/>
    <col min="6539" max="6539" width="9.7109375" style="125" customWidth="1"/>
    <col min="6540" max="6541" width="3.7109375" style="125" customWidth="1"/>
    <col min="6542" max="6542" width="9.7109375" style="125" customWidth="1"/>
    <col min="6543" max="6544" width="3.7109375" style="125" customWidth="1"/>
    <col min="6545" max="6545" width="9.7109375" style="125" customWidth="1"/>
    <col min="6546" max="6546" width="3.7109375" style="125" customWidth="1"/>
    <col min="6547" max="6547" width="5.7109375" style="125" bestFit="1" customWidth="1"/>
    <col min="6548" max="6548" width="9.7109375" style="125" customWidth="1"/>
    <col min="6549" max="6550" width="3.7109375" style="125" customWidth="1"/>
    <col min="6551" max="6551" width="9.7109375" style="125" customWidth="1"/>
    <col min="6552" max="6553" width="3.7109375" style="125" customWidth="1"/>
    <col min="6554" max="6554" width="9.7109375" style="125" customWidth="1"/>
    <col min="6555" max="6556" width="3.7109375" style="125" customWidth="1"/>
    <col min="6557" max="6557" width="9.7109375" style="125" customWidth="1"/>
    <col min="6558" max="6559" width="3.7109375" style="125" customWidth="1"/>
    <col min="6560" max="6560" width="9.7109375" style="125" customWidth="1"/>
    <col min="6561" max="6562" width="3.7109375" style="125" customWidth="1"/>
    <col min="6563" max="6563" width="9.7109375" style="125" customWidth="1"/>
    <col min="6564" max="6564" width="3.7109375" style="125" customWidth="1"/>
    <col min="6565" max="6565" width="5.7109375" style="125" bestFit="1" customWidth="1"/>
    <col min="6566" max="6566" width="9.7109375" style="125" customWidth="1"/>
    <col min="6567" max="6568" width="3.7109375" style="125" customWidth="1"/>
    <col min="6569" max="6569" width="9.7109375" style="125" customWidth="1"/>
    <col min="6570" max="6571" width="3.7109375" style="125" customWidth="1"/>
    <col min="6572" max="6572" width="9.7109375" style="125" customWidth="1"/>
    <col min="6573" max="6574" width="3.7109375" style="125" customWidth="1"/>
    <col min="6575" max="6575" width="9.7109375" style="125" customWidth="1"/>
    <col min="6576" max="6577" width="3.7109375" style="125" customWidth="1"/>
    <col min="6578" max="6578" width="9.7109375" style="125" customWidth="1"/>
    <col min="6579" max="6580" width="3.7109375" style="125" customWidth="1"/>
    <col min="6581" max="6581" width="9.7109375" style="125" customWidth="1"/>
    <col min="6582" max="6583" width="3.7109375" style="125" customWidth="1"/>
    <col min="6584" max="6584" width="9.7109375" style="125" customWidth="1"/>
    <col min="6585" max="6586" width="3.7109375" style="125" customWidth="1"/>
    <col min="6587" max="6587" width="9.7109375" style="125" customWidth="1"/>
    <col min="6588" max="6589" width="3.7109375" style="125" customWidth="1"/>
    <col min="6590" max="6590" width="9.7109375" style="125" customWidth="1"/>
    <col min="6591" max="6592" width="3.7109375" style="125" customWidth="1"/>
    <col min="6593" max="6593" width="9.7109375" style="125" customWidth="1"/>
    <col min="6594" max="6595" width="3.7109375" style="125" customWidth="1"/>
    <col min="6596" max="6596" width="9.7109375" style="125" customWidth="1"/>
    <col min="6597" max="6598" width="3.7109375" style="125" customWidth="1"/>
    <col min="6599" max="6599" width="9.7109375" style="125" customWidth="1"/>
    <col min="6600" max="6601" width="3.7109375" style="125" customWidth="1"/>
    <col min="6602" max="6602" width="9.7109375" style="125" customWidth="1"/>
    <col min="6603" max="6604" width="3.7109375" style="125" customWidth="1"/>
    <col min="6605" max="6605" width="9.7109375" style="125" customWidth="1"/>
    <col min="6606" max="6607" width="3.7109375" style="125" customWidth="1"/>
    <col min="6608" max="6608" width="9.7109375" style="125" customWidth="1"/>
    <col min="6609" max="6610" width="3.7109375" style="125" customWidth="1"/>
    <col min="6611" max="6611" width="9.7109375" style="125" customWidth="1"/>
    <col min="6612" max="6613" width="3.7109375" style="125" customWidth="1"/>
    <col min="6614" max="6614" width="9.7109375" style="125" customWidth="1"/>
    <col min="6615" max="6616" width="3.7109375" style="125" customWidth="1"/>
    <col min="6617" max="6617" width="9.7109375" style="125" customWidth="1"/>
    <col min="6618" max="6619" width="3.7109375" style="125" customWidth="1"/>
    <col min="6620" max="6620" width="9.7109375" style="125" customWidth="1"/>
    <col min="6621" max="6622" width="3.7109375" style="125" customWidth="1"/>
    <col min="6623" max="6623" width="9.7109375" style="125" customWidth="1"/>
    <col min="6624" max="6625" width="3.7109375" style="125" customWidth="1"/>
    <col min="6626" max="6626" width="9.7109375" style="125" customWidth="1"/>
    <col min="6627" max="6628" width="3.7109375" style="125" customWidth="1"/>
    <col min="6629" max="6629" width="9.7109375" style="125" customWidth="1"/>
    <col min="6630" max="6631" width="3.7109375" style="125" customWidth="1"/>
    <col min="6632" max="6632" width="9.7109375" style="125" customWidth="1"/>
    <col min="6633" max="6634" width="3.7109375" style="125" customWidth="1"/>
    <col min="6635" max="6635" width="9.7109375" style="125" customWidth="1"/>
    <col min="6636" max="6637" width="3.7109375" style="125" customWidth="1"/>
    <col min="6638" max="6638" width="9.7109375" style="125" customWidth="1"/>
    <col min="6639" max="6640" width="3.7109375" style="125" customWidth="1"/>
    <col min="6641" max="6641" width="9.7109375" style="125" customWidth="1"/>
    <col min="6642" max="6643" width="3.7109375" style="125" customWidth="1"/>
    <col min="6644" max="6644" width="9.7109375" style="125" customWidth="1"/>
    <col min="6645" max="6646" width="3.7109375" style="125" customWidth="1"/>
    <col min="6647" max="6647" width="9.7109375" style="125" customWidth="1"/>
    <col min="6648" max="6649" width="3.7109375" style="125" customWidth="1"/>
    <col min="6650" max="6650" width="9.7109375" style="125" customWidth="1"/>
    <col min="6651" max="6652" width="3.7109375" style="125" customWidth="1"/>
    <col min="6653" max="6653" width="9.7109375" style="125" customWidth="1"/>
    <col min="6654" max="6654" width="3.7109375" style="125" customWidth="1"/>
    <col min="6655" max="6656" width="8" style="125"/>
    <col min="6657" max="6657" width="30.7109375" style="125" customWidth="1"/>
    <col min="6658" max="6658" width="9.7109375" style="125" customWidth="1"/>
    <col min="6659" max="6659" width="3.7109375" style="125" customWidth="1"/>
    <col min="6660" max="6660" width="9.7109375" style="125" customWidth="1"/>
    <col min="6661" max="6662" width="3.7109375" style="125" customWidth="1"/>
    <col min="6663" max="6663" width="9.7109375" style="125" customWidth="1"/>
    <col min="6664" max="6665" width="3.7109375" style="125" customWidth="1"/>
    <col min="6666" max="6666" width="9.7109375" style="125" customWidth="1"/>
    <col min="6667" max="6668" width="3.7109375" style="125" customWidth="1"/>
    <col min="6669" max="6669" width="9.7109375" style="125" customWidth="1"/>
    <col min="6670" max="6671" width="3.7109375" style="125" customWidth="1"/>
    <col min="6672" max="6672" width="9.7109375" style="125" customWidth="1"/>
    <col min="6673" max="6674" width="3.7109375" style="125" customWidth="1"/>
    <col min="6675" max="6675" width="9.7109375" style="125" customWidth="1"/>
    <col min="6676" max="6677" width="3.7109375" style="125" customWidth="1"/>
    <col min="6678" max="6678" width="9.7109375" style="125" customWidth="1"/>
    <col min="6679" max="6680" width="3.7109375" style="125" customWidth="1"/>
    <col min="6681" max="6681" width="9.7109375" style="125" customWidth="1"/>
    <col min="6682" max="6683" width="3.7109375" style="125" customWidth="1"/>
    <col min="6684" max="6684" width="9.7109375" style="125" customWidth="1"/>
    <col min="6685" max="6686" width="3.7109375" style="125" customWidth="1"/>
    <col min="6687" max="6687" width="9.7109375" style="125" customWidth="1"/>
    <col min="6688" max="6689" width="3.7109375" style="125" customWidth="1"/>
    <col min="6690" max="6690" width="9.7109375" style="125" customWidth="1"/>
    <col min="6691" max="6692" width="3.7109375" style="125" customWidth="1"/>
    <col min="6693" max="6693" width="9.7109375" style="125" customWidth="1"/>
    <col min="6694" max="6695" width="3.7109375" style="125" customWidth="1"/>
    <col min="6696" max="6696" width="9.7109375" style="125" customWidth="1"/>
    <col min="6697" max="6698" width="3.7109375" style="125" customWidth="1"/>
    <col min="6699" max="6699" width="9.7109375" style="125" customWidth="1"/>
    <col min="6700" max="6701" width="3.7109375" style="125" customWidth="1"/>
    <col min="6702" max="6702" width="9.7109375" style="125" customWidth="1"/>
    <col min="6703" max="6704" width="3.7109375" style="125" customWidth="1"/>
    <col min="6705" max="6705" width="9.7109375" style="125" customWidth="1"/>
    <col min="6706" max="6707" width="3.7109375" style="125" customWidth="1"/>
    <col min="6708" max="6708" width="9.7109375" style="125" customWidth="1"/>
    <col min="6709" max="6710" width="3.7109375" style="125" customWidth="1"/>
    <col min="6711" max="6711" width="9.7109375" style="125" customWidth="1"/>
    <col min="6712" max="6713" width="3.7109375" style="125" customWidth="1"/>
    <col min="6714" max="6714" width="9.7109375" style="125" customWidth="1"/>
    <col min="6715" max="6716" width="3.7109375" style="125" customWidth="1"/>
    <col min="6717" max="6717" width="9.7109375" style="125" customWidth="1"/>
    <col min="6718" max="6719" width="3.7109375" style="125" customWidth="1"/>
    <col min="6720" max="6720" width="9.7109375" style="125" customWidth="1"/>
    <col min="6721" max="6722" width="3.7109375" style="125" customWidth="1"/>
    <col min="6723" max="6723" width="9.7109375" style="125" customWidth="1"/>
    <col min="6724" max="6725" width="3.7109375" style="125" customWidth="1"/>
    <col min="6726" max="6726" width="9.7109375" style="125" customWidth="1"/>
    <col min="6727" max="6728" width="3.7109375" style="125" customWidth="1"/>
    <col min="6729" max="6729" width="9.7109375" style="125" customWidth="1"/>
    <col min="6730" max="6731" width="3.7109375" style="125" customWidth="1"/>
    <col min="6732" max="6732" width="9.7109375" style="125" customWidth="1"/>
    <col min="6733" max="6734" width="3.7109375" style="125" customWidth="1"/>
    <col min="6735" max="6735" width="9.7109375" style="125" customWidth="1"/>
    <col min="6736" max="6737" width="3.7109375" style="125" customWidth="1"/>
    <col min="6738" max="6738" width="9.7109375" style="125" customWidth="1"/>
    <col min="6739" max="6740" width="3.7109375" style="125" customWidth="1"/>
    <col min="6741" max="6741" width="9.7109375" style="125" customWidth="1"/>
    <col min="6742" max="6743" width="3.7109375" style="125" customWidth="1"/>
    <col min="6744" max="6744" width="9.7109375" style="125" customWidth="1"/>
    <col min="6745" max="6746" width="3.7109375" style="125" customWidth="1"/>
    <col min="6747" max="6747" width="9.7109375" style="125" customWidth="1"/>
    <col min="6748" max="6749" width="3.7109375" style="125" customWidth="1"/>
    <col min="6750" max="6750" width="9.7109375" style="125" customWidth="1"/>
    <col min="6751" max="6752" width="3.7109375" style="125" customWidth="1"/>
    <col min="6753" max="6753" width="9.7109375" style="125" customWidth="1"/>
    <col min="6754" max="6755" width="3.7109375" style="125" customWidth="1"/>
    <col min="6756" max="6756" width="9.7109375" style="125" customWidth="1"/>
    <col min="6757" max="6758" width="3.7109375" style="125" customWidth="1"/>
    <col min="6759" max="6759" width="9.7109375" style="125" customWidth="1"/>
    <col min="6760" max="6761" width="3.7109375" style="125" customWidth="1"/>
    <col min="6762" max="6762" width="9.7109375" style="125" customWidth="1"/>
    <col min="6763" max="6764" width="3.7109375" style="125" customWidth="1"/>
    <col min="6765" max="6765" width="9.7109375" style="125" customWidth="1"/>
    <col min="6766" max="6767" width="3.7109375" style="125" customWidth="1"/>
    <col min="6768" max="6768" width="9.7109375" style="125" customWidth="1"/>
    <col min="6769" max="6770" width="3.7109375" style="125" customWidth="1"/>
    <col min="6771" max="6771" width="9.7109375" style="125" customWidth="1"/>
    <col min="6772" max="6773" width="3.7109375" style="125" customWidth="1"/>
    <col min="6774" max="6774" width="9.7109375" style="125" customWidth="1"/>
    <col min="6775" max="6776" width="3.7109375" style="125" customWidth="1"/>
    <col min="6777" max="6777" width="9.7109375" style="125" customWidth="1"/>
    <col min="6778" max="6779" width="3.7109375" style="125" customWidth="1"/>
    <col min="6780" max="6780" width="9.7109375" style="125" customWidth="1"/>
    <col min="6781" max="6782" width="3.7109375" style="125" customWidth="1"/>
    <col min="6783" max="6783" width="9.7109375" style="125" customWidth="1"/>
    <col min="6784" max="6785" width="3.7109375" style="125" customWidth="1"/>
    <col min="6786" max="6786" width="9.7109375" style="125" customWidth="1"/>
    <col min="6787" max="6788" width="3.7109375" style="125" customWidth="1"/>
    <col min="6789" max="6789" width="9.7109375" style="125" customWidth="1"/>
    <col min="6790" max="6791" width="3.7109375" style="125" customWidth="1"/>
    <col min="6792" max="6792" width="9.7109375" style="125" customWidth="1"/>
    <col min="6793" max="6794" width="3.7109375" style="125" customWidth="1"/>
    <col min="6795" max="6795" width="9.7109375" style="125" customWidth="1"/>
    <col min="6796" max="6797" width="3.7109375" style="125" customWidth="1"/>
    <col min="6798" max="6798" width="9.7109375" style="125" customWidth="1"/>
    <col min="6799" max="6800" width="3.7109375" style="125" customWidth="1"/>
    <col min="6801" max="6801" width="9.7109375" style="125" customWidth="1"/>
    <col min="6802" max="6802" width="3.7109375" style="125" customWidth="1"/>
    <col min="6803" max="6803" width="5.7109375" style="125" bestFit="1" customWidth="1"/>
    <col min="6804" max="6804" width="9.7109375" style="125" customWidth="1"/>
    <col min="6805" max="6806" width="3.7109375" style="125" customWidth="1"/>
    <col min="6807" max="6807" width="9.7109375" style="125" customWidth="1"/>
    <col min="6808" max="6809" width="3.7109375" style="125" customWidth="1"/>
    <col min="6810" max="6810" width="9.7109375" style="125" customWidth="1"/>
    <col min="6811" max="6812" width="3.7109375" style="125" customWidth="1"/>
    <col min="6813" max="6813" width="9.7109375" style="125" customWidth="1"/>
    <col min="6814" max="6815" width="3.7109375" style="125" customWidth="1"/>
    <col min="6816" max="6816" width="9.7109375" style="125" customWidth="1"/>
    <col min="6817" max="6818" width="3.7109375" style="125" customWidth="1"/>
    <col min="6819" max="6819" width="9.7109375" style="125" customWidth="1"/>
    <col min="6820" max="6820" width="3.7109375" style="125" customWidth="1"/>
    <col min="6821" max="6821" width="5.7109375" style="125" bestFit="1" customWidth="1"/>
    <col min="6822" max="6822" width="9.7109375" style="125" customWidth="1"/>
    <col min="6823" max="6824" width="3.7109375" style="125" customWidth="1"/>
    <col min="6825" max="6825" width="9.7109375" style="125" customWidth="1"/>
    <col min="6826" max="6827" width="3.7109375" style="125" customWidth="1"/>
    <col min="6828" max="6828" width="9.7109375" style="125" customWidth="1"/>
    <col min="6829" max="6830" width="3.7109375" style="125" customWidth="1"/>
    <col min="6831" max="6831" width="9.7109375" style="125" customWidth="1"/>
    <col min="6832" max="6833" width="3.7109375" style="125" customWidth="1"/>
    <col min="6834" max="6834" width="9.7109375" style="125" customWidth="1"/>
    <col min="6835" max="6836" width="3.7109375" style="125" customWidth="1"/>
    <col min="6837" max="6837" width="9.7109375" style="125" customWidth="1"/>
    <col min="6838" max="6839" width="3.7109375" style="125" customWidth="1"/>
    <col min="6840" max="6840" width="9.7109375" style="125" customWidth="1"/>
    <col min="6841" max="6842" width="3.7109375" style="125" customWidth="1"/>
    <col min="6843" max="6843" width="9.7109375" style="125" customWidth="1"/>
    <col min="6844" max="6845" width="3.7109375" style="125" customWidth="1"/>
    <col min="6846" max="6846" width="9.7109375" style="125" customWidth="1"/>
    <col min="6847" max="6848" width="3.7109375" style="125" customWidth="1"/>
    <col min="6849" max="6849" width="9.7109375" style="125" customWidth="1"/>
    <col min="6850" max="6851" width="3.7109375" style="125" customWidth="1"/>
    <col min="6852" max="6852" width="9.7109375" style="125" customWidth="1"/>
    <col min="6853" max="6854" width="3.7109375" style="125" customWidth="1"/>
    <col min="6855" max="6855" width="9.7109375" style="125" customWidth="1"/>
    <col min="6856" max="6857" width="3.7109375" style="125" customWidth="1"/>
    <col min="6858" max="6858" width="9.7109375" style="125" customWidth="1"/>
    <col min="6859" max="6860" width="3.7109375" style="125" customWidth="1"/>
    <col min="6861" max="6861" width="9.7109375" style="125" customWidth="1"/>
    <col min="6862" max="6863" width="3.7109375" style="125" customWidth="1"/>
    <col min="6864" max="6864" width="9.7109375" style="125" customWidth="1"/>
    <col min="6865" max="6866" width="3.7109375" style="125" customWidth="1"/>
    <col min="6867" max="6867" width="9.7109375" style="125" customWidth="1"/>
    <col min="6868" max="6869" width="3.7109375" style="125" customWidth="1"/>
    <col min="6870" max="6870" width="9.7109375" style="125" customWidth="1"/>
    <col min="6871" max="6872" width="3.7109375" style="125" customWidth="1"/>
    <col min="6873" max="6873" width="9.7109375" style="125" customWidth="1"/>
    <col min="6874" max="6875" width="3.7109375" style="125" customWidth="1"/>
    <col min="6876" max="6876" width="9.7109375" style="125" customWidth="1"/>
    <col min="6877" max="6878" width="3.7109375" style="125" customWidth="1"/>
    <col min="6879" max="6879" width="9.7109375" style="125" customWidth="1"/>
    <col min="6880" max="6881" width="3.7109375" style="125" customWidth="1"/>
    <col min="6882" max="6882" width="9.7109375" style="125" customWidth="1"/>
    <col min="6883" max="6884" width="3.7109375" style="125" customWidth="1"/>
    <col min="6885" max="6885" width="9.7109375" style="125" customWidth="1"/>
    <col min="6886" max="6887" width="3.7109375" style="125" customWidth="1"/>
    <col min="6888" max="6888" width="9.7109375" style="125" customWidth="1"/>
    <col min="6889" max="6890" width="3.7109375" style="125" customWidth="1"/>
    <col min="6891" max="6891" width="9.7109375" style="125" customWidth="1"/>
    <col min="6892" max="6893" width="3.7109375" style="125" customWidth="1"/>
    <col min="6894" max="6894" width="9.7109375" style="125" customWidth="1"/>
    <col min="6895" max="6896" width="3.7109375" style="125" customWidth="1"/>
    <col min="6897" max="6897" width="9.7109375" style="125" customWidth="1"/>
    <col min="6898" max="6899" width="3.7109375" style="125" customWidth="1"/>
    <col min="6900" max="6900" width="9.7109375" style="125" customWidth="1"/>
    <col min="6901" max="6902" width="3.7109375" style="125" customWidth="1"/>
    <col min="6903" max="6903" width="9.7109375" style="125" customWidth="1"/>
    <col min="6904" max="6905" width="3.7109375" style="125" customWidth="1"/>
    <col min="6906" max="6906" width="9.7109375" style="125" customWidth="1"/>
    <col min="6907" max="6908" width="3.7109375" style="125" customWidth="1"/>
    <col min="6909" max="6909" width="9.7109375" style="125" customWidth="1"/>
    <col min="6910" max="6910" width="3.7109375" style="125" customWidth="1"/>
    <col min="6911" max="6912" width="8" style="125"/>
    <col min="6913" max="6913" width="30.7109375" style="125" customWidth="1"/>
    <col min="6914" max="6914" width="9.7109375" style="125" customWidth="1"/>
    <col min="6915" max="6915" width="3.7109375" style="125" customWidth="1"/>
    <col min="6916" max="6916" width="9.7109375" style="125" customWidth="1"/>
    <col min="6917" max="6918" width="3.7109375" style="125" customWidth="1"/>
    <col min="6919" max="6919" width="9.7109375" style="125" customWidth="1"/>
    <col min="6920" max="6921" width="3.7109375" style="125" customWidth="1"/>
    <col min="6922" max="6922" width="9.7109375" style="125" customWidth="1"/>
    <col min="6923" max="6924" width="3.7109375" style="125" customWidth="1"/>
    <col min="6925" max="6925" width="9.7109375" style="125" customWidth="1"/>
    <col min="6926" max="6927" width="3.7109375" style="125" customWidth="1"/>
    <col min="6928" max="6928" width="9.7109375" style="125" customWidth="1"/>
    <col min="6929" max="6930" width="3.7109375" style="125" customWidth="1"/>
    <col min="6931" max="6931" width="9.7109375" style="125" customWidth="1"/>
    <col min="6932" max="6933" width="3.7109375" style="125" customWidth="1"/>
    <col min="6934" max="6934" width="9.7109375" style="125" customWidth="1"/>
    <col min="6935" max="6936" width="3.7109375" style="125" customWidth="1"/>
    <col min="6937" max="6937" width="9.7109375" style="125" customWidth="1"/>
    <col min="6938" max="6939" width="3.7109375" style="125" customWidth="1"/>
    <col min="6940" max="6940" width="9.7109375" style="125" customWidth="1"/>
    <col min="6941" max="6942" width="3.7109375" style="125" customWidth="1"/>
    <col min="6943" max="6943" width="9.7109375" style="125" customWidth="1"/>
    <col min="6944" max="6945" width="3.7109375" style="125" customWidth="1"/>
    <col min="6946" max="6946" width="9.7109375" style="125" customWidth="1"/>
    <col min="6947" max="6948" width="3.7109375" style="125" customWidth="1"/>
    <col min="6949" max="6949" width="9.7109375" style="125" customWidth="1"/>
    <col min="6950" max="6951" width="3.7109375" style="125" customWidth="1"/>
    <col min="6952" max="6952" width="9.7109375" style="125" customWidth="1"/>
    <col min="6953" max="6954" width="3.7109375" style="125" customWidth="1"/>
    <col min="6955" max="6955" width="9.7109375" style="125" customWidth="1"/>
    <col min="6956" max="6957" width="3.7109375" style="125" customWidth="1"/>
    <col min="6958" max="6958" width="9.7109375" style="125" customWidth="1"/>
    <col min="6959" max="6960" width="3.7109375" style="125" customWidth="1"/>
    <col min="6961" max="6961" width="9.7109375" style="125" customWidth="1"/>
    <col min="6962" max="6963" width="3.7109375" style="125" customWidth="1"/>
    <col min="6964" max="6964" width="9.7109375" style="125" customWidth="1"/>
    <col min="6965" max="6966" width="3.7109375" style="125" customWidth="1"/>
    <col min="6967" max="6967" width="9.7109375" style="125" customWidth="1"/>
    <col min="6968" max="6969" width="3.7109375" style="125" customWidth="1"/>
    <col min="6970" max="6970" width="9.7109375" style="125" customWidth="1"/>
    <col min="6971" max="6972" width="3.7109375" style="125" customWidth="1"/>
    <col min="6973" max="6973" width="9.7109375" style="125" customWidth="1"/>
    <col min="6974" max="6975" width="3.7109375" style="125" customWidth="1"/>
    <col min="6976" max="6976" width="9.7109375" style="125" customWidth="1"/>
    <col min="6977" max="6978" width="3.7109375" style="125" customWidth="1"/>
    <col min="6979" max="6979" width="9.7109375" style="125" customWidth="1"/>
    <col min="6980" max="6981" width="3.7109375" style="125" customWidth="1"/>
    <col min="6982" max="6982" width="9.7109375" style="125" customWidth="1"/>
    <col min="6983" max="6984" width="3.7109375" style="125" customWidth="1"/>
    <col min="6985" max="6985" width="9.7109375" style="125" customWidth="1"/>
    <col min="6986" max="6987" width="3.7109375" style="125" customWidth="1"/>
    <col min="6988" max="6988" width="9.7109375" style="125" customWidth="1"/>
    <col min="6989" max="6990" width="3.7109375" style="125" customWidth="1"/>
    <col min="6991" max="6991" width="9.7109375" style="125" customWidth="1"/>
    <col min="6992" max="6993" width="3.7109375" style="125" customWidth="1"/>
    <col min="6994" max="6994" width="9.7109375" style="125" customWidth="1"/>
    <col min="6995" max="6996" width="3.7109375" style="125" customWidth="1"/>
    <col min="6997" max="6997" width="9.7109375" style="125" customWidth="1"/>
    <col min="6998" max="6999" width="3.7109375" style="125" customWidth="1"/>
    <col min="7000" max="7000" width="9.7109375" style="125" customWidth="1"/>
    <col min="7001" max="7002" width="3.7109375" style="125" customWidth="1"/>
    <col min="7003" max="7003" width="9.7109375" style="125" customWidth="1"/>
    <col min="7004" max="7005" width="3.7109375" style="125" customWidth="1"/>
    <col min="7006" max="7006" width="9.7109375" style="125" customWidth="1"/>
    <col min="7007" max="7008" width="3.7109375" style="125" customWidth="1"/>
    <col min="7009" max="7009" width="9.7109375" style="125" customWidth="1"/>
    <col min="7010" max="7011" width="3.7109375" style="125" customWidth="1"/>
    <col min="7012" max="7012" width="9.7109375" style="125" customWidth="1"/>
    <col min="7013" max="7014" width="3.7109375" style="125" customWidth="1"/>
    <col min="7015" max="7015" width="9.7109375" style="125" customWidth="1"/>
    <col min="7016" max="7017" width="3.7109375" style="125" customWidth="1"/>
    <col min="7018" max="7018" width="9.7109375" style="125" customWidth="1"/>
    <col min="7019" max="7020" width="3.7109375" style="125" customWidth="1"/>
    <col min="7021" max="7021" width="9.7109375" style="125" customWidth="1"/>
    <col min="7022" max="7023" width="3.7109375" style="125" customWidth="1"/>
    <col min="7024" max="7024" width="9.7109375" style="125" customWidth="1"/>
    <col min="7025" max="7026" width="3.7109375" style="125" customWidth="1"/>
    <col min="7027" max="7027" width="9.7109375" style="125" customWidth="1"/>
    <col min="7028" max="7029" width="3.7109375" style="125" customWidth="1"/>
    <col min="7030" max="7030" width="9.7109375" style="125" customWidth="1"/>
    <col min="7031" max="7032" width="3.7109375" style="125" customWidth="1"/>
    <col min="7033" max="7033" width="9.7109375" style="125" customWidth="1"/>
    <col min="7034" max="7035" width="3.7109375" style="125" customWidth="1"/>
    <col min="7036" max="7036" width="9.7109375" style="125" customWidth="1"/>
    <col min="7037" max="7038" width="3.7109375" style="125" customWidth="1"/>
    <col min="7039" max="7039" width="9.7109375" style="125" customWidth="1"/>
    <col min="7040" max="7041" width="3.7109375" style="125" customWidth="1"/>
    <col min="7042" max="7042" width="9.7109375" style="125" customWidth="1"/>
    <col min="7043" max="7044" width="3.7109375" style="125" customWidth="1"/>
    <col min="7045" max="7045" width="9.7109375" style="125" customWidth="1"/>
    <col min="7046" max="7047" width="3.7109375" style="125" customWidth="1"/>
    <col min="7048" max="7048" width="9.7109375" style="125" customWidth="1"/>
    <col min="7049" max="7050" width="3.7109375" style="125" customWidth="1"/>
    <col min="7051" max="7051" width="9.7109375" style="125" customWidth="1"/>
    <col min="7052" max="7053" width="3.7109375" style="125" customWidth="1"/>
    <col min="7054" max="7054" width="9.7109375" style="125" customWidth="1"/>
    <col min="7055" max="7056" width="3.7109375" style="125" customWidth="1"/>
    <col min="7057" max="7057" width="9.7109375" style="125" customWidth="1"/>
    <col min="7058" max="7058" width="3.7109375" style="125" customWidth="1"/>
    <col min="7059" max="7059" width="5.7109375" style="125" bestFit="1" customWidth="1"/>
    <col min="7060" max="7060" width="9.7109375" style="125" customWidth="1"/>
    <col min="7061" max="7062" width="3.7109375" style="125" customWidth="1"/>
    <col min="7063" max="7063" width="9.7109375" style="125" customWidth="1"/>
    <col min="7064" max="7065" width="3.7109375" style="125" customWidth="1"/>
    <col min="7066" max="7066" width="9.7109375" style="125" customWidth="1"/>
    <col min="7067" max="7068" width="3.7109375" style="125" customWidth="1"/>
    <col min="7069" max="7069" width="9.7109375" style="125" customWidth="1"/>
    <col min="7070" max="7071" width="3.7109375" style="125" customWidth="1"/>
    <col min="7072" max="7072" width="9.7109375" style="125" customWidth="1"/>
    <col min="7073" max="7074" width="3.7109375" style="125" customWidth="1"/>
    <col min="7075" max="7075" width="9.7109375" style="125" customWidth="1"/>
    <col min="7076" max="7076" width="3.7109375" style="125" customWidth="1"/>
    <col min="7077" max="7077" width="5.7109375" style="125" bestFit="1" customWidth="1"/>
    <col min="7078" max="7078" width="9.7109375" style="125" customWidth="1"/>
    <col min="7079" max="7080" width="3.7109375" style="125" customWidth="1"/>
    <col min="7081" max="7081" width="9.7109375" style="125" customWidth="1"/>
    <col min="7082" max="7083" width="3.7109375" style="125" customWidth="1"/>
    <col min="7084" max="7084" width="9.7109375" style="125" customWidth="1"/>
    <col min="7085" max="7086" width="3.7109375" style="125" customWidth="1"/>
    <col min="7087" max="7087" width="9.7109375" style="125" customWidth="1"/>
    <col min="7088" max="7089" width="3.7109375" style="125" customWidth="1"/>
    <col min="7090" max="7090" width="9.7109375" style="125" customWidth="1"/>
    <col min="7091" max="7092" width="3.7109375" style="125" customWidth="1"/>
    <col min="7093" max="7093" width="9.7109375" style="125" customWidth="1"/>
    <col min="7094" max="7095" width="3.7109375" style="125" customWidth="1"/>
    <col min="7096" max="7096" width="9.7109375" style="125" customWidth="1"/>
    <col min="7097" max="7098" width="3.7109375" style="125" customWidth="1"/>
    <col min="7099" max="7099" width="9.7109375" style="125" customWidth="1"/>
    <col min="7100" max="7101" width="3.7109375" style="125" customWidth="1"/>
    <col min="7102" max="7102" width="9.7109375" style="125" customWidth="1"/>
    <col min="7103" max="7104" width="3.7109375" style="125" customWidth="1"/>
    <col min="7105" max="7105" width="9.7109375" style="125" customWidth="1"/>
    <col min="7106" max="7107" width="3.7109375" style="125" customWidth="1"/>
    <col min="7108" max="7108" width="9.7109375" style="125" customWidth="1"/>
    <col min="7109" max="7110" width="3.7109375" style="125" customWidth="1"/>
    <col min="7111" max="7111" width="9.7109375" style="125" customWidth="1"/>
    <col min="7112" max="7113" width="3.7109375" style="125" customWidth="1"/>
    <col min="7114" max="7114" width="9.7109375" style="125" customWidth="1"/>
    <col min="7115" max="7116" width="3.7109375" style="125" customWidth="1"/>
    <col min="7117" max="7117" width="9.7109375" style="125" customWidth="1"/>
    <col min="7118" max="7119" width="3.7109375" style="125" customWidth="1"/>
    <col min="7120" max="7120" width="9.7109375" style="125" customWidth="1"/>
    <col min="7121" max="7122" width="3.7109375" style="125" customWidth="1"/>
    <col min="7123" max="7123" width="9.7109375" style="125" customWidth="1"/>
    <col min="7124" max="7125" width="3.7109375" style="125" customWidth="1"/>
    <col min="7126" max="7126" width="9.7109375" style="125" customWidth="1"/>
    <col min="7127" max="7128" width="3.7109375" style="125" customWidth="1"/>
    <col min="7129" max="7129" width="9.7109375" style="125" customWidth="1"/>
    <col min="7130" max="7131" width="3.7109375" style="125" customWidth="1"/>
    <col min="7132" max="7132" width="9.7109375" style="125" customWidth="1"/>
    <col min="7133" max="7134" width="3.7109375" style="125" customWidth="1"/>
    <col min="7135" max="7135" width="9.7109375" style="125" customWidth="1"/>
    <col min="7136" max="7137" width="3.7109375" style="125" customWidth="1"/>
    <col min="7138" max="7138" width="9.7109375" style="125" customWidth="1"/>
    <col min="7139" max="7140" width="3.7109375" style="125" customWidth="1"/>
    <col min="7141" max="7141" width="9.7109375" style="125" customWidth="1"/>
    <col min="7142" max="7143" width="3.7109375" style="125" customWidth="1"/>
    <col min="7144" max="7144" width="9.7109375" style="125" customWidth="1"/>
    <col min="7145" max="7146" width="3.7109375" style="125" customWidth="1"/>
    <col min="7147" max="7147" width="9.7109375" style="125" customWidth="1"/>
    <col min="7148" max="7149" width="3.7109375" style="125" customWidth="1"/>
    <col min="7150" max="7150" width="9.7109375" style="125" customWidth="1"/>
    <col min="7151" max="7152" width="3.7109375" style="125" customWidth="1"/>
    <col min="7153" max="7153" width="9.7109375" style="125" customWidth="1"/>
    <col min="7154" max="7155" width="3.7109375" style="125" customWidth="1"/>
    <col min="7156" max="7156" width="9.7109375" style="125" customWidth="1"/>
    <col min="7157" max="7158" width="3.7109375" style="125" customWidth="1"/>
    <col min="7159" max="7159" width="9.7109375" style="125" customWidth="1"/>
    <col min="7160" max="7161" width="3.7109375" style="125" customWidth="1"/>
    <col min="7162" max="7162" width="9.7109375" style="125" customWidth="1"/>
    <col min="7163" max="7164" width="3.7109375" style="125" customWidth="1"/>
    <col min="7165" max="7165" width="9.7109375" style="125" customWidth="1"/>
    <col min="7166" max="7166" width="3.7109375" style="125" customWidth="1"/>
    <col min="7167" max="7168" width="8" style="125"/>
    <col min="7169" max="7169" width="30.7109375" style="125" customWidth="1"/>
    <col min="7170" max="7170" width="9.7109375" style="125" customWidth="1"/>
    <col min="7171" max="7171" width="3.7109375" style="125" customWidth="1"/>
    <col min="7172" max="7172" width="9.7109375" style="125" customWidth="1"/>
    <col min="7173" max="7174" width="3.7109375" style="125" customWidth="1"/>
    <col min="7175" max="7175" width="9.7109375" style="125" customWidth="1"/>
    <col min="7176" max="7177" width="3.7109375" style="125" customWidth="1"/>
    <col min="7178" max="7178" width="9.7109375" style="125" customWidth="1"/>
    <col min="7179" max="7180" width="3.7109375" style="125" customWidth="1"/>
    <col min="7181" max="7181" width="9.7109375" style="125" customWidth="1"/>
    <col min="7182" max="7183" width="3.7109375" style="125" customWidth="1"/>
    <col min="7184" max="7184" width="9.7109375" style="125" customWidth="1"/>
    <col min="7185" max="7186" width="3.7109375" style="125" customWidth="1"/>
    <col min="7187" max="7187" width="9.7109375" style="125" customWidth="1"/>
    <col min="7188" max="7189" width="3.7109375" style="125" customWidth="1"/>
    <col min="7190" max="7190" width="9.7109375" style="125" customWidth="1"/>
    <col min="7191" max="7192" width="3.7109375" style="125" customWidth="1"/>
    <col min="7193" max="7193" width="9.7109375" style="125" customWidth="1"/>
    <col min="7194" max="7195" width="3.7109375" style="125" customWidth="1"/>
    <col min="7196" max="7196" width="9.7109375" style="125" customWidth="1"/>
    <col min="7197" max="7198" width="3.7109375" style="125" customWidth="1"/>
    <col min="7199" max="7199" width="9.7109375" style="125" customWidth="1"/>
    <col min="7200" max="7201" width="3.7109375" style="125" customWidth="1"/>
    <col min="7202" max="7202" width="9.7109375" style="125" customWidth="1"/>
    <col min="7203" max="7204" width="3.7109375" style="125" customWidth="1"/>
    <col min="7205" max="7205" width="9.7109375" style="125" customWidth="1"/>
    <col min="7206" max="7207" width="3.7109375" style="125" customWidth="1"/>
    <col min="7208" max="7208" width="9.7109375" style="125" customWidth="1"/>
    <col min="7209" max="7210" width="3.7109375" style="125" customWidth="1"/>
    <col min="7211" max="7211" width="9.7109375" style="125" customWidth="1"/>
    <col min="7212" max="7213" width="3.7109375" style="125" customWidth="1"/>
    <col min="7214" max="7214" width="9.7109375" style="125" customWidth="1"/>
    <col min="7215" max="7216" width="3.7109375" style="125" customWidth="1"/>
    <col min="7217" max="7217" width="9.7109375" style="125" customWidth="1"/>
    <col min="7218" max="7219" width="3.7109375" style="125" customWidth="1"/>
    <col min="7220" max="7220" width="9.7109375" style="125" customWidth="1"/>
    <col min="7221" max="7222" width="3.7109375" style="125" customWidth="1"/>
    <col min="7223" max="7223" width="9.7109375" style="125" customWidth="1"/>
    <col min="7224" max="7225" width="3.7109375" style="125" customWidth="1"/>
    <col min="7226" max="7226" width="9.7109375" style="125" customWidth="1"/>
    <col min="7227" max="7228" width="3.7109375" style="125" customWidth="1"/>
    <col min="7229" max="7229" width="9.7109375" style="125" customWidth="1"/>
    <col min="7230" max="7231" width="3.7109375" style="125" customWidth="1"/>
    <col min="7232" max="7232" width="9.7109375" style="125" customWidth="1"/>
    <col min="7233" max="7234" width="3.7109375" style="125" customWidth="1"/>
    <col min="7235" max="7235" width="9.7109375" style="125" customWidth="1"/>
    <col min="7236" max="7237" width="3.7109375" style="125" customWidth="1"/>
    <col min="7238" max="7238" width="9.7109375" style="125" customWidth="1"/>
    <col min="7239" max="7240" width="3.7109375" style="125" customWidth="1"/>
    <col min="7241" max="7241" width="9.7109375" style="125" customWidth="1"/>
    <col min="7242" max="7243" width="3.7109375" style="125" customWidth="1"/>
    <col min="7244" max="7244" width="9.7109375" style="125" customWidth="1"/>
    <col min="7245" max="7246" width="3.7109375" style="125" customWidth="1"/>
    <col min="7247" max="7247" width="9.7109375" style="125" customWidth="1"/>
    <col min="7248" max="7249" width="3.7109375" style="125" customWidth="1"/>
    <col min="7250" max="7250" width="9.7109375" style="125" customWidth="1"/>
    <col min="7251" max="7252" width="3.7109375" style="125" customWidth="1"/>
    <col min="7253" max="7253" width="9.7109375" style="125" customWidth="1"/>
    <col min="7254" max="7255" width="3.7109375" style="125" customWidth="1"/>
    <col min="7256" max="7256" width="9.7109375" style="125" customWidth="1"/>
    <col min="7257" max="7258" width="3.7109375" style="125" customWidth="1"/>
    <col min="7259" max="7259" width="9.7109375" style="125" customWidth="1"/>
    <col min="7260" max="7261" width="3.7109375" style="125" customWidth="1"/>
    <col min="7262" max="7262" width="9.7109375" style="125" customWidth="1"/>
    <col min="7263" max="7264" width="3.7109375" style="125" customWidth="1"/>
    <col min="7265" max="7265" width="9.7109375" style="125" customWidth="1"/>
    <col min="7266" max="7267" width="3.7109375" style="125" customWidth="1"/>
    <col min="7268" max="7268" width="9.7109375" style="125" customWidth="1"/>
    <col min="7269" max="7270" width="3.7109375" style="125" customWidth="1"/>
    <col min="7271" max="7271" width="9.7109375" style="125" customWidth="1"/>
    <col min="7272" max="7273" width="3.7109375" style="125" customWidth="1"/>
    <col min="7274" max="7274" width="9.7109375" style="125" customWidth="1"/>
    <col min="7275" max="7276" width="3.7109375" style="125" customWidth="1"/>
    <col min="7277" max="7277" width="9.7109375" style="125" customWidth="1"/>
    <col min="7278" max="7279" width="3.7109375" style="125" customWidth="1"/>
    <col min="7280" max="7280" width="9.7109375" style="125" customWidth="1"/>
    <col min="7281" max="7282" width="3.7109375" style="125" customWidth="1"/>
    <col min="7283" max="7283" width="9.7109375" style="125" customWidth="1"/>
    <col min="7284" max="7285" width="3.7109375" style="125" customWidth="1"/>
    <col min="7286" max="7286" width="9.7109375" style="125" customWidth="1"/>
    <col min="7287" max="7288" width="3.7109375" style="125" customWidth="1"/>
    <col min="7289" max="7289" width="9.7109375" style="125" customWidth="1"/>
    <col min="7290" max="7291" width="3.7109375" style="125" customWidth="1"/>
    <col min="7292" max="7292" width="9.7109375" style="125" customWidth="1"/>
    <col min="7293" max="7294" width="3.7109375" style="125" customWidth="1"/>
    <col min="7295" max="7295" width="9.7109375" style="125" customWidth="1"/>
    <col min="7296" max="7297" width="3.7109375" style="125" customWidth="1"/>
    <col min="7298" max="7298" width="9.7109375" style="125" customWidth="1"/>
    <col min="7299" max="7300" width="3.7109375" style="125" customWidth="1"/>
    <col min="7301" max="7301" width="9.7109375" style="125" customWidth="1"/>
    <col min="7302" max="7303" width="3.7109375" style="125" customWidth="1"/>
    <col min="7304" max="7304" width="9.7109375" style="125" customWidth="1"/>
    <col min="7305" max="7306" width="3.7109375" style="125" customWidth="1"/>
    <col min="7307" max="7307" width="9.7109375" style="125" customWidth="1"/>
    <col min="7308" max="7309" width="3.7109375" style="125" customWidth="1"/>
    <col min="7310" max="7310" width="9.7109375" style="125" customWidth="1"/>
    <col min="7311" max="7312" width="3.7109375" style="125" customWidth="1"/>
    <col min="7313" max="7313" width="9.7109375" style="125" customWidth="1"/>
    <col min="7314" max="7314" width="3.7109375" style="125" customWidth="1"/>
    <col min="7315" max="7315" width="5.7109375" style="125" bestFit="1" customWidth="1"/>
    <col min="7316" max="7316" width="9.7109375" style="125" customWidth="1"/>
    <col min="7317" max="7318" width="3.7109375" style="125" customWidth="1"/>
    <col min="7319" max="7319" width="9.7109375" style="125" customWidth="1"/>
    <col min="7320" max="7321" width="3.7109375" style="125" customWidth="1"/>
    <col min="7322" max="7322" width="9.7109375" style="125" customWidth="1"/>
    <col min="7323" max="7324" width="3.7109375" style="125" customWidth="1"/>
    <col min="7325" max="7325" width="9.7109375" style="125" customWidth="1"/>
    <col min="7326" max="7327" width="3.7109375" style="125" customWidth="1"/>
    <col min="7328" max="7328" width="9.7109375" style="125" customWidth="1"/>
    <col min="7329" max="7330" width="3.7109375" style="125" customWidth="1"/>
    <col min="7331" max="7331" width="9.7109375" style="125" customWidth="1"/>
    <col min="7332" max="7332" width="3.7109375" style="125" customWidth="1"/>
    <col min="7333" max="7333" width="5.7109375" style="125" bestFit="1" customWidth="1"/>
    <col min="7334" max="7334" width="9.7109375" style="125" customWidth="1"/>
    <col min="7335" max="7336" width="3.7109375" style="125" customWidth="1"/>
    <col min="7337" max="7337" width="9.7109375" style="125" customWidth="1"/>
    <col min="7338" max="7339" width="3.7109375" style="125" customWidth="1"/>
    <col min="7340" max="7340" width="9.7109375" style="125" customWidth="1"/>
    <col min="7341" max="7342" width="3.7109375" style="125" customWidth="1"/>
    <col min="7343" max="7343" width="9.7109375" style="125" customWidth="1"/>
    <col min="7344" max="7345" width="3.7109375" style="125" customWidth="1"/>
    <col min="7346" max="7346" width="9.7109375" style="125" customWidth="1"/>
    <col min="7347" max="7348" width="3.7109375" style="125" customWidth="1"/>
    <col min="7349" max="7349" width="9.7109375" style="125" customWidth="1"/>
    <col min="7350" max="7351" width="3.7109375" style="125" customWidth="1"/>
    <col min="7352" max="7352" width="9.7109375" style="125" customWidth="1"/>
    <col min="7353" max="7354" width="3.7109375" style="125" customWidth="1"/>
    <col min="7355" max="7355" width="9.7109375" style="125" customWidth="1"/>
    <col min="7356" max="7357" width="3.7109375" style="125" customWidth="1"/>
    <col min="7358" max="7358" width="9.7109375" style="125" customWidth="1"/>
    <col min="7359" max="7360" width="3.7109375" style="125" customWidth="1"/>
    <col min="7361" max="7361" width="9.7109375" style="125" customWidth="1"/>
    <col min="7362" max="7363" width="3.7109375" style="125" customWidth="1"/>
    <col min="7364" max="7364" width="9.7109375" style="125" customWidth="1"/>
    <col min="7365" max="7366" width="3.7109375" style="125" customWidth="1"/>
    <col min="7367" max="7367" width="9.7109375" style="125" customWidth="1"/>
    <col min="7368" max="7369" width="3.7109375" style="125" customWidth="1"/>
    <col min="7370" max="7370" width="9.7109375" style="125" customWidth="1"/>
    <col min="7371" max="7372" width="3.7109375" style="125" customWidth="1"/>
    <col min="7373" max="7373" width="9.7109375" style="125" customWidth="1"/>
    <col min="7374" max="7375" width="3.7109375" style="125" customWidth="1"/>
    <col min="7376" max="7376" width="9.7109375" style="125" customWidth="1"/>
    <col min="7377" max="7378" width="3.7109375" style="125" customWidth="1"/>
    <col min="7379" max="7379" width="9.7109375" style="125" customWidth="1"/>
    <col min="7380" max="7381" width="3.7109375" style="125" customWidth="1"/>
    <col min="7382" max="7382" width="9.7109375" style="125" customWidth="1"/>
    <col min="7383" max="7384" width="3.7109375" style="125" customWidth="1"/>
    <col min="7385" max="7385" width="9.7109375" style="125" customWidth="1"/>
    <col min="7386" max="7387" width="3.7109375" style="125" customWidth="1"/>
    <col min="7388" max="7388" width="9.7109375" style="125" customWidth="1"/>
    <col min="7389" max="7390" width="3.7109375" style="125" customWidth="1"/>
    <col min="7391" max="7391" width="9.7109375" style="125" customWidth="1"/>
    <col min="7392" max="7393" width="3.7109375" style="125" customWidth="1"/>
    <col min="7394" max="7394" width="9.7109375" style="125" customWidth="1"/>
    <col min="7395" max="7396" width="3.7109375" style="125" customWidth="1"/>
    <col min="7397" max="7397" width="9.7109375" style="125" customWidth="1"/>
    <col min="7398" max="7399" width="3.7109375" style="125" customWidth="1"/>
    <col min="7400" max="7400" width="9.7109375" style="125" customWidth="1"/>
    <col min="7401" max="7402" width="3.7109375" style="125" customWidth="1"/>
    <col min="7403" max="7403" width="9.7109375" style="125" customWidth="1"/>
    <col min="7404" max="7405" width="3.7109375" style="125" customWidth="1"/>
    <col min="7406" max="7406" width="9.7109375" style="125" customWidth="1"/>
    <col min="7407" max="7408" width="3.7109375" style="125" customWidth="1"/>
    <col min="7409" max="7409" width="9.7109375" style="125" customWidth="1"/>
    <col min="7410" max="7411" width="3.7109375" style="125" customWidth="1"/>
    <col min="7412" max="7412" width="9.7109375" style="125" customWidth="1"/>
    <col min="7413" max="7414" width="3.7109375" style="125" customWidth="1"/>
    <col min="7415" max="7415" width="9.7109375" style="125" customWidth="1"/>
    <col min="7416" max="7417" width="3.7109375" style="125" customWidth="1"/>
    <col min="7418" max="7418" width="9.7109375" style="125" customWidth="1"/>
    <col min="7419" max="7420" width="3.7109375" style="125" customWidth="1"/>
    <col min="7421" max="7421" width="9.7109375" style="125" customWidth="1"/>
    <col min="7422" max="7422" width="3.7109375" style="125" customWidth="1"/>
    <col min="7423" max="7424" width="8" style="125"/>
    <col min="7425" max="7425" width="30.7109375" style="125" customWidth="1"/>
    <col min="7426" max="7426" width="9.7109375" style="125" customWidth="1"/>
    <col min="7427" max="7427" width="3.7109375" style="125" customWidth="1"/>
    <col min="7428" max="7428" width="9.7109375" style="125" customWidth="1"/>
    <col min="7429" max="7430" width="3.7109375" style="125" customWidth="1"/>
    <col min="7431" max="7431" width="9.7109375" style="125" customWidth="1"/>
    <col min="7432" max="7433" width="3.7109375" style="125" customWidth="1"/>
    <col min="7434" max="7434" width="9.7109375" style="125" customWidth="1"/>
    <col min="7435" max="7436" width="3.7109375" style="125" customWidth="1"/>
    <col min="7437" max="7437" width="9.7109375" style="125" customWidth="1"/>
    <col min="7438" max="7439" width="3.7109375" style="125" customWidth="1"/>
    <col min="7440" max="7440" width="9.7109375" style="125" customWidth="1"/>
    <col min="7441" max="7442" width="3.7109375" style="125" customWidth="1"/>
    <col min="7443" max="7443" width="9.7109375" style="125" customWidth="1"/>
    <col min="7444" max="7445" width="3.7109375" style="125" customWidth="1"/>
    <col min="7446" max="7446" width="9.7109375" style="125" customWidth="1"/>
    <col min="7447" max="7448" width="3.7109375" style="125" customWidth="1"/>
    <col min="7449" max="7449" width="9.7109375" style="125" customWidth="1"/>
    <col min="7450" max="7451" width="3.7109375" style="125" customWidth="1"/>
    <col min="7452" max="7452" width="9.7109375" style="125" customWidth="1"/>
    <col min="7453" max="7454" width="3.7109375" style="125" customWidth="1"/>
    <col min="7455" max="7455" width="9.7109375" style="125" customWidth="1"/>
    <col min="7456" max="7457" width="3.7109375" style="125" customWidth="1"/>
    <col min="7458" max="7458" width="9.7109375" style="125" customWidth="1"/>
    <col min="7459" max="7460" width="3.7109375" style="125" customWidth="1"/>
    <col min="7461" max="7461" width="9.7109375" style="125" customWidth="1"/>
    <col min="7462" max="7463" width="3.7109375" style="125" customWidth="1"/>
    <col min="7464" max="7464" width="9.7109375" style="125" customWidth="1"/>
    <col min="7465" max="7466" width="3.7109375" style="125" customWidth="1"/>
    <col min="7467" max="7467" width="9.7109375" style="125" customWidth="1"/>
    <col min="7468" max="7469" width="3.7109375" style="125" customWidth="1"/>
    <col min="7470" max="7470" width="9.7109375" style="125" customWidth="1"/>
    <col min="7471" max="7472" width="3.7109375" style="125" customWidth="1"/>
    <col min="7473" max="7473" width="9.7109375" style="125" customWidth="1"/>
    <col min="7474" max="7475" width="3.7109375" style="125" customWidth="1"/>
    <col min="7476" max="7476" width="9.7109375" style="125" customWidth="1"/>
    <col min="7477" max="7478" width="3.7109375" style="125" customWidth="1"/>
    <col min="7479" max="7479" width="9.7109375" style="125" customWidth="1"/>
    <col min="7480" max="7481" width="3.7109375" style="125" customWidth="1"/>
    <col min="7482" max="7482" width="9.7109375" style="125" customWidth="1"/>
    <col min="7483" max="7484" width="3.7109375" style="125" customWidth="1"/>
    <col min="7485" max="7485" width="9.7109375" style="125" customWidth="1"/>
    <col min="7486" max="7487" width="3.7109375" style="125" customWidth="1"/>
    <col min="7488" max="7488" width="9.7109375" style="125" customWidth="1"/>
    <col min="7489" max="7490" width="3.7109375" style="125" customWidth="1"/>
    <col min="7491" max="7491" width="9.7109375" style="125" customWidth="1"/>
    <col min="7492" max="7493" width="3.7109375" style="125" customWidth="1"/>
    <col min="7494" max="7494" width="9.7109375" style="125" customWidth="1"/>
    <col min="7495" max="7496" width="3.7109375" style="125" customWidth="1"/>
    <col min="7497" max="7497" width="9.7109375" style="125" customWidth="1"/>
    <col min="7498" max="7499" width="3.7109375" style="125" customWidth="1"/>
    <col min="7500" max="7500" width="9.7109375" style="125" customWidth="1"/>
    <col min="7501" max="7502" width="3.7109375" style="125" customWidth="1"/>
    <col min="7503" max="7503" width="9.7109375" style="125" customWidth="1"/>
    <col min="7504" max="7505" width="3.7109375" style="125" customWidth="1"/>
    <col min="7506" max="7506" width="9.7109375" style="125" customWidth="1"/>
    <col min="7507" max="7508" width="3.7109375" style="125" customWidth="1"/>
    <col min="7509" max="7509" width="9.7109375" style="125" customWidth="1"/>
    <col min="7510" max="7511" width="3.7109375" style="125" customWidth="1"/>
    <col min="7512" max="7512" width="9.7109375" style="125" customWidth="1"/>
    <col min="7513" max="7514" width="3.7109375" style="125" customWidth="1"/>
    <col min="7515" max="7515" width="9.7109375" style="125" customWidth="1"/>
    <col min="7516" max="7517" width="3.7109375" style="125" customWidth="1"/>
    <col min="7518" max="7518" width="9.7109375" style="125" customWidth="1"/>
    <col min="7519" max="7520" width="3.7109375" style="125" customWidth="1"/>
    <col min="7521" max="7521" width="9.7109375" style="125" customWidth="1"/>
    <col min="7522" max="7523" width="3.7109375" style="125" customWidth="1"/>
    <col min="7524" max="7524" width="9.7109375" style="125" customWidth="1"/>
    <col min="7525" max="7526" width="3.7109375" style="125" customWidth="1"/>
    <col min="7527" max="7527" width="9.7109375" style="125" customWidth="1"/>
    <col min="7528" max="7529" width="3.7109375" style="125" customWidth="1"/>
    <col min="7530" max="7530" width="9.7109375" style="125" customWidth="1"/>
    <col min="7531" max="7532" width="3.7109375" style="125" customWidth="1"/>
    <col min="7533" max="7533" width="9.7109375" style="125" customWidth="1"/>
    <col min="7534" max="7535" width="3.7109375" style="125" customWidth="1"/>
    <col min="7536" max="7536" width="9.7109375" style="125" customWidth="1"/>
    <col min="7537" max="7538" width="3.7109375" style="125" customWidth="1"/>
    <col min="7539" max="7539" width="9.7109375" style="125" customWidth="1"/>
    <col min="7540" max="7541" width="3.7109375" style="125" customWidth="1"/>
    <col min="7542" max="7542" width="9.7109375" style="125" customWidth="1"/>
    <col min="7543" max="7544" width="3.7109375" style="125" customWidth="1"/>
    <col min="7545" max="7545" width="9.7109375" style="125" customWidth="1"/>
    <col min="7546" max="7547" width="3.7109375" style="125" customWidth="1"/>
    <col min="7548" max="7548" width="9.7109375" style="125" customWidth="1"/>
    <col min="7549" max="7550" width="3.7109375" style="125" customWidth="1"/>
    <col min="7551" max="7551" width="9.7109375" style="125" customWidth="1"/>
    <col min="7552" max="7553" width="3.7109375" style="125" customWidth="1"/>
    <col min="7554" max="7554" width="9.7109375" style="125" customWidth="1"/>
    <col min="7555" max="7556" width="3.7109375" style="125" customWidth="1"/>
    <col min="7557" max="7557" width="9.7109375" style="125" customWidth="1"/>
    <col min="7558" max="7559" width="3.7109375" style="125" customWidth="1"/>
    <col min="7560" max="7560" width="9.7109375" style="125" customWidth="1"/>
    <col min="7561" max="7562" width="3.7109375" style="125" customWidth="1"/>
    <col min="7563" max="7563" width="9.7109375" style="125" customWidth="1"/>
    <col min="7564" max="7565" width="3.7109375" style="125" customWidth="1"/>
    <col min="7566" max="7566" width="9.7109375" style="125" customWidth="1"/>
    <col min="7567" max="7568" width="3.7109375" style="125" customWidth="1"/>
    <col min="7569" max="7569" width="9.7109375" style="125" customWidth="1"/>
    <col min="7570" max="7570" width="3.7109375" style="125" customWidth="1"/>
    <col min="7571" max="7571" width="5.7109375" style="125" bestFit="1" customWidth="1"/>
    <col min="7572" max="7572" width="9.7109375" style="125" customWidth="1"/>
    <col min="7573" max="7574" width="3.7109375" style="125" customWidth="1"/>
    <col min="7575" max="7575" width="9.7109375" style="125" customWidth="1"/>
    <col min="7576" max="7577" width="3.7109375" style="125" customWidth="1"/>
    <col min="7578" max="7578" width="9.7109375" style="125" customWidth="1"/>
    <col min="7579" max="7580" width="3.7109375" style="125" customWidth="1"/>
    <col min="7581" max="7581" width="9.7109375" style="125" customWidth="1"/>
    <col min="7582" max="7583" width="3.7109375" style="125" customWidth="1"/>
    <col min="7584" max="7584" width="9.7109375" style="125" customWidth="1"/>
    <col min="7585" max="7586" width="3.7109375" style="125" customWidth="1"/>
    <col min="7587" max="7587" width="9.7109375" style="125" customWidth="1"/>
    <col min="7588" max="7588" width="3.7109375" style="125" customWidth="1"/>
    <col min="7589" max="7589" width="5.7109375" style="125" bestFit="1" customWidth="1"/>
    <col min="7590" max="7590" width="9.7109375" style="125" customWidth="1"/>
    <col min="7591" max="7592" width="3.7109375" style="125" customWidth="1"/>
    <col min="7593" max="7593" width="9.7109375" style="125" customWidth="1"/>
    <col min="7594" max="7595" width="3.7109375" style="125" customWidth="1"/>
    <col min="7596" max="7596" width="9.7109375" style="125" customWidth="1"/>
    <col min="7597" max="7598" width="3.7109375" style="125" customWidth="1"/>
    <col min="7599" max="7599" width="9.7109375" style="125" customWidth="1"/>
    <col min="7600" max="7601" width="3.7109375" style="125" customWidth="1"/>
    <col min="7602" max="7602" width="9.7109375" style="125" customWidth="1"/>
    <col min="7603" max="7604" width="3.7109375" style="125" customWidth="1"/>
    <col min="7605" max="7605" width="9.7109375" style="125" customWidth="1"/>
    <col min="7606" max="7607" width="3.7109375" style="125" customWidth="1"/>
    <col min="7608" max="7608" width="9.7109375" style="125" customWidth="1"/>
    <col min="7609" max="7610" width="3.7109375" style="125" customWidth="1"/>
    <col min="7611" max="7611" width="9.7109375" style="125" customWidth="1"/>
    <col min="7612" max="7613" width="3.7109375" style="125" customWidth="1"/>
    <col min="7614" max="7614" width="9.7109375" style="125" customWidth="1"/>
    <col min="7615" max="7616" width="3.7109375" style="125" customWidth="1"/>
    <col min="7617" max="7617" width="9.7109375" style="125" customWidth="1"/>
    <col min="7618" max="7619" width="3.7109375" style="125" customWidth="1"/>
    <col min="7620" max="7620" width="9.7109375" style="125" customWidth="1"/>
    <col min="7621" max="7622" width="3.7109375" style="125" customWidth="1"/>
    <col min="7623" max="7623" width="9.7109375" style="125" customWidth="1"/>
    <col min="7624" max="7625" width="3.7109375" style="125" customWidth="1"/>
    <col min="7626" max="7626" width="9.7109375" style="125" customWidth="1"/>
    <col min="7627" max="7628" width="3.7109375" style="125" customWidth="1"/>
    <col min="7629" max="7629" width="9.7109375" style="125" customWidth="1"/>
    <col min="7630" max="7631" width="3.7109375" style="125" customWidth="1"/>
    <col min="7632" max="7632" width="9.7109375" style="125" customWidth="1"/>
    <col min="7633" max="7634" width="3.7109375" style="125" customWidth="1"/>
    <col min="7635" max="7635" width="9.7109375" style="125" customWidth="1"/>
    <col min="7636" max="7637" width="3.7109375" style="125" customWidth="1"/>
    <col min="7638" max="7638" width="9.7109375" style="125" customWidth="1"/>
    <col min="7639" max="7640" width="3.7109375" style="125" customWidth="1"/>
    <col min="7641" max="7641" width="9.7109375" style="125" customWidth="1"/>
    <col min="7642" max="7643" width="3.7109375" style="125" customWidth="1"/>
    <col min="7644" max="7644" width="9.7109375" style="125" customWidth="1"/>
    <col min="7645" max="7646" width="3.7109375" style="125" customWidth="1"/>
    <col min="7647" max="7647" width="9.7109375" style="125" customWidth="1"/>
    <col min="7648" max="7649" width="3.7109375" style="125" customWidth="1"/>
    <col min="7650" max="7650" width="9.7109375" style="125" customWidth="1"/>
    <col min="7651" max="7652" width="3.7109375" style="125" customWidth="1"/>
    <col min="7653" max="7653" width="9.7109375" style="125" customWidth="1"/>
    <col min="7654" max="7655" width="3.7109375" style="125" customWidth="1"/>
    <col min="7656" max="7656" width="9.7109375" style="125" customWidth="1"/>
    <col min="7657" max="7658" width="3.7109375" style="125" customWidth="1"/>
    <col min="7659" max="7659" width="9.7109375" style="125" customWidth="1"/>
    <col min="7660" max="7661" width="3.7109375" style="125" customWidth="1"/>
    <col min="7662" max="7662" width="9.7109375" style="125" customWidth="1"/>
    <col min="7663" max="7664" width="3.7109375" style="125" customWidth="1"/>
    <col min="7665" max="7665" width="9.7109375" style="125" customWidth="1"/>
    <col min="7666" max="7667" width="3.7109375" style="125" customWidth="1"/>
    <col min="7668" max="7668" width="9.7109375" style="125" customWidth="1"/>
    <col min="7669" max="7670" width="3.7109375" style="125" customWidth="1"/>
    <col min="7671" max="7671" width="9.7109375" style="125" customWidth="1"/>
    <col min="7672" max="7673" width="3.7109375" style="125" customWidth="1"/>
    <col min="7674" max="7674" width="9.7109375" style="125" customWidth="1"/>
    <col min="7675" max="7676" width="3.7109375" style="125" customWidth="1"/>
    <col min="7677" max="7677" width="9.7109375" style="125" customWidth="1"/>
    <col min="7678" max="7678" width="3.7109375" style="125" customWidth="1"/>
    <col min="7679" max="7680" width="8" style="125"/>
    <col min="7681" max="7681" width="30.7109375" style="125" customWidth="1"/>
    <col min="7682" max="7682" width="9.7109375" style="125" customWidth="1"/>
    <col min="7683" max="7683" width="3.7109375" style="125" customWidth="1"/>
    <col min="7684" max="7684" width="9.7109375" style="125" customWidth="1"/>
    <col min="7685" max="7686" width="3.7109375" style="125" customWidth="1"/>
    <col min="7687" max="7687" width="9.7109375" style="125" customWidth="1"/>
    <col min="7688" max="7689" width="3.7109375" style="125" customWidth="1"/>
    <col min="7690" max="7690" width="9.7109375" style="125" customWidth="1"/>
    <col min="7691" max="7692" width="3.7109375" style="125" customWidth="1"/>
    <col min="7693" max="7693" width="9.7109375" style="125" customWidth="1"/>
    <col min="7694" max="7695" width="3.7109375" style="125" customWidth="1"/>
    <col min="7696" max="7696" width="9.7109375" style="125" customWidth="1"/>
    <col min="7697" max="7698" width="3.7109375" style="125" customWidth="1"/>
    <col min="7699" max="7699" width="9.7109375" style="125" customWidth="1"/>
    <col min="7700" max="7701" width="3.7109375" style="125" customWidth="1"/>
    <col min="7702" max="7702" width="9.7109375" style="125" customWidth="1"/>
    <col min="7703" max="7704" width="3.7109375" style="125" customWidth="1"/>
    <col min="7705" max="7705" width="9.7109375" style="125" customWidth="1"/>
    <col min="7706" max="7707" width="3.7109375" style="125" customWidth="1"/>
    <col min="7708" max="7708" width="9.7109375" style="125" customWidth="1"/>
    <col min="7709" max="7710" width="3.7109375" style="125" customWidth="1"/>
    <col min="7711" max="7711" width="9.7109375" style="125" customWidth="1"/>
    <col min="7712" max="7713" width="3.7109375" style="125" customWidth="1"/>
    <col min="7714" max="7714" width="9.7109375" style="125" customWidth="1"/>
    <col min="7715" max="7716" width="3.7109375" style="125" customWidth="1"/>
    <col min="7717" max="7717" width="9.7109375" style="125" customWidth="1"/>
    <col min="7718" max="7719" width="3.7109375" style="125" customWidth="1"/>
    <col min="7720" max="7720" width="9.7109375" style="125" customWidth="1"/>
    <col min="7721" max="7722" width="3.7109375" style="125" customWidth="1"/>
    <col min="7723" max="7723" width="9.7109375" style="125" customWidth="1"/>
    <col min="7724" max="7725" width="3.7109375" style="125" customWidth="1"/>
    <col min="7726" max="7726" width="9.7109375" style="125" customWidth="1"/>
    <col min="7727" max="7728" width="3.7109375" style="125" customWidth="1"/>
    <col min="7729" max="7729" width="9.7109375" style="125" customWidth="1"/>
    <col min="7730" max="7731" width="3.7109375" style="125" customWidth="1"/>
    <col min="7732" max="7732" width="9.7109375" style="125" customWidth="1"/>
    <col min="7733" max="7734" width="3.7109375" style="125" customWidth="1"/>
    <col min="7735" max="7735" width="9.7109375" style="125" customWidth="1"/>
    <col min="7736" max="7737" width="3.7109375" style="125" customWidth="1"/>
    <col min="7738" max="7738" width="9.7109375" style="125" customWidth="1"/>
    <col min="7739" max="7740" width="3.7109375" style="125" customWidth="1"/>
    <col min="7741" max="7741" width="9.7109375" style="125" customWidth="1"/>
    <col min="7742" max="7743" width="3.7109375" style="125" customWidth="1"/>
    <col min="7744" max="7744" width="9.7109375" style="125" customWidth="1"/>
    <col min="7745" max="7746" width="3.7109375" style="125" customWidth="1"/>
    <col min="7747" max="7747" width="9.7109375" style="125" customWidth="1"/>
    <col min="7748" max="7749" width="3.7109375" style="125" customWidth="1"/>
    <col min="7750" max="7750" width="9.7109375" style="125" customWidth="1"/>
    <col min="7751" max="7752" width="3.7109375" style="125" customWidth="1"/>
    <col min="7753" max="7753" width="9.7109375" style="125" customWidth="1"/>
    <col min="7754" max="7755" width="3.7109375" style="125" customWidth="1"/>
    <col min="7756" max="7756" width="9.7109375" style="125" customWidth="1"/>
    <col min="7757" max="7758" width="3.7109375" style="125" customWidth="1"/>
    <col min="7759" max="7759" width="9.7109375" style="125" customWidth="1"/>
    <col min="7760" max="7761" width="3.7109375" style="125" customWidth="1"/>
    <col min="7762" max="7762" width="9.7109375" style="125" customWidth="1"/>
    <col min="7763" max="7764" width="3.7109375" style="125" customWidth="1"/>
    <col min="7765" max="7765" width="9.7109375" style="125" customWidth="1"/>
    <col min="7766" max="7767" width="3.7109375" style="125" customWidth="1"/>
    <col min="7768" max="7768" width="9.7109375" style="125" customWidth="1"/>
    <col min="7769" max="7770" width="3.7109375" style="125" customWidth="1"/>
    <col min="7771" max="7771" width="9.7109375" style="125" customWidth="1"/>
    <col min="7772" max="7773" width="3.7109375" style="125" customWidth="1"/>
    <col min="7774" max="7774" width="9.7109375" style="125" customWidth="1"/>
    <col min="7775" max="7776" width="3.7109375" style="125" customWidth="1"/>
    <col min="7777" max="7777" width="9.7109375" style="125" customWidth="1"/>
    <col min="7778" max="7779" width="3.7109375" style="125" customWidth="1"/>
    <col min="7780" max="7780" width="9.7109375" style="125" customWidth="1"/>
    <col min="7781" max="7782" width="3.7109375" style="125" customWidth="1"/>
    <col min="7783" max="7783" width="9.7109375" style="125" customWidth="1"/>
    <col min="7784" max="7785" width="3.7109375" style="125" customWidth="1"/>
    <col min="7786" max="7786" width="9.7109375" style="125" customWidth="1"/>
    <col min="7787" max="7788" width="3.7109375" style="125" customWidth="1"/>
    <col min="7789" max="7789" width="9.7109375" style="125" customWidth="1"/>
    <col min="7790" max="7791" width="3.7109375" style="125" customWidth="1"/>
    <col min="7792" max="7792" width="9.7109375" style="125" customWidth="1"/>
    <col min="7793" max="7794" width="3.7109375" style="125" customWidth="1"/>
    <col min="7795" max="7795" width="9.7109375" style="125" customWidth="1"/>
    <col min="7796" max="7797" width="3.7109375" style="125" customWidth="1"/>
    <col min="7798" max="7798" width="9.7109375" style="125" customWidth="1"/>
    <col min="7799" max="7800" width="3.7109375" style="125" customWidth="1"/>
    <col min="7801" max="7801" width="9.7109375" style="125" customWidth="1"/>
    <col min="7802" max="7803" width="3.7109375" style="125" customWidth="1"/>
    <col min="7804" max="7804" width="9.7109375" style="125" customWidth="1"/>
    <col min="7805" max="7806" width="3.7109375" style="125" customWidth="1"/>
    <col min="7807" max="7807" width="9.7109375" style="125" customWidth="1"/>
    <col min="7808" max="7809" width="3.7109375" style="125" customWidth="1"/>
    <col min="7810" max="7810" width="9.7109375" style="125" customWidth="1"/>
    <col min="7811" max="7812" width="3.7109375" style="125" customWidth="1"/>
    <col min="7813" max="7813" width="9.7109375" style="125" customWidth="1"/>
    <col min="7814" max="7815" width="3.7109375" style="125" customWidth="1"/>
    <col min="7816" max="7816" width="9.7109375" style="125" customWidth="1"/>
    <col min="7817" max="7818" width="3.7109375" style="125" customWidth="1"/>
    <col min="7819" max="7819" width="9.7109375" style="125" customWidth="1"/>
    <col min="7820" max="7821" width="3.7109375" style="125" customWidth="1"/>
    <col min="7822" max="7822" width="9.7109375" style="125" customWidth="1"/>
    <col min="7823" max="7824" width="3.7109375" style="125" customWidth="1"/>
    <col min="7825" max="7825" width="9.7109375" style="125" customWidth="1"/>
    <col min="7826" max="7826" width="3.7109375" style="125" customWidth="1"/>
    <col min="7827" max="7827" width="5.7109375" style="125" bestFit="1" customWidth="1"/>
    <col min="7828" max="7828" width="9.7109375" style="125" customWidth="1"/>
    <col min="7829" max="7830" width="3.7109375" style="125" customWidth="1"/>
    <col min="7831" max="7831" width="9.7109375" style="125" customWidth="1"/>
    <col min="7832" max="7833" width="3.7109375" style="125" customWidth="1"/>
    <col min="7834" max="7834" width="9.7109375" style="125" customWidth="1"/>
    <col min="7835" max="7836" width="3.7109375" style="125" customWidth="1"/>
    <col min="7837" max="7837" width="9.7109375" style="125" customWidth="1"/>
    <col min="7838" max="7839" width="3.7109375" style="125" customWidth="1"/>
    <col min="7840" max="7840" width="9.7109375" style="125" customWidth="1"/>
    <col min="7841" max="7842" width="3.7109375" style="125" customWidth="1"/>
    <col min="7843" max="7843" width="9.7109375" style="125" customWidth="1"/>
    <col min="7844" max="7844" width="3.7109375" style="125" customWidth="1"/>
    <col min="7845" max="7845" width="5.7109375" style="125" bestFit="1" customWidth="1"/>
    <col min="7846" max="7846" width="9.7109375" style="125" customWidth="1"/>
    <col min="7847" max="7848" width="3.7109375" style="125" customWidth="1"/>
    <col min="7849" max="7849" width="9.7109375" style="125" customWidth="1"/>
    <col min="7850" max="7851" width="3.7109375" style="125" customWidth="1"/>
    <col min="7852" max="7852" width="9.7109375" style="125" customWidth="1"/>
    <col min="7853" max="7854" width="3.7109375" style="125" customWidth="1"/>
    <col min="7855" max="7855" width="9.7109375" style="125" customWidth="1"/>
    <col min="7856" max="7857" width="3.7109375" style="125" customWidth="1"/>
    <col min="7858" max="7858" width="9.7109375" style="125" customWidth="1"/>
    <col min="7859" max="7860" width="3.7109375" style="125" customWidth="1"/>
    <col min="7861" max="7861" width="9.7109375" style="125" customWidth="1"/>
    <col min="7862" max="7863" width="3.7109375" style="125" customWidth="1"/>
    <col min="7864" max="7864" width="9.7109375" style="125" customWidth="1"/>
    <col min="7865" max="7866" width="3.7109375" style="125" customWidth="1"/>
    <col min="7867" max="7867" width="9.7109375" style="125" customWidth="1"/>
    <col min="7868" max="7869" width="3.7109375" style="125" customWidth="1"/>
    <col min="7870" max="7870" width="9.7109375" style="125" customWidth="1"/>
    <col min="7871" max="7872" width="3.7109375" style="125" customWidth="1"/>
    <col min="7873" max="7873" width="9.7109375" style="125" customWidth="1"/>
    <col min="7874" max="7875" width="3.7109375" style="125" customWidth="1"/>
    <col min="7876" max="7876" width="9.7109375" style="125" customWidth="1"/>
    <col min="7877" max="7878" width="3.7109375" style="125" customWidth="1"/>
    <col min="7879" max="7879" width="9.7109375" style="125" customWidth="1"/>
    <col min="7880" max="7881" width="3.7109375" style="125" customWidth="1"/>
    <col min="7882" max="7882" width="9.7109375" style="125" customWidth="1"/>
    <col min="7883" max="7884" width="3.7109375" style="125" customWidth="1"/>
    <col min="7885" max="7885" width="9.7109375" style="125" customWidth="1"/>
    <col min="7886" max="7887" width="3.7109375" style="125" customWidth="1"/>
    <col min="7888" max="7888" width="9.7109375" style="125" customWidth="1"/>
    <col min="7889" max="7890" width="3.7109375" style="125" customWidth="1"/>
    <col min="7891" max="7891" width="9.7109375" style="125" customWidth="1"/>
    <col min="7892" max="7893" width="3.7109375" style="125" customWidth="1"/>
    <col min="7894" max="7894" width="9.7109375" style="125" customWidth="1"/>
    <col min="7895" max="7896" width="3.7109375" style="125" customWidth="1"/>
    <col min="7897" max="7897" width="9.7109375" style="125" customWidth="1"/>
    <col min="7898" max="7899" width="3.7109375" style="125" customWidth="1"/>
    <col min="7900" max="7900" width="9.7109375" style="125" customWidth="1"/>
    <col min="7901" max="7902" width="3.7109375" style="125" customWidth="1"/>
    <col min="7903" max="7903" width="9.7109375" style="125" customWidth="1"/>
    <col min="7904" max="7905" width="3.7109375" style="125" customWidth="1"/>
    <col min="7906" max="7906" width="9.7109375" style="125" customWidth="1"/>
    <col min="7907" max="7908" width="3.7109375" style="125" customWidth="1"/>
    <col min="7909" max="7909" width="9.7109375" style="125" customWidth="1"/>
    <col min="7910" max="7911" width="3.7109375" style="125" customWidth="1"/>
    <col min="7912" max="7912" width="9.7109375" style="125" customWidth="1"/>
    <col min="7913" max="7914" width="3.7109375" style="125" customWidth="1"/>
    <col min="7915" max="7915" width="9.7109375" style="125" customWidth="1"/>
    <col min="7916" max="7917" width="3.7109375" style="125" customWidth="1"/>
    <col min="7918" max="7918" width="9.7109375" style="125" customWidth="1"/>
    <col min="7919" max="7920" width="3.7109375" style="125" customWidth="1"/>
    <col min="7921" max="7921" width="9.7109375" style="125" customWidth="1"/>
    <col min="7922" max="7923" width="3.7109375" style="125" customWidth="1"/>
    <col min="7924" max="7924" width="9.7109375" style="125" customWidth="1"/>
    <col min="7925" max="7926" width="3.7109375" style="125" customWidth="1"/>
    <col min="7927" max="7927" width="9.7109375" style="125" customWidth="1"/>
    <col min="7928" max="7929" width="3.7109375" style="125" customWidth="1"/>
    <col min="7930" max="7930" width="9.7109375" style="125" customWidth="1"/>
    <col min="7931" max="7932" width="3.7109375" style="125" customWidth="1"/>
    <col min="7933" max="7933" width="9.7109375" style="125" customWidth="1"/>
    <col min="7934" max="7934" width="3.7109375" style="125" customWidth="1"/>
    <col min="7935" max="7936" width="8" style="125"/>
    <col min="7937" max="7937" width="30.7109375" style="125" customWidth="1"/>
    <col min="7938" max="7938" width="9.7109375" style="125" customWidth="1"/>
    <col min="7939" max="7939" width="3.7109375" style="125" customWidth="1"/>
    <col min="7940" max="7940" width="9.7109375" style="125" customWidth="1"/>
    <col min="7941" max="7942" width="3.7109375" style="125" customWidth="1"/>
    <col min="7943" max="7943" width="9.7109375" style="125" customWidth="1"/>
    <col min="7944" max="7945" width="3.7109375" style="125" customWidth="1"/>
    <col min="7946" max="7946" width="9.7109375" style="125" customWidth="1"/>
    <col min="7947" max="7948" width="3.7109375" style="125" customWidth="1"/>
    <col min="7949" max="7949" width="9.7109375" style="125" customWidth="1"/>
    <col min="7950" max="7951" width="3.7109375" style="125" customWidth="1"/>
    <col min="7952" max="7952" width="9.7109375" style="125" customWidth="1"/>
    <col min="7953" max="7954" width="3.7109375" style="125" customWidth="1"/>
    <col min="7955" max="7955" width="9.7109375" style="125" customWidth="1"/>
    <col min="7956" max="7957" width="3.7109375" style="125" customWidth="1"/>
    <col min="7958" max="7958" width="9.7109375" style="125" customWidth="1"/>
    <col min="7959" max="7960" width="3.7109375" style="125" customWidth="1"/>
    <col min="7961" max="7961" width="9.7109375" style="125" customWidth="1"/>
    <col min="7962" max="7963" width="3.7109375" style="125" customWidth="1"/>
    <col min="7964" max="7964" width="9.7109375" style="125" customWidth="1"/>
    <col min="7965" max="7966" width="3.7109375" style="125" customWidth="1"/>
    <col min="7967" max="7967" width="9.7109375" style="125" customWidth="1"/>
    <col min="7968" max="7969" width="3.7109375" style="125" customWidth="1"/>
    <col min="7970" max="7970" width="9.7109375" style="125" customWidth="1"/>
    <col min="7971" max="7972" width="3.7109375" style="125" customWidth="1"/>
    <col min="7973" max="7973" width="9.7109375" style="125" customWidth="1"/>
    <col min="7974" max="7975" width="3.7109375" style="125" customWidth="1"/>
    <col min="7976" max="7976" width="9.7109375" style="125" customWidth="1"/>
    <col min="7977" max="7978" width="3.7109375" style="125" customWidth="1"/>
    <col min="7979" max="7979" width="9.7109375" style="125" customWidth="1"/>
    <col min="7980" max="7981" width="3.7109375" style="125" customWidth="1"/>
    <col min="7982" max="7982" width="9.7109375" style="125" customWidth="1"/>
    <col min="7983" max="7984" width="3.7109375" style="125" customWidth="1"/>
    <col min="7985" max="7985" width="9.7109375" style="125" customWidth="1"/>
    <col min="7986" max="7987" width="3.7109375" style="125" customWidth="1"/>
    <col min="7988" max="7988" width="9.7109375" style="125" customWidth="1"/>
    <col min="7989" max="7990" width="3.7109375" style="125" customWidth="1"/>
    <col min="7991" max="7991" width="9.7109375" style="125" customWidth="1"/>
    <col min="7992" max="7993" width="3.7109375" style="125" customWidth="1"/>
    <col min="7994" max="7994" width="9.7109375" style="125" customWidth="1"/>
    <col min="7995" max="7996" width="3.7109375" style="125" customWidth="1"/>
    <col min="7997" max="7997" width="9.7109375" style="125" customWidth="1"/>
    <col min="7998" max="7999" width="3.7109375" style="125" customWidth="1"/>
    <col min="8000" max="8000" width="9.7109375" style="125" customWidth="1"/>
    <col min="8001" max="8002" width="3.7109375" style="125" customWidth="1"/>
    <col min="8003" max="8003" width="9.7109375" style="125" customWidth="1"/>
    <col min="8004" max="8005" width="3.7109375" style="125" customWidth="1"/>
    <col min="8006" max="8006" width="9.7109375" style="125" customWidth="1"/>
    <col min="8007" max="8008" width="3.7109375" style="125" customWidth="1"/>
    <col min="8009" max="8009" width="9.7109375" style="125" customWidth="1"/>
    <col min="8010" max="8011" width="3.7109375" style="125" customWidth="1"/>
    <col min="8012" max="8012" width="9.7109375" style="125" customWidth="1"/>
    <col min="8013" max="8014" width="3.7109375" style="125" customWidth="1"/>
    <col min="8015" max="8015" width="9.7109375" style="125" customWidth="1"/>
    <col min="8016" max="8017" width="3.7109375" style="125" customWidth="1"/>
    <col min="8018" max="8018" width="9.7109375" style="125" customWidth="1"/>
    <col min="8019" max="8020" width="3.7109375" style="125" customWidth="1"/>
    <col min="8021" max="8021" width="9.7109375" style="125" customWidth="1"/>
    <col min="8022" max="8023" width="3.7109375" style="125" customWidth="1"/>
    <col min="8024" max="8024" width="9.7109375" style="125" customWidth="1"/>
    <col min="8025" max="8026" width="3.7109375" style="125" customWidth="1"/>
    <col min="8027" max="8027" width="9.7109375" style="125" customWidth="1"/>
    <col min="8028" max="8029" width="3.7109375" style="125" customWidth="1"/>
    <col min="8030" max="8030" width="9.7109375" style="125" customWidth="1"/>
    <col min="8031" max="8032" width="3.7109375" style="125" customWidth="1"/>
    <col min="8033" max="8033" width="9.7109375" style="125" customWidth="1"/>
    <col min="8034" max="8035" width="3.7109375" style="125" customWidth="1"/>
    <col min="8036" max="8036" width="9.7109375" style="125" customWidth="1"/>
    <col min="8037" max="8038" width="3.7109375" style="125" customWidth="1"/>
    <col min="8039" max="8039" width="9.7109375" style="125" customWidth="1"/>
    <col min="8040" max="8041" width="3.7109375" style="125" customWidth="1"/>
    <col min="8042" max="8042" width="9.7109375" style="125" customWidth="1"/>
    <col min="8043" max="8044" width="3.7109375" style="125" customWidth="1"/>
    <col min="8045" max="8045" width="9.7109375" style="125" customWidth="1"/>
    <col min="8046" max="8047" width="3.7109375" style="125" customWidth="1"/>
    <col min="8048" max="8048" width="9.7109375" style="125" customWidth="1"/>
    <col min="8049" max="8050" width="3.7109375" style="125" customWidth="1"/>
    <col min="8051" max="8051" width="9.7109375" style="125" customWidth="1"/>
    <col min="8052" max="8053" width="3.7109375" style="125" customWidth="1"/>
    <col min="8054" max="8054" width="9.7109375" style="125" customWidth="1"/>
    <col min="8055" max="8056" width="3.7109375" style="125" customWidth="1"/>
    <col min="8057" max="8057" width="9.7109375" style="125" customWidth="1"/>
    <col min="8058" max="8059" width="3.7109375" style="125" customWidth="1"/>
    <col min="8060" max="8060" width="9.7109375" style="125" customWidth="1"/>
    <col min="8061" max="8062" width="3.7109375" style="125" customWidth="1"/>
    <col min="8063" max="8063" width="9.7109375" style="125" customWidth="1"/>
    <col min="8064" max="8065" width="3.7109375" style="125" customWidth="1"/>
    <col min="8066" max="8066" width="9.7109375" style="125" customWidth="1"/>
    <col min="8067" max="8068" width="3.7109375" style="125" customWidth="1"/>
    <col min="8069" max="8069" width="9.7109375" style="125" customWidth="1"/>
    <col min="8070" max="8071" width="3.7109375" style="125" customWidth="1"/>
    <col min="8072" max="8072" width="9.7109375" style="125" customWidth="1"/>
    <col min="8073" max="8074" width="3.7109375" style="125" customWidth="1"/>
    <col min="8075" max="8075" width="9.7109375" style="125" customWidth="1"/>
    <col min="8076" max="8077" width="3.7109375" style="125" customWidth="1"/>
    <col min="8078" max="8078" width="9.7109375" style="125" customWidth="1"/>
    <col min="8079" max="8080" width="3.7109375" style="125" customWidth="1"/>
    <col min="8081" max="8081" width="9.7109375" style="125" customWidth="1"/>
    <col min="8082" max="8082" width="3.7109375" style="125" customWidth="1"/>
    <col min="8083" max="8083" width="5.7109375" style="125" bestFit="1" customWidth="1"/>
    <col min="8084" max="8084" width="9.7109375" style="125" customWidth="1"/>
    <col min="8085" max="8086" width="3.7109375" style="125" customWidth="1"/>
    <col min="8087" max="8087" width="9.7109375" style="125" customWidth="1"/>
    <col min="8088" max="8089" width="3.7109375" style="125" customWidth="1"/>
    <col min="8090" max="8090" width="9.7109375" style="125" customWidth="1"/>
    <col min="8091" max="8092" width="3.7109375" style="125" customWidth="1"/>
    <col min="8093" max="8093" width="9.7109375" style="125" customWidth="1"/>
    <col min="8094" max="8095" width="3.7109375" style="125" customWidth="1"/>
    <col min="8096" max="8096" width="9.7109375" style="125" customWidth="1"/>
    <col min="8097" max="8098" width="3.7109375" style="125" customWidth="1"/>
    <col min="8099" max="8099" width="9.7109375" style="125" customWidth="1"/>
    <col min="8100" max="8100" width="3.7109375" style="125" customWidth="1"/>
    <col min="8101" max="8101" width="5.7109375" style="125" bestFit="1" customWidth="1"/>
    <col min="8102" max="8102" width="9.7109375" style="125" customWidth="1"/>
    <col min="8103" max="8104" width="3.7109375" style="125" customWidth="1"/>
    <col min="8105" max="8105" width="9.7109375" style="125" customWidth="1"/>
    <col min="8106" max="8107" width="3.7109375" style="125" customWidth="1"/>
    <col min="8108" max="8108" width="9.7109375" style="125" customWidth="1"/>
    <col min="8109" max="8110" width="3.7109375" style="125" customWidth="1"/>
    <col min="8111" max="8111" width="9.7109375" style="125" customWidth="1"/>
    <col min="8112" max="8113" width="3.7109375" style="125" customWidth="1"/>
    <col min="8114" max="8114" width="9.7109375" style="125" customWidth="1"/>
    <col min="8115" max="8116" width="3.7109375" style="125" customWidth="1"/>
    <col min="8117" max="8117" width="9.7109375" style="125" customWidth="1"/>
    <col min="8118" max="8119" width="3.7109375" style="125" customWidth="1"/>
    <col min="8120" max="8120" width="9.7109375" style="125" customWidth="1"/>
    <col min="8121" max="8122" width="3.7109375" style="125" customWidth="1"/>
    <col min="8123" max="8123" width="9.7109375" style="125" customWidth="1"/>
    <col min="8124" max="8125" width="3.7109375" style="125" customWidth="1"/>
    <col min="8126" max="8126" width="9.7109375" style="125" customWidth="1"/>
    <col min="8127" max="8128" width="3.7109375" style="125" customWidth="1"/>
    <col min="8129" max="8129" width="9.7109375" style="125" customWidth="1"/>
    <col min="8130" max="8131" width="3.7109375" style="125" customWidth="1"/>
    <col min="8132" max="8132" width="9.7109375" style="125" customWidth="1"/>
    <col min="8133" max="8134" width="3.7109375" style="125" customWidth="1"/>
    <col min="8135" max="8135" width="9.7109375" style="125" customWidth="1"/>
    <col min="8136" max="8137" width="3.7109375" style="125" customWidth="1"/>
    <col min="8138" max="8138" width="9.7109375" style="125" customWidth="1"/>
    <col min="8139" max="8140" width="3.7109375" style="125" customWidth="1"/>
    <col min="8141" max="8141" width="9.7109375" style="125" customWidth="1"/>
    <col min="8142" max="8143" width="3.7109375" style="125" customWidth="1"/>
    <col min="8144" max="8144" width="9.7109375" style="125" customWidth="1"/>
    <col min="8145" max="8146" width="3.7109375" style="125" customWidth="1"/>
    <col min="8147" max="8147" width="9.7109375" style="125" customWidth="1"/>
    <col min="8148" max="8149" width="3.7109375" style="125" customWidth="1"/>
    <col min="8150" max="8150" width="9.7109375" style="125" customWidth="1"/>
    <col min="8151" max="8152" width="3.7109375" style="125" customWidth="1"/>
    <col min="8153" max="8153" width="9.7109375" style="125" customWidth="1"/>
    <col min="8154" max="8155" width="3.7109375" style="125" customWidth="1"/>
    <col min="8156" max="8156" width="9.7109375" style="125" customWidth="1"/>
    <col min="8157" max="8158" width="3.7109375" style="125" customWidth="1"/>
    <col min="8159" max="8159" width="9.7109375" style="125" customWidth="1"/>
    <col min="8160" max="8161" width="3.7109375" style="125" customWidth="1"/>
    <col min="8162" max="8162" width="9.7109375" style="125" customWidth="1"/>
    <col min="8163" max="8164" width="3.7109375" style="125" customWidth="1"/>
    <col min="8165" max="8165" width="9.7109375" style="125" customWidth="1"/>
    <col min="8166" max="8167" width="3.7109375" style="125" customWidth="1"/>
    <col min="8168" max="8168" width="9.7109375" style="125" customWidth="1"/>
    <col min="8169" max="8170" width="3.7109375" style="125" customWidth="1"/>
    <col min="8171" max="8171" width="9.7109375" style="125" customWidth="1"/>
    <col min="8172" max="8173" width="3.7109375" style="125" customWidth="1"/>
    <col min="8174" max="8174" width="9.7109375" style="125" customWidth="1"/>
    <col min="8175" max="8176" width="3.7109375" style="125" customWidth="1"/>
    <col min="8177" max="8177" width="9.7109375" style="125" customWidth="1"/>
    <col min="8178" max="8179" width="3.7109375" style="125" customWidth="1"/>
    <col min="8180" max="8180" width="9.7109375" style="125" customWidth="1"/>
    <col min="8181" max="8182" width="3.7109375" style="125" customWidth="1"/>
    <col min="8183" max="8183" width="9.7109375" style="125" customWidth="1"/>
    <col min="8184" max="8185" width="3.7109375" style="125" customWidth="1"/>
    <col min="8186" max="8186" width="9.7109375" style="125" customWidth="1"/>
    <col min="8187" max="8188" width="3.7109375" style="125" customWidth="1"/>
    <col min="8189" max="8189" width="9.7109375" style="125" customWidth="1"/>
    <col min="8190" max="8190" width="3.7109375" style="125" customWidth="1"/>
    <col min="8191" max="8192" width="8" style="125"/>
    <col min="8193" max="8193" width="30.7109375" style="125" customWidth="1"/>
    <col min="8194" max="8194" width="9.7109375" style="125" customWidth="1"/>
    <col min="8195" max="8195" width="3.7109375" style="125" customWidth="1"/>
    <col min="8196" max="8196" width="9.7109375" style="125" customWidth="1"/>
    <col min="8197" max="8198" width="3.7109375" style="125" customWidth="1"/>
    <col min="8199" max="8199" width="9.7109375" style="125" customWidth="1"/>
    <col min="8200" max="8201" width="3.7109375" style="125" customWidth="1"/>
    <col min="8202" max="8202" width="9.7109375" style="125" customWidth="1"/>
    <col min="8203" max="8204" width="3.7109375" style="125" customWidth="1"/>
    <col min="8205" max="8205" width="9.7109375" style="125" customWidth="1"/>
    <col min="8206" max="8207" width="3.7109375" style="125" customWidth="1"/>
    <col min="8208" max="8208" width="9.7109375" style="125" customWidth="1"/>
    <col min="8209" max="8210" width="3.7109375" style="125" customWidth="1"/>
    <col min="8211" max="8211" width="9.7109375" style="125" customWidth="1"/>
    <col min="8212" max="8213" width="3.7109375" style="125" customWidth="1"/>
    <col min="8214" max="8214" width="9.7109375" style="125" customWidth="1"/>
    <col min="8215" max="8216" width="3.7109375" style="125" customWidth="1"/>
    <col min="8217" max="8217" width="9.7109375" style="125" customWidth="1"/>
    <col min="8218" max="8219" width="3.7109375" style="125" customWidth="1"/>
    <col min="8220" max="8220" width="9.7109375" style="125" customWidth="1"/>
    <col min="8221" max="8222" width="3.7109375" style="125" customWidth="1"/>
    <col min="8223" max="8223" width="9.7109375" style="125" customWidth="1"/>
    <col min="8224" max="8225" width="3.7109375" style="125" customWidth="1"/>
    <col min="8226" max="8226" width="9.7109375" style="125" customWidth="1"/>
    <col min="8227" max="8228" width="3.7109375" style="125" customWidth="1"/>
    <col min="8229" max="8229" width="9.7109375" style="125" customWidth="1"/>
    <col min="8230" max="8231" width="3.7109375" style="125" customWidth="1"/>
    <col min="8232" max="8232" width="9.7109375" style="125" customWidth="1"/>
    <col min="8233" max="8234" width="3.7109375" style="125" customWidth="1"/>
    <col min="8235" max="8235" width="9.7109375" style="125" customWidth="1"/>
    <col min="8236" max="8237" width="3.7109375" style="125" customWidth="1"/>
    <col min="8238" max="8238" width="9.7109375" style="125" customWidth="1"/>
    <col min="8239" max="8240" width="3.7109375" style="125" customWidth="1"/>
    <col min="8241" max="8241" width="9.7109375" style="125" customWidth="1"/>
    <col min="8242" max="8243" width="3.7109375" style="125" customWidth="1"/>
    <col min="8244" max="8244" width="9.7109375" style="125" customWidth="1"/>
    <col min="8245" max="8246" width="3.7109375" style="125" customWidth="1"/>
    <col min="8247" max="8247" width="9.7109375" style="125" customWidth="1"/>
    <col min="8248" max="8249" width="3.7109375" style="125" customWidth="1"/>
    <col min="8250" max="8250" width="9.7109375" style="125" customWidth="1"/>
    <col min="8251" max="8252" width="3.7109375" style="125" customWidth="1"/>
    <col min="8253" max="8253" width="9.7109375" style="125" customWidth="1"/>
    <col min="8254" max="8255" width="3.7109375" style="125" customWidth="1"/>
    <col min="8256" max="8256" width="9.7109375" style="125" customWidth="1"/>
    <col min="8257" max="8258" width="3.7109375" style="125" customWidth="1"/>
    <col min="8259" max="8259" width="9.7109375" style="125" customWidth="1"/>
    <col min="8260" max="8261" width="3.7109375" style="125" customWidth="1"/>
    <col min="8262" max="8262" width="9.7109375" style="125" customWidth="1"/>
    <col min="8263" max="8264" width="3.7109375" style="125" customWidth="1"/>
    <col min="8265" max="8265" width="9.7109375" style="125" customWidth="1"/>
    <col min="8266" max="8267" width="3.7109375" style="125" customWidth="1"/>
    <col min="8268" max="8268" width="9.7109375" style="125" customWidth="1"/>
    <col min="8269" max="8270" width="3.7109375" style="125" customWidth="1"/>
    <col min="8271" max="8271" width="9.7109375" style="125" customWidth="1"/>
    <col min="8272" max="8273" width="3.7109375" style="125" customWidth="1"/>
    <col min="8274" max="8274" width="9.7109375" style="125" customWidth="1"/>
    <col min="8275" max="8276" width="3.7109375" style="125" customWidth="1"/>
    <col min="8277" max="8277" width="9.7109375" style="125" customWidth="1"/>
    <col min="8278" max="8279" width="3.7109375" style="125" customWidth="1"/>
    <col min="8280" max="8280" width="9.7109375" style="125" customWidth="1"/>
    <col min="8281" max="8282" width="3.7109375" style="125" customWidth="1"/>
    <col min="8283" max="8283" width="9.7109375" style="125" customWidth="1"/>
    <col min="8284" max="8285" width="3.7109375" style="125" customWidth="1"/>
    <col min="8286" max="8286" width="9.7109375" style="125" customWidth="1"/>
    <col min="8287" max="8288" width="3.7109375" style="125" customWidth="1"/>
    <col min="8289" max="8289" width="9.7109375" style="125" customWidth="1"/>
    <col min="8290" max="8291" width="3.7109375" style="125" customWidth="1"/>
    <col min="8292" max="8292" width="9.7109375" style="125" customWidth="1"/>
    <col min="8293" max="8294" width="3.7109375" style="125" customWidth="1"/>
    <col min="8295" max="8295" width="9.7109375" style="125" customWidth="1"/>
    <col min="8296" max="8297" width="3.7109375" style="125" customWidth="1"/>
    <col min="8298" max="8298" width="9.7109375" style="125" customWidth="1"/>
    <col min="8299" max="8300" width="3.7109375" style="125" customWidth="1"/>
    <col min="8301" max="8301" width="9.7109375" style="125" customWidth="1"/>
    <col min="8302" max="8303" width="3.7109375" style="125" customWidth="1"/>
    <col min="8304" max="8304" width="9.7109375" style="125" customWidth="1"/>
    <col min="8305" max="8306" width="3.7109375" style="125" customWidth="1"/>
    <col min="8307" max="8307" width="9.7109375" style="125" customWidth="1"/>
    <col min="8308" max="8309" width="3.7109375" style="125" customWidth="1"/>
    <col min="8310" max="8310" width="9.7109375" style="125" customWidth="1"/>
    <col min="8311" max="8312" width="3.7109375" style="125" customWidth="1"/>
    <col min="8313" max="8313" width="9.7109375" style="125" customWidth="1"/>
    <col min="8314" max="8315" width="3.7109375" style="125" customWidth="1"/>
    <col min="8316" max="8316" width="9.7109375" style="125" customWidth="1"/>
    <col min="8317" max="8318" width="3.7109375" style="125" customWidth="1"/>
    <col min="8319" max="8319" width="9.7109375" style="125" customWidth="1"/>
    <col min="8320" max="8321" width="3.7109375" style="125" customWidth="1"/>
    <col min="8322" max="8322" width="9.7109375" style="125" customWidth="1"/>
    <col min="8323" max="8324" width="3.7109375" style="125" customWidth="1"/>
    <col min="8325" max="8325" width="9.7109375" style="125" customWidth="1"/>
    <col min="8326" max="8327" width="3.7109375" style="125" customWidth="1"/>
    <col min="8328" max="8328" width="9.7109375" style="125" customWidth="1"/>
    <col min="8329" max="8330" width="3.7109375" style="125" customWidth="1"/>
    <col min="8331" max="8331" width="9.7109375" style="125" customWidth="1"/>
    <col min="8332" max="8333" width="3.7109375" style="125" customWidth="1"/>
    <col min="8334" max="8334" width="9.7109375" style="125" customWidth="1"/>
    <col min="8335" max="8336" width="3.7109375" style="125" customWidth="1"/>
    <col min="8337" max="8337" width="9.7109375" style="125" customWidth="1"/>
    <col min="8338" max="8338" width="3.7109375" style="125" customWidth="1"/>
    <col min="8339" max="8339" width="5.7109375" style="125" bestFit="1" customWidth="1"/>
    <col min="8340" max="8340" width="9.7109375" style="125" customWidth="1"/>
    <col min="8341" max="8342" width="3.7109375" style="125" customWidth="1"/>
    <col min="8343" max="8343" width="9.7109375" style="125" customWidth="1"/>
    <col min="8344" max="8345" width="3.7109375" style="125" customWidth="1"/>
    <col min="8346" max="8346" width="9.7109375" style="125" customWidth="1"/>
    <col min="8347" max="8348" width="3.7109375" style="125" customWidth="1"/>
    <col min="8349" max="8349" width="9.7109375" style="125" customWidth="1"/>
    <col min="8350" max="8351" width="3.7109375" style="125" customWidth="1"/>
    <col min="8352" max="8352" width="9.7109375" style="125" customWidth="1"/>
    <col min="8353" max="8354" width="3.7109375" style="125" customWidth="1"/>
    <col min="8355" max="8355" width="9.7109375" style="125" customWidth="1"/>
    <col min="8356" max="8356" width="3.7109375" style="125" customWidth="1"/>
    <col min="8357" max="8357" width="5.7109375" style="125" bestFit="1" customWidth="1"/>
    <col min="8358" max="8358" width="9.7109375" style="125" customWidth="1"/>
    <col min="8359" max="8360" width="3.7109375" style="125" customWidth="1"/>
    <col min="8361" max="8361" width="9.7109375" style="125" customWidth="1"/>
    <col min="8362" max="8363" width="3.7109375" style="125" customWidth="1"/>
    <col min="8364" max="8364" width="9.7109375" style="125" customWidth="1"/>
    <col min="8365" max="8366" width="3.7109375" style="125" customWidth="1"/>
    <col min="8367" max="8367" width="9.7109375" style="125" customWidth="1"/>
    <col min="8368" max="8369" width="3.7109375" style="125" customWidth="1"/>
    <col min="8370" max="8370" width="9.7109375" style="125" customWidth="1"/>
    <col min="8371" max="8372" width="3.7109375" style="125" customWidth="1"/>
    <col min="8373" max="8373" width="9.7109375" style="125" customWidth="1"/>
    <col min="8374" max="8375" width="3.7109375" style="125" customWidth="1"/>
    <col min="8376" max="8376" width="9.7109375" style="125" customWidth="1"/>
    <col min="8377" max="8378" width="3.7109375" style="125" customWidth="1"/>
    <col min="8379" max="8379" width="9.7109375" style="125" customWidth="1"/>
    <col min="8380" max="8381" width="3.7109375" style="125" customWidth="1"/>
    <col min="8382" max="8382" width="9.7109375" style="125" customWidth="1"/>
    <col min="8383" max="8384" width="3.7109375" style="125" customWidth="1"/>
    <col min="8385" max="8385" width="9.7109375" style="125" customWidth="1"/>
    <col min="8386" max="8387" width="3.7109375" style="125" customWidth="1"/>
    <col min="8388" max="8388" width="9.7109375" style="125" customWidth="1"/>
    <col min="8389" max="8390" width="3.7109375" style="125" customWidth="1"/>
    <col min="8391" max="8391" width="9.7109375" style="125" customWidth="1"/>
    <col min="8392" max="8393" width="3.7109375" style="125" customWidth="1"/>
    <col min="8394" max="8394" width="9.7109375" style="125" customWidth="1"/>
    <col min="8395" max="8396" width="3.7109375" style="125" customWidth="1"/>
    <col min="8397" max="8397" width="9.7109375" style="125" customWidth="1"/>
    <col min="8398" max="8399" width="3.7109375" style="125" customWidth="1"/>
    <col min="8400" max="8400" width="9.7109375" style="125" customWidth="1"/>
    <col min="8401" max="8402" width="3.7109375" style="125" customWidth="1"/>
    <col min="8403" max="8403" width="9.7109375" style="125" customWidth="1"/>
    <col min="8404" max="8405" width="3.7109375" style="125" customWidth="1"/>
    <col min="8406" max="8406" width="9.7109375" style="125" customWidth="1"/>
    <col min="8407" max="8408" width="3.7109375" style="125" customWidth="1"/>
    <col min="8409" max="8409" width="9.7109375" style="125" customWidth="1"/>
    <col min="8410" max="8411" width="3.7109375" style="125" customWidth="1"/>
    <col min="8412" max="8412" width="9.7109375" style="125" customWidth="1"/>
    <col min="8413" max="8414" width="3.7109375" style="125" customWidth="1"/>
    <col min="8415" max="8415" width="9.7109375" style="125" customWidth="1"/>
    <col min="8416" max="8417" width="3.7109375" style="125" customWidth="1"/>
    <col min="8418" max="8418" width="9.7109375" style="125" customWidth="1"/>
    <col min="8419" max="8420" width="3.7109375" style="125" customWidth="1"/>
    <col min="8421" max="8421" width="9.7109375" style="125" customWidth="1"/>
    <col min="8422" max="8423" width="3.7109375" style="125" customWidth="1"/>
    <col min="8424" max="8424" width="9.7109375" style="125" customWidth="1"/>
    <col min="8425" max="8426" width="3.7109375" style="125" customWidth="1"/>
    <col min="8427" max="8427" width="9.7109375" style="125" customWidth="1"/>
    <col min="8428" max="8429" width="3.7109375" style="125" customWidth="1"/>
    <col min="8430" max="8430" width="9.7109375" style="125" customWidth="1"/>
    <col min="8431" max="8432" width="3.7109375" style="125" customWidth="1"/>
    <col min="8433" max="8433" width="9.7109375" style="125" customWidth="1"/>
    <col min="8434" max="8435" width="3.7109375" style="125" customWidth="1"/>
    <col min="8436" max="8436" width="9.7109375" style="125" customWidth="1"/>
    <col min="8437" max="8438" width="3.7109375" style="125" customWidth="1"/>
    <col min="8439" max="8439" width="9.7109375" style="125" customWidth="1"/>
    <col min="8440" max="8441" width="3.7109375" style="125" customWidth="1"/>
    <col min="8442" max="8442" width="9.7109375" style="125" customWidth="1"/>
    <col min="8443" max="8444" width="3.7109375" style="125" customWidth="1"/>
    <col min="8445" max="8445" width="9.7109375" style="125" customWidth="1"/>
    <col min="8446" max="8446" width="3.7109375" style="125" customWidth="1"/>
    <col min="8447" max="8448" width="8" style="125"/>
    <col min="8449" max="8449" width="30.7109375" style="125" customWidth="1"/>
    <col min="8450" max="8450" width="9.7109375" style="125" customWidth="1"/>
    <col min="8451" max="8451" width="3.7109375" style="125" customWidth="1"/>
    <col min="8452" max="8452" width="9.7109375" style="125" customWidth="1"/>
    <col min="8453" max="8454" width="3.7109375" style="125" customWidth="1"/>
    <col min="8455" max="8455" width="9.7109375" style="125" customWidth="1"/>
    <col min="8456" max="8457" width="3.7109375" style="125" customWidth="1"/>
    <col min="8458" max="8458" width="9.7109375" style="125" customWidth="1"/>
    <col min="8459" max="8460" width="3.7109375" style="125" customWidth="1"/>
    <col min="8461" max="8461" width="9.7109375" style="125" customWidth="1"/>
    <col min="8462" max="8463" width="3.7109375" style="125" customWidth="1"/>
    <col min="8464" max="8464" width="9.7109375" style="125" customWidth="1"/>
    <col min="8465" max="8466" width="3.7109375" style="125" customWidth="1"/>
    <col min="8467" max="8467" width="9.7109375" style="125" customWidth="1"/>
    <col min="8468" max="8469" width="3.7109375" style="125" customWidth="1"/>
    <col min="8470" max="8470" width="9.7109375" style="125" customWidth="1"/>
    <col min="8471" max="8472" width="3.7109375" style="125" customWidth="1"/>
    <col min="8473" max="8473" width="9.7109375" style="125" customWidth="1"/>
    <col min="8474" max="8475" width="3.7109375" style="125" customWidth="1"/>
    <col min="8476" max="8476" width="9.7109375" style="125" customWidth="1"/>
    <col min="8477" max="8478" width="3.7109375" style="125" customWidth="1"/>
    <col min="8479" max="8479" width="9.7109375" style="125" customWidth="1"/>
    <col min="8480" max="8481" width="3.7109375" style="125" customWidth="1"/>
    <col min="8482" max="8482" width="9.7109375" style="125" customWidth="1"/>
    <col min="8483" max="8484" width="3.7109375" style="125" customWidth="1"/>
    <col min="8485" max="8485" width="9.7109375" style="125" customWidth="1"/>
    <col min="8486" max="8487" width="3.7109375" style="125" customWidth="1"/>
    <col min="8488" max="8488" width="9.7109375" style="125" customWidth="1"/>
    <col min="8489" max="8490" width="3.7109375" style="125" customWidth="1"/>
    <col min="8491" max="8491" width="9.7109375" style="125" customWidth="1"/>
    <col min="8492" max="8493" width="3.7109375" style="125" customWidth="1"/>
    <col min="8494" max="8494" width="9.7109375" style="125" customWidth="1"/>
    <col min="8495" max="8496" width="3.7109375" style="125" customWidth="1"/>
    <col min="8497" max="8497" width="9.7109375" style="125" customWidth="1"/>
    <col min="8498" max="8499" width="3.7109375" style="125" customWidth="1"/>
    <col min="8500" max="8500" width="9.7109375" style="125" customWidth="1"/>
    <col min="8501" max="8502" width="3.7109375" style="125" customWidth="1"/>
    <col min="8503" max="8503" width="9.7109375" style="125" customWidth="1"/>
    <col min="8504" max="8505" width="3.7109375" style="125" customWidth="1"/>
    <col min="8506" max="8506" width="9.7109375" style="125" customWidth="1"/>
    <col min="8507" max="8508" width="3.7109375" style="125" customWidth="1"/>
    <col min="8509" max="8509" width="9.7109375" style="125" customWidth="1"/>
    <col min="8510" max="8511" width="3.7109375" style="125" customWidth="1"/>
    <col min="8512" max="8512" width="9.7109375" style="125" customWidth="1"/>
    <col min="8513" max="8514" width="3.7109375" style="125" customWidth="1"/>
    <col min="8515" max="8515" width="9.7109375" style="125" customWidth="1"/>
    <col min="8516" max="8517" width="3.7109375" style="125" customWidth="1"/>
    <col min="8518" max="8518" width="9.7109375" style="125" customWidth="1"/>
    <col min="8519" max="8520" width="3.7109375" style="125" customWidth="1"/>
    <col min="8521" max="8521" width="9.7109375" style="125" customWidth="1"/>
    <col min="8522" max="8523" width="3.7109375" style="125" customWidth="1"/>
    <col min="8524" max="8524" width="9.7109375" style="125" customWidth="1"/>
    <col min="8525" max="8526" width="3.7109375" style="125" customWidth="1"/>
    <col min="8527" max="8527" width="9.7109375" style="125" customWidth="1"/>
    <col min="8528" max="8529" width="3.7109375" style="125" customWidth="1"/>
    <col min="8530" max="8530" width="9.7109375" style="125" customWidth="1"/>
    <col min="8531" max="8532" width="3.7109375" style="125" customWidth="1"/>
    <col min="8533" max="8533" width="9.7109375" style="125" customWidth="1"/>
    <col min="8534" max="8535" width="3.7109375" style="125" customWidth="1"/>
    <col min="8536" max="8536" width="9.7109375" style="125" customWidth="1"/>
    <col min="8537" max="8538" width="3.7109375" style="125" customWidth="1"/>
    <col min="8539" max="8539" width="9.7109375" style="125" customWidth="1"/>
    <col min="8540" max="8541" width="3.7109375" style="125" customWidth="1"/>
    <col min="8542" max="8542" width="9.7109375" style="125" customWidth="1"/>
    <col min="8543" max="8544" width="3.7109375" style="125" customWidth="1"/>
    <col min="8545" max="8545" width="9.7109375" style="125" customWidth="1"/>
    <col min="8546" max="8547" width="3.7109375" style="125" customWidth="1"/>
    <col min="8548" max="8548" width="9.7109375" style="125" customWidth="1"/>
    <col min="8549" max="8550" width="3.7109375" style="125" customWidth="1"/>
    <col min="8551" max="8551" width="9.7109375" style="125" customWidth="1"/>
    <col min="8552" max="8553" width="3.7109375" style="125" customWidth="1"/>
    <col min="8554" max="8554" width="9.7109375" style="125" customWidth="1"/>
    <col min="8555" max="8556" width="3.7109375" style="125" customWidth="1"/>
    <col min="8557" max="8557" width="9.7109375" style="125" customWidth="1"/>
    <col min="8558" max="8559" width="3.7109375" style="125" customWidth="1"/>
    <col min="8560" max="8560" width="9.7109375" style="125" customWidth="1"/>
    <col min="8561" max="8562" width="3.7109375" style="125" customWidth="1"/>
    <col min="8563" max="8563" width="9.7109375" style="125" customWidth="1"/>
    <col min="8564" max="8565" width="3.7109375" style="125" customWidth="1"/>
    <col min="8566" max="8566" width="9.7109375" style="125" customWidth="1"/>
    <col min="8567" max="8568" width="3.7109375" style="125" customWidth="1"/>
    <col min="8569" max="8569" width="9.7109375" style="125" customWidth="1"/>
    <col min="8570" max="8571" width="3.7109375" style="125" customWidth="1"/>
    <col min="8572" max="8572" width="9.7109375" style="125" customWidth="1"/>
    <col min="8573" max="8574" width="3.7109375" style="125" customWidth="1"/>
    <col min="8575" max="8575" width="9.7109375" style="125" customWidth="1"/>
    <col min="8576" max="8577" width="3.7109375" style="125" customWidth="1"/>
    <col min="8578" max="8578" width="9.7109375" style="125" customWidth="1"/>
    <col min="8579" max="8580" width="3.7109375" style="125" customWidth="1"/>
    <col min="8581" max="8581" width="9.7109375" style="125" customWidth="1"/>
    <col min="8582" max="8583" width="3.7109375" style="125" customWidth="1"/>
    <col min="8584" max="8584" width="9.7109375" style="125" customWidth="1"/>
    <col min="8585" max="8586" width="3.7109375" style="125" customWidth="1"/>
    <col min="8587" max="8587" width="9.7109375" style="125" customWidth="1"/>
    <col min="8588" max="8589" width="3.7109375" style="125" customWidth="1"/>
    <col min="8590" max="8590" width="9.7109375" style="125" customWidth="1"/>
    <col min="8591" max="8592" width="3.7109375" style="125" customWidth="1"/>
    <col min="8593" max="8593" width="9.7109375" style="125" customWidth="1"/>
    <col min="8594" max="8594" width="3.7109375" style="125" customWidth="1"/>
    <col min="8595" max="8595" width="5.7109375" style="125" bestFit="1" customWidth="1"/>
    <col min="8596" max="8596" width="9.7109375" style="125" customWidth="1"/>
    <col min="8597" max="8598" width="3.7109375" style="125" customWidth="1"/>
    <col min="8599" max="8599" width="9.7109375" style="125" customWidth="1"/>
    <col min="8600" max="8601" width="3.7109375" style="125" customWidth="1"/>
    <col min="8602" max="8602" width="9.7109375" style="125" customWidth="1"/>
    <col min="8603" max="8604" width="3.7109375" style="125" customWidth="1"/>
    <col min="8605" max="8605" width="9.7109375" style="125" customWidth="1"/>
    <col min="8606" max="8607" width="3.7109375" style="125" customWidth="1"/>
    <col min="8608" max="8608" width="9.7109375" style="125" customWidth="1"/>
    <col min="8609" max="8610" width="3.7109375" style="125" customWidth="1"/>
    <col min="8611" max="8611" width="9.7109375" style="125" customWidth="1"/>
    <col min="8612" max="8612" width="3.7109375" style="125" customWidth="1"/>
    <col min="8613" max="8613" width="5.7109375" style="125" bestFit="1" customWidth="1"/>
    <col min="8614" max="8614" width="9.7109375" style="125" customWidth="1"/>
    <col min="8615" max="8616" width="3.7109375" style="125" customWidth="1"/>
    <col min="8617" max="8617" width="9.7109375" style="125" customWidth="1"/>
    <col min="8618" max="8619" width="3.7109375" style="125" customWidth="1"/>
    <col min="8620" max="8620" width="9.7109375" style="125" customWidth="1"/>
    <col min="8621" max="8622" width="3.7109375" style="125" customWidth="1"/>
    <col min="8623" max="8623" width="9.7109375" style="125" customWidth="1"/>
    <col min="8624" max="8625" width="3.7109375" style="125" customWidth="1"/>
    <col min="8626" max="8626" width="9.7109375" style="125" customWidth="1"/>
    <col min="8627" max="8628" width="3.7109375" style="125" customWidth="1"/>
    <col min="8629" max="8629" width="9.7109375" style="125" customWidth="1"/>
    <col min="8630" max="8631" width="3.7109375" style="125" customWidth="1"/>
    <col min="8632" max="8632" width="9.7109375" style="125" customWidth="1"/>
    <col min="8633" max="8634" width="3.7109375" style="125" customWidth="1"/>
    <col min="8635" max="8635" width="9.7109375" style="125" customWidth="1"/>
    <col min="8636" max="8637" width="3.7109375" style="125" customWidth="1"/>
    <col min="8638" max="8638" width="9.7109375" style="125" customWidth="1"/>
    <col min="8639" max="8640" width="3.7109375" style="125" customWidth="1"/>
    <col min="8641" max="8641" width="9.7109375" style="125" customWidth="1"/>
    <col min="8642" max="8643" width="3.7109375" style="125" customWidth="1"/>
    <col min="8644" max="8644" width="9.7109375" style="125" customWidth="1"/>
    <col min="8645" max="8646" width="3.7109375" style="125" customWidth="1"/>
    <col min="8647" max="8647" width="9.7109375" style="125" customWidth="1"/>
    <col min="8648" max="8649" width="3.7109375" style="125" customWidth="1"/>
    <col min="8650" max="8650" width="9.7109375" style="125" customWidth="1"/>
    <col min="8651" max="8652" width="3.7109375" style="125" customWidth="1"/>
    <col min="8653" max="8653" width="9.7109375" style="125" customWidth="1"/>
    <col min="8654" max="8655" width="3.7109375" style="125" customWidth="1"/>
    <col min="8656" max="8656" width="9.7109375" style="125" customWidth="1"/>
    <col min="8657" max="8658" width="3.7109375" style="125" customWidth="1"/>
    <col min="8659" max="8659" width="9.7109375" style="125" customWidth="1"/>
    <col min="8660" max="8661" width="3.7109375" style="125" customWidth="1"/>
    <col min="8662" max="8662" width="9.7109375" style="125" customWidth="1"/>
    <col min="8663" max="8664" width="3.7109375" style="125" customWidth="1"/>
    <col min="8665" max="8665" width="9.7109375" style="125" customWidth="1"/>
    <col min="8666" max="8667" width="3.7109375" style="125" customWidth="1"/>
    <col min="8668" max="8668" width="9.7109375" style="125" customWidth="1"/>
    <col min="8669" max="8670" width="3.7109375" style="125" customWidth="1"/>
    <col min="8671" max="8671" width="9.7109375" style="125" customWidth="1"/>
    <col min="8672" max="8673" width="3.7109375" style="125" customWidth="1"/>
    <col min="8674" max="8674" width="9.7109375" style="125" customWidth="1"/>
    <col min="8675" max="8676" width="3.7109375" style="125" customWidth="1"/>
    <col min="8677" max="8677" width="9.7109375" style="125" customWidth="1"/>
    <col min="8678" max="8679" width="3.7109375" style="125" customWidth="1"/>
    <col min="8680" max="8680" width="9.7109375" style="125" customWidth="1"/>
    <col min="8681" max="8682" width="3.7109375" style="125" customWidth="1"/>
    <col min="8683" max="8683" width="9.7109375" style="125" customWidth="1"/>
    <col min="8684" max="8685" width="3.7109375" style="125" customWidth="1"/>
    <col min="8686" max="8686" width="9.7109375" style="125" customWidth="1"/>
    <col min="8687" max="8688" width="3.7109375" style="125" customWidth="1"/>
    <col min="8689" max="8689" width="9.7109375" style="125" customWidth="1"/>
    <col min="8690" max="8691" width="3.7109375" style="125" customWidth="1"/>
    <col min="8692" max="8692" width="9.7109375" style="125" customWidth="1"/>
    <col min="8693" max="8694" width="3.7109375" style="125" customWidth="1"/>
    <col min="8695" max="8695" width="9.7109375" style="125" customWidth="1"/>
    <col min="8696" max="8697" width="3.7109375" style="125" customWidth="1"/>
    <col min="8698" max="8698" width="9.7109375" style="125" customWidth="1"/>
    <col min="8699" max="8700" width="3.7109375" style="125" customWidth="1"/>
    <col min="8701" max="8701" width="9.7109375" style="125" customWidth="1"/>
    <col min="8702" max="8702" width="3.7109375" style="125" customWidth="1"/>
    <col min="8703" max="8704" width="8" style="125"/>
    <col min="8705" max="8705" width="30.7109375" style="125" customWidth="1"/>
    <col min="8706" max="8706" width="9.7109375" style="125" customWidth="1"/>
    <col min="8707" max="8707" width="3.7109375" style="125" customWidth="1"/>
    <col min="8708" max="8708" width="9.7109375" style="125" customWidth="1"/>
    <col min="8709" max="8710" width="3.7109375" style="125" customWidth="1"/>
    <col min="8711" max="8711" width="9.7109375" style="125" customWidth="1"/>
    <col min="8712" max="8713" width="3.7109375" style="125" customWidth="1"/>
    <col min="8714" max="8714" width="9.7109375" style="125" customWidth="1"/>
    <col min="8715" max="8716" width="3.7109375" style="125" customWidth="1"/>
    <col min="8717" max="8717" width="9.7109375" style="125" customWidth="1"/>
    <col min="8718" max="8719" width="3.7109375" style="125" customWidth="1"/>
    <col min="8720" max="8720" width="9.7109375" style="125" customWidth="1"/>
    <col min="8721" max="8722" width="3.7109375" style="125" customWidth="1"/>
    <col min="8723" max="8723" width="9.7109375" style="125" customWidth="1"/>
    <col min="8724" max="8725" width="3.7109375" style="125" customWidth="1"/>
    <col min="8726" max="8726" width="9.7109375" style="125" customWidth="1"/>
    <col min="8727" max="8728" width="3.7109375" style="125" customWidth="1"/>
    <col min="8729" max="8729" width="9.7109375" style="125" customWidth="1"/>
    <col min="8730" max="8731" width="3.7109375" style="125" customWidth="1"/>
    <col min="8732" max="8732" width="9.7109375" style="125" customWidth="1"/>
    <col min="8733" max="8734" width="3.7109375" style="125" customWidth="1"/>
    <col min="8735" max="8735" width="9.7109375" style="125" customWidth="1"/>
    <col min="8736" max="8737" width="3.7109375" style="125" customWidth="1"/>
    <col min="8738" max="8738" width="9.7109375" style="125" customWidth="1"/>
    <col min="8739" max="8740" width="3.7109375" style="125" customWidth="1"/>
    <col min="8741" max="8741" width="9.7109375" style="125" customWidth="1"/>
    <col min="8742" max="8743" width="3.7109375" style="125" customWidth="1"/>
    <col min="8744" max="8744" width="9.7109375" style="125" customWidth="1"/>
    <col min="8745" max="8746" width="3.7109375" style="125" customWidth="1"/>
    <col min="8747" max="8747" width="9.7109375" style="125" customWidth="1"/>
    <col min="8748" max="8749" width="3.7109375" style="125" customWidth="1"/>
    <col min="8750" max="8750" width="9.7109375" style="125" customWidth="1"/>
    <col min="8751" max="8752" width="3.7109375" style="125" customWidth="1"/>
    <col min="8753" max="8753" width="9.7109375" style="125" customWidth="1"/>
    <col min="8754" max="8755" width="3.7109375" style="125" customWidth="1"/>
    <col min="8756" max="8756" width="9.7109375" style="125" customWidth="1"/>
    <col min="8757" max="8758" width="3.7109375" style="125" customWidth="1"/>
    <col min="8759" max="8759" width="9.7109375" style="125" customWidth="1"/>
    <col min="8760" max="8761" width="3.7109375" style="125" customWidth="1"/>
    <col min="8762" max="8762" width="9.7109375" style="125" customWidth="1"/>
    <col min="8763" max="8764" width="3.7109375" style="125" customWidth="1"/>
    <col min="8765" max="8765" width="9.7109375" style="125" customWidth="1"/>
    <col min="8766" max="8767" width="3.7109375" style="125" customWidth="1"/>
    <col min="8768" max="8768" width="9.7109375" style="125" customWidth="1"/>
    <col min="8769" max="8770" width="3.7109375" style="125" customWidth="1"/>
    <col min="8771" max="8771" width="9.7109375" style="125" customWidth="1"/>
    <col min="8772" max="8773" width="3.7109375" style="125" customWidth="1"/>
    <col min="8774" max="8774" width="9.7109375" style="125" customWidth="1"/>
    <col min="8775" max="8776" width="3.7109375" style="125" customWidth="1"/>
    <col min="8777" max="8777" width="9.7109375" style="125" customWidth="1"/>
    <col min="8778" max="8779" width="3.7109375" style="125" customWidth="1"/>
    <col min="8780" max="8780" width="9.7109375" style="125" customWidth="1"/>
    <col min="8781" max="8782" width="3.7109375" style="125" customWidth="1"/>
    <col min="8783" max="8783" width="9.7109375" style="125" customWidth="1"/>
    <col min="8784" max="8785" width="3.7109375" style="125" customWidth="1"/>
    <col min="8786" max="8786" width="9.7109375" style="125" customWidth="1"/>
    <col min="8787" max="8788" width="3.7109375" style="125" customWidth="1"/>
    <col min="8789" max="8789" width="9.7109375" style="125" customWidth="1"/>
    <col min="8790" max="8791" width="3.7109375" style="125" customWidth="1"/>
    <col min="8792" max="8792" width="9.7109375" style="125" customWidth="1"/>
    <col min="8793" max="8794" width="3.7109375" style="125" customWidth="1"/>
    <col min="8795" max="8795" width="9.7109375" style="125" customWidth="1"/>
    <col min="8796" max="8797" width="3.7109375" style="125" customWidth="1"/>
    <col min="8798" max="8798" width="9.7109375" style="125" customWidth="1"/>
    <col min="8799" max="8800" width="3.7109375" style="125" customWidth="1"/>
    <col min="8801" max="8801" width="9.7109375" style="125" customWidth="1"/>
    <col min="8802" max="8803" width="3.7109375" style="125" customWidth="1"/>
    <col min="8804" max="8804" width="9.7109375" style="125" customWidth="1"/>
    <col min="8805" max="8806" width="3.7109375" style="125" customWidth="1"/>
    <col min="8807" max="8807" width="9.7109375" style="125" customWidth="1"/>
    <col min="8808" max="8809" width="3.7109375" style="125" customWidth="1"/>
    <col min="8810" max="8810" width="9.7109375" style="125" customWidth="1"/>
    <col min="8811" max="8812" width="3.7109375" style="125" customWidth="1"/>
    <col min="8813" max="8813" width="9.7109375" style="125" customWidth="1"/>
    <col min="8814" max="8815" width="3.7109375" style="125" customWidth="1"/>
    <col min="8816" max="8816" width="9.7109375" style="125" customWidth="1"/>
    <col min="8817" max="8818" width="3.7109375" style="125" customWidth="1"/>
    <col min="8819" max="8819" width="9.7109375" style="125" customWidth="1"/>
    <col min="8820" max="8821" width="3.7109375" style="125" customWidth="1"/>
    <col min="8822" max="8822" width="9.7109375" style="125" customWidth="1"/>
    <col min="8823" max="8824" width="3.7109375" style="125" customWidth="1"/>
    <col min="8825" max="8825" width="9.7109375" style="125" customWidth="1"/>
    <col min="8826" max="8827" width="3.7109375" style="125" customWidth="1"/>
    <col min="8828" max="8828" width="9.7109375" style="125" customWidth="1"/>
    <col min="8829" max="8830" width="3.7109375" style="125" customWidth="1"/>
    <col min="8831" max="8831" width="9.7109375" style="125" customWidth="1"/>
    <col min="8832" max="8833" width="3.7109375" style="125" customWidth="1"/>
    <col min="8834" max="8834" width="9.7109375" style="125" customWidth="1"/>
    <col min="8835" max="8836" width="3.7109375" style="125" customWidth="1"/>
    <col min="8837" max="8837" width="9.7109375" style="125" customWidth="1"/>
    <col min="8838" max="8839" width="3.7109375" style="125" customWidth="1"/>
    <col min="8840" max="8840" width="9.7109375" style="125" customWidth="1"/>
    <col min="8841" max="8842" width="3.7109375" style="125" customWidth="1"/>
    <col min="8843" max="8843" width="9.7109375" style="125" customWidth="1"/>
    <col min="8844" max="8845" width="3.7109375" style="125" customWidth="1"/>
    <col min="8846" max="8846" width="9.7109375" style="125" customWidth="1"/>
    <col min="8847" max="8848" width="3.7109375" style="125" customWidth="1"/>
    <col min="8849" max="8849" width="9.7109375" style="125" customWidth="1"/>
    <col min="8850" max="8850" width="3.7109375" style="125" customWidth="1"/>
    <col min="8851" max="8851" width="5.7109375" style="125" bestFit="1" customWidth="1"/>
    <col min="8852" max="8852" width="9.7109375" style="125" customWidth="1"/>
    <col min="8853" max="8854" width="3.7109375" style="125" customWidth="1"/>
    <col min="8855" max="8855" width="9.7109375" style="125" customWidth="1"/>
    <col min="8856" max="8857" width="3.7109375" style="125" customWidth="1"/>
    <col min="8858" max="8858" width="9.7109375" style="125" customWidth="1"/>
    <col min="8859" max="8860" width="3.7109375" style="125" customWidth="1"/>
    <col min="8861" max="8861" width="9.7109375" style="125" customWidth="1"/>
    <col min="8862" max="8863" width="3.7109375" style="125" customWidth="1"/>
    <col min="8864" max="8864" width="9.7109375" style="125" customWidth="1"/>
    <col min="8865" max="8866" width="3.7109375" style="125" customWidth="1"/>
    <col min="8867" max="8867" width="9.7109375" style="125" customWidth="1"/>
    <col min="8868" max="8868" width="3.7109375" style="125" customWidth="1"/>
    <col min="8869" max="8869" width="5.7109375" style="125" bestFit="1" customWidth="1"/>
    <col min="8870" max="8870" width="9.7109375" style="125" customWidth="1"/>
    <col min="8871" max="8872" width="3.7109375" style="125" customWidth="1"/>
    <col min="8873" max="8873" width="9.7109375" style="125" customWidth="1"/>
    <col min="8874" max="8875" width="3.7109375" style="125" customWidth="1"/>
    <col min="8876" max="8876" width="9.7109375" style="125" customWidth="1"/>
    <col min="8877" max="8878" width="3.7109375" style="125" customWidth="1"/>
    <col min="8879" max="8879" width="9.7109375" style="125" customWidth="1"/>
    <col min="8880" max="8881" width="3.7109375" style="125" customWidth="1"/>
    <col min="8882" max="8882" width="9.7109375" style="125" customWidth="1"/>
    <col min="8883" max="8884" width="3.7109375" style="125" customWidth="1"/>
    <col min="8885" max="8885" width="9.7109375" style="125" customWidth="1"/>
    <col min="8886" max="8887" width="3.7109375" style="125" customWidth="1"/>
    <col min="8888" max="8888" width="9.7109375" style="125" customWidth="1"/>
    <col min="8889" max="8890" width="3.7109375" style="125" customWidth="1"/>
    <col min="8891" max="8891" width="9.7109375" style="125" customWidth="1"/>
    <col min="8892" max="8893" width="3.7109375" style="125" customWidth="1"/>
    <col min="8894" max="8894" width="9.7109375" style="125" customWidth="1"/>
    <col min="8895" max="8896" width="3.7109375" style="125" customWidth="1"/>
    <col min="8897" max="8897" width="9.7109375" style="125" customWidth="1"/>
    <col min="8898" max="8899" width="3.7109375" style="125" customWidth="1"/>
    <col min="8900" max="8900" width="9.7109375" style="125" customWidth="1"/>
    <col min="8901" max="8902" width="3.7109375" style="125" customWidth="1"/>
    <col min="8903" max="8903" width="9.7109375" style="125" customWidth="1"/>
    <col min="8904" max="8905" width="3.7109375" style="125" customWidth="1"/>
    <col min="8906" max="8906" width="9.7109375" style="125" customWidth="1"/>
    <col min="8907" max="8908" width="3.7109375" style="125" customWidth="1"/>
    <col min="8909" max="8909" width="9.7109375" style="125" customWidth="1"/>
    <col min="8910" max="8911" width="3.7109375" style="125" customWidth="1"/>
    <col min="8912" max="8912" width="9.7109375" style="125" customWidth="1"/>
    <col min="8913" max="8914" width="3.7109375" style="125" customWidth="1"/>
    <col min="8915" max="8915" width="9.7109375" style="125" customWidth="1"/>
    <col min="8916" max="8917" width="3.7109375" style="125" customWidth="1"/>
    <col min="8918" max="8918" width="9.7109375" style="125" customWidth="1"/>
    <col min="8919" max="8920" width="3.7109375" style="125" customWidth="1"/>
    <col min="8921" max="8921" width="9.7109375" style="125" customWidth="1"/>
    <col min="8922" max="8923" width="3.7109375" style="125" customWidth="1"/>
    <col min="8924" max="8924" width="9.7109375" style="125" customWidth="1"/>
    <col min="8925" max="8926" width="3.7109375" style="125" customWidth="1"/>
    <col min="8927" max="8927" width="9.7109375" style="125" customWidth="1"/>
    <col min="8928" max="8929" width="3.7109375" style="125" customWidth="1"/>
    <col min="8930" max="8930" width="9.7109375" style="125" customWidth="1"/>
    <col min="8931" max="8932" width="3.7109375" style="125" customWidth="1"/>
    <col min="8933" max="8933" width="9.7109375" style="125" customWidth="1"/>
    <col min="8934" max="8935" width="3.7109375" style="125" customWidth="1"/>
    <col min="8936" max="8936" width="9.7109375" style="125" customWidth="1"/>
    <col min="8937" max="8938" width="3.7109375" style="125" customWidth="1"/>
    <col min="8939" max="8939" width="9.7109375" style="125" customWidth="1"/>
    <col min="8940" max="8941" width="3.7109375" style="125" customWidth="1"/>
    <col min="8942" max="8942" width="9.7109375" style="125" customWidth="1"/>
    <col min="8943" max="8944" width="3.7109375" style="125" customWidth="1"/>
    <col min="8945" max="8945" width="9.7109375" style="125" customWidth="1"/>
    <col min="8946" max="8947" width="3.7109375" style="125" customWidth="1"/>
    <col min="8948" max="8948" width="9.7109375" style="125" customWidth="1"/>
    <col min="8949" max="8950" width="3.7109375" style="125" customWidth="1"/>
    <col min="8951" max="8951" width="9.7109375" style="125" customWidth="1"/>
    <col min="8952" max="8953" width="3.7109375" style="125" customWidth="1"/>
    <col min="8954" max="8954" width="9.7109375" style="125" customWidth="1"/>
    <col min="8955" max="8956" width="3.7109375" style="125" customWidth="1"/>
    <col min="8957" max="8957" width="9.7109375" style="125" customWidth="1"/>
    <col min="8958" max="8958" width="3.7109375" style="125" customWidth="1"/>
    <col min="8959" max="8960" width="8" style="125"/>
    <col min="8961" max="8961" width="30.7109375" style="125" customWidth="1"/>
    <col min="8962" max="8962" width="9.7109375" style="125" customWidth="1"/>
    <col min="8963" max="8963" width="3.7109375" style="125" customWidth="1"/>
    <col min="8964" max="8964" width="9.7109375" style="125" customWidth="1"/>
    <col min="8965" max="8966" width="3.7109375" style="125" customWidth="1"/>
    <col min="8967" max="8967" width="9.7109375" style="125" customWidth="1"/>
    <col min="8968" max="8969" width="3.7109375" style="125" customWidth="1"/>
    <col min="8970" max="8970" width="9.7109375" style="125" customWidth="1"/>
    <col min="8971" max="8972" width="3.7109375" style="125" customWidth="1"/>
    <col min="8973" max="8973" width="9.7109375" style="125" customWidth="1"/>
    <col min="8974" max="8975" width="3.7109375" style="125" customWidth="1"/>
    <col min="8976" max="8976" width="9.7109375" style="125" customWidth="1"/>
    <col min="8977" max="8978" width="3.7109375" style="125" customWidth="1"/>
    <col min="8979" max="8979" width="9.7109375" style="125" customWidth="1"/>
    <col min="8980" max="8981" width="3.7109375" style="125" customWidth="1"/>
    <col min="8982" max="8982" width="9.7109375" style="125" customWidth="1"/>
    <col min="8983" max="8984" width="3.7109375" style="125" customWidth="1"/>
    <col min="8985" max="8985" width="9.7109375" style="125" customWidth="1"/>
    <col min="8986" max="8987" width="3.7109375" style="125" customWidth="1"/>
    <col min="8988" max="8988" width="9.7109375" style="125" customWidth="1"/>
    <col min="8989" max="8990" width="3.7109375" style="125" customWidth="1"/>
    <col min="8991" max="8991" width="9.7109375" style="125" customWidth="1"/>
    <col min="8992" max="8993" width="3.7109375" style="125" customWidth="1"/>
    <col min="8994" max="8994" width="9.7109375" style="125" customWidth="1"/>
    <col min="8995" max="8996" width="3.7109375" style="125" customWidth="1"/>
    <col min="8997" max="8997" width="9.7109375" style="125" customWidth="1"/>
    <col min="8998" max="8999" width="3.7109375" style="125" customWidth="1"/>
    <col min="9000" max="9000" width="9.7109375" style="125" customWidth="1"/>
    <col min="9001" max="9002" width="3.7109375" style="125" customWidth="1"/>
    <col min="9003" max="9003" width="9.7109375" style="125" customWidth="1"/>
    <col min="9004" max="9005" width="3.7109375" style="125" customWidth="1"/>
    <col min="9006" max="9006" width="9.7109375" style="125" customWidth="1"/>
    <col min="9007" max="9008" width="3.7109375" style="125" customWidth="1"/>
    <col min="9009" max="9009" width="9.7109375" style="125" customWidth="1"/>
    <col min="9010" max="9011" width="3.7109375" style="125" customWidth="1"/>
    <col min="9012" max="9012" width="9.7109375" style="125" customWidth="1"/>
    <col min="9013" max="9014" width="3.7109375" style="125" customWidth="1"/>
    <col min="9015" max="9015" width="9.7109375" style="125" customWidth="1"/>
    <col min="9016" max="9017" width="3.7109375" style="125" customWidth="1"/>
    <col min="9018" max="9018" width="9.7109375" style="125" customWidth="1"/>
    <col min="9019" max="9020" width="3.7109375" style="125" customWidth="1"/>
    <col min="9021" max="9021" width="9.7109375" style="125" customWidth="1"/>
    <col min="9022" max="9023" width="3.7109375" style="125" customWidth="1"/>
    <col min="9024" max="9024" width="9.7109375" style="125" customWidth="1"/>
    <col min="9025" max="9026" width="3.7109375" style="125" customWidth="1"/>
    <col min="9027" max="9027" width="9.7109375" style="125" customWidth="1"/>
    <col min="9028" max="9029" width="3.7109375" style="125" customWidth="1"/>
    <col min="9030" max="9030" width="9.7109375" style="125" customWidth="1"/>
    <col min="9031" max="9032" width="3.7109375" style="125" customWidth="1"/>
    <col min="9033" max="9033" width="9.7109375" style="125" customWidth="1"/>
    <col min="9034" max="9035" width="3.7109375" style="125" customWidth="1"/>
    <col min="9036" max="9036" width="9.7109375" style="125" customWidth="1"/>
    <col min="9037" max="9038" width="3.7109375" style="125" customWidth="1"/>
    <col min="9039" max="9039" width="9.7109375" style="125" customWidth="1"/>
    <col min="9040" max="9041" width="3.7109375" style="125" customWidth="1"/>
    <col min="9042" max="9042" width="9.7109375" style="125" customWidth="1"/>
    <col min="9043" max="9044" width="3.7109375" style="125" customWidth="1"/>
    <col min="9045" max="9045" width="9.7109375" style="125" customWidth="1"/>
    <col min="9046" max="9047" width="3.7109375" style="125" customWidth="1"/>
    <col min="9048" max="9048" width="9.7109375" style="125" customWidth="1"/>
    <col min="9049" max="9050" width="3.7109375" style="125" customWidth="1"/>
    <col min="9051" max="9051" width="9.7109375" style="125" customWidth="1"/>
    <col min="9052" max="9053" width="3.7109375" style="125" customWidth="1"/>
    <col min="9054" max="9054" width="9.7109375" style="125" customWidth="1"/>
    <col min="9055" max="9056" width="3.7109375" style="125" customWidth="1"/>
    <col min="9057" max="9057" width="9.7109375" style="125" customWidth="1"/>
    <col min="9058" max="9059" width="3.7109375" style="125" customWidth="1"/>
    <col min="9060" max="9060" width="9.7109375" style="125" customWidth="1"/>
    <col min="9061" max="9062" width="3.7109375" style="125" customWidth="1"/>
    <col min="9063" max="9063" width="9.7109375" style="125" customWidth="1"/>
    <col min="9064" max="9065" width="3.7109375" style="125" customWidth="1"/>
    <col min="9066" max="9066" width="9.7109375" style="125" customWidth="1"/>
    <col min="9067" max="9068" width="3.7109375" style="125" customWidth="1"/>
    <col min="9069" max="9069" width="9.7109375" style="125" customWidth="1"/>
    <col min="9070" max="9071" width="3.7109375" style="125" customWidth="1"/>
    <col min="9072" max="9072" width="9.7109375" style="125" customWidth="1"/>
    <col min="9073" max="9074" width="3.7109375" style="125" customWidth="1"/>
    <col min="9075" max="9075" width="9.7109375" style="125" customWidth="1"/>
    <col min="9076" max="9077" width="3.7109375" style="125" customWidth="1"/>
    <col min="9078" max="9078" width="9.7109375" style="125" customWidth="1"/>
    <col min="9079" max="9080" width="3.7109375" style="125" customWidth="1"/>
    <col min="9081" max="9081" width="9.7109375" style="125" customWidth="1"/>
    <col min="9082" max="9083" width="3.7109375" style="125" customWidth="1"/>
    <col min="9084" max="9084" width="9.7109375" style="125" customWidth="1"/>
    <col min="9085" max="9086" width="3.7109375" style="125" customWidth="1"/>
    <col min="9087" max="9087" width="9.7109375" style="125" customWidth="1"/>
    <col min="9088" max="9089" width="3.7109375" style="125" customWidth="1"/>
    <col min="9090" max="9090" width="9.7109375" style="125" customWidth="1"/>
    <col min="9091" max="9092" width="3.7109375" style="125" customWidth="1"/>
    <col min="9093" max="9093" width="9.7109375" style="125" customWidth="1"/>
    <col min="9094" max="9095" width="3.7109375" style="125" customWidth="1"/>
    <col min="9096" max="9096" width="9.7109375" style="125" customWidth="1"/>
    <col min="9097" max="9098" width="3.7109375" style="125" customWidth="1"/>
    <col min="9099" max="9099" width="9.7109375" style="125" customWidth="1"/>
    <col min="9100" max="9101" width="3.7109375" style="125" customWidth="1"/>
    <col min="9102" max="9102" width="9.7109375" style="125" customWidth="1"/>
    <col min="9103" max="9104" width="3.7109375" style="125" customWidth="1"/>
    <col min="9105" max="9105" width="9.7109375" style="125" customWidth="1"/>
    <col min="9106" max="9106" width="3.7109375" style="125" customWidth="1"/>
    <col min="9107" max="9107" width="5.7109375" style="125" bestFit="1" customWidth="1"/>
    <col min="9108" max="9108" width="9.7109375" style="125" customWidth="1"/>
    <col min="9109" max="9110" width="3.7109375" style="125" customWidth="1"/>
    <col min="9111" max="9111" width="9.7109375" style="125" customWidth="1"/>
    <col min="9112" max="9113" width="3.7109375" style="125" customWidth="1"/>
    <col min="9114" max="9114" width="9.7109375" style="125" customWidth="1"/>
    <col min="9115" max="9116" width="3.7109375" style="125" customWidth="1"/>
    <col min="9117" max="9117" width="9.7109375" style="125" customWidth="1"/>
    <col min="9118" max="9119" width="3.7109375" style="125" customWidth="1"/>
    <col min="9120" max="9120" width="9.7109375" style="125" customWidth="1"/>
    <col min="9121" max="9122" width="3.7109375" style="125" customWidth="1"/>
    <col min="9123" max="9123" width="9.7109375" style="125" customWidth="1"/>
    <col min="9124" max="9124" width="3.7109375" style="125" customWidth="1"/>
    <col min="9125" max="9125" width="5.7109375" style="125" bestFit="1" customWidth="1"/>
    <col min="9126" max="9126" width="9.7109375" style="125" customWidth="1"/>
    <col min="9127" max="9128" width="3.7109375" style="125" customWidth="1"/>
    <col min="9129" max="9129" width="9.7109375" style="125" customWidth="1"/>
    <col min="9130" max="9131" width="3.7109375" style="125" customWidth="1"/>
    <col min="9132" max="9132" width="9.7109375" style="125" customWidth="1"/>
    <col min="9133" max="9134" width="3.7109375" style="125" customWidth="1"/>
    <col min="9135" max="9135" width="9.7109375" style="125" customWidth="1"/>
    <col min="9136" max="9137" width="3.7109375" style="125" customWidth="1"/>
    <col min="9138" max="9138" width="9.7109375" style="125" customWidth="1"/>
    <col min="9139" max="9140" width="3.7109375" style="125" customWidth="1"/>
    <col min="9141" max="9141" width="9.7109375" style="125" customWidth="1"/>
    <col min="9142" max="9143" width="3.7109375" style="125" customWidth="1"/>
    <col min="9144" max="9144" width="9.7109375" style="125" customWidth="1"/>
    <col min="9145" max="9146" width="3.7109375" style="125" customWidth="1"/>
    <col min="9147" max="9147" width="9.7109375" style="125" customWidth="1"/>
    <col min="9148" max="9149" width="3.7109375" style="125" customWidth="1"/>
    <col min="9150" max="9150" width="9.7109375" style="125" customWidth="1"/>
    <col min="9151" max="9152" width="3.7109375" style="125" customWidth="1"/>
    <col min="9153" max="9153" width="9.7109375" style="125" customWidth="1"/>
    <col min="9154" max="9155" width="3.7109375" style="125" customWidth="1"/>
    <col min="9156" max="9156" width="9.7109375" style="125" customWidth="1"/>
    <col min="9157" max="9158" width="3.7109375" style="125" customWidth="1"/>
    <col min="9159" max="9159" width="9.7109375" style="125" customWidth="1"/>
    <col min="9160" max="9161" width="3.7109375" style="125" customWidth="1"/>
    <col min="9162" max="9162" width="9.7109375" style="125" customWidth="1"/>
    <col min="9163" max="9164" width="3.7109375" style="125" customWidth="1"/>
    <col min="9165" max="9165" width="9.7109375" style="125" customWidth="1"/>
    <col min="9166" max="9167" width="3.7109375" style="125" customWidth="1"/>
    <col min="9168" max="9168" width="9.7109375" style="125" customWidth="1"/>
    <col min="9169" max="9170" width="3.7109375" style="125" customWidth="1"/>
    <col min="9171" max="9171" width="9.7109375" style="125" customWidth="1"/>
    <col min="9172" max="9173" width="3.7109375" style="125" customWidth="1"/>
    <col min="9174" max="9174" width="9.7109375" style="125" customWidth="1"/>
    <col min="9175" max="9176" width="3.7109375" style="125" customWidth="1"/>
    <col min="9177" max="9177" width="9.7109375" style="125" customWidth="1"/>
    <col min="9178" max="9179" width="3.7109375" style="125" customWidth="1"/>
    <col min="9180" max="9180" width="9.7109375" style="125" customWidth="1"/>
    <col min="9181" max="9182" width="3.7109375" style="125" customWidth="1"/>
    <col min="9183" max="9183" width="9.7109375" style="125" customWidth="1"/>
    <col min="9184" max="9185" width="3.7109375" style="125" customWidth="1"/>
    <col min="9186" max="9186" width="9.7109375" style="125" customWidth="1"/>
    <col min="9187" max="9188" width="3.7109375" style="125" customWidth="1"/>
    <col min="9189" max="9189" width="9.7109375" style="125" customWidth="1"/>
    <col min="9190" max="9191" width="3.7109375" style="125" customWidth="1"/>
    <col min="9192" max="9192" width="9.7109375" style="125" customWidth="1"/>
    <col min="9193" max="9194" width="3.7109375" style="125" customWidth="1"/>
    <col min="9195" max="9195" width="9.7109375" style="125" customWidth="1"/>
    <col min="9196" max="9197" width="3.7109375" style="125" customWidth="1"/>
    <col min="9198" max="9198" width="9.7109375" style="125" customWidth="1"/>
    <col min="9199" max="9200" width="3.7109375" style="125" customWidth="1"/>
    <col min="9201" max="9201" width="9.7109375" style="125" customWidth="1"/>
    <col min="9202" max="9203" width="3.7109375" style="125" customWidth="1"/>
    <col min="9204" max="9204" width="9.7109375" style="125" customWidth="1"/>
    <col min="9205" max="9206" width="3.7109375" style="125" customWidth="1"/>
    <col min="9207" max="9207" width="9.7109375" style="125" customWidth="1"/>
    <col min="9208" max="9209" width="3.7109375" style="125" customWidth="1"/>
    <col min="9210" max="9210" width="9.7109375" style="125" customWidth="1"/>
    <col min="9211" max="9212" width="3.7109375" style="125" customWidth="1"/>
    <col min="9213" max="9213" width="9.7109375" style="125" customWidth="1"/>
    <col min="9214" max="9214" width="3.7109375" style="125" customWidth="1"/>
    <col min="9215" max="9216" width="8" style="125"/>
    <col min="9217" max="9217" width="30.7109375" style="125" customWidth="1"/>
    <col min="9218" max="9218" width="9.7109375" style="125" customWidth="1"/>
    <col min="9219" max="9219" width="3.7109375" style="125" customWidth="1"/>
    <col min="9220" max="9220" width="9.7109375" style="125" customWidth="1"/>
    <col min="9221" max="9222" width="3.7109375" style="125" customWidth="1"/>
    <col min="9223" max="9223" width="9.7109375" style="125" customWidth="1"/>
    <col min="9224" max="9225" width="3.7109375" style="125" customWidth="1"/>
    <col min="9226" max="9226" width="9.7109375" style="125" customWidth="1"/>
    <col min="9227" max="9228" width="3.7109375" style="125" customWidth="1"/>
    <col min="9229" max="9229" width="9.7109375" style="125" customWidth="1"/>
    <col min="9230" max="9231" width="3.7109375" style="125" customWidth="1"/>
    <col min="9232" max="9232" width="9.7109375" style="125" customWidth="1"/>
    <col min="9233" max="9234" width="3.7109375" style="125" customWidth="1"/>
    <col min="9235" max="9235" width="9.7109375" style="125" customWidth="1"/>
    <col min="9236" max="9237" width="3.7109375" style="125" customWidth="1"/>
    <col min="9238" max="9238" width="9.7109375" style="125" customWidth="1"/>
    <col min="9239" max="9240" width="3.7109375" style="125" customWidth="1"/>
    <col min="9241" max="9241" width="9.7109375" style="125" customWidth="1"/>
    <col min="9242" max="9243" width="3.7109375" style="125" customWidth="1"/>
    <col min="9244" max="9244" width="9.7109375" style="125" customWidth="1"/>
    <col min="9245" max="9246" width="3.7109375" style="125" customWidth="1"/>
    <col min="9247" max="9247" width="9.7109375" style="125" customWidth="1"/>
    <col min="9248" max="9249" width="3.7109375" style="125" customWidth="1"/>
    <col min="9250" max="9250" width="9.7109375" style="125" customWidth="1"/>
    <col min="9251" max="9252" width="3.7109375" style="125" customWidth="1"/>
    <col min="9253" max="9253" width="9.7109375" style="125" customWidth="1"/>
    <col min="9254" max="9255" width="3.7109375" style="125" customWidth="1"/>
    <col min="9256" max="9256" width="9.7109375" style="125" customWidth="1"/>
    <col min="9257" max="9258" width="3.7109375" style="125" customWidth="1"/>
    <col min="9259" max="9259" width="9.7109375" style="125" customWidth="1"/>
    <col min="9260" max="9261" width="3.7109375" style="125" customWidth="1"/>
    <col min="9262" max="9262" width="9.7109375" style="125" customWidth="1"/>
    <col min="9263" max="9264" width="3.7109375" style="125" customWidth="1"/>
    <col min="9265" max="9265" width="9.7109375" style="125" customWidth="1"/>
    <col min="9266" max="9267" width="3.7109375" style="125" customWidth="1"/>
    <col min="9268" max="9268" width="9.7109375" style="125" customWidth="1"/>
    <col min="9269" max="9270" width="3.7109375" style="125" customWidth="1"/>
    <col min="9271" max="9271" width="9.7109375" style="125" customWidth="1"/>
    <col min="9272" max="9273" width="3.7109375" style="125" customWidth="1"/>
    <col min="9274" max="9274" width="9.7109375" style="125" customWidth="1"/>
    <col min="9275" max="9276" width="3.7109375" style="125" customWidth="1"/>
    <col min="9277" max="9277" width="9.7109375" style="125" customWidth="1"/>
    <col min="9278" max="9279" width="3.7109375" style="125" customWidth="1"/>
    <col min="9280" max="9280" width="9.7109375" style="125" customWidth="1"/>
    <col min="9281" max="9282" width="3.7109375" style="125" customWidth="1"/>
    <col min="9283" max="9283" width="9.7109375" style="125" customWidth="1"/>
    <col min="9284" max="9285" width="3.7109375" style="125" customWidth="1"/>
    <col min="9286" max="9286" width="9.7109375" style="125" customWidth="1"/>
    <col min="9287" max="9288" width="3.7109375" style="125" customWidth="1"/>
    <col min="9289" max="9289" width="9.7109375" style="125" customWidth="1"/>
    <col min="9290" max="9291" width="3.7109375" style="125" customWidth="1"/>
    <col min="9292" max="9292" width="9.7109375" style="125" customWidth="1"/>
    <col min="9293" max="9294" width="3.7109375" style="125" customWidth="1"/>
    <col min="9295" max="9295" width="9.7109375" style="125" customWidth="1"/>
    <col min="9296" max="9297" width="3.7109375" style="125" customWidth="1"/>
    <col min="9298" max="9298" width="9.7109375" style="125" customWidth="1"/>
    <col min="9299" max="9300" width="3.7109375" style="125" customWidth="1"/>
    <col min="9301" max="9301" width="9.7109375" style="125" customWidth="1"/>
    <col min="9302" max="9303" width="3.7109375" style="125" customWidth="1"/>
    <col min="9304" max="9304" width="9.7109375" style="125" customWidth="1"/>
    <col min="9305" max="9306" width="3.7109375" style="125" customWidth="1"/>
    <col min="9307" max="9307" width="9.7109375" style="125" customWidth="1"/>
    <col min="9308" max="9309" width="3.7109375" style="125" customWidth="1"/>
    <col min="9310" max="9310" width="9.7109375" style="125" customWidth="1"/>
    <col min="9311" max="9312" width="3.7109375" style="125" customWidth="1"/>
    <col min="9313" max="9313" width="9.7109375" style="125" customWidth="1"/>
    <col min="9314" max="9315" width="3.7109375" style="125" customWidth="1"/>
    <col min="9316" max="9316" width="9.7109375" style="125" customWidth="1"/>
    <col min="9317" max="9318" width="3.7109375" style="125" customWidth="1"/>
    <col min="9319" max="9319" width="9.7109375" style="125" customWidth="1"/>
    <col min="9320" max="9321" width="3.7109375" style="125" customWidth="1"/>
    <col min="9322" max="9322" width="9.7109375" style="125" customWidth="1"/>
    <col min="9323" max="9324" width="3.7109375" style="125" customWidth="1"/>
    <col min="9325" max="9325" width="9.7109375" style="125" customWidth="1"/>
    <col min="9326" max="9327" width="3.7109375" style="125" customWidth="1"/>
    <col min="9328" max="9328" width="9.7109375" style="125" customWidth="1"/>
    <col min="9329" max="9330" width="3.7109375" style="125" customWidth="1"/>
    <col min="9331" max="9331" width="9.7109375" style="125" customWidth="1"/>
    <col min="9332" max="9333" width="3.7109375" style="125" customWidth="1"/>
    <col min="9334" max="9334" width="9.7109375" style="125" customWidth="1"/>
    <col min="9335" max="9336" width="3.7109375" style="125" customWidth="1"/>
    <col min="9337" max="9337" width="9.7109375" style="125" customWidth="1"/>
    <col min="9338" max="9339" width="3.7109375" style="125" customWidth="1"/>
    <col min="9340" max="9340" width="9.7109375" style="125" customWidth="1"/>
    <col min="9341" max="9342" width="3.7109375" style="125" customWidth="1"/>
    <col min="9343" max="9343" width="9.7109375" style="125" customWidth="1"/>
    <col min="9344" max="9345" width="3.7109375" style="125" customWidth="1"/>
    <col min="9346" max="9346" width="9.7109375" style="125" customWidth="1"/>
    <col min="9347" max="9348" width="3.7109375" style="125" customWidth="1"/>
    <col min="9349" max="9349" width="9.7109375" style="125" customWidth="1"/>
    <col min="9350" max="9351" width="3.7109375" style="125" customWidth="1"/>
    <col min="9352" max="9352" width="9.7109375" style="125" customWidth="1"/>
    <col min="9353" max="9354" width="3.7109375" style="125" customWidth="1"/>
    <col min="9355" max="9355" width="9.7109375" style="125" customWidth="1"/>
    <col min="9356" max="9357" width="3.7109375" style="125" customWidth="1"/>
    <col min="9358" max="9358" width="9.7109375" style="125" customWidth="1"/>
    <col min="9359" max="9360" width="3.7109375" style="125" customWidth="1"/>
    <col min="9361" max="9361" width="9.7109375" style="125" customWidth="1"/>
    <col min="9362" max="9362" width="3.7109375" style="125" customWidth="1"/>
    <col min="9363" max="9363" width="5.7109375" style="125" bestFit="1" customWidth="1"/>
    <col min="9364" max="9364" width="9.7109375" style="125" customWidth="1"/>
    <col min="9365" max="9366" width="3.7109375" style="125" customWidth="1"/>
    <col min="9367" max="9367" width="9.7109375" style="125" customWidth="1"/>
    <col min="9368" max="9369" width="3.7109375" style="125" customWidth="1"/>
    <col min="9370" max="9370" width="9.7109375" style="125" customWidth="1"/>
    <col min="9371" max="9372" width="3.7109375" style="125" customWidth="1"/>
    <col min="9373" max="9373" width="9.7109375" style="125" customWidth="1"/>
    <col min="9374" max="9375" width="3.7109375" style="125" customWidth="1"/>
    <col min="9376" max="9376" width="9.7109375" style="125" customWidth="1"/>
    <col min="9377" max="9378" width="3.7109375" style="125" customWidth="1"/>
    <col min="9379" max="9379" width="9.7109375" style="125" customWidth="1"/>
    <col min="9380" max="9380" width="3.7109375" style="125" customWidth="1"/>
    <col min="9381" max="9381" width="5.7109375" style="125" bestFit="1" customWidth="1"/>
    <col min="9382" max="9382" width="9.7109375" style="125" customWidth="1"/>
    <col min="9383" max="9384" width="3.7109375" style="125" customWidth="1"/>
    <col min="9385" max="9385" width="9.7109375" style="125" customWidth="1"/>
    <col min="9386" max="9387" width="3.7109375" style="125" customWidth="1"/>
    <col min="9388" max="9388" width="9.7109375" style="125" customWidth="1"/>
    <col min="9389" max="9390" width="3.7109375" style="125" customWidth="1"/>
    <col min="9391" max="9391" width="9.7109375" style="125" customWidth="1"/>
    <col min="9392" max="9393" width="3.7109375" style="125" customWidth="1"/>
    <col min="9394" max="9394" width="9.7109375" style="125" customWidth="1"/>
    <col min="9395" max="9396" width="3.7109375" style="125" customWidth="1"/>
    <col min="9397" max="9397" width="9.7109375" style="125" customWidth="1"/>
    <col min="9398" max="9399" width="3.7109375" style="125" customWidth="1"/>
    <col min="9400" max="9400" width="9.7109375" style="125" customWidth="1"/>
    <col min="9401" max="9402" width="3.7109375" style="125" customWidth="1"/>
    <col min="9403" max="9403" width="9.7109375" style="125" customWidth="1"/>
    <col min="9404" max="9405" width="3.7109375" style="125" customWidth="1"/>
    <col min="9406" max="9406" width="9.7109375" style="125" customWidth="1"/>
    <col min="9407" max="9408" width="3.7109375" style="125" customWidth="1"/>
    <col min="9409" max="9409" width="9.7109375" style="125" customWidth="1"/>
    <col min="9410" max="9411" width="3.7109375" style="125" customWidth="1"/>
    <col min="9412" max="9412" width="9.7109375" style="125" customWidth="1"/>
    <col min="9413" max="9414" width="3.7109375" style="125" customWidth="1"/>
    <col min="9415" max="9415" width="9.7109375" style="125" customWidth="1"/>
    <col min="9416" max="9417" width="3.7109375" style="125" customWidth="1"/>
    <col min="9418" max="9418" width="9.7109375" style="125" customWidth="1"/>
    <col min="9419" max="9420" width="3.7109375" style="125" customWidth="1"/>
    <col min="9421" max="9421" width="9.7109375" style="125" customWidth="1"/>
    <col min="9422" max="9423" width="3.7109375" style="125" customWidth="1"/>
    <col min="9424" max="9424" width="9.7109375" style="125" customWidth="1"/>
    <col min="9425" max="9426" width="3.7109375" style="125" customWidth="1"/>
    <col min="9427" max="9427" width="9.7109375" style="125" customWidth="1"/>
    <col min="9428" max="9429" width="3.7109375" style="125" customWidth="1"/>
    <col min="9430" max="9430" width="9.7109375" style="125" customWidth="1"/>
    <col min="9431" max="9432" width="3.7109375" style="125" customWidth="1"/>
    <col min="9433" max="9433" width="9.7109375" style="125" customWidth="1"/>
    <col min="9434" max="9435" width="3.7109375" style="125" customWidth="1"/>
    <col min="9436" max="9436" width="9.7109375" style="125" customWidth="1"/>
    <col min="9437" max="9438" width="3.7109375" style="125" customWidth="1"/>
    <col min="9439" max="9439" width="9.7109375" style="125" customWidth="1"/>
    <col min="9440" max="9441" width="3.7109375" style="125" customWidth="1"/>
    <col min="9442" max="9442" width="9.7109375" style="125" customWidth="1"/>
    <col min="9443" max="9444" width="3.7109375" style="125" customWidth="1"/>
    <col min="9445" max="9445" width="9.7109375" style="125" customWidth="1"/>
    <col min="9446" max="9447" width="3.7109375" style="125" customWidth="1"/>
    <col min="9448" max="9448" width="9.7109375" style="125" customWidth="1"/>
    <col min="9449" max="9450" width="3.7109375" style="125" customWidth="1"/>
    <col min="9451" max="9451" width="9.7109375" style="125" customWidth="1"/>
    <col min="9452" max="9453" width="3.7109375" style="125" customWidth="1"/>
    <col min="9454" max="9454" width="9.7109375" style="125" customWidth="1"/>
    <col min="9455" max="9456" width="3.7109375" style="125" customWidth="1"/>
    <col min="9457" max="9457" width="9.7109375" style="125" customWidth="1"/>
    <col min="9458" max="9459" width="3.7109375" style="125" customWidth="1"/>
    <col min="9460" max="9460" width="9.7109375" style="125" customWidth="1"/>
    <col min="9461" max="9462" width="3.7109375" style="125" customWidth="1"/>
    <col min="9463" max="9463" width="9.7109375" style="125" customWidth="1"/>
    <col min="9464" max="9465" width="3.7109375" style="125" customWidth="1"/>
    <col min="9466" max="9466" width="9.7109375" style="125" customWidth="1"/>
    <col min="9467" max="9468" width="3.7109375" style="125" customWidth="1"/>
    <col min="9469" max="9469" width="9.7109375" style="125" customWidth="1"/>
    <col min="9470" max="9470" width="3.7109375" style="125" customWidth="1"/>
    <col min="9471" max="9472" width="8" style="125"/>
    <col min="9473" max="9473" width="30.7109375" style="125" customWidth="1"/>
    <col min="9474" max="9474" width="9.7109375" style="125" customWidth="1"/>
    <col min="9475" max="9475" width="3.7109375" style="125" customWidth="1"/>
    <col min="9476" max="9476" width="9.7109375" style="125" customWidth="1"/>
    <col min="9477" max="9478" width="3.7109375" style="125" customWidth="1"/>
    <col min="9479" max="9479" width="9.7109375" style="125" customWidth="1"/>
    <col min="9480" max="9481" width="3.7109375" style="125" customWidth="1"/>
    <col min="9482" max="9482" width="9.7109375" style="125" customWidth="1"/>
    <col min="9483" max="9484" width="3.7109375" style="125" customWidth="1"/>
    <col min="9485" max="9485" width="9.7109375" style="125" customWidth="1"/>
    <col min="9486" max="9487" width="3.7109375" style="125" customWidth="1"/>
    <col min="9488" max="9488" width="9.7109375" style="125" customWidth="1"/>
    <col min="9489" max="9490" width="3.7109375" style="125" customWidth="1"/>
    <col min="9491" max="9491" width="9.7109375" style="125" customWidth="1"/>
    <col min="9492" max="9493" width="3.7109375" style="125" customWidth="1"/>
    <col min="9494" max="9494" width="9.7109375" style="125" customWidth="1"/>
    <col min="9495" max="9496" width="3.7109375" style="125" customWidth="1"/>
    <col min="9497" max="9497" width="9.7109375" style="125" customWidth="1"/>
    <col min="9498" max="9499" width="3.7109375" style="125" customWidth="1"/>
    <col min="9500" max="9500" width="9.7109375" style="125" customWidth="1"/>
    <col min="9501" max="9502" width="3.7109375" style="125" customWidth="1"/>
    <col min="9503" max="9503" width="9.7109375" style="125" customWidth="1"/>
    <col min="9504" max="9505" width="3.7109375" style="125" customWidth="1"/>
    <col min="9506" max="9506" width="9.7109375" style="125" customWidth="1"/>
    <col min="9507" max="9508" width="3.7109375" style="125" customWidth="1"/>
    <col min="9509" max="9509" width="9.7109375" style="125" customWidth="1"/>
    <col min="9510" max="9511" width="3.7109375" style="125" customWidth="1"/>
    <col min="9512" max="9512" width="9.7109375" style="125" customWidth="1"/>
    <col min="9513" max="9514" width="3.7109375" style="125" customWidth="1"/>
    <col min="9515" max="9515" width="9.7109375" style="125" customWidth="1"/>
    <col min="9516" max="9517" width="3.7109375" style="125" customWidth="1"/>
    <col min="9518" max="9518" width="9.7109375" style="125" customWidth="1"/>
    <col min="9519" max="9520" width="3.7109375" style="125" customWidth="1"/>
    <col min="9521" max="9521" width="9.7109375" style="125" customWidth="1"/>
    <col min="9522" max="9523" width="3.7109375" style="125" customWidth="1"/>
    <col min="9524" max="9524" width="9.7109375" style="125" customWidth="1"/>
    <col min="9525" max="9526" width="3.7109375" style="125" customWidth="1"/>
    <col min="9527" max="9527" width="9.7109375" style="125" customWidth="1"/>
    <col min="9528" max="9529" width="3.7109375" style="125" customWidth="1"/>
    <col min="9530" max="9530" width="9.7109375" style="125" customWidth="1"/>
    <col min="9531" max="9532" width="3.7109375" style="125" customWidth="1"/>
    <col min="9533" max="9533" width="9.7109375" style="125" customWidth="1"/>
    <col min="9534" max="9535" width="3.7109375" style="125" customWidth="1"/>
    <col min="9536" max="9536" width="9.7109375" style="125" customWidth="1"/>
    <col min="9537" max="9538" width="3.7109375" style="125" customWidth="1"/>
    <col min="9539" max="9539" width="9.7109375" style="125" customWidth="1"/>
    <col min="9540" max="9541" width="3.7109375" style="125" customWidth="1"/>
    <col min="9542" max="9542" width="9.7109375" style="125" customWidth="1"/>
    <col min="9543" max="9544" width="3.7109375" style="125" customWidth="1"/>
    <col min="9545" max="9545" width="9.7109375" style="125" customWidth="1"/>
    <col min="9546" max="9547" width="3.7109375" style="125" customWidth="1"/>
    <col min="9548" max="9548" width="9.7109375" style="125" customWidth="1"/>
    <col min="9549" max="9550" width="3.7109375" style="125" customWidth="1"/>
    <col min="9551" max="9551" width="9.7109375" style="125" customWidth="1"/>
    <col min="9552" max="9553" width="3.7109375" style="125" customWidth="1"/>
    <col min="9554" max="9554" width="9.7109375" style="125" customWidth="1"/>
    <col min="9555" max="9556" width="3.7109375" style="125" customWidth="1"/>
    <col min="9557" max="9557" width="9.7109375" style="125" customWidth="1"/>
    <col min="9558" max="9559" width="3.7109375" style="125" customWidth="1"/>
    <col min="9560" max="9560" width="9.7109375" style="125" customWidth="1"/>
    <col min="9561" max="9562" width="3.7109375" style="125" customWidth="1"/>
    <col min="9563" max="9563" width="9.7109375" style="125" customWidth="1"/>
    <col min="9564" max="9565" width="3.7109375" style="125" customWidth="1"/>
    <col min="9566" max="9566" width="9.7109375" style="125" customWidth="1"/>
    <col min="9567" max="9568" width="3.7109375" style="125" customWidth="1"/>
    <col min="9569" max="9569" width="9.7109375" style="125" customWidth="1"/>
    <col min="9570" max="9571" width="3.7109375" style="125" customWidth="1"/>
    <col min="9572" max="9572" width="9.7109375" style="125" customWidth="1"/>
    <col min="9573" max="9574" width="3.7109375" style="125" customWidth="1"/>
    <col min="9575" max="9575" width="9.7109375" style="125" customWidth="1"/>
    <col min="9576" max="9577" width="3.7109375" style="125" customWidth="1"/>
    <col min="9578" max="9578" width="9.7109375" style="125" customWidth="1"/>
    <col min="9579" max="9580" width="3.7109375" style="125" customWidth="1"/>
    <col min="9581" max="9581" width="9.7109375" style="125" customWidth="1"/>
    <col min="9582" max="9583" width="3.7109375" style="125" customWidth="1"/>
    <col min="9584" max="9584" width="9.7109375" style="125" customWidth="1"/>
    <col min="9585" max="9586" width="3.7109375" style="125" customWidth="1"/>
    <col min="9587" max="9587" width="9.7109375" style="125" customWidth="1"/>
    <col min="9588" max="9589" width="3.7109375" style="125" customWidth="1"/>
    <col min="9590" max="9590" width="9.7109375" style="125" customWidth="1"/>
    <col min="9591" max="9592" width="3.7109375" style="125" customWidth="1"/>
    <col min="9593" max="9593" width="9.7109375" style="125" customWidth="1"/>
    <col min="9594" max="9595" width="3.7109375" style="125" customWidth="1"/>
    <col min="9596" max="9596" width="9.7109375" style="125" customWidth="1"/>
    <col min="9597" max="9598" width="3.7109375" style="125" customWidth="1"/>
    <col min="9599" max="9599" width="9.7109375" style="125" customWidth="1"/>
    <col min="9600" max="9601" width="3.7109375" style="125" customWidth="1"/>
    <col min="9602" max="9602" width="9.7109375" style="125" customWidth="1"/>
    <col min="9603" max="9604" width="3.7109375" style="125" customWidth="1"/>
    <col min="9605" max="9605" width="9.7109375" style="125" customWidth="1"/>
    <col min="9606" max="9607" width="3.7109375" style="125" customWidth="1"/>
    <col min="9608" max="9608" width="9.7109375" style="125" customWidth="1"/>
    <col min="9609" max="9610" width="3.7109375" style="125" customWidth="1"/>
    <col min="9611" max="9611" width="9.7109375" style="125" customWidth="1"/>
    <col min="9612" max="9613" width="3.7109375" style="125" customWidth="1"/>
    <col min="9614" max="9614" width="9.7109375" style="125" customWidth="1"/>
    <col min="9615" max="9616" width="3.7109375" style="125" customWidth="1"/>
    <col min="9617" max="9617" width="9.7109375" style="125" customWidth="1"/>
    <col min="9618" max="9618" width="3.7109375" style="125" customWidth="1"/>
    <col min="9619" max="9619" width="5.7109375" style="125" bestFit="1" customWidth="1"/>
    <col min="9620" max="9620" width="9.7109375" style="125" customWidth="1"/>
    <col min="9621" max="9622" width="3.7109375" style="125" customWidth="1"/>
    <col min="9623" max="9623" width="9.7109375" style="125" customWidth="1"/>
    <col min="9624" max="9625" width="3.7109375" style="125" customWidth="1"/>
    <col min="9626" max="9626" width="9.7109375" style="125" customWidth="1"/>
    <col min="9627" max="9628" width="3.7109375" style="125" customWidth="1"/>
    <col min="9629" max="9629" width="9.7109375" style="125" customWidth="1"/>
    <col min="9630" max="9631" width="3.7109375" style="125" customWidth="1"/>
    <col min="9632" max="9632" width="9.7109375" style="125" customWidth="1"/>
    <col min="9633" max="9634" width="3.7109375" style="125" customWidth="1"/>
    <col min="9635" max="9635" width="9.7109375" style="125" customWidth="1"/>
    <col min="9636" max="9636" width="3.7109375" style="125" customWidth="1"/>
    <col min="9637" max="9637" width="5.7109375" style="125" bestFit="1" customWidth="1"/>
    <col min="9638" max="9638" width="9.7109375" style="125" customWidth="1"/>
    <col min="9639" max="9640" width="3.7109375" style="125" customWidth="1"/>
    <col min="9641" max="9641" width="9.7109375" style="125" customWidth="1"/>
    <col min="9642" max="9643" width="3.7109375" style="125" customWidth="1"/>
    <col min="9644" max="9644" width="9.7109375" style="125" customWidth="1"/>
    <col min="9645" max="9646" width="3.7109375" style="125" customWidth="1"/>
    <col min="9647" max="9647" width="9.7109375" style="125" customWidth="1"/>
    <col min="9648" max="9649" width="3.7109375" style="125" customWidth="1"/>
    <col min="9650" max="9650" width="9.7109375" style="125" customWidth="1"/>
    <col min="9651" max="9652" width="3.7109375" style="125" customWidth="1"/>
    <col min="9653" max="9653" width="9.7109375" style="125" customWidth="1"/>
    <col min="9654" max="9655" width="3.7109375" style="125" customWidth="1"/>
    <col min="9656" max="9656" width="9.7109375" style="125" customWidth="1"/>
    <col min="9657" max="9658" width="3.7109375" style="125" customWidth="1"/>
    <col min="9659" max="9659" width="9.7109375" style="125" customWidth="1"/>
    <col min="9660" max="9661" width="3.7109375" style="125" customWidth="1"/>
    <col min="9662" max="9662" width="9.7109375" style="125" customWidth="1"/>
    <col min="9663" max="9664" width="3.7109375" style="125" customWidth="1"/>
    <col min="9665" max="9665" width="9.7109375" style="125" customWidth="1"/>
    <col min="9666" max="9667" width="3.7109375" style="125" customWidth="1"/>
    <col min="9668" max="9668" width="9.7109375" style="125" customWidth="1"/>
    <col min="9669" max="9670" width="3.7109375" style="125" customWidth="1"/>
    <col min="9671" max="9671" width="9.7109375" style="125" customWidth="1"/>
    <col min="9672" max="9673" width="3.7109375" style="125" customWidth="1"/>
    <col min="9674" max="9674" width="9.7109375" style="125" customWidth="1"/>
    <col min="9675" max="9676" width="3.7109375" style="125" customWidth="1"/>
    <col min="9677" max="9677" width="9.7109375" style="125" customWidth="1"/>
    <col min="9678" max="9679" width="3.7109375" style="125" customWidth="1"/>
    <col min="9680" max="9680" width="9.7109375" style="125" customWidth="1"/>
    <col min="9681" max="9682" width="3.7109375" style="125" customWidth="1"/>
    <col min="9683" max="9683" width="9.7109375" style="125" customWidth="1"/>
    <col min="9684" max="9685" width="3.7109375" style="125" customWidth="1"/>
    <col min="9686" max="9686" width="9.7109375" style="125" customWidth="1"/>
    <col min="9687" max="9688" width="3.7109375" style="125" customWidth="1"/>
    <col min="9689" max="9689" width="9.7109375" style="125" customWidth="1"/>
    <col min="9690" max="9691" width="3.7109375" style="125" customWidth="1"/>
    <col min="9692" max="9692" width="9.7109375" style="125" customWidth="1"/>
    <col min="9693" max="9694" width="3.7109375" style="125" customWidth="1"/>
    <col min="9695" max="9695" width="9.7109375" style="125" customWidth="1"/>
    <col min="9696" max="9697" width="3.7109375" style="125" customWidth="1"/>
    <col min="9698" max="9698" width="9.7109375" style="125" customWidth="1"/>
    <col min="9699" max="9700" width="3.7109375" style="125" customWidth="1"/>
    <col min="9701" max="9701" width="9.7109375" style="125" customWidth="1"/>
    <col min="9702" max="9703" width="3.7109375" style="125" customWidth="1"/>
    <col min="9704" max="9704" width="9.7109375" style="125" customWidth="1"/>
    <col min="9705" max="9706" width="3.7109375" style="125" customWidth="1"/>
    <col min="9707" max="9707" width="9.7109375" style="125" customWidth="1"/>
    <col min="9708" max="9709" width="3.7109375" style="125" customWidth="1"/>
    <col min="9710" max="9710" width="9.7109375" style="125" customWidth="1"/>
    <col min="9711" max="9712" width="3.7109375" style="125" customWidth="1"/>
    <col min="9713" max="9713" width="9.7109375" style="125" customWidth="1"/>
    <col min="9714" max="9715" width="3.7109375" style="125" customWidth="1"/>
    <col min="9716" max="9716" width="9.7109375" style="125" customWidth="1"/>
    <col min="9717" max="9718" width="3.7109375" style="125" customWidth="1"/>
    <col min="9719" max="9719" width="9.7109375" style="125" customWidth="1"/>
    <col min="9720" max="9721" width="3.7109375" style="125" customWidth="1"/>
    <col min="9722" max="9722" width="9.7109375" style="125" customWidth="1"/>
    <col min="9723" max="9724" width="3.7109375" style="125" customWidth="1"/>
    <col min="9725" max="9725" width="9.7109375" style="125" customWidth="1"/>
    <col min="9726" max="9726" width="3.7109375" style="125" customWidth="1"/>
    <col min="9727" max="9728" width="8" style="125"/>
    <col min="9729" max="9729" width="30.7109375" style="125" customWidth="1"/>
    <col min="9730" max="9730" width="9.7109375" style="125" customWidth="1"/>
    <col min="9731" max="9731" width="3.7109375" style="125" customWidth="1"/>
    <col min="9732" max="9732" width="9.7109375" style="125" customWidth="1"/>
    <col min="9733" max="9734" width="3.7109375" style="125" customWidth="1"/>
    <col min="9735" max="9735" width="9.7109375" style="125" customWidth="1"/>
    <col min="9736" max="9737" width="3.7109375" style="125" customWidth="1"/>
    <col min="9738" max="9738" width="9.7109375" style="125" customWidth="1"/>
    <col min="9739" max="9740" width="3.7109375" style="125" customWidth="1"/>
    <col min="9741" max="9741" width="9.7109375" style="125" customWidth="1"/>
    <col min="9742" max="9743" width="3.7109375" style="125" customWidth="1"/>
    <col min="9744" max="9744" width="9.7109375" style="125" customWidth="1"/>
    <col min="9745" max="9746" width="3.7109375" style="125" customWidth="1"/>
    <col min="9747" max="9747" width="9.7109375" style="125" customWidth="1"/>
    <col min="9748" max="9749" width="3.7109375" style="125" customWidth="1"/>
    <col min="9750" max="9750" width="9.7109375" style="125" customWidth="1"/>
    <col min="9751" max="9752" width="3.7109375" style="125" customWidth="1"/>
    <col min="9753" max="9753" width="9.7109375" style="125" customWidth="1"/>
    <col min="9754" max="9755" width="3.7109375" style="125" customWidth="1"/>
    <col min="9756" max="9756" width="9.7109375" style="125" customWidth="1"/>
    <col min="9757" max="9758" width="3.7109375" style="125" customWidth="1"/>
    <col min="9759" max="9759" width="9.7109375" style="125" customWidth="1"/>
    <col min="9760" max="9761" width="3.7109375" style="125" customWidth="1"/>
    <col min="9762" max="9762" width="9.7109375" style="125" customWidth="1"/>
    <col min="9763" max="9764" width="3.7109375" style="125" customWidth="1"/>
    <col min="9765" max="9765" width="9.7109375" style="125" customWidth="1"/>
    <col min="9766" max="9767" width="3.7109375" style="125" customWidth="1"/>
    <col min="9768" max="9768" width="9.7109375" style="125" customWidth="1"/>
    <col min="9769" max="9770" width="3.7109375" style="125" customWidth="1"/>
    <col min="9771" max="9771" width="9.7109375" style="125" customWidth="1"/>
    <col min="9772" max="9773" width="3.7109375" style="125" customWidth="1"/>
    <col min="9774" max="9774" width="9.7109375" style="125" customWidth="1"/>
    <col min="9775" max="9776" width="3.7109375" style="125" customWidth="1"/>
    <col min="9777" max="9777" width="9.7109375" style="125" customWidth="1"/>
    <col min="9778" max="9779" width="3.7109375" style="125" customWidth="1"/>
    <col min="9780" max="9780" width="9.7109375" style="125" customWidth="1"/>
    <col min="9781" max="9782" width="3.7109375" style="125" customWidth="1"/>
    <col min="9783" max="9783" width="9.7109375" style="125" customWidth="1"/>
    <col min="9784" max="9785" width="3.7109375" style="125" customWidth="1"/>
    <col min="9786" max="9786" width="9.7109375" style="125" customWidth="1"/>
    <col min="9787" max="9788" width="3.7109375" style="125" customWidth="1"/>
    <col min="9789" max="9789" width="9.7109375" style="125" customWidth="1"/>
    <col min="9790" max="9791" width="3.7109375" style="125" customWidth="1"/>
    <col min="9792" max="9792" width="9.7109375" style="125" customWidth="1"/>
    <col min="9793" max="9794" width="3.7109375" style="125" customWidth="1"/>
    <col min="9795" max="9795" width="9.7109375" style="125" customWidth="1"/>
    <col min="9796" max="9797" width="3.7109375" style="125" customWidth="1"/>
    <col min="9798" max="9798" width="9.7109375" style="125" customWidth="1"/>
    <col min="9799" max="9800" width="3.7109375" style="125" customWidth="1"/>
    <col min="9801" max="9801" width="9.7109375" style="125" customWidth="1"/>
    <col min="9802" max="9803" width="3.7109375" style="125" customWidth="1"/>
    <col min="9804" max="9804" width="9.7109375" style="125" customWidth="1"/>
    <col min="9805" max="9806" width="3.7109375" style="125" customWidth="1"/>
    <col min="9807" max="9807" width="9.7109375" style="125" customWidth="1"/>
    <col min="9808" max="9809" width="3.7109375" style="125" customWidth="1"/>
    <col min="9810" max="9810" width="9.7109375" style="125" customWidth="1"/>
    <col min="9811" max="9812" width="3.7109375" style="125" customWidth="1"/>
    <col min="9813" max="9813" width="9.7109375" style="125" customWidth="1"/>
    <col min="9814" max="9815" width="3.7109375" style="125" customWidth="1"/>
    <col min="9816" max="9816" width="9.7109375" style="125" customWidth="1"/>
    <col min="9817" max="9818" width="3.7109375" style="125" customWidth="1"/>
    <col min="9819" max="9819" width="9.7109375" style="125" customWidth="1"/>
    <col min="9820" max="9821" width="3.7109375" style="125" customWidth="1"/>
    <col min="9822" max="9822" width="9.7109375" style="125" customWidth="1"/>
    <col min="9823" max="9824" width="3.7109375" style="125" customWidth="1"/>
    <col min="9825" max="9825" width="9.7109375" style="125" customWidth="1"/>
    <col min="9826" max="9827" width="3.7109375" style="125" customWidth="1"/>
    <col min="9828" max="9828" width="9.7109375" style="125" customWidth="1"/>
    <col min="9829" max="9830" width="3.7109375" style="125" customWidth="1"/>
    <col min="9831" max="9831" width="9.7109375" style="125" customWidth="1"/>
    <col min="9832" max="9833" width="3.7109375" style="125" customWidth="1"/>
    <col min="9834" max="9834" width="9.7109375" style="125" customWidth="1"/>
    <col min="9835" max="9836" width="3.7109375" style="125" customWidth="1"/>
    <col min="9837" max="9837" width="9.7109375" style="125" customWidth="1"/>
    <col min="9838" max="9839" width="3.7109375" style="125" customWidth="1"/>
    <col min="9840" max="9840" width="9.7109375" style="125" customWidth="1"/>
    <col min="9841" max="9842" width="3.7109375" style="125" customWidth="1"/>
    <col min="9843" max="9843" width="9.7109375" style="125" customWidth="1"/>
    <col min="9844" max="9845" width="3.7109375" style="125" customWidth="1"/>
    <col min="9846" max="9846" width="9.7109375" style="125" customWidth="1"/>
    <col min="9847" max="9848" width="3.7109375" style="125" customWidth="1"/>
    <col min="9849" max="9849" width="9.7109375" style="125" customWidth="1"/>
    <col min="9850" max="9851" width="3.7109375" style="125" customWidth="1"/>
    <col min="9852" max="9852" width="9.7109375" style="125" customWidth="1"/>
    <col min="9853" max="9854" width="3.7109375" style="125" customWidth="1"/>
    <col min="9855" max="9855" width="9.7109375" style="125" customWidth="1"/>
    <col min="9856" max="9857" width="3.7109375" style="125" customWidth="1"/>
    <col min="9858" max="9858" width="9.7109375" style="125" customWidth="1"/>
    <col min="9859" max="9860" width="3.7109375" style="125" customWidth="1"/>
    <col min="9861" max="9861" width="9.7109375" style="125" customWidth="1"/>
    <col min="9862" max="9863" width="3.7109375" style="125" customWidth="1"/>
    <col min="9864" max="9864" width="9.7109375" style="125" customWidth="1"/>
    <col min="9865" max="9866" width="3.7109375" style="125" customWidth="1"/>
    <col min="9867" max="9867" width="9.7109375" style="125" customWidth="1"/>
    <col min="9868" max="9869" width="3.7109375" style="125" customWidth="1"/>
    <col min="9870" max="9870" width="9.7109375" style="125" customWidth="1"/>
    <col min="9871" max="9872" width="3.7109375" style="125" customWidth="1"/>
    <col min="9873" max="9873" width="9.7109375" style="125" customWidth="1"/>
    <col min="9874" max="9874" width="3.7109375" style="125" customWidth="1"/>
    <col min="9875" max="9875" width="5.7109375" style="125" bestFit="1" customWidth="1"/>
    <col min="9876" max="9876" width="9.7109375" style="125" customWidth="1"/>
    <col min="9877" max="9878" width="3.7109375" style="125" customWidth="1"/>
    <col min="9879" max="9879" width="9.7109375" style="125" customWidth="1"/>
    <col min="9880" max="9881" width="3.7109375" style="125" customWidth="1"/>
    <col min="9882" max="9882" width="9.7109375" style="125" customWidth="1"/>
    <col min="9883" max="9884" width="3.7109375" style="125" customWidth="1"/>
    <col min="9885" max="9885" width="9.7109375" style="125" customWidth="1"/>
    <col min="9886" max="9887" width="3.7109375" style="125" customWidth="1"/>
    <col min="9888" max="9888" width="9.7109375" style="125" customWidth="1"/>
    <col min="9889" max="9890" width="3.7109375" style="125" customWidth="1"/>
    <col min="9891" max="9891" width="9.7109375" style="125" customWidth="1"/>
    <col min="9892" max="9892" width="3.7109375" style="125" customWidth="1"/>
    <col min="9893" max="9893" width="5.7109375" style="125" bestFit="1" customWidth="1"/>
    <col min="9894" max="9894" width="9.7109375" style="125" customWidth="1"/>
    <col min="9895" max="9896" width="3.7109375" style="125" customWidth="1"/>
    <col min="9897" max="9897" width="9.7109375" style="125" customWidth="1"/>
    <col min="9898" max="9899" width="3.7109375" style="125" customWidth="1"/>
    <col min="9900" max="9900" width="9.7109375" style="125" customWidth="1"/>
    <col min="9901" max="9902" width="3.7109375" style="125" customWidth="1"/>
    <col min="9903" max="9903" width="9.7109375" style="125" customWidth="1"/>
    <col min="9904" max="9905" width="3.7109375" style="125" customWidth="1"/>
    <col min="9906" max="9906" width="9.7109375" style="125" customWidth="1"/>
    <col min="9907" max="9908" width="3.7109375" style="125" customWidth="1"/>
    <col min="9909" max="9909" width="9.7109375" style="125" customWidth="1"/>
    <col min="9910" max="9911" width="3.7109375" style="125" customWidth="1"/>
    <col min="9912" max="9912" width="9.7109375" style="125" customWidth="1"/>
    <col min="9913" max="9914" width="3.7109375" style="125" customWidth="1"/>
    <col min="9915" max="9915" width="9.7109375" style="125" customWidth="1"/>
    <col min="9916" max="9917" width="3.7109375" style="125" customWidth="1"/>
    <col min="9918" max="9918" width="9.7109375" style="125" customWidth="1"/>
    <col min="9919" max="9920" width="3.7109375" style="125" customWidth="1"/>
    <col min="9921" max="9921" width="9.7109375" style="125" customWidth="1"/>
    <col min="9922" max="9923" width="3.7109375" style="125" customWidth="1"/>
    <col min="9924" max="9924" width="9.7109375" style="125" customWidth="1"/>
    <col min="9925" max="9926" width="3.7109375" style="125" customWidth="1"/>
    <col min="9927" max="9927" width="9.7109375" style="125" customWidth="1"/>
    <col min="9928" max="9929" width="3.7109375" style="125" customWidth="1"/>
    <col min="9930" max="9930" width="9.7109375" style="125" customWidth="1"/>
    <col min="9931" max="9932" width="3.7109375" style="125" customWidth="1"/>
    <col min="9933" max="9933" width="9.7109375" style="125" customWidth="1"/>
    <col min="9934" max="9935" width="3.7109375" style="125" customWidth="1"/>
    <col min="9936" max="9936" width="9.7109375" style="125" customWidth="1"/>
    <col min="9937" max="9938" width="3.7109375" style="125" customWidth="1"/>
    <col min="9939" max="9939" width="9.7109375" style="125" customWidth="1"/>
    <col min="9940" max="9941" width="3.7109375" style="125" customWidth="1"/>
    <col min="9942" max="9942" width="9.7109375" style="125" customWidth="1"/>
    <col min="9943" max="9944" width="3.7109375" style="125" customWidth="1"/>
    <col min="9945" max="9945" width="9.7109375" style="125" customWidth="1"/>
    <col min="9946" max="9947" width="3.7109375" style="125" customWidth="1"/>
    <col min="9948" max="9948" width="9.7109375" style="125" customWidth="1"/>
    <col min="9949" max="9950" width="3.7109375" style="125" customWidth="1"/>
    <col min="9951" max="9951" width="9.7109375" style="125" customWidth="1"/>
    <col min="9952" max="9953" width="3.7109375" style="125" customWidth="1"/>
    <col min="9954" max="9954" width="9.7109375" style="125" customWidth="1"/>
    <col min="9955" max="9956" width="3.7109375" style="125" customWidth="1"/>
    <col min="9957" max="9957" width="9.7109375" style="125" customWidth="1"/>
    <col min="9958" max="9959" width="3.7109375" style="125" customWidth="1"/>
    <col min="9960" max="9960" width="9.7109375" style="125" customWidth="1"/>
    <col min="9961" max="9962" width="3.7109375" style="125" customWidth="1"/>
    <col min="9963" max="9963" width="9.7109375" style="125" customWidth="1"/>
    <col min="9964" max="9965" width="3.7109375" style="125" customWidth="1"/>
    <col min="9966" max="9966" width="9.7109375" style="125" customWidth="1"/>
    <col min="9967" max="9968" width="3.7109375" style="125" customWidth="1"/>
    <col min="9969" max="9969" width="9.7109375" style="125" customWidth="1"/>
    <col min="9970" max="9971" width="3.7109375" style="125" customWidth="1"/>
    <col min="9972" max="9972" width="9.7109375" style="125" customWidth="1"/>
    <col min="9973" max="9974" width="3.7109375" style="125" customWidth="1"/>
    <col min="9975" max="9975" width="9.7109375" style="125" customWidth="1"/>
    <col min="9976" max="9977" width="3.7109375" style="125" customWidth="1"/>
    <col min="9978" max="9978" width="9.7109375" style="125" customWidth="1"/>
    <col min="9979" max="9980" width="3.7109375" style="125" customWidth="1"/>
    <col min="9981" max="9981" width="9.7109375" style="125" customWidth="1"/>
    <col min="9982" max="9982" width="3.7109375" style="125" customWidth="1"/>
    <col min="9983" max="9984" width="8" style="125"/>
    <col min="9985" max="9985" width="30.7109375" style="125" customWidth="1"/>
    <col min="9986" max="9986" width="9.7109375" style="125" customWidth="1"/>
    <col min="9987" max="9987" width="3.7109375" style="125" customWidth="1"/>
    <col min="9988" max="9988" width="9.7109375" style="125" customWidth="1"/>
    <col min="9989" max="9990" width="3.7109375" style="125" customWidth="1"/>
    <col min="9991" max="9991" width="9.7109375" style="125" customWidth="1"/>
    <col min="9992" max="9993" width="3.7109375" style="125" customWidth="1"/>
    <col min="9994" max="9994" width="9.7109375" style="125" customWidth="1"/>
    <col min="9995" max="9996" width="3.7109375" style="125" customWidth="1"/>
    <col min="9997" max="9997" width="9.7109375" style="125" customWidth="1"/>
    <col min="9998" max="9999" width="3.7109375" style="125" customWidth="1"/>
    <col min="10000" max="10000" width="9.7109375" style="125" customWidth="1"/>
    <col min="10001" max="10002" width="3.7109375" style="125" customWidth="1"/>
    <col min="10003" max="10003" width="9.7109375" style="125" customWidth="1"/>
    <col min="10004" max="10005" width="3.7109375" style="125" customWidth="1"/>
    <col min="10006" max="10006" width="9.7109375" style="125" customWidth="1"/>
    <col min="10007" max="10008" width="3.7109375" style="125" customWidth="1"/>
    <col min="10009" max="10009" width="9.7109375" style="125" customWidth="1"/>
    <col min="10010" max="10011" width="3.7109375" style="125" customWidth="1"/>
    <col min="10012" max="10012" width="9.7109375" style="125" customWidth="1"/>
    <col min="10013" max="10014" width="3.7109375" style="125" customWidth="1"/>
    <col min="10015" max="10015" width="9.7109375" style="125" customWidth="1"/>
    <col min="10016" max="10017" width="3.7109375" style="125" customWidth="1"/>
    <col min="10018" max="10018" width="9.7109375" style="125" customWidth="1"/>
    <col min="10019" max="10020" width="3.7109375" style="125" customWidth="1"/>
    <col min="10021" max="10021" width="9.7109375" style="125" customWidth="1"/>
    <col min="10022" max="10023" width="3.7109375" style="125" customWidth="1"/>
    <col min="10024" max="10024" width="9.7109375" style="125" customWidth="1"/>
    <col min="10025" max="10026" width="3.7109375" style="125" customWidth="1"/>
    <col min="10027" max="10027" width="9.7109375" style="125" customWidth="1"/>
    <col min="10028" max="10029" width="3.7109375" style="125" customWidth="1"/>
    <col min="10030" max="10030" width="9.7109375" style="125" customWidth="1"/>
    <col min="10031" max="10032" width="3.7109375" style="125" customWidth="1"/>
    <col min="10033" max="10033" width="9.7109375" style="125" customWidth="1"/>
    <col min="10034" max="10035" width="3.7109375" style="125" customWidth="1"/>
    <col min="10036" max="10036" width="9.7109375" style="125" customWidth="1"/>
    <col min="10037" max="10038" width="3.7109375" style="125" customWidth="1"/>
    <col min="10039" max="10039" width="9.7109375" style="125" customWidth="1"/>
    <col min="10040" max="10041" width="3.7109375" style="125" customWidth="1"/>
    <col min="10042" max="10042" width="9.7109375" style="125" customWidth="1"/>
    <col min="10043" max="10044" width="3.7109375" style="125" customWidth="1"/>
    <col min="10045" max="10045" width="9.7109375" style="125" customWidth="1"/>
    <col min="10046" max="10047" width="3.7109375" style="125" customWidth="1"/>
    <col min="10048" max="10048" width="9.7109375" style="125" customWidth="1"/>
    <col min="10049" max="10050" width="3.7109375" style="125" customWidth="1"/>
    <col min="10051" max="10051" width="9.7109375" style="125" customWidth="1"/>
    <col min="10052" max="10053" width="3.7109375" style="125" customWidth="1"/>
    <col min="10054" max="10054" width="9.7109375" style="125" customWidth="1"/>
    <col min="10055" max="10056" width="3.7109375" style="125" customWidth="1"/>
    <col min="10057" max="10057" width="9.7109375" style="125" customWidth="1"/>
    <col min="10058" max="10059" width="3.7109375" style="125" customWidth="1"/>
    <col min="10060" max="10060" width="9.7109375" style="125" customWidth="1"/>
    <col min="10061" max="10062" width="3.7109375" style="125" customWidth="1"/>
    <col min="10063" max="10063" width="9.7109375" style="125" customWidth="1"/>
    <col min="10064" max="10065" width="3.7109375" style="125" customWidth="1"/>
    <col min="10066" max="10066" width="9.7109375" style="125" customWidth="1"/>
    <col min="10067" max="10068" width="3.7109375" style="125" customWidth="1"/>
    <col min="10069" max="10069" width="9.7109375" style="125" customWidth="1"/>
    <col min="10070" max="10071" width="3.7109375" style="125" customWidth="1"/>
    <col min="10072" max="10072" width="9.7109375" style="125" customWidth="1"/>
    <col min="10073" max="10074" width="3.7109375" style="125" customWidth="1"/>
    <col min="10075" max="10075" width="9.7109375" style="125" customWidth="1"/>
    <col min="10076" max="10077" width="3.7109375" style="125" customWidth="1"/>
    <col min="10078" max="10078" width="9.7109375" style="125" customWidth="1"/>
    <col min="10079" max="10080" width="3.7109375" style="125" customWidth="1"/>
    <col min="10081" max="10081" width="9.7109375" style="125" customWidth="1"/>
    <col min="10082" max="10083" width="3.7109375" style="125" customWidth="1"/>
    <col min="10084" max="10084" width="9.7109375" style="125" customWidth="1"/>
    <col min="10085" max="10086" width="3.7109375" style="125" customWidth="1"/>
    <col min="10087" max="10087" width="9.7109375" style="125" customWidth="1"/>
    <col min="10088" max="10089" width="3.7109375" style="125" customWidth="1"/>
    <col min="10090" max="10090" width="9.7109375" style="125" customWidth="1"/>
    <col min="10091" max="10092" width="3.7109375" style="125" customWidth="1"/>
    <col min="10093" max="10093" width="9.7109375" style="125" customWidth="1"/>
    <col min="10094" max="10095" width="3.7109375" style="125" customWidth="1"/>
    <col min="10096" max="10096" width="9.7109375" style="125" customWidth="1"/>
    <col min="10097" max="10098" width="3.7109375" style="125" customWidth="1"/>
    <col min="10099" max="10099" width="9.7109375" style="125" customWidth="1"/>
    <col min="10100" max="10101" width="3.7109375" style="125" customWidth="1"/>
    <col min="10102" max="10102" width="9.7109375" style="125" customWidth="1"/>
    <col min="10103" max="10104" width="3.7109375" style="125" customWidth="1"/>
    <col min="10105" max="10105" width="9.7109375" style="125" customWidth="1"/>
    <col min="10106" max="10107" width="3.7109375" style="125" customWidth="1"/>
    <col min="10108" max="10108" width="9.7109375" style="125" customWidth="1"/>
    <col min="10109" max="10110" width="3.7109375" style="125" customWidth="1"/>
    <col min="10111" max="10111" width="9.7109375" style="125" customWidth="1"/>
    <col min="10112" max="10113" width="3.7109375" style="125" customWidth="1"/>
    <col min="10114" max="10114" width="9.7109375" style="125" customWidth="1"/>
    <col min="10115" max="10116" width="3.7109375" style="125" customWidth="1"/>
    <col min="10117" max="10117" width="9.7109375" style="125" customWidth="1"/>
    <col min="10118" max="10119" width="3.7109375" style="125" customWidth="1"/>
    <col min="10120" max="10120" width="9.7109375" style="125" customWidth="1"/>
    <col min="10121" max="10122" width="3.7109375" style="125" customWidth="1"/>
    <col min="10123" max="10123" width="9.7109375" style="125" customWidth="1"/>
    <col min="10124" max="10125" width="3.7109375" style="125" customWidth="1"/>
    <col min="10126" max="10126" width="9.7109375" style="125" customWidth="1"/>
    <col min="10127" max="10128" width="3.7109375" style="125" customWidth="1"/>
    <col min="10129" max="10129" width="9.7109375" style="125" customWidth="1"/>
    <col min="10130" max="10130" width="3.7109375" style="125" customWidth="1"/>
    <col min="10131" max="10131" width="5.7109375" style="125" bestFit="1" customWidth="1"/>
    <col min="10132" max="10132" width="9.7109375" style="125" customWidth="1"/>
    <col min="10133" max="10134" width="3.7109375" style="125" customWidth="1"/>
    <col min="10135" max="10135" width="9.7109375" style="125" customWidth="1"/>
    <col min="10136" max="10137" width="3.7109375" style="125" customWidth="1"/>
    <col min="10138" max="10138" width="9.7109375" style="125" customWidth="1"/>
    <col min="10139" max="10140" width="3.7109375" style="125" customWidth="1"/>
    <col min="10141" max="10141" width="9.7109375" style="125" customWidth="1"/>
    <col min="10142" max="10143" width="3.7109375" style="125" customWidth="1"/>
    <col min="10144" max="10144" width="9.7109375" style="125" customWidth="1"/>
    <col min="10145" max="10146" width="3.7109375" style="125" customWidth="1"/>
    <col min="10147" max="10147" width="9.7109375" style="125" customWidth="1"/>
    <col min="10148" max="10148" width="3.7109375" style="125" customWidth="1"/>
    <col min="10149" max="10149" width="5.7109375" style="125" bestFit="1" customWidth="1"/>
    <col min="10150" max="10150" width="9.7109375" style="125" customWidth="1"/>
    <col min="10151" max="10152" width="3.7109375" style="125" customWidth="1"/>
    <col min="10153" max="10153" width="9.7109375" style="125" customWidth="1"/>
    <col min="10154" max="10155" width="3.7109375" style="125" customWidth="1"/>
    <col min="10156" max="10156" width="9.7109375" style="125" customWidth="1"/>
    <col min="10157" max="10158" width="3.7109375" style="125" customWidth="1"/>
    <col min="10159" max="10159" width="9.7109375" style="125" customWidth="1"/>
    <col min="10160" max="10161" width="3.7109375" style="125" customWidth="1"/>
    <col min="10162" max="10162" width="9.7109375" style="125" customWidth="1"/>
    <col min="10163" max="10164" width="3.7109375" style="125" customWidth="1"/>
    <col min="10165" max="10165" width="9.7109375" style="125" customWidth="1"/>
    <col min="10166" max="10167" width="3.7109375" style="125" customWidth="1"/>
    <col min="10168" max="10168" width="9.7109375" style="125" customWidth="1"/>
    <col min="10169" max="10170" width="3.7109375" style="125" customWidth="1"/>
    <col min="10171" max="10171" width="9.7109375" style="125" customWidth="1"/>
    <col min="10172" max="10173" width="3.7109375" style="125" customWidth="1"/>
    <col min="10174" max="10174" width="9.7109375" style="125" customWidth="1"/>
    <col min="10175" max="10176" width="3.7109375" style="125" customWidth="1"/>
    <col min="10177" max="10177" width="9.7109375" style="125" customWidth="1"/>
    <col min="10178" max="10179" width="3.7109375" style="125" customWidth="1"/>
    <col min="10180" max="10180" width="9.7109375" style="125" customWidth="1"/>
    <col min="10181" max="10182" width="3.7109375" style="125" customWidth="1"/>
    <col min="10183" max="10183" width="9.7109375" style="125" customWidth="1"/>
    <col min="10184" max="10185" width="3.7109375" style="125" customWidth="1"/>
    <col min="10186" max="10186" width="9.7109375" style="125" customWidth="1"/>
    <col min="10187" max="10188" width="3.7109375" style="125" customWidth="1"/>
    <col min="10189" max="10189" width="9.7109375" style="125" customWidth="1"/>
    <col min="10190" max="10191" width="3.7109375" style="125" customWidth="1"/>
    <col min="10192" max="10192" width="9.7109375" style="125" customWidth="1"/>
    <col min="10193" max="10194" width="3.7109375" style="125" customWidth="1"/>
    <col min="10195" max="10195" width="9.7109375" style="125" customWidth="1"/>
    <col min="10196" max="10197" width="3.7109375" style="125" customWidth="1"/>
    <col min="10198" max="10198" width="9.7109375" style="125" customWidth="1"/>
    <col min="10199" max="10200" width="3.7109375" style="125" customWidth="1"/>
    <col min="10201" max="10201" width="9.7109375" style="125" customWidth="1"/>
    <col min="10202" max="10203" width="3.7109375" style="125" customWidth="1"/>
    <col min="10204" max="10204" width="9.7109375" style="125" customWidth="1"/>
    <col min="10205" max="10206" width="3.7109375" style="125" customWidth="1"/>
    <col min="10207" max="10207" width="9.7109375" style="125" customWidth="1"/>
    <col min="10208" max="10209" width="3.7109375" style="125" customWidth="1"/>
    <col min="10210" max="10210" width="9.7109375" style="125" customWidth="1"/>
    <col min="10211" max="10212" width="3.7109375" style="125" customWidth="1"/>
    <col min="10213" max="10213" width="9.7109375" style="125" customWidth="1"/>
    <col min="10214" max="10215" width="3.7109375" style="125" customWidth="1"/>
    <col min="10216" max="10216" width="9.7109375" style="125" customWidth="1"/>
    <col min="10217" max="10218" width="3.7109375" style="125" customWidth="1"/>
    <col min="10219" max="10219" width="9.7109375" style="125" customWidth="1"/>
    <col min="10220" max="10221" width="3.7109375" style="125" customWidth="1"/>
    <col min="10222" max="10222" width="9.7109375" style="125" customWidth="1"/>
    <col min="10223" max="10224" width="3.7109375" style="125" customWidth="1"/>
    <col min="10225" max="10225" width="9.7109375" style="125" customWidth="1"/>
    <col min="10226" max="10227" width="3.7109375" style="125" customWidth="1"/>
    <col min="10228" max="10228" width="9.7109375" style="125" customWidth="1"/>
    <col min="10229" max="10230" width="3.7109375" style="125" customWidth="1"/>
    <col min="10231" max="10231" width="9.7109375" style="125" customWidth="1"/>
    <col min="10232" max="10233" width="3.7109375" style="125" customWidth="1"/>
    <col min="10234" max="10234" width="9.7109375" style="125" customWidth="1"/>
    <col min="10235" max="10236" width="3.7109375" style="125" customWidth="1"/>
    <col min="10237" max="10237" width="9.7109375" style="125" customWidth="1"/>
    <col min="10238" max="10238" width="3.7109375" style="125" customWidth="1"/>
    <col min="10239" max="10240" width="8" style="125"/>
    <col min="10241" max="10241" width="30.7109375" style="125" customWidth="1"/>
    <col min="10242" max="10242" width="9.7109375" style="125" customWidth="1"/>
    <col min="10243" max="10243" width="3.7109375" style="125" customWidth="1"/>
    <col min="10244" max="10244" width="9.7109375" style="125" customWidth="1"/>
    <col min="10245" max="10246" width="3.7109375" style="125" customWidth="1"/>
    <col min="10247" max="10247" width="9.7109375" style="125" customWidth="1"/>
    <col min="10248" max="10249" width="3.7109375" style="125" customWidth="1"/>
    <col min="10250" max="10250" width="9.7109375" style="125" customWidth="1"/>
    <col min="10251" max="10252" width="3.7109375" style="125" customWidth="1"/>
    <col min="10253" max="10253" width="9.7109375" style="125" customWidth="1"/>
    <col min="10254" max="10255" width="3.7109375" style="125" customWidth="1"/>
    <col min="10256" max="10256" width="9.7109375" style="125" customWidth="1"/>
    <col min="10257" max="10258" width="3.7109375" style="125" customWidth="1"/>
    <col min="10259" max="10259" width="9.7109375" style="125" customWidth="1"/>
    <col min="10260" max="10261" width="3.7109375" style="125" customWidth="1"/>
    <col min="10262" max="10262" width="9.7109375" style="125" customWidth="1"/>
    <col min="10263" max="10264" width="3.7109375" style="125" customWidth="1"/>
    <col min="10265" max="10265" width="9.7109375" style="125" customWidth="1"/>
    <col min="10266" max="10267" width="3.7109375" style="125" customWidth="1"/>
    <col min="10268" max="10268" width="9.7109375" style="125" customWidth="1"/>
    <col min="10269" max="10270" width="3.7109375" style="125" customWidth="1"/>
    <col min="10271" max="10271" width="9.7109375" style="125" customWidth="1"/>
    <col min="10272" max="10273" width="3.7109375" style="125" customWidth="1"/>
    <col min="10274" max="10274" width="9.7109375" style="125" customWidth="1"/>
    <col min="10275" max="10276" width="3.7109375" style="125" customWidth="1"/>
    <col min="10277" max="10277" width="9.7109375" style="125" customWidth="1"/>
    <col min="10278" max="10279" width="3.7109375" style="125" customWidth="1"/>
    <col min="10280" max="10280" width="9.7109375" style="125" customWidth="1"/>
    <col min="10281" max="10282" width="3.7109375" style="125" customWidth="1"/>
    <col min="10283" max="10283" width="9.7109375" style="125" customWidth="1"/>
    <col min="10284" max="10285" width="3.7109375" style="125" customWidth="1"/>
    <col min="10286" max="10286" width="9.7109375" style="125" customWidth="1"/>
    <col min="10287" max="10288" width="3.7109375" style="125" customWidth="1"/>
    <col min="10289" max="10289" width="9.7109375" style="125" customWidth="1"/>
    <col min="10290" max="10291" width="3.7109375" style="125" customWidth="1"/>
    <col min="10292" max="10292" width="9.7109375" style="125" customWidth="1"/>
    <col min="10293" max="10294" width="3.7109375" style="125" customWidth="1"/>
    <col min="10295" max="10295" width="9.7109375" style="125" customWidth="1"/>
    <col min="10296" max="10297" width="3.7109375" style="125" customWidth="1"/>
    <col min="10298" max="10298" width="9.7109375" style="125" customWidth="1"/>
    <col min="10299" max="10300" width="3.7109375" style="125" customWidth="1"/>
    <col min="10301" max="10301" width="9.7109375" style="125" customWidth="1"/>
    <col min="10302" max="10303" width="3.7109375" style="125" customWidth="1"/>
    <col min="10304" max="10304" width="9.7109375" style="125" customWidth="1"/>
    <col min="10305" max="10306" width="3.7109375" style="125" customWidth="1"/>
    <col min="10307" max="10307" width="9.7109375" style="125" customWidth="1"/>
    <col min="10308" max="10309" width="3.7109375" style="125" customWidth="1"/>
    <col min="10310" max="10310" width="9.7109375" style="125" customWidth="1"/>
    <col min="10311" max="10312" width="3.7109375" style="125" customWidth="1"/>
    <col min="10313" max="10313" width="9.7109375" style="125" customWidth="1"/>
    <col min="10314" max="10315" width="3.7109375" style="125" customWidth="1"/>
    <col min="10316" max="10316" width="9.7109375" style="125" customWidth="1"/>
    <col min="10317" max="10318" width="3.7109375" style="125" customWidth="1"/>
    <col min="10319" max="10319" width="9.7109375" style="125" customWidth="1"/>
    <col min="10320" max="10321" width="3.7109375" style="125" customWidth="1"/>
    <col min="10322" max="10322" width="9.7109375" style="125" customWidth="1"/>
    <col min="10323" max="10324" width="3.7109375" style="125" customWidth="1"/>
    <col min="10325" max="10325" width="9.7109375" style="125" customWidth="1"/>
    <col min="10326" max="10327" width="3.7109375" style="125" customWidth="1"/>
    <col min="10328" max="10328" width="9.7109375" style="125" customWidth="1"/>
    <col min="10329" max="10330" width="3.7109375" style="125" customWidth="1"/>
    <col min="10331" max="10331" width="9.7109375" style="125" customWidth="1"/>
    <col min="10332" max="10333" width="3.7109375" style="125" customWidth="1"/>
    <col min="10334" max="10334" width="9.7109375" style="125" customWidth="1"/>
    <col min="10335" max="10336" width="3.7109375" style="125" customWidth="1"/>
    <col min="10337" max="10337" width="9.7109375" style="125" customWidth="1"/>
    <col min="10338" max="10339" width="3.7109375" style="125" customWidth="1"/>
    <col min="10340" max="10340" width="9.7109375" style="125" customWidth="1"/>
    <col min="10341" max="10342" width="3.7109375" style="125" customWidth="1"/>
    <col min="10343" max="10343" width="9.7109375" style="125" customWidth="1"/>
    <col min="10344" max="10345" width="3.7109375" style="125" customWidth="1"/>
    <col min="10346" max="10346" width="9.7109375" style="125" customWidth="1"/>
    <col min="10347" max="10348" width="3.7109375" style="125" customWidth="1"/>
    <col min="10349" max="10349" width="9.7109375" style="125" customWidth="1"/>
    <col min="10350" max="10351" width="3.7109375" style="125" customWidth="1"/>
    <col min="10352" max="10352" width="9.7109375" style="125" customWidth="1"/>
    <col min="10353" max="10354" width="3.7109375" style="125" customWidth="1"/>
    <col min="10355" max="10355" width="9.7109375" style="125" customWidth="1"/>
    <col min="10356" max="10357" width="3.7109375" style="125" customWidth="1"/>
    <col min="10358" max="10358" width="9.7109375" style="125" customWidth="1"/>
    <col min="10359" max="10360" width="3.7109375" style="125" customWidth="1"/>
    <col min="10361" max="10361" width="9.7109375" style="125" customWidth="1"/>
    <col min="10362" max="10363" width="3.7109375" style="125" customWidth="1"/>
    <col min="10364" max="10364" width="9.7109375" style="125" customWidth="1"/>
    <col min="10365" max="10366" width="3.7109375" style="125" customWidth="1"/>
    <col min="10367" max="10367" width="9.7109375" style="125" customWidth="1"/>
    <col min="10368" max="10369" width="3.7109375" style="125" customWidth="1"/>
    <col min="10370" max="10370" width="9.7109375" style="125" customWidth="1"/>
    <col min="10371" max="10372" width="3.7109375" style="125" customWidth="1"/>
    <col min="10373" max="10373" width="9.7109375" style="125" customWidth="1"/>
    <col min="10374" max="10375" width="3.7109375" style="125" customWidth="1"/>
    <col min="10376" max="10376" width="9.7109375" style="125" customWidth="1"/>
    <col min="10377" max="10378" width="3.7109375" style="125" customWidth="1"/>
    <col min="10379" max="10379" width="9.7109375" style="125" customWidth="1"/>
    <col min="10380" max="10381" width="3.7109375" style="125" customWidth="1"/>
    <col min="10382" max="10382" width="9.7109375" style="125" customWidth="1"/>
    <col min="10383" max="10384" width="3.7109375" style="125" customWidth="1"/>
    <col min="10385" max="10385" width="9.7109375" style="125" customWidth="1"/>
    <col min="10386" max="10386" width="3.7109375" style="125" customWidth="1"/>
    <col min="10387" max="10387" width="5.7109375" style="125" bestFit="1" customWidth="1"/>
    <col min="10388" max="10388" width="9.7109375" style="125" customWidth="1"/>
    <col min="10389" max="10390" width="3.7109375" style="125" customWidth="1"/>
    <col min="10391" max="10391" width="9.7109375" style="125" customWidth="1"/>
    <col min="10392" max="10393" width="3.7109375" style="125" customWidth="1"/>
    <col min="10394" max="10394" width="9.7109375" style="125" customWidth="1"/>
    <col min="10395" max="10396" width="3.7109375" style="125" customWidth="1"/>
    <col min="10397" max="10397" width="9.7109375" style="125" customWidth="1"/>
    <col min="10398" max="10399" width="3.7109375" style="125" customWidth="1"/>
    <col min="10400" max="10400" width="9.7109375" style="125" customWidth="1"/>
    <col min="10401" max="10402" width="3.7109375" style="125" customWidth="1"/>
    <col min="10403" max="10403" width="9.7109375" style="125" customWidth="1"/>
    <col min="10404" max="10404" width="3.7109375" style="125" customWidth="1"/>
    <col min="10405" max="10405" width="5.7109375" style="125" bestFit="1" customWidth="1"/>
    <col min="10406" max="10406" width="9.7109375" style="125" customWidth="1"/>
    <col min="10407" max="10408" width="3.7109375" style="125" customWidth="1"/>
    <col min="10409" max="10409" width="9.7109375" style="125" customWidth="1"/>
    <col min="10410" max="10411" width="3.7109375" style="125" customWidth="1"/>
    <col min="10412" max="10412" width="9.7109375" style="125" customWidth="1"/>
    <col min="10413" max="10414" width="3.7109375" style="125" customWidth="1"/>
    <col min="10415" max="10415" width="9.7109375" style="125" customWidth="1"/>
    <col min="10416" max="10417" width="3.7109375" style="125" customWidth="1"/>
    <col min="10418" max="10418" width="9.7109375" style="125" customWidth="1"/>
    <col min="10419" max="10420" width="3.7109375" style="125" customWidth="1"/>
    <col min="10421" max="10421" width="9.7109375" style="125" customWidth="1"/>
    <col min="10422" max="10423" width="3.7109375" style="125" customWidth="1"/>
    <col min="10424" max="10424" width="9.7109375" style="125" customWidth="1"/>
    <col min="10425" max="10426" width="3.7109375" style="125" customWidth="1"/>
    <col min="10427" max="10427" width="9.7109375" style="125" customWidth="1"/>
    <col min="10428" max="10429" width="3.7109375" style="125" customWidth="1"/>
    <col min="10430" max="10430" width="9.7109375" style="125" customWidth="1"/>
    <col min="10431" max="10432" width="3.7109375" style="125" customWidth="1"/>
    <col min="10433" max="10433" width="9.7109375" style="125" customWidth="1"/>
    <col min="10434" max="10435" width="3.7109375" style="125" customWidth="1"/>
    <col min="10436" max="10436" width="9.7109375" style="125" customWidth="1"/>
    <col min="10437" max="10438" width="3.7109375" style="125" customWidth="1"/>
    <col min="10439" max="10439" width="9.7109375" style="125" customWidth="1"/>
    <col min="10440" max="10441" width="3.7109375" style="125" customWidth="1"/>
    <col min="10442" max="10442" width="9.7109375" style="125" customWidth="1"/>
    <col min="10443" max="10444" width="3.7109375" style="125" customWidth="1"/>
    <col min="10445" max="10445" width="9.7109375" style="125" customWidth="1"/>
    <col min="10446" max="10447" width="3.7109375" style="125" customWidth="1"/>
    <col min="10448" max="10448" width="9.7109375" style="125" customWidth="1"/>
    <col min="10449" max="10450" width="3.7109375" style="125" customWidth="1"/>
    <col min="10451" max="10451" width="9.7109375" style="125" customWidth="1"/>
    <col min="10452" max="10453" width="3.7109375" style="125" customWidth="1"/>
    <col min="10454" max="10454" width="9.7109375" style="125" customWidth="1"/>
    <col min="10455" max="10456" width="3.7109375" style="125" customWidth="1"/>
    <col min="10457" max="10457" width="9.7109375" style="125" customWidth="1"/>
    <col min="10458" max="10459" width="3.7109375" style="125" customWidth="1"/>
    <col min="10460" max="10460" width="9.7109375" style="125" customWidth="1"/>
    <col min="10461" max="10462" width="3.7109375" style="125" customWidth="1"/>
    <col min="10463" max="10463" width="9.7109375" style="125" customWidth="1"/>
    <col min="10464" max="10465" width="3.7109375" style="125" customWidth="1"/>
    <col min="10466" max="10466" width="9.7109375" style="125" customWidth="1"/>
    <col min="10467" max="10468" width="3.7109375" style="125" customWidth="1"/>
    <col min="10469" max="10469" width="9.7109375" style="125" customWidth="1"/>
    <col min="10470" max="10471" width="3.7109375" style="125" customWidth="1"/>
    <col min="10472" max="10472" width="9.7109375" style="125" customWidth="1"/>
    <col min="10473" max="10474" width="3.7109375" style="125" customWidth="1"/>
    <col min="10475" max="10475" width="9.7109375" style="125" customWidth="1"/>
    <col min="10476" max="10477" width="3.7109375" style="125" customWidth="1"/>
    <col min="10478" max="10478" width="9.7109375" style="125" customWidth="1"/>
    <col min="10479" max="10480" width="3.7109375" style="125" customWidth="1"/>
    <col min="10481" max="10481" width="9.7109375" style="125" customWidth="1"/>
    <col min="10482" max="10483" width="3.7109375" style="125" customWidth="1"/>
    <col min="10484" max="10484" width="9.7109375" style="125" customWidth="1"/>
    <col min="10485" max="10486" width="3.7109375" style="125" customWidth="1"/>
    <col min="10487" max="10487" width="9.7109375" style="125" customWidth="1"/>
    <col min="10488" max="10489" width="3.7109375" style="125" customWidth="1"/>
    <col min="10490" max="10490" width="9.7109375" style="125" customWidth="1"/>
    <col min="10491" max="10492" width="3.7109375" style="125" customWidth="1"/>
    <col min="10493" max="10493" width="9.7109375" style="125" customWidth="1"/>
    <col min="10494" max="10494" width="3.7109375" style="125" customWidth="1"/>
    <col min="10495" max="10496" width="8" style="125"/>
    <col min="10497" max="10497" width="30.7109375" style="125" customWidth="1"/>
    <col min="10498" max="10498" width="9.7109375" style="125" customWidth="1"/>
    <col min="10499" max="10499" width="3.7109375" style="125" customWidth="1"/>
    <col min="10500" max="10500" width="9.7109375" style="125" customWidth="1"/>
    <col min="10501" max="10502" width="3.7109375" style="125" customWidth="1"/>
    <col min="10503" max="10503" width="9.7109375" style="125" customWidth="1"/>
    <col min="10504" max="10505" width="3.7109375" style="125" customWidth="1"/>
    <col min="10506" max="10506" width="9.7109375" style="125" customWidth="1"/>
    <col min="10507" max="10508" width="3.7109375" style="125" customWidth="1"/>
    <col min="10509" max="10509" width="9.7109375" style="125" customWidth="1"/>
    <col min="10510" max="10511" width="3.7109375" style="125" customWidth="1"/>
    <col min="10512" max="10512" width="9.7109375" style="125" customWidth="1"/>
    <col min="10513" max="10514" width="3.7109375" style="125" customWidth="1"/>
    <col min="10515" max="10515" width="9.7109375" style="125" customWidth="1"/>
    <col min="10516" max="10517" width="3.7109375" style="125" customWidth="1"/>
    <col min="10518" max="10518" width="9.7109375" style="125" customWidth="1"/>
    <col min="10519" max="10520" width="3.7109375" style="125" customWidth="1"/>
    <col min="10521" max="10521" width="9.7109375" style="125" customWidth="1"/>
    <col min="10522" max="10523" width="3.7109375" style="125" customWidth="1"/>
    <col min="10524" max="10524" width="9.7109375" style="125" customWidth="1"/>
    <col min="10525" max="10526" width="3.7109375" style="125" customWidth="1"/>
    <col min="10527" max="10527" width="9.7109375" style="125" customWidth="1"/>
    <col min="10528" max="10529" width="3.7109375" style="125" customWidth="1"/>
    <col min="10530" max="10530" width="9.7109375" style="125" customWidth="1"/>
    <col min="10531" max="10532" width="3.7109375" style="125" customWidth="1"/>
    <col min="10533" max="10533" width="9.7109375" style="125" customWidth="1"/>
    <col min="10534" max="10535" width="3.7109375" style="125" customWidth="1"/>
    <col min="10536" max="10536" width="9.7109375" style="125" customWidth="1"/>
    <col min="10537" max="10538" width="3.7109375" style="125" customWidth="1"/>
    <col min="10539" max="10539" width="9.7109375" style="125" customWidth="1"/>
    <col min="10540" max="10541" width="3.7109375" style="125" customWidth="1"/>
    <col min="10542" max="10542" width="9.7109375" style="125" customWidth="1"/>
    <col min="10543" max="10544" width="3.7109375" style="125" customWidth="1"/>
    <col min="10545" max="10545" width="9.7109375" style="125" customWidth="1"/>
    <col min="10546" max="10547" width="3.7109375" style="125" customWidth="1"/>
    <col min="10548" max="10548" width="9.7109375" style="125" customWidth="1"/>
    <col min="10549" max="10550" width="3.7109375" style="125" customWidth="1"/>
    <col min="10551" max="10551" width="9.7109375" style="125" customWidth="1"/>
    <col min="10552" max="10553" width="3.7109375" style="125" customWidth="1"/>
    <col min="10554" max="10554" width="9.7109375" style="125" customWidth="1"/>
    <col min="10555" max="10556" width="3.7109375" style="125" customWidth="1"/>
    <col min="10557" max="10557" width="9.7109375" style="125" customWidth="1"/>
    <col min="10558" max="10559" width="3.7109375" style="125" customWidth="1"/>
    <col min="10560" max="10560" width="9.7109375" style="125" customWidth="1"/>
    <col min="10561" max="10562" width="3.7109375" style="125" customWidth="1"/>
    <col min="10563" max="10563" width="9.7109375" style="125" customWidth="1"/>
    <col min="10564" max="10565" width="3.7109375" style="125" customWidth="1"/>
    <col min="10566" max="10566" width="9.7109375" style="125" customWidth="1"/>
    <col min="10567" max="10568" width="3.7109375" style="125" customWidth="1"/>
    <col min="10569" max="10569" width="9.7109375" style="125" customWidth="1"/>
    <col min="10570" max="10571" width="3.7109375" style="125" customWidth="1"/>
    <col min="10572" max="10572" width="9.7109375" style="125" customWidth="1"/>
    <col min="10573" max="10574" width="3.7109375" style="125" customWidth="1"/>
    <col min="10575" max="10575" width="9.7109375" style="125" customWidth="1"/>
    <col min="10576" max="10577" width="3.7109375" style="125" customWidth="1"/>
    <col min="10578" max="10578" width="9.7109375" style="125" customWidth="1"/>
    <col min="10579" max="10580" width="3.7109375" style="125" customWidth="1"/>
    <col min="10581" max="10581" width="9.7109375" style="125" customWidth="1"/>
    <col min="10582" max="10583" width="3.7109375" style="125" customWidth="1"/>
    <col min="10584" max="10584" width="9.7109375" style="125" customWidth="1"/>
    <col min="10585" max="10586" width="3.7109375" style="125" customWidth="1"/>
    <col min="10587" max="10587" width="9.7109375" style="125" customWidth="1"/>
    <col min="10588" max="10589" width="3.7109375" style="125" customWidth="1"/>
    <col min="10590" max="10590" width="9.7109375" style="125" customWidth="1"/>
    <col min="10591" max="10592" width="3.7109375" style="125" customWidth="1"/>
    <col min="10593" max="10593" width="9.7109375" style="125" customWidth="1"/>
    <col min="10594" max="10595" width="3.7109375" style="125" customWidth="1"/>
    <col min="10596" max="10596" width="9.7109375" style="125" customWidth="1"/>
    <col min="10597" max="10598" width="3.7109375" style="125" customWidth="1"/>
    <col min="10599" max="10599" width="9.7109375" style="125" customWidth="1"/>
    <col min="10600" max="10601" width="3.7109375" style="125" customWidth="1"/>
    <col min="10602" max="10602" width="9.7109375" style="125" customWidth="1"/>
    <col min="10603" max="10604" width="3.7109375" style="125" customWidth="1"/>
    <col min="10605" max="10605" width="9.7109375" style="125" customWidth="1"/>
    <col min="10606" max="10607" width="3.7109375" style="125" customWidth="1"/>
    <col min="10608" max="10608" width="9.7109375" style="125" customWidth="1"/>
    <col min="10609" max="10610" width="3.7109375" style="125" customWidth="1"/>
    <col min="10611" max="10611" width="9.7109375" style="125" customWidth="1"/>
    <col min="10612" max="10613" width="3.7109375" style="125" customWidth="1"/>
    <col min="10614" max="10614" width="9.7109375" style="125" customWidth="1"/>
    <col min="10615" max="10616" width="3.7109375" style="125" customWidth="1"/>
    <col min="10617" max="10617" width="9.7109375" style="125" customWidth="1"/>
    <col min="10618" max="10619" width="3.7109375" style="125" customWidth="1"/>
    <col min="10620" max="10620" width="9.7109375" style="125" customWidth="1"/>
    <col min="10621" max="10622" width="3.7109375" style="125" customWidth="1"/>
    <col min="10623" max="10623" width="9.7109375" style="125" customWidth="1"/>
    <col min="10624" max="10625" width="3.7109375" style="125" customWidth="1"/>
    <col min="10626" max="10626" width="9.7109375" style="125" customWidth="1"/>
    <col min="10627" max="10628" width="3.7109375" style="125" customWidth="1"/>
    <col min="10629" max="10629" width="9.7109375" style="125" customWidth="1"/>
    <col min="10630" max="10631" width="3.7109375" style="125" customWidth="1"/>
    <col min="10632" max="10632" width="9.7109375" style="125" customWidth="1"/>
    <col min="10633" max="10634" width="3.7109375" style="125" customWidth="1"/>
    <col min="10635" max="10635" width="9.7109375" style="125" customWidth="1"/>
    <col min="10636" max="10637" width="3.7109375" style="125" customWidth="1"/>
    <col min="10638" max="10638" width="9.7109375" style="125" customWidth="1"/>
    <col min="10639" max="10640" width="3.7109375" style="125" customWidth="1"/>
    <col min="10641" max="10641" width="9.7109375" style="125" customWidth="1"/>
    <col min="10642" max="10642" width="3.7109375" style="125" customWidth="1"/>
    <col min="10643" max="10643" width="5.7109375" style="125" bestFit="1" customWidth="1"/>
    <col min="10644" max="10644" width="9.7109375" style="125" customWidth="1"/>
    <col min="10645" max="10646" width="3.7109375" style="125" customWidth="1"/>
    <col min="10647" max="10647" width="9.7109375" style="125" customWidth="1"/>
    <col min="10648" max="10649" width="3.7109375" style="125" customWidth="1"/>
    <col min="10650" max="10650" width="9.7109375" style="125" customWidth="1"/>
    <col min="10651" max="10652" width="3.7109375" style="125" customWidth="1"/>
    <col min="10653" max="10653" width="9.7109375" style="125" customWidth="1"/>
    <col min="10654" max="10655" width="3.7109375" style="125" customWidth="1"/>
    <col min="10656" max="10656" width="9.7109375" style="125" customWidth="1"/>
    <col min="10657" max="10658" width="3.7109375" style="125" customWidth="1"/>
    <col min="10659" max="10659" width="9.7109375" style="125" customWidth="1"/>
    <col min="10660" max="10660" width="3.7109375" style="125" customWidth="1"/>
    <col min="10661" max="10661" width="5.7109375" style="125" bestFit="1" customWidth="1"/>
    <col min="10662" max="10662" width="9.7109375" style="125" customWidth="1"/>
    <col min="10663" max="10664" width="3.7109375" style="125" customWidth="1"/>
    <col min="10665" max="10665" width="9.7109375" style="125" customWidth="1"/>
    <col min="10666" max="10667" width="3.7109375" style="125" customWidth="1"/>
    <col min="10668" max="10668" width="9.7109375" style="125" customWidth="1"/>
    <col min="10669" max="10670" width="3.7109375" style="125" customWidth="1"/>
    <col min="10671" max="10671" width="9.7109375" style="125" customWidth="1"/>
    <col min="10672" max="10673" width="3.7109375" style="125" customWidth="1"/>
    <col min="10674" max="10674" width="9.7109375" style="125" customWidth="1"/>
    <col min="10675" max="10676" width="3.7109375" style="125" customWidth="1"/>
    <col min="10677" max="10677" width="9.7109375" style="125" customWidth="1"/>
    <col min="10678" max="10679" width="3.7109375" style="125" customWidth="1"/>
    <col min="10680" max="10680" width="9.7109375" style="125" customWidth="1"/>
    <col min="10681" max="10682" width="3.7109375" style="125" customWidth="1"/>
    <col min="10683" max="10683" width="9.7109375" style="125" customWidth="1"/>
    <col min="10684" max="10685" width="3.7109375" style="125" customWidth="1"/>
    <col min="10686" max="10686" width="9.7109375" style="125" customWidth="1"/>
    <col min="10687" max="10688" width="3.7109375" style="125" customWidth="1"/>
    <col min="10689" max="10689" width="9.7109375" style="125" customWidth="1"/>
    <col min="10690" max="10691" width="3.7109375" style="125" customWidth="1"/>
    <col min="10692" max="10692" width="9.7109375" style="125" customWidth="1"/>
    <col min="10693" max="10694" width="3.7109375" style="125" customWidth="1"/>
    <col min="10695" max="10695" width="9.7109375" style="125" customWidth="1"/>
    <col min="10696" max="10697" width="3.7109375" style="125" customWidth="1"/>
    <col min="10698" max="10698" width="9.7109375" style="125" customWidth="1"/>
    <col min="10699" max="10700" width="3.7109375" style="125" customWidth="1"/>
    <col min="10701" max="10701" width="9.7109375" style="125" customWidth="1"/>
    <col min="10702" max="10703" width="3.7109375" style="125" customWidth="1"/>
    <col min="10704" max="10704" width="9.7109375" style="125" customWidth="1"/>
    <col min="10705" max="10706" width="3.7109375" style="125" customWidth="1"/>
    <col min="10707" max="10707" width="9.7109375" style="125" customWidth="1"/>
    <col min="10708" max="10709" width="3.7109375" style="125" customWidth="1"/>
    <col min="10710" max="10710" width="9.7109375" style="125" customWidth="1"/>
    <col min="10711" max="10712" width="3.7109375" style="125" customWidth="1"/>
    <col min="10713" max="10713" width="9.7109375" style="125" customWidth="1"/>
    <col min="10714" max="10715" width="3.7109375" style="125" customWidth="1"/>
    <col min="10716" max="10716" width="9.7109375" style="125" customWidth="1"/>
    <col min="10717" max="10718" width="3.7109375" style="125" customWidth="1"/>
    <col min="10719" max="10719" width="9.7109375" style="125" customWidth="1"/>
    <col min="10720" max="10721" width="3.7109375" style="125" customWidth="1"/>
    <col min="10722" max="10722" width="9.7109375" style="125" customWidth="1"/>
    <col min="10723" max="10724" width="3.7109375" style="125" customWidth="1"/>
    <col min="10725" max="10725" width="9.7109375" style="125" customWidth="1"/>
    <col min="10726" max="10727" width="3.7109375" style="125" customWidth="1"/>
    <col min="10728" max="10728" width="9.7109375" style="125" customWidth="1"/>
    <col min="10729" max="10730" width="3.7109375" style="125" customWidth="1"/>
    <col min="10731" max="10731" width="9.7109375" style="125" customWidth="1"/>
    <col min="10732" max="10733" width="3.7109375" style="125" customWidth="1"/>
    <col min="10734" max="10734" width="9.7109375" style="125" customWidth="1"/>
    <col min="10735" max="10736" width="3.7109375" style="125" customWidth="1"/>
    <col min="10737" max="10737" width="9.7109375" style="125" customWidth="1"/>
    <col min="10738" max="10739" width="3.7109375" style="125" customWidth="1"/>
    <col min="10740" max="10740" width="9.7109375" style="125" customWidth="1"/>
    <col min="10741" max="10742" width="3.7109375" style="125" customWidth="1"/>
    <col min="10743" max="10743" width="9.7109375" style="125" customWidth="1"/>
    <col min="10744" max="10745" width="3.7109375" style="125" customWidth="1"/>
    <col min="10746" max="10746" width="9.7109375" style="125" customWidth="1"/>
    <col min="10747" max="10748" width="3.7109375" style="125" customWidth="1"/>
    <col min="10749" max="10749" width="9.7109375" style="125" customWidth="1"/>
    <col min="10750" max="10750" width="3.7109375" style="125" customWidth="1"/>
    <col min="10751" max="10752" width="8" style="125"/>
    <col min="10753" max="10753" width="30.7109375" style="125" customWidth="1"/>
    <col min="10754" max="10754" width="9.7109375" style="125" customWidth="1"/>
    <col min="10755" max="10755" width="3.7109375" style="125" customWidth="1"/>
    <col min="10756" max="10756" width="9.7109375" style="125" customWidth="1"/>
    <col min="10757" max="10758" width="3.7109375" style="125" customWidth="1"/>
    <col min="10759" max="10759" width="9.7109375" style="125" customWidth="1"/>
    <col min="10760" max="10761" width="3.7109375" style="125" customWidth="1"/>
    <col min="10762" max="10762" width="9.7109375" style="125" customWidth="1"/>
    <col min="10763" max="10764" width="3.7109375" style="125" customWidth="1"/>
    <col min="10765" max="10765" width="9.7109375" style="125" customWidth="1"/>
    <col min="10766" max="10767" width="3.7109375" style="125" customWidth="1"/>
    <col min="10768" max="10768" width="9.7109375" style="125" customWidth="1"/>
    <col min="10769" max="10770" width="3.7109375" style="125" customWidth="1"/>
    <col min="10771" max="10771" width="9.7109375" style="125" customWidth="1"/>
    <col min="10772" max="10773" width="3.7109375" style="125" customWidth="1"/>
    <col min="10774" max="10774" width="9.7109375" style="125" customWidth="1"/>
    <col min="10775" max="10776" width="3.7109375" style="125" customWidth="1"/>
    <col min="10777" max="10777" width="9.7109375" style="125" customWidth="1"/>
    <col min="10778" max="10779" width="3.7109375" style="125" customWidth="1"/>
    <col min="10780" max="10780" width="9.7109375" style="125" customWidth="1"/>
    <col min="10781" max="10782" width="3.7109375" style="125" customWidth="1"/>
    <col min="10783" max="10783" width="9.7109375" style="125" customWidth="1"/>
    <col min="10784" max="10785" width="3.7109375" style="125" customWidth="1"/>
    <col min="10786" max="10786" width="9.7109375" style="125" customWidth="1"/>
    <col min="10787" max="10788" width="3.7109375" style="125" customWidth="1"/>
    <col min="10789" max="10789" width="9.7109375" style="125" customWidth="1"/>
    <col min="10790" max="10791" width="3.7109375" style="125" customWidth="1"/>
    <col min="10792" max="10792" width="9.7109375" style="125" customWidth="1"/>
    <col min="10793" max="10794" width="3.7109375" style="125" customWidth="1"/>
    <col min="10795" max="10795" width="9.7109375" style="125" customWidth="1"/>
    <col min="10796" max="10797" width="3.7109375" style="125" customWidth="1"/>
    <col min="10798" max="10798" width="9.7109375" style="125" customWidth="1"/>
    <col min="10799" max="10800" width="3.7109375" style="125" customWidth="1"/>
    <col min="10801" max="10801" width="9.7109375" style="125" customWidth="1"/>
    <col min="10802" max="10803" width="3.7109375" style="125" customWidth="1"/>
    <col min="10804" max="10804" width="9.7109375" style="125" customWidth="1"/>
    <col min="10805" max="10806" width="3.7109375" style="125" customWidth="1"/>
    <col min="10807" max="10807" width="9.7109375" style="125" customWidth="1"/>
    <col min="10808" max="10809" width="3.7109375" style="125" customWidth="1"/>
    <col min="10810" max="10810" width="9.7109375" style="125" customWidth="1"/>
    <col min="10811" max="10812" width="3.7109375" style="125" customWidth="1"/>
    <col min="10813" max="10813" width="9.7109375" style="125" customWidth="1"/>
    <col min="10814" max="10815" width="3.7109375" style="125" customWidth="1"/>
    <col min="10816" max="10816" width="9.7109375" style="125" customWidth="1"/>
    <col min="10817" max="10818" width="3.7109375" style="125" customWidth="1"/>
    <col min="10819" max="10819" width="9.7109375" style="125" customWidth="1"/>
    <col min="10820" max="10821" width="3.7109375" style="125" customWidth="1"/>
    <col min="10822" max="10822" width="9.7109375" style="125" customWidth="1"/>
    <col min="10823" max="10824" width="3.7109375" style="125" customWidth="1"/>
    <col min="10825" max="10825" width="9.7109375" style="125" customWidth="1"/>
    <col min="10826" max="10827" width="3.7109375" style="125" customWidth="1"/>
    <col min="10828" max="10828" width="9.7109375" style="125" customWidth="1"/>
    <col min="10829" max="10830" width="3.7109375" style="125" customWidth="1"/>
    <col min="10831" max="10831" width="9.7109375" style="125" customWidth="1"/>
    <col min="10832" max="10833" width="3.7109375" style="125" customWidth="1"/>
    <col min="10834" max="10834" width="9.7109375" style="125" customWidth="1"/>
    <col min="10835" max="10836" width="3.7109375" style="125" customWidth="1"/>
    <col min="10837" max="10837" width="9.7109375" style="125" customWidth="1"/>
    <col min="10838" max="10839" width="3.7109375" style="125" customWidth="1"/>
    <col min="10840" max="10840" width="9.7109375" style="125" customWidth="1"/>
    <col min="10841" max="10842" width="3.7109375" style="125" customWidth="1"/>
    <col min="10843" max="10843" width="9.7109375" style="125" customWidth="1"/>
    <col min="10844" max="10845" width="3.7109375" style="125" customWidth="1"/>
    <col min="10846" max="10846" width="9.7109375" style="125" customWidth="1"/>
    <col min="10847" max="10848" width="3.7109375" style="125" customWidth="1"/>
    <col min="10849" max="10849" width="9.7109375" style="125" customWidth="1"/>
    <col min="10850" max="10851" width="3.7109375" style="125" customWidth="1"/>
    <col min="10852" max="10852" width="9.7109375" style="125" customWidth="1"/>
    <col min="10853" max="10854" width="3.7109375" style="125" customWidth="1"/>
    <col min="10855" max="10855" width="9.7109375" style="125" customWidth="1"/>
    <col min="10856" max="10857" width="3.7109375" style="125" customWidth="1"/>
    <col min="10858" max="10858" width="9.7109375" style="125" customWidth="1"/>
    <col min="10859" max="10860" width="3.7109375" style="125" customWidth="1"/>
    <col min="10861" max="10861" width="9.7109375" style="125" customWidth="1"/>
    <col min="10862" max="10863" width="3.7109375" style="125" customWidth="1"/>
    <col min="10864" max="10864" width="9.7109375" style="125" customWidth="1"/>
    <col min="10865" max="10866" width="3.7109375" style="125" customWidth="1"/>
    <col min="10867" max="10867" width="9.7109375" style="125" customWidth="1"/>
    <col min="10868" max="10869" width="3.7109375" style="125" customWidth="1"/>
    <col min="10870" max="10870" width="9.7109375" style="125" customWidth="1"/>
    <col min="10871" max="10872" width="3.7109375" style="125" customWidth="1"/>
    <col min="10873" max="10873" width="9.7109375" style="125" customWidth="1"/>
    <col min="10874" max="10875" width="3.7109375" style="125" customWidth="1"/>
    <col min="10876" max="10876" width="9.7109375" style="125" customWidth="1"/>
    <col min="10877" max="10878" width="3.7109375" style="125" customWidth="1"/>
    <col min="10879" max="10879" width="9.7109375" style="125" customWidth="1"/>
    <col min="10880" max="10881" width="3.7109375" style="125" customWidth="1"/>
    <col min="10882" max="10882" width="9.7109375" style="125" customWidth="1"/>
    <col min="10883" max="10884" width="3.7109375" style="125" customWidth="1"/>
    <col min="10885" max="10885" width="9.7109375" style="125" customWidth="1"/>
    <col min="10886" max="10887" width="3.7109375" style="125" customWidth="1"/>
    <col min="10888" max="10888" width="9.7109375" style="125" customWidth="1"/>
    <col min="10889" max="10890" width="3.7109375" style="125" customWidth="1"/>
    <col min="10891" max="10891" width="9.7109375" style="125" customWidth="1"/>
    <col min="10892" max="10893" width="3.7109375" style="125" customWidth="1"/>
    <col min="10894" max="10894" width="9.7109375" style="125" customWidth="1"/>
    <col min="10895" max="10896" width="3.7109375" style="125" customWidth="1"/>
    <col min="10897" max="10897" width="9.7109375" style="125" customWidth="1"/>
    <col min="10898" max="10898" width="3.7109375" style="125" customWidth="1"/>
    <col min="10899" max="10899" width="5.7109375" style="125" bestFit="1" customWidth="1"/>
    <col min="10900" max="10900" width="9.7109375" style="125" customWidth="1"/>
    <col min="10901" max="10902" width="3.7109375" style="125" customWidth="1"/>
    <col min="10903" max="10903" width="9.7109375" style="125" customWidth="1"/>
    <col min="10904" max="10905" width="3.7109375" style="125" customWidth="1"/>
    <col min="10906" max="10906" width="9.7109375" style="125" customWidth="1"/>
    <col min="10907" max="10908" width="3.7109375" style="125" customWidth="1"/>
    <col min="10909" max="10909" width="9.7109375" style="125" customWidth="1"/>
    <col min="10910" max="10911" width="3.7109375" style="125" customWidth="1"/>
    <col min="10912" max="10912" width="9.7109375" style="125" customWidth="1"/>
    <col min="10913" max="10914" width="3.7109375" style="125" customWidth="1"/>
    <col min="10915" max="10915" width="9.7109375" style="125" customWidth="1"/>
    <col min="10916" max="10916" width="3.7109375" style="125" customWidth="1"/>
    <col min="10917" max="10917" width="5.7109375" style="125" bestFit="1" customWidth="1"/>
    <col min="10918" max="10918" width="9.7109375" style="125" customWidth="1"/>
    <col min="10919" max="10920" width="3.7109375" style="125" customWidth="1"/>
    <col min="10921" max="10921" width="9.7109375" style="125" customWidth="1"/>
    <col min="10922" max="10923" width="3.7109375" style="125" customWidth="1"/>
    <col min="10924" max="10924" width="9.7109375" style="125" customWidth="1"/>
    <col min="10925" max="10926" width="3.7109375" style="125" customWidth="1"/>
    <col min="10927" max="10927" width="9.7109375" style="125" customWidth="1"/>
    <col min="10928" max="10929" width="3.7109375" style="125" customWidth="1"/>
    <col min="10930" max="10930" width="9.7109375" style="125" customWidth="1"/>
    <col min="10931" max="10932" width="3.7109375" style="125" customWidth="1"/>
    <col min="10933" max="10933" width="9.7109375" style="125" customWidth="1"/>
    <col min="10934" max="10935" width="3.7109375" style="125" customWidth="1"/>
    <col min="10936" max="10936" width="9.7109375" style="125" customWidth="1"/>
    <col min="10937" max="10938" width="3.7109375" style="125" customWidth="1"/>
    <col min="10939" max="10939" width="9.7109375" style="125" customWidth="1"/>
    <col min="10940" max="10941" width="3.7109375" style="125" customWidth="1"/>
    <col min="10942" max="10942" width="9.7109375" style="125" customWidth="1"/>
    <col min="10943" max="10944" width="3.7109375" style="125" customWidth="1"/>
    <col min="10945" max="10945" width="9.7109375" style="125" customWidth="1"/>
    <col min="10946" max="10947" width="3.7109375" style="125" customWidth="1"/>
    <col min="10948" max="10948" width="9.7109375" style="125" customWidth="1"/>
    <col min="10949" max="10950" width="3.7109375" style="125" customWidth="1"/>
    <col min="10951" max="10951" width="9.7109375" style="125" customWidth="1"/>
    <col min="10952" max="10953" width="3.7109375" style="125" customWidth="1"/>
    <col min="10954" max="10954" width="9.7109375" style="125" customWidth="1"/>
    <col min="10955" max="10956" width="3.7109375" style="125" customWidth="1"/>
    <col min="10957" max="10957" width="9.7109375" style="125" customWidth="1"/>
    <col min="10958" max="10959" width="3.7109375" style="125" customWidth="1"/>
    <col min="10960" max="10960" width="9.7109375" style="125" customWidth="1"/>
    <col min="10961" max="10962" width="3.7109375" style="125" customWidth="1"/>
    <col min="10963" max="10963" width="9.7109375" style="125" customWidth="1"/>
    <col min="10964" max="10965" width="3.7109375" style="125" customWidth="1"/>
    <col min="10966" max="10966" width="9.7109375" style="125" customWidth="1"/>
    <col min="10967" max="10968" width="3.7109375" style="125" customWidth="1"/>
    <col min="10969" max="10969" width="9.7109375" style="125" customWidth="1"/>
    <col min="10970" max="10971" width="3.7109375" style="125" customWidth="1"/>
    <col min="10972" max="10972" width="9.7109375" style="125" customWidth="1"/>
    <col min="10973" max="10974" width="3.7109375" style="125" customWidth="1"/>
    <col min="10975" max="10975" width="9.7109375" style="125" customWidth="1"/>
    <col min="10976" max="10977" width="3.7109375" style="125" customWidth="1"/>
    <col min="10978" max="10978" width="9.7109375" style="125" customWidth="1"/>
    <col min="10979" max="10980" width="3.7109375" style="125" customWidth="1"/>
    <col min="10981" max="10981" width="9.7109375" style="125" customWidth="1"/>
    <col min="10982" max="10983" width="3.7109375" style="125" customWidth="1"/>
    <col min="10984" max="10984" width="9.7109375" style="125" customWidth="1"/>
    <col min="10985" max="10986" width="3.7109375" style="125" customWidth="1"/>
    <col min="10987" max="10987" width="9.7109375" style="125" customWidth="1"/>
    <col min="10988" max="10989" width="3.7109375" style="125" customWidth="1"/>
    <col min="10990" max="10990" width="9.7109375" style="125" customWidth="1"/>
    <col min="10991" max="10992" width="3.7109375" style="125" customWidth="1"/>
    <col min="10993" max="10993" width="9.7109375" style="125" customWidth="1"/>
    <col min="10994" max="10995" width="3.7109375" style="125" customWidth="1"/>
    <col min="10996" max="10996" width="9.7109375" style="125" customWidth="1"/>
    <col min="10997" max="10998" width="3.7109375" style="125" customWidth="1"/>
    <col min="10999" max="10999" width="9.7109375" style="125" customWidth="1"/>
    <col min="11000" max="11001" width="3.7109375" style="125" customWidth="1"/>
    <col min="11002" max="11002" width="9.7109375" style="125" customWidth="1"/>
    <col min="11003" max="11004" width="3.7109375" style="125" customWidth="1"/>
    <col min="11005" max="11005" width="9.7109375" style="125" customWidth="1"/>
    <col min="11006" max="11006" width="3.7109375" style="125" customWidth="1"/>
    <col min="11007" max="11008" width="8" style="125"/>
    <col min="11009" max="11009" width="30.7109375" style="125" customWidth="1"/>
    <col min="11010" max="11010" width="9.7109375" style="125" customWidth="1"/>
    <col min="11011" max="11011" width="3.7109375" style="125" customWidth="1"/>
    <col min="11012" max="11012" width="9.7109375" style="125" customWidth="1"/>
    <col min="11013" max="11014" width="3.7109375" style="125" customWidth="1"/>
    <col min="11015" max="11015" width="9.7109375" style="125" customWidth="1"/>
    <col min="11016" max="11017" width="3.7109375" style="125" customWidth="1"/>
    <col min="11018" max="11018" width="9.7109375" style="125" customWidth="1"/>
    <col min="11019" max="11020" width="3.7109375" style="125" customWidth="1"/>
    <col min="11021" max="11021" width="9.7109375" style="125" customWidth="1"/>
    <col min="11022" max="11023" width="3.7109375" style="125" customWidth="1"/>
    <col min="11024" max="11024" width="9.7109375" style="125" customWidth="1"/>
    <col min="11025" max="11026" width="3.7109375" style="125" customWidth="1"/>
    <col min="11027" max="11027" width="9.7109375" style="125" customWidth="1"/>
    <col min="11028" max="11029" width="3.7109375" style="125" customWidth="1"/>
    <col min="11030" max="11030" width="9.7109375" style="125" customWidth="1"/>
    <col min="11031" max="11032" width="3.7109375" style="125" customWidth="1"/>
    <col min="11033" max="11033" width="9.7109375" style="125" customWidth="1"/>
    <col min="11034" max="11035" width="3.7109375" style="125" customWidth="1"/>
    <col min="11036" max="11036" width="9.7109375" style="125" customWidth="1"/>
    <col min="11037" max="11038" width="3.7109375" style="125" customWidth="1"/>
    <col min="11039" max="11039" width="9.7109375" style="125" customWidth="1"/>
    <col min="11040" max="11041" width="3.7109375" style="125" customWidth="1"/>
    <col min="11042" max="11042" width="9.7109375" style="125" customWidth="1"/>
    <col min="11043" max="11044" width="3.7109375" style="125" customWidth="1"/>
    <col min="11045" max="11045" width="9.7109375" style="125" customWidth="1"/>
    <col min="11046" max="11047" width="3.7109375" style="125" customWidth="1"/>
    <col min="11048" max="11048" width="9.7109375" style="125" customWidth="1"/>
    <col min="11049" max="11050" width="3.7109375" style="125" customWidth="1"/>
    <col min="11051" max="11051" width="9.7109375" style="125" customWidth="1"/>
    <col min="11052" max="11053" width="3.7109375" style="125" customWidth="1"/>
    <col min="11054" max="11054" width="9.7109375" style="125" customWidth="1"/>
    <col min="11055" max="11056" width="3.7109375" style="125" customWidth="1"/>
    <col min="11057" max="11057" width="9.7109375" style="125" customWidth="1"/>
    <col min="11058" max="11059" width="3.7109375" style="125" customWidth="1"/>
    <col min="11060" max="11060" width="9.7109375" style="125" customWidth="1"/>
    <col min="11061" max="11062" width="3.7109375" style="125" customWidth="1"/>
    <col min="11063" max="11063" width="9.7109375" style="125" customWidth="1"/>
    <col min="11064" max="11065" width="3.7109375" style="125" customWidth="1"/>
    <col min="11066" max="11066" width="9.7109375" style="125" customWidth="1"/>
    <col min="11067" max="11068" width="3.7109375" style="125" customWidth="1"/>
    <col min="11069" max="11069" width="9.7109375" style="125" customWidth="1"/>
    <col min="11070" max="11071" width="3.7109375" style="125" customWidth="1"/>
    <col min="11072" max="11072" width="9.7109375" style="125" customWidth="1"/>
    <col min="11073" max="11074" width="3.7109375" style="125" customWidth="1"/>
    <col min="11075" max="11075" width="9.7109375" style="125" customWidth="1"/>
    <col min="11076" max="11077" width="3.7109375" style="125" customWidth="1"/>
    <col min="11078" max="11078" width="9.7109375" style="125" customWidth="1"/>
    <col min="11079" max="11080" width="3.7109375" style="125" customWidth="1"/>
    <col min="11081" max="11081" width="9.7109375" style="125" customWidth="1"/>
    <col min="11082" max="11083" width="3.7109375" style="125" customWidth="1"/>
    <col min="11084" max="11084" width="9.7109375" style="125" customWidth="1"/>
    <col min="11085" max="11086" width="3.7109375" style="125" customWidth="1"/>
    <col min="11087" max="11087" width="9.7109375" style="125" customWidth="1"/>
    <col min="11088" max="11089" width="3.7109375" style="125" customWidth="1"/>
    <col min="11090" max="11090" width="9.7109375" style="125" customWidth="1"/>
    <col min="11091" max="11092" width="3.7109375" style="125" customWidth="1"/>
    <col min="11093" max="11093" width="9.7109375" style="125" customWidth="1"/>
    <col min="11094" max="11095" width="3.7109375" style="125" customWidth="1"/>
    <col min="11096" max="11096" width="9.7109375" style="125" customWidth="1"/>
    <col min="11097" max="11098" width="3.7109375" style="125" customWidth="1"/>
    <col min="11099" max="11099" width="9.7109375" style="125" customWidth="1"/>
    <col min="11100" max="11101" width="3.7109375" style="125" customWidth="1"/>
    <col min="11102" max="11102" width="9.7109375" style="125" customWidth="1"/>
    <col min="11103" max="11104" width="3.7109375" style="125" customWidth="1"/>
    <col min="11105" max="11105" width="9.7109375" style="125" customWidth="1"/>
    <col min="11106" max="11107" width="3.7109375" style="125" customWidth="1"/>
    <col min="11108" max="11108" width="9.7109375" style="125" customWidth="1"/>
    <col min="11109" max="11110" width="3.7109375" style="125" customWidth="1"/>
    <col min="11111" max="11111" width="9.7109375" style="125" customWidth="1"/>
    <col min="11112" max="11113" width="3.7109375" style="125" customWidth="1"/>
    <col min="11114" max="11114" width="9.7109375" style="125" customWidth="1"/>
    <col min="11115" max="11116" width="3.7109375" style="125" customWidth="1"/>
    <col min="11117" max="11117" width="9.7109375" style="125" customWidth="1"/>
    <col min="11118" max="11119" width="3.7109375" style="125" customWidth="1"/>
    <col min="11120" max="11120" width="9.7109375" style="125" customWidth="1"/>
    <col min="11121" max="11122" width="3.7109375" style="125" customWidth="1"/>
    <col min="11123" max="11123" width="9.7109375" style="125" customWidth="1"/>
    <col min="11124" max="11125" width="3.7109375" style="125" customWidth="1"/>
    <col min="11126" max="11126" width="9.7109375" style="125" customWidth="1"/>
    <col min="11127" max="11128" width="3.7109375" style="125" customWidth="1"/>
    <col min="11129" max="11129" width="9.7109375" style="125" customWidth="1"/>
    <col min="11130" max="11131" width="3.7109375" style="125" customWidth="1"/>
    <col min="11132" max="11132" width="9.7109375" style="125" customWidth="1"/>
    <col min="11133" max="11134" width="3.7109375" style="125" customWidth="1"/>
    <col min="11135" max="11135" width="9.7109375" style="125" customWidth="1"/>
    <col min="11136" max="11137" width="3.7109375" style="125" customWidth="1"/>
    <col min="11138" max="11138" width="9.7109375" style="125" customWidth="1"/>
    <col min="11139" max="11140" width="3.7109375" style="125" customWidth="1"/>
    <col min="11141" max="11141" width="9.7109375" style="125" customWidth="1"/>
    <col min="11142" max="11143" width="3.7109375" style="125" customWidth="1"/>
    <col min="11144" max="11144" width="9.7109375" style="125" customWidth="1"/>
    <col min="11145" max="11146" width="3.7109375" style="125" customWidth="1"/>
    <col min="11147" max="11147" width="9.7109375" style="125" customWidth="1"/>
    <col min="11148" max="11149" width="3.7109375" style="125" customWidth="1"/>
    <col min="11150" max="11150" width="9.7109375" style="125" customWidth="1"/>
    <col min="11151" max="11152" width="3.7109375" style="125" customWidth="1"/>
    <col min="11153" max="11153" width="9.7109375" style="125" customWidth="1"/>
    <col min="11154" max="11154" width="3.7109375" style="125" customWidth="1"/>
    <col min="11155" max="11155" width="5.7109375" style="125" bestFit="1" customWidth="1"/>
    <col min="11156" max="11156" width="9.7109375" style="125" customWidth="1"/>
    <col min="11157" max="11158" width="3.7109375" style="125" customWidth="1"/>
    <col min="11159" max="11159" width="9.7109375" style="125" customWidth="1"/>
    <col min="11160" max="11161" width="3.7109375" style="125" customWidth="1"/>
    <col min="11162" max="11162" width="9.7109375" style="125" customWidth="1"/>
    <col min="11163" max="11164" width="3.7109375" style="125" customWidth="1"/>
    <col min="11165" max="11165" width="9.7109375" style="125" customWidth="1"/>
    <col min="11166" max="11167" width="3.7109375" style="125" customWidth="1"/>
    <col min="11168" max="11168" width="9.7109375" style="125" customWidth="1"/>
    <col min="11169" max="11170" width="3.7109375" style="125" customWidth="1"/>
    <col min="11171" max="11171" width="9.7109375" style="125" customWidth="1"/>
    <col min="11172" max="11172" width="3.7109375" style="125" customWidth="1"/>
    <col min="11173" max="11173" width="5.7109375" style="125" bestFit="1" customWidth="1"/>
    <col min="11174" max="11174" width="9.7109375" style="125" customWidth="1"/>
    <col min="11175" max="11176" width="3.7109375" style="125" customWidth="1"/>
    <col min="11177" max="11177" width="9.7109375" style="125" customWidth="1"/>
    <col min="11178" max="11179" width="3.7109375" style="125" customWidth="1"/>
    <col min="11180" max="11180" width="9.7109375" style="125" customWidth="1"/>
    <col min="11181" max="11182" width="3.7109375" style="125" customWidth="1"/>
    <col min="11183" max="11183" width="9.7109375" style="125" customWidth="1"/>
    <col min="11184" max="11185" width="3.7109375" style="125" customWidth="1"/>
    <col min="11186" max="11186" width="9.7109375" style="125" customWidth="1"/>
    <col min="11187" max="11188" width="3.7109375" style="125" customWidth="1"/>
    <col min="11189" max="11189" width="9.7109375" style="125" customWidth="1"/>
    <col min="11190" max="11191" width="3.7109375" style="125" customWidth="1"/>
    <col min="11192" max="11192" width="9.7109375" style="125" customWidth="1"/>
    <col min="11193" max="11194" width="3.7109375" style="125" customWidth="1"/>
    <col min="11195" max="11195" width="9.7109375" style="125" customWidth="1"/>
    <col min="11196" max="11197" width="3.7109375" style="125" customWidth="1"/>
    <col min="11198" max="11198" width="9.7109375" style="125" customWidth="1"/>
    <col min="11199" max="11200" width="3.7109375" style="125" customWidth="1"/>
    <col min="11201" max="11201" width="9.7109375" style="125" customWidth="1"/>
    <col min="11202" max="11203" width="3.7109375" style="125" customWidth="1"/>
    <col min="11204" max="11204" width="9.7109375" style="125" customWidth="1"/>
    <col min="11205" max="11206" width="3.7109375" style="125" customWidth="1"/>
    <col min="11207" max="11207" width="9.7109375" style="125" customWidth="1"/>
    <col min="11208" max="11209" width="3.7109375" style="125" customWidth="1"/>
    <col min="11210" max="11210" width="9.7109375" style="125" customWidth="1"/>
    <col min="11211" max="11212" width="3.7109375" style="125" customWidth="1"/>
    <col min="11213" max="11213" width="9.7109375" style="125" customWidth="1"/>
    <col min="11214" max="11215" width="3.7109375" style="125" customWidth="1"/>
    <col min="11216" max="11216" width="9.7109375" style="125" customWidth="1"/>
    <col min="11217" max="11218" width="3.7109375" style="125" customWidth="1"/>
    <col min="11219" max="11219" width="9.7109375" style="125" customWidth="1"/>
    <col min="11220" max="11221" width="3.7109375" style="125" customWidth="1"/>
    <col min="11222" max="11222" width="9.7109375" style="125" customWidth="1"/>
    <col min="11223" max="11224" width="3.7109375" style="125" customWidth="1"/>
    <col min="11225" max="11225" width="9.7109375" style="125" customWidth="1"/>
    <col min="11226" max="11227" width="3.7109375" style="125" customWidth="1"/>
    <col min="11228" max="11228" width="9.7109375" style="125" customWidth="1"/>
    <col min="11229" max="11230" width="3.7109375" style="125" customWidth="1"/>
    <col min="11231" max="11231" width="9.7109375" style="125" customWidth="1"/>
    <col min="11232" max="11233" width="3.7109375" style="125" customWidth="1"/>
    <col min="11234" max="11234" width="9.7109375" style="125" customWidth="1"/>
    <col min="11235" max="11236" width="3.7109375" style="125" customWidth="1"/>
    <col min="11237" max="11237" width="9.7109375" style="125" customWidth="1"/>
    <col min="11238" max="11239" width="3.7109375" style="125" customWidth="1"/>
    <col min="11240" max="11240" width="9.7109375" style="125" customWidth="1"/>
    <col min="11241" max="11242" width="3.7109375" style="125" customWidth="1"/>
    <col min="11243" max="11243" width="9.7109375" style="125" customWidth="1"/>
    <col min="11244" max="11245" width="3.7109375" style="125" customWidth="1"/>
    <col min="11246" max="11246" width="9.7109375" style="125" customWidth="1"/>
    <col min="11247" max="11248" width="3.7109375" style="125" customWidth="1"/>
    <col min="11249" max="11249" width="9.7109375" style="125" customWidth="1"/>
    <col min="11250" max="11251" width="3.7109375" style="125" customWidth="1"/>
    <col min="11252" max="11252" width="9.7109375" style="125" customWidth="1"/>
    <col min="11253" max="11254" width="3.7109375" style="125" customWidth="1"/>
    <col min="11255" max="11255" width="9.7109375" style="125" customWidth="1"/>
    <col min="11256" max="11257" width="3.7109375" style="125" customWidth="1"/>
    <col min="11258" max="11258" width="9.7109375" style="125" customWidth="1"/>
    <col min="11259" max="11260" width="3.7109375" style="125" customWidth="1"/>
    <col min="11261" max="11261" width="9.7109375" style="125" customWidth="1"/>
    <col min="11262" max="11262" width="3.7109375" style="125" customWidth="1"/>
    <col min="11263" max="11264" width="8" style="125"/>
    <col min="11265" max="11265" width="30.7109375" style="125" customWidth="1"/>
    <col min="11266" max="11266" width="9.7109375" style="125" customWidth="1"/>
    <col min="11267" max="11267" width="3.7109375" style="125" customWidth="1"/>
    <col min="11268" max="11268" width="9.7109375" style="125" customWidth="1"/>
    <col min="11269" max="11270" width="3.7109375" style="125" customWidth="1"/>
    <col min="11271" max="11271" width="9.7109375" style="125" customWidth="1"/>
    <col min="11272" max="11273" width="3.7109375" style="125" customWidth="1"/>
    <col min="11274" max="11274" width="9.7109375" style="125" customWidth="1"/>
    <col min="11275" max="11276" width="3.7109375" style="125" customWidth="1"/>
    <col min="11277" max="11277" width="9.7109375" style="125" customWidth="1"/>
    <col min="11278" max="11279" width="3.7109375" style="125" customWidth="1"/>
    <col min="11280" max="11280" width="9.7109375" style="125" customWidth="1"/>
    <col min="11281" max="11282" width="3.7109375" style="125" customWidth="1"/>
    <col min="11283" max="11283" width="9.7109375" style="125" customWidth="1"/>
    <col min="11284" max="11285" width="3.7109375" style="125" customWidth="1"/>
    <col min="11286" max="11286" width="9.7109375" style="125" customWidth="1"/>
    <col min="11287" max="11288" width="3.7109375" style="125" customWidth="1"/>
    <col min="11289" max="11289" width="9.7109375" style="125" customWidth="1"/>
    <col min="11290" max="11291" width="3.7109375" style="125" customWidth="1"/>
    <col min="11292" max="11292" width="9.7109375" style="125" customWidth="1"/>
    <col min="11293" max="11294" width="3.7109375" style="125" customWidth="1"/>
    <col min="11295" max="11295" width="9.7109375" style="125" customWidth="1"/>
    <col min="11296" max="11297" width="3.7109375" style="125" customWidth="1"/>
    <col min="11298" max="11298" width="9.7109375" style="125" customWidth="1"/>
    <col min="11299" max="11300" width="3.7109375" style="125" customWidth="1"/>
    <col min="11301" max="11301" width="9.7109375" style="125" customWidth="1"/>
    <col min="11302" max="11303" width="3.7109375" style="125" customWidth="1"/>
    <col min="11304" max="11304" width="9.7109375" style="125" customWidth="1"/>
    <col min="11305" max="11306" width="3.7109375" style="125" customWidth="1"/>
    <col min="11307" max="11307" width="9.7109375" style="125" customWidth="1"/>
    <col min="11308" max="11309" width="3.7109375" style="125" customWidth="1"/>
    <col min="11310" max="11310" width="9.7109375" style="125" customWidth="1"/>
    <col min="11311" max="11312" width="3.7109375" style="125" customWidth="1"/>
    <col min="11313" max="11313" width="9.7109375" style="125" customWidth="1"/>
    <col min="11314" max="11315" width="3.7109375" style="125" customWidth="1"/>
    <col min="11316" max="11316" width="9.7109375" style="125" customWidth="1"/>
    <col min="11317" max="11318" width="3.7109375" style="125" customWidth="1"/>
    <col min="11319" max="11319" width="9.7109375" style="125" customWidth="1"/>
    <col min="11320" max="11321" width="3.7109375" style="125" customWidth="1"/>
    <col min="11322" max="11322" width="9.7109375" style="125" customWidth="1"/>
    <col min="11323" max="11324" width="3.7109375" style="125" customWidth="1"/>
    <col min="11325" max="11325" width="9.7109375" style="125" customWidth="1"/>
    <col min="11326" max="11327" width="3.7109375" style="125" customWidth="1"/>
    <col min="11328" max="11328" width="9.7109375" style="125" customWidth="1"/>
    <col min="11329" max="11330" width="3.7109375" style="125" customWidth="1"/>
    <col min="11331" max="11331" width="9.7109375" style="125" customWidth="1"/>
    <col min="11332" max="11333" width="3.7109375" style="125" customWidth="1"/>
    <col min="11334" max="11334" width="9.7109375" style="125" customWidth="1"/>
    <col min="11335" max="11336" width="3.7109375" style="125" customWidth="1"/>
    <col min="11337" max="11337" width="9.7109375" style="125" customWidth="1"/>
    <col min="11338" max="11339" width="3.7109375" style="125" customWidth="1"/>
    <col min="11340" max="11340" width="9.7109375" style="125" customWidth="1"/>
    <col min="11341" max="11342" width="3.7109375" style="125" customWidth="1"/>
    <col min="11343" max="11343" width="9.7109375" style="125" customWidth="1"/>
    <col min="11344" max="11345" width="3.7109375" style="125" customWidth="1"/>
    <col min="11346" max="11346" width="9.7109375" style="125" customWidth="1"/>
    <col min="11347" max="11348" width="3.7109375" style="125" customWidth="1"/>
    <col min="11349" max="11349" width="9.7109375" style="125" customWidth="1"/>
    <col min="11350" max="11351" width="3.7109375" style="125" customWidth="1"/>
    <col min="11352" max="11352" width="9.7109375" style="125" customWidth="1"/>
    <col min="11353" max="11354" width="3.7109375" style="125" customWidth="1"/>
    <col min="11355" max="11355" width="9.7109375" style="125" customWidth="1"/>
    <col min="11356" max="11357" width="3.7109375" style="125" customWidth="1"/>
    <col min="11358" max="11358" width="9.7109375" style="125" customWidth="1"/>
    <col min="11359" max="11360" width="3.7109375" style="125" customWidth="1"/>
    <col min="11361" max="11361" width="9.7109375" style="125" customWidth="1"/>
    <col min="11362" max="11363" width="3.7109375" style="125" customWidth="1"/>
    <col min="11364" max="11364" width="9.7109375" style="125" customWidth="1"/>
    <col min="11365" max="11366" width="3.7109375" style="125" customWidth="1"/>
    <col min="11367" max="11367" width="9.7109375" style="125" customWidth="1"/>
    <col min="11368" max="11369" width="3.7109375" style="125" customWidth="1"/>
    <col min="11370" max="11370" width="9.7109375" style="125" customWidth="1"/>
    <col min="11371" max="11372" width="3.7109375" style="125" customWidth="1"/>
    <col min="11373" max="11373" width="9.7109375" style="125" customWidth="1"/>
    <col min="11374" max="11375" width="3.7109375" style="125" customWidth="1"/>
    <col min="11376" max="11376" width="9.7109375" style="125" customWidth="1"/>
    <col min="11377" max="11378" width="3.7109375" style="125" customWidth="1"/>
    <col min="11379" max="11379" width="9.7109375" style="125" customWidth="1"/>
    <col min="11380" max="11381" width="3.7109375" style="125" customWidth="1"/>
    <col min="11382" max="11382" width="9.7109375" style="125" customWidth="1"/>
    <col min="11383" max="11384" width="3.7109375" style="125" customWidth="1"/>
    <col min="11385" max="11385" width="9.7109375" style="125" customWidth="1"/>
    <col min="11386" max="11387" width="3.7109375" style="125" customWidth="1"/>
    <col min="11388" max="11388" width="9.7109375" style="125" customWidth="1"/>
    <col min="11389" max="11390" width="3.7109375" style="125" customWidth="1"/>
    <col min="11391" max="11391" width="9.7109375" style="125" customWidth="1"/>
    <col min="11392" max="11393" width="3.7109375" style="125" customWidth="1"/>
    <col min="11394" max="11394" width="9.7109375" style="125" customWidth="1"/>
    <col min="11395" max="11396" width="3.7109375" style="125" customWidth="1"/>
    <col min="11397" max="11397" width="9.7109375" style="125" customWidth="1"/>
    <col min="11398" max="11399" width="3.7109375" style="125" customWidth="1"/>
    <col min="11400" max="11400" width="9.7109375" style="125" customWidth="1"/>
    <col min="11401" max="11402" width="3.7109375" style="125" customWidth="1"/>
    <col min="11403" max="11403" width="9.7109375" style="125" customWidth="1"/>
    <col min="11404" max="11405" width="3.7109375" style="125" customWidth="1"/>
    <col min="11406" max="11406" width="9.7109375" style="125" customWidth="1"/>
    <col min="11407" max="11408" width="3.7109375" style="125" customWidth="1"/>
    <col min="11409" max="11409" width="9.7109375" style="125" customWidth="1"/>
    <col min="11410" max="11410" width="3.7109375" style="125" customWidth="1"/>
    <col min="11411" max="11411" width="5.7109375" style="125" bestFit="1" customWidth="1"/>
    <col min="11412" max="11412" width="9.7109375" style="125" customWidth="1"/>
    <col min="11413" max="11414" width="3.7109375" style="125" customWidth="1"/>
    <col min="11415" max="11415" width="9.7109375" style="125" customWidth="1"/>
    <col min="11416" max="11417" width="3.7109375" style="125" customWidth="1"/>
    <col min="11418" max="11418" width="9.7109375" style="125" customWidth="1"/>
    <col min="11419" max="11420" width="3.7109375" style="125" customWidth="1"/>
    <col min="11421" max="11421" width="9.7109375" style="125" customWidth="1"/>
    <col min="11422" max="11423" width="3.7109375" style="125" customWidth="1"/>
    <col min="11424" max="11424" width="9.7109375" style="125" customWidth="1"/>
    <col min="11425" max="11426" width="3.7109375" style="125" customWidth="1"/>
    <col min="11427" max="11427" width="9.7109375" style="125" customWidth="1"/>
    <col min="11428" max="11428" width="3.7109375" style="125" customWidth="1"/>
    <col min="11429" max="11429" width="5.7109375" style="125" bestFit="1" customWidth="1"/>
    <col min="11430" max="11430" width="9.7109375" style="125" customWidth="1"/>
    <col min="11431" max="11432" width="3.7109375" style="125" customWidth="1"/>
    <col min="11433" max="11433" width="9.7109375" style="125" customWidth="1"/>
    <col min="11434" max="11435" width="3.7109375" style="125" customWidth="1"/>
    <col min="11436" max="11436" width="9.7109375" style="125" customWidth="1"/>
    <col min="11437" max="11438" width="3.7109375" style="125" customWidth="1"/>
    <col min="11439" max="11439" width="9.7109375" style="125" customWidth="1"/>
    <col min="11440" max="11441" width="3.7109375" style="125" customWidth="1"/>
    <col min="11442" max="11442" width="9.7109375" style="125" customWidth="1"/>
    <col min="11443" max="11444" width="3.7109375" style="125" customWidth="1"/>
    <col min="11445" max="11445" width="9.7109375" style="125" customWidth="1"/>
    <col min="11446" max="11447" width="3.7109375" style="125" customWidth="1"/>
    <col min="11448" max="11448" width="9.7109375" style="125" customWidth="1"/>
    <col min="11449" max="11450" width="3.7109375" style="125" customWidth="1"/>
    <col min="11451" max="11451" width="9.7109375" style="125" customWidth="1"/>
    <col min="11452" max="11453" width="3.7109375" style="125" customWidth="1"/>
    <col min="11454" max="11454" width="9.7109375" style="125" customWidth="1"/>
    <col min="11455" max="11456" width="3.7109375" style="125" customWidth="1"/>
    <col min="11457" max="11457" width="9.7109375" style="125" customWidth="1"/>
    <col min="11458" max="11459" width="3.7109375" style="125" customWidth="1"/>
    <col min="11460" max="11460" width="9.7109375" style="125" customWidth="1"/>
    <col min="11461" max="11462" width="3.7109375" style="125" customWidth="1"/>
    <col min="11463" max="11463" width="9.7109375" style="125" customWidth="1"/>
    <col min="11464" max="11465" width="3.7109375" style="125" customWidth="1"/>
    <col min="11466" max="11466" width="9.7109375" style="125" customWidth="1"/>
    <col min="11467" max="11468" width="3.7109375" style="125" customWidth="1"/>
    <col min="11469" max="11469" width="9.7109375" style="125" customWidth="1"/>
    <col min="11470" max="11471" width="3.7109375" style="125" customWidth="1"/>
    <col min="11472" max="11472" width="9.7109375" style="125" customWidth="1"/>
    <col min="11473" max="11474" width="3.7109375" style="125" customWidth="1"/>
    <col min="11475" max="11475" width="9.7109375" style="125" customWidth="1"/>
    <col min="11476" max="11477" width="3.7109375" style="125" customWidth="1"/>
    <col min="11478" max="11478" width="9.7109375" style="125" customWidth="1"/>
    <col min="11479" max="11480" width="3.7109375" style="125" customWidth="1"/>
    <col min="11481" max="11481" width="9.7109375" style="125" customWidth="1"/>
    <col min="11482" max="11483" width="3.7109375" style="125" customWidth="1"/>
    <col min="11484" max="11484" width="9.7109375" style="125" customWidth="1"/>
    <col min="11485" max="11486" width="3.7109375" style="125" customWidth="1"/>
    <col min="11487" max="11487" width="9.7109375" style="125" customWidth="1"/>
    <col min="11488" max="11489" width="3.7109375" style="125" customWidth="1"/>
    <col min="11490" max="11490" width="9.7109375" style="125" customWidth="1"/>
    <col min="11491" max="11492" width="3.7109375" style="125" customWidth="1"/>
    <col min="11493" max="11493" width="9.7109375" style="125" customWidth="1"/>
    <col min="11494" max="11495" width="3.7109375" style="125" customWidth="1"/>
    <col min="11496" max="11496" width="9.7109375" style="125" customWidth="1"/>
    <col min="11497" max="11498" width="3.7109375" style="125" customWidth="1"/>
    <col min="11499" max="11499" width="9.7109375" style="125" customWidth="1"/>
    <col min="11500" max="11501" width="3.7109375" style="125" customWidth="1"/>
    <col min="11502" max="11502" width="9.7109375" style="125" customWidth="1"/>
    <col min="11503" max="11504" width="3.7109375" style="125" customWidth="1"/>
    <col min="11505" max="11505" width="9.7109375" style="125" customWidth="1"/>
    <col min="11506" max="11507" width="3.7109375" style="125" customWidth="1"/>
    <col min="11508" max="11508" width="9.7109375" style="125" customWidth="1"/>
    <col min="11509" max="11510" width="3.7109375" style="125" customWidth="1"/>
    <col min="11511" max="11511" width="9.7109375" style="125" customWidth="1"/>
    <col min="11512" max="11513" width="3.7109375" style="125" customWidth="1"/>
    <col min="11514" max="11514" width="9.7109375" style="125" customWidth="1"/>
    <col min="11515" max="11516" width="3.7109375" style="125" customWidth="1"/>
    <col min="11517" max="11517" width="9.7109375" style="125" customWidth="1"/>
    <col min="11518" max="11518" width="3.7109375" style="125" customWidth="1"/>
    <col min="11519" max="11520" width="8" style="125"/>
    <col min="11521" max="11521" width="30.7109375" style="125" customWidth="1"/>
    <col min="11522" max="11522" width="9.7109375" style="125" customWidth="1"/>
    <col min="11523" max="11523" width="3.7109375" style="125" customWidth="1"/>
    <col min="11524" max="11524" width="9.7109375" style="125" customWidth="1"/>
    <col min="11525" max="11526" width="3.7109375" style="125" customWidth="1"/>
    <col min="11527" max="11527" width="9.7109375" style="125" customWidth="1"/>
    <col min="11528" max="11529" width="3.7109375" style="125" customWidth="1"/>
    <col min="11530" max="11530" width="9.7109375" style="125" customWidth="1"/>
    <col min="11531" max="11532" width="3.7109375" style="125" customWidth="1"/>
    <col min="11533" max="11533" width="9.7109375" style="125" customWidth="1"/>
    <col min="11534" max="11535" width="3.7109375" style="125" customWidth="1"/>
    <col min="11536" max="11536" width="9.7109375" style="125" customWidth="1"/>
    <col min="11537" max="11538" width="3.7109375" style="125" customWidth="1"/>
    <col min="11539" max="11539" width="9.7109375" style="125" customWidth="1"/>
    <col min="11540" max="11541" width="3.7109375" style="125" customWidth="1"/>
    <col min="11542" max="11542" width="9.7109375" style="125" customWidth="1"/>
    <col min="11543" max="11544" width="3.7109375" style="125" customWidth="1"/>
    <col min="11545" max="11545" width="9.7109375" style="125" customWidth="1"/>
    <col min="11546" max="11547" width="3.7109375" style="125" customWidth="1"/>
    <col min="11548" max="11548" width="9.7109375" style="125" customWidth="1"/>
    <col min="11549" max="11550" width="3.7109375" style="125" customWidth="1"/>
    <col min="11551" max="11551" width="9.7109375" style="125" customWidth="1"/>
    <col min="11552" max="11553" width="3.7109375" style="125" customWidth="1"/>
    <col min="11554" max="11554" width="9.7109375" style="125" customWidth="1"/>
    <col min="11555" max="11556" width="3.7109375" style="125" customWidth="1"/>
    <col min="11557" max="11557" width="9.7109375" style="125" customWidth="1"/>
    <col min="11558" max="11559" width="3.7109375" style="125" customWidth="1"/>
    <col min="11560" max="11560" width="9.7109375" style="125" customWidth="1"/>
    <col min="11561" max="11562" width="3.7109375" style="125" customWidth="1"/>
    <col min="11563" max="11563" width="9.7109375" style="125" customWidth="1"/>
    <col min="11564" max="11565" width="3.7109375" style="125" customWidth="1"/>
    <col min="11566" max="11566" width="9.7109375" style="125" customWidth="1"/>
    <col min="11567" max="11568" width="3.7109375" style="125" customWidth="1"/>
    <col min="11569" max="11569" width="9.7109375" style="125" customWidth="1"/>
    <col min="11570" max="11571" width="3.7109375" style="125" customWidth="1"/>
    <col min="11572" max="11572" width="9.7109375" style="125" customWidth="1"/>
    <col min="11573" max="11574" width="3.7109375" style="125" customWidth="1"/>
    <col min="11575" max="11575" width="9.7109375" style="125" customWidth="1"/>
    <col min="11576" max="11577" width="3.7109375" style="125" customWidth="1"/>
    <col min="11578" max="11578" width="9.7109375" style="125" customWidth="1"/>
    <col min="11579" max="11580" width="3.7109375" style="125" customWidth="1"/>
    <col min="11581" max="11581" width="9.7109375" style="125" customWidth="1"/>
    <col min="11582" max="11583" width="3.7109375" style="125" customWidth="1"/>
    <col min="11584" max="11584" width="9.7109375" style="125" customWidth="1"/>
    <col min="11585" max="11586" width="3.7109375" style="125" customWidth="1"/>
    <col min="11587" max="11587" width="9.7109375" style="125" customWidth="1"/>
    <col min="11588" max="11589" width="3.7109375" style="125" customWidth="1"/>
    <col min="11590" max="11590" width="9.7109375" style="125" customWidth="1"/>
    <col min="11591" max="11592" width="3.7109375" style="125" customWidth="1"/>
    <col min="11593" max="11593" width="9.7109375" style="125" customWidth="1"/>
    <col min="11594" max="11595" width="3.7109375" style="125" customWidth="1"/>
    <col min="11596" max="11596" width="9.7109375" style="125" customWidth="1"/>
    <col min="11597" max="11598" width="3.7109375" style="125" customWidth="1"/>
    <col min="11599" max="11599" width="9.7109375" style="125" customWidth="1"/>
    <col min="11600" max="11601" width="3.7109375" style="125" customWidth="1"/>
    <col min="11602" max="11602" width="9.7109375" style="125" customWidth="1"/>
    <col min="11603" max="11604" width="3.7109375" style="125" customWidth="1"/>
    <col min="11605" max="11605" width="9.7109375" style="125" customWidth="1"/>
    <col min="11606" max="11607" width="3.7109375" style="125" customWidth="1"/>
    <col min="11608" max="11608" width="9.7109375" style="125" customWidth="1"/>
    <col min="11609" max="11610" width="3.7109375" style="125" customWidth="1"/>
    <col min="11611" max="11611" width="9.7109375" style="125" customWidth="1"/>
    <col min="11612" max="11613" width="3.7109375" style="125" customWidth="1"/>
    <col min="11614" max="11614" width="9.7109375" style="125" customWidth="1"/>
    <col min="11615" max="11616" width="3.7109375" style="125" customWidth="1"/>
    <col min="11617" max="11617" width="9.7109375" style="125" customWidth="1"/>
    <col min="11618" max="11619" width="3.7109375" style="125" customWidth="1"/>
    <col min="11620" max="11620" width="9.7109375" style="125" customWidth="1"/>
    <col min="11621" max="11622" width="3.7109375" style="125" customWidth="1"/>
    <col min="11623" max="11623" width="9.7109375" style="125" customWidth="1"/>
    <col min="11624" max="11625" width="3.7109375" style="125" customWidth="1"/>
    <col min="11626" max="11626" width="9.7109375" style="125" customWidth="1"/>
    <col min="11627" max="11628" width="3.7109375" style="125" customWidth="1"/>
    <col min="11629" max="11629" width="9.7109375" style="125" customWidth="1"/>
    <col min="11630" max="11631" width="3.7109375" style="125" customWidth="1"/>
    <col min="11632" max="11632" width="9.7109375" style="125" customWidth="1"/>
    <col min="11633" max="11634" width="3.7109375" style="125" customWidth="1"/>
    <col min="11635" max="11635" width="9.7109375" style="125" customWidth="1"/>
    <col min="11636" max="11637" width="3.7109375" style="125" customWidth="1"/>
    <col min="11638" max="11638" width="9.7109375" style="125" customWidth="1"/>
    <col min="11639" max="11640" width="3.7109375" style="125" customWidth="1"/>
    <col min="11641" max="11641" width="9.7109375" style="125" customWidth="1"/>
    <col min="11642" max="11643" width="3.7109375" style="125" customWidth="1"/>
    <col min="11644" max="11644" width="9.7109375" style="125" customWidth="1"/>
    <col min="11645" max="11646" width="3.7109375" style="125" customWidth="1"/>
    <col min="11647" max="11647" width="9.7109375" style="125" customWidth="1"/>
    <col min="11648" max="11649" width="3.7109375" style="125" customWidth="1"/>
    <col min="11650" max="11650" width="9.7109375" style="125" customWidth="1"/>
    <col min="11651" max="11652" width="3.7109375" style="125" customWidth="1"/>
    <col min="11653" max="11653" width="9.7109375" style="125" customWidth="1"/>
    <col min="11654" max="11655" width="3.7109375" style="125" customWidth="1"/>
    <col min="11656" max="11656" width="9.7109375" style="125" customWidth="1"/>
    <col min="11657" max="11658" width="3.7109375" style="125" customWidth="1"/>
    <col min="11659" max="11659" width="9.7109375" style="125" customWidth="1"/>
    <col min="11660" max="11661" width="3.7109375" style="125" customWidth="1"/>
    <col min="11662" max="11662" width="9.7109375" style="125" customWidth="1"/>
    <col min="11663" max="11664" width="3.7109375" style="125" customWidth="1"/>
    <col min="11665" max="11665" width="9.7109375" style="125" customWidth="1"/>
    <col min="11666" max="11666" width="3.7109375" style="125" customWidth="1"/>
    <col min="11667" max="11667" width="5.7109375" style="125" bestFit="1" customWidth="1"/>
    <col min="11668" max="11668" width="9.7109375" style="125" customWidth="1"/>
    <col min="11669" max="11670" width="3.7109375" style="125" customWidth="1"/>
    <col min="11671" max="11671" width="9.7109375" style="125" customWidth="1"/>
    <col min="11672" max="11673" width="3.7109375" style="125" customWidth="1"/>
    <col min="11674" max="11674" width="9.7109375" style="125" customWidth="1"/>
    <col min="11675" max="11676" width="3.7109375" style="125" customWidth="1"/>
    <col min="11677" max="11677" width="9.7109375" style="125" customWidth="1"/>
    <col min="11678" max="11679" width="3.7109375" style="125" customWidth="1"/>
    <col min="11680" max="11680" width="9.7109375" style="125" customWidth="1"/>
    <col min="11681" max="11682" width="3.7109375" style="125" customWidth="1"/>
    <col min="11683" max="11683" width="9.7109375" style="125" customWidth="1"/>
    <col min="11684" max="11684" width="3.7109375" style="125" customWidth="1"/>
    <col min="11685" max="11685" width="5.7109375" style="125" bestFit="1" customWidth="1"/>
    <col min="11686" max="11686" width="9.7109375" style="125" customWidth="1"/>
    <col min="11687" max="11688" width="3.7109375" style="125" customWidth="1"/>
    <col min="11689" max="11689" width="9.7109375" style="125" customWidth="1"/>
    <col min="11690" max="11691" width="3.7109375" style="125" customWidth="1"/>
    <col min="11692" max="11692" width="9.7109375" style="125" customWidth="1"/>
    <col min="11693" max="11694" width="3.7109375" style="125" customWidth="1"/>
    <col min="11695" max="11695" width="9.7109375" style="125" customWidth="1"/>
    <col min="11696" max="11697" width="3.7109375" style="125" customWidth="1"/>
    <col min="11698" max="11698" width="9.7109375" style="125" customWidth="1"/>
    <col min="11699" max="11700" width="3.7109375" style="125" customWidth="1"/>
    <col min="11701" max="11701" width="9.7109375" style="125" customWidth="1"/>
    <col min="11702" max="11703" width="3.7109375" style="125" customWidth="1"/>
    <col min="11704" max="11704" width="9.7109375" style="125" customWidth="1"/>
    <col min="11705" max="11706" width="3.7109375" style="125" customWidth="1"/>
    <col min="11707" max="11707" width="9.7109375" style="125" customWidth="1"/>
    <col min="11708" max="11709" width="3.7109375" style="125" customWidth="1"/>
    <col min="11710" max="11710" width="9.7109375" style="125" customWidth="1"/>
    <col min="11711" max="11712" width="3.7109375" style="125" customWidth="1"/>
    <col min="11713" max="11713" width="9.7109375" style="125" customWidth="1"/>
    <col min="11714" max="11715" width="3.7109375" style="125" customWidth="1"/>
    <col min="11716" max="11716" width="9.7109375" style="125" customWidth="1"/>
    <col min="11717" max="11718" width="3.7109375" style="125" customWidth="1"/>
    <col min="11719" max="11719" width="9.7109375" style="125" customWidth="1"/>
    <col min="11720" max="11721" width="3.7109375" style="125" customWidth="1"/>
    <col min="11722" max="11722" width="9.7109375" style="125" customWidth="1"/>
    <col min="11723" max="11724" width="3.7109375" style="125" customWidth="1"/>
    <col min="11725" max="11725" width="9.7109375" style="125" customWidth="1"/>
    <col min="11726" max="11727" width="3.7109375" style="125" customWidth="1"/>
    <col min="11728" max="11728" width="9.7109375" style="125" customWidth="1"/>
    <col min="11729" max="11730" width="3.7109375" style="125" customWidth="1"/>
    <col min="11731" max="11731" width="9.7109375" style="125" customWidth="1"/>
    <col min="11732" max="11733" width="3.7109375" style="125" customWidth="1"/>
    <col min="11734" max="11734" width="9.7109375" style="125" customWidth="1"/>
    <col min="11735" max="11736" width="3.7109375" style="125" customWidth="1"/>
    <col min="11737" max="11737" width="9.7109375" style="125" customWidth="1"/>
    <col min="11738" max="11739" width="3.7109375" style="125" customWidth="1"/>
    <col min="11740" max="11740" width="9.7109375" style="125" customWidth="1"/>
    <col min="11741" max="11742" width="3.7109375" style="125" customWidth="1"/>
    <col min="11743" max="11743" width="9.7109375" style="125" customWidth="1"/>
    <col min="11744" max="11745" width="3.7109375" style="125" customWidth="1"/>
    <col min="11746" max="11746" width="9.7109375" style="125" customWidth="1"/>
    <col min="11747" max="11748" width="3.7109375" style="125" customWidth="1"/>
    <col min="11749" max="11749" width="9.7109375" style="125" customWidth="1"/>
    <col min="11750" max="11751" width="3.7109375" style="125" customWidth="1"/>
    <col min="11752" max="11752" width="9.7109375" style="125" customWidth="1"/>
    <col min="11753" max="11754" width="3.7109375" style="125" customWidth="1"/>
    <col min="11755" max="11755" width="9.7109375" style="125" customWidth="1"/>
    <col min="11756" max="11757" width="3.7109375" style="125" customWidth="1"/>
    <col min="11758" max="11758" width="9.7109375" style="125" customWidth="1"/>
    <col min="11759" max="11760" width="3.7109375" style="125" customWidth="1"/>
    <col min="11761" max="11761" width="9.7109375" style="125" customWidth="1"/>
    <col min="11762" max="11763" width="3.7109375" style="125" customWidth="1"/>
    <col min="11764" max="11764" width="9.7109375" style="125" customWidth="1"/>
    <col min="11765" max="11766" width="3.7109375" style="125" customWidth="1"/>
    <col min="11767" max="11767" width="9.7109375" style="125" customWidth="1"/>
    <col min="11768" max="11769" width="3.7109375" style="125" customWidth="1"/>
    <col min="11770" max="11770" width="9.7109375" style="125" customWidth="1"/>
    <col min="11771" max="11772" width="3.7109375" style="125" customWidth="1"/>
    <col min="11773" max="11773" width="9.7109375" style="125" customWidth="1"/>
    <col min="11774" max="11774" width="3.7109375" style="125" customWidth="1"/>
    <col min="11775" max="11776" width="8" style="125"/>
    <col min="11777" max="11777" width="30.7109375" style="125" customWidth="1"/>
    <col min="11778" max="11778" width="9.7109375" style="125" customWidth="1"/>
    <col min="11779" max="11779" width="3.7109375" style="125" customWidth="1"/>
    <col min="11780" max="11780" width="9.7109375" style="125" customWidth="1"/>
    <col min="11781" max="11782" width="3.7109375" style="125" customWidth="1"/>
    <col min="11783" max="11783" width="9.7109375" style="125" customWidth="1"/>
    <col min="11784" max="11785" width="3.7109375" style="125" customWidth="1"/>
    <col min="11786" max="11786" width="9.7109375" style="125" customWidth="1"/>
    <col min="11787" max="11788" width="3.7109375" style="125" customWidth="1"/>
    <col min="11789" max="11789" width="9.7109375" style="125" customWidth="1"/>
    <col min="11790" max="11791" width="3.7109375" style="125" customWidth="1"/>
    <col min="11792" max="11792" width="9.7109375" style="125" customWidth="1"/>
    <col min="11793" max="11794" width="3.7109375" style="125" customWidth="1"/>
    <col min="11795" max="11795" width="9.7109375" style="125" customWidth="1"/>
    <col min="11796" max="11797" width="3.7109375" style="125" customWidth="1"/>
    <col min="11798" max="11798" width="9.7109375" style="125" customWidth="1"/>
    <col min="11799" max="11800" width="3.7109375" style="125" customWidth="1"/>
    <col min="11801" max="11801" width="9.7109375" style="125" customWidth="1"/>
    <col min="11802" max="11803" width="3.7109375" style="125" customWidth="1"/>
    <col min="11804" max="11804" width="9.7109375" style="125" customWidth="1"/>
    <col min="11805" max="11806" width="3.7109375" style="125" customWidth="1"/>
    <col min="11807" max="11807" width="9.7109375" style="125" customWidth="1"/>
    <col min="11808" max="11809" width="3.7109375" style="125" customWidth="1"/>
    <col min="11810" max="11810" width="9.7109375" style="125" customWidth="1"/>
    <col min="11811" max="11812" width="3.7109375" style="125" customWidth="1"/>
    <col min="11813" max="11813" width="9.7109375" style="125" customWidth="1"/>
    <col min="11814" max="11815" width="3.7109375" style="125" customWidth="1"/>
    <col min="11816" max="11816" width="9.7109375" style="125" customWidth="1"/>
    <col min="11817" max="11818" width="3.7109375" style="125" customWidth="1"/>
    <col min="11819" max="11819" width="9.7109375" style="125" customWidth="1"/>
    <col min="11820" max="11821" width="3.7109375" style="125" customWidth="1"/>
    <col min="11822" max="11822" width="9.7109375" style="125" customWidth="1"/>
    <col min="11823" max="11824" width="3.7109375" style="125" customWidth="1"/>
    <col min="11825" max="11825" width="9.7109375" style="125" customWidth="1"/>
    <col min="11826" max="11827" width="3.7109375" style="125" customWidth="1"/>
    <col min="11828" max="11828" width="9.7109375" style="125" customWidth="1"/>
    <col min="11829" max="11830" width="3.7109375" style="125" customWidth="1"/>
    <col min="11831" max="11831" width="9.7109375" style="125" customWidth="1"/>
    <col min="11832" max="11833" width="3.7109375" style="125" customWidth="1"/>
    <col min="11834" max="11834" width="9.7109375" style="125" customWidth="1"/>
    <col min="11835" max="11836" width="3.7109375" style="125" customWidth="1"/>
    <col min="11837" max="11837" width="9.7109375" style="125" customWidth="1"/>
    <col min="11838" max="11839" width="3.7109375" style="125" customWidth="1"/>
    <col min="11840" max="11840" width="9.7109375" style="125" customWidth="1"/>
    <col min="11841" max="11842" width="3.7109375" style="125" customWidth="1"/>
    <col min="11843" max="11843" width="9.7109375" style="125" customWidth="1"/>
    <col min="11844" max="11845" width="3.7109375" style="125" customWidth="1"/>
    <col min="11846" max="11846" width="9.7109375" style="125" customWidth="1"/>
    <col min="11847" max="11848" width="3.7109375" style="125" customWidth="1"/>
    <col min="11849" max="11849" width="9.7109375" style="125" customWidth="1"/>
    <col min="11850" max="11851" width="3.7109375" style="125" customWidth="1"/>
    <col min="11852" max="11852" width="9.7109375" style="125" customWidth="1"/>
    <col min="11853" max="11854" width="3.7109375" style="125" customWidth="1"/>
    <col min="11855" max="11855" width="9.7109375" style="125" customWidth="1"/>
    <col min="11856" max="11857" width="3.7109375" style="125" customWidth="1"/>
    <col min="11858" max="11858" width="9.7109375" style="125" customWidth="1"/>
    <col min="11859" max="11860" width="3.7109375" style="125" customWidth="1"/>
    <col min="11861" max="11861" width="9.7109375" style="125" customWidth="1"/>
    <col min="11862" max="11863" width="3.7109375" style="125" customWidth="1"/>
    <col min="11864" max="11864" width="9.7109375" style="125" customWidth="1"/>
    <col min="11865" max="11866" width="3.7109375" style="125" customWidth="1"/>
    <col min="11867" max="11867" width="9.7109375" style="125" customWidth="1"/>
    <col min="11868" max="11869" width="3.7109375" style="125" customWidth="1"/>
    <col min="11870" max="11870" width="9.7109375" style="125" customWidth="1"/>
    <col min="11871" max="11872" width="3.7109375" style="125" customWidth="1"/>
    <col min="11873" max="11873" width="9.7109375" style="125" customWidth="1"/>
    <col min="11874" max="11875" width="3.7109375" style="125" customWidth="1"/>
    <col min="11876" max="11876" width="9.7109375" style="125" customWidth="1"/>
    <col min="11877" max="11878" width="3.7109375" style="125" customWidth="1"/>
    <col min="11879" max="11879" width="9.7109375" style="125" customWidth="1"/>
    <col min="11880" max="11881" width="3.7109375" style="125" customWidth="1"/>
    <col min="11882" max="11882" width="9.7109375" style="125" customWidth="1"/>
    <col min="11883" max="11884" width="3.7109375" style="125" customWidth="1"/>
    <col min="11885" max="11885" width="9.7109375" style="125" customWidth="1"/>
    <col min="11886" max="11887" width="3.7109375" style="125" customWidth="1"/>
    <col min="11888" max="11888" width="9.7109375" style="125" customWidth="1"/>
    <col min="11889" max="11890" width="3.7109375" style="125" customWidth="1"/>
    <col min="11891" max="11891" width="9.7109375" style="125" customWidth="1"/>
    <col min="11892" max="11893" width="3.7109375" style="125" customWidth="1"/>
    <col min="11894" max="11894" width="9.7109375" style="125" customWidth="1"/>
    <col min="11895" max="11896" width="3.7109375" style="125" customWidth="1"/>
    <col min="11897" max="11897" width="9.7109375" style="125" customWidth="1"/>
    <col min="11898" max="11899" width="3.7109375" style="125" customWidth="1"/>
    <col min="11900" max="11900" width="9.7109375" style="125" customWidth="1"/>
    <col min="11901" max="11902" width="3.7109375" style="125" customWidth="1"/>
    <col min="11903" max="11903" width="9.7109375" style="125" customWidth="1"/>
    <col min="11904" max="11905" width="3.7109375" style="125" customWidth="1"/>
    <col min="11906" max="11906" width="9.7109375" style="125" customWidth="1"/>
    <col min="11907" max="11908" width="3.7109375" style="125" customWidth="1"/>
    <col min="11909" max="11909" width="9.7109375" style="125" customWidth="1"/>
    <col min="11910" max="11911" width="3.7109375" style="125" customWidth="1"/>
    <col min="11912" max="11912" width="9.7109375" style="125" customWidth="1"/>
    <col min="11913" max="11914" width="3.7109375" style="125" customWidth="1"/>
    <col min="11915" max="11915" width="9.7109375" style="125" customWidth="1"/>
    <col min="11916" max="11917" width="3.7109375" style="125" customWidth="1"/>
    <col min="11918" max="11918" width="9.7109375" style="125" customWidth="1"/>
    <col min="11919" max="11920" width="3.7109375" style="125" customWidth="1"/>
    <col min="11921" max="11921" width="9.7109375" style="125" customWidth="1"/>
    <col min="11922" max="11922" width="3.7109375" style="125" customWidth="1"/>
    <col min="11923" max="11923" width="5.7109375" style="125" bestFit="1" customWidth="1"/>
    <col min="11924" max="11924" width="9.7109375" style="125" customWidth="1"/>
    <col min="11925" max="11926" width="3.7109375" style="125" customWidth="1"/>
    <col min="11927" max="11927" width="9.7109375" style="125" customWidth="1"/>
    <col min="11928" max="11929" width="3.7109375" style="125" customWidth="1"/>
    <col min="11930" max="11930" width="9.7109375" style="125" customWidth="1"/>
    <col min="11931" max="11932" width="3.7109375" style="125" customWidth="1"/>
    <col min="11933" max="11933" width="9.7109375" style="125" customWidth="1"/>
    <col min="11934" max="11935" width="3.7109375" style="125" customWidth="1"/>
    <col min="11936" max="11936" width="9.7109375" style="125" customWidth="1"/>
    <col min="11937" max="11938" width="3.7109375" style="125" customWidth="1"/>
    <col min="11939" max="11939" width="9.7109375" style="125" customWidth="1"/>
    <col min="11940" max="11940" width="3.7109375" style="125" customWidth="1"/>
    <col min="11941" max="11941" width="5.7109375" style="125" bestFit="1" customWidth="1"/>
    <col min="11942" max="11942" width="9.7109375" style="125" customWidth="1"/>
    <col min="11943" max="11944" width="3.7109375" style="125" customWidth="1"/>
    <col min="11945" max="11945" width="9.7109375" style="125" customWidth="1"/>
    <col min="11946" max="11947" width="3.7109375" style="125" customWidth="1"/>
    <col min="11948" max="11948" width="9.7109375" style="125" customWidth="1"/>
    <col min="11949" max="11950" width="3.7109375" style="125" customWidth="1"/>
    <col min="11951" max="11951" width="9.7109375" style="125" customWidth="1"/>
    <col min="11952" max="11953" width="3.7109375" style="125" customWidth="1"/>
    <col min="11954" max="11954" width="9.7109375" style="125" customWidth="1"/>
    <col min="11955" max="11956" width="3.7109375" style="125" customWidth="1"/>
    <col min="11957" max="11957" width="9.7109375" style="125" customWidth="1"/>
    <col min="11958" max="11959" width="3.7109375" style="125" customWidth="1"/>
    <col min="11960" max="11960" width="9.7109375" style="125" customWidth="1"/>
    <col min="11961" max="11962" width="3.7109375" style="125" customWidth="1"/>
    <col min="11963" max="11963" width="9.7109375" style="125" customWidth="1"/>
    <col min="11964" max="11965" width="3.7109375" style="125" customWidth="1"/>
    <col min="11966" max="11966" width="9.7109375" style="125" customWidth="1"/>
    <col min="11967" max="11968" width="3.7109375" style="125" customWidth="1"/>
    <col min="11969" max="11969" width="9.7109375" style="125" customWidth="1"/>
    <col min="11970" max="11971" width="3.7109375" style="125" customWidth="1"/>
    <col min="11972" max="11972" width="9.7109375" style="125" customWidth="1"/>
    <col min="11973" max="11974" width="3.7109375" style="125" customWidth="1"/>
    <col min="11975" max="11975" width="9.7109375" style="125" customWidth="1"/>
    <col min="11976" max="11977" width="3.7109375" style="125" customWidth="1"/>
    <col min="11978" max="11978" width="9.7109375" style="125" customWidth="1"/>
    <col min="11979" max="11980" width="3.7109375" style="125" customWidth="1"/>
    <col min="11981" max="11981" width="9.7109375" style="125" customWidth="1"/>
    <col min="11982" max="11983" width="3.7109375" style="125" customWidth="1"/>
    <col min="11984" max="11984" width="9.7109375" style="125" customWidth="1"/>
    <col min="11985" max="11986" width="3.7109375" style="125" customWidth="1"/>
    <col min="11987" max="11987" width="9.7109375" style="125" customWidth="1"/>
    <col min="11988" max="11989" width="3.7109375" style="125" customWidth="1"/>
    <col min="11990" max="11990" width="9.7109375" style="125" customWidth="1"/>
    <col min="11991" max="11992" width="3.7109375" style="125" customWidth="1"/>
    <col min="11993" max="11993" width="9.7109375" style="125" customWidth="1"/>
    <col min="11994" max="11995" width="3.7109375" style="125" customWidth="1"/>
    <col min="11996" max="11996" width="9.7109375" style="125" customWidth="1"/>
    <col min="11997" max="11998" width="3.7109375" style="125" customWidth="1"/>
    <col min="11999" max="11999" width="9.7109375" style="125" customWidth="1"/>
    <col min="12000" max="12001" width="3.7109375" style="125" customWidth="1"/>
    <col min="12002" max="12002" width="9.7109375" style="125" customWidth="1"/>
    <col min="12003" max="12004" width="3.7109375" style="125" customWidth="1"/>
    <col min="12005" max="12005" width="9.7109375" style="125" customWidth="1"/>
    <col min="12006" max="12007" width="3.7109375" style="125" customWidth="1"/>
    <col min="12008" max="12008" width="9.7109375" style="125" customWidth="1"/>
    <col min="12009" max="12010" width="3.7109375" style="125" customWidth="1"/>
    <col min="12011" max="12011" width="9.7109375" style="125" customWidth="1"/>
    <col min="12012" max="12013" width="3.7109375" style="125" customWidth="1"/>
    <col min="12014" max="12014" width="9.7109375" style="125" customWidth="1"/>
    <col min="12015" max="12016" width="3.7109375" style="125" customWidth="1"/>
    <col min="12017" max="12017" width="9.7109375" style="125" customWidth="1"/>
    <col min="12018" max="12019" width="3.7109375" style="125" customWidth="1"/>
    <col min="12020" max="12020" width="9.7109375" style="125" customWidth="1"/>
    <col min="12021" max="12022" width="3.7109375" style="125" customWidth="1"/>
    <col min="12023" max="12023" width="9.7109375" style="125" customWidth="1"/>
    <col min="12024" max="12025" width="3.7109375" style="125" customWidth="1"/>
    <col min="12026" max="12026" width="9.7109375" style="125" customWidth="1"/>
    <col min="12027" max="12028" width="3.7109375" style="125" customWidth="1"/>
    <col min="12029" max="12029" width="9.7109375" style="125" customWidth="1"/>
    <col min="12030" max="12030" width="3.7109375" style="125" customWidth="1"/>
    <col min="12031" max="12032" width="8" style="125"/>
    <col min="12033" max="12033" width="30.7109375" style="125" customWidth="1"/>
    <col min="12034" max="12034" width="9.7109375" style="125" customWidth="1"/>
    <col min="12035" max="12035" width="3.7109375" style="125" customWidth="1"/>
    <col min="12036" max="12036" width="9.7109375" style="125" customWidth="1"/>
    <col min="12037" max="12038" width="3.7109375" style="125" customWidth="1"/>
    <col min="12039" max="12039" width="9.7109375" style="125" customWidth="1"/>
    <col min="12040" max="12041" width="3.7109375" style="125" customWidth="1"/>
    <col min="12042" max="12042" width="9.7109375" style="125" customWidth="1"/>
    <col min="12043" max="12044" width="3.7109375" style="125" customWidth="1"/>
    <col min="12045" max="12045" width="9.7109375" style="125" customWidth="1"/>
    <col min="12046" max="12047" width="3.7109375" style="125" customWidth="1"/>
    <col min="12048" max="12048" width="9.7109375" style="125" customWidth="1"/>
    <col min="12049" max="12050" width="3.7109375" style="125" customWidth="1"/>
    <col min="12051" max="12051" width="9.7109375" style="125" customWidth="1"/>
    <col min="12052" max="12053" width="3.7109375" style="125" customWidth="1"/>
    <col min="12054" max="12054" width="9.7109375" style="125" customWidth="1"/>
    <col min="12055" max="12056" width="3.7109375" style="125" customWidth="1"/>
    <col min="12057" max="12057" width="9.7109375" style="125" customWidth="1"/>
    <col min="12058" max="12059" width="3.7109375" style="125" customWidth="1"/>
    <col min="12060" max="12060" width="9.7109375" style="125" customWidth="1"/>
    <col min="12061" max="12062" width="3.7109375" style="125" customWidth="1"/>
    <col min="12063" max="12063" width="9.7109375" style="125" customWidth="1"/>
    <col min="12064" max="12065" width="3.7109375" style="125" customWidth="1"/>
    <col min="12066" max="12066" width="9.7109375" style="125" customWidth="1"/>
    <col min="12067" max="12068" width="3.7109375" style="125" customWidth="1"/>
    <col min="12069" max="12069" width="9.7109375" style="125" customWidth="1"/>
    <col min="12070" max="12071" width="3.7109375" style="125" customWidth="1"/>
    <col min="12072" max="12072" width="9.7109375" style="125" customWidth="1"/>
    <col min="12073" max="12074" width="3.7109375" style="125" customWidth="1"/>
    <col min="12075" max="12075" width="9.7109375" style="125" customWidth="1"/>
    <col min="12076" max="12077" width="3.7109375" style="125" customWidth="1"/>
    <col min="12078" max="12078" width="9.7109375" style="125" customWidth="1"/>
    <col min="12079" max="12080" width="3.7109375" style="125" customWidth="1"/>
    <col min="12081" max="12081" width="9.7109375" style="125" customWidth="1"/>
    <col min="12082" max="12083" width="3.7109375" style="125" customWidth="1"/>
    <col min="12084" max="12084" width="9.7109375" style="125" customWidth="1"/>
    <col min="12085" max="12086" width="3.7109375" style="125" customWidth="1"/>
    <col min="12087" max="12087" width="9.7109375" style="125" customWidth="1"/>
    <col min="12088" max="12089" width="3.7109375" style="125" customWidth="1"/>
    <col min="12090" max="12090" width="9.7109375" style="125" customWidth="1"/>
    <col min="12091" max="12092" width="3.7109375" style="125" customWidth="1"/>
    <col min="12093" max="12093" width="9.7109375" style="125" customWidth="1"/>
    <col min="12094" max="12095" width="3.7109375" style="125" customWidth="1"/>
    <col min="12096" max="12096" width="9.7109375" style="125" customWidth="1"/>
    <col min="12097" max="12098" width="3.7109375" style="125" customWidth="1"/>
    <col min="12099" max="12099" width="9.7109375" style="125" customWidth="1"/>
    <col min="12100" max="12101" width="3.7109375" style="125" customWidth="1"/>
    <col min="12102" max="12102" width="9.7109375" style="125" customWidth="1"/>
    <col min="12103" max="12104" width="3.7109375" style="125" customWidth="1"/>
    <col min="12105" max="12105" width="9.7109375" style="125" customWidth="1"/>
    <col min="12106" max="12107" width="3.7109375" style="125" customWidth="1"/>
    <col min="12108" max="12108" width="9.7109375" style="125" customWidth="1"/>
    <col min="12109" max="12110" width="3.7109375" style="125" customWidth="1"/>
    <col min="12111" max="12111" width="9.7109375" style="125" customWidth="1"/>
    <col min="12112" max="12113" width="3.7109375" style="125" customWidth="1"/>
    <col min="12114" max="12114" width="9.7109375" style="125" customWidth="1"/>
    <col min="12115" max="12116" width="3.7109375" style="125" customWidth="1"/>
    <col min="12117" max="12117" width="9.7109375" style="125" customWidth="1"/>
    <col min="12118" max="12119" width="3.7109375" style="125" customWidth="1"/>
    <col min="12120" max="12120" width="9.7109375" style="125" customWidth="1"/>
    <col min="12121" max="12122" width="3.7109375" style="125" customWidth="1"/>
    <col min="12123" max="12123" width="9.7109375" style="125" customWidth="1"/>
    <col min="12124" max="12125" width="3.7109375" style="125" customWidth="1"/>
    <col min="12126" max="12126" width="9.7109375" style="125" customWidth="1"/>
    <col min="12127" max="12128" width="3.7109375" style="125" customWidth="1"/>
    <col min="12129" max="12129" width="9.7109375" style="125" customWidth="1"/>
    <col min="12130" max="12131" width="3.7109375" style="125" customWidth="1"/>
    <col min="12132" max="12132" width="9.7109375" style="125" customWidth="1"/>
    <col min="12133" max="12134" width="3.7109375" style="125" customWidth="1"/>
    <col min="12135" max="12135" width="9.7109375" style="125" customWidth="1"/>
    <col min="12136" max="12137" width="3.7109375" style="125" customWidth="1"/>
    <col min="12138" max="12138" width="9.7109375" style="125" customWidth="1"/>
    <col min="12139" max="12140" width="3.7109375" style="125" customWidth="1"/>
    <col min="12141" max="12141" width="9.7109375" style="125" customWidth="1"/>
    <col min="12142" max="12143" width="3.7109375" style="125" customWidth="1"/>
    <col min="12144" max="12144" width="9.7109375" style="125" customWidth="1"/>
    <col min="12145" max="12146" width="3.7109375" style="125" customWidth="1"/>
    <col min="12147" max="12147" width="9.7109375" style="125" customWidth="1"/>
    <col min="12148" max="12149" width="3.7109375" style="125" customWidth="1"/>
    <col min="12150" max="12150" width="9.7109375" style="125" customWidth="1"/>
    <col min="12151" max="12152" width="3.7109375" style="125" customWidth="1"/>
    <col min="12153" max="12153" width="9.7109375" style="125" customWidth="1"/>
    <col min="12154" max="12155" width="3.7109375" style="125" customWidth="1"/>
    <col min="12156" max="12156" width="9.7109375" style="125" customWidth="1"/>
    <col min="12157" max="12158" width="3.7109375" style="125" customWidth="1"/>
    <col min="12159" max="12159" width="9.7109375" style="125" customWidth="1"/>
    <col min="12160" max="12161" width="3.7109375" style="125" customWidth="1"/>
    <col min="12162" max="12162" width="9.7109375" style="125" customWidth="1"/>
    <col min="12163" max="12164" width="3.7109375" style="125" customWidth="1"/>
    <col min="12165" max="12165" width="9.7109375" style="125" customWidth="1"/>
    <col min="12166" max="12167" width="3.7109375" style="125" customWidth="1"/>
    <col min="12168" max="12168" width="9.7109375" style="125" customWidth="1"/>
    <col min="12169" max="12170" width="3.7109375" style="125" customWidth="1"/>
    <col min="12171" max="12171" width="9.7109375" style="125" customWidth="1"/>
    <col min="12172" max="12173" width="3.7109375" style="125" customWidth="1"/>
    <col min="12174" max="12174" width="9.7109375" style="125" customWidth="1"/>
    <col min="12175" max="12176" width="3.7109375" style="125" customWidth="1"/>
    <col min="12177" max="12177" width="9.7109375" style="125" customWidth="1"/>
    <col min="12178" max="12178" width="3.7109375" style="125" customWidth="1"/>
    <col min="12179" max="12179" width="5.7109375" style="125" bestFit="1" customWidth="1"/>
    <col min="12180" max="12180" width="9.7109375" style="125" customWidth="1"/>
    <col min="12181" max="12182" width="3.7109375" style="125" customWidth="1"/>
    <col min="12183" max="12183" width="9.7109375" style="125" customWidth="1"/>
    <col min="12184" max="12185" width="3.7109375" style="125" customWidth="1"/>
    <col min="12186" max="12186" width="9.7109375" style="125" customWidth="1"/>
    <col min="12187" max="12188" width="3.7109375" style="125" customWidth="1"/>
    <col min="12189" max="12189" width="9.7109375" style="125" customWidth="1"/>
    <col min="12190" max="12191" width="3.7109375" style="125" customWidth="1"/>
    <col min="12192" max="12192" width="9.7109375" style="125" customWidth="1"/>
    <col min="12193" max="12194" width="3.7109375" style="125" customWidth="1"/>
    <col min="12195" max="12195" width="9.7109375" style="125" customWidth="1"/>
    <col min="12196" max="12196" width="3.7109375" style="125" customWidth="1"/>
    <col min="12197" max="12197" width="5.7109375" style="125" bestFit="1" customWidth="1"/>
    <col min="12198" max="12198" width="9.7109375" style="125" customWidth="1"/>
    <col min="12199" max="12200" width="3.7109375" style="125" customWidth="1"/>
    <col min="12201" max="12201" width="9.7109375" style="125" customWidth="1"/>
    <col min="12202" max="12203" width="3.7109375" style="125" customWidth="1"/>
    <col min="12204" max="12204" width="9.7109375" style="125" customWidth="1"/>
    <col min="12205" max="12206" width="3.7109375" style="125" customWidth="1"/>
    <col min="12207" max="12207" width="9.7109375" style="125" customWidth="1"/>
    <col min="12208" max="12209" width="3.7109375" style="125" customWidth="1"/>
    <col min="12210" max="12210" width="9.7109375" style="125" customWidth="1"/>
    <col min="12211" max="12212" width="3.7109375" style="125" customWidth="1"/>
    <col min="12213" max="12213" width="9.7109375" style="125" customWidth="1"/>
    <col min="12214" max="12215" width="3.7109375" style="125" customWidth="1"/>
    <col min="12216" max="12216" width="9.7109375" style="125" customWidth="1"/>
    <col min="12217" max="12218" width="3.7109375" style="125" customWidth="1"/>
    <col min="12219" max="12219" width="9.7109375" style="125" customWidth="1"/>
    <col min="12220" max="12221" width="3.7109375" style="125" customWidth="1"/>
    <col min="12222" max="12222" width="9.7109375" style="125" customWidth="1"/>
    <col min="12223" max="12224" width="3.7109375" style="125" customWidth="1"/>
    <col min="12225" max="12225" width="9.7109375" style="125" customWidth="1"/>
    <col min="12226" max="12227" width="3.7109375" style="125" customWidth="1"/>
    <col min="12228" max="12228" width="9.7109375" style="125" customWidth="1"/>
    <col min="12229" max="12230" width="3.7109375" style="125" customWidth="1"/>
    <col min="12231" max="12231" width="9.7109375" style="125" customWidth="1"/>
    <col min="12232" max="12233" width="3.7109375" style="125" customWidth="1"/>
    <col min="12234" max="12234" width="9.7109375" style="125" customWidth="1"/>
    <col min="12235" max="12236" width="3.7109375" style="125" customWidth="1"/>
    <col min="12237" max="12237" width="9.7109375" style="125" customWidth="1"/>
    <col min="12238" max="12239" width="3.7109375" style="125" customWidth="1"/>
    <col min="12240" max="12240" width="9.7109375" style="125" customWidth="1"/>
    <col min="12241" max="12242" width="3.7109375" style="125" customWidth="1"/>
    <col min="12243" max="12243" width="9.7109375" style="125" customWidth="1"/>
    <col min="12244" max="12245" width="3.7109375" style="125" customWidth="1"/>
    <col min="12246" max="12246" width="9.7109375" style="125" customWidth="1"/>
    <col min="12247" max="12248" width="3.7109375" style="125" customWidth="1"/>
    <col min="12249" max="12249" width="9.7109375" style="125" customWidth="1"/>
    <col min="12250" max="12251" width="3.7109375" style="125" customWidth="1"/>
    <col min="12252" max="12252" width="9.7109375" style="125" customWidth="1"/>
    <col min="12253" max="12254" width="3.7109375" style="125" customWidth="1"/>
    <col min="12255" max="12255" width="9.7109375" style="125" customWidth="1"/>
    <col min="12256" max="12257" width="3.7109375" style="125" customWidth="1"/>
    <col min="12258" max="12258" width="9.7109375" style="125" customWidth="1"/>
    <col min="12259" max="12260" width="3.7109375" style="125" customWidth="1"/>
    <col min="12261" max="12261" width="9.7109375" style="125" customWidth="1"/>
    <col min="12262" max="12263" width="3.7109375" style="125" customWidth="1"/>
    <col min="12264" max="12264" width="9.7109375" style="125" customWidth="1"/>
    <col min="12265" max="12266" width="3.7109375" style="125" customWidth="1"/>
    <col min="12267" max="12267" width="9.7109375" style="125" customWidth="1"/>
    <col min="12268" max="12269" width="3.7109375" style="125" customWidth="1"/>
    <col min="12270" max="12270" width="9.7109375" style="125" customWidth="1"/>
    <col min="12271" max="12272" width="3.7109375" style="125" customWidth="1"/>
    <col min="12273" max="12273" width="9.7109375" style="125" customWidth="1"/>
    <col min="12274" max="12275" width="3.7109375" style="125" customWidth="1"/>
    <col min="12276" max="12276" width="9.7109375" style="125" customWidth="1"/>
    <col min="12277" max="12278" width="3.7109375" style="125" customWidth="1"/>
    <col min="12279" max="12279" width="9.7109375" style="125" customWidth="1"/>
    <col min="12280" max="12281" width="3.7109375" style="125" customWidth="1"/>
    <col min="12282" max="12282" width="9.7109375" style="125" customWidth="1"/>
    <col min="12283" max="12284" width="3.7109375" style="125" customWidth="1"/>
    <col min="12285" max="12285" width="9.7109375" style="125" customWidth="1"/>
    <col min="12286" max="12286" width="3.7109375" style="125" customWidth="1"/>
    <col min="12287" max="12288" width="8" style="125"/>
    <col min="12289" max="12289" width="30.7109375" style="125" customWidth="1"/>
    <col min="12290" max="12290" width="9.7109375" style="125" customWidth="1"/>
    <col min="12291" max="12291" width="3.7109375" style="125" customWidth="1"/>
    <col min="12292" max="12292" width="9.7109375" style="125" customWidth="1"/>
    <col min="12293" max="12294" width="3.7109375" style="125" customWidth="1"/>
    <col min="12295" max="12295" width="9.7109375" style="125" customWidth="1"/>
    <col min="12296" max="12297" width="3.7109375" style="125" customWidth="1"/>
    <col min="12298" max="12298" width="9.7109375" style="125" customWidth="1"/>
    <col min="12299" max="12300" width="3.7109375" style="125" customWidth="1"/>
    <col min="12301" max="12301" width="9.7109375" style="125" customWidth="1"/>
    <col min="12302" max="12303" width="3.7109375" style="125" customWidth="1"/>
    <col min="12304" max="12304" width="9.7109375" style="125" customWidth="1"/>
    <col min="12305" max="12306" width="3.7109375" style="125" customWidth="1"/>
    <col min="12307" max="12307" width="9.7109375" style="125" customWidth="1"/>
    <col min="12308" max="12309" width="3.7109375" style="125" customWidth="1"/>
    <col min="12310" max="12310" width="9.7109375" style="125" customWidth="1"/>
    <col min="12311" max="12312" width="3.7109375" style="125" customWidth="1"/>
    <col min="12313" max="12313" width="9.7109375" style="125" customWidth="1"/>
    <col min="12314" max="12315" width="3.7109375" style="125" customWidth="1"/>
    <col min="12316" max="12316" width="9.7109375" style="125" customWidth="1"/>
    <col min="12317" max="12318" width="3.7109375" style="125" customWidth="1"/>
    <col min="12319" max="12319" width="9.7109375" style="125" customWidth="1"/>
    <col min="12320" max="12321" width="3.7109375" style="125" customWidth="1"/>
    <col min="12322" max="12322" width="9.7109375" style="125" customWidth="1"/>
    <col min="12323" max="12324" width="3.7109375" style="125" customWidth="1"/>
    <col min="12325" max="12325" width="9.7109375" style="125" customWidth="1"/>
    <col min="12326" max="12327" width="3.7109375" style="125" customWidth="1"/>
    <col min="12328" max="12328" width="9.7109375" style="125" customWidth="1"/>
    <col min="12329" max="12330" width="3.7109375" style="125" customWidth="1"/>
    <col min="12331" max="12331" width="9.7109375" style="125" customWidth="1"/>
    <col min="12332" max="12333" width="3.7109375" style="125" customWidth="1"/>
    <col min="12334" max="12334" width="9.7109375" style="125" customWidth="1"/>
    <col min="12335" max="12336" width="3.7109375" style="125" customWidth="1"/>
    <col min="12337" max="12337" width="9.7109375" style="125" customWidth="1"/>
    <col min="12338" max="12339" width="3.7109375" style="125" customWidth="1"/>
    <col min="12340" max="12340" width="9.7109375" style="125" customWidth="1"/>
    <col min="12341" max="12342" width="3.7109375" style="125" customWidth="1"/>
    <col min="12343" max="12343" width="9.7109375" style="125" customWidth="1"/>
    <col min="12344" max="12345" width="3.7109375" style="125" customWidth="1"/>
    <col min="12346" max="12346" width="9.7109375" style="125" customWidth="1"/>
    <col min="12347" max="12348" width="3.7109375" style="125" customWidth="1"/>
    <col min="12349" max="12349" width="9.7109375" style="125" customWidth="1"/>
    <col min="12350" max="12351" width="3.7109375" style="125" customWidth="1"/>
    <col min="12352" max="12352" width="9.7109375" style="125" customWidth="1"/>
    <col min="12353" max="12354" width="3.7109375" style="125" customWidth="1"/>
    <col min="12355" max="12355" width="9.7109375" style="125" customWidth="1"/>
    <col min="12356" max="12357" width="3.7109375" style="125" customWidth="1"/>
    <col min="12358" max="12358" width="9.7109375" style="125" customWidth="1"/>
    <col min="12359" max="12360" width="3.7109375" style="125" customWidth="1"/>
    <col min="12361" max="12361" width="9.7109375" style="125" customWidth="1"/>
    <col min="12362" max="12363" width="3.7109375" style="125" customWidth="1"/>
    <col min="12364" max="12364" width="9.7109375" style="125" customWidth="1"/>
    <col min="12365" max="12366" width="3.7109375" style="125" customWidth="1"/>
    <col min="12367" max="12367" width="9.7109375" style="125" customWidth="1"/>
    <col min="12368" max="12369" width="3.7109375" style="125" customWidth="1"/>
    <col min="12370" max="12370" width="9.7109375" style="125" customWidth="1"/>
    <col min="12371" max="12372" width="3.7109375" style="125" customWidth="1"/>
    <col min="12373" max="12373" width="9.7109375" style="125" customWidth="1"/>
    <col min="12374" max="12375" width="3.7109375" style="125" customWidth="1"/>
    <col min="12376" max="12376" width="9.7109375" style="125" customWidth="1"/>
    <col min="12377" max="12378" width="3.7109375" style="125" customWidth="1"/>
    <col min="12379" max="12379" width="9.7109375" style="125" customWidth="1"/>
    <col min="12380" max="12381" width="3.7109375" style="125" customWidth="1"/>
    <col min="12382" max="12382" width="9.7109375" style="125" customWidth="1"/>
    <col min="12383" max="12384" width="3.7109375" style="125" customWidth="1"/>
    <col min="12385" max="12385" width="9.7109375" style="125" customWidth="1"/>
    <col min="12386" max="12387" width="3.7109375" style="125" customWidth="1"/>
    <col min="12388" max="12388" width="9.7109375" style="125" customWidth="1"/>
    <col min="12389" max="12390" width="3.7109375" style="125" customWidth="1"/>
    <col min="12391" max="12391" width="9.7109375" style="125" customWidth="1"/>
    <col min="12392" max="12393" width="3.7109375" style="125" customWidth="1"/>
    <col min="12394" max="12394" width="9.7109375" style="125" customWidth="1"/>
    <col min="12395" max="12396" width="3.7109375" style="125" customWidth="1"/>
    <col min="12397" max="12397" width="9.7109375" style="125" customWidth="1"/>
    <col min="12398" max="12399" width="3.7109375" style="125" customWidth="1"/>
    <col min="12400" max="12400" width="9.7109375" style="125" customWidth="1"/>
    <col min="12401" max="12402" width="3.7109375" style="125" customWidth="1"/>
    <col min="12403" max="12403" width="9.7109375" style="125" customWidth="1"/>
    <col min="12404" max="12405" width="3.7109375" style="125" customWidth="1"/>
    <col min="12406" max="12406" width="9.7109375" style="125" customWidth="1"/>
    <col min="12407" max="12408" width="3.7109375" style="125" customWidth="1"/>
    <col min="12409" max="12409" width="9.7109375" style="125" customWidth="1"/>
    <col min="12410" max="12411" width="3.7109375" style="125" customWidth="1"/>
    <col min="12412" max="12412" width="9.7109375" style="125" customWidth="1"/>
    <col min="12413" max="12414" width="3.7109375" style="125" customWidth="1"/>
    <col min="12415" max="12415" width="9.7109375" style="125" customWidth="1"/>
    <col min="12416" max="12417" width="3.7109375" style="125" customWidth="1"/>
    <col min="12418" max="12418" width="9.7109375" style="125" customWidth="1"/>
    <col min="12419" max="12420" width="3.7109375" style="125" customWidth="1"/>
    <col min="12421" max="12421" width="9.7109375" style="125" customWidth="1"/>
    <col min="12422" max="12423" width="3.7109375" style="125" customWidth="1"/>
    <col min="12424" max="12424" width="9.7109375" style="125" customWidth="1"/>
    <col min="12425" max="12426" width="3.7109375" style="125" customWidth="1"/>
    <col min="12427" max="12427" width="9.7109375" style="125" customWidth="1"/>
    <col min="12428" max="12429" width="3.7109375" style="125" customWidth="1"/>
    <col min="12430" max="12430" width="9.7109375" style="125" customWidth="1"/>
    <col min="12431" max="12432" width="3.7109375" style="125" customWidth="1"/>
    <col min="12433" max="12433" width="9.7109375" style="125" customWidth="1"/>
    <col min="12434" max="12434" width="3.7109375" style="125" customWidth="1"/>
    <col min="12435" max="12435" width="5.7109375" style="125" bestFit="1" customWidth="1"/>
    <col min="12436" max="12436" width="9.7109375" style="125" customWidth="1"/>
    <col min="12437" max="12438" width="3.7109375" style="125" customWidth="1"/>
    <col min="12439" max="12439" width="9.7109375" style="125" customWidth="1"/>
    <col min="12440" max="12441" width="3.7109375" style="125" customWidth="1"/>
    <col min="12442" max="12442" width="9.7109375" style="125" customWidth="1"/>
    <col min="12443" max="12444" width="3.7109375" style="125" customWidth="1"/>
    <col min="12445" max="12445" width="9.7109375" style="125" customWidth="1"/>
    <col min="12446" max="12447" width="3.7109375" style="125" customWidth="1"/>
    <col min="12448" max="12448" width="9.7109375" style="125" customWidth="1"/>
    <col min="12449" max="12450" width="3.7109375" style="125" customWidth="1"/>
    <col min="12451" max="12451" width="9.7109375" style="125" customWidth="1"/>
    <col min="12452" max="12452" width="3.7109375" style="125" customWidth="1"/>
    <col min="12453" max="12453" width="5.7109375" style="125" bestFit="1" customWidth="1"/>
    <col min="12454" max="12454" width="9.7109375" style="125" customWidth="1"/>
    <col min="12455" max="12456" width="3.7109375" style="125" customWidth="1"/>
    <col min="12457" max="12457" width="9.7109375" style="125" customWidth="1"/>
    <col min="12458" max="12459" width="3.7109375" style="125" customWidth="1"/>
    <col min="12460" max="12460" width="9.7109375" style="125" customWidth="1"/>
    <col min="12461" max="12462" width="3.7109375" style="125" customWidth="1"/>
    <col min="12463" max="12463" width="9.7109375" style="125" customWidth="1"/>
    <col min="12464" max="12465" width="3.7109375" style="125" customWidth="1"/>
    <col min="12466" max="12466" width="9.7109375" style="125" customWidth="1"/>
    <col min="12467" max="12468" width="3.7109375" style="125" customWidth="1"/>
    <col min="12469" max="12469" width="9.7109375" style="125" customWidth="1"/>
    <col min="12470" max="12471" width="3.7109375" style="125" customWidth="1"/>
    <col min="12472" max="12472" width="9.7109375" style="125" customWidth="1"/>
    <col min="12473" max="12474" width="3.7109375" style="125" customWidth="1"/>
    <col min="12475" max="12475" width="9.7109375" style="125" customWidth="1"/>
    <col min="12476" max="12477" width="3.7109375" style="125" customWidth="1"/>
    <col min="12478" max="12478" width="9.7109375" style="125" customWidth="1"/>
    <col min="12479" max="12480" width="3.7109375" style="125" customWidth="1"/>
    <col min="12481" max="12481" width="9.7109375" style="125" customWidth="1"/>
    <col min="12482" max="12483" width="3.7109375" style="125" customWidth="1"/>
    <col min="12484" max="12484" width="9.7109375" style="125" customWidth="1"/>
    <col min="12485" max="12486" width="3.7109375" style="125" customWidth="1"/>
    <col min="12487" max="12487" width="9.7109375" style="125" customWidth="1"/>
    <col min="12488" max="12489" width="3.7109375" style="125" customWidth="1"/>
    <col min="12490" max="12490" width="9.7109375" style="125" customWidth="1"/>
    <col min="12491" max="12492" width="3.7109375" style="125" customWidth="1"/>
    <col min="12493" max="12493" width="9.7109375" style="125" customWidth="1"/>
    <col min="12494" max="12495" width="3.7109375" style="125" customWidth="1"/>
    <col min="12496" max="12496" width="9.7109375" style="125" customWidth="1"/>
    <col min="12497" max="12498" width="3.7109375" style="125" customWidth="1"/>
    <col min="12499" max="12499" width="9.7109375" style="125" customWidth="1"/>
    <col min="12500" max="12501" width="3.7109375" style="125" customWidth="1"/>
    <col min="12502" max="12502" width="9.7109375" style="125" customWidth="1"/>
    <col min="12503" max="12504" width="3.7109375" style="125" customWidth="1"/>
    <col min="12505" max="12505" width="9.7109375" style="125" customWidth="1"/>
    <col min="12506" max="12507" width="3.7109375" style="125" customWidth="1"/>
    <col min="12508" max="12508" width="9.7109375" style="125" customWidth="1"/>
    <col min="12509" max="12510" width="3.7109375" style="125" customWidth="1"/>
    <col min="12511" max="12511" width="9.7109375" style="125" customWidth="1"/>
    <col min="12512" max="12513" width="3.7109375" style="125" customWidth="1"/>
    <col min="12514" max="12514" width="9.7109375" style="125" customWidth="1"/>
    <col min="12515" max="12516" width="3.7109375" style="125" customWidth="1"/>
    <col min="12517" max="12517" width="9.7109375" style="125" customWidth="1"/>
    <col min="12518" max="12519" width="3.7109375" style="125" customWidth="1"/>
    <col min="12520" max="12520" width="9.7109375" style="125" customWidth="1"/>
    <col min="12521" max="12522" width="3.7109375" style="125" customWidth="1"/>
    <col min="12523" max="12523" width="9.7109375" style="125" customWidth="1"/>
    <col min="12524" max="12525" width="3.7109375" style="125" customWidth="1"/>
    <col min="12526" max="12526" width="9.7109375" style="125" customWidth="1"/>
    <col min="12527" max="12528" width="3.7109375" style="125" customWidth="1"/>
    <col min="12529" max="12529" width="9.7109375" style="125" customWidth="1"/>
    <col min="12530" max="12531" width="3.7109375" style="125" customWidth="1"/>
    <col min="12532" max="12532" width="9.7109375" style="125" customWidth="1"/>
    <col min="12533" max="12534" width="3.7109375" style="125" customWidth="1"/>
    <col min="12535" max="12535" width="9.7109375" style="125" customWidth="1"/>
    <col min="12536" max="12537" width="3.7109375" style="125" customWidth="1"/>
    <col min="12538" max="12538" width="9.7109375" style="125" customWidth="1"/>
    <col min="12539" max="12540" width="3.7109375" style="125" customWidth="1"/>
    <col min="12541" max="12541" width="9.7109375" style="125" customWidth="1"/>
    <col min="12542" max="12542" width="3.7109375" style="125" customWidth="1"/>
    <col min="12543" max="12544" width="8" style="125"/>
    <col min="12545" max="12545" width="30.7109375" style="125" customWidth="1"/>
    <col min="12546" max="12546" width="9.7109375" style="125" customWidth="1"/>
    <col min="12547" max="12547" width="3.7109375" style="125" customWidth="1"/>
    <col min="12548" max="12548" width="9.7109375" style="125" customWidth="1"/>
    <col min="12549" max="12550" width="3.7109375" style="125" customWidth="1"/>
    <col min="12551" max="12551" width="9.7109375" style="125" customWidth="1"/>
    <col min="12552" max="12553" width="3.7109375" style="125" customWidth="1"/>
    <col min="12554" max="12554" width="9.7109375" style="125" customWidth="1"/>
    <col min="12555" max="12556" width="3.7109375" style="125" customWidth="1"/>
    <col min="12557" max="12557" width="9.7109375" style="125" customWidth="1"/>
    <col min="12558" max="12559" width="3.7109375" style="125" customWidth="1"/>
    <col min="12560" max="12560" width="9.7109375" style="125" customWidth="1"/>
    <col min="12561" max="12562" width="3.7109375" style="125" customWidth="1"/>
    <col min="12563" max="12563" width="9.7109375" style="125" customWidth="1"/>
    <col min="12564" max="12565" width="3.7109375" style="125" customWidth="1"/>
    <col min="12566" max="12566" width="9.7109375" style="125" customWidth="1"/>
    <col min="12567" max="12568" width="3.7109375" style="125" customWidth="1"/>
    <col min="12569" max="12569" width="9.7109375" style="125" customWidth="1"/>
    <col min="12570" max="12571" width="3.7109375" style="125" customWidth="1"/>
    <col min="12572" max="12572" width="9.7109375" style="125" customWidth="1"/>
    <col min="12573" max="12574" width="3.7109375" style="125" customWidth="1"/>
    <col min="12575" max="12575" width="9.7109375" style="125" customWidth="1"/>
    <col min="12576" max="12577" width="3.7109375" style="125" customWidth="1"/>
    <col min="12578" max="12578" width="9.7109375" style="125" customWidth="1"/>
    <col min="12579" max="12580" width="3.7109375" style="125" customWidth="1"/>
    <col min="12581" max="12581" width="9.7109375" style="125" customWidth="1"/>
    <col min="12582" max="12583" width="3.7109375" style="125" customWidth="1"/>
    <col min="12584" max="12584" width="9.7109375" style="125" customWidth="1"/>
    <col min="12585" max="12586" width="3.7109375" style="125" customWidth="1"/>
    <col min="12587" max="12587" width="9.7109375" style="125" customWidth="1"/>
    <col min="12588" max="12589" width="3.7109375" style="125" customWidth="1"/>
    <col min="12590" max="12590" width="9.7109375" style="125" customWidth="1"/>
    <col min="12591" max="12592" width="3.7109375" style="125" customWidth="1"/>
    <col min="12593" max="12593" width="9.7109375" style="125" customWidth="1"/>
    <col min="12594" max="12595" width="3.7109375" style="125" customWidth="1"/>
    <col min="12596" max="12596" width="9.7109375" style="125" customWidth="1"/>
    <col min="12597" max="12598" width="3.7109375" style="125" customWidth="1"/>
    <col min="12599" max="12599" width="9.7109375" style="125" customWidth="1"/>
    <col min="12600" max="12601" width="3.7109375" style="125" customWidth="1"/>
    <col min="12602" max="12602" width="9.7109375" style="125" customWidth="1"/>
    <col min="12603" max="12604" width="3.7109375" style="125" customWidth="1"/>
    <col min="12605" max="12605" width="9.7109375" style="125" customWidth="1"/>
    <col min="12606" max="12607" width="3.7109375" style="125" customWidth="1"/>
    <col min="12608" max="12608" width="9.7109375" style="125" customWidth="1"/>
    <col min="12609" max="12610" width="3.7109375" style="125" customWidth="1"/>
    <col min="12611" max="12611" width="9.7109375" style="125" customWidth="1"/>
    <col min="12612" max="12613" width="3.7109375" style="125" customWidth="1"/>
    <col min="12614" max="12614" width="9.7109375" style="125" customWidth="1"/>
    <col min="12615" max="12616" width="3.7109375" style="125" customWidth="1"/>
    <col min="12617" max="12617" width="9.7109375" style="125" customWidth="1"/>
    <col min="12618" max="12619" width="3.7109375" style="125" customWidth="1"/>
    <col min="12620" max="12620" width="9.7109375" style="125" customWidth="1"/>
    <col min="12621" max="12622" width="3.7109375" style="125" customWidth="1"/>
    <col min="12623" max="12623" width="9.7109375" style="125" customWidth="1"/>
    <col min="12624" max="12625" width="3.7109375" style="125" customWidth="1"/>
    <col min="12626" max="12626" width="9.7109375" style="125" customWidth="1"/>
    <col min="12627" max="12628" width="3.7109375" style="125" customWidth="1"/>
    <col min="12629" max="12629" width="9.7109375" style="125" customWidth="1"/>
    <col min="12630" max="12631" width="3.7109375" style="125" customWidth="1"/>
    <col min="12632" max="12632" width="9.7109375" style="125" customWidth="1"/>
    <col min="12633" max="12634" width="3.7109375" style="125" customWidth="1"/>
    <col min="12635" max="12635" width="9.7109375" style="125" customWidth="1"/>
    <col min="12636" max="12637" width="3.7109375" style="125" customWidth="1"/>
    <col min="12638" max="12638" width="9.7109375" style="125" customWidth="1"/>
    <col min="12639" max="12640" width="3.7109375" style="125" customWidth="1"/>
    <col min="12641" max="12641" width="9.7109375" style="125" customWidth="1"/>
    <col min="12642" max="12643" width="3.7109375" style="125" customWidth="1"/>
    <col min="12644" max="12644" width="9.7109375" style="125" customWidth="1"/>
    <col min="12645" max="12646" width="3.7109375" style="125" customWidth="1"/>
    <col min="12647" max="12647" width="9.7109375" style="125" customWidth="1"/>
    <col min="12648" max="12649" width="3.7109375" style="125" customWidth="1"/>
    <col min="12650" max="12650" width="9.7109375" style="125" customWidth="1"/>
    <col min="12651" max="12652" width="3.7109375" style="125" customWidth="1"/>
    <col min="12653" max="12653" width="9.7109375" style="125" customWidth="1"/>
    <col min="12654" max="12655" width="3.7109375" style="125" customWidth="1"/>
    <col min="12656" max="12656" width="9.7109375" style="125" customWidth="1"/>
    <col min="12657" max="12658" width="3.7109375" style="125" customWidth="1"/>
    <col min="12659" max="12659" width="9.7109375" style="125" customWidth="1"/>
    <col min="12660" max="12661" width="3.7109375" style="125" customWidth="1"/>
    <col min="12662" max="12662" width="9.7109375" style="125" customWidth="1"/>
    <col min="12663" max="12664" width="3.7109375" style="125" customWidth="1"/>
    <col min="12665" max="12665" width="9.7109375" style="125" customWidth="1"/>
    <col min="12666" max="12667" width="3.7109375" style="125" customWidth="1"/>
    <col min="12668" max="12668" width="9.7109375" style="125" customWidth="1"/>
    <col min="12669" max="12670" width="3.7109375" style="125" customWidth="1"/>
    <col min="12671" max="12671" width="9.7109375" style="125" customWidth="1"/>
    <col min="12672" max="12673" width="3.7109375" style="125" customWidth="1"/>
    <col min="12674" max="12674" width="9.7109375" style="125" customWidth="1"/>
    <col min="12675" max="12676" width="3.7109375" style="125" customWidth="1"/>
    <col min="12677" max="12677" width="9.7109375" style="125" customWidth="1"/>
    <col min="12678" max="12679" width="3.7109375" style="125" customWidth="1"/>
    <col min="12680" max="12680" width="9.7109375" style="125" customWidth="1"/>
    <col min="12681" max="12682" width="3.7109375" style="125" customWidth="1"/>
    <col min="12683" max="12683" width="9.7109375" style="125" customWidth="1"/>
    <col min="12684" max="12685" width="3.7109375" style="125" customWidth="1"/>
    <col min="12686" max="12686" width="9.7109375" style="125" customWidth="1"/>
    <col min="12687" max="12688" width="3.7109375" style="125" customWidth="1"/>
    <col min="12689" max="12689" width="9.7109375" style="125" customWidth="1"/>
    <col min="12690" max="12690" width="3.7109375" style="125" customWidth="1"/>
    <col min="12691" max="12691" width="5.7109375" style="125" bestFit="1" customWidth="1"/>
    <col min="12692" max="12692" width="9.7109375" style="125" customWidth="1"/>
    <col min="12693" max="12694" width="3.7109375" style="125" customWidth="1"/>
    <col min="12695" max="12695" width="9.7109375" style="125" customWidth="1"/>
    <col min="12696" max="12697" width="3.7109375" style="125" customWidth="1"/>
    <col min="12698" max="12698" width="9.7109375" style="125" customWidth="1"/>
    <col min="12699" max="12700" width="3.7109375" style="125" customWidth="1"/>
    <col min="12701" max="12701" width="9.7109375" style="125" customWidth="1"/>
    <col min="12702" max="12703" width="3.7109375" style="125" customWidth="1"/>
    <col min="12704" max="12704" width="9.7109375" style="125" customWidth="1"/>
    <col min="12705" max="12706" width="3.7109375" style="125" customWidth="1"/>
    <col min="12707" max="12707" width="9.7109375" style="125" customWidth="1"/>
    <col min="12708" max="12708" width="3.7109375" style="125" customWidth="1"/>
    <col min="12709" max="12709" width="5.7109375" style="125" bestFit="1" customWidth="1"/>
    <col min="12710" max="12710" width="9.7109375" style="125" customWidth="1"/>
    <col min="12711" max="12712" width="3.7109375" style="125" customWidth="1"/>
    <col min="12713" max="12713" width="9.7109375" style="125" customWidth="1"/>
    <col min="12714" max="12715" width="3.7109375" style="125" customWidth="1"/>
    <col min="12716" max="12716" width="9.7109375" style="125" customWidth="1"/>
    <col min="12717" max="12718" width="3.7109375" style="125" customWidth="1"/>
    <col min="12719" max="12719" width="9.7109375" style="125" customWidth="1"/>
    <col min="12720" max="12721" width="3.7109375" style="125" customWidth="1"/>
    <col min="12722" max="12722" width="9.7109375" style="125" customWidth="1"/>
    <col min="12723" max="12724" width="3.7109375" style="125" customWidth="1"/>
    <col min="12725" max="12725" width="9.7109375" style="125" customWidth="1"/>
    <col min="12726" max="12727" width="3.7109375" style="125" customWidth="1"/>
    <col min="12728" max="12728" width="9.7109375" style="125" customWidth="1"/>
    <col min="12729" max="12730" width="3.7109375" style="125" customWidth="1"/>
    <col min="12731" max="12731" width="9.7109375" style="125" customWidth="1"/>
    <col min="12732" max="12733" width="3.7109375" style="125" customWidth="1"/>
    <col min="12734" max="12734" width="9.7109375" style="125" customWidth="1"/>
    <col min="12735" max="12736" width="3.7109375" style="125" customWidth="1"/>
    <col min="12737" max="12737" width="9.7109375" style="125" customWidth="1"/>
    <col min="12738" max="12739" width="3.7109375" style="125" customWidth="1"/>
    <col min="12740" max="12740" width="9.7109375" style="125" customWidth="1"/>
    <col min="12741" max="12742" width="3.7109375" style="125" customWidth="1"/>
    <col min="12743" max="12743" width="9.7109375" style="125" customWidth="1"/>
    <col min="12744" max="12745" width="3.7109375" style="125" customWidth="1"/>
    <col min="12746" max="12746" width="9.7109375" style="125" customWidth="1"/>
    <col min="12747" max="12748" width="3.7109375" style="125" customWidth="1"/>
    <col min="12749" max="12749" width="9.7109375" style="125" customWidth="1"/>
    <col min="12750" max="12751" width="3.7109375" style="125" customWidth="1"/>
    <col min="12752" max="12752" width="9.7109375" style="125" customWidth="1"/>
    <col min="12753" max="12754" width="3.7109375" style="125" customWidth="1"/>
    <col min="12755" max="12755" width="9.7109375" style="125" customWidth="1"/>
    <col min="12756" max="12757" width="3.7109375" style="125" customWidth="1"/>
    <col min="12758" max="12758" width="9.7109375" style="125" customWidth="1"/>
    <col min="12759" max="12760" width="3.7109375" style="125" customWidth="1"/>
    <col min="12761" max="12761" width="9.7109375" style="125" customWidth="1"/>
    <col min="12762" max="12763" width="3.7109375" style="125" customWidth="1"/>
    <col min="12764" max="12764" width="9.7109375" style="125" customWidth="1"/>
    <col min="12765" max="12766" width="3.7109375" style="125" customWidth="1"/>
    <col min="12767" max="12767" width="9.7109375" style="125" customWidth="1"/>
    <col min="12768" max="12769" width="3.7109375" style="125" customWidth="1"/>
    <col min="12770" max="12770" width="9.7109375" style="125" customWidth="1"/>
    <col min="12771" max="12772" width="3.7109375" style="125" customWidth="1"/>
    <col min="12773" max="12773" width="9.7109375" style="125" customWidth="1"/>
    <col min="12774" max="12775" width="3.7109375" style="125" customWidth="1"/>
    <col min="12776" max="12776" width="9.7109375" style="125" customWidth="1"/>
    <col min="12777" max="12778" width="3.7109375" style="125" customWidth="1"/>
    <col min="12779" max="12779" width="9.7109375" style="125" customWidth="1"/>
    <col min="12780" max="12781" width="3.7109375" style="125" customWidth="1"/>
    <col min="12782" max="12782" width="9.7109375" style="125" customWidth="1"/>
    <col min="12783" max="12784" width="3.7109375" style="125" customWidth="1"/>
    <col min="12785" max="12785" width="9.7109375" style="125" customWidth="1"/>
    <col min="12786" max="12787" width="3.7109375" style="125" customWidth="1"/>
    <col min="12788" max="12788" width="9.7109375" style="125" customWidth="1"/>
    <col min="12789" max="12790" width="3.7109375" style="125" customWidth="1"/>
    <col min="12791" max="12791" width="9.7109375" style="125" customWidth="1"/>
    <col min="12792" max="12793" width="3.7109375" style="125" customWidth="1"/>
    <col min="12794" max="12794" width="9.7109375" style="125" customWidth="1"/>
    <col min="12795" max="12796" width="3.7109375" style="125" customWidth="1"/>
    <col min="12797" max="12797" width="9.7109375" style="125" customWidth="1"/>
    <col min="12798" max="12798" width="3.7109375" style="125" customWidth="1"/>
    <col min="12799" max="12800" width="8" style="125"/>
    <col min="12801" max="12801" width="30.7109375" style="125" customWidth="1"/>
    <col min="12802" max="12802" width="9.7109375" style="125" customWidth="1"/>
    <col min="12803" max="12803" width="3.7109375" style="125" customWidth="1"/>
    <col min="12804" max="12804" width="9.7109375" style="125" customWidth="1"/>
    <col min="12805" max="12806" width="3.7109375" style="125" customWidth="1"/>
    <col min="12807" max="12807" width="9.7109375" style="125" customWidth="1"/>
    <col min="12808" max="12809" width="3.7109375" style="125" customWidth="1"/>
    <col min="12810" max="12810" width="9.7109375" style="125" customWidth="1"/>
    <col min="12811" max="12812" width="3.7109375" style="125" customWidth="1"/>
    <col min="12813" max="12813" width="9.7109375" style="125" customWidth="1"/>
    <col min="12814" max="12815" width="3.7109375" style="125" customWidth="1"/>
    <col min="12816" max="12816" width="9.7109375" style="125" customWidth="1"/>
    <col min="12817" max="12818" width="3.7109375" style="125" customWidth="1"/>
    <col min="12819" max="12819" width="9.7109375" style="125" customWidth="1"/>
    <col min="12820" max="12821" width="3.7109375" style="125" customWidth="1"/>
    <col min="12822" max="12822" width="9.7109375" style="125" customWidth="1"/>
    <col min="12823" max="12824" width="3.7109375" style="125" customWidth="1"/>
    <col min="12825" max="12825" width="9.7109375" style="125" customWidth="1"/>
    <col min="12826" max="12827" width="3.7109375" style="125" customWidth="1"/>
    <col min="12828" max="12828" width="9.7109375" style="125" customWidth="1"/>
    <col min="12829" max="12830" width="3.7109375" style="125" customWidth="1"/>
    <col min="12831" max="12831" width="9.7109375" style="125" customWidth="1"/>
    <col min="12832" max="12833" width="3.7109375" style="125" customWidth="1"/>
    <col min="12834" max="12834" width="9.7109375" style="125" customWidth="1"/>
    <col min="12835" max="12836" width="3.7109375" style="125" customWidth="1"/>
    <col min="12837" max="12837" width="9.7109375" style="125" customWidth="1"/>
    <col min="12838" max="12839" width="3.7109375" style="125" customWidth="1"/>
    <col min="12840" max="12840" width="9.7109375" style="125" customWidth="1"/>
    <col min="12841" max="12842" width="3.7109375" style="125" customWidth="1"/>
    <col min="12843" max="12843" width="9.7109375" style="125" customWidth="1"/>
    <col min="12844" max="12845" width="3.7109375" style="125" customWidth="1"/>
    <col min="12846" max="12846" width="9.7109375" style="125" customWidth="1"/>
    <col min="12847" max="12848" width="3.7109375" style="125" customWidth="1"/>
    <col min="12849" max="12849" width="9.7109375" style="125" customWidth="1"/>
    <col min="12850" max="12851" width="3.7109375" style="125" customWidth="1"/>
    <col min="12852" max="12852" width="9.7109375" style="125" customWidth="1"/>
    <col min="12853" max="12854" width="3.7109375" style="125" customWidth="1"/>
    <col min="12855" max="12855" width="9.7109375" style="125" customWidth="1"/>
    <col min="12856" max="12857" width="3.7109375" style="125" customWidth="1"/>
    <col min="12858" max="12858" width="9.7109375" style="125" customWidth="1"/>
    <col min="12859" max="12860" width="3.7109375" style="125" customWidth="1"/>
    <col min="12861" max="12861" width="9.7109375" style="125" customWidth="1"/>
    <col min="12862" max="12863" width="3.7109375" style="125" customWidth="1"/>
    <col min="12864" max="12864" width="9.7109375" style="125" customWidth="1"/>
    <col min="12865" max="12866" width="3.7109375" style="125" customWidth="1"/>
    <col min="12867" max="12867" width="9.7109375" style="125" customWidth="1"/>
    <col min="12868" max="12869" width="3.7109375" style="125" customWidth="1"/>
    <col min="12870" max="12870" width="9.7109375" style="125" customWidth="1"/>
    <col min="12871" max="12872" width="3.7109375" style="125" customWidth="1"/>
    <col min="12873" max="12873" width="9.7109375" style="125" customWidth="1"/>
    <col min="12874" max="12875" width="3.7109375" style="125" customWidth="1"/>
    <col min="12876" max="12876" width="9.7109375" style="125" customWidth="1"/>
    <col min="12877" max="12878" width="3.7109375" style="125" customWidth="1"/>
    <col min="12879" max="12879" width="9.7109375" style="125" customWidth="1"/>
    <col min="12880" max="12881" width="3.7109375" style="125" customWidth="1"/>
    <col min="12882" max="12882" width="9.7109375" style="125" customWidth="1"/>
    <col min="12883" max="12884" width="3.7109375" style="125" customWidth="1"/>
    <col min="12885" max="12885" width="9.7109375" style="125" customWidth="1"/>
    <col min="12886" max="12887" width="3.7109375" style="125" customWidth="1"/>
    <col min="12888" max="12888" width="9.7109375" style="125" customWidth="1"/>
    <col min="12889" max="12890" width="3.7109375" style="125" customWidth="1"/>
    <col min="12891" max="12891" width="9.7109375" style="125" customWidth="1"/>
    <col min="12892" max="12893" width="3.7109375" style="125" customWidth="1"/>
    <col min="12894" max="12894" width="9.7109375" style="125" customWidth="1"/>
    <col min="12895" max="12896" width="3.7109375" style="125" customWidth="1"/>
    <col min="12897" max="12897" width="9.7109375" style="125" customWidth="1"/>
    <col min="12898" max="12899" width="3.7109375" style="125" customWidth="1"/>
    <col min="12900" max="12900" width="9.7109375" style="125" customWidth="1"/>
    <col min="12901" max="12902" width="3.7109375" style="125" customWidth="1"/>
    <col min="12903" max="12903" width="9.7109375" style="125" customWidth="1"/>
    <col min="12904" max="12905" width="3.7109375" style="125" customWidth="1"/>
    <col min="12906" max="12906" width="9.7109375" style="125" customWidth="1"/>
    <col min="12907" max="12908" width="3.7109375" style="125" customWidth="1"/>
    <col min="12909" max="12909" width="9.7109375" style="125" customWidth="1"/>
    <col min="12910" max="12911" width="3.7109375" style="125" customWidth="1"/>
    <col min="12912" max="12912" width="9.7109375" style="125" customWidth="1"/>
    <col min="12913" max="12914" width="3.7109375" style="125" customWidth="1"/>
    <col min="12915" max="12915" width="9.7109375" style="125" customWidth="1"/>
    <col min="12916" max="12917" width="3.7109375" style="125" customWidth="1"/>
    <col min="12918" max="12918" width="9.7109375" style="125" customWidth="1"/>
    <col min="12919" max="12920" width="3.7109375" style="125" customWidth="1"/>
    <col min="12921" max="12921" width="9.7109375" style="125" customWidth="1"/>
    <col min="12922" max="12923" width="3.7109375" style="125" customWidth="1"/>
    <col min="12924" max="12924" width="9.7109375" style="125" customWidth="1"/>
    <col min="12925" max="12926" width="3.7109375" style="125" customWidth="1"/>
    <col min="12927" max="12927" width="9.7109375" style="125" customWidth="1"/>
    <col min="12928" max="12929" width="3.7109375" style="125" customWidth="1"/>
    <col min="12930" max="12930" width="9.7109375" style="125" customWidth="1"/>
    <col min="12931" max="12932" width="3.7109375" style="125" customWidth="1"/>
    <col min="12933" max="12933" width="9.7109375" style="125" customWidth="1"/>
    <col min="12934" max="12935" width="3.7109375" style="125" customWidth="1"/>
    <col min="12936" max="12936" width="9.7109375" style="125" customWidth="1"/>
    <col min="12937" max="12938" width="3.7109375" style="125" customWidth="1"/>
    <col min="12939" max="12939" width="9.7109375" style="125" customWidth="1"/>
    <col min="12940" max="12941" width="3.7109375" style="125" customWidth="1"/>
    <col min="12942" max="12942" width="9.7109375" style="125" customWidth="1"/>
    <col min="12943" max="12944" width="3.7109375" style="125" customWidth="1"/>
    <col min="12945" max="12945" width="9.7109375" style="125" customWidth="1"/>
    <col min="12946" max="12946" width="3.7109375" style="125" customWidth="1"/>
    <col min="12947" max="12947" width="5.7109375" style="125" bestFit="1" customWidth="1"/>
    <col min="12948" max="12948" width="9.7109375" style="125" customWidth="1"/>
    <col min="12949" max="12950" width="3.7109375" style="125" customWidth="1"/>
    <col min="12951" max="12951" width="9.7109375" style="125" customWidth="1"/>
    <col min="12952" max="12953" width="3.7109375" style="125" customWidth="1"/>
    <col min="12954" max="12954" width="9.7109375" style="125" customWidth="1"/>
    <col min="12955" max="12956" width="3.7109375" style="125" customWidth="1"/>
    <col min="12957" max="12957" width="9.7109375" style="125" customWidth="1"/>
    <col min="12958" max="12959" width="3.7109375" style="125" customWidth="1"/>
    <col min="12960" max="12960" width="9.7109375" style="125" customWidth="1"/>
    <col min="12961" max="12962" width="3.7109375" style="125" customWidth="1"/>
    <col min="12963" max="12963" width="9.7109375" style="125" customWidth="1"/>
    <col min="12964" max="12964" width="3.7109375" style="125" customWidth="1"/>
    <col min="12965" max="12965" width="5.7109375" style="125" bestFit="1" customWidth="1"/>
    <col min="12966" max="12966" width="9.7109375" style="125" customWidth="1"/>
    <col min="12967" max="12968" width="3.7109375" style="125" customWidth="1"/>
    <col min="12969" max="12969" width="9.7109375" style="125" customWidth="1"/>
    <col min="12970" max="12971" width="3.7109375" style="125" customWidth="1"/>
    <col min="12972" max="12972" width="9.7109375" style="125" customWidth="1"/>
    <col min="12973" max="12974" width="3.7109375" style="125" customWidth="1"/>
    <col min="12975" max="12975" width="9.7109375" style="125" customWidth="1"/>
    <col min="12976" max="12977" width="3.7109375" style="125" customWidth="1"/>
    <col min="12978" max="12978" width="9.7109375" style="125" customWidth="1"/>
    <col min="12979" max="12980" width="3.7109375" style="125" customWidth="1"/>
    <col min="12981" max="12981" width="9.7109375" style="125" customWidth="1"/>
    <col min="12982" max="12983" width="3.7109375" style="125" customWidth="1"/>
    <col min="12984" max="12984" width="9.7109375" style="125" customWidth="1"/>
    <col min="12985" max="12986" width="3.7109375" style="125" customWidth="1"/>
    <col min="12987" max="12987" width="9.7109375" style="125" customWidth="1"/>
    <col min="12988" max="12989" width="3.7109375" style="125" customWidth="1"/>
    <col min="12990" max="12990" width="9.7109375" style="125" customWidth="1"/>
    <col min="12991" max="12992" width="3.7109375" style="125" customWidth="1"/>
    <col min="12993" max="12993" width="9.7109375" style="125" customWidth="1"/>
    <col min="12994" max="12995" width="3.7109375" style="125" customWidth="1"/>
    <col min="12996" max="12996" width="9.7109375" style="125" customWidth="1"/>
    <col min="12997" max="12998" width="3.7109375" style="125" customWidth="1"/>
    <col min="12999" max="12999" width="9.7109375" style="125" customWidth="1"/>
    <col min="13000" max="13001" width="3.7109375" style="125" customWidth="1"/>
    <col min="13002" max="13002" width="9.7109375" style="125" customWidth="1"/>
    <col min="13003" max="13004" width="3.7109375" style="125" customWidth="1"/>
    <col min="13005" max="13005" width="9.7109375" style="125" customWidth="1"/>
    <col min="13006" max="13007" width="3.7109375" style="125" customWidth="1"/>
    <col min="13008" max="13008" width="9.7109375" style="125" customWidth="1"/>
    <col min="13009" max="13010" width="3.7109375" style="125" customWidth="1"/>
    <col min="13011" max="13011" width="9.7109375" style="125" customWidth="1"/>
    <col min="13012" max="13013" width="3.7109375" style="125" customWidth="1"/>
    <col min="13014" max="13014" width="9.7109375" style="125" customWidth="1"/>
    <col min="13015" max="13016" width="3.7109375" style="125" customWidth="1"/>
    <col min="13017" max="13017" width="9.7109375" style="125" customWidth="1"/>
    <col min="13018" max="13019" width="3.7109375" style="125" customWidth="1"/>
    <col min="13020" max="13020" width="9.7109375" style="125" customWidth="1"/>
    <col min="13021" max="13022" width="3.7109375" style="125" customWidth="1"/>
    <col min="13023" max="13023" width="9.7109375" style="125" customWidth="1"/>
    <col min="13024" max="13025" width="3.7109375" style="125" customWidth="1"/>
    <col min="13026" max="13026" width="9.7109375" style="125" customWidth="1"/>
    <col min="13027" max="13028" width="3.7109375" style="125" customWidth="1"/>
    <col min="13029" max="13029" width="9.7109375" style="125" customWidth="1"/>
    <col min="13030" max="13031" width="3.7109375" style="125" customWidth="1"/>
    <col min="13032" max="13032" width="9.7109375" style="125" customWidth="1"/>
    <col min="13033" max="13034" width="3.7109375" style="125" customWidth="1"/>
    <col min="13035" max="13035" width="9.7109375" style="125" customWidth="1"/>
    <col min="13036" max="13037" width="3.7109375" style="125" customWidth="1"/>
    <col min="13038" max="13038" width="9.7109375" style="125" customWidth="1"/>
    <col min="13039" max="13040" width="3.7109375" style="125" customWidth="1"/>
    <col min="13041" max="13041" width="9.7109375" style="125" customWidth="1"/>
    <col min="13042" max="13043" width="3.7109375" style="125" customWidth="1"/>
    <col min="13044" max="13044" width="9.7109375" style="125" customWidth="1"/>
    <col min="13045" max="13046" width="3.7109375" style="125" customWidth="1"/>
    <col min="13047" max="13047" width="9.7109375" style="125" customWidth="1"/>
    <col min="13048" max="13049" width="3.7109375" style="125" customWidth="1"/>
    <col min="13050" max="13050" width="9.7109375" style="125" customWidth="1"/>
    <col min="13051" max="13052" width="3.7109375" style="125" customWidth="1"/>
    <col min="13053" max="13053" width="9.7109375" style="125" customWidth="1"/>
    <col min="13054" max="13054" width="3.7109375" style="125" customWidth="1"/>
    <col min="13055" max="13056" width="8" style="125"/>
    <col min="13057" max="13057" width="30.7109375" style="125" customWidth="1"/>
    <col min="13058" max="13058" width="9.7109375" style="125" customWidth="1"/>
    <col min="13059" max="13059" width="3.7109375" style="125" customWidth="1"/>
    <col min="13060" max="13060" width="9.7109375" style="125" customWidth="1"/>
    <col min="13061" max="13062" width="3.7109375" style="125" customWidth="1"/>
    <col min="13063" max="13063" width="9.7109375" style="125" customWidth="1"/>
    <col min="13064" max="13065" width="3.7109375" style="125" customWidth="1"/>
    <col min="13066" max="13066" width="9.7109375" style="125" customWidth="1"/>
    <col min="13067" max="13068" width="3.7109375" style="125" customWidth="1"/>
    <col min="13069" max="13069" width="9.7109375" style="125" customWidth="1"/>
    <col min="13070" max="13071" width="3.7109375" style="125" customWidth="1"/>
    <col min="13072" max="13072" width="9.7109375" style="125" customWidth="1"/>
    <col min="13073" max="13074" width="3.7109375" style="125" customWidth="1"/>
    <col min="13075" max="13075" width="9.7109375" style="125" customWidth="1"/>
    <col min="13076" max="13077" width="3.7109375" style="125" customWidth="1"/>
    <col min="13078" max="13078" width="9.7109375" style="125" customWidth="1"/>
    <col min="13079" max="13080" width="3.7109375" style="125" customWidth="1"/>
    <col min="13081" max="13081" width="9.7109375" style="125" customWidth="1"/>
    <col min="13082" max="13083" width="3.7109375" style="125" customWidth="1"/>
    <col min="13084" max="13084" width="9.7109375" style="125" customWidth="1"/>
    <col min="13085" max="13086" width="3.7109375" style="125" customWidth="1"/>
    <col min="13087" max="13087" width="9.7109375" style="125" customWidth="1"/>
    <col min="13088" max="13089" width="3.7109375" style="125" customWidth="1"/>
    <col min="13090" max="13090" width="9.7109375" style="125" customWidth="1"/>
    <col min="13091" max="13092" width="3.7109375" style="125" customWidth="1"/>
    <col min="13093" max="13093" width="9.7109375" style="125" customWidth="1"/>
    <col min="13094" max="13095" width="3.7109375" style="125" customWidth="1"/>
    <col min="13096" max="13096" width="9.7109375" style="125" customWidth="1"/>
    <col min="13097" max="13098" width="3.7109375" style="125" customWidth="1"/>
    <col min="13099" max="13099" width="9.7109375" style="125" customWidth="1"/>
    <col min="13100" max="13101" width="3.7109375" style="125" customWidth="1"/>
    <col min="13102" max="13102" width="9.7109375" style="125" customWidth="1"/>
    <col min="13103" max="13104" width="3.7109375" style="125" customWidth="1"/>
    <col min="13105" max="13105" width="9.7109375" style="125" customWidth="1"/>
    <col min="13106" max="13107" width="3.7109375" style="125" customWidth="1"/>
    <col min="13108" max="13108" width="9.7109375" style="125" customWidth="1"/>
    <col min="13109" max="13110" width="3.7109375" style="125" customWidth="1"/>
    <col min="13111" max="13111" width="9.7109375" style="125" customWidth="1"/>
    <col min="13112" max="13113" width="3.7109375" style="125" customWidth="1"/>
    <col min="13114" max="13114" width="9.7109375" style="125" customWidth="1"/>
    <col min="13115" max="13116" width="3.7109375" style="125" customWidth="1"/>
    <col min="13117" max="13117" width="9.7109375" style="125" customWidth="1"/>
    <col min="13118" max="13119" width="3.7109375" style="125" customWidth="1"/>
    <col min="13120" max="13120" width="9.7109375" style="125" customWidth="1"/>
    <col min="13121" max="13122" width="3.7109375" style="125" customWidth="1"/>
    <col min="13123" max="13123" width="9.7109375" style="125" customWidth="1"/>
    <col min="13124" max="13125" width="3.7109375" style="125" customWidth="1"/>
    <col min="13126" max="13126" width="9.7109375" style="125" customWidth="1"/>
    <col min="13127" max="13128" width="3.7109375" style="125" customWidth="1"/>
    <col min="13129" max="13129" width="9.7109375" style="125" customWidth="1"/>
    <col min="13130" max="13131" width="3.7109375" style="125" customWidth="1"/>
    <col min="13132" max="13132" width="9.7109375" style="125" customWidth="1"/>
    <col min="13133" max="13134" width="3.7109375" style="125" customWidth="1"/>
    <col min="13135" max="13135" width="9.7109375" style="125" customWidth="1"/>
    <col min="13136" max="13137" width="3.7109375" style="125" customWidth="1"/>
    <col min="13138" max="13138" width="9.7109375" style="125" customWidth="1"/>
    <col min="13139" max="13140" width="3.7109375" style="125" customWidth="1"/>
    <col min="13141" max="13141" width="9.7109375" style="125" customWidth="1"/>
    <col min="13142" max="13143" width="3.7109375" style="125" customWidth="1"/>
    <col min="13144" max="13144" width="9.7109375" style="125" customWidth="1"/>
    <col min="13145" max="13146" width="3.7109375" style="125" customWidth="1"/>
    <col min="13147" max="13147" width="9.7109375" style="125" customWidth="1"/>
    <col min="13148" max="13149" width="3.7109375" style="125" customWidth="1"/>
    <col min="13150" max="13150" width="9.7109375" style="125" customWidth="1"/>
    <col min="13151" max="13152" width="3.7109375" style="125" customWidth="1"/>
    <col min="13153" max="13153" width="9.7109375" style="125" customWidth="1"/>
    <col min="13154" max="13155" width="3.7109375" style="125" customWidth="1"/>
    <col min="13156" max="13156" width="9.7109375" style="125" customWidth="1"/>
    <col min="13157" max="13158" width="3.7109375" style="125" customWidth="1"/>
    <col min="13159" max="13159" width="9.7109375" style="125" customWidth="1"/>
    <col min="13160" max="13161" width="3.7109375" style="125" customWidth="1"/>
    <col min="13162" max="13162" width="9.7109375" style="125" customWidth="1"/>
    <col min="13163" max="13164" width="3.7109375" style="125" customWidth="1"/>
    <col min="13165" max="13165" width="9.7109375" style="125" customWidth="1"/>
    <col min="13166" max="13167" width="3.7109375" style="125" customWidth="1"/>
    <col min="13168" max="13168" width="9.7109375" style="125" customWidth="1"/>
    <col min="13169" max="13170" width="3.7109375" style="125" customWidth="1"/>
    <col min="13171" max="13171" width="9.7109375" style="125" customWidth="1"/>
    <col min="13172" max="13173" width="3.7109375" style="125" customWidth="1"/>
    <col min="13174" max="13174" width="9.7109375" style="125" customWidth="1"/>
    <col min="13175" max="13176" width="3.7109375" style="125" customWidth="1"/>
    <col min="13177" max="13177" width="9.7109375" style="125" customWidth="1"/>
    <col min="13178" max="13179" width="3.7109375" style="125" customWidth="1"/>
    <col min="13180" max="13180" width="9.7109375" style="125" customWidth="1"/>
    <col min="13181" max="13182" width="3.7109375" style="125" customWidth="1"/>
    <col min="13183" max="13183" width="9.7109375" style="125" customWidth="1"/>
    <col min="13184" max="13185" width="3.7109375" style="125" customWidth="1"/>
    <col min="13186" max="13186" width="9.7109375" style="125" customWidth="1"/>
    <col min="13187" max="13188" width="3.7109375" style="125" customWidth="1"/>
    <col min="13189" max="13189" width="9.7109375" style="125" customWidth="1"/>
    <col min="13190" max="13191" width="3.7109375" style="125" customWidth="1"/>
    <col min="13192" max="13192" width="9.7109375" style="125" customWidth="1"/>
    <col min="13193" max="13194" width="3.7109375" style="125" customWidth="1"/>
    <col min="13195" max="13195" width="9.7109375" style="125" customWidth="1"/>
    <col min="13196" max="13197" width="3.7109375" style="125" customWidth="1"/>
    <col min="13198" max="13198" width="9.7109375" style="125" customWidth="1"/>
    <col min="13199" max="13200" width="3.7109375" style="125" customWidth="1"/>
    <col min="13201" max="13201" width="9.7109375" style="125" customWidth="1"/>
    <col min="13202" max="13202" width="3.7109375" style="125" customWidth="1"/>
    <col min="13203" max="13203" width="5.7109375" style="125" bestFit="1" customWidth="1"/>
    <col min="13204" max="13204" width="9.7109375" style="125" customWidth="1"/>
    <col min="13205" max="13206" width="3.7109375" style="125" customWidth="1"/>
    <col min="13207" max="13207" width="9.7109375" style="125" customWidth="1"/>
    <col min="13208" max="13209" width="3.7109375" style="125" customWidth="1"/>
    <col min="13210" max="13210" width="9.7109375" style="125" customWidth="1"/>
    <col min="13211" max="13212" width="3.7109375" style="125" customWidth="1"/>
    <col min="13213" max="13213" width="9.7109375" style="125" customWidth="1"/>
    <col min="13214" max="13215" width="3.7109375" style="125" customWidth="1"/>
    <col min="13216" max="13216" width="9.7109375" style="125" customWidth="1"/>
    <col min="13217" max="13218" width="3.7109375" style="125" customWidth="1"/>
    <col min="13219" max="13219" width="9.7109375" style="125" customWidth="1"/>
    <col min="13220" max="13220" width="3.7109375" style="125" customWidth="1"/>
    <col min="13221" max="13221" width="5.7109375" style="125" bestFit="1" customWidth="1"/>
    <col min="13222" max="13222" width="9.7109375" style="125" customWidth="1"/>
    <col min="13223" max="13224" width="3.7109375" style="125" customWidth="1"/>
    <col min="13225" max="13225" width="9.7109375" style="125" customWidth="1"/>
    <col min="13226" max="13227" width="3.7109375" style="125" customWidth="1"/>
    <col min="13228" max="13228" width="9.7109375" style="125" customWidth="1"/>
    <col min="13229" max="13230" width="3.7109375" style="125" customWidth="1"/>
    <col min="13231" max="13231" width="9.7109375" style="125" customWidth="1"/>
    <col min="13232" max="13233" width="3.7109375" style="125" customWidth="1"/>
    <col min="13234" max="13234" width="9.7109375" style="125" customWidth="1"/>
    <col min="13235" max="13236" width="3.7109375" style="125" customWidth="1"/>
    <col min="13237" max="13237" width="9.7109375" style="125" customWidth="1"/>
    <col min="13238" max="13239" width="3.7109375" style="125" customWidth="1"/>
    <col min="13240" max="13240" width="9.7109375" style="125" customWidth="1"/>
    <col min="13241" max="13242" width="3.7109375" style="125" customWidth="1"/>
    <col min="13243" max="13243" width="9.7109375" style="125" customWidth="1"/>
    <col min="13244" max="13245" width="3.7109375" style="125" customWidth="1"/>
    <col min="13246" max="13246" width="9.7109375" style="125" customWidth="1"/>
    <col min="13247" max="13248" width="3.7109375" style="125" customWidth="1"/>
    <col min="13249" max="13249" width="9.7109375" style="125" customWidth="1"/>
    <col min="13250" max="13251" width="3.7109375" style="125" customWidth="1"/>
    <col min="13252" max="13252" width="9.7109375" style="125" customWidth="1"/>
    <col min="13253" max="13254" width="3.7109375" style="125" customWidth="1"/>
    <col min="13255" max="13255" width="9.7109375" style="125" customWidth="1"/>
    <col min="13256" max="13257" width="3.7109375" style="125" customWidth="1"/>
    <col min="13258" max="13258" width="9.7109375" style="125" customWidth="1"/>
    <col min="13259" max="13260" width="3.7109375" style="125" customWidth="1"/>
    <col min="13261" max="13261" width="9.7109375" style="125" customWidth="1"/>
    <col min="13262" max="13263" width="3.7109375" style="125" customWidth="1"/>
    <col min="13264" max="13264" width="9.7109375" style="125" customWidth="1"/>
    <col min="13265" max="13266" width="3.7109375" style="125" customWidth="1"/>
    <col min="13267" max="13267" width="9.7109375" style="125" customWidth="1"/>
    <col min="13268" max="13269" width="3.7109375" style="125" customWidth="1"/>
    <col min="13270" max="13270" width="9.7109375" style="125" customWidth="1"/>
    <col min="13271" max="13272" width="3.7109375" style="125" customWidth="1"/>
    <col min="13273" max="13273" width="9.7109375" style="125" customWidth="1"/>
    <col min="13274" max="13275" width="3.7109375" style="125" customWidth="1"/>
    <col min="13276" max="13276" width="9.7109375" style="125" customWidth="1"/>
    <col min="13277" max="13278" width="3.7109375" style="125" customWidth="1"/>
    <col min="13279" max="13279" width="9.7109375" style="125" customWidth="1"/>
    <col min="13280" max="13281" width="3.7109375" style="125" customWidth="1"/>
    <col min="13282" max="13282" width="9.7109375" style="125" customWidth="1"/>
    <col min="13283" max="13284" width="3.7109375" style="125" customWidth="1"/>
    <col min="13285" max="13285" width="9.7109375" style="125" customWidth="1"/>
    <col min="13286" max="13287" width="3.7109375" style="125" customWidth="1"/>
    <col min="13288" max="13288" width="9.7109375" style="125" customWidth="1"/>
    <col min="13289" max="13290" width="3.7109375" style="125" customWidth="1"/>
    <col min="13291" max="13291" width="9.7109375" style="125" customWidth="1"/>
    <col min="13292" max="13293" width="3.7109375" style="125" customWidth="1"/>
    <col min="13294" max="13294" width="9.7109375" style="125" customWidth="1"/>
    <col min="13295" max="13296" width="3.7109375" style="125" customWidth="1"/>
    <col min="13297" max="13297" width="9.7109375" style="125" customWidth="1"/>
    <col min="13298" max="13299" width="3.7109375" style="125" customWidth="1"/>
    <col min="13300" max="13300" width="9.7109375" style="125" customWidth="1"/>
    <col min="13301" max="13302" width="3.7109375" style="125" customWidth="1"/>
    <col min="13303" max="13303" width="9.7109375" style="125" customWidth="1"/>
    <col min="13304" max="13305" width="3.7109375" style="125" customWidth="1"/>
    <col min="13306" max="13306" width="9.7109375" style="125" customWidth="1"/>
    <col min="13307" max="13308" width="3.7109375" style="125" customWidth="1"/>
    <col min="13309" max="13309" width="9.7109375" style="125" customWidth="1"/>
    <col min="13310" max="13310" width="3.7109375" style="125" customWidth="1"/>
    <col min="13311" max="13312" width="8" style="125"/>
    <col min="13313" max="13313" width="30.7109375" style="125" customWidth="1"/>
    <col min="13314" max="13314" width="9.7109375" style="125" customWidth="1"/>
    <col min="13315" max="13315" width="3.7109375" style="125" customWidth="1"/>
    <col min="13316" max="13316" width="9.7109375" style="125" customWidth="1"/>
    <col min="13317" max="13318" width="3.7109375" style="125" customWidth="1"/>
    <col min="13319" max="13319" width="9.7109375" style="125" customWidth="1"/>
    <col min="13320" max="13321" width="3.7109375" style="125" customWidth="1"/>
    <col min="13322" max="13322" width="9.7109375" style="125" customWidth="1"/>
    <col min="13323" max="13324" width="3.7109375" style="125" customWidth="1"/>
    <col min="13325" max="13325" width="9.7109375" style="125" customWidth="1"/>
    <col min="13326" max="13327" width="3.7109375" style="125" customWidth="1"/>
    <col min="13328" max="13328" width="9.7109375" style="125" customWidth="1"/>
    <col min="13329" max="13330" width="3.7109375" style="125" customWidth="1"/>
    <col min="13331" max="13331" width="9.7109375" style="125" customWidth="1"/>
    <col min="13332" max="13333" width="3.7109375" style="125" customWidth="1"/>
    <col min="13334" max="13334" width="9.7109375" style="125" customWidth="1"/>
    <col min="13335" max="13336" width="3.7109375" style="125" customWidth="1"/>
    <col min="13337" max="13337" width="9.7109375" style="125" customWidth="1"/>
    <col min="13338" max="13339" width="3.7109375" style="125" customWidth="1"/>
    <col min="13340" max="13340" width="9.7109375" style="125" customWidth="1"/>
    <col min="13341" max="13342" width="3.7109375" style="125" customWidth="1"/>
    <col min="13343" max="13343" width="9.7109375" style="125" customWidth="1"/>
    <col min="13344" max="13345" width="3.7109375" style="125" customWidth="1"/>
    <col min="13346" max="13346" width="9.7109375" style="125" customWidth="1"/>
    <col min="13347" max="13348" width="3.7109375" style="125" customWidth="1"/>
    <col min="13349" max="13349" width="9.7109375" style="125" customWidth="1"/>
    <col min="13350" max="13351" width="3.7109375" style="125" customWidth="1"/>
    <col min="13352" max="13352" width="9.7109375" style="125" customWidth="1"/>
    <col min="13353" max="13354" width="3.7109375" style="125" customWidth="1"/>
    <col min="13355" max="13355" width="9.7109375" style="125" customWidth="1"/>
    <col min="13356" max="13357" width="3.7109375" style="125" customWidth="1"/>
    <col min="13358" max="13358" width="9.7109375" style="125" customWidth="1"/>
    <col min="13359" max="13360" width="3.7109375" style="125" customWidth="1"/>
    <col min="13361" max="13361" width="9.7109375" style="125" customWidth="1"/>
    <col min="13362" max="13363" width="3.7109375" style="125" customWidth="1"/>
    <col min="13364" max="13364" width="9.7109375" style="125" customWidth="1"/>
    <col min="13365" max="13366" width="3.7109375" style="125" customWidth="1"/>
    <col min="13367" max="13367" width="9.7109375" style="125" customWidth="1"/>
    <col min="13368" max="13369" width="3.7109375" style="125" customWidth="1"/>
    <col min="13370" max="13370" width="9.7109375" style="125" customWidth="1"/>
    <col min="13371" max="13372" width="3.7109375" style="125" customWidth="1"/>
    <col min="13373" max="13373" width="9.7109375" style="125" customWidth="1"/>
    <col min="13374" max="13375" width="3.7109375" style="125" customWidth="1"/>
    <col min="13376" max="13376" width="9.7109375" style="125" customWidth="1"/>
    <col min="13377" max="13378" width="3.7109375" style="125" customWidth="1"/>
    <col min="13379" max="13379" width="9.7109375" style="125" customWidth="1"/>
    <col min="13380" max="13381" width="3.7109375" style="125" customWidth="1"/>
    <col min="13382" max="13382" width="9.7109375" style="125" customWidth="1"/>
    <col min="13383" max="13384" width="3.7109375" style="125" customWidth="1"/>
    <col min="13385" max="13385" width="9.7109375" style="125" customWidth="1"/>
    <col min="13386" max="13387" width="3.7109375" style="125" customWidth="1"/>
    <col min="13388" max="13388" width="9.7109375" style="125" customWidth="1"/>
    <col min="13389" max="13390" width="3.7109375" style="125" customWidth="1"/>
    <col min="13391" max="13391" width="9.7109375" style="125" customWidth="1"/>
    <col min="13392" max="13393" width="3.7109375" style="125" customWidth="1"/>
    <col min="13394" max="13394" width="9.7109375" style="125" customWidth="1"/>
    <col min="13395" max="13396" width="3.7109375" style="125" customWidth="1"/>
    <col min="13397" max="13397" width="9.7109375" style="125" customWidth="1"/>
    <col min="13398" max="13399" width="3.7109375" style="125" customWidth="1"/>
    <col min="13400" max="13400" width="9.7109375" style="125" customWidth="1"/>
    <col min="13401" max="13402" width="3.7109375" style="125" customWidth="1"/>
    <col min="13403" max="13403" width="9.7109375" style="125" customWidth="1"/>
    <col min="13404" max="13405" width="3.7109375" style="125" customWidth="1"/>
    <col min="13406" max="13406" width="9.7109375" style="125" customWidth="1"/>
    <col min="13407" max="13408" width="3.7109375" style="125" customWidth="1"/>
    <col min="13409" max="13409" width="9.7109375" style="125" customWidth="1"/>
    <col min="13410" max="13411" width="3.7109375" style="125" customWidth="1"/>
    <col min="13412" max="13412" width="9.7109375" style="125" customWidth="1"/>
    <col min="13413" max="13414" width="3.7109375" style="125" customWidth="1"/>
    <col min="13415" max="13415" width="9.7109375" style="125" customWidth="1"/>
    <col min="13416" max="13417" width="3.7109375" style="125" customWidth="1"/>
    <col min="13418" max="13418" width="9.7109375" style="125" customWidth="1"/>
    <col min="13419" max="13420" width="3.7109375" style="125" customWidth="1"/>
    <col min="13421" max="13421" width="9.7109375" style="125" customWidth="1"/>
    <col min="13422" max="13423" width="3.7109375" style="125" customWidth="1"/>
    <col min="13424" max="13424" width="9.7109375" style="125" customWidth="1"/>
    <col min="13425" max="13426" width="3.7109375" style="125" customWidth="1"/>
    <col min="13427" max="13427" width="9.7109375" style="125" customWidth="1"/>
    <col min="13428" max="13429" width="3.7109375" style="125" customWidth="1"/>
    <col min="13430" max="13430" width="9.7109375" style="125" customWidth="1"/>
    <col min="13431" max="13432" width="3.7109375" style="125" customWidth="1"/>
    <col min="13433" max="13433" width="9.7109375" style="125" customWidth="1"/>
    <col min="13434" max="13435" width="3.7109375" style="125" customWidth="1"/>
    <col min="13436" max="13436" width="9.7109375" style="125" customWidth="1"/>
    <col min="13437" max="13438" width="3.7109375" style="125" customWidth="1"/>
    <col min="13439" max="13439" width="9.7109375" style="125" customWidth="1"/>
    <col min="13440" max="13441" width="3.7109375" style="125" customWidth="1"/>
    <col min="13442" max="13442" width="9.7109375" style="125" customWidth="1"/>
    <col min="13443" max="13444" width="3.7109375" style="125" customWidth="1"/>
    <col min="13445" max="13445" width="9.7109375" style="125" customWidth="1"/>
    <col min="13446" max="13447" width="3.7109375" style="125" customWidth="1"/>
    <col min="13448" max="13448" width="9.7109375" style="125" customWidth="1"/>
    <col min="13449" max="13450" width="3.7109375" style="125" customWidth="1"/>
    <col min="13451" max="13451" width="9.7109375" style="125" customWidth="1"/>
    <col min="13452" max="13453" width="3.7109375" style="125" customWidth="1"/>
    <col min="13454" max="13454" width="9.7109375" style="125" customWidth="1"/>
    <col min="13455" max="13456" width="3.7109375" style="125" customWidth="1"/>
    <col min="13457" max="13457" width="9.7109375" style="125" customWidth="1"/>
    <col min="13458" max="13458" width="3.7109375" style="125" customWidth="1"/>
    <col min="13459" max="13459" width="5.7109375" style="125" bestFit="1" customWidth="1"/>
    <col min="13460" max="13460" width="9.7109375" style="125" customWidth="1"/>
    <col min="13461" max="13462" width="3.7109375" style="125" customWidth="1"/>
    <col min="13463" max="13463" width="9.7109375" style="125" customWidth="1"/>
    <col min="13464" max="13465" width="3.7109375" style="125" customWidth="1"/>
    <col min="13466" max="13466" width="9.7109375" style="125" customWidth="1"/>
    <col min="13467" max="13468" width="3.7109375" style="125" customWidth="1"/>
    <col min="13469" max="13469" width="9.7109375" style="125" customWidth="1"/>
    <col min="13470" max="13471" width="3.7109375" style="125" customWidth="1"/>
    <col min="13472" max="13472" width="9.7109375" style="125" customWidth="1"/>
    <col min="13473" max="13474" width="3.7109375" style="125" customWidth="1"/>
    <col min="13475" max="13475" width="9.7109375" style="125" customWidth="1"/>
    <col min="13476" max="13476" width="3.7109375" style="125" customWidth="1"/>
    <col min="13477" max="13477" width="5.7109375" style="125" bestFit="1" customWidth="1"/>
    <col min="13478" max="13478" width="9.7109375" style="125" customWidth="1"/>
    <col min="13479" max="13480" width="3.7109375" style="125" customWidth="1"/>
    <col min="13481" max="13481" width="9.7109375" style="125" customWidth="1"/>
    <col min="13482" max="13483" width="3.7109375" style="125" customWidth="1"/>
    <col min="13484" max="13484" width="9.7109375" style="125" customWidth="1"/>
    <col min="13485" max="13486" width="3.7109375" style="125" customWidth="1"/>
    <col min="13487" max="13487" width="9.7109375" style="125" customWidth="1"/>
    <col min="13488" max="13489" width="3.7109375" style="125" customWidth="1"/>
    <col min="13490" max="13490" width="9.7109375" style="125" customWidth="1"/>
    <col min="13491" max="13492" width="3.7109375" style="125" customWidth="1"/>
    <col min="13493" max="13493" width="9.7109375" style="125" customWidth="1"/>
    <col min="13494" max="13495" width="3.7109375" style="125" customWidth="1"/>
    <col min="13496" max="13496" width="9.7109375" style="125" customWidth="1"/>
    <col min="13497" max="13498" width="3.7109375" style="125" customWidth="1"/>
    <col min="13499" max="13499" width="9.7109375" style="125" customWidth="1"/>
    <col min="13500" max="13501" width="3.7109375" style="125" customWidth="1"/>
    <col min="13502" max="13502" width="9.7109375" style="125" customWidth="1"/>
    <col min="13503" max="13504" width="3.7109375" style="125" customWidth="1"/>
    <col min="13505" max="13505" width="9.7109375" style="125" customWidth="1"/>
    <col min="13506" max="13507" width="3.7109375" style="125" customWidth="1"/>
    <col min="13508" max="13508" width="9.7109375" style="125" customWidth="1"/>
    <col min="13509" max="13510" width="3.7109375" style="125" customWidth="1"/>
    <col min="13511" max="13511" width="9.7109375" style="125" customWidth="1"/>
    <col min="13512" max="13513" width="3.7109375" style="125" customWidth="1"/>
    <col min="13514" max="13514" width="9.7109375" style="125" customWidth="1"/>
    <col min="13515" max="13516" width="3.7109375" style="125" customWidth="1"/>
    <col min="13517" max="13517" width="9.7109375" style="125" customWidth="1"/>
    <col min="13518" max="13519" width="3.7109375" style="125" customWidth="1"/>
    <col min="13520" max="13520" width="9.7109375" style="125" customWidth="1"/>
    <col min="13521" max="13522" width="3.7109375" style="125" customWidth="1"/>
    <col min="13523" max="13523" width="9.7109375" style="125" customWidth="1"/>
    <col min="13524" max="13525" width="3.7109375" style="125" customWidth="1"/>
    <col min="13526" max="13526" width="9.7109375" style="125" customWidth="1"/>
    <col min="13527" max="13528" width="3.7109375" style="125" customWidth="1"/>
    <col min="13529" max="13529" width="9.7109375" style="125" customWidth="1"/>
    <col min="13530" max="13531" width="3.7109375" style="125" customWidth="1"/>
    <col min="13532" max="13532" width="9.7109375" style="125" customWidth="1"/>
    <col min="13533" max="13534" width="3.7109375" style="125" customWidth="1"/>
    <col min="13535" max="13535" width="9.7109375" style="125" customWidth="1"/>
    <col min="13536" max="13537" width="3.7109375" style="125" customWidth="1"/>
    <col min="13538" max="13538" width="9.7109375" style="125" customWidth="1"/>
    <col min="13539" max="13540" width="3.7109375" style="125" customWidth="1"/>
    <col min="13541" max="13541" width="9.7109375" style="125" customWidth="1"/>
    <col min="13542" max="13543" width="3.7109375" style="125" customWidth="1"/>
    <col min="13544" max="13544" width="9.7109375" style="125" customWidth="1"/>
    <col min="13545" max="13546" width="3.7109375" style="125" customWidth="1"/>
    <col min="13547" max="13547" width="9.7109375" style="125" customWidth="1"/>
    <col min="13548" max="13549" width="3.7109375" style="125" customWidth="1"/>
    <col min="13550" max="13550" width="9.7109375" style="125" customWidth="1"/>
    <col min="13551" max="13552" width="3.7109375" style="125" customWidth="1"/>
    <col min="13553" max="13553" width="9.7109375" style="125" customWidth="1"/>
    <col min="13554" max="13555" width="3.7109375" style="125" customWidth="1"/>
    <col min="13556" max="13556" width="9.7109375" style="125" customWidth="1"/>
    <col min="13557" max="13558" width="3.7109375" style="125" customWidth="1"/>
    <col min="13559" max="13559" width="9.7109375" style="125" customWidth="1"/>
    <col min="13560" max="13561" width="3.7109375" style="125" customWidth="1"/>
    <col min="13562" max="13562" width="9.7109375" style="125" customWidth="1"/>
    <col min="13563" max="13564" width="3.7109375" style="125" customWidth="1"/>
    <col min="13565" max="13565" width="9.7109375" style="125" customWidth="1"/>
    <col min="13566" max="13566" width="3.7109375" style="125" customWidth="1"/>
    <col min="13567" max="13568" width="8" style="125"/>
    <col min="13569" max="13569" width="30.7109375" style="125" customWidth="1"/>
    <col min="13570" max="13570" width="9.7109375" style="125" customWidth="1"/>
    <col min="13571" max="13571" width="3.7109375" style="125" customWidth="1"/>
    <col min="13572" max="13572" width="9.7109375" style="125" customWidth="1"/>
    <col min="13573" max="13574" width="3.7109375" style="125" customWidth="1"/>
    <col min="13575" max="13575" width="9.7109375" style="125" customWidth="1"/>
    <col min="13576" max="13577" width="3.7109375" style="125" customWidth="1"/>
    <col min="13578" max="13578" width="9.7109375" style="125" customWidth="1"/>
    <col min="13579" max="13580" width="3.7109375" style="125" customWidth="1"/>
    <col min="13581" max="13581" width="9.7109375" style="125" customWidth="1"/>
    <col min="13582" max="13583" width="3.7109375" style="125" customWidth="1"/>
    <col min="13584" max="13584" width="9.7109375" style="125" customWidth="1"/>
    <col min="13585" max="13586" width="3.7109375" style="125" customWidth="1"/>
    <col min="13587" max="13587" width="9.7109375" style="125" customWidth="1"/>
    <col min="13588" max="13589" width="3.7109375" style="125" customWidth="1"/>
    <col min="13590" max="13590" width="9.7109375" style="125" customWidth="1"/>
    <col min="13591" max="13592" width="3.7109375" style="125" customWidth="1"/>
    <col min="13593" max="13593" width="9.7109375" style="125" customWidth="1"/>
    <col min="13594" max="13595" width="3.7109375" style="125" customWidth="1"/>
    <col min="13596" max="13596" width="9.7109375" style="125" customWidth="1"/>
    <col min="13597" max="13598" width="3.7109375" style="125" customWidth="1"/>
    <col min="13599" max="13599" width="9.7109375" style="125" customWidth="1"/>
    <col min="13600" max="13601" width="3.7109375" style="125" customWidth="1"/>
    <col min="13602" max="13602" width="9.7109375" style="125" customWidth="1"/>
    <col min="13603" max="13604" width="3.7109375" style="125" customWidth="1"/>
    <col min="13605" max="13605" width="9.7109375" style="125" customWidth="1"/>
    <col min="13606" max="13607" width="3.7109375" style="125" customWidth="1"/>
    <col min="13608" max="13608" width="9.7109375" style="125" customWidth="1"/>
    <col min="13609" max="13610" width="3.7109375" style="125" customWidth="1"/>
    <col min="13611" max="13611" width="9.7109375" style="125" customWidth="1"/>
    <col min="13612" max="13613" width="3.7109375" style="125" customWidth="1"/>
    <col min="13614" max="13614" width="9.7109375" style="125" customWidth="1"/>
    <col min="13615" max="13616" width="3.7109375" style="125" customWidth="1"/>
    <col min="13617" max="13617" width="9.7109375" style="125" customWidth="1"/>
    <col min="13618" max="13619" width="3.7109375" style="125" customWidth="1"/>
    <col min="13620" max="13620" width="9.7109375" style="125" customWidth="1"/>
    <col min="13621" max="13622" width="3.7109375" style="125" customWidth="1"/>
    <col min="13623" max="13623" width="9.7109375" style="125" customWidth="1"/>
    <col min="13624" max="13625" width="3.7109375" style="125" customWidth="1"/>
    <col min="13626" max="13626" width="9.7109375" style="125" customWidth="1"/>
    <col min="13627" max="13628" width="3.7109375" style="125" customWidth="1"/>
    <col min="13629" max="13629" width="9.7109375" style="125" customWidth="1"/>
    <col min="13630" max="13631" width="3.7109375" style="125" customWidth="1"/>
    <col min="13632" max="13632" width="9.7109375" style="125" customWidth="1"/>
    <col min="13633" max="13634" width="3.7109375" style="125" customWidth="1"/>
    <col min="13635" max="13635" width="9.7109375" style="125" customWidth="1"/>
    <col min="13636" max="13637" width="3.7109375" style="125" customWidth="1"/>
    <col min="13638" max="13638" width="9.7109375" style="125" customWidth="1"/>
    <col min="13639" max="13640" width="3.7109375" style="125" customWidth="1"/>
    <col min="13641" max="13641" width="9.7109375" style="125" customWidth="1"/>
    <col min="13642" max="13643" width="3.7109375" style="125" customWidth="1"/>
    <col min="13644" max="13644" width="9.7109375" style="125" customWidth="1"/>
    <col min="13645" max="13646" width="3.7109375" style="125" customWidth="1"/>
    <col min="13647" max="13647" width="9.7109375" style="125" customWidth="1"/>
    <col min="13648" max="13649" width="3.7109375" style="125" customWidth="1"/>
    <col min="13650" max="13650" width="9.7109375" style="125" customWidth="1"/>
    <col min="13651" max="13652" width="3.7109375" style="125" customWidth="1"/>
    <col min="13653" max="13653" width="9.7109375" style="125" customWidth="1"/>
    <col min="13654" max="13655" width="3.7109375" style="125" customWidth="1"/>
    <col min="13656" max="13656" width="9.7109375" style="125" customWidth="1"/>
    <col min="13657" max="13658" width="3.7109375" style="125" customWidth="1"/>
    <col min="13659" max="13659" width="9.7109375" style="125" customWidth="1"/>
    <col min="13660" max="13661" width="3.7109375" style="125" customWidth="1"/>
    <col min="13662" max="13662" width="9.7109375" style="125" customWidth="1"/>
    <col min="13663" max="13664" width="3.7109375" style="125" customWidth="1"/>
    <col min="13665" max="13665" width="9.7109375" style="125" customWidth="1"/>
    <col min="13666" max="13667" width="3.7109375" style="125" customWidth="1"/>
    <col min="13668" max="13668" width="9.7109375" style="125" customWidth="1"/>
    <col min="13669" max="13670" width="3.7109375" style="125" customWidth="1"/>
    <col min="13671" max="13671" width="9.7109375" style="125" customWidth="1"/>
    <col min="13672" max="13673" width="3.7109375" style="125" customWidth="1"/>
    <col min="13674" max="13674" width="9.7109375" style="125" customWidth="1"/>
    <col min="13675" max="13676" width="3.7109375" style="125" customWidth="1"/>
    <col min="13677" max="13677" width="9.7109375" style="125" customWidth="1"/>
    <col min="13678" max="13679" width="3.7109375" style="125" customWidth="1"/>
    <col min="13680" max="13680" width="9.7109375" style="125" customWidth="1"/>
    <col min="13681" max="13682" width="3.7109375" style="125" customWidth="1"/>
    <col min="13683" max="13683" width="9.7109375" style="125" customWidth="1"/>
    <col min="13684" max="13685" width="3.7109375" style="125" customWidth="1"/>
    <col min="13686" max="13686" width="9.7109375" style="125" customWidth="1"/>
    <col min="13687" max="13688" width="3.7109375" style="125" customWidth="1"/>
    <col min="13689" max="13689" width="9.7109375" style="125" customWidth="1"/>
    <col min="13690" max="13691" width="3.7109375" style="125" customWidth="1"/>
    <col min="13692" max="13692" width="9.7109375" style="125" customWidth="1"/>
    <col min="13693" max="13694" width="3.7109375" style="125" customWidth="1"/>
    <col min="13695" max="13695" width="9.7109375" style="125" customWidth="1"/>
    <col min="13696" max="13697" width="3.7109375" style="125" customWidth="1"/>
    <col min="13698" max="13698" width="9.7109375" style="125" customWidth="1"/>
    <col min="13699" max="13700" width="3.7109375" style="125" customWidth="1"/>
    <col min="13701" max="13701" width="9.7109375" style="125" customWidth="1"/>
    <col min="13702" max="13703" width="3.7109375" style="125" customWidth="1"/>
    <col min="13704" max="13704" width="9.7109375" style="125" customWidth="1"/>
    <col min="13705" max="13706" width="3.7109375" style="125" customWidth="1"/>
    <col min="13707" max="13707" width="9.7109375" style="125" customWidth="1"/>
    <col min="13708" max="13709" width="3.7109375" style="125" customWidth="1"/>
    <col min="13710" max="13710" width="9.7109375" style="125" customWidth="1"/>
    <col min="13711" max="13712" width="3.7109375" style="125" customWidth="1"/>
    <col min="13713" max="13713" width="9.7109375" style="125" customWidth="1"/>
    <col min="13714" max="13714" width="3.7109375" style="125" customWidth="1"/>
    <col min="13715" max="13715" width="5.7109375" style="125" bestFit="1" customWidth="1"/>
    <col min="13716" max="13716" width="9.7109375" style="125" customWidth="1"/>
    <col min="13717" max="13718" width="3.7109375" style="125" customWidth="1"/>
    <col min="13719" max="13719" width="9.7109375" style="125" customWidth="1"/>
    <col min="13720" max="13721" width="3.7109375" style="125" customWidth="1"/>
    <col min="13722" max="13722" width="9.7109375" style="125" customWidth="1"/>
    <col min="13723" max="13724" width="3.7109375" style="125" customWidth="1"/>
    <col min="13725" max="13725" width="9.7109375" style="125" customWidth="1"/>
    <col min="13726" max="13727" width="3.7109375" style="125" customWidth="1"/>
    <col min="13728" max="13728" width="9.7109375" style="125" customWidth="1"/>
    <col min="13729" max="13730" width="3.7109375" style="125" customWidth="1"/>
    <col min="13731" max="13731" width="9.7109375" style="125" customWidth="1"/>
    <col min="13732" max="13732" width="3.7109375" style="125" customWidth="1"/>
    <col min="13733" max="13733" width="5.7109375" style="125" bestFit="1" customWidth="1"/>
    <col min="13734" max="13734" width="9.7109375" style="125" customWidth="1"/>
    <col min="13735" max="13736" width="3.7109375" style="125" customWidth="1"/>
    <col min="13737" max="13737" width="9.7109375" style="125" customWidth="1"/>
    <col min="13738" max="13739" width="3.7109375" style="125" customWidth="1"/>
    <col min="13740" max="13740" width="9.7109375" style="125" customWidth="1"/>
    <col min="13741" max="13742" width="3.7109375" style="125" customWidth="1"/>
    <col min="13743" max="13743" width="9.7109375" style="125" customWidth="1"/>
    <col min="13744" max="13745" width="3.7109375" style="125" customWidth="1"/>
    <col min="13746" max="13746" width="9.7109375" style="125" customWidth="1"/>
    <col min="13747" max="13748" width="3.7109375" style="125" customWidth="1"/>
    <col min="13749" max="13749" width="9.7109375" style="125" customWidth="1"/>
    <col min="13750" max="13751" width="3.7109375" style="125" customWidth="1"/>
    <col min="13752" max="13752" width="9.7109375" style="125" customWidth="1"/>
    <col min="13753" max="13754" width="3.7109375" style="125" customWidth="1"/>
    <col min="13755" max="13755" width="9.7109375" style="125" customWidth="1"/>
    <col min="13756" max="13757" width="3.7109375" style="125" customWidth="1"/>
    <col min="13758" max="13758" width="9.7109375" style="125" customWidth="1"/>
    <col min="13759" max="13760" width="3.7109375" style="125" customWidth="1"/>
    <col min="13761" max="13761" width="9.7109375" style="125" customWidth="1"/>
    <col min="13762" max="13763" width="3.7109375" style="125" customWidth="1"/>
    <col min="13764" max="13764" width="9.7109375" style="125" customWidth="1"/>
    <col min="13765" max="13766" width="3.7109375" style="125" customWidth="1"/>
    <col min="13767" max="13767" width="9.7109375" style="125" customWidth="1"/>
    <col min="13768" max="13769" width="3.7109375" style="125" customWidth="1"/>
    <col min="13770" max="13770" width="9.7109375" style="125" customWidth="1"/>
    <col min="13771" max="13772" width="3.7109375" style="125" customWidth="1"/>
    <col min="13773" max="13773" width="9.7109375" style="125" customWidth="1"/>
    <col min="13774" max="13775" width="3.7109375" style="125" customWidth="1"/>
    <col min="13776" max="13776" width="9.7109375" style="125" customWidth="1"/>
    <col min="13777" max="13778" width="3.7109375" style="125" customWidth="1"/>
    <col min="13779" max="13779" width="9.7109375" style="125" customWidth="1"/>
    <col min="13780" max="13781" width="3.7109375" style="125" customWidth="1"/>
    <col min="13782" max="13782" width="9.7109375" style="125" customWidth="1"/>
    <col min="13783" max="13784" width="3.7109375" style="125" customWidth="1"/>
    <col min="13785" max="13785" width="9.7109375" style="125" customWidth="1"/>
    <col min="13786" max="13787" width="3.7109375" style="125" customWidth="1"/>
    <col min="13788" max="13788" width="9.7109375" style="125" customWidth="1"/>
    <col min="13789" max="13790" width="3.7109375" style="125" customWidth="1"/>
    <col min="13791" max="13791" width="9.7109375" style="125" customWidth="1"/>
    <col min="13792" max="13793" width="3.7109375" style="125" customWidth="1"/>
    <col min="13794" max="13794" width="9.7109375" style="125" customWidth="1"/>
    <col min="13795" max="13796" width="3.7109375" style="125" customWidth="1"/>
    <col min="13797" max="13797" width="9.7109375" style="125" customWidth="1"/>
    <col min="13798" max="13799" width="3.7109375" style="125" customWidth="1"/>
    <col min="13800" max="13800" width="9.7109375" style="125" customWidth="1"/>
    <col min="13801" max="13802" width="3.7109375" style="125" customWidth="1"/>
    <col min="13803" max="13803" width="9.7109375" style="125" customWidth="1"/>
    <col min="13804" max="13805" width="3.7109375" style="125" customWidth="1"/>
    <col min="13806" max="13806" width="9.7109375" style="125" customWidth="1"/>
    <col min="13807" max="13808" width="3.7109375" style="125" customWidth="1"/>
    <col min="13809" max="13809" width="9.7109375" style="125" customWidth="1"/>
    <col min="13810" max="13811" width="3.7109375" style="125" customWidth="1"/>
    <col min="13812" max="13812" width="9.7109375" style="125" customWidth="1"/>
    <col min="13813" max="13814" width="3.7109375" style="125" customWidth="1"/>
    <col min="13815" max="13815" width="9.7109375" style="125" customWidth="1"/>
    <col min="13816" max="13817" width="3.7109375" style="125" customWidth="1"/>
    <col min="13818" max="13818" width="9.7109375" style="125" customWidth="1"/>
    <col min="13819" max="13820" width="3.7109375" style="125" customWidth="1"/>
    <col min="13821" max="13821" width="9.7109375" style="125" customWidth="1"/>
    <col min="13822" max="13822" width="3.7109375" style="125" customWidth="1"/>
    <col min="13823" max="13824" width="8" style="125"/>
    <col min="13825" max="13825" width="30.7109375" style="125" customWidth="1"/>
    <col min="13826" max="13826" width="9.7109375" style="125" customWidth="1"/>
    <col min="13827" max="13827" width="3.7109375" style="125" customWidth="1"/>
    <col min="13828" max="13828" width="9.7109375" style="125" customWidth="1"/>
    <col min="13829" max="13830" width="3.7109375" style="125" customWidth="1"/>
    <col min="13831" max="13831" width="9.7109375" style="125" customWidth="1"/>
    <col min="13832" max="13833" width="3.7109375" style="125" customWidth="1"/>
    <col min="13834" max="13834" width="9.7109375" style="125" customWidth="1"/>
    <col min="13835" max="13836" width="3.7109375" style="125" customWidth="1"/>
    <col min="13837" max="13837" width="9.7109375" style="125" customWidth="1"/>
    <col min="13838" max="13839" width="3.7109375" style="125" customWidth="1"/>
    <col min="13840" max="13840" width="9.7109375" style="125" customWidth="1"/>
    <col min="13841" max="13842" width="3.7109375" style="125" customWidth="1"/>
    <col min="13843" max="13843" width="9.7109375" style="125" customWidth="1"/>
    <col min="13844" max="13845" width="3.7109375" style="125" customWidth="1"/>
    <col min="13846" max="13846" width="9.7109375" style="125" customWidth="1"/>
    <col min="13847" max="13848" width="3.7109375" style="125" customWidth="1"/>
    <col min="13849" max="13849" width="9.7109375" style="125" customWidth="1"/>
    <col min="13850" max="13851" width="3.7109375" style="125" customWidth="1"/>
    <col min="13852" max="13852" width="9.7109375" style="125" customWidth="1"/>
    <col min="13853" max="13854" width="3.7109375" style="125" customWidth="1"/>
    <col min="13855" max="13855" width="9.7109375" style="125" customWidth="1"/>
    <col min="13856" max="13857" width="3.7109375" style="125" customWidth="1"/>
    <col min="13858" max="13858" width="9.7109375" style="125" customWidth="1"/>
    <col min="13859" max="13860" width="3.7109375" style="125" customWidth="1"/>
    <col min="13861" max="13861" width="9.7109375" style="125" customWidth="1"/>
    <col min="13862" max="13863" width="3.7109375" style="125" customWidth="1"/>
    <col min="13864" max="13864" width="9.7109375" style="125" customWidth="1"/>
    <col min="13865" max="13866" width="3.7109375" style="125" customWidth="1"/>
    <col min="13867" max="13867" width="9.7109375" style="125" customWidth="1"/>
    <col min="13868" max="13869" width="3.7109375" style="125" customWidth="1"/>
    <col min="13870" max="13870" width="9.7109375" style="125" customWidth="1"/>
    <col min="13871" max="13872" width="3.7109375" style="125" customWidth="1"/>
    <col min="13873" max="13873" width="9.7109375" style="125" customWidth="1"/>
    <col min="13874" max="13875" width="3.7109375" style="125" customWidth="1"/>
    <col min="13876" max="13876" width="9.7109375" style="125" customWidth="1"/>
    <col min="13877" max="13878" width="3.7109375" style="125" customWidth="1"/>
    <col min="13879" max="13879" width="9.7109375" style="125" customWidth="1"/>
    <col min="13880" max="13881" width="3.7109375" style="125" customWidth="1"/>
    <col min="13882" max="13882" width="9.7109375" style="125" customWidth="1"/>
    <col min="13883" max="13884" width="3.7109375" style="125" customWidth="1"/>
    <col min="13885" max="13885" width="9.7109375" style="125" customWidth="1"/>
    <col min="13886" max="13887" width="3.7109375" style="125" customWidth="1"/>
    <col min="13888" max="13888" width="9.7109375" style="125" customWidth="1"/>
    <col min="13889" max="13890" width="3.7109375" style="125" customWidth="1"/>
    <col min="13891" max="13891" width="9.7109375" style="125" customWidth="1"/>
    <col min="13892" max="13893" width="3.7109375" style="125" customWidth="1"/>
    <col min="13894" max="13894" width="9.7109375" style="125" customWidth="1"/>
    <col min="13895" max="13896" width="3.7109375" style="125" customWidth="1"/>
    <col min="13897" max="13897" width="9.7109375" style="125" customWidth="1"/>
    <col min="13898" max="13899" width="3.7109375" style="125" customWidth="1"/>
    <col min="13900" max="13900" width="9.7109375" style="125" customWidth="1"/>
    <col min="13901" max="13902" width="3.7109375" style="125" customWidth="1"/>
    <col min="13903" max="13903" width="9.7109375" style="125" customWidth="1"/>
    <col min="13904" max="13905" width="3.7109375" style="125" customWidth="1"/>
    <col min="13906" max="13906" width="9.7109375" style="125" customWidth="1"/>
    <col min="13907" max="13908" width="3.7109375" style="125" customWidth="1"/>
    <col min="13909" max="13909" width="9.7109375" style="125" customWidth="1"/>
    <col min="13910" max="13911" width="3.7109375" style="125" customWidth="1"/>
    <col min="13912" max="13912" width="9.7109375" style="125" customWidth="1"/>
    <col min="13913" max="13914" width="3.7109375" style="125" customWidth="1"/>
    <col min="13915" max="13915" width="9.7109375" style="125" customWidth="1"/>
    <col min="13916" max="13917" width="3.7109375" style="125" customWidth="1"/>
    <col min="13918" max="13918" width="9.7109375" style="125" customWidth="1"/>
    <col min="13919" max="13920" width="3.7109375" style="125" customWidth="1"/>
    <col min="13921" max="13921" width="9.7109375" style="125" customWidth="1"/>
    <col min="13922" max="13923" width="3.7109375" style="125" customWidth="1"/>
    <col min="13924" max="13924" width="9.7109375" style="125" customWidth="1"/>
    <col min="13925" max="13926" width="3.7109375" style="125" customWidth="1"/>
    <col min="13927" max="13927" width="9.7109375" style="125" customWidth="1"/>
    <col min="13928" max="13929" width="3.7109375" style="125" customWidth="1"/>
    <col min="13930" max="13930" width="9.7109375" style="125" customWidth="1"/>
    <col min="13931" max="13932" width="3.7109375" style="125" customWidth="1"/>
    <col min="13933" max="13933" width="9.7109375" style="125" customWidth="1"/>
    <col min="13934" max="13935" width="3.7109375" style="125" customWidth="1"/>
    <col min="13936" max="13936" width="9.7109375" style="125" customWidth="1"/>
    <col min="13937" max="13938" width="3.7109375" style="125" customWidth="1"/>
    <col min="13939" max="13939" width="9.7109375" style="125" customWidth="1"/>
    <col min="13940" max="13941" width="3.7109375" style="125" customWidth="1"/>
    <col min="13942" max="13942" width="9.7109375" style="125" customWidth="1"/>
    <col min="13943" max="13944" width="3.7109375" style="125" customWidth="1"/>
    <col min="13945" max="13945" width="9.7109375" style="125" customWidth="1"/>
    <col min="13946" max="13947" width="3.7109375" style="125" customWidth="1"/>
    <col min="13948" max="13948" width="9.7109375" style="125" customWidth="1"/>
    <col min="13949" max="13950" width="3.7109375" style="125" customWidth="1"/>
    <col min="13951" max="13951" width="9.7109375" style="125" customWidth="1"/>
    <col min="13952" max="13953" width="3.7109375" style="125" customWidth="1"/>
    <col min="13954" max="13954" width="9.7109375" style="125" customWidth="1"/>
    <col min="13955" max="13956" width="3.7109375" style="125" customWidth="1"/>
    <col min="13957" max="13957" width="9.7109375" style="125" customWidth="1"/>
    <col min="13958" max="13959" width="3.7109375" style="125" customWidth="1"/>
    <col min="13960" max="13960" width="9.7109375" style="125" customWidth="1"/>
    <col min="13961" max="13962" width="3.7109375" style="125" customWidth="1"/>
    <col min="13963" max="13963" width="9.7109375" style="125" customWidth="1"/>
    <col min="13964" max="13965" width="3.7109375" style="125" customWidth="1"/>
    <col min="13966" max="13966" width="9.7109375" style="125" customWidth="1"/>
    <col min="13967" max="13968" width="3.7109375" style="125" customWidth="1"/>
    <col min="13969" max="13969" width="9.7109375" style="125" customWidth="1"/>
    <col min="13970" max="13970" width="3.7109375" style="125" customWidth="1"/>
    <col min="13971" max="13971" width="5.7109375" style="125" bestFit="1" customWidth="1"/>
    <col min="13972" max="13972" width="9.7109375" style="125" customWidth="1"/>
    <col min="13973" max="13974" width="3.7109375" style="125" customWidth="1"/>
    <col min="13975" max="13975" width="9.7109375" style="125" customWidth="1"/>
    <col min="13976" max="13977" width="3.7109375" style="125" customWidth="1"/>
    <col min="13978" max="13978" width="9.7109375" style="125" customWidth="1"/>
    <col min="13979" max="13980" width="3.7109375" style="125" customWidth="1"/>
    <col min="13981" max="13981" width="9.7109375" style="125" customWidth="1"/>
    <col min="13982" max="13983" width="3.7109375" style="125" customWidth="1"/>
    <col min="13984" max="13984" width="9.7109375" style="125" customWidth="1"/>
    <col min="13985" max="13986" width="3.7109375" style="125" customWidth="1"/>
    <col min="13987" max="13987" width="9.7109375" style="125" customWidth="1"/>
    <col min="13988" max="13988" width="3.7109375" style="125" customWidth="1"/>
    <col min="13989" max="13989" width="5.7109375" style="125" bestFit="1" customWidth="1"/>
    <col min="13990" max="13990" width="9.7109375" style="125" customWidth="1"/>
    <col min="13991" max="13992" width="3.7109375" style="125" customWidth="1"/>
    <col min="13993" max="13993" width="9.7109375" style="125" customWidth="1"/>
    <col min="13994" max="13995" width="3.7109375" style="125" customWidth="1"/>
    <col min="13996" max="13996" width="9.7109375" style="125" customWidth="1"/>
    <col min="13997" max="13998" width="3.7109375" style="125" customWidth="1"/>
    <col min="13999" max="13999" width="9.7109375" style="125" customWidth="1"/>
    <col min="14000" max="14001" width="3.7109375" style="125" customWidth="1"/>
    <col min="14002" max="14002" width="9.7109375" style="125" customWidth="1"/>
    <col min="14003" max="14004" width="3.7109375" style="125" customWidth="1"/>
    <col min="14005" max="14005" width="9.7109375" style="125" customWidth="1"/>
    <col min="14006" max="14007" width="3.7109375" style="125" customWidth="1"/>
    <col min="14008" max="14008" width="9.7109375" style="125" customWidth="1"/>
    <col min="14009" max="14010" width="3.7109375" style="125" customWidth="1"/>
    <col min="14011" max="14011" width="9.7109375" style="125" customWidth="1"/>
    <col min="14012" max="14013" width="3.7109375" style="125" customWidth="1"/>
    <col min="14014" max="14014" width="9.7109375" style="125" customWidth="1"/>
    <col min="14015" max="14016" width="3.7109375" style="125" customWidth="1"/>
    <col min="14017" max="14017" width="9.7109375" style="125" customWidth="1"/>
    <col min="14018" max="14019" width="3.7109375" style="125" customWidth="1"/>
    <col min="14020" max="14020" width="9.7109375" style="125" customWidth="1"/>
    <col min="14021" max="14022" width="3.7109375" style="125" customWidth="1"/>
    <col min="14023" max="14023" width="9.7109375" style="125" customWidth="1"/>
    <col min="14024" max="14025" width="3.7109375" style="125" customWidth="1"/>
    <col min="14026" max="14026" width="9.7109375" style="125" customWidth="1"/>
    <col min="14027" max="14028" width="3.7109375" style="125" customWidth="1"/>
    <col min="14029" max="14029" width="9.7109375" style="125" customWidth="1"/>
    <col min="14030" max="14031" width="3.7109375" style="125" customWidth="1"/>
    <col min="14032" max="14032" width="9.7109375" style="125" customWidth="1"/>
    <col min="14033" max="14034" width="3.7109375" style="125" customWidth="1"/>
    <col min="14035" max="14035" width="9.7109375" style="125" customWidth="1"/>
    <col min="14036" max="14037" width="3.7109375" style="125" customWidth="1"/>
    <col min="14038" max="14038" width="9.7109375" style="125" customWidth="1"/>
    <col min="14039" max="14040" width="3.7109375" style="125" customWidth="1"/>
    <col min="14041" max="14041" width="9.7109375" style="125" customWidth="1"/>
    <col min="14042" max="14043" width="3.7109375" style="125" customWidth="1"/>
    <col min="14044" max="14044" width="9.7109375" style="125" customWidth="1"/>
    <col min="14045" max="14046" width="3.7109375" style="125" customWidth="1"/>
    <col min="14047" max="14047" width="9.7109375" style="125" customWidth="1"/>
    <col min="14048" max="14049" width="3.7109375" style="125" customWidth="1"/>
    <col min="14050" max="14050" width="9.7109375" style="125" customWidth="1"/>
    <col min="14051" max="14052" width="3.7109375" style="125" customWidth="1"/>
    <col min="14053" max="14053" width="9.7109375" style="125" customWidth="1"/>
    <col min="14054" max="14055" width="3.7109375" style="125" customWidth="1"/>
    <col min="14056" max="14056" width="9.7109375" style="125" customWidth="1"/>
    <col min="14057" max="14058" width="3.7109375" style="125" customWidth="1"/>
    <col min="14059" max="14059" width="9.7109375" style="125" customWidth="1"/>
    <col min="14060" max="14061" width="3.7109375" style="125" customWidth="1"/>
    <col min="14062" max="14062" width="9.7109375" style="125" customWidth="1"/>
    <col min="14063" max="14064" width="3.7109375" style="125" customWidth="1"/>
    <col min="14065" max="14065" width="9.7109375" style="125" customWidth="1"/>
    <col min="14066" max="14067" width="3.7109375" style="125" customWidth="1"/>
    <col min="14068" max="14068" width="9.7109375" style="125" customWidth="1"/>
    <col min="14069" max="14070" width="3.7109375" style="125" customWidth="1"/>
    <col min="14071" max="14071" width="9.7109375" style="125" customWidth="1"/>
    <col min="14072" max="14073" width="3.7109375" style="125" customWidth="1"/>
    <col min="14074" max="14074" width="9.7109375" style="125" customWidth="1"/>
    <col min="14075" max="14076" width="3.7109375" style="125" customWidth="1"/>
    <col min="14077" max="14077" width="9.7109375" style="125" customWidth="1"/>
    <col min="14078" max="14078" width="3.7109375" style="125" customWidth="1"/>
    <col min="14079" max="14080" width="8" style="125"/>
    <col min="14081" max="14081" width="30.7109375" style="125" customWidth="1"/>
    <col min="14082" max="14082" width="9.7109375" style="125" customWidth="1"/>
    <col min="14083" max="14083" width="3.7109375" style="125" customWidth="1"/>
    <col min="14084" max="14084" width="9.7109375" style="125" customWidth="1"/>
    <col min="14085" max="14086" width="3.7109375" style="125" customWidth="1"/>
    <col min="14087" max="14087" width="9.7109375" style="125" customWidth="1"/>
    <col min="14088" max="14089" width="3.7109375" style="125" customWidth="1"/>
    <col min="14090" max="14090" width="9.7109375" style="125" customWidth="1"/>
    <col min="14091" max="14092" width="3.7109375" style="125" customWidth="1"/>
    <col min="14093" max="14093" width="9.7109375" style="125" customWidth="1"/>
    <col min="14094" max="14095" width="3.7109375" style="125" customWidth="1"/>
    <col min="14096" max="14096" width="9.7109375" style="125" customWidth="1"/>
    <col min="14097" max="14098" width="3.7109375" style="125" customWidth="1"/>
    <col min="14099" max="14099" width="9.7109375" style="125" customWidth="1"/>
    <col min="14100" max="14101" width="3.7109375" style="125" customWidth="1"/>
    <col min="14102" max="14102" width="9.7109375" style="125" customWidth="1"/>
    <col min="14103" max="14104" width="3.7109375" style="125" customWidth="1"/>
    <col min="14105" max="14105" width="9.7109375" style="125" customWidth="1"/>
    <col min="14106" max="14107" width="3.7109375" style="125" customWidth="1"/>
    <col min="14108" max="14108" width="9.7109375" style="125" customWidth="1"/>
    <col min="14109" max="14110" width="3.7109375" style="125" customWidth="1"/>
    <col min="14111" max="14111" width="9.7109375" style="125" customWidth="1"/>
    <col min="14112" max="14113" width="3.7109375" style="125" customWidth="1"/>
    <col min="14114" max="14114" width="9.7109375" style="125" customWidth="1"/>
    <col min="14115" max="14116" width="3.7109375" style="125" customWidth="1"/>
    <col min="14117" max="14117" width="9.7109375" style="125" customWidth="1"/>
    <col min="14118" max="14119" width="3.7109375" style="125" customWidth="1"/>
    <col min="14120" max="14120" width="9.7109375" style="125" customWidth="1"/>
    <col min="14121" max="14122" width="3.7109375" style="125" customWidth="1"/>
    <col min="14123" max="14123" width="9.7109375" style="125" customWidth="1"/>
    <col min="14124" max="14125" width="3.7109375" style="125" customWidth="1"/>
    <col min="14126" max="14126" width="9.7109375" style="125" customWidth="1"/>
    <col min="14127" max="14128" width="3.7109375" style="125" customWidth="1"/>
    <col min="14129" max="14129" width="9.7109375" style="125" customWidth="1"/>
    <col min="14130" max="14131" width="3.7109375" style="125" customWidth="1"/>
    <col min="14132" max="14132" width="9.7109375" style="125" customWidth="1"/>
    <col min="14133" max="14134" width="3.7109375" style="125" customWidth="1"/>
    <col min="14135" max="14135" width="9.7109375" style="125" customWidth="1"/>
    <col min="14136" max="14137" width="3.7109375" style="125" customWidth="1"/>
    <col min="14138" max="14138" width="9.7109375" style="125" customWidth="1"/>
    <col min="14139" max="14140" width="3.7109375" style="125" customWidth="1"/>
    <col min="14141" max="14141" width="9.7109375" style="125" customWidth="1"/>
    <col min="14142" max="14143" width="3.7109375" style="125" customWidth="1"/>
    <col min="14144" max="14144" width="9.7109375" style="125" customWidth="1"/>
    <col min="14145" max="14146" width="3.7109375" style="125" customWidth="1"/>
    <col min="14147" max="14147" width="9.7109375" style="125" customWidth="1"/>
    <col min="14148" max="14149" width="3.7109375" style="125" customWidth="1"/>
    <col min="14150" max="14150" width="9.7109375" style="125" customWidth="1"/>
    <col min="14151" max="14152" width="3.7109375" style="125" customWidth="1"/>
    <col min="14153" max="14153" width="9.7109375" style="125" customWidth="1"/>
    <col min="14154" max="14155" width="3.7109375" style="125" customWidth="1"/>
    <col min="14156" max="14156" width="9.7109375" style="125" customWidth="1"/>
    <col min="14157" max="14158" width="3.7109375" style="125" customWidth="1"/>
    <col min="14159" max="14159" width="9.7109375" style="125" customWidth="1"/>
    <col min="14160" max="14161" width="3.7109375" style="125" customWidth="1"/>
    <col min="14162" max="14162" width="9.7109375" style="125" customWidth="1"/>
    <col min="14163" max="14164" width="3.7109375" style="125" customWidth="1"/>
    <col min="14165" max="14165" width="9.7109375" style="125" customWidth="1"/>
    <col min="14166" max="14167" width="3.7109375" style="125" customWidth="1"/>
    <col min="14168" max="14168" width="9.7109375" style="125" customWidth="1"/>
    <col min="14169" max="14170" width="3.7109375" style="125" customWidth="1"/>
    <col min="14171" max="14171" width="9.7109375" style="125" customWidth="1"/>
    <col min="14172" max="14173" width="3.7109375" style="125" customWidth="1"/>
    <col min="14174" max="14174" width="9.7109375" style="125" customWidth="1"/>
    <col min="14175" max="14176" width="3.7109375" style="125" customWidth="1"/>
    <col min="14177" max="14177" width="9.7109375" style="125" customWidth="1"/>
    <col min="14178" max="14179" width="3.7109375" style="125" customWidth="1"/>
    <col min="14180" max="14180" width="9.7109375" style="125" customWidth="1"/>
    <col min="14181" max="14182" width="3.7109375" style="125" customWidth="1"/>
    <col min="14183" max="14183" width="9.7109375" style="125" customWidth="1"/>
    <col min="14184" max="14185" width="3.7109375" style="125" customWidth="1"/>
    <col min="14186" max="14186" width="9.7109375" style="125" customWidth="1"/>
    <col min="14187" max="14188" width="3.7109375" style="125" customWidth="1"/>
    <col min="14189" max="14189" width="9.7109375" style="125" customWidth="1"/>
    <col min="14190" max="14191" width="3.7109375" style="125" customWidth="1"/>
    <col min="14192" max="14192" width="9.7109375" style="125" customWidth="1"/>
    <col min="14193" max="14194" width="3.7109375" style="125" customWidth="1"/>
    <col min="14195" max="14195" width="9.7109375" style="125" customWidth="1"/>
    <col min="14196" max="14197" width="3.7109375" style="125" customWidth="1"/>
    <col min="14198" max="14198" width="9.7109375" style="125" customWidth="1"/>
    <col min="14199" max="14200" width="3.7109375" style="125" customWidth="1"/>
    <col min="14201" max="14201" width="9.7109375" style="125" customWidth="1"/>
    <col min="14202" max="14203" width="3.7109375" style="125" customWidth="1"/>
    <col min="14204" max="14204" width="9.7109375" style="125" customWidth="1"/>
    <col min="14205" max="14206" width="3.7109375" style="125" customWidth="1"/>
    <col min="14207" max="14207" width="9.7109375" style="125" customWidth="1"/>
    <col min="14208" max="14209" width="3.7109375" style="125" customWidth="1"/>
    <col min="14210" max="14210" width="9.7109375" style="125" customWidth="1"/>
    <col min="14211" max="14212" width="3.7109375" style="125" customWidth="1"/>
    <col min="14213" max="14213" width="9.7109375" style="125" customWidth="1"/>
    <col min="14214" max="14215" width="3.7109375" style="125" customWidth="1"/>
    <col min="14216" max="14216" width="9.7109375" style="125" customWidth="1"/>
    <col min="14217" max="14218" width="3.7109375" style="125" customWidth="1"/>
    <col min="14219" max="14219" width="9.7109375" style="125" customWidth="1"/>
    <col min="14220" max="14221" width="3.7109375" style="125" customWidth="1"/>
    <col min="14222" max="14222" width="9.7109375" style="125" customWidth="1"/>
    <col min="14223" max="14224" width="3.7109375" style="125" customWidth="1"/>
    <col min="14225" max="14225" width="9.7109375" style="125" customWidth="1"/>
    <col min="14226" max="14226" width="3.7109375" style="125" customWidth="1"/>
    <col min="14227" max="14227" width="5.7109375" style="125" bestFit="1" customWidth="1"/>
    <col min="14228" max="14228" width="9.7109375" style="125" customWidth="1"/>
    <col min="14229" max="14230" width="3.7109375" style="125" customWidth="1"/>
    <col min="14231" max="14231" width="9.7109375" style="125" customWidth="1"/>
    <col min="14232" max="14233" width="3.7109375" style="125" customWidth="1"/>
    <col min="14234" max="14234" width="9.7109375" style="125" customWidth="1"/>
    <col min="14235" max="14236" width="3.7109375" style="125" customWidth="1"/>
    <col min="14237" max="14237" width="9.7109375" style="125" customWidth="1"/>
    <col min="14238" max="14239" width="3.7109375" style="125" customWidth="1"/>
    <col min="14240" max="14240" width="9.7109375" style="125" customWidth="1"/>
    <col min="14241" max="14242" width="3.7109375" style="125" customWidth="1"/>
    <col min="14243" max="14243" width="9.7109375" style="125" customWidth="1"/>
    <col min="14244" max="14244" width="3.7109375" style="125" customWidth="1"/>
    <col min="14245" max="14245" width="5.7109375" style="125" bestFit="1" customWidth="1"/>
    <col min="14246" max="14246" width="9.7109375" style="125" customWidth="1"/>
    <col min="14247" max="14248" width="3.7109375" style="125" customWidth="1"/>
    <col min="14249" max="14249" width="9.7109375" style="125" customWidth="1"/>
    <col min="14250" max="14251" width="3.7109375" style="125" customWidth="1"/>
    <col min="14252" max="14252" width="9.7109375" style="125" customWidth="1"/>
    <col min="14253" max="14254" width="3.7109375" style="125" customWidth="1"/>
    <col min="14255" max="14255" width="9.7109375" style="125" customWidth="1"/>
    <col min="14256" max="14257" width="3.7109375" style="125" customWidth="1"/>
    <col min="14258" max="14258" width="9.7109375" style="125" customWidth="1"/>
    <col min="14259" max="14260" width="3.7109375" style="125" customWidth="1"/>
    <col min="14261" max="14261" width="9.7109375" style="125" customWidth="1"/>
    <col min="14262" max="14263" width="3.7109375" style="125" customWidth="1"/>
    <col min="14264" max="14264" width="9.7109375" style="125" customWidth="1"/>
    <col min="14265" max="14266" width="3.7109375" style="125" customWidth="1"/>
    <col min="14267" max="14267" width="9.7109375" style="125" customWidth="1"/>
    <col min="14268" max="14269" width="3.7109375" style="125" customWidth="1"/>
    <col min="14270" max="14270" width="9.7109375" style="125" customWidth="1"/>
    <col min="14271" max="14272" width="3.7109375" style="125" customWidth="1"/>
    <col min="14273" max="14273" width="9.7109375" style="125" customWidth="1"/>
    <col min="14274" max="14275" width="3.7109375" style="125" customWidth="1"/>
    <col min="14276" max="14276" width="9.7109375" style="125" customWidth="1"/>
    <col min="14277" max="14278" width="3.7109375" style="125" customWidth="1"/>
    <col min="14279" max="14279" width="9.7109375" style="125" customWidth="1"/>
    <col min="14280" max="14281" width="3.7109375" style="125" customWidth="1"/>
    <col min="14282" max="14282" width="9.7109375" style="125" customWidth="1"/>
    <col min="14283" max="14284" width="3.7109375" style="125" customWidth="1"/>
    <col min="14285" max="14285" width="9.7109375" style="125" customWidth="1"/>
    <col min="14286" max="14287" width="3.7109375" style="125" customWidth="1"/>
    <col min="14288" max="14288" width="9.7109375" style="125" customWidth="1"/>
    <col min="14289" max="14290" width="3.7109375" style="125" customWidth="1"/>
    <col min="14291" max="14291" width="9.7109375" style="125" customWidth="1"/>
    <col min="14292" max="14293" width="3.7109375" style="125" customWidth="1"/>
    <col min="14294" max="14294" width="9.7109375" style="125" customWidth="1"/>
    <col min="14295" max="14296" width="3.7109375" style="125" customWidth="1"/>
    <col min="14297" max="14297" width="9.7109375" style="125" customWidth="1"/>
    <col min="14298" max="14299" width="3.7109375" style="125" customWidth="1"/>
    <col min="14300" max="14300" width="9.7109375" style="125" customWidth="1"/>
    <col min="14301" max="14302" width="3.7109375" style="125" customWidth="1"/>
    <col min="14303" max="14303" width="9.7109375" style="125" customWidth="1"/>
    <col min="14304" max="14305" width="3.7109375" style="125" customWidth="1"/>
    <col min="14306" max="14306" width="9.7109375" style="125" customWidth="1"/>
    <col min="14307" max="14308" width="3.7109375" style="125" customWidth="1"/>
    <col min="14309" max="14309" width="9.7109375" style="125" customWidth="1"/>
    <col min="14310" max="14311" width="3.7109375" style="125" customWidth="1"/>
    <col min="14312" max="14312" width="9.7109375" style="125" customWidth="1"/>
    <col min="14313" max="14314" width="3.7109375" style="125" customWidth="1"/>
    <col min="14315" max="14315" width="9.7109375" style="125" customWidth="1"/>
    <col min="14316" max="14317" width="3.7109375" style="125" customWidth="1"/>
    <col min="14318" max="14318" width="9.7109375" style="125" customWidth="1"/>
    <col min="14319" max="14320" width="3.7109375" style="125" customWidth="1"/>
    <col min="14321" max="14321" width="9.7109375" style="125" customWidth="1"/>
    <col min="14322" max="14323" width="3.7109375" style="125" customWidth="1"/>
    <col min="14324" max="14324" width="9.7109375" style="125" customWidth="1"/>
    <col min="14325" max="14326" width="3.7109375" style="125" customWidth="1"/>
    <col min="14327" max="14327" width="9.7109375" style="125" customWidth="1"/>
    <col min="14328" max="14329" width="3.7109375" style="125" customWidth="1"/>
    <col min="14330" max="14330" width="9.7109375" style="125" customWidth="1"/>
    <col min="14331" max="14332" width="3.7109375" style="125" customWidth="1"/>
    <col min="14333" max="14333" width="9.7109375" style="125" customWidth="1"/>
    <col min="14334" max="14334" width="3.7109375" style="125" customWidth="1"/>
    <col min="14335" max="14336" width="8" style="125"/>
    <col min="14337" max="14337" width="30.7109375" style="125" customWidth="1"/>
    <col min="14338" max="14338" width="9.7109375" style="125" customWidth="1"/>
    <col min="14339" max="14339" width="3.7109375" style="125" customWidth="1"/>
    <col min="14340" max="14340" width="9.7109375" style="125" customWidth="1"/>
    <col min="14341" max="14342" width="3.7109375" style="125" customWidth="1"/>
    <col min="14343" max="14343" width="9.7109375" style="125" customWidth="1"/>
    <col min="14344" max="14345" width="3.7109375" style="125" customWidth="1"/>
    <col min="14346" max="14346" width="9.7109375" style="125" customWidth="1"/>
    <col min="14347" max="14348" width="3.7109375" style="125" customWidth="1"/>
    <col min="14349" max="14349" width="9.7109375" style="125" customWidth="1"/>
    <col min="14350" max="14351" width="3.7109375" style="125" customWidth="1"/>
    <col min="14352" max="14352" width="9.7109375" style="125" customWidth="1"/>
    <col min="14353" max="14354" width="3.7109375" style="125" customWidth="1"/>
    <col min="14355" max="14355" width="9.7109375" style="125" customWidth="1"/>
    <col min="14356" max="14357" width="3.7109375" style="125" customWidth="1"/>
    <col min="14358" max="14358" width="9.7109375" style="125" customWidth="1"/>
    <col min="14359" max="14360" width="3.7109375" style="125" customWidth="1"/>
    <col min="14361" max="14361" width="9.7109375" style="125" customWidth="1"/>
    <col min="14362" max="14363" width="3.7109375" style="125" customWidth="1"/>
    <col min="14364" max="14364" width="9.7109375" style="125" customWidth="1"/>
    <col min="14365" max="14366" width="3.7109375" style="125" customWidth="1"/>
    <col min="14367" max="14367" width="9.7109375" style="125" customWidth="1"/>
    <col min="14368" max="14369" width="3.7109375" style="125" customWidth="1"/>
    <col min="14370" max="14370" width="9.7109375" style="125" customWidth="1"/>
    <col min="14371" max="14372" width="3.7109375" style="125" customWidth="1"/>
    <col min="14373" max="14373" width="9.7109375" style="125" customWidth="1"/>
    <col min="14374" max="14375" width="3.7109375" style="125" customWidth="1"/>
    <col min="14376" max="14376" width="9.7109375" style="125" customWidth="1"/>
    <col min="14377" max="14378" width="3.7109375" style="125" customWidth="1"/>
    <col min="14379" max="14379" width="9.7109375" style="125" customWidth="1"/>
    <col min="14380" max="14381" width="3.7109375" style="125" customWidth="1"/>
    <col min="14382" max="14382" width="9.7109375" style="125" customWidth="1"/>
    <col min="14383" max="14384" width="3.7109375" style="125" customWidth="1"/>
    <col min="14385" max="14385" width="9.7109375" style="125" customWidth="1"/>
    <col min="14386" max="14387" width="3.7109375" style="125" customWidth="1"/>
    <col min="14388" max="14388" width="9.7109375" style="125" customWidth="1"/>
    <col min="14389" max="14390" width="3.7109375" style="125" customWidth="1"/>
    <col min="14391" max="14391" width="9.7109375" style="125" customWidth="1"/>
    <col min="14392" max="14393" width="3.7109375" style="125" customWidth="1"/>
    <col min="14394" max="14394" width="9.7109375" style="125" customWidth="1"/>
    <col min="14395" max="14396" width="3.7109375" style="125" customWidth="1"/>
    <col min="14397" max="14397" width="9.7109375" style="125" customWidth="1"/>
    <col min="14398" max="14399" width="3.7109375" style="125" customWidth="1"/>
    <col min="14400" max="14400" width="9.7109375" style="125" customWidth="1"/>
    <col min="14401" max="14402" width="3.7109375" style="125" customWidth="1"/>
    <col min="14403" max="14403" width="9.7109375" style="125" customWidth="1"/>
    <col min="14404" max="14405" width="3.7109375" style="125" customWidth="1"/>
    <col min="14406" max="14406" width="9.7109375" style="125" customWidth="1"/>
    <col min="14407" max="14408" width="3.7109375" style="125" customWidth="1"/>
    <col min="14409" max="14409" width="9.7109375" style="125" customWidth="1"/>
    <col min="14410" max="14411" width="3.7109375" style="125" customWidth="1"/>
    <col min="14412" max="14412" width="9.7109375" style="125" customWidth="1"/>
    <col min="14413" max="14414" width="3.7109375" style="125" customWidth="1"/>
    <col min="14415" max="14415" width="9.7109375" style="125" customWidth="1"/>
    <col min="14416" max="14417" width="3.7109375" style="125" customWidth="1"/>
    <col min="14418" max="14418" width="9.7109375" style="125" customWidth="1"/>
    <col min="14419" max="14420" width="3.7109375" style="125" customWidth="1"/>
    <col min="14421" max="14421" width="9.7109375" style="125" customWidth="1"/>
    <col min="14422" max="14423" width="3.7109375" style="125" customWidth="1"/>
    <col min="14424" max="14424" width="9.7109375" style="125" customWidth="1"/>
    <col min="14425" max="14426" width="3.7109375" style="125" customWidth="1"/>
    <col min="14427" max="14427" width="9.7109375" style="125" customWidth="1"/>
    <col min="14428" max="14429" width="3.7109375" style="125" customWidth="1"/>
    <col min="14430" max="14430" width="9.7109375" style="125" customWidth="1"/>
    <col min="14431" max="14432" width="3.7109375" style="125" customWidth="1"/>
    <col min="14433" max="14433" width="9.7109375" style="125" customWidth="1"/>
    <col min="14434" max="14435" width="3.7109375" style="125" customWidth="1"/>
    <col min="14436" max="14436" width="9.7109375" style="125" customWidth="1"/>
    <col min="14437" max="14438" width="3.7109375" style="125" customWidth="1"/>
    <col min="14439" max="14439" width="9.7109375" style="125" customWidth="1"/>
    <col min="14440" max="14441" width="3.7109375" style="125" customWidth="1"/>
    <col min="14442" max="14442" width="9.7109375" style="125" customWidth="1"/>
    <col min="14443" max="14444" width="3.7109375" style="125" customWidth="1"/>
    <col min="14445" max="14445" width="9.7109375" style="125" customWidth="1"/>
    <col min="14446" max="14447" width="3.7109375" style="125" customWidth="1"/>
    <col min="14448" max="14448" width="9.7109375" style="125" customWidth="1"/>
    <col min="14449" max="14450" width="3.7109375" style="125" customWidth="1"/>
    <col min="14451" max="14451" width="9.7109375" style="125" customWidth="1"/>
    <col min="14452" max="14453" width="3.7109375" style="125" customWidth="1"/>
    <col min="14454" max="14454" width="9.7109375" style="125" customWidth="1"/>
    <col min="14455" max="14456" width="3.7109375" style="125" customWidth="1"/>
    <col min="14457" max="14457" width="9.7109375" style="125" customWidth="1"/>
    <col min="14458" max="14459" width="3.7109375" style="125" customWidth="1"/>
    <col min="14460" max="14460" width="9.7109375" style="125" customWidth="1"/>
    <col min="14461" max="14462" width="3.7109375" style="125" customWidth="1"/>
    <col min="14463" max="14463" width="9.7109375" style="125" customWidth="1"/>
    <col min="14464" max="14465" width="3.7109375" style="125" customWidth="1"/>
    <col min="14466" max="14466" width="9.7109375" style="125" customWidth="1"/>
    <col min="14467" max="14468" width="3.7109375" style="125" customWidth="1"/>
    <col min="14469" max="14469" width="9.7109375" style="125" customWidth="1"/>
    <col min="14470" max="14471" width="3.7109375" style="125" customWidth="1"/>
    <col min="14472" max="14472" width="9.7109375" style="125" customWidth="1"/>
    <col min="14473" max="14474" width="3.7109375" style="125" customWidth="1"/>
    <col min="14475" max="14475" width="9.7109375" style="125" customWidth="1"/>
    <col min="14476" max="14477" width="3.7109375" style="125" customWidth="1"/>
    <col min="14478" max="14478" width="9.7109375" style="125" customWidth="1"/>
    <col min="14479" max="14480" width="3.7109375" style="125" customWidth="1"/>
    <col min="14481" max="14481" width="9.7109375" style="125" customWidth="1"/>
    <col min="14482" max="14482" width="3.7109375" style="125" customWidth="1"/>
    <col min="14483" max="14483" width="5.7109375" style="125" bestFit="1" customWidth="1"/>
    <col min="14484" max="14484" width="9.7109375" style="125" customWidth="1"/>
    <col min="14485" max="14486" width="3.7109375" style="125" customWidth="1"/>
    <col min="14487" max="14487" width="9.7109375" style="125" customWidth="1"/>
    <col min="14488" max="14489" width="3.7109375" style="125" customWidth="1"/>
    <col min="14490" max="14490" width="9.7109375" style="125" customWidth="1"/>
    <col min="14491" max="14492" width="3.7109375" style="125" customWidth="1"/>
    <col min="14493" max="14493" width="9.7109375" style="125" customWidth="1"/>
    <col min="14494" max="14495" width="3.7109375" style="125" customWidth="1"/>
    <col min="14496" max="14496" width="9.7109375" style="125" customWidth="1"/>
    <col min="14497" max="14498" width="3.7109375" style="125" customWidth="1"/>
    <col min="14499" max="14499" width="9.7109375" style="125" customWidth="1"/>
    <col min="14500" max="14500" width="3.7109375" style="125" customWidth="1"/>
    <col min="14501" max="14501" width="5.7109375" style="125" bestFit="1" customWidth="1"/>
    <col min="14502" max="14502" width="9.7109375" style="125" customWidth="1"/>
    <col min="14503" max="14504" width="3.7109375" style="125" customWidth="1"/>
    <col min="14505" max="14505" width="9.7109375" style="125" customWidth="1"/>
    <col min="14506" max="14507" width="3.7109375" style="125" customWidth="1"/>
    <col min="14508" max="14508" width="9.7109375" style="125" customWidth="1"/>
    <col min="14509" max="14510" width="3.7109375" style="125" customWidth="1"/>
    <col min="14511" max="14511" width="9.7109375" style="125" customWidth="1"/>
    <col min="14512" max="14513" width="3.7109375" style="125" customWidth="1"/>
    <col min="14514" max="14514" width="9.7109375" style="125" customWidth="1"/>
    <col min="14515" max="14516" width="3.7109375" style="125" customWidth="1"/>
    <col min="14517" max="14517" width="9.7109375" style="125" customWidth="1"/>
    <col min="14518" max="14519" width="3.7109375" style="125" customWidth="1"/>
    <col min="14520" max="14520" width="9.7109375" style="125" customWidth="1"/>
    <col min="14521" max="14522" width="3.7109375" style="125" customWidth="1"/>
    <col min="14523" max="14523" width="9.7109375" style="125" customWidth="1"/>
    <col min="14524" max="14525" width="3.7109375" style="125" customWidth="1"/>
    <col min="14526" max="14526" width="9.7109375" style="125" customWidth="1"/>
    <col min="14527" max="14528" width="3.7109375" style="125" customWidth="1"/>
    <col min="14529" max="14529" width="9.7109375" style="125" customWidth="1"/>
    <col min="14530" max="14531" width="3.7109375" style="125" customWidth="1"/>
    <col min="14532" max="14532" width="9.7109375" style="125" customWidth="1"/>
    <col min="14533" max="14534" width="3.7109375" style="125" customWidth="1"/>
    <col min="14535" max="14535" width="9.7109375" style="125" customWidth="1"/>
    <col min="14536" max="14537" width="3.7109375" style="125" customWidth="1"/>
    <col min="14538" max="14538" width="9.7109375" style="125" customWidth="1"/>
    <col min="14539" max="14540" width="3.7109375" style="125" customWidth="1"/>
    <col min="14541" max="14541" width="9.7109375" style="125" customWidth="1"/>
    <col min="14542" max="14543" width="3.7109375" style="125" customWidth="1"/>
    <col min="14544" max="14544" width="9.7109375" style="125" customWidth="1"/>
    <col min="14545" max="14546" width="3.7109375" style="125" customWidth="1"/>
    <col min="14547" max="14547" width="9.7109375" style="125" customWidth="1"/>
    <col min="14548" max="14549" width="3.7109375" style="125" customWidth="1"/>
    <col min="14550" max="14550" width="9.7109375" style="125" customWidth="1"/>
    <col min="14551" max="14552" width="3.7109375" style="125" customWidth="1"/>
    <col min="14553" max="14553" width="9.7109375" style="125" customWidth="1"/>
    <col min="14554" max="14555" width="3.7109375" style="125" customWidth="1"/>
    <col min="14556" max="14556" width="9.7109375" style="125" customWidth="1"/>
    <col min="14557" max="14558" width="3.7109375" style="125" customWidth="1"/>
    <col min="14559" max="14559" width="9.7109375" style="125" customWidth="1"/>
    <col min="14560" max="14561" width="3.7109375" style="125" customWidth="1"/>
    <col min="14562" max="14562" width="9.7109375" style="125" customWidth="1"/>
    <col min="14563" max="14564" width="3.7109375" style="125" customWidth="1"/>
    <col min="14565" max="14565" width="9.7109375" style="125" customWidth="1"/>
    <col min="14566" max="14567" width="3.7109375" style="125" customWidth="1"/>
    <col min="14568" max="14568" width="9.7109375" style="125" customWidth="1"/>
    <col min="14569" max="14570" width="3.7109375" style="125" customWidth="1"/>
    <col min="14571" max="14571" width="9.7109375" style="125" customWidth="1"/>
    <col min="14572" max="14573" width="3.7109375" style="125" customWidth="1"/>
    <col min="14574" max="14574" width="9.7109375" style="125" customWidth="1"/>
    <col min="14575" max="14576" width="3.7109375" style="125" customWidth="1"/>
    <col min="14577" max="14577" width="9.7109375" style="125" customWidth="1"/>
    <col min="14578" max="14579" width="3.7109375" style="125" customWidth="1"/>
    <col min="14580" max="14580" width="9.7109375" style="125" customWidth="1"/>
    <col min="14581" max="14582" width="3.7109375" style="125" customWidth="1"/>
    <col min="14583" max="14583" width="9.7109375" style="125" customWidth="1"/>
    <col min="14584" max="14585" width="3.7109375" style="125" customWidth="1"/>
    <col min="14586" max="14586" width="9.7109375" style="125" customWidth="1"/>
    <col min="14587" max="14588" width="3.7109375" style="125" customWidth="1"/>
    <col min="14589" max="14589" width="9.7109375" style="125" customWidth="1"/>
    <col min="14590" max="14590" width="3.7109375" style="125" customWidth="1"/>
    <col min="14591" max="14592" width="8" style="125"/>
    <col min="14593" max="14593" width="30.7109375" style="125" customWidth="1"/>
    <col min="14594" max="14594" width="9.7109375" style="125" customWidth="1"/>
    <col min="14595" max="14595" width="3.7109375" style="125" customWidth="1"/>
    <col min="14596" max="14596" width="9.7109375" style="125" customWidth="1"/>
    <col min="14597" max="14598" width="3.7109375" style="125" customWidth="1"/>
    <col min="14599" max="14599" width="9.7109375" style="125" customWidth="1"/>
    <col min="14600" max="14601" width="3.7109375" style="125" customWidth="1"/>
    <col min="14602" max="14602" width="9.7109375" style="125" customWidth="1"/>
    <col min="14603" max="14604" width="3.7109375" style="125" customWidth="1"/>
    <col min="14605" max="14605" width="9.7109375" style="125" customWidth="1"/>
    <col min="14606" max="14607" width="3.7109375" style="125" customWidth="1"/>
    <col min="14608" max="14608" width="9.7109375" style="125" customWidth="1"/>
    <col min="14609" max="14610" width="3.7109375" style="125" customWidth="1"/>
    <col min="14611" max="14611" width="9.7109375" style="125" customWidth="1"/>
    <col min="14612" max="14613" width="3.7109375" style="125" customWidth="1"/>
    <col min="14614" max="14614" width="9.7109375" style="125" customWidth="1"/>
    <col min="14615" max="14616" width="3.7109375" style="125" customWidth="1"/>
    <col min="14617" max="14617" width="9.7109375" style="125" customWidth="1"/>
    <col min="14618" max="14619" width="3.7109375" style="125" customWidth="1"/>
    <col min="14620" max="14620" width="9.7109375" style="125" customWidth="1"/>
    <col min="14621" max="14622" width="3.7109375" style="125" customWidth="1"/>
    <col min="14623" max="14623" width="9.7109375" style="125" customWidth="1"/>
    <col min="14624" max="14625" width="3.7109375" style="125" customWidth="1"/>
    <col min="14626" max="14626" width="9.7109375" style="125" customWidth="1"/>
    <col min="14627" max="14628" width="3.7109375" style="125" customWidth="1"/>
    <col min="14629" max="14629" width="9.7109375" style="125" customWidth="1"/>
    <col min="14630" max="14631" width="3.7109375" style="125" customWidth="1"/>
    <col min="14632" max="14632" width="9.7109375" style="125" customWidth="1"/>
    <col min="14633" max="14634" width="3.7109375" style="125" customWidth="1"/>
    <col min="14635" max="14635" width="9.7109375" style="125" customWidth="1"/>
    <col min="14636" max="14637" width="3.7109375" style="125" customWidth="1"/>
    <col min="14638" max="14638" width="9.7109375" style="125" customWidth="1"/>
    <col min="14639" max="14640" width="3.7109375" style="125" customWidth="1"/>
    <col min="14641" max="14641" width="9.7109375" style="125" customWidth="1"/>
    <col min="14642" max="14643" width="3.7109375" style="125" customWidth="1"/>
    <col min="14644" max="14644" width="9.7109375" style="125" customWidth="1"/>
    <col min="14645" max="14646" width="3.7109375" style="125" customWidth="1"/>
    <col min="14647" max="14647" width="9.7109375" style="125" customWidth="1"/>
    <col min="14648" max="14649" width="3.7109375" style="125" customWidth="1"/>
    <col min="14650" max="14650" width="9.7109375" style="125" customWidth="1"/>
    <col min="14651" max="14652" width="3.7109375" style="125" customWidth="1"/>
    <col min="14653" max="14653" width="9.7109375" style="125" customWidth="1"/>
    <col min="14654" max="14655" width="3.7109375" style="125" customWidth="1"/>
    <col min="14656" max="14656" width="9.7109375" style="125" customWidth="1"/>
    <col min="14657" max="14658" width="3.7109375" style="125" customWidth="1"/>
    <col min="14659" max="14659" width="9.7109375" style="125" customWidth="1"/>
    <col min="14660" max="14661" width="3.7109375" style="125" customWidth="1"/>
    <col min="14662" max="14662" width="9.7109375" style="125" customWidth="1"/>
    <col min="14663" max="14664" width="3.7109375" style="125" customWidth="1"/>
    <col min="14665" max="14665" width="9.7109375" style="125" customWidth="1"/>
    <col min="14666" max="14667" width="3.7109375" style="125" customWidth="1"/>
    <col min="14668" max="14668" width="9.7109375" style="125" customWidth="1"/>
    <col min="14669" max="14670" width="3.7109375" style="125" customWidth="1"/>
    <col min="14671" max="14671" width="9.7109375" style="125" customWidth="1"/>
    <col min="14672" max="14673" width="3.7109375" style="125" customWidth="1"/>
    <col min="14674" max="14674" width="9.7109375" style="125" customWidth="1"/>
    <col min="14675" max="14676" width="3.7109375" style="125" customWidth="1"/>
    <col min="14677" max="14677" width="9.7109375" style="125" customWidth="1"/>
    <col min="14678" max="14679" width="3.7109375" style="125" customWidth="1"/>
    <col min="14680" max="14680" width="9.7109375" style="125" customWidth="1"/>
    <col min="14681" max="14682" width="3.7109375" style="125" customWidth="1"/>
    <col min="14683" max="14683" width="9.7109375" style="125" customWidth="1"/>
    <col min="14684" max="14685" width="3.7109375" style="125" customWidth="1"/>
    <col min="14686" max="14686" width="9.7109375" style="125" customWidth="1"/>
    <col min="14687" max="14688" width="3.7109375" style="125" customWidth="1"/>
    <col min="14689" max="14689" width="9.7109375" style="125" customWidth="1"/>
    <col min="14690" max="14691" width="3.7109375" style="125" customWidth="1"/>
    <col min="14692" max="14692" width="9.7109375" style="125" customWidth="1"/>
    <col min="14693" max="14694" width="3.7109375" style="125" customWidth="1"/>
    <col min="14695" max="14695" width="9.7109375" style="125" customWidth="1"/>
    <col min="14696" max="14697" width="3.7109375" style="125" customWidth="1"/>
    <col min="14698" max="14698" width="9.7109375" style="125" customWidth="1"/>
    <col min="14699" max="14700" width="3.7109375" style="125" customWidth="1"/>
    <col min="14701" max="14701" width="9.7109375" style="125" customWidth="1"/>
    <col min="14702" max="14703" width="3.7109375" style="125" customWidth="1"/>
    <col min="14704" max="14704" width="9.7109375" style="125" customWidth="1"/>
    <col min="14705" max="14706" width="3.7109375" style="125" customWidth="1"/>
    <col min="14707" max="14707" width="9.7109375" style="125" customWidth="1"/>
    <col min="14708" max="14709" width="3.7109375" style="125" customWidth="1"/>
    <col min="14710" max="14710" width="9.7109375" style="125" customWidth="1"/>
    <col min="14711" max="14712" width="3.7109375" style="125" customWidth="1"/>
    <col min="14713" max="14713" width="9.7109375" style="125" customWidth="1"/>
    <col min="14714" max="14715" width="3.7109375" style="125" customWidth="1"/>
    <col min="14716" max="14716" width="9.7109375" style="125" customWidth="1"/>
    <col min="14717" max="14718" width="3.7109375" style="125" customWidth="1"/>
    <col min="14719" max="14719" width="9.7109375" style="125" customWidth="1"/>
    <col min="14720" max="14721" width="3.7109375" style="125" customWidth="1"/>
    <col min="14722" max="14722" width="9.7109375" style="125" customWidth="1"/>
    <col min="14723" max="14724" width="3.7109375" style="125" customWidth="1"/>
    <col min="14725" max="14725" width="9.7109375" style="125" customWidth="1"/>
    <col min="14726" max="14727" width="3.7109375" style="125" customWidth="1"/>
    <col min="14728" max="14728" width="9.7109375" style="125" customWidth="1"/>
    <col min="14729" max="14730" width="3.7109375" style="125" customWidth="1"/>
    <col min="14731" max="14731" width="9.7109375" style="125" customWidth="1"/>
    <col min="14732" max="14733" width="3.7109375" style="125" customWidth="1"/>
    <col min="14734" max="14734" width="9.7109375" style="125" customWidth="1"/>
    <col min="14735" max="14736" width="3.7109375" style="125" customWidth="1"/>
    <col min="14737" max="14737" width="9.7109375" style="125" customWidth="1"/>
    <col min="14738" max="14738" width="3.7109375" style="125" customWidth="1"/>
    <col min="14739" max="14739" width="5.7109375" style="125" bestFit="1" customWidth="1"/>
    <col min="14740" max="14740" width="9.7109375" style="125" customWidth="1"/>
    <col min="14741" max="14742" width="3.7109375" style="125" customWidth="1"/>
    <col min="14743" max="14743" width="9.7109375" style="125" customWidth="1"/>
    <col min="14744" max="14745" width="3.7109375" style="125" customWidth="1"/>
    <col min="14746" max="14746" width="9.7109375" style="125" customWidth="1"/>
    <col min="14747" max="14748" width="3.7109375" style="125" customWidth="1"/>
    <col min="14749" max="14749" width="9.7109375" style="125" customWidth="1"/>
    <col min="14750" max="14751" width="3.7109375" style="125" customWidth="1"/>
    <col min="14752" max="14752" width="9.7109375" style="125" customWidth="1"/>
    <col min="14753" max="14754" width="3.7109375" style="125" customWidth="1"/>
    <col min="14755" max="14755" width="9.7109375" style="125" customWidth="1"/>
    <col min="14756" max="14756" width="3.7109375" style="125" customWidth="1"/>
    <col min="14757" max="14757" width="5.7109375" style="125" bestFit="1" customWidth="1"/>
    <col min="14758" max="14758" width="9.7109375" style="125" customWidth="1"/>
    <col min="14759" max="14760" width="3.7109375" style="125" customWidth="1"/>
    <col min="14761" max="14761" width="9.7109375" style="125" customWidth="1"/>
    <col min="14762" max="14763" width="3.7109375" style="125" customWidth="1"/>
    <col min="14764" max="14764" width="9.7109375" style="125" customWidth="1"/>
    <col min="14765" max="14766" width="3.7109375" style="125" customWidth="1"/>
    <col min="14767" max="14767" width="9.7109375" style="125" customWidth="1"/>
    <col min="14768" max="14769" width="3.7109375" style="125" customWidth="1"/>
    <col min="14770" max="14770" width="9.7109375" style="125" customWidth="1"/>
    <col min="14771" max="14772" width="3.7109375" style="125" customWidth="1"/>
    <col min="14773" max="14773" width="9.7109375" style="125" customWidth="1"/>
    <col min="14774" max="14775" width="3.7109375" style="125" customWidth="1"/>
    <col min="14776" max="14776" width="9.7109375" style="125" customWidth="1"/>
    <col min="14777" max="14778" width="3.7109375" style="125" customWidth="1"/>
    <col min="14779" max="14779" width="9.7109375" style="125" customWidth="1"/>
    <col min="14780" max="14781" width="3.7109375" style="125" customWidth="1"/>
    <col min="14782" max="14782" width="9.7109375" style="125" customWidth="1"/>
    <col min="14783" max="14784" width="3.7109375" style="125" customWidth="1"/>
    <col min="14785" max="14785" width="9.7109375" style="125" customWidth="1"/>
    <col min="14786" max="14787" width="3.7109375" style="125" customWidth="1"/>
    <col min="14788" max="14788" width="9.7109375" style="125" customWidth="1"/>
    <col min="14789" max="14790" width="3.7109375" style="125" customWidth="1"/>
    <col min="14791" max="14791" width="9.7109375" style="125" customWidth="1"/>
    <col min="14792" max="14793" width="3.7109375" style="125" customWidth="1"/>
    <col min="14794" max="14794" width="9.7109375" style="125" customWidth="1"/>
    <col min="14795" max="14796" width="3.7109375" style="125" customWidth="1"/>
    <col min="14797" max="14797" width="9.7109375" style="125" customWidth="1"/>
    <col min="14798" max="14799" width="3.7109375" style="125" customWidth="1"/>
    <col min="14800" max="14800" width="9.7109375" style="125" customWidth="1"/>
    <col min="14801" max="14802" width="3.7109375" style="125" customWidth="1"/>
    <col min="14803" max="14803" width="9.7109375" style="125" customWidth="1"/>
    <col min="14804" max="14805" width="3.7109375" style="125" customWidth="1"/>
    <col min="14806" max="14806" width="9.7109375" style="125" customWidth="1"/>
    <col min="14807" max="14808" width="3.7109375" style="125" customWidth="1"/>
    <col min="14809" max="14809" width="9.7109375" style="125" customWidth="1"/>
    <col min="14810" max="14811" width="3.7109375" style="125" customWidth="1"/>
    <col min="14812" max="14812" width="9.7109375" style="125" customWidth="1"/>
    <col min="14813" max="14814" width="3.7109375" style="125" customWidth="1"/>
    <col min="14815" max="14815" width="9.7109375" style="125" customWidth="1"/>
    <col min="14816" max="14817" width="3.7109375" style="125" customWidth="1"/>
    <col min="14818" max="14818" width="9.7109375" style="125" customWidth="1"/>
    <col min="14819" max="14820" width="3.7109375" style="125" customWidth="1"/>
    <col min="14821" max="14821" width="9.7109375" style="125" customWidth="1"/>
    <col min="14822" max="14823" width="3.7109375" style="125" customWidth="1"/>
    <col min="14824" max="14824" width="9.7109375" style="125" customWidth="1"/>
    <col min="14825" max="14826" width="3.7109375" style="125" customWidth="1"/>
    <col min="14827" max="14827" width="9.7109375" style="125" customWidth="1"/>
    <col min="14828" max="14829" width="3.7109375" style="125" customWidth="1"/>
    <col min="14830" max="14830" width="9.7109375" style="125" customWidth="1"/>
    <col min="14831" max="14832" width="3.7109375" style="125" customWidth="1"/>
    <col min="14833" max="14833" width="9.7109375" style="125" customWidth="1"/>
    <col min="14834" max="14835" width="3.7109375" style="125" customWidth="1"/>
    <col min="14836" max="14836" width="9.7109375" style="125" customWidth="1"/>
    <col min="14837" max="14838" width="3.7109375" style="125" customWidth="1"/>
    <col min="14839" max="14839" width="9.7109375" style="125" customWidth="1"/>
    <col min="14840" max="14841" width="3.7109375" style="125" customWidth="1"/>
    <col min="14842" max="14842" width="9.7109375" style="125" customWidth="1"/>
    <col min="14843" max="14844" width="3.7109375" style="125" customWidth="1"/>
    <col min="14845" max="14845" width="9.7109375" style="125" customWidth="1"/>
    <col min="14846" max="14846" width="3.7109375" style="125" customWidth="1"/>
    <col min="14847" max="14848" width="8" style="125"/>
    <col min="14849" max="14849" width="30.7109375" style="125" customWidth="1"/>
    <col min="14850" max="14850" width="9.7109375" style="125" customWidth="1"/>
    <col min="14851" max="14851" width="3.7109375" style="125" customWidth="1"/>
    <col min="14852" max="14852" width="9.7109375" style="125" customWidth="1"/>
    <col min="14853" max="14854" width="3.7109375" style="125" customWidth="1"/>
    <col min="14855" max="14855" width="9.7109375" style="125" customWidth="1"/>
    <col min="14856" max="14857" width="3.7109375" style="125" customWidth="1"/>
    <col min="14858" max="14858" width="9.7109375" style="125" customWidth="1"/>
    <col min="14859" max="14860" width="3.7109375" style="125" customWidth="1"/>
    <col min="14861" max="14861" width="9.7109375" style="125" customWidth="1"/>
    <col min="14862" max="14863" width="3.7109375" style="125" customWidth="1"/>
    <col min="14864" max="14864" width="9.7109375" style="125" customWidth="1"/>
    <col min="14865" max="14866" width="3.7109375" style="125" customWidth="1"/>
    <col min="14867" max="14867" width="9.7109375" style="125" customWidth="1"/>
    <col min="14868" max="14869" width="3.7109375" style="125" customWidth="1"/>
    <col min="14870" max="14870" width="9.7109375" style="125" customWidth="1"/>
    <col min="14871" max="14872" width="3.7109375" style="125" customWidth="1"/>
    <col min="14873" max="14873" width="9.7109375" style="125" customWidth="1"/>
    <col min="14874" max="14875" width="3.7109375" style="125" customWidth="1"/>
    <col min="14876" max="14876" width="9.7109375" style="125" customWidth="1"/>
    <col min="14877" max="14878" width="3.7109375" style="125" customWidth="1"/>
    <col min="14879" max="14879" width="9.7109375" style="125" customWidth="1"/>
    <col min="14880" max="14881" width="3.7109375" style="125" customWidth="1"/>
    <col min="14882" max="14882" width="9.7109375" style="125" customWidth="1"/>
    <col min="14883" max="14884" width="3.7109375" style="125" customWidth="1"/>
    <col min="14885" max="14885" width="9.7109375" style="125" customWidth="1"/>
    <col min="14886" max="14887" width="3.7109375" style="125" customWidth="1"/>
    <col min="14888" max="14888" width="9.7109375" style="125" customWidth="1"/>
    <col min="14889" max="14890" width="3.7109375" style="125" customWidth="1"/>
    <col min="14891" max="14891" width="9.7109375" style="125" customWidth="1"/>
    <col min="14892" max="14893" width="3.7109375" style="125" customWidth="1"/>
    <col min="14894" max="14894" width="9.7109375" style="125" customWidth="1"/>
    <col min="14895" max="14896" width="3.7109375" style="125" customWidth="1"/>
    <col min="14897" max="14897" width="9.7109375" style="125" customWidth="1"/>
    <col min="14898" max="14899" width="3.7109375" style="125" customWidth="1"/>
    <col min="14900" max="14900" width="9.7109375" style="125" customWidth="1"/>
    <col min="14901" max="14902" width="3.7109375" style="125" customWidth="1"/>
    <col min="14903" max="14903" width="9.7109375" style="125" customWidth="1"/>
    <col min="14904" max="14905" width="3.7109375" style="125" customWidth="1"/>
    <col min="14906" max="14906" width="9.7109375" style="125" customWidth="1"/>
    <col min="14907" max="14908" width="3.7109375" style="125" customWidth="1"/>
    <col min="14909" max="14909" width="9.7109375" style="125" customWidth="1"/>
    <col min="14910" max="14911" width="3.7109375" style="125" customWidth="1"/>
    <col min="14912" max="14912" width="9.7109375" style="125" customWidth="1"/>
    <col min="14913" max="14914" width="3.7109375" style="125" customWidth="1"/>
    <col min="14915" max="14915" width="9.7109375" style="125" customWidth="1"/>
    <col min="14916" max="14917" width="3.7109375" style="125" customWidth="1"/>
    <col min="14918" max="14918" width="9.7109375" style="125" customWidth="1"/>
    <col min="14919" max="14920" width="3.7109375" style="125" customWidth="1"/>
    <col min="14921" max="14921" width="9.7109375" style="125" customWidth="1"/>
    <col min="14922" max="14923" width="3.7109375" style="125" customWidth="1"/>
    <col min="14924" max="14924" width="9.7109375" style="125" customWidth="1"/>
    <col min="14925" max="14926" width="3.7109375" style="125" customWidth="1"/>
    <col min="14927" max="14927" width="9.7109375" style="125" customWidth="1"/>
    <col min="14928" max="14929" width="3.7109375" style="125" customWidth="1"/>
    <col min="14930" max="14930" width="9.7109375" style="125" customWidth="1"/>
    <col min="14931" max="14932" width="3.7109375" style="125" customWidth="1"/>
    <col min="14933" max="14933" width="9.7109375" style="125" customWidth="1"/>
    <col min="14934" max="14935" width="3.7109375" style="125" customWidth="1"/>
    <col min="14936" max="14936" width="9.7109375" style="125" customWidth="1"/>
    <col min="14937" max="14938" width="3.7109375" style="125" customWidth="1"/>
    <col min="14939" max="14939" width="9.7109375" style="125" customWidth="1"/>
    <col min="14940" max="14941" width="3.7109375" style="125" customWidth="1"/>
    <col min="14942" max="14942" width="9.7109375" style="125" customWidth="1"/>
    <col min="14943" max="14944" width="3.7109375" style="125" customWidth="1"/>
    <col min="14945" max="14945" width="9.7109375" style="125" customWidth="1"/>
    <col min="14946" max="14947" width="3.7109375" style="125" customWidth="1"/>
    <col min="14948" max="14948" width="9.7109375" style="125" customWidth="1"/>
    <col min="14949" max="14950" width="3.7109375" style="125" customWidth="1"/>
    <col min="14951" max="14951" width="9.7109375" style="125" customWidth="1"/>
    <col min="14952" max="14953" width="3.7109375" style="125" customWidth="1"/>
    <col min="14954" max="14954" width="9.7109375" style="125" customWidth="1"/>
    <col min="14955" max="14956" width="3.7109375" style="125" customWidth="1"/>
    <col min="14957" max="14957" width="9.7109375" style="125" customWidth="1"/>
    <col min="14958" max="14959" width="3.7109375" style="125" customWidth="1"/>
    <col min="14960" max="14960" width="9.7109375" style="125" customWidth="1"/>
    <col min="14961" max="14962" width="3.7109375" style="125" customWidth="1"/>
    <col min="14963" max="14963" width="9.7109375" style="125" customWidth="1"/>
    <col min="14964" max="14965" width="3.7109375" style="125" customWidth="1"/>
    <col min="14966" max="14966" width="9.7109375" style="125" customWidth="1"/>
    <col min="14967" max="14968" width="3.7109375" style="125" customWidth="1"/>
    <col min="14969" max="14969" width="9.7109375" style="125" customWidth="1"/>
    <col min="14970" max="14971" width="3.7109375" style="125" customWidth="1"/>
    <col min="14972" max="14972" width="9.7109375" style="125" customWidth="1"/>
    <col min="14973" max="14974" width="3.7109375" style="125" customWidth="1"/>
    <col min="14975" max="14975" width="9.7109375" style="125" customWidth="1"/>
    <col min="14976" max="14977" width="3.7109375" style="125" customWidth="1"/>
    <col min="14978" max="14978" width="9.7109375" style="125" customWidth="1"/>
    <col min="14979" max="14980" width="3.7109375" style="125" customWidth="1"/>
    <col min="14981" max="14981" width="9.7109375" style="125" customWidth="1"/>
    <col min="14982" max="14983" width="3.7109375" style="125" customWidth="1"/>
    <col min="14984" max="14984" width="9.7109375" style="125" customWidth="1"/>
    <col min="14985" max="14986" width="3.7109375" style="125" customWidth="1"/>
    <col min="14987" max="14987" width="9.7109375" style="125" customWidth="1"/>
    <col min="14988" max="14989" width="3.7109375" style="125" customWidth="1"/>
    <col min="14990" max="14990" width="9.7109375" style="125" customWidth="1"/>
    <col min="14991" max="14992" width="3.7109375" style="125" customWidth="1"/>
    <col min="14993" max="14993" width="9.7109375" style="125" customWidth="1"/>
    <col min="14994" max="14994" width="3.7109375" style="125" customWidth="1"/>
    <col min="14995" max="14995" width="5.7109375" style="125" bestFit="1" customWidth="1"/>
    <col min="14996" max="14996" width="9.7109375" style="125" customWidth="1"/>
    <col min="14997" max="14998" width="3.7109375" style="125" customWidth="1"/>
    <col min="14999" max="14999" width="9.7109375" style="125" customWidth="1"/>
    <col min="15000" max="15001" width="3.7109375" style="125" customWidth="1"/>
    <col min="15002" max="15002" width="9.7109375" style="125" customWidth="1"/>
    <col min="15003" max="15004" width="3.7109375" style="125" customWidth="1"/>
    <col min="15005" max="15005" width="9.7109375" style="125" customWidth="1"/>
    <col min="15006" max="15007" width="3.7109375" style="125" customWidth="1"/>
    <col min="15008" max="15008" width="9.7109375" style="125" customWidth="1"/>
    <col min="15009" max="15010" width="3.7109375" style="125" customWidth="1"/>
    <col min="15011" max="15011" width="9.7109375" style="125" customWidth="1"/>
    <col min="15012" max="15012" width="3.7109375" style="125" customWidth="1"/>
    <col min="15013" max="15013" width="5.7109375" style="125" bestFit="1" customWidth="1"/>
    <col min="15014" max="15014" width="9.7109375" style="125" customWidth="1"/>
    <col min="15015" max="15016" width="3.7109375" style="125" customWidth="1"/>
    <col min="15017" max="15017" width="9.7109375" style="125" customWidth="1"/>
    <col min="15018" max="15019" width="3.7109375" style="125" customWidth="1"/>
    <col min="15020" max="15020" width="9.7109375" style="125" customWidth="1"/>
    <col min="15021" max="15022" width="3.7109375" style="125" customWidth="1"/>
    <col min="15023" max="15023" width="9.7109375" style="125" customWidth="1"/>
    <col min="15024" max="15025" width="3.7109375" style="125" customWidth="1"/>
    <col min="15026" max="15026" width="9.7109375" style="125" customWidth="1"/>
    <col min="15027" max="15028" width="3.7109375" style="125" customWidth="1"/>
    <col min="15029" max="15029" width="9.7109375" style="125" customWidth="1"/>
    <col min="15030" max="15031" width="3.7109375" style="125" customWidth="1"/>
    <col min="15032" max="15032" width="9.7109375" style="125" customWidth="1"/>
    <col min="15033" max="15034" width="3.7109375" style="125" customWidth="1"/>
    <col min="15035" max="15035" width="9.7109375" style="125" customWidth="1"/>
    <col min="15036" max="15037" width="3.7109375" style="125" customWidth="1"/>
    <col min="15038" max="15038" width="9.7109375" style="125" customWidth="1"/>
    <col min="15039" max="15040" width="3.7109375" style="125" customWidth="1"/>
    <col min="15041" max="15041" width="9.7109375" style="125" customWidth="1"/>
    <col min="15042" max="15043" width="3.7109375" style="125" customWidth="1"/>
    <col min="15044" max="15044" width="9.7109375" style="125" customWidth="1"/>
    <col min="15045" max="15046" width="3.7109375" style="125" customWidth="1"/>
    <col min="15047" max="15047" width="9.7109375" style="125" customWidth="1"/>
    <col min="15048" max="15049" width="3.7109375" style="125" customWidth="1"/>
    <col min="15050" max="15050" width="9.7109375" style="125" customWidth="1"/>
    <col min="15051" max="15052" width="3.7109375" style="125" customWidth="1"/>
    <col min="15053" max="15053" width="9.7109375" style="125" customWidth="1"/>
    <col min="15054" max="15055" width="3.7109375" style="125" customWidth="1"/>
    <col min="15056" max="15056" width="9.7109375" style="125" customWidth="1"/>
    <col min="15057" max="15058" width="3.7109375" style="125" customWidth="1"/>
    <col min="15059" max="15059" width="9.7109375" style="125" customWidth="1"/>
    <col min="15060" max="15061" width="3.7109375" style="125" customWidth="1"/>
    <col min="15062" max="15062" width="9.7109375" style="125" customWidth="1"/>
    <col min="15063" max="15064" width="3.7109375" style="125" customWidth="1"/>
    <col min="15065" max="15065" width="9.7109375" style="125" customWidth="1"/>
    <col min="15066" max="15067" width="3.7109375" style="125" customWidth="1"/>
    <col min="15068" max="15068" width="9.7109375" style="125" customWidth="1"/>
    <col min="15069" max="15070" width="3.7109375" style="125" customWidth="1"/>
    <col min="15071" max="15071" width="9.7109375" style="125" customWidth="1"/>
    <col min="15072" max="15073" width="3.7109375" style="125" customWidth="1"/>
    <col min="15074" max="15074" width="9.7109375" style="125" customWidth="1"/>
    <col min="15075" max="15076" width="3.7109375" style="125" customWidth="1"/>
    <col min="15077" max="15077" width="9.7109375" style="125" customWidth="1"/>
    <col min="15078" max="15079" width="3.7109375" style="125" customWidth="1"/>
    <col min="15080" max="15080" width="9.7109375" style="125" customWidth="1"/>
    <col min="15081" max="15082" width="3.7109375" style="125" customWidth="1"/>
    <col min="15083" max="15083" width="9.7109375" style="125" customWidth="1"/>
    <col min="15084" max="15085" width="3.7109375" style="125" customWidth="1"/>
    <col min="15086" max="15086" width="9.7109375" style="125" customWidth="1"/>
    <col min="15087" max="15088" width="3.7109375" style="125" customWidth="1"/>
    <col min="15089" max="15089" width="9.7109375" style="125" customWidth="1"/>
    <col min="15090" max="15091" width="3.7109375" style="125" customWidth="1"/>
    <col min="15092" max="15092" width="9.7109375" style="125" customWidth="1"/>
    <col min="15093" max="15094" width="3.7109375" style="125" customWidth="1"/>
    <col min="15095" max="15095" width="9.7109375" style="125" customWidth="1"/>
    <col min="15096" max="15097" width="3.7109375" style="125" customWidth="1"/>
    <col min="15098" max="15098" width="9.7109375" style="125" customWidth="1"/>
    <col min="15099" max="15100" width="3.7109375" style="125" customWidth="1"/>
    <col min="15101" max="15101" width="9.7109375" style="125" customWidth="1"/>
    <col min="15102" max="15102" width="3.7109375" style="125" customWidth="1"/>
    <col min="15103" max="15104" width="8" style="125"/>
    <col min="15105" max="15105" width="30.7109375" style="125" customWidth="1"/>
    <col min="15106" max="15106" width="9.7109375" style="125" customWidth="1"/>
    <col min="15107" max="15107" width="3.7109375" style="125" customWidth="1"/>
    <col min="15108" max="15108" width="9.7109375" style="125" customWidth="1"/>
    <col min="15109" max="15110" width="3.7109375" style="125" customWidth="1"/>
    <col min="15111" max="15111" width="9.7109375" style="125" customWidth="1"/>
    <col min="15112" max="15113" width="3.7109375" style="125" customWidth="1"/>
    <col min="15114" max="15114" width="9.7109375" style="125" customWidth="1"/>
    <col min="15115" max="15116" width="3.7109375" style="125" customWidth="1"/>
    <col min="15117" max="15117" width="9.7109375" style="125" customWidth="1"/>
    <col min="15118" max="15119" width="3.7109375" style="125" customWidth="1"/>
    <col min="15120" max="15120" width="9.7109375" style="125" customWidth="1"/>
    <col min="15121" max="15122" width="3.7109375" style="125" customWidth="1"/>
    <col min="15123" max="15123" width="9.7109375" style="125" customWidth="1"/>
    <col min="15124" max="15125" width="3.7109375" style="125" customWidth="1"/>
    <col min="15126" max="15126" width="9.7109375" style="125" customWidth="1"/>
    <col min="15127" max="15128" width="3.7109375" style="125" customWidth="1"/>
    <col min="15129" max="15129" width="9.7109375" style="125" customWidth="1"/>
    <col min="15130" max="15131" width="3.7109375" style="125" customWidth="1"/>
    <col min="15132" max="15132" width="9.7109375" style="125" customWidth="1"/>
    <col min="15133" max="15134" width="3.7109375" style="125" customWidth="1"/>
    <col min="15135" max="15135" width="9.7109375" style="125" customWidth="1"/>
    <col min="15136" max="15137" width="3.7109375" style="125" customWidth="1"/>
    <col min="15138" max="15138" width="9.7109375" style="125" customWidth="1"/>
    <col min="15139" max="15140" width="3.7109375" style="125" customWidth="1"/>
    <col min="15141" max="15141" width="9.7109375" style="125" customWidth="1"/>
    <col min="15142" max="15143" width="3.7109375" style="125" customWidth="1"/>
    <col min="15144" max="15144" width="9.7109375" style="125" customWidth="1"/>
    <col min="15145" max="15146" width="3.7109375" style="125" customWidth="1"/>
    <col min="15147" max="15147" width="9.7109375" style="125" customWidth="1"/>
    <col min="15148" max="15149" width="3.7109375" style="125" customWidth="1"/>
    <col min="15150" max="15150" width="9.7109375" style="125" customWidth="1"/>
    <col min="15151" max="15152" width="3.7109375" style="125" customWidth="1"/>
    <col min="15153" max="15153" width="9.7109375" style="125" customWidth="1"/>
    <col min="15154" max="15155" width="3.7109375" style="125" customWidth="1"/>
    <col min="15156" max="15156" width="9.7109375" style="125" customWidth="1"/>
    <col min="15157" max="15158" width="3.7109375" style="125" customWidth="1"/>
    <col min="15159" max="15159" width="9.7109375" style="125" customWidth="1"/>
    <col min="15160" max="15161" width="3.7109375" style="125" customWidth="1"/>
    <col min="15162" max="15162" width="9.7109375" style="125" customWidth="1"/>
    <col min="15163" max="15164" width="3.7109375" style="125" customWidth="1"/>
    <col min="15165" max="15165" width="9.7109375" style="125" customWidth="1"/>
    <col min="15166" max="15167" width="3.7109375" style="125" customWidth="1"/>
    <col min="15168" max="15168" width="9.7109375" style="125" customWidth="1"/>
    <col min="15169" max="15170" width="3.7109375" style="125" customWidth="1"/>
    <col min="15171" max="15171" width="9.7109375" style="125" customWidth="1"/>
    <col min="15172" max="15173" width="3.7109375" style="125" customWidth="1"/>
    <col min="15174" max="15174" width="9.7109375" style="125" customWidth="1"/>
    <col min="15175" max="15176" width="3.7109375" style="125" customWidth="1"/>
    <col min="15177" max="15177" width="9.7109375" style="125" customWidth="1"/>
    <col min="15178" max="15179" width="3.7109375" style="125" customWidth="1"/>
    <col min="15180" max="15180" width="9.7109375" style="125" customWidth="1"/>
    <col min="15181" max="15182" width="3.7109375" style="125" customWidth="1"/>
    <col min="15183" max="15183" width="9.7109375" style="125" customWidth="1"/>
    <col min="15184" max="15185" width="3.7109375" style="125" customWidth="1"/>
    <col min="15186" max="15186" width="9.7109375" style="125" customWidth="1"/>
    <col min="15187" max="15188" width="3.7109375" style="125" customWidth="1"/>
    <col min="15189" max="15189" width="9.7109375" style="125" customWidth="1"/>
    <col min="15190" max="15191" width="3.7109375" style="125" customWidth="1"/>
    <col min="15192" max="15192" width="9.7109375" style="125" customWidth="1"/>
    <col min="15193" max="15194" width="3.7109375" style="125" customWidth="1"/>
    <col min="15195" max="15195" width="9.7109375" style="125" customWidth="1"/>
    <col min="15196" max="15197" width="3.7109375" style="125" customWidth="1"/>
    <col min="15198" max="15198" width="9.7109375" style="125" customWidth="1"/>
    <col min="15199" max="15200" width="3.7109375" style="125" customWidth="1"/>
    <col min="15201" max="15201" width="9.7109375" style="125" customWidth="1"/>
    <col min="15202" max="15203" width="3.7109375" style="125" customWidth="1"/>
    <col min="15204" max="15204" width="9.7109375" style="125" customWidth="1"/>
    <col min="15205" max="15206" width="3.7109375" style="125" customWidth="1"/>
    <col min="15207" max="15207" width="9.7109375" style="125" customWidth="1"/>
    <col min="15208" max="15209" width="3.7109375" style="125" customWidth="1"/>
    <col min="15210" max="15210" width="9.7109375" style="125" customWidth="1"/>
    <col min="15211" max="15212" width="3.7109375" style="125" customWidth="1"/>
    <col min="15213" max="15213" width="9.7109375" style="125" customWidth="1"/>
    <col min="15214" max="15215" width="3.7109375" style="125" customWidth="1"/>
    <col min="15216" max="15216" width="9.7109375" style="125" customWidth="1"/>
    <col min="15217" max="15218" width="3.7109375" style="125" customWidth="1"/>
    <col min="15219" max="15219" width="9.7109375" style="125" customWidth="1"/>
    <col min="15220" max="15221" width="3.7109375" style="125" customWidth="1"/>
    <col min="15222" max="15222" width="9.7109375" style="125" customWidth="1"/>
    <col min="15223" max="15224" width="3.7109375" style="125" customWidth="1"/>
    <col min="15225" max="15225" width="9.7109375" style="125" customWidth="1"/>
    <col min="15226" max="15227" width="3.7109375" style="125" customWidth="1"/>
    <col min="15228" max="15228" width="9.7109375" style="125" customWidth="1"/>
    <col min="15229" max="15230" width="3.7109375" style="125" customWidth="1"/>
    <col min="15231" max="15231" width="9.7109375" style="125" customWidth="1"/>
    <col min="15232" max="15233" width="3.7109375" style="125" customWidth="1"/>
    <col min="15234" max="15234" width="9.7109375" style="125" customWidth="1"/>
    <col min="15235" max="15236" width="3.7109375" style="125" customWidth="1"/>
    <col min="15237" max="15237" width="9.7109375" style="125" customWidth="1"/>
    <col min="15238" max="15239" width="3.7109375" style="125" customWidth="1"/>
    <col min="15240" max="15240" width="9.7109375" style="125" customWidth="1"/>
    <col min="15241" max="15242" width="3.7109375" style="125" customWidth="1"/>
    <col min="15243" max="15243" width="9.7109375" style="125" customWidth="1"/>
    <col min="15244" max="15245" width="3.7109375" style="125" customWidth="1"/>
    <col min="15246" max="15246" width="9.7109375" style="125" customWidth="1"/>
    <col min="15247" max="15248" width="3.7109375" style="125" customWidth="1"/>
    <col min="15249" max="15249" width="9.7109375" style="125" customWidth="1"/>
    <col min="15250" max="15250" width="3.7109375" style="125" customWidth="1"/>
    <col min="15251" max="15251" width="5.7109375" style="125" bestFit="1" customWidth="1"/>
    <col min="15252" max="15252" width="9.7109375" style="125" customWidth="1"/>
    <col min="15253" max="15254" width="3.7109375" style="125" customWidth="1"/>
    <col min="15255" max="15255" width="9.7109375" style="125" customWidth="1"/>
    <col min="15256" max="15257" width="3.7109375" style="125" customWidth="1"/>
    <col min="15258" max="15258" width="9.7109375" style="125" customWidth="1"/>
    <col min="15259" max="15260" width="3.7109375" style="125" customWidth="1"/>
    <col min="15261" max="15261" width="9.7109375" style="125" customWidth="1"/>
    <col min="15262" max="15263" width="3.7109375" style="125" customWidth="1"/>
    <col min="15264" max="15264" width="9.7109375" style="125" customWidth="1"/>
    <col min="15265" max="15266" width="3.7109375" style="125" customWidth="1"/>
    <col min="15267" max="15267" width="9.7109375" style="125" customWidth="1"/>
    <col min="15268" max="15268" width="3.7109375" style="125" customWidth="1"/>
    <col min="15269" max="15269" width="5.7109375" style="125" bestFit="1" customWidth="1"/>
    <col min="15270" max="15270" width="9.7109375" style="125" customWidth="1"/>
    <col min="15271" max="15272" width="3.7109375" style="125" customWidth="1"/>
    <col min="15273" max="15273" width="9.7109375" style="125" customWidth="1"/>
    <col min="15274" max="15275" width="3.7109375" style="125" customWidth="1"/>
    <col min="15276" max="15276" width="9.7109375" style="125" customWidth="1"/>
    <col min="15277" max="15278" width="3.7109375" style="125" customWidth="1"/>
    <col min="15279" max="15279" width="9.7109375" style="125" customWidth="1"/>
    <col min="15280" max="15281" width="3.7109375" style="125" customWidth="1"/>
    <col min="15282" max="15282" width="9.7109375" style="125" customWidth="1"/>
    <col min="15283" max="15284" width="3.7109375" style="125" customWidth="1"/>
    <col min="15285" max="15285" width="9.7109375" style="125" customWidth="1"/>
    <col min="15286" max="15287" width="3.7109375" style="125" customWidth="1"/>
    <col min="15288" max="15288" width="9.7109375" style="125" customWidth="1"/>
    <col min="15289" max="15290" width="3.7109375" style="125" customWidth="1"/>
    <col min="15291" max="15291" width="9.7109375" style="125" customWidth="1"/>
    <col min="15292" max="15293" width="3.7109375" style="125" customWidth="1"/>
    <col min="15294" max="15294" width="9.7109375" style="125" customWidth="1"/>
    <col min="15295" max="15296" width="3.7109375" style="125" customWidth="1"/>
    <col min="15297" max="15297" width="9.7109375" style="125" customWidth="1"/>
    <col min="15298" max="15299" width="3.7109375" style="125" customWidth="1"/>
    <col min="15300" max="15300" width="9.7109375" style="125" customWidth="1"/>
    <col min="15301" max="15302" width="3.7109375" style="125" customWidth="1"/>
    <col min="15303" max="15303" width="9.7109375" style="125" customWidth="1"/>
    <col min="15304" max="15305" width="3.7109375" style="125" customWidth="1"/>
    <col min="15306" max="15306" width="9.7109375" style="125" customWidth="1"/>
    <col min="15307" max="15308" width="3.7109375" style="125" customWidth="1"/>
    <col min="15309" max="15309" width="9.7109375" style="125" customWidth="1"/>
    <col min="15310" max="15311" width="3.7109375" style="125" customWidth="1"/>
    <col min="15312" max="15312" width="9.7109375" style="125" customWidth="1"/>
    <col min="15313" max="15314" width="3.7109375" style="125" customWidth="1"/>
    <col min="15315" max="15315" width="9.7109375" style="125" customWidth="1"/>
    <col min="15316" max="15317" width="3.7109375" style="125" customWidth="1"/>
    <col min="15318" max="15318" width="9.7109375" style="125" customWidth="1"/>
    <col min="15319" max="15320" width="3.7109375" style="125" customWidth="1"/>
    <col min="15321" max="15321" width="9.7109375" style="125" customWidth="1"/>
    <col min="15322" max="15323" width="3.7109375" style="125" customWidth="1"/>
    <col min="15324" max="15324" width="9.7109375" style="125" customWidth="1"/>
    <col min="15325" max="15326" width="3.7109375" style="125" customWidth="1"/>
    <col min="15327" max="15327" width="9.7109375" style="125" customWidth="1"/>
    <col min="15328" max="15329" width="3.7109375" style="125" customWidth="1"/>
    <col min="15330" max="15330" width="9.7109375" style="125" customWidth="1"/>
    <col min="15331" max="15332" width="3.7109375" style="125" customWidth="1"/>
    <col min="15333" max="15333" width="9.7109375" style="125" customWidth="1"/>
    <col min="15334" max="15335" width="3.7109375" style="125" customWidth="1"/>
    <col min="15336" max="15336" width="9.7109375" style="125" customWidth="1"/>
    <col min="15337" max="15338" width="3.7109375" style="125" customWidth="1"/>
    <col min="15339" max="15339" width="9.7109375" style="125" customWidth="1"/>
    <col min="15340" max="15341" width="3.7109375" style="125" customWidth="1"/>
    <col min="15342" max="15342" width="9.7109375" style="125" customWidth="1"/>
    <col min="15343" max="15344" width="3.7109375" style="125" customWidth="1"/>
    <col min="15345" max="15345" width="9.7109375" style="125" customWidth="1"/>
    <col min="15346" max="15347" width="3.7109375" style="125" customWidth="1"/>
    <col min="15348" max="15348" width="9.7109375" style="125" customWidth="1"/>
    <col min="15349" max="15350" width="3.7109375" style="125" customWidth="1"/>
    <col min="15351" max="15351" width="9.7109375" style="125" customWidth="1"/>
    <col min="15352" max="15353" width="3.7109375" style="125" customWidth="1"/>
    <col min="15354" max="15354" width="9.7109375" style="125" customWidth="1"/>
    <col min="15355" max="15356" width="3.7109375" style="125" customWidth="1"/>
    <col min="15357" max="15357" width="9.7109375" style="125" customWidth="1"/>
    <col min="15358" max="15358" width="3.7109375" style="125" customWidth="1"/>
    <col min="15359" max="15360" width="8" style="125"/>
    <col min="15361" max="15361" width="30.7109375" style="125" customWidth="1"/>
    <col min="15362" max="15362" width="9.7109375" style="125" customWidth="1"/>
    <col min="15363" max="15363" width="3.7109375" style="125" customWidth="1"/>
    <col min="15364" max="15364" width="9.7109375" style="125" customWidth="1"/>
    <col min="15365" max="15366" width="3.7109375" style="125" customWidth="1"/>
    <col min="15367" max="15367" width="9.7109375" style="125" customWidth="1"/>
    <col min="15368" max="15369" width="3.7109375" style="125" customWidth="1"/>
    <col min="15370" max="15370" width="9.7109375" style="125" customWidth="1"/>
    <col min="15371" max="15372" width="3.7109375" style="125" customWidth="1"/>
    <col min="15373" max="15373" width="9.7109375" style="125" customWidth="1"/>
    <col min="15374" max="15375" width="3.7109375" style="125" customWidth="1"/>
    <col min="15376" max="15376" width="9.7109375" style="125" customWidth="1"/>
    <col min="15377" max="15378" width="3.7109375" style="125" customWidth="1"/>
    <col min="15379" max="15379" width="9.7109375" style="125" customWidth="1"/>
    <col min="15380" max="15381" width="3.7109375" style="125" customWidth="1"/>
    <col min="15382" max="15382" width="9.7109375" style="125" customWidth="1"/>
    <col min="15383" max="15384" width="3.7109375" style="125" customWidth="1"/>
    <col min="15385" max="15385" width="9.7109375" style="125" customWidth="1"/>
    <col min="15386" max="15387" width="3.7109375" style="125" customWidth="1"/>
    <col min="15388" max="15388" width="9.7109375" style="125" customWidth="1"/>
    <col min="15389" max="15390" width="3.7109375" style="125" customWidth="1"/>
    <col min="15391" max="15391" width="9.7109375" style="125" customWidth="1"/>
    <col min="15392" max="15393" width="3.7109375" style="125" customWidth="1"/>
    <col min="15394" max="15394" width="9.7109375" style="125" customWidth="1"/>
    <col min="15395" max="15396" width="3.7109375" style="125" customWidth="1"/>
    <col min="15397" max="15397" width="9.7109375" style="125" customWidth="1"/>
    <col min="15398" max="15399" width="3.7109375" style="125" customWidth="1"/>
    <col min="15400" max="15400" width="9.7109375" style="125" customWidth="1"/>
    <col min="15401" max="15402" width="3.7109375" style="125" customWidth="1"/>
    <col min="15403" max="15403" width="9.7109375" style="125" customWidth="1"/>
    <col min="15404" max="15405" width="3.7109375" style="125" customWidth="1"/>
    <col min="15406" max="15406" width="9.7109375" style="125" customWidth="1"/>
    <col min="15407" max="15408" width="3.7109375" style="125" customWidth="1"/>
    <col min="15409" max="15409" width="9.7109375" style="125" customWidth="1"/>
    <col min="15410" max="15411" width="3.7109375" style="125" customWidth="1"/>
    <col min="15412" max="15412" width="9.7109375" style="125" customWidth="1"/>
    <col min="15413" max="15414" width="3.7109375" style="125" customWidth="1"/>
    <col min="15415" max="15415" width="9.7109375" style="125" customWidth="1"/>
    <col min="15416" max="15417" width="3.7109375" style="125" customWidth="1"/>
    <col min="15418" max="15418" width="9.7109375" style="125" customWidth="1"/>
    <col min="15419" max="15420" width="3.7109375" style="125" customWidth="1"/>
    <col min="15421" max="15421" width="9.7109375" style="125" customWidth="1"/>
    <col min="15422" max="15423" width="3.7109375" style="125" customWidth="1"/>
    <col min="15424" max="15424" width="9.7109375" style="125" customWidth="1"/>
    <col min="15425" max="15426" width="3.7109375" style="125" customWidth="1"/>
    <col min="15427" max="15427" width="9.7109375" style="125" customWidth="1"/>
    <col min="15428" max="15429" width="3.7109375" style="125" customWidth="1"/>
    <col min="15430" max="15430" width="9.7109375" style="125" customWidth="1"/>
    <col min="15431" max="15432" width="3.7109375" style="125" customWidth="1"/>
    <col min="15433" max="15433" width="9.7109375" style="125" customWidth="1"/>
    <col min="15434" max="15435" width="3.7109375" style="125" customWidth="1"/>
    <col min="15436" max="15436" width="9.7109375" style="125" customWidth="1"/>
    <col min="15437" max="15438" width="3.7109375" style="125" customWidth="1"/>
    <col min="15439" max="15439" width="9.7109375" style="125" customWidth="1"/>
    <col min="15440" max="15441" width="3.7109375" style="125" customWidth="1"/>
    <col min="15442" max="15442" width="9.7109375" style="125" customWidth="1"/>
    <col min="15443" max="15444" width="3.7109375" style="125" customWidth="1"/>
    <col min="15445" max="15445" width="9.7109375" style="125" customWidth="1"/>
    <col min="15446" max="15447" width="3.7109375" style="125" customWidth="1"/>
    <col min="15448" max="15448" width="9.7109375" style="125" customWidth="1"/>
    <col min="15449" max="15450" width="3.7109375" style="125" customWidth="1"/>
    <col min="15451" max="15451" width="9.7109375" style="125" customWidth="1"/>
    <col min="15452" max="15453" width="3.7109375" style="125" customWidth="1"/>
    <col min="15454" max="15454" width="9.7109375" style="125" customWidth="1"/>
    <col min="15455" max="15456" width="3.7109375" style="125" customWidth="1"/>
    <col min="15457" max="15457" width="9.7109375" style="125" customWidth="1"/>
    <col min="15458" max="15459" width="3.7109375" style="125" customWidth="1"/>
    <col min="15460" max="15460" width="9.7109375" style="125" customWidth="1"/>
    <col min="15461" max="15462" width="3.7109375" style="125" customWidth="1"/>
    <col min="15463" max="15463" width="9.7109375" style="125" customWidth="1"/>
    <col min="15464" max="15465" width="3.7109375" style="125" customWidth="1"/>
    <col min="15466" max="15466" width="9.7109375" style="125" customWidth="1"/>
    <col min="15467" max="15468" width="3.7109375" style="125" customWidth="1"/>
    <col min="15469" max="15469" width="9.7109375" style="125" customWidth="1"/>
    <col min="15470" max="15471" width="3.7109375" style="125" customWidth="1"/>
    <col min="15472" max="15472" width="9.7109375" style="125" customWidth="1"/>
    <col min="15473" max="15474" width="3.7109375" style="125" customWidth="1"/>
    <col min="15475" max="15475" width="9.7109375" style="125" customWidth="1"/>
    <col min="15476" max="15477" width="3.7109375" style="125" customWidth="1"/>
    <col min="15478" max="15478" width="9.7109375" style="125" customWidth="1"/>
    <col min="15479" max="15480" width="3.7109375" style="125" customWidth="1"/>
    <col min="15481" max="15481" width="9.7109375" style="125" customWidth="1"/>
    <col min="15482" max="15483" width="3.7109375" style="125" customWidth="1"/>
    <col min="15484" max="15484" width="9.7109375" style="125" customWidth="1"/>
    <col min="15485" max="15486" width="3.7109375" style="125" customWidth="1"/>
    <col min="15487" max="15487" width="9.7109375" style="125" customWidth="1"/>
    <col min="15488" max="15489" width="3.7109375" style="125" customWidth="1"/>
    <col min="15490" max="15490" width="9.7109375" style="125" customWidth="1"/>
    <col min="15491" max="15492" width="3.7109375" style="125" customWidth="1"/>
    <col min="15493" max="15493" width="9.7109375" style="125" customWidth="1"/>
    <col min="15494" max="15495" width="3.7109375" style="125" customWidth="1"/>
    <col min="15496" max="15496" width="9.7109375" style="125" customWidth="1"/>
    <col min="15497" max="15498" width="3.7109375" style="125" customWidth="1"/>
    <col min="15499" max="15499" width="9.7109375" style="125" customWidth="1"/>
    <col min="15500" max="15501" width="3.7109375" style="125" customWidth="1"/>
    <col min="15502" max="15502" width="9.7109375" style="125" customWidth="1"/>
    <col min="15503" max="15504" width="3.7109375" style="125" customWidth="1"/>
    <col min="15505" max="15505" width="9.7109375" style="125" customWidth="1"/>
    <col min="15506" max="15506" width="3.7109375" style="125" customWidth="1"/>
    <col min="15507" max="15507" width="5.7109375" style="125" bestFit="1" customWidth="1"/>
    <col min="15508" max="15508" width="9.7109375" style="125" customWidth="1"/>
    <col min="15509" max="15510" width="3.7109375" style="125" customWidth="1"/>
    <col min="15511" max="15511" width="9.7109375" style="125" customWidth="1"/>
    <col min="15512" max="15513" width="3.7109375" style="125" customWidth="1"/>
    <col min="15514" max="15514" width="9.7109375" style="125" customWidth="1"/>
    <col min="15515" max="15516" width="3.7109375" style="125" customWidth="1"/>
    <col min="15517" max="15517" width="9.7109375" style="125" customWidth="1"/>
    <col min="15518" max="15519" width="3.7109375" style="125" customWidth="1"/>
    <col min="15520" max="15520" width="9.7109375" style="125" customWidth="1"/>
    <col min="15521" max="15522" width="3.7109375" style="125" customWidth="1"/>
    <col min="15523" max="15523" width="9.7109375" style="125" customWidth="1"/>
    <col min="15524" max="15524" width="3.7109375" style="125" customWidth="1"/>
    <col min="15525" max="15525" width="5.7109375" style="125" bestFit="1" customWidth="1"/>
    <col min="15526" max="15526" width="9.7109375" style="125" customWidth="1"/>
    <col min="15527" max="15528" width="3.7109375" style="125" customWidth="1"/>
    <col min="15529" max="15529" width="9.7109375" style="125" customWidth="1"/>
    <col min="15530" max="15531" width="3.7109375" style="125" customWidth="1"/>
    <col min="15532" max="15532" width="9.7109375" style="125" customWidth="1"/>
    <col min="15533" max="15534" width="3.7109375" style="125" customWidth="1"/>
    <col min="15535" max="15535" width="9.7109375" style="125" customWidth="1"/>
    <col min="15536" max="15537" width="3.7109375" style="125" customWidth="1"/>
    <col min="15538" max="15538" width="9.7109375" style="125" customWidth="1"/>
    <col min="15539" max="15540" width="3.7109375" style="125" customWidth="1"/>
    <col min="15541" max="15541" width="9.7109375" style="125" customWidth="1"/>
    <col min="15542" max="15543" width="3.7109375" style="125" customWidth="1"/>
    <col min="15544" max="15544" width="9.7109375" style="125" customWidth="1"/>
    <col min="15545" max="15546" width="3.7109375" style="125" customWidth="1"/>
    <col min="15547" max="15547" width="9.7109375" style="125" customWidth="1"/>
    <col min="15548" max="15549" width="3.7109375" style="125" customWidth="1"/>
    <col min="15550" max="15550" width="9.7109375" style="125" customWidth="1"/>
    <col min="15551" max="15552" width="3.7109375" style="125" customWidth="1"/>
    <col min="15553" max="15553" width="9.7109375" style="125" customWidth="1"/>
    <col min="15554" max="15555" width="3.7109375" style="125" customWidth="1"/>
    <col min="15556" max="15556" width="9.7109375" style="125" customWidth="1"/>
    <col min="15557" max="15558" width="3.7109375" style="125" customWidth="1"/>
    <col min="15559" max="15559" width="9.7109375" style="125" customWidth="1"/>
    <col min="15560" max="15561" width="3.7109375" style="125" customWidth="1"/>
    <col min="15562" max="15562" width="9.7109375" style="125" customWidth="1"/>
    <col min="15563" max="15564" width="3.7109375" style="125" customWidth="1"/>
    <col min="15565" max="15565" width="9.7109375" style="125" customWidth="1"/>
    <col min="15566" max="15567" width="3.7109375" style="125" customWidth="1"/>
    <col min="15568" max="15568" width="9.7109375" style="125" customWidth="1"/>
    <col min="15569" max="15570" width="3.7109375" style="125" customWidth="1"/>
    <col min="15571" max="15571" width="9.7109375" style="125" customWidth="1"/>
    <col min="15572" max="15573" width="3.7109375" style="125" customWidth="1"/>
    <col min="15574" max="15574" width="9.7109375" style="125" customWidth="1"/>
    <col min="15575" max="15576" width="3.7109375" style="125" customWidth="1"/>
    <col min="15577" max="15577" width="9.7109375" style="125" customWidth="1"/>
    <col min="15578" max="15579" width="3.7109375" style="125" customWidth="1"/>
    <col min="15580" max="15580" width="9.7109375" style="125" customWidth="1"/>
    <col min="15581" max="15582" width="3.7109375" style="125" customWidth="1"/>
    <col min="15583" max="15583" width="9.7109375" style="125" customWidth="1"/>
    <col min="15584" max="15585" width="3.7109375" style="125" customWidth="1"/>
    <col min="15586" max="15586" width="9.7109375" style="125" customWidth="1"/>
    <col min="15587" max="15588" width="3.7109375" style="125" customWidth="1"/>
    <col min="15589" max="15589" width="9.7109375" style="125" customWidth="1"/>
    <col min="15590" max="15591" width="3.7109375" style="125" customWidth="1"/>
    <col min="15592" max="15592" width="9.7109375" style="125" customWidth="1"/>
    <col min="15593" max="15594" width="3.7109375" style="125" customWidth="1"/>
    <col min="15595" max="15595" width="9.7109375" style="125" customWidth="1"/>
    <col min="15596" max="15597" width="3.7109375" style="125" customWidth="1"/>
    <col min="15598" max="15598" width="9.7109375" style="125" customWidth="1"/>
    <col min="15599" max="15600" width="3.7109375" style="125" customWidth="1"/>
    <col min="15601" max="15601" width="9.7109375" style="125" customWidth="1"/>
    <col min="15602" max="15603" width="3.7109375" style="125" customWidth="1"/>
    <col min="15604" max="15604" width="9.7109375" style="125" customWidth="1"/>
    <col min="15605" max="15606" width="3.7109375" style="125" customWidth="1"/>
    <col min="15607" max="15607" width="9.7109375" style="125" customWidth="1"/>
    <col min="15608" max="15609" width="3.7109375" style="125" customWidth="1"/>
    <col min="15610" max="15610" width="9.7109375" style="125" customWidth="1"/>
    <col min="15611" max="15612" width="3.7109375" style="125" customWidth="1"/>
    <col min="15613" max="15613" width="9.7109375" style="125" customWidth="1"/>
    <col min="15614" max="15614" width="3.7109375" style="125" customWidth="1"/>
    <col min="15615" max="15616" width="8" style="125"/>
    <col min="15617" max="15617" width="30.7109375" style="125" customWidth="1"/>
    <col min="15618" max="15618" width="9.7109375" style="125" customWidth="1"/>
    <col min="15619" max="15619" width="3.7109375" style="125" customWidth="1"/>
    <col min="15620" max="15620" width="9.7109375" style="125" customWidth="1"/>
    <col min="15621" max="15622" width="3.7109375" style="125" customWidth="1"/>
    <col min="15623" max="15623" width="9.7109375" style="125" customWidth="1"/>
    <col min="15624" max="15625" width="3.7109375" style="125" customWidth="1"/>
    <col min="15626" max="15626" width="9.7109375" style="125" customWidth="1"/>
    <col min="15627" max="15628" width="3.7109375" style="125" customWidth="1"/>
    <col min="15629" max="15629" width="9.7109375" style="125" customWidth="1"/>
    <col min="15630" max="15631" width="3.7109375" style="125" customWidth="1"/>
    <col min="15632" max="15632" width="9.7109375" style="125" customWidth="1"/>
    <col min="15633" max="15634" width="3.7109375" style="125" customWidth="1"/>
    <col min="15635" max="15635" width="9.7109375" style="125" customWidth="1"/>
    <col min="15636" max="15637" width="3.7109375" style="125" customWidth="1"/>
    <col min="15638" max="15638" width="9.7109375" style="125" customWidth="1"/>
    <col min="15639" max="15640" width="3.7109375" style="125" customWidth="1"/>
    <col min="15641" max="15641" width="9.7109375" style="125" customWidth="1"/>
    <col min="15642" max="15643" width="3.7109375" style="125" customWidth="1"/>
    <col min="15644" max="15644" width="9.7109375" style="125" customWidth="1"/>
    <col min="15645" max="15646" width="3.7109375" style="125" customWidth="1"/>
    <col min="15647" max="15647" width="9.7109375" style="125" customWidth="1"/>
    <col min="15648" max="15649" width="3.7109375" style="125" customWidth="1"/>
    <col min="15650" max="15650" width="9.7109375" style="125" customWidth="1"/>
    <col min="15651" max="15652" width="3.7109375" style="125" customWidth="1"/>
    <col min="15653" max="15653" width="9.7109375" style="125" customWidth="1"/>
    <col min="15654" max="15655" width="3.7109375" style="125" customWidth="1"/>
    <col min="15656" max="15656" width="9.7109375" style="125" customWidth="1"/>
    <col min="15657" max="15658" width="3.7109375" style="125" customWidth="1"/>
    <col min="15659" max="15659" width="9.7109375" style="125" customWidth="1"/>
    <col min="15660" max="15661" width="3.7109375" style="125" customWidth="1"/>
    <col min="15662" max="15662" width="9.7109375" style="125" customWidth="1"/>
    <col min="15663" max="15664" width="3.7109375" style="125" customWidth="1"/>
    <col min="15665" max="15665" width="9.7109375" style="125" customWidth="1"/>
    <col min="15666" max="15667" width="3.7109375" style="125" customWidth="1"/>
    <col min="15668" max="15668" width="9.7109375" style="125" customWidth="1"/>
    <col min="15669" max="15670" width="3.7109375" style="125" customWidth="1"/>
    <col min="15671" max="15671" width="9.7109375" style="125" customWidth="1"/>
    <col min="15672" max="15673" width="3.7109375" style="125" customWidth="1"/>
    <col min="15674" max="15674" width="9.7109375" style="125" customWidth="1"/>
    <col min="15675" max="15676" width="3.7109375" style="125" customWidth="1"/>
    <col min="15677" max="15677" width="9.7109375" style="125" customWidth="1"/>
    <col min="15678" max="15679" width="3.7109375" style="125" customWidth="1"/>
    <col min="15680" max="15680" width="9.7109375" style="125" customWidth="1"/>
    <col min="15681" max="15682" width="3.7109375" style="125" customWidth="1"/>
    <col min="15683" max="15683" width="9.7109375" style="125" customWidth="1"/>
    <col min="15684" max="15685" width="3.7109375" style="125" customWidth="1"/>
    <col min="15686" max="15686" width="9.7109375" style="125" customWidth="1"/>
    <col min="15687" max="15688" width="3.7109375" style="125" customWidth="1"/>
    <col min="15689" max="15689" width="9.7109375" style="125" customWidth="1"/>
    <col min="15690" max="15691" width="3.7109375" style="125" customWidth="1"/>
    <col min="15692" max="15692" width="9.7109375" style="125" customWidth="1"/>
    <col min="15693" max="15694" width="3.7109375" style="125" customWidth="1"/>
    <col min="15695" max="15695" width="9.7109375" style="125" customWidth="1"/>
    <col min="15696" max="15697" width="3.7109375" style="125" customWidth="1"/>
    <col min="15698" max="15698" width="9.7109375" style="125" customWidth="1"/>
    <col min="15699" max="15700" width="3.7109375" style="125" customWidth="1"/>
    <col min="15701" max="15701" width="9.7109375" style="125" customWidth="1"/>
    <col min="15702" max="15703" width="3.7109375" style="125" customWidth="1"/>
    <col min="15704" max="15704" width="9.7109375" style="125" customWidth="1"/>
    <col min="15705" max="15706" width="3.7109375" style="125" customWidth="1"/>
    <col min="15707" max="15707" width="9.7109375" style="125" customWidth="1"/>
    <col min="15708" max="15709" width="3.7109375" style="125" customWidth="1"/>
    <col min="15710" max="15710" width="9.7109375" style="125" customWidth="1"/>
    <col min="15711" max="15712" width="3.7109375" style="125" customWidth="1"/>
    <col min="15713" max="15713" width="9.7109375" style="125" customWidth="1"/>
    <col min="15714" max="15715" width="3.7109375" style="125" customWidth="1"/>
    <col min="15716" max="15716" width="9.7109375" style="125" customWidth="1"/>
    <col min="15717" max="15718" width="3.7109375" style="125" customWidth="1"/>
    <col min="15719" max="15719" width="9.7109375" style="125" customWidth="1"/>
    <col min="15720" max="15721" width="3.7109375" style="125" customWidth="1"/>
    <col min="15722" max="15722" width="9.7109375" style="125" customWidth="1"/>
    <col min="15723" max="15724" width="3.7109375" style="125" customWidth="1"/>
    <col min="15725" max="15725" width="9.7109375" style="125" customWidth="1"/>
    <col min="15726" max="15727" width="3.7109375" style="125" customWidth="1"/>
    <col min="15728" max="15728" width="9.7109375" style="125" customWidth="1"/>
    <col min="15729" max="15730" width="3.7109375" style="125" customWidth="1"/>
    <col min="15731" max="15731" width="9.7109375" style="125" customWidth="1"/>
    <col min="15732" max="15733" width="3.7109375" style="125" customWidth="1"/>
    <col min="15734" max="15734" width="9.7109375" style="125" customWidth="1"/>
    <col min="15735" max="15736" width="3.7109375" style="125" customWidth="1"/>
    <col min="15737" max="15737" width="9.7109375" style="125" customWidth="1"/>
    <col min="15738" max="15739" width="3.7109375" style="125" customWidth="1"/>
    <col min="15740" max="15740" width="9.7109375" style="125" customWidth="1"/>
    <col min="15741" max="15742" width="3.7109375" style="125" customWidth="1"/>
    <col min="15743" max="15743" width="9.7109375" style="125" customWidth="1"/>
    <col min="15744" max="15745" width="3.7109375" style="125" customWidth="1"/>
    <col min="15746" max="15746" width="9.7109375" style="125" customWidth="1"/>
    <col min="15747" max="15748" width="3.7109375" style="125" customWidth="1"/>
    <col min="15749" max="15749" width="9.7109375" style="125" customWidth="1"/>
    <col min="15750" max="15751" width="3.7109375" style="125" customWidth="1"/>
    <col min="15752" max="15752" width="9.7109375" style="125" customWidth="1"/>
    <col min="15753" max="15754" width="3.7109375" style="125" customWidth="1"/>
    <col min="15755" max="15755" width="9.7109375" style="125" customWidth="1"/>
    <col min="15756" max="15757" width="3.7109375" style="125" customWidth="1"/>
    <col min="15758" max="15758" width="9.7109375" style="125" customWidth="1"/>
    <col min="15759" max="15760" width="3.7109375" style="125" customWidth="1"/>
    <col min="15761" max="15761" width="9.7109375" style="125" customWidth="1"/>
    <col min="15762" max="15762" width="3.7109375" style="125" customWidth="1"/>
    <col min="15763" max="15763" width="5.7109375" style="125" bestFit="1" customWidth="1"/>
    <col min="15764" max="15764" width="9.7109375" style="125" customWidth="1"/>
    <col min="15765" max="15766" width="3.7109375" style="125" customWidth="1"/>
    <col min="15767" max="15767" width="9.7109375" style="125" customWidth="1"/>
    <col min="15768" max="15769" width="3.7109375" style="125" customWidth="1"/>
    <col min="15770" max="15770" width="9.7109375" style="125" customWidth="1"/>
    <col min="15771" max="15772" width="3.7109375" style="125" customWidth="1"/>
    <col min="15773" max="15773" width="9.7109375" style="125" customWidth="1"/>
    <col min="15774" max="15775" width="3.7109375" style="125" customWidth="1"/>
    <col min="15776" max="15776" width="9.7109375" style="125" customWidth="1"/>
    <col min="15777" max="15778" width="3.7109375" style="125" customWidth="1"/>
    <col min="15779" max="15779" width="9.7109375" style="125" customWidth="1"/>
    <col min="15780" max="15780" width="3.7109375" style="125" customWidth="1"/>
    <col min="15781" max="15781" width="5.7109375" style="125" bestFit="1" customWidth="1"/>
    <col min="15782" max="15782" width="9.7109375" style="125" customWidth="1"/>
    <col min="15783" max="15784" width="3.7109375" style="125" customWidth="1"/>
    <col min="15785" max="15785" width="9.7109375" style="125" customWidth="1"/>
    <col min="15786" max="15787" width="3.7109375" style="125" customWidth="1"/>
    <col min="15788" max="15788" width="9.7109375" style="125" customWidth="1"/>
    <col min="15789" max="15790" width="3.7109375" style="125" customWidth="1"/>
    <col min="15791" max="15791" width="9.7109375" style="125" customWidth="1"/>
    <col min="15792" max="15793" width="3.7109375" style="125" customWidth="1"/>
    <col min="15794" max="15794" width="9.7109375" style="125" customWidth="1"/>
    <col min="15795" max="15796" width="3.7109375" style="125" customWidth="1"/>
    <col min="15797" max="15797" width="9.7109375" style="125" customWidth="1"/>
    <col min="15798" max="15799" width="3.7109375" style="125" customWidth="1"/>
    <col min="15800" max="15800" width="9.7109375" style="125" customWidth="1"/>
    <col min="15801" max="15802" width="3.7109375" style="125" customWidth="1"/>
    <col min="15803" max="15803" width="9.7109375" style="125" customWidth="1"/>
    <col min="15804" max="15805" width="3.7109375" style="125" customWidth="1"/>
    <col min="15806" max="15806" width="9.7109375" style="125" customWidth="1"/>
    <col min="15807" max="15808" width="3.7109375" style="125" customWidth="1"/>
    <col min="15809" max="15809" width="9.7109375" style="125" customWidth="1"/>
    <col min="15810" max="15811" width="3.7109375" style="125" customWidth="1"/>
    <col min="15812" max="15812" width="9.7109375" style="125" customWidth="1"/>
    <col min="15813" max="15814" width="3.7109375" style="125" customWidth="1"/>
    <col min="15815" max="15815" width="9.7109375" style="125" customWidth="1"/>
    <col min="15816" max="15817" width="3.7109375" style="125" customWidth="1"/>
    <col min="15818" max="15818" width="9.7109375" style="125" customWidth="1"/>
    <col min="15819" max="15820" width="3.7109375" style="125" customWidth="1"/>
    <col min="15821" max="15821" width="9.7109375" style="125" customWidth="1"/>
    <col min="15822" max="15823" width="3.7109375" style="125" customWidth="1"/>
    <col min="15824" max="15824" width="9.7109375" style="125" customWidth="1"/>
    <col min="15825" max="15826" width="3.7109375" style="125" customWidth="1"/>
    <col min="15827" max="15827" width="9.7109375" style="125" customWidth="1"/>
    <col min="15828" max="15829" width="3.7109375" style="125" customWidth="1"/>
    <col min="15830" max="15830" width="9.7109375" style="125" customWidth="1"/>
    <col min="15831" max="15832" width="3.7109375" style="125" customWidth="1"/>
    <col min="15833" max="15833" width="9.7109375" style="125" customWidth="1"/>
    <col min="15834" max="15835" width="3.7109375" style="125" customWidth="1"/>
    <col min="15836" max="15836" width="9.7109375" style="125" customWidth="1"/>
    <col min="15837" max="15838" width="3.7109375" style="125" customWidth="1"/>
    <col min="15839" max="15839" width="9.7109375" style="125" customWidth="1"/>
    <col min="15840" max="15841" width="3.7109375" style="125" customWidth="1"/>
    <col min="15842" max="15842" width="9.7109375" style="125" customWidth="1"/>
    <col min="15843" max="15844" width="3.7109375" style="125" customWidth="1"/>
    <col min="15845" max="15845" width="9.7109375" style="125" customWidth="1"/>
    <col min="15846" max="15847" width="3.7109375" style="125" customWidth="1"/>
    <col min="15848" max="15848" width="9.7109375" style="125" customWidth="1"/>
    <col min="15849" max="15850" width="3.7109375" style="125" customWidth="1"/>
    <col min="15851" max="15851" width="9.7109375" style="125" customWidth="1"/>
    <col min="15852" max="15853" width="3.7109375" style="125" customWidth="1"/>
    <col min="15854" max="15854" width="9.7109375" style="125" customWidth="1"/>
    <col min="15855" max="15856" width="3.7109375" style="125" customWidth="1"/>
    <col min="15857" max="15857" width="9.7109375" style="125" customWidth="1"/>
    <col min="15858" max="15859" width="3.7109375" style="125" customWidth="1"/>
    <col min="15860" max="15860" width="9.7109375" style="125" customWidth="1"/>
    <col min="15861" max="15862" width="3.7109375" style="125" customWidth="1"/>
    <col min="15863" max="15863" width="9.7109375" style="125" customWidth="1"/>
    <col min="15864" max="15865" width="3.7109375" style="125" customWidth="1"/>
    <col min="15866" max="15866" width="9.7109375" style="125" customWidth="1"/>
    <col min="15867" max="15868" width="3.7109375" style="125" customWidth="1"/>
    <col min="15869" max="15869" width="9.7109375" style="125" customWidth="1"/>
    <col min="15870" max="15870" width="3.7109375" style="125" customWidth="1"/>
    <col min="15871" max="15872" width="8" style="125"/>
    <col min="15873" max="15873" width="30.7109375" style="125" customWidth="1"/>
    <col min="15874" max="15874" width="9.7109375" style="125" customWidth="1"/>
    <col min="15875" max="15875" width="3.7109375" style="125" customWidth="1"/>
    <col min="15876" max="15876" width="9.7109375" style="125" customWidth="1"/>
    <col min="15877" max="15878" width="3.7109375" style="125" customWidth="1"/>
    <col min="15879" max="15879" width="9.7109375" style="125" customWidth="1"/>
    <col min="15880" max="15881" width="3.7109375" style="125" customWidth="1"/>
    <col min="15882" max="15882" width="9.7109375" style="125" customWidth="1"/>
    <col min="15883" max="15884" width="3.7109375" style="125" customWidth="1"/>
    <col min="15885" max="15885" width="9.7109375" style="125" customWidth="1"/>
    <col min="15886" max="15887" width="3.7109375" style="125" customWidth="1"/>
    <col min="15888" max="15888" width="9.7109375" style="125" customWidth="1"/>
    <col min="15889" max="15890" width="3.7109375" style="125" customWidth="1"/>
    <col min="15891" max="15891" width="9.7109375" style="125" customWidth="1"/>
    <col min="15892" max="15893" width="3.7109375" style="125" customWidth="1"/>
    <col min="15894" max="15894" width="9.7109375" style="125" customWidth="1"/>
    <col min="15895" max="15896" width="3.7109375" style="125" customWidth="1"/>
    <col min="15897" max="15897" width="9.7109375" style="125" customWidth="1"/>
    <col min="15898" max="15899" width="3.7109375" style="125" customWidth="1"/>
    <col min="15900" max="15900" width="9.7109375" style="125" customWidth="1"/>
    <col min="15901" max="15902" width="3.7109375" style="125" customWidth="1"/>
    <col min="15903" max="15903" width="9.7109375" style="125" customWidth="1"/>
    <col min="15904" max="15905" width="3.7109375" style="125" customWidth="1"/>
    <col min="15906" max="15906" width="9.7109375" style="125" customWidth="1"/>
    <col min="15907" max="15908" width="3.7109375" style="125" customWidth="1"/>
    <col min="15909" max="15909" width="9.7109375" style="125" customWidth="1"/>
    <col min="15910" max="15911" width="3.7109375" style="125" customWidth="1"/>
    <col min="15912" max="15912" width="9.7109375" style="125" customWidth="1"/>
    <col min="15913" max="15914" width="3.7109375" style="125" customWidth="1"/>
    <col min="15915" max="15915" width="9.7109375" style="125" customWidth="1"/>
    <col min="15916" max="15917" width="3.7109375" style="125" customWidth="1"/>
    <col min="15918" max="15918" width="9.7109375" style="125" customWidth="1"/>
    <col min="15919" max="15920" width="3.7109375" style="125" customWidth="1"/>
    <col min="15921" max="15921" width="9.7109375" style="125" customWidth="1"/>
    <col min="15922" max="15923" width="3.7109375" style="125" customWidth="1"/>
    <col min="15924" max="15924" width="9.7109375" style="125" customWidth="1"/>
    <col min="15925" max="15926" width="3.7109375" style="125" customWidth="1"/>
    <col min="15927" max="15927" width="9.7109375" style="125" customWidth="1"/>
    <col min="15928" max="15929" width="3.7109375" style="125" customWidth="1"/>
    <col min="15930" max="15930" width="9.7109375" style="125" customWidth="1"/>
    <col min="15931" max="15932" width="3.7109375" style="125" customWidth="1"/>
    <col min="15933" max="15933" width="9.7109375" style="125" customWidth="1"/>
    <col min="15934" max="15935" width="3.7109375" style="125" customWidth="1"/>
    <col min="15936" max="15936" width="9.7109375" style="125" customWidth="1"/>
    <col min="15937" max="15938" width="3.7109375" style="125" customWidth="1"/>
    <col min="15939" max="15939" width="9.7109375" style="125" customWidth="1"/>
    <col min="15940" max="15941" width="3.7109375" style="125" customWidth="1"/>
    <col min="15942" max="15942" width="9.7109375" style="125" customWidth="1"/>
    <col min="15943" max="15944" width="3.7109375" style="125" customWidth="1"/>
    <col min="15945" max="15945" width="9.7109375" style="125" customWidth="1"/>
    <col min="15946" max="15947" width="3.7109375" style="125" customWidth="1"/>
    <col min="15948" max="15948" width="9.7109375" style="125" customWidth="1"/>
    <col min="15949" max="15950" width="3.7109375" style="125" customWidth="1"/>
    <col min="15951" max="15951" width="9.7109375" style="125" customWidth="1"/>
    <col min="15952" max="15953" width="3.7109375" style="125" customWidth="1"/>
    <col min="15954" max="15954" width="9.7109375" style="125" customWidth="1"/>
    <col min="15955" max="15956" width="3.7109375" style="125" customWidth="1"/>
    <col min="15957" max="15957" width="9.7109375" style="125" customWidth="1"/>
    <col min="15958" max="15959" width="3.7109375" style="125" customWidth="1"/>
    <col min="15960" max="15960" width="9.7109375" style="125" customWidth="1"/>
    <col min="15961" max="15962" width="3.7109375" style="125" customWidth="1"/>
    <col min="15963" max="15963" width="9.7109375" style="125" customWidth="1"/>
    <col min="15964" max="15965" width="3.7109375" style="125" customWidth="1"/>
    <col min="15966" max="15966" width="9.7109375" style="125" customWidth="1"/>
    <col min="15967" max="15968" width="3.7109375" style="125" customWidth="1"/>
    <col min="15969" max="15969" width="9.7109375" style="125" customWidth="1"/>
    <col min="15970" max="15971" width="3.7109375" style="125" customWidth="1"/>
    <col min="15972" max="15972" width="9.7109375" style="125" customWidth="1"/>
    <col min="15973" max="15974" width="3.7109375" style="125" customWidth="1"/>
    <col min="15975" max="15975" width="9.7109375" style="125" customWidth="1"/>
    <col min="15976" max="15977" width="3.7109375" style="125" customWidth="1"/>
    <col min="15978" max="15978" width="9.7109375" style="125" customWidth="1"/>
    <col min="15979" max="15980" width="3.7109375" style="125" customWidth="1"/>
    <col min="15981" max="15981" width="9.7109375" style="125" customWidth="1"/>
    <col min="15982" max="15983" width="3.7109375" style="125" customWidth="1"/>
    <col min="15984" max="15984" width="9.7109375" style="125" customWidth="1"/>
    <col min="15985" max="15986" width="3.7109375" style="125" customWidth="1"/>
    <col min="15987" max="15987" width="9.7109375" style="125" customWidth="1"/>
    <col min="15988" max="15989" width="3.7109375" style="125" customWidth="1"/>
    <col min="15990" max="15990" width="9.7109375" style="125" customWidth="1"/>
    <col min="15991" max="15992" width="3.7109375" style="125" customWidth="1"/>
    <col min="15993" max="15993" width="9.7109375" style="125" customWidth="1"/>
    <col min="15994" max="15995" width="3.7109375" style="125" customWidth="1"/>
    <col min="15996" max="15996" width="9.7109375" style="125" customWidth="1"/>
    <col min="15997" max="15998" width="3.7109375" style="125" customWidth="1"/>
    <col min="15999" max="15999" width="9.7109375" style="125" customWidth="1"/>
    <col min="16000" max="16001" width="3.7109375" style="125" customWidth="1"/>
    <col min="16002" max="16002" width="9.7109375" style="125" customWidth="1"/>
    <col min="16003" max="16004" width="3.7109375" style="125" customWidth="1"/>
    <col min="16005" max="16005" width="9.7109375" style="125" customWidth="1"/>
    <col min="16006" max="16007" width="3.7109375" style="125" customWidth="1"/>
    <col min="16008" max="16008" width="9.7109375" style="125" customWidth="1"/>
    <col min="16009" max="16010" width="3.7109375" style="125" customWidth="1"/>
    <col min="16011" max="16011" width="9.7109375" style="125" customWidth="1"/>
    <col min="16012" max="16013" width="3.7109375" style="125" customWidth="1"/>
    <col min="16014" max="16014" width="9.7109375" style="125" customWidth="1"/>
    <col min="16015" max="16016" width="3.7109375" style="125" customWidth="1"/>
    <col min="16017" max="16017" width="9.7109375" style="125" customWidth="1"/>
    <col min="16018" max="16018" width="3.7109375" style="125" customWidth="1"/>
    <col min="16019" max="16019" width="5.7109375" style="125" bestFit="1" customWidth="1"/>
    <col min="16020" max="16020" width="9.7109375" style="125" customWidth="1"/>
    <col min="16021" max="16022" width="3.7109375" style="125" customWidth="1"/>
    <col min="16023" max="16023" width="9.7109375" style="125" customWidth="1"/>
    <col min="16024" max="16025" width="3.7109375" style="125" customWidth="1"/>
    <col min="16026" max="16026" width="9.7109375" style="125" customWidth="1"/>
    <col min="16027" max="16028" width="3.7109375" style="125" customWidth="1"/>
    <col min="16029" max="16029" width="9.7109375" style="125" customWidth="1"/>
    <col min="16030" max="16031" width="3.7109375" style="125" customWidth="1"/>
    <col min="16032" max="16032" width="9.7109375" style="125" customWidth="1"/>
    <col min="16033" max="16034" width="3.7109375" style="125" customWidth="1"/>
    <col min="16035" max="16035" width="9.7109375" style="125" customWidth="1"/>
    <col min="16036" max="16036" width="3.7109375" style="125" customWidth="1"/>
    <col min="16037" max="16037" width="5.7109375" style="125" bestFit="1" customWidth="1"/>
    <col min="16038" max="16038" width="9.7109375" style="125" customWidth="1"/>
    <col min="16039" max="16040" width="3.7109375" style="125" customWidth="1"/>
    <col min="16041" max="16041" width="9.7109375" style="125" customWidth="1"/>
    <col min="16042" max="16043" width="3.7109375" style="125" customWidth="1"/>
    <col min="16044" max="16044" width="9.7109375" style="125" customWidth="1"/>
    <col min="16045" max="16046" width="3.7109375" style="125" customWidth="1"/>
    <col min="16047" max="16047" width="9.7109375" style="125" customWidth="1"/>
    <col min="16048" max="16049" width="3.7109375" style="125" customWidth="1"/>
    <col min="16050" max="16050" width="9.7109375" style="125" customWidth="1"/>
    <col min="16051" max="16052" width="3.7109375" style="125" customWidth="1"/>
    <col min="16053" max="16053" width="9.7109375" style="125" customWidth="1"/>
    <col min="16054" max="16055" width="3.7109375" style="125" customWidth="1"/>
    <col min="16056" max="16056" width="9.7109375" style="125" customWidth="1"/>
    <col min="16057" max="16058" width="3.7109375" style="125" customWidth="1"/>
    <col min="16059" max="16059" width="9.7109375" style="125" customWidth="1"/>
    <col min="16060" max="16061" width="3.7109375" style="125" customWidth="1"/>
    <col min="16062" max="16062" width="9.7109375" style="125" customWidth="1"/>
    <col min="16063" max="16064" width="3.7109375" style="125" customWidth="1"/>
    <col min="16065" max="16065" width="9.7109375" style="125" customWidth="1"/>
    <col min="16066" max="16067" width="3.7109375" style="125" customWidth="1"/>
    <col min="16068" max="16068" width="9.7109375" style="125" customWidth="1"/>
    <col min="16069" max="16070" width="3.7109375" style="125" customWidth="1"/>
    <col min="16071" max="16071" width="9.7109375" style="125" customWidth="1"/>
    <col min="16072" max="16073" width="3.7109375" style="125" customWidth="1"/>
    <col min="16074" max="16074" width="9.7109375" style="125" customWidth="1"/>
    <col min="16075" max="16076" width="3.7109375" style="125" customWidth="1"/>
    <col min="16077" max="16077" width="9.7109375" style="125" customWidth="1"/>
    <col min="16078" max="16079" width="3.7109375" style="125" customWidth="1"/>
    <col min="16080" max="16080" width="9.7109375" style="125" customWidth="1"/>
    <col min="16081" max="16082" width="3.7109375" style="125" customWidth="1"/>
    <col min="16083" max="16083" width="9.7109375" style="125" customWidth="1"/>
    <col min="16084" max="16085" width="3.7109375" style="125" customWidth="1"/>
    <col min="16086" max="16086" width="9.7109375" style="125" customWidth="1"/>
    <col min="16087" max="16088" width="3.7109375" style="125" customWidth="1"/>
    <col min="16089" max="16089" width="9.7109375" style="125" customWidth="1"/>
    <col min="16090" max="16091" width="3.7109375" style="125" customWidth="1"/>
    <col min="16092" max="16092" width="9.7109375" style="125" customWidth="1"/>
    <col min="16093" max="16094" width="3.7109375" style="125" customWidth="1"/>
    <col min="16095" max="16095" width="9.7109375" style="125" customWidth="1"/>
    <col min="16096" max="16097" width="3.7109375" style="125" customWidth="1"/>
    <col min="16098" max="16098" width="9.7109375" style="125" customWidth="1"/>
    <col min="16099" max="16100" width="3.7109375" style="125" customWidth="1"/>
    <col min="16101" max="16101" width="9.7109375" style="125" customWidth="1"/>
    <col min="16102" max="16103" width="3.7109375" style="125" customWidth="1"/>
    <col min="16104" max="16104" width="9.7109375" style="125" customWidth="1"/>
    <col min="16105" max="16106" width="3.7109375" style="125" customWidth="1"/>
    <col min="16107" max="16107" width="9.7109375" style="125" customWidth="1"/>
    <col min="16108" max="16109" width="3.7109375" style="125" customWidth="1"/>
    <col min="16110" max="16110" width="9.7109375" style="125" customWidth="1"/>
    <col min="16111" max="16112" width="3.7109375" style="125" customWidth="1"/>
    <col min="16113" max="16113" width="9.7109375" style="125" customWidth="1"/>
    <col min="16114" max="16115" width="3.7109375" style="125" customWidth="1"/>
    <col min="16116" max="16116" width="9.7109375" style="125" customWidth="1"/>
    <col min="16117" max="16118" width="3.7109375" style="125" customWidth="1"/>
    <col min="16119" max="16119" width="9.7109375" style="125" customWidth="1"/>
    <col min="16120" max="16121" width="3.7109375" style="125" customWidth="1"/>
    <col min="16122" max="16122" width="9.7109375" style="125" customWidth="1"/>
    <col min="16123" max="16124" width="3.7109375" style="125" customWidth="1"/>
    <col min="16125" max="16125" width="9.7109375" style="125" customWidth="1"/>
    <col min="16126" max="16126" width="3.7109375" style="125" customWidth="1"/>
    <col min="16127" max="16128" width="8" style="125"/>
    <col min="16129" max="16129" width="30.7109375" style="125" customWidth="1"/>
    <col min="16130" max="16130" width="9.7109375" style="125" customWidth="1"/>
    <col min="16131" max="16131" width="3.7109375" style="125" customWidth="1"/>
    <col min="16132" max="16132" width="9.7109375" style="125" customWidth="1"/>
    <col min="16133" max="16134" width="3.7109375" style="125" customWidth="1"/>
    <col min="16135" max="16135" width="9.7109375" style="125" customWidth="1"/>
    <col min="16136" max="16137" width="3.7109375" style="125" customWidth="1"/>
    <col min="16138" max="16138" width="9.7109375" style="125" customWidth="1"/>
    <col min="16139" max="16140" width="3.7109375" style="125" customWidth="1"/>
    <col min="16141" max="16141" width="9.7109375" style="125" customWidth="1"/>
    <col min="16142" max="16143" width="3.7109375" style="125" customWidth="1"/>
    <col min="16144" max="16144" width="9.7109375" style="125" customWidth="1"/>
    <col min="16145" max="16146" width="3.7109375" style="125" customWidth="1"/>
    <col min="16147" max="16147" width="9.7109375" style="125" customWidth="1"/>
    <col min="16148" max="16149" width="3.7109375" style="125" customWidth="1"/>
    <col min="16150" max="16150" width="9.7109375" style="125" customWidth="1"/>
    <col min="16151" max="16152" width="3.7109375" style="125" customWidth="1"/>
    <col min="16153" max="16153" width="9.7109375" style="125" customWidth="1"/>
    <col min="16154" max="16155" width="3.7109375" style="125" customWidth="1"/>
    <col min="16156" max="16156" width="9.7109375" style="125" customWidth="1"/>
    <col min="16157" max="16158" width="3.7109375" style="125" customWidth="1"/>
    <col min="16159" max="16159" width="9.7109375" style="125" customWidth="1"/>
    <col min="16160" max="16161" width="3.7109375" style="125" customWidth="1"/>
    <col min="16162" max="16162" width="9.7109375" style="125" customWidth="1"/>
    <col min="16163" max="16164" width="3.7109375" style="125" customWidth="1"/>
    <col min="16165" max="16165" width="9.7109375" style="125" customWidth="1"/>
    <col min="16166" max="16167" width="3.7109375" style="125" customWidth="1"/>
    <col min="16168" max="16168" width="9.7109375" style="125" customWidth="1"/>
    <col min="16169" max="16170" width="3.7109375" style="125" customWidth="1"/>
    <col min="16171" max="16171" width="9.7109375" style="125" customWidth="1"/>
    <col min="16172" max="16173" width="3.7109375" style="125" customWidth="1"/>
    <col min="16174" max="16174" width="9.7109375" style="125" customWidth="1"/>
    <col min="16175" max="16176" width="3.7109375" style="125" customWidth="1"/>
    <col min="16177" max="16177" width="9.7109375" style="125" customWidth="1"/>
    <col min="16178" max="16179" width="3.7109375" style="125" customWidth="1"/>
    <col min="16180" max="16180" width="9.7109375" style="125" customWidth="1"/>
    <col min="16181" max="16182" width="3.7109375" style="125" customWidth="1"/>
    <col min="16183" max="16183" width="9.7109375" style="125" customWidth="1"/>
    <col min="16184" max="16185" width="3.7109375" style="125" customWidth="1"/>
    <col min="16186" max="16186" width="9.7109375" style="125" customWidth="1"/>
    <col min="16187" max="16188" width="3.7109375" style="125" customWidth="1"/>
    <col min="16189" max="16189" width="9.7109375" style="125" customWidth="1"/>
    <col min="16190" max="16191" width="3.7109375" style="125" customWidth="1"/>
    <col min="16192" max="16192" width="9.7109375" style="125" customWidth="1"/>
    <col min="16193" max="16194" width="3.7109375" style="125" customWidth="1"/>
    <col min="16195" max="16195" width="9.7109375" style="125" customWidth="1"/>
    <col min="16196" max="16197" width="3.7109375" style="125" customWidth="1"/>
    <col min="16198" max="16198" width="9.7109375" style="125" customWidth="1"/>
    <col min="16199" max="16200" width="3.7109375" style="125" customWidth="1"/>
    <col min="16201" max="16201" width="9.7109375" style="125" customWidth="1"/>
    <col min="16202" max="16203" width="3.7109375" style="125" customWidth="1"/>
    <col min="16204" max="16204" width="9.7109375" style="125" customWidth="1"/>
    <col min="16205" max="16206" width="3.7109375" style="125" customWidth="1"/>
    <col min="16207" max="16207" width="9.7109375" style="125" customWidth="1"/>
    <col min="16208" max="16209" width="3.7109375" style="125" customWidth="1"/>
    <col min="16210" max="16210" width="9.7109375" style="125" customWidth="1"/>
    <col min="16211" max="16212" width="3.7109375" style="125" customWidth="1"/>
    <col min="16213" max="16213" width="9.7109375" style="125" customWidth="1"/>
    <col min="16214" max="16215" width="3.7109375" style="125" customWidth="1"/>
    <col min="16216" max="16216" width="9.7109375" style="125" customWidth="1"/>
    <col min="16217" max="16218" width="3.7109375" style="125" customWidth="1"/>
    <col min="16219" max="16219" width="9.7109375" style="125" customWidth="1"/>
    <col min="16220" max="16221" width="3.7109375" style="125" customWidth="1"/>
    <col min="16222" max="16222" width="9.7109375" style="125" customWidth="1"/>
    <col min="16223" max="16224" width="3.7109375" style="125" customWidth="1"/>
    <col min="16225" max="16225" width="9.7109375" style="125" customWidth="1"/>
    <col min="16226" max="16227" width="3.7109375" style="125" customWidth="1"/>
    <col min="16228" max="16228" width="9.7109375" style="125" customWidth="1"/>
    <col min="16229" max="16230" width="3.7109375" style="125" customWidth="1"/>
    <col min="16231" max="16231" width="9.7109375" style="125" customWidth="1"/>
    <col min="16232" max="16233" width="3.7109375" style="125" customWidth="1"/>
    <col min="16234" max="16234" width="9.7109375" style="125" customWidth="1"/>
    <col min="16235" max="16236" width="3.7109375" style="125" customWidth="1"/>
    <col min="16237" max="16237" width="9.7109375" style="125" customWidth="1"/>
    <col min="16238" max="16239" width="3.7109375" style="125" customWidth="1"/>
    <col min="16240" max="16240" width="9.7109375" style="125" customWidth="1"/>
    <col min="16241" max="16242" width="3.7109375" style="125" customWidth="1"/>
    <col min="16243" max="16243" width="9.7109375" style="125" customWidth="1"/>
    <col min="16244" max="16245" width="3.7109375" style="125" customWidth="1"/>
    <col min="16246" max="16246" width="9.7109375" style="125" customWidth="1"/>
    <col min="16247" max="16248" width="3.7109375" style="125" customWidth="1"/>
    <col min="16249" max="16249" width="9.7109375" style="125" customWidth="1"/>
    <col min="16250" max="16251" width="3.7109375" style="125" customWidth="1"/>
    <col min="16252" max="16252" width="9.7109375" style="125" customWidth="1"/>
    <col min="16253" max="16254" width="3.7109375" style="125" customWidth="1"/>
    <col min="16255" max="16255" width="9.7109375" style="125" customWidth="1"/>
    <col min="16256" max="16257" width="3.7109375" style="125" customWidth="1"/>
    <col min="16258" max="16258" width="9.7109375" style="125" customWidth="1"/>
    <col min="16259" max="16260" width="3.7109375" style="125" customWidth="1"/>
    <col min="16261" max="16261" width="9.7109375" style="125" customWidth="1"/>
    <col min="16262" max="16263" width="3.7109375" style="125" customWidth="1"/>
    <col min="16264" max="16264" width="9.7109375" style="125" customWidth="1"/>
    <col min="16265" max="16266" width="3.7109375" style="125" customWidth="1"/>
    <col min="16267" max="16267" width="9.7109375" style="125" customWidth="1"/>
    <col min="16268" max="16269" width="3.7109375" style="125" customWidth="1"/>
    <col min="16270" max="16270" width="9.7109375" style="125" customWidth="1"/>
    <col min="16271" max="16272" width="3.7109375" style="125" customWidth="1"/>
    <col min="16273" max="16273" width="9.7109375" style="125" customWidth="1"/>
    <col min="16274" max="16274" width="3.7109375" style="125" customWidth="1"/>
    <col min="16275" max="16275" width="5.7109375" style="125" bestFit="1" customWidth="1"/>
    <col min="16276" max="16276" width="9.7109375" style="125" customWidth="1"/>
    <col min="16277" max="16278" width="3.7109375" style="125" customWidth="1"/>
    <col min="16279" max="16279" width="9.7109375" style="125" customWidth="1"/>
    <col min="16280" max="16281" width="3.7109375" style="125" customWidth="1"/>
    <col min="16282" max="16282" width="9.7109375" style="125" customWidth="1"/>
    <col min="16283" max="16284" width="3.7109375" style="125" customWidth="1"/>
    <col min="16285" max="16285" width="9.7109375" style="125" customWidth="1"/>
    <col min="16286" max="16287" width="3.7109375" style="125" customWidth="1"/>
    <col min="16288" max="16288" width="9.7109375" style="125" customWidth="1"/>
    <col min="16289" max="16290" width="3.7109375" style="125" customWidth="1"/>
    <col min="16291" max="16291" width="9.7109375" style="125" customWidth="1"/>
    <col min="16292" max="16292" width="3.7109375" style="125" customWidth="1"/>
    <col min="16293" max="16293" width="5.7109375" style="125" bestFit="1" customWidth="1"/>
    <col min="16294" max="16294" width="9.7109375" style="125" customWidth="1"/>
    <col min="16295" max="16296" width="3.7109375" style="125" customWidth="1"/>
    <col min="16297" max="16297" width="9.7109375" style="125" customWidth="1"/>
    <col min="16298" max="16299" width="3.7109375" style="125" customWidth="1"/>
    <col min="16300" max="16300" width="9.7109375" style="125" customWidth="1"/>
    <col min="16301" max="16302" width="3.7109375" style="125" customWidth="1"/>
    <col min="16303" max="16303" width="9.7109375" style="125" customWidth="1"/>
    <col min="16304" max="16305" width="3.7109375" style="125" customWidth="1"/>
    <col min="16306" max="16306" width="9.7109375" style="125" customWidth="1"/>
    <col min="16307" max="16308" width="3.7109375" style="125" customWidth="1"/>
    <col min="16309" max="16309" width="9.7109375" style="125" customWidth="1"/>
    <col min="16310" max="16311" width="3.7109375" style="125" customWidth="1"/>
    <col min="16312" max="16312" width="9.7109375" style="125" customWidth="1"/>
    <col min="16313" max="16314" width="3.7109375" style="125" customWidth="1"/>
    <col min="16315" max="16315" width="9.7109375" style="125" customWidth="1"/>
    <col min="16316" max="16317" width="3.7109375" style="125" customWidth="1"/>
    <col min="16318" max="16318" width="9.7109375" style="125" customWidth="1"/>
    <col min="16319" max="16320" width="3.7109375" style="125" customWidth="1"/>
    <col min="16321" max="16321" width="9.7109375" style="125" customWidth="1"/>
    <col min="16322" max="16323" width="3.7109375" style="125" customWidth="1"/>
    <col min="16324" max="16324" width="9.7109375" style="125" customWidth="1"/>
    <col min="16325" max="16326" width="3.7109375" style="125" customWidth="1"/>
    <col min="16327" max="16327" width="9.7109375" style="125" customWidth="1"/>
    <col min="16328" max="16329" width="3.7109375" style="125" customWidth="1"/>
    <col min="16330" max="16330" width="9.7109375" style="125" customWidth="1"/>
    <col min="16331" max="16332" width="3.7109375" style="125" customWidth="1"/>
    <col min="16333" max="16333" width="9.7109375" style="125" customWidth="1"/>
    <col min="16334" max="16335" width="3.7109375" style="125" customWidth="1"/>
    <col min="16336" max="16336" width="9.7109375" style="125" customWidth="1"/>
    <col min="16337" max="16338" width="3.7109375" style="125" customWidth="1"/>
    <col min="16339" max="16339" width="9.7109375" style="125" customWidth="1"/>
    <col min="16340" max="16341" width="3.7109375" style="125" customWidth="1"/>
    <col min="16342" max="16342" width="9.7109375" style="125" customWidth="1"/>
    <col min="16343" max="16344" width="3.7109375" style="125" customWidth="1"/>
    <col min="16345" max="16345" width="9.7109375" style="125" customWidth="1"/>
    <col min="16346" max="16347" width="3.7109375" style="125" customWidth="1"/>
    <col min="16348" max="16348" width="9.7109375" style="125" customWidth="1"/>
    <col min="16349" max="16350" width="3.7109375" style="125" customWidth="1"/>
    <col min="16351" max="16351" width="9.7109375" style="125" customWidth="1"/>
    <col min="16352" max="16353" width="3.7109375" style="125" customWidth="1"/>
    <col min="16354" max="16354" width="9.7109375" style="125" customWidth="1"/>
    <col min="16355" max="16356" width="3.7109375" style="125" customWidth="1"/>
    <col min="16357" max="16357" width="9.7109375" style="125" customWidth="1"/>
    <col min="16358" max="16359" width="3.7109375" style="125" customWidth="1"/>
    <col min="16360" max="16360" width="9.7109375" style="125" customWidth="1"/>
    <col min="16361" max="16362" width="3.7109375" style="125" customWidth="1"/>
    <col min="16363" max="16363" width="9.7109375" style="125" customWidth="1"/>
    <col min="16364" max="16365" width="3.7109375" style="125" customWidth="1"/>
    <col min="16366" max="16366" width="9.7109375" style="125" customWidth="1"/>
    <col min="16367" max="16368" width="3.7109375" style="125" customWidth="1"/>
    <col min="16369" max="16369" width="9.7109375" style="125" customWidth="1"/>
    <col min="16370" max="16371" width="3.7109375" style="125" customWidth="1"/>
    <col min="16372" max="16372" width="9.7109375" style="125" customWidth="1"/>
    <col min="16373" max="16374" width="3.7109375" style="125" customWidth="1"/>
    <col min="16375" max="16375" width="9.7109375" style="125" customWidth="1"/>
    <col min="16376" max="16377" width="3.7109375" style="125" customWidth="1"/>
    <col min="16378" max="16378" width="9.7109375" style="125" customWidth="1"/>
    <col min="16379" max="16380" width="3.7109375" style="125" customWidth="1"/>
    <col min="16381" max="16381" width="9.7109375" style="125" customWidth="1"/>
    <col min="16382" max="16382" width="3.7109375" style="125" customWidth="1"/>
    <col min="16383" max="16384" width="8" style="125"/>
  </cols>
  <sheetData>
    <row r="1" spans="1:29" ht="12.75" customHeight="1">
      <c r="A1" s="129"/>
      <c r="B1" s="130" t="s">
        <v>60</v>
      </c>
      <c r="C1" s="220" t="s">
        <v>61</v>
      </c>
      <c r="D1" s="221"/>
      <c r="E1" s="221"/>
      <c r="F1" s="220" t="s">
        <v>62</v>
      </c>
      <c r="G1" s="221"/>
      <c r="H1" s="221"/>
      <c r="I1" s="220" t="s">
        <v>63</v>
      </c>
      <c r="J1" s="221"/>
      <c r="K1" s="221"/>
      <c r="L1" s="220" t="s">
        <v>64</v>
      </c>
      <c r="M1" s="221"/>
      <c r="N1" s="221"/>
      <c r="O1" s="220" t="s">
        <v>65</v>
      </c>
      <c r="P1" s="221"/>
      <c r="Q1" s="221"/>
      <c r="R1" s="220" t="s">
        <v>66</v>
      </c>
      <c r="S1" s="221"/>
      <c r="T1" s="221"/>
      <c r="U1" s="220" t="s">
        <v>67</v>
      </c>
      <c r="V1" s="221"/>
      <c r="W1" s="221"/>
      <c r="X1" s="220" t="s">
        <v>68</v>
      </c>
      <c r="Y1" s="221"/>
      <c r="Z1" s="221"/>
      <c r="AA1" s="220" t="s">
        <v>69</v>
      </c>
      <c r="AB1" s="221"/>
      <c r="AC1" s="221"/>
    </row>
    <row r="2" spans="1:29" ht="12.75" customHeight="1">
      <c r="A2" s="131"/>
      <c r="B2" s="132" t="s">
        <v>115</v>
      </c>
      <c r="C2" s="215" t="s">
        <v>27</v>
      </c>
      <c r="D2" s="216"/>
      <c r="E2" s="216"/>
      <c r="F2" s="215" t="s">
        <v>27</v>
      </c>
      <c r="G2" s="216"/>
      <c r="H2" s="216"/>
      <c r="I2" s="215" t="s">
        <v>27</v>
      </c>
      <c r="J2" s="216"/>
      <c r="K2" s="216"/>
      <c r="L2" s="215" t="s">
        <v>27</v>
      </c>
      <c r="M2" s="216"/>
      <c r="N2" s="216"/>
      <c r="O2" s="215" t="s">
        <v>27</v>
      </c>
      <c r="P2" s="216"/>
      <c r="Q2" s="216"/>
      <c r="R2" s="215" t="s">
        <v>27</v>
      </c>
      <c r="S2" s="216"/>
      <c r="T2" s="216"/>
      <c r="U2" s="215" t="s">
        <v>27</v>
      </c>
      <c r="V2" s="216"/>
      <c r="W2" s="216"/>
      <c r="X2" s="215" t="s">
        <v>27</v>
      </c>
      <c r="Y2" s="216"/>
      <c r="Z2" s="216"/>
      <c r="AA2" s="215" t="s">
        <v>27</v>
      </c>
      <c r="AB2" s="216"/>
      <c r="AC2" s="216"/>
    </row>
    <row r="3" spans="1:29" ht="12.75" customHeight="1">
      <c r="A3" s="131"/>
      <c r="B3" s="132" t="s">
        <v>116</v>
      </c>
      <c r="C3" s="217">
        <v>40424</v>
      </c>
      <c r="D3" s="218"/>
      <c r="E3" s="219"/>
      <c r="F3" s="217">
        <v>40483</v>
      </c>
      <c r="G3" s="218"/>
      <c r="H3" s="219"/>
      <c r="I3" s="217">
        <v>40588</v>
      </c>
      <c r="J3" s="218"/>
      <c r="K3" s="219"/>
      <c r="L3" s="217">
        <v>40638</v>
      </c>
      <c r="M3" s="218"/>
      <c r="N3" s="219"/>
      <c r="O3" s="217">
        <v>40865</v>
      </c>
      <c r="P3" s="218"/>
      <c r="Q3" s="219"/>
      <c r="R3" s="217">
        <v>40899</v>
      </c>
      <c r="S3" s="218"/>
      <c r="T3" s="219"/>
      <c r="U3" s="217">
        <v>41080</v>
      </c>
      <c r="V3" s="218"/>
      <c r="W3" s="219"/>
      <c r="X3" s="217">
        <v>41172</v>
      </c>
      <c r="Y3" s="218"/>
      <c r="Z3" s="219"/>
      <c r="AA3" s="217">
        <v>41354</v>
      </c>
      <c r="AB3" s="218"/>
      <c r="AC3" s="219"/>
    </row>
    <row r="4" spans="1:29" ht="12.75" customHeight="1">
      <c r="A4" s="131"/>
      <c r="B4" s="132" t="s">
        <v>13</v>
      </c>
      <c r="C4" s="211" t="s">
        <v>117</v>
      </c>
      <c r="D4" s="211"/>
      <c r="E4" s="211"/>
      <c r="F4" s="211" t="s">
        <v>117</v>
      </c>
      <c r="G4" s="211"/>
      <c r="H4" s="211"/>
      <c r="I4" s="211" t="s">
        <v>117</v>
      </c>
      <c r="J4" s="211"/>
      <c r="K4" s="211"/>
      <c r="L4" s="211" t="s">
        <v>117</v>
      </c>
      <c r="M4" s="211"/>
      <c r="N4" s="211"/>
      <c r="O4" s="211" t="s">
        <v>117</v>
      </c>
      <c r="P4" s="211"/>
      <c r="Q4" s="211"/>
      <c r="R4" s="211" t="s">
        <v>117</v>
      </c>
      <c r="S4" s="211"/>
      <c r="T4" s="211"/>
      <c r="U4" s="211" t="s">
        <v>117</v>
      </c>
      <c r="V4" s="211"/>
      <c r="W4" s="211"/>
      <c r="X4" s="211" t="s">
        <v>117</v>
      </c>
      <c r="Y4" s="211"/>
      <c r="Z4" s="211"/>
      <c r="AA4" s="211" t="s">
        <v>117</v>
      </c>
      <c r="AB4" s="211"/>
      <c r="AC4" s="211"/>
    </row>
    <row r="5" spans="1:29" ht="12.75" customHeight="1">
      <c r="A5" s="131"/>
      <c r="B5" s="132" t="s">
        <v>122</v>
      </c>
      <c r="C5" s="211" t="s">
        <v>123</v>
      </c>
      <c r="D5" s="211"/>
      <c r="E5" s="211"/>
      <c r="F5" s="211" t="s">
        <v>123</v>
      </c>
      <c r="G5" s="211"/>
      <c r="H5" s="211"/>
      <c r="I5" s="211" t="s">
        <v>123</v>
      </c>
      <c r="J5" s="211"/>
      <c r="K5" s="211"/>
      <c r="L5" s="211" t="s">
        <v>123</v>
      </c>
      <c r="M5" s="211"/>
      <c r="N5" s="211"/>
      <c r="O5" s="211" t="s">
        <v>123</v>
      </c>
      <c r="P5" s="211"/>
      <c r="Q5" s="211"/>
      <c r="R5" s="211" t="s">
        <v>123</v>
      </c>
      <c r="S5" s="211"/>
      <c r="T5" s="211"/>
      <c r="U5" s="211" t="s">
        <v>123</v>
      </c>
      <c r="V5" s="211"/>
      <c r="W5" s="211"/>
      <c r="X5" s="211" t="s">
        <v>123</v>
      </c>
      <c r="Y5" s="211"/>
      <c r="Z5" s="211"/>
      <c r="AA5" s="211" t="s">
        <v>123</v>
      </c>
      <c r="AB5" s="211"/>
      <c r="AC5" s="211"/>
    </row>
    <row r="6" spans="1:29" ht="12.75" customHeight="1">
      <c r="A6" s="131"/>
      <c r="B6" s="132" t="s">
        <v>124</v>
      </c>
      <c r="C6" s="211" t="s">
        <v>125</v>
      </c>
      <c r="D6" s="211"/>
      <c r="E6" s="211"/>
      <c r="F6" s="211" t="s">
        <v>125</v>
      </c>
      <c r="G6" s="211"/>
      <c r="H6" s="211"/>
      <c r="I6" s="211" t="s">
        <v>125</v>
      </c>
      <c r="J6" s="211"/>
      <c r="K6" s="211"/>
      <c r="L6" s="211" t="s">
        <v>125</v>
      </c>
      <c r="M6" s="211"/>
      <c r="N6" s="211"/>
      <c r="O6" s="211" t="s">
        <v>125</v>
      </c>
      <c r="P6" s="211"/>
      <c r="Q6" s="211"/>
      <c r="R6" s="211" t="s">
        <v>125</v>
      </c>
      <c r="S6" s="211"/>
      <c r="T6" s="211"/>
      <c r="U6" s="211" t="s">
        <v>125</v>
      </c>
      <c r="V6" s="211"/>
      <c r="W6" s="211"/>
      <c r="X6" s="211" t="s">
        <v>125</v>
      </c>
      <c r="Y6" s="211"/>
      <c r="Z6" s="211"/>
      <c r="AA6" s="211" t="s">
        <v>125</v>
      </c>
      <c r="AB6" s="211"/>
      <c r="AC6" s="211"/>
    </row>
    <row r="7" spans="1:29" ht="12.75" customHeight="1">
      <c r="A7" s="131"/>
      <c r="B7" s="132" t="s">
        <v>126</v>
      </c>
      <c r="C7" s="211" t="s">
        <v>127</v>
      </c>
      <c r="D7" s="211"/>
      <c r="E7" s="211"/>
      <c r="F7" s="211" t="s">
        <v>127</v>
      </c>
      <c r="G7" s="211"/>
      <c r="H7" s="211"/>
      <c r="I7" s="211" t="s">
        <v>127</v>
      </c>
      <c r="J7" s="211"/>
      <c r="K7" s="211"/>
      <c r="L7" s="211" t="s">
        <v>127</v>
      </c>
      <c r="M7" s="211"/>
      <c r="N7" s="211"/>
      <c r="O7" s="211" t="s">
        <v>127</v>
      </c>
      <c r="P7" s="211"/>
      <c r="Q7" s="211"/>
      <c r="R7" s="211" t="s">
        <v>127</v>
      </c>
      <c r="S7" s="211"/>
      <c r="T7" s="211"/>
      <c r="U7" s="211" t="s">
        <v>127</v>
      </c>
      <c r="V7" s="211"/>
      <c r="W7" s="211"/>
      <c r="X7" s="211" t="s">
        <v>127</v>
      </c>
      <c r="Y7" s="211"/>
      <c r="Z7" s="211"/>
      <c r="AA7" s="211" t="s">
        <v>127</v>
      </c>
      <c r="AB7" s="211"/>
      <c r="AC7" s="211"/>
    </row>
    <row r="8" spans="1:29" ht="12.75" customHeight="1">
      <c r="A8" s="131"/>
      <c r="B8" s="132" t="s">
        <v>131</v>
      </c>
      <c r="C8" s="211" t="s">
        <v>132</v>
      </c>
      <c r="D8" s="211"/>
      <c r="E8" s="211"/>
      <c r="F8" s="211" t="s">
        <v>132</v>
      </c>
      <c r="G8" s="211"/>
      <c r="H8" s="211"/>
      <c r="I8" s="211" t="s">
        <v>132</v>
      </c>
      <c r="J8" s="211"/>
      <c r="K8" s="211"/>
      <c r="L8" s="211" t="s">
        <v>132</v>
      </c>
      <c r="M8" s="211"/>
      <c r="N8" s="211"/>
      <c r="O8" s="211" t="s">
        <v>132</v>
      </c>
      <c r="P8" s="211"/>
      <c r="Q8" s="211"/>
      <c r="R8" s="211" t="s">
        <v>132</v>
      </c>
      <c r="S8" s="211"/>
      <c r="T8" s="211"/>
      <c r="U8" s="211" t="s">
        <v>132</v>
      </c>
      <c r="V8" s="211"/>
      <c r="W8" s="211"/>
      <c r="X8" s="211" t="s">
        <v>132</v>
      </c>
      <c r="Y8" s="211"/>
      <c r="Z8" s="211"/>
      <c r="AA8" s="211" t="s">
        <v>132</v>
      </c>
      <c r="AB8" s="211"/>
      <c r="AC8" s="211"/>
    </row>
    <row r="9" spans="1:29" ht="19.5" customHeight="1" thickBot="1">
      <c r="A9" s="133" t="s">
        <v>133</v>
      </c>
      <c r="B9" s="134" t="s">
        <v>134</v>
      </c>
      <c r="C9" s="212"/>
      <c r="D9" s="213"/>
      <c r="E9" s="214"/>
      <c r="F9" s="212"/>
      <c r="G9" s="213"/>
      <c r="H9" s="214"/>
      <c r="I9" s="212"/>
      <c r="J9" s="213"/>
      <c r="K9" s="214"/>
      <c r="L9" s="212"/>
      <c r="M9" s="213"/>
      <c r="N9" s="214"/>
      <c r="O9" s="212"/>
      <c r="P9" s="213"/>
      <c r="Q9" s="214"/>
      <c r="R9" s="212"/>
      <c r="S9" s="213"/>
      <c r="T9" s="214"/>
      <c r="U9" s="212"/>
      <c r="V9" s="213"/>
      <c r="W9" s="214"/>
      <c r="X9" s="212"/>
      <c r="Y9" s="213"/>
      <c r="Z9" s="214"/>
      <c r="AA9" s="212"/>
      <c r="AB9" s="213"/>
      <c r="AC9" s="214"/>
    </row>
    <row r="10" spans="1:29" ht="12.75" customHeight="1">
      <c r="A10" s="135" t="s">
        <v>135</v>
      </c>
      <c r="B10" s="136"/>
      <c r="C10" s="137"/>
      <c r="D10" s="138"/>
      <c r="E10" s="139"/>
      <c r="F10" s="137"/>
      <c r="G10" s="138"/>
      <c r="H10" s="139"/>
      <c r="I10" s="137"/>
      <c r="J10" s="138"/>
      <c r="K10" s="139"/>
      <c r="L10" s="137"/>
      <c r="M10" s="138"/>
      <c r="N10" s="139"/>
      <c r="O10" s="137"/>
      <c r="P10" s="138"/>
      <c r="Q10" s="139"/>
      <c r="R10" s="137"/>
      <c r="S10" s="138"/>
      <c r="T10" s="139"/>
      <c r="U10" s="137"/>
      <c r="V10" s="138"/>
      <c r="W10" s="139"/>
      <c r="X10" s="137"/>
      <c r="Y10" s="138"/>
      <c r="Z10" s="139"/>
      <c r="AA10" s="137"/>
      <c r="AB10" s="138"/>
      <c r="AC10" s="139"/>
    </row>
    <row r="11" spans="1:29" ht="12.75" customHeight="1">
      <c r="A11" s="140" t="s">
        <v>136</v>
      </c>
      <c r="B11" s="141" t="s">
        <v>137</v>
      </c>
      <c r="C11" s="142" t="s">
        <v>138</v>
      </c>
      <c r="D11" s="143">
        <v>5</v>
      </c>
      <c r="E11" s="144"/>
      <c r="F11" s="142" t="s">
        <v>138</v>
      </c>
      <c r="G11" s="145">
        <v>5</v>
      </c>
      <c r="H11" s="144"/>
      <c r="I11" s="142"/>
      <c r="J11" s="145">
        <v>5.9</v>
      </c>
      <c r="K11" s="144"/>
      <c r="L11" s="142" t="s">
        <v>138</v>
      </c>
      <c r="M11" s="145">
        <v>5</v>
      </c>
      <c r="N11" s="144"/>
      <c r="O11" s="142" t="s">
        <v>138</v>
      </c>
      <c r="P11" s="145">
        <v>5</v>
      </c>
      <c r="Q11" s="144"/>
      <c r="R11" s="142" t="s">
        <v>138</v>
      </c>
      <c r="S11" s="145">
        <v>5</v>
      </c>
      <c r="T11" s="144"/>
      <c r="U11" s="142"/>
      <c r="V11" s="145">
        <v>2.1</v>
      </c>
      <c r="W11" s="144"/>
      <c r="X11" s="142"/>
      <c r="Y11" s="145">
        <v>3.1</v>
      </c>
      <c r="Z11" s="144"/>
      <c r="AA11" s="142"/>
      <c r="AB11" s="145">
        <v>3.6</v>
      </c>
      <c r="AC11" s="144"/>
    </row>
    <row r="12" spans="1:29" ht="12.75" customHeight="1">
      <c r="A12" s="149" t="s">
        <v>139</v>
      </c>
      <c r="B12" s="150" t="s">
        <v>140</v>
      </c>
      <c r="C12" s="142" t="s">
        <v>138</v>
      </c>
      <c r="D12" s="143">
        <v>5</v>
      </c>
      <c r="E12" s="144"/>
      <c r="F12" s="142" t="s">
        <v>138</v>
      </c>
      <c r="G12" s="145">
        <v>5</v>
      </c>
      <c r="H12" s="144"/>
      <c r="I12" s="142" t="s">
        <v>138</v>
      </c>
      <c r="J12" s="145">
        <v>5</v>
      </c>
      <c r="K12" s="144"/>
      <c r="L12" s="142" t="s">
        <v>138</v>
      </c>
      <c r="M12" s="145">
        <v>5</v>
      </c>
      <c r="N12" s="144"/>
      <c r="O12" s="142" t="s">
        <v>138</v>
      </c>
      <c r="P12" s="145">
        <v>5</v>
      </c>
      <c r="Q12" s="144"/>
      <c r="R12" s="142" t="s">
        <v>138</v>
      </c>
      <c r="S12" s="145">
        <v>5</v>
      </c>
      <c r="T12" s="144"/>
      <c r="U12" s="142" t="s">
        <v>138</v>
      </c>
      <c r="V12" s="145">
        <v>2</v>
      </c>
      <c r="W12" s="144"/>
      <c r="X12" s="142" t="s">
        <v>138</v>
      </c>
      <c r="Y12" s="145">
        <v>2</v>
      </c>
      <c r="Z12" s="144"/>
      <c r="AA12" s="142" t="s">
        <v>138</v>
      </c>
      <c r="AB12" s="145">
        <v>2</v>
      </c>
      <c r="AC12" s="144"/>
    </row>
    <row r="13" spans="1:29" ht="12.75" customHeight="1">
      <c r="A13" s="149" t="s">
        <v>141</v>
      </c>
      <c r="B13" s="150" t="s">
        <v>142</v>
      </c>
      <c r="C13" s="142"/>
      <c r="D13" s="143">
        <v>8</v>
      </c>
      <c r="E13" s="152"/>
      <c r="F13" s="142"/>
      <c r="G13" s="145">
        <v>8.1</v>
      </c>
      <c r="H13" s="152"/>
      <c r="I13" s="142" t="s">
        <v>138</v>
      </c>
      <c r="J13" s="145">
        <v>5</v>
      </c>
      <c r="K13" s="152"/>
      <c r="L13" s="142"/>
      <c r="M13" s="147">
        <v>56</v>
      </c>
      <c r="N13" s="152"/>
      <c r="O13" s="142" t="s">
        <v>138</v>
      </c>
      <c r="P13" s="145">
        <v>5</v>
      </c>
      <c r="Q13" s="152"/>
      <c r="R13" s="142" t="s">
        <v>138</v>
      </c>
      <c r="S13" s="145">
        <v>5</v>
      </c>
      <c r="T13" s="152"/>
      <c r="U13" s="142" t="s">
        <v>138</v>
      </c>
      <c r="V13" s="145">
        <v>2</v>
      </c>
      <c r="W13" s="152"/>
      <c r="X13" s="142" t="s">
        <v>138</v>
      </c>
      <c r="Y13" s="145">
        <v>2</v>
      </c>
      <c r="Z13" s="152"/>
      <c r="AA13" s="142"/>
      <c r="AB13" s="145">
        <v>2.1</v>
      </c>
      <c r="AC13" s="152"/>
    </row>
    <row r="14" spans="1:29" ht="12.75" customHeight="1">
      <c r="A14" s="149" t="s">
        <v>143</v>
      </c>
      <c r="B14" s="150" t="s">
        <v>144</v>
      </c>
      <c r="C14" s="142" t="s">
        <v>138</v>
      </c>
      <c r="D14" s="148">
        <v>10</v>
      </c>
      <c r="E14" s="152"/>
      <c r="F14" s="142" t="s">
        <v>138</v>
      </c>
      <c r="G14" s="145">
        <v>5</v>
      </c>
      <c r="H14" s="152"/>
      <c r="I14" s="142"/>
      <c r="J14" s="147">
        <v>22</v>
      </c>
      <c r="K14" s="152"/>
      <c r="L14" s="142" t="s">
        <v>138</v>
      </c>
      <c r="M14" s="145">
        <v>5</v>
      </c>
      <c r="N14" s="152"/>
      <c r="O14" s="142" t="s">
        <v>138</v>
      </c>
      <c r="P14" s="145">
        <v>5</v>
      </c>
      <c r="Q14" s="152"/>
      <c r="R14" s="142" t="s">
        <v>138</v>
      </c>
      <c r="S14" s="145">
        <v>5</v>
      </c>
      <c r="T14" s="152"/>
      <c r="U14" s="142" t="s">
        <v>138</v>
      </c>
      <c r="V14" s="145">
        <v>2</v>
      </c>
      <c r="W14" s="152"/>
      <c r="X14" s="142" t="s">
        <v>138</v>
      </c>
      <c r="Y14" s="145">
        <v>2</v>
      </c>
      <c r="Z14" s="152"/>
      <c r="AA14" s="142" t="s">
        <v>138</v>
      </c>
      <c r="AB14" s="145">
        <v>2</v>
      </c>
      <c r="AC14" s="152"/>
    </row>
    <row r="15" spans="1:29" ht="12.75" customHeight="1">
      <c r="A15" s="149" t="s">
        <v>145</v>
      </c>
      <c r="B15" s="150" t="s">
        <v>146</v>
      </c>
      <c r="C15" s="142" t="s">
        <v>138</v>
      </c>
      <c r="D15" s="143">
        <v>5</v>
      </c>
      <c r="E15" s="144"/>
      <c r="F15" s="142" t="s">
        <v>138</v>
      </c>
      <c r="G15" s="145">
        <v>5</v>
      </c>
      <c r="H15" s="144"/>
      <c r="I15" s="142"/>
      <c r="J15" s="145">
        <v>8.3000000000000007</v>
      </c>
      <c r="K15" s="144"/>
      <c r="L15" s="142"/>
      <c r="M15" s="145">
        <v>9.5</v>
      </c>
      <c r="N15" s="144"/>
      <c r="O15" s="142" t="s">
        <v>138</v>
      </c>
      <c r="P15" s="145">
        <v>5</v>
      </c>
      <c r="Q15" s="144"/>
      <c r="R15" s="142"/>
      <c r="S15" s="145">
        <v>5</v>
      </c>
      <c r="T15" s="144"/>
      <c r="U15" s="142" t="s">
        <v>138</v>
      </c>
      <c r="V15" s="145">
        <v>2</v>
      </c>
      <c r="W15" s="144"/>
      <c r="X15" s="142"/>
      <c r="Y15" s="145">
        <v>2.4</v>
      </c>
      <c r="Z15" s="144"/>
      <c r="AA15" s="142"/>
      <c r="AB15" s="145">
        <v>4.4000000000000004</v>
      </c>
      <c r="AC15" s="144"/>
    </row>
    <row r="16" spans="1:29" ht="12.75" customHeight="1">
      <c r="A16" s="149" t="s">
        <v>147</v>
      </c>
      <c r="B16" s="150" t="s">
        <v>148</v>
      </c>
      <c r="C16" s="142" t="s">
        <v>138</v>
      </c>
      <c r="D16" s="148">
        <v>10</v>
      </c>
      <c r="E16" s="144"/>
      <c r="F16" s="142" t="s">
        <v>138</v>
      </c>
      <c r="G16" s="145">
        <v>5</v>
      </c>
      <c r="H16" s="144"/>
      <c r="I16" s="142" t="s">
        <v>138</v>
      </c>
      <c r="J16" s="145">
        <v>5</v>
      </c>
      <c r="K16" s="144"/>
      <c r="L16" s="142" t="s">
        <v>138</v>
      </c>
      <c r="M16" s="145">
        <v>5</v>
      </c>
      <c r="N16" s="144"/>
      <c r="O16" s="142" t="s">
        <v>138</v>
      </c>
      <c r="P16" s="145">
        <v>5</v>
      </c>
      <c r="Q16" s="144"/>
      <c r="R16" s="142" t="s">
        <v>138</v>
      </c>
      <c r="S16" s="145">
        <v>5</v>
      </c>
      <c r="T16" s="144"/>
      <c r="U16" s="142" t="s">
        <v>138</v>
      </c>
      <c r="V16" s="145">
        <v>2</v>
      </c>
      <c r="W16" s="144"/>
      <c r="X16" s="142" t="s">
        <v>138</v>
      </c>
      <c r="Y16" s="145">
        <v>2</v>
      </c>
      <c r="Z16" s="144"/>
      <c r="AA16" s="142" t="s">
        <v>138</v>
      </c>
      <c r="AB16" s="145">
        <v>2</v>
      </c>
      <c r="AC16" s="144"/>
    </row>
    <row r="17" spans="1:166" ht="12.75" customHeight="1">
      <c r="A17" s="149" t="s">
        <v>149</v>
      </c>
      <c r="B17" s="150" t="s">
        <v>150</v>
      </c>
      <c r="C17" s="142" t="s">
        <v>138</v>
      </c>
      <c r="D17" s="143">
        <v>5</v>
      </c>
      <c r="E17" s="144"/>
      <c r="F17" s="142"/>
      <c r="G17" s="147">
        <v>10</v>
      </c>
      <c r="H17" s="144"/>
      <c r="I17" s="142"/>
      <c r="J17" s="147">
        <v>15</v>
      </c>
      <c r="K17" s="144"/>
      <c r="L17" s="142"/>
      <c r="M17" s="145">
        <v>7.6</v>
      </c>
      <c r="N17" s="144"/>
      <c r="O17" s="142"/>
      <c r="P17" s="145">
        <v>5.4</v>
      </c>
      <c r="Q17" s="144"/>
      <c r="R17" s="142"/>
      <c r="S17" s="145">
        <v>5.9</v>
      </c>
      <c r="T17" s="144"/>
      <c r="U17" s="142"/>
      <c r="V17" s="145">
        <v>3.4</v>
      </c>
      <c r="W17" s="144"/>
      <c r="X17" s="142"/>
      <c r="Y17" s="145">
        <v>4.4000000000000004</v>
      </c>
      <c r="Z17" s="144"/>
      <c r="AA17" s="142"/>
      <c r="AB17" s="145">
        <v>6.1</v>
      </c>
      <c r="AC17" s="144"/>
    </row>
    <row r="18" spans="1:166" ht="12.75" customHeight="1">
      <c r="A18" s="155" t="s">
        <v>151</v>
      </c>
      <c r="B18" s="156" t="s">
        <v>152</v>
      </c>
      <c r="C18" s="142"/>
      <c r="D18" s="148">
        <v>26</v>
      </c>
      <c r="E18" s="144"/>
      <c r="F18" s="142"/>
      <c r="G18" s="145">
        <v>9.9</v>
      </c>
      <c r="H18" s="144"/>
      <c r="I18" s="142" t="s">
        <v>138</v>
      </c>
      <c r="J18" s="145">
        <v>5</v>
      </c>
      <c r="K18" s="144"/>
      <c r="L18" s="142"/>
      <c r="M18" s="145">
        <v>7.8</v>
      </c>
      <c r="N18" s="144"/>
      <c r="O18" s="142"/>
      <c r="P18" s="145">
        <v>6.8</v>
      </c>
      <c r="Q18" s="144"/>
      <c r="R18" s="142"/>
      <c r="S18" s="145">
        <v>6</v>
      </c>
      <c r="T18" s="144"/>
      <c r="U18" s="142" t="s">
        <v>138</v>
      </c>
      <c r="V18" s="145">
        <v>2</v>
      </c>
      <c r="W18" s="144"/>
      <c r="X18" s="142" t="s">
        <v>138</v>
      </c>
      <c r="Y18" s="145">
        <v>2</v>
      </c>
      <c r="Z18" s="144"/>
      <c r="AA18" s="142"/>
      <c r="AB18" s="145">
        <v>8.1</v>
      </c>
      <c r="AC18" s="144"/>
    </row>
    <row r="19" spans="1:166" ht="12.75" customHeight="1">
      <c r="A19" s="157" t="s">
        <v>153</v>
      </c>
      <c r="B19" s="158" t="s">
        <v>154</v>
      </c>
      <c r="C19" s="142"/>
      <c r="D19" s="148">
        <v>10</v>
      </c>
      <c r="E19" s="159"/>
      <c r="F19" s="142" t="s">
        <v>138</v>
      </c>
      <c r="G19" s="145">
        <v>5</v>
      </c>
      <c r="H19" s="159"/>
      <c r="I19" s="142" t="s">
        <v>138</v>
      </c>
      <c r="J19" s="145">
        <v>5</v>
      </c>
      <c r="K19" s="159"/>
      <c r="L19" s="142" t="s">
        <v>138</v>
      </c>
      <c r="M19" s="145">
        <v>5</v>
      </c>
      <c r="N19" s="159"/>
      <c r="O19" s="142" t="s">
        <v>138</v>
      </c>
      <c r="P19" s="145">
        <v>5</v>
      </c>
      <c r="Q19" s="159"/>
      <c r="R19" s="142" t="s">
        <v>138</v>
      </c>
      <c r="S19" s="145">
        <v>5</v>
      </c>
      <c r="T19" s="159"/>
      <c r="U19" s="142" t="s">
        <v>138</v>
      </c>
      <c r="V19" s="145">
        <v>2</v>
      </c>
      <c r="W19" s="159"/>
      <c r="X19" s="142" t="s">
        <v>138</v>
      </c>
      <c r="Y19" s="145">
        <v>2</v>
      </c>
      <c r="Z19" s="159"/>
      <c r="AA19" s="142" t="s">
        <v>138</v>
      </c>
      <c r="AB19" s="145">
        <v>2</v>
      </c>
      <c r="AC19" s="159"/>
    </row>
    <row r="20" spans="1:166" ht="12.75" customHeight="1">
      <c r="A20" s="164" t="s">
        <v>155</v>
      </c>
      <c r="B20" s="165"/>
      <c r="C20" s="166"/>
      <c r="D20" s="167"/>
      <c r="E20" s="144"/>
      <c r="F20" s="166"/>
      <c r="G20" s="167"/>
      <c r="H20" s="144"/>
      <c r="I20" s="166"/>
      <c r="J20" s="167"/>
      <c r="K20" s="144"/>
      <c r="L20" s="166"/>
      <c r="M20" s="167"/>
      <c r="N20" s="144"/>
      <c r="O20" s="166"/>
      <c r="P20" s="167"/>
      <c r="Q20" s="144"/>
      <c r="R20" s="166"/>
      <c r="S20" s="167"/>
      <c r="T20" s="144"/>
      <c r="U20" s="166"/>
      <c r="V20" s="167"/>
      <c r="W20" s="144"/>
      <c r="X20" s="166"/>
      <c r="Y20" s="167"/>
      <c r="Z20" s="144"/>
      <c r="AA20" s="166"/>
      <c r="AB20" s="167"/>
      <c r="AC20" s="144"/>
    </row>
    <row r="21" spans="1:166" ht="12.75" customHeight="1">
      <c r="A21" s="149" t="s">
        <v>156</v>
      </c>
      <c r="B21" s="150" t="s">
        <v>157</v>
      </c>
      <c r="C21" s="142"/>
      <c r="D21" s="169" t="s">
        <v>158</v>
      </c>
      <c r="E21" s="170"/>
      <c r="F21" s="142"/>
      <c r="G21" s="169" t="s">
        <v>158</v>
      </c>
      <c r="H21" s="170"/>
      <c r="I21" s="142"/>
      <c r="J21" s="169" t="s">
        <v>158</v>
      </c>
      <c r="K21" s="170"/>
      <c r="L21" s="142"/>
      <c r="M21" s="169" t="s">
        <v>158</v>
      </c>
      <c r="N21" s="170"/>
      <c r="O21" s="142"/>
      <c r="P21" s="169" t="s">
        <v>158</v>
      </c>
      <c r="Q21" s="170"/>
      <c r="R21" s="142"/>
      <c r="S21" s="169" t="s">
        <v>158</v>
      </c>
      <c r="T21" s="170"/>
      <c r="U21" s="142"/>
      <c r="V21" s="169" t="s">
        <v>158</v>
      </c>
      <c r="W21" s="170"/>
      <c r="X21" s="142"/>
      <c r="Y21" s="169" t="s">
        <v>158</v>
      </c>
      <c r="Z21" s="170"/>
      <c r="AA21" s="142"/>
      <c r="AB21" s="169" t="s">
        <v>158</v>
      </c>
      <c r="AC21" s="170"/>
    </row>
    <row r="22" spans="1:166" ht="12.75" customHeight="1">
      <c r="A22" s="149" t="s">
        <v>159</v>
      </c>
      <c r="B22" s="150" t="s">
        <v>160</v>
      </c>
      <c r="C22" s="142"/>
      <c r="D22" s="169" t="s">
        <v>158</v>
      </c>
      <c r="E22" s="170"/>
      <c r="F22" s="142"/>
      <c r="G22" s="169" t="s">
        <v>158</v>
      </c>
      <c r="H22" s="170"/>
      <c r="I22" s="142"/>
      <c r="J22" s="169" t="s">
        <v>158</v>
      </c>
      <c r="K22" s="170"/>
      <c r="L22" s="142"/>
      <c r="M22" s="169" t="s">
        <v>158</v>
      </c>
      <c r="N22" s="170"/>
      <c r="O22" s="142"/>
      <c r="P22" s="169" t="s">
        <v>158</v>
      </c>
      <c r="Q22" s="170"/>
      <c r="R22" s="142"/>
      <c r="S22" s="169" t="s">
        <v>158</v>
      </c>
      <c r="T22" s="170"/>
      <c r="U22" s="142"/>
      <c r="V22" s="169" t="s">
        <v>158</v>
      </c>
      <c r="W22" s="170"/>
      <c r="X22" s="142"/>
      <c r="Y22" s="169" t="s">
        <v>158</v>
      </c>
      <c r="Z22" s="170"/>
      <c r="AA22" s="142"/>
      <c r="AB22" s="169" t="s">
        <v>158</v>
      </c>
      <c r="AC22" s="170"/>
    </row>
    <row r="23" spans="1:166" ht="12.75" customHeight="1">
      <c r="A23" s="149" t="s">
        <v>161</v>
      </c>
      <c r="B23" s="150" t="s">
        <v>160</v>
      </c>
      <c r="C23" s="142"/>
      <c r="D23" s="169" t="s">
        <v>158</v>
      </c>
      <c r="E23" s="170"/>
      <c r="F23" s="142"/>
      <c r="G23" s="169" t="s">
        <v>158</v>
      </c>
      <c r="H23" s="170"/>
      <c r="I23" s="142"/>
      <c r="J23" s="169" t="s">
        <v>158</v>
      </c>
      <c r="K23" s="170"/>
      <c r="L23" s="142"/>
      <c r="M23" s="169" t="s">
        <v>158</v>
      </c>
      <c r="N23" s="170"/>
      <c r="O23" s="142"/>
      <c r="P23" s="169" t="s">
        <v>158</v>
      </c>
      <c r="Q23" s="170"/>
      <c r="R23" s="142"/>
      <c r="S23" s="169" t="s">
        <v>158</v>
      </c>
      <c r="T23" s="170"/>
      <c r="U23" s="142"/>
      <c r="V23" s="169" t="s">
        <v>158</v>
      </c>
      <c r="W23" s="170"/>
      <c r="X23" s="142"/>
      <c r="Y23" s="169" t="s">
        <v>158</v>
      </c>
      <c r="Z23" s="170"/>
      <c r="AA23" s="142"/>
      <c r="AB23" s="169" t="s">
        <v>158</v>
      </c>
      <c r="AC23" s="170"/>
    </row>
    <row r="24" spans="1:166" ht="12.75" customHeight="1">
      <c r="A24" s="149" t="s">
        <v>162</v>
      </c>
      <c r="B24" s="150" t="s">
        <v>160</v>
      </c>
      <c r="C24" s="142"/>
      <c r="D24" s="169" t="s">
        <v>158</v>
      </c>
      <c r="E24" s="170"/>
      <c r="F24" s="142"/>
      <c r="G24" s="169" t="s">
        <v>158</v>
      </c>
      <c r="H24" s="170"/>
      <c r="I24" s="142"/>
      <c r="J24" s="169" t="s">
        <v>158</v>
      </c>
      <c r="K24" s="170"/>
      <c r="L24" s="142"/>
      <c r="M24" s="169" t="s">
        <v>158</v>
      </c>
      <c r="N24" s="170"/>
      <c r="O24" s="142"/>
      <c r="P24" s="169" t="s">
        <v>158</v>
      </c>
      <c r="Q24" s="170"/>
      <c r="R24" s="142"/>
      <c r="S24" s="169" t="s">
        <v>158</v>
      </c>
      <c r="T24" s="170"/>
      <c r="U24" s="142"/>
      <c r="V24" s="169" t="s">
        <v>158</v>
      </c>
      <c r="W24" s="170"/>
      <c r="X24" s="142"/>
      <c r="Y24" s="169" t="s">
        <v>158</v>
      </c>
      <c r="Z24" s="170"/>
      <c r="AA24" s="142"/>
      <c r="AB24" s="169" t="s">
        <v>158</v>
      </c>
      <c r="AC24" s="170"/>
    </row>
    <row r="25" spans="1:166" ht="12.75" customHeight="1">
      <c r="A25" s="149" t="s">
        <v>163</v>
      </c>
      <c r="B25" s="150" t="s">
        <v>160</v>
      </c>
      <c r="C25" s="142"/>
      <c r="D25" s="169" t="s">
        <v>158</v>
      </c>
      <c r="E25" s="170"/>
      <c r="F25" s="142"/>
      <c r="G25" s="169" t="s">
        <v>158</v>
      </c>
      <c r="H25" s="170"/>
      <c r="I25" s="142"/>
      <c r="J25" s="169" t="s">
        <v>158</v>
      </c>
      <c r="K25" s="170"/>
      <c r="L25" s="142"/>
      <c r="M25" s="169" t="s">
        <v>158</v>
      </c>
      <c r="N25" s="170"/>
      <c r="O25" s="142"/>
      <c r="P25" s="169" t="s">
        <v>158</v>
      </c>
      <c r="Q25" s="170"/>
      <c r="R25" s="142"/>
      <c r="S25" s="169" t="s">
        <v>158</v>
      </c>
      <c r="T25" s="170"/>
      <c r="U25" s="142"/>
      <c r="V25" s="169" t="s">
        <v>158</v>
      </c>
      <c r="W25" s="170"/>
      <c r="X25" s="142"/>
      <c r="Y25" s="169" t="s">
        <v>158</v>
      </c>
      <c r="Z25" s="170"/>
      <c r="AA25" s="142"/>
      <c r="AB25" s="169" t="s">
        <v>158</v>
      </c>
      <c r="AC25" s="170"/>
    </row>
    <row r="26" spans="1:166" ht="12.75" customHeight="1">
      <c r="A26" s="149" t="s">
        <v>164</v>
      </c>
      <c r="B26" s="150" t="s">
        <v>160</v>
      </c>
      <c r="C26" s="142"/>
      <c r="D26" s="169" t="s">
        <v>158</v>
      </c>
      <c r="E26" s="170"/>
      <c r="F26" s="142"/>
      <c r="G26" s="169" t="s">
        <v>158</v>
      </c>
      <c r="H26" s="170"/>
      <c r="I26" s="142"/>
      <c r="J26" s="169" t="s">
        <v>158</v>
      </c>
      <c r="K26" s="170"/>
      <c r="L26" s="142"/>
      <c r="M26" s="169" t="s">
        <v>158</v>
      </c>
      <c r="N26" s="170"/>
      <c r="O26" s="142"/>
      <c r="P26" s="169" t="s">
        <v>158</v>
      </c>
      <c r="Q26" s="170"/>
      <c r="R26" s="142"/>
      <c r="S26" s="169" t="s">
        <v>158</v>
      </c>
      <c r="T26" s="170"/>
      <c r="U26" s="142"/>
      <c r="V26" s="169" t="s">
        <v>158</v>
      </c>
      <c r="W26" s="170"/>
      <c r="X26" s="142"/>
      <c r="Y26" s="169" t="s">
        <v>158</v>
      </c>
      <c r="Z26" s="170"/>
      <c r="AA26" s="142"/>
      <c r="AB26" s="169" t="s">
        <v>158</v>
      </c>
      <c r="AC26" s="170"/>
    </row>
    <row r="27" spans="1:166" ht="12.75" customHeight="1">
      <c r="A27" s="149" t="s">
        <v>165</v>
      </c>
      <c r="B27" s="150" t="s">
        <v>160</v>
      </c>
      <c r="C27" s="142"/>
      <c r="D27" s="169" t="s">
        <v>158</v>
      </c>
      <c r="E27" s="170"/>
      <c r="F27" s="142"/>
      <c r="G27" s="169" t="s">
        <v>158</v>
      </c>
      <c r="H27" s="170"/>
      <c r="I27" s="142"/>
      <c r="J27" s="169" t="s">
        <v>158</v>
      </c>
      <c r="K27" s="170"/>
      <c r="L27" s="142"/>
      <c r="M27" s="169" t="s">
        <v>158</v>
      </c>
      <c r="N27" s="170"/>
      <c r="O27" s="142"/>
      <c r="P27" s="169" t="s">
        <v>158</v>
      </c>
      <c r="Q27" s="170"/>
      <c r="R27" s="142"/>
      <c r="S27" s="169" t="s">
        <v>158</v>
      </c>
      <c r="T27" s="170"/>
      <c r="U27" s="142"/>
      <c r="V27" s="169" t="s">
        <v>158</v>
      </c>
      <c r="W27" s="170"/>
      <c r="X27" s="142"/>
      <c r="Y27" s="169" t="s">
        <v>158</v>
      </c>
      <c r="Z27" s="170"/>
      <c r="AA27" s="142"/>
      <c r="AB27" s="169" t="s">
        <v>158</v>
      </c>
      <c r="AC27" s="170"/>
    </row>
    <row r="28" spans="1:166" ht="12.75" customHeight="1">
      <c r="A28" s="149" t="s">
        <v>166</v>
      </c>
      <c r="B28" s="150" t="s">
        <v>160</v>
      </c>
      <c r="C28" s="142"/>
      <c r="D28" s="169" t="s">
        <v>158</v>
      </c>
      <c r="E28" s="170"/>
      <c r="F28" s="142"/>
      <c r="G28" s="169" t="s">
        <v>158</v>
      </c>
      <c r="H28" s="170"/>
      <c r="I28" s="142"/>
      <c r="J28" s="169" t="s">
        <v>158</v>
      </c>
      <c r="K28" s="170"/>
      <c r="L28" s="142"/>
      <c r="M28" s="169" t="s">
        <v>158</v>
      </c>
      <c r="N28" s="170"/>
      <c r="O28" s="142"/>
      <c r="P28" s="169" t="s">
        <v>158</v>
      </c>
      <c r="Q28" s="170"/>
      <c r="R28" s="142"/>
      <c r="S28" s="169" t="s">
        <v>158</v>
      </c>
      <c r="T28" s="170"/>
      <c r="U28" s="142"/>
      <c r="V28" s="169" t="s">
        <v>158</v>
      </c>
      <c r="W28" s="170"/>
      <c r="X28" s="142"/>
      <c r="Y28" s="169" t="s">
        <v>158</v>
      </c>
      <c r="Z28" s="170"/>
      <c r="AA28" s="142"/>
      <c r="AB28" s="169" t="s">
        <v>158</v>
      </c>
      <c r="AC28" s="170"/>
    </row>
    <row r="29" spans="1:166" ht="12.75" customHeight="1">
      <c r="A29" s="172" t="s">
        <v>167</v>
      </c>
      <c r="B29" s="173" t="s">
        <v>168</v>
      </c>
      <c r="C29" s="160"/>
      <c r="D29" s="174" t="s">
        <v>158</v>
      </c>
      <c r="E29" s="175"/>
      <c r="F29" s="160"/>
      <c r="G29" s="174" t="s">
        <v>158</v>
      </c>
      <c r="H29" s="175"/>
      <c r="I29" s="160"/>
      <c r="J29" s="174" t="s">
        <v>158</v>
      </c>
      <c r="K29" s="175"/>
      <c r="L29" s="160"/>
      <c r="M29" s="174" t="s">
        <v>158</v>
      </c>
      <c r="N29" s="175"/>
      <c r="O29" s="160"/>
      <c r="P29" s="174" t="s">
        <v>158</v>
      </c>
      <c r="Q29" s="175"/>
      <c r="R29" s="160"/>
      <c r="S29" s="174" t="s">
        <v>158</v>
      </c>
      <c r="T29" s="175"/>
      <c r="U29" s="160"/>
      <c r="V29" s="174" t="s">
        <v>158</v>
      </c>
      <c r="W29" s="175"/>
      <c r="X29" s="160"/>
      <c r="Y29" s="174" t="s">
        <v>158</v>
      </c>
      <c r="Z29" s="175"/>
      <c r="AA29" s="160"/>
      <c r="AB29" s="174" t="s">
        <v>158</v>
      </c>
      <c r="AC29" s="175"/>
    </row>
    <row r="30" spans="1:166" ht="12.75" customHeight="1">
      <c r="A30" s="177" t="s">
        <v>169</v>
      </c>
      <c r="B30" s="150"/>
      <c r="C30" s="166"/>
      <c r="D30" s="167"/>
      <c r="E30" s="144"/>
      <c r="F30" s="166"/>
      <c r="G30" s="167"/>
      <c r="H30" s="144"/>
      <c r="I30" s="166"/>
      <c r="J30" s="167"/>
      <c r="K30" s="144"/>
      <c r="L30" s="166"/>
      <c r="M30" s="167"/>
      <c r="N30" s="144"/>
      <c r="O30" s="166"/>
      <c r="P30" s="167"/>
      <c r="Q30" s="144"/>
      <c r="R30" s="166"/>
      <c r="S30" s="167"/>
      <c r="T30" s="144"/>
      <c r="U30" s="166"/>
      <c r="V30" s="167"/>
      <c r="W30" s="144"/>
      <c r="X30" s="166"/>
      <c r="Y30" s="167"/>
      <c r="Z30" s="144"/>
      <c r="AA30" s="166"/>
      <c r="AB30" s="167"/>
      <c r="AC30" s="144"/>
      <c r="FI30" s="178">
        <f t="shared" ref="FI30:FI40" si="0">MAX(C30:FE30)</f>
        <v>0</v>
      </c>
      <c r="FJ30" s="178">
        <f t="shared" ref="FJ30:FJ40" si="1">MIN(C30:FE30)</f>
        <v>0</v>
      </c>
    </row>
    <row r="31" spans="1:166" ht="12.75" customHeight="1">
      <c r="A31" s="149" t="s">
        <v>167</v>
      </c>
      <c r="B31" s="150" t="s">
        <v>170</v>
      </c>
      <c r="C31" s="179"/>
      <c r="D31" s="168">
        <v>6.26</v>
      </c>
      <c r="E31" s="144"/>
      <c r="F31" s="179"/>
      <c r="G31" s="180">
        <v>6.4</v>
      </c>
      <c r="H31" s="144"/>
      <c r="I31" s="179"/>
      <c r="J31" s="180">
        <v>5.57</v>
      </c>
      <c r="K31" s="144"/>
      <c r="L31" s="179"/>
      <c r="M31" s="180">
        <v>6.38</v>
      </c>
      <c r="N31" s="144"/>
      <c r="O31" s="179"/>
      <c r="P31" s="180">
        <v>7.15</v>
      </c>
      <c r="Q31" s="144"/>
      <c r="R31" s="179"/>
      <c r="S31" s="180">
        <v>6.62</v>
      </c>
      <c r="T31" s="144"/>
      <c r="U31" s="179"/>
      <c r="V31" s="180">
        <v>6.33</v>
      </c>
      <c r="W31" s="144"/>
      <c r="X31" s="179"/>
      <c r="Y31" s="180">
        <v>6.42</v>
      </c>
      <c r="Z31" s="144"/>
      <c r="AA31" s="179"/>
      <c r="AB31" s="180">
        <v>6.58</v>
      </c>
      <c r="AC31" s="144"/>
      <c r="FI31" s="181">
        <f t="shared" si="0"/>
        <v>7.15</v>
      </c>
      <c r="FJ31" s="181">
        <f t="shared" si="1"/>
        <v>5.57</v>
      </c>
    </row>
    <row r="32" spans="1:166" ht="12.75" customHeight="1">
      <c r="A32" s="149" t="s">
        <v>171</v>
      </c>
      <c r="B32" s="150" t="s">
        <v>172</v>
      </c>
      <c r="C32" s="179"/>
      <c r="D32" s="168">
        <v>20.23</v>
      </c>
      <c r="E32" s="144"/>
      <c r="F32" s="179"/>
      <c r="G32" s="168">
        <v>18.350000000000001</v>
      </c>
      <c r="H32" s="144"/>
      <c r="I32" s="179"/>
      <c r="J32" s="168">
        <v>10.64</v>
      </c>
      <c r="K32" s="144"/>
      <c r="L32" s="179"/>
      <c r="M32" s="168">
        <v>10.130000000000001</v>
      </c>
      <c r="N32" s="144"/>
      <c r="O32" s="179"/>
      <c r="P32" s="168">
        <v>16.62</v>
      </c>
      <c r="Q32" s="144"/>
      <c r="R32" s="179"/>
      <c r="S32" s="168">
        <v>14.52</v>
      </c>
      <c r="T32" s="144"/>
      <c r="U32" s="179"/>
      <c r="V32" s="168">
        <v>18.21</v>
      </c>
      <c r="W32" s="144"/>
      <c r="X32" s="179"/>
      <c r="Y32" s="180">
        <v>22.2</v>
      </c>
      <c r="Z32" s="144"/>
      <c r="AA32" s="179"/>
      <c r="AB32" s="180">
        <v>8.6300000000000008</v>
      </c>
      <c r="AC32" s="144"/>
      <c r="FI32" s="181">
        <f t="shared" si="0"/>
        <v>22.2</v>
      </c>
      <c r="FJ32" s="181">
        <f t="shared" si="1"/>
        <v>8.6300000000000008</v>
      </c>
    </row>
    <row r="33" spans="1:166" ht="12.75" customHeight="1">
      <c r="A33" s="149" t="s">
        <v>173</v>
      </c>
      <c r="B33" s="150" t="s">
        <v>174</v>
      </c>
      <c r="C33" s="179"/>
      <c r="D33" s="182">
        <v>0.34799999999999998</v>
      </c>
      <c r="E33" s="144"/>
      <c r="F33" s="179"/>
      <c r="G33" s="182">
        <v>0.32100000000000001</v>
      </c>
      <c r="H33" s="144"/>
      <c r="I33" s="179"/>
      <c r="J33" s="182">
        <v>0.57199999999999995</v>
      </c>
      <c r="K33" s="144"/>
      <c r="L33" s="179"/>
      <c r="M33" s="182">
        <v>0.85599999999999998</v>
      </c>
      <c r="N33" s="144"/>
      <c r="O33" s="179"/>
      <c r="P33" s="182">
        <v>0.29099999999999998</v>
      </c>
      <c r="Q33" s="144"/>
      <c r="R33" s="179"/>
      <c r="S33" s="182">
        <v>0.38700000000000001</v>
      </c>
      <c r="T33" s="144"/>
      <c r="U33" s="179"/>
      <c r="V33" s="182">
        <v>0.374</v>
      </c>
      <c r="W33" s="144"/>
      <c r="X33" s="179"/>
      <c r="Y33" s="182">
        <v>0.56200000000000006</v>
      </c>
      <c r="Z33" s="144"/>
      <c r="AA33" s="179"/>
      <c r="AB33" s="182">
        <v>0.30399999999999999</v>
      </c>
      <c r="AC33" s="144"/>
      <c r="FI33" s="183">
        <f t="shared" si="0"/>
        <v>0.85599999999999998</v>
      </c>
      <c r="FJ33" s="183">
        <f t="shared" si="1"/>
        <v>0.29099999999999998</v>
      </c>
    </row>
    <row r="34" spans="1:166" ht="12.75" customHeight="1">
      <c r="A34" s="149" t="s">
        <v>175</v>
      </c>
      <c r="B34" s="150" t="s">
        <v>160</v>
      </c>
      <c r="C34" s="179"/>
      <c r="D34" s="168">
        <v>0.22</v>
      </c>
      <c r="E34" s="144"/>
      <c r="F34" s="179"/>
      <c r="G34" s="168">
        <v>0.72</v>
      </c>
      <c r="H34" s="144"/>
      <c r="I34" s="179"/>
      <c r="J34" s="168">
        <v>0.63</v>
      </c>
      <c r="K34" s="144"/>
      <c r="L34" s="179"/>
      <c r="M34" s="168">
        <v>0.55000000000000004</v>
      </c>
      <c r="N34" s="144"/>
      <c r="O34" s="179"/>
      <c r="P34" s="168">
        <v>0.33</v>
      </c>
      <c r="Q34" s="144"/>
      <c r="R34" s="179"/>
      <c r="S34" s="168">
        <v>0.32</v>
      </c>
      <c r="T34" s="144"/>
      <c r="U34" s="179"/>
      <c r="V34" s="168">
        <v>0.23</v>
      </c>
      <c r="W34" s="144"/>
      <c r="X34" s="179"/>
      <c r="Y34" s="168">
        <v>0.55000000000000004</v>
      </c>
      <c r="Z34" s="144"/>
      <c r="AA34" s="179"/>
      <c r="AB34" s="168">
        <v>0.22</v>
      </c>
      <c r="AC34" s="144"/>
      <c r="FI34" s="181">
        <f t="shared" si="0"/>
        <v>0.72</v>
      </c>
      <c r="FJ34" s="181">
        <f t="shared" si="1"/>
        <v>0.22</v>
      </c>
    </row>
    <row r="35" spans="1:166" ht="12.75" customHeight="1">
      <c r="A35" s="149" t="s">
        <v>176</v>
      </c>
      <c r="B35" s="150" t="s">
        <v>177</v>
      </c>
      <c r="C35" s="179"/>
      <c r="D35" s="168">
        <v>12.7</v>
      </c>
      <c r="E35" s="144"/>
      <c r="F35" s="179"/>
      <c r="G35" s="168">
        <v>38.6</v>
      </c>
      <c r="H35" s="144"/>
      <c r="I35" s="179"/>
      <c r="J35" s="168">
        <v>60.9</v>
      </c>
      <c r="K35" s="144"/>
      <c r="L35" s="179"/>
      <c r="M35" s="168">
        <v>62.2</v>
      </c>
      <c r="N35" s="144"/>
      <c r="O35" s="179"/>
      <c r="P35" s="168">
        <v>75.2</v>
      </c>
      <c r="Q35" s="144"/>
      <c r="R35" s="179"/>
      <c r="S35" s="168">
        <v>52.7</v>
      </c>
      <c r="T35" s="144"/>
      <c r="U35" s="179"/>
      <c r="V35" s="168">
        <v>3.91</v>
      </c>
      <c r="W35" s="144"/>
      <c r="X35" s="179"/>
      <c r="Y35" s="184">
        <v>25</v>
      </c>
      <c r="Z35" s="144"/>
      <c r="AA35" s="179"/>
      <c r="AB35" s="184">
        <v>30.7</v>
      </c>
      <c r="AC35" s="144"/>
      <c r="FI35" s="181">
        <f t="shared" si="0"/>
        <v>75.2</v>
      </c>
      <c r="FJ35" s="181">
        <f t="shared" si="1"/>
        <v>3.91</v>
      </c>
    </row>
    <row r="36" spans="1:166" ht="12.75" customHeight="1">
      <c r="A36" s="149" t="s">
        <v>178</v>
      </c>
      <c r="B36" s="150" t="s">
        <v>179</v>
      </c>
      <c r="C36" s="179"/>
      <c r="D36" s="184">
        <v>3.1</v>
      </c>
      <c r="E36" s="144"/>
      <c r="F36" s="179"/>
      <c r="G36" s="184">
        <v>1</v>
      </c>
      <c r="H36" s="144"/>
      <c r="I36" s="179"/>
      <c r="J36" s="184">
        <v>30.5</v>
      </c>
      <c r="K36" s="144"/>
      <c r="L36" s="179"/>
      <c r="M36" s="184">
        <v>-22.7</v>
      </c>
      <c r="N36" s="144"/>
      <c r="O36" s="179"/>
      <c r="P36" s="184">
        <v>-81.8</v>
      </c>
      <c r="Q36" s="144"/>
      <c r="R36" s="179"/>
      <c r="S36" s="184">
        <v>-100.6</v>
      </c>
      <c r="T36" s="144"/>
      <c r="U36" s="179"/>
      <c r="V36" s="184">
        <v>-138.1</v>
      </c>
      <c r="W36" s="144"/>
      <c r="X36" s="179"/>
      <c r="Y36" s="184">
        <v>-13.1</v>
      </c>
      <c r="Z36" s="144"/>
      <c r="AA36" s="179"/>
      <c r="AB36" s="184">
        <v>-3.1</v>
      </c>
      <c r="AC36" s="144"/>
      <c r="FI36" s="181">
        <f t="shared" si="0"/>
        <v>30.5</v>
      </c>
      <c r="FJ36" s="181">
        <f t="shared" si="1"/>
        <v>-138.1</v>
      </c>
    </row>
    <row r="37" spans="1:166" ht="12.75" customHeight="1">
      <c r="A37" s="149" t="s">
        <v>180</v>
      </c>
      <c r="B37" s="150" t="s">
        <v>181</v>
      </c>
      <c r="C37" s="179"/>
      <c r="D37" s="180">
        <v>0.18</v>
      </c>
      <c r="E37" s="144"/>
      <c r="F37" s="179"/>
      <c r="G37" s="180">
        <v>0.18</v>
      </c>
      <c r="H37" s="144"/>
      <c r="I37" s="179"/>
      <c r="J37" s="180">
        <v>0.39</v>
      </c>
      <c r="K37" s="144"/>
      <c r="L37" s="179"/>
      <c r="M37" s="180">
        <v>0.42</v>
      </c>
      <c r="N37" s="144"/>
      <c r="O37" s="179"/>
      <c r="P37" s="180">
        <v>0.17</v>
      </c>
      <c r="Q37" s="144"/>
      <c r="R37" s="179"/>
      <c r="S37" s="180">
        <v>0.23</v>
      </c>
      <c r="T37" s="144"/>
      <c r="U37" s="179"/>
      <c r="V37" s="180">
        <v>0.21</v>
      </c>
      <c r="W37" s="144"/>
      <c r="X37" s="179"/>
      <c r="Y37" s="180">
        <v>0.28000000000000003</v>
      </c>
      <c r="Z37" s="144"/>
      <c r="AA37" s="179"/>
      <c r="AB37" s="180">
        <v>0.21</v>
      </c>
      <c r="AC37" s="144"/>
      <c r="FI37" s="181">
        <f t="shared" si="0"/>
        <v>0.42</v>
      </c>
      <c r="FJ37" s="181">
        <f t="shared" si="1"/>
        <v>0.17</v>
      </c>
    </row>
    <row r="38" spans="1:166" ht="12.75" customHeight="1">
      <c r="A38" s="149" t="s">
        <v>166</v>
      </c>
      <c r="B38" s="150" t="s">
        <v>182</v>
      </c>
      <c r="C38" s="179"/>
      <c r="D38" s="168">
        <v>0.249</v>
      </c>
      <c r="E38" s="144"/>
      <c r="F38" s="179"/>
      <c r="G38" s="168">
        <v>0.23899999999999999</v>
      </c>
      <c r="H38" s="144"/>
      <c r="I38" s="179"/>
      <c r="J38" s="168">
        <v>0.50900000000000001</v>
      </c>
      <c r="K38" s="144"/>
      <c r="L38" s="179"/>
      <c r="M38" s="168">
        <v>0.55600000000000005</v>
      </c>
      <c r="N38" s="144"/>
      <c r="O38" s="179"/>
      <c r="P38" s="168">
        <v>0.22500000000000001</v>
      </c>
      <c r="Q38" s="144"/>
      <c r="R38" s="179"/>
      <c r="S38" s="168">
        <v>0.316</v>
      </c>
      <c r="T38" s="144"/>
      <c r="U38" s="179"/>
      <c r="V38" s="168">
        <v>0.27900000000000003</v>
      </c>
      <c r="W38" s="144"/>
      <c r="X38" s="179"/>
      <c r="Y38" s="168">
        <v>0.38200000000000001</v>
      </c>
      <c r="Z38" s="144"/>
      <c r="AA38" s="179"/>
      <c r="AB38" s="168">
        <v>0.28699999999999998</v>
      </c>
      <c r="AC38" s="144"/>
      <c r="FI38" s="181">
        <f t="shared" si="0"/>
        <v>0.55600000000000005</v>
      </c>
      <c r="FJ38" s="181">
        <f t="shared" si="1"/>
        <v>0.22500000000000001</v>
      </c>
    </row>
    <row r="39" spans="1:166" ht="12.75" customHeight="1">
      <c r="A39" s="149" t="s">
        <v>183</v>
      </c>
      <c r="B39" s="150" t="s">
        <v>9</v>
      </c>
      <c r="C39" s="179"/>
      <c r="D39" s="184">
        <v>9</v>
      </c>
      <c r="E39" s="144"/>
      <c r="F39" s="179"/>
      <c r="G39" s="184">
        <v>9</v>
      </c>
      <c r="H39" s="144"/>
      <c r="I39" s="179"/>
      <c r="J39" s="184">
        <v>9</v>
      </c>
      <c r="K39" s="144"/>
      <c r="L39" s="179"/>
      <c r="M39" s="184">
        <v>9</v>
      </c>
      <c r="N39" s="144"/>
      <c r="O39" s="179"/>
      <c r="P39" s="184">
        <v>9</v>
      </c>
      <c r="Q39" s="144"/>
      <c r="R39" s="179"/>
      <c r="S39" s="184">
        <v>9</v>
      </c>
      <c r="T39" s="144"/>
      <c r="U39" s="179"/>
      <c r="V39" s="184">
        <v>7.5</v>
      </c>
      <c r="W39" s="144"/>
      <c r="X39" s="179"/>
      <c r="Y39" s="184">
        <v>9</v>
      </c>
      <c r="Z39" s="144"/>
      <c r="AA39" s="179"/>
      <c r="AB39" s="184">
        <v>9</v>
      </c>
      <c r="AC39" s="144"/>
      <c r="FI39" s="181">
        <f t="shared" si="0"/>
        <v>9</v>
      </c>
      <c r="FJ39" s="181">
        <f t="shared" si="1"/>
        <v>7.5</v>
      </c>
    </row>
    <row r="40" spans="1:166" ht="16.5" customHeight="1">
      <c r="A40" s="172" t="s">
        <v>184</v>
      </c>
      <c r="B40" s="173" t="s">
        <v>185</v>
      </c>
      <c r="C40" s="185"/>
      <c r="D40" s="186">
        <v>300</v>
      </c>
      <c r="E40" s="159"/>
      <c r="F40" s="185"/>
      <c r="G40" s="186">
        <v>300</v>
      </c>
      <c r="H40" s="159"/>
      <c r="I40" s="185"/>
      <c r="J40" s="186">
        <v>300</v>
      </c>
      <c r="K40" s="159"/>
      <c r="L40" s="185"/>
      <c r="M40" s="186">
        <v>300</v>
      </c>
      <c r="N40" s="159"/>
      <c r="O40" s="185"/>
      <c r="P40" s="186">
        <v>300</v>
      </c>
      <c r="Q40" s="159"/>
      <c r="R40" s="185"/>
      <c r="S40" s="186">
        <v>300</v>
      </c>
      <c r="T40" s="159"/>
      <c r="U40" s="185"/>
      <c r="V40" s="186">
        <v>250</v>
      </c>
      <c r="W40" s="159"/>
      <c r="X40" s="185"/>
      <c r="Y40" s="186">
        <v>300</v>
      </c>
      <c r="Z40" s="159"/>
      <c r="AA40" s="185"/>
      <c r="AB40" s="186">
        <v>300</v>
      </c>
      <c r="AC40" s="159"/>
      <c r="FI40" s="181">
        <f t="shared" si="0"/>
        <v>300</v>
      </c>
      <c r="FJ40" s="181">
        <f t="shared" si="1"/>
        <v>250</v>
      </c>
    </row>
    <row r="41" spans="1:166">
      <c r="A41" s="129"/>
      <c r="B41" s="130" t="s">
        <v>60</v>
      </c>
      <c r="E41" s="220" t="s">
        <v>70</v>
      </c>
      <c r="F41" s="221"/>
      <c r="G41" s="221"/>
      <c r="H41" s="220" t="s">
        <v>71</v>
      </c>
      <c r="I41" s="221"/>
      <c r="J41" s="221"/>
      <c r="K41" s="220" t="s">
        <v>72</v>
      </c>
      <c r="L41" s="221"/>
      <c r="M41" s="221"/>
      <c r="N41" s="220" t="s">
        <v>73</v>
      </c>
      <c r="O41" s="221"/>
      <c r="P41" s="221"/>
      <c r="Q41" s="220" t="s">
        <v>74</v>
      </c>
      <c r="R41" s="221"/>
      <c r="S41" s="221"/>
      <c r="T41" s="220" t="s">
        <v>75</v>
      </c>
      <c r="U41" s="221"/>
      <c r="V41" s="221"/>
      <c r="W41" s="220" t="s">
        <v>76</v>
      </c>
      <c r="X41" s="221"/>
      <c r="Y41" s="221"/>
      <c r="Z41" s="220" t="s">
        <v>77</v>
      </c>
      <c r="AA41" s="221"/>
      <c r="AB41" s="221"/>
      <c r="AC41" s="220" t="s">
        <v>78</v>
      </c>
      <c r="AD41" s="221"/>
      <c r="AE41" s="221"/>
    </row>
    <row r="42" spans="1:166">
      <c r="A42" s="131"/>
      <c r="B42" s="132" t="s">
        <v>115</v>
      </c>
      <c r="E42" s="215" t="s">
        <v>29</v>
      </c>
      <c r="F42" s="216"/>
      <c r="G42" s="216"/>
      <c r="H42" s="215" t="s">
        <v>29</v>
      </c>
      <c r="I42" s="216"/>
      <c r="J42" s="216"/>
      <c r="K42" s="215" t="s">
        <v>29</v>
      </c>
      <c r="L42" s="216"/>
      <c r="M42" s="216"/>
      <c r="N42" s="215" t="s">
        <v>29</v>
      </c>
      <c r="O42" s="216"/>
      <c r="P42" s="216"/>
      <c r="Q42" s="215" t="s">
        <v>29</v>
      </c>
      <c r="R42" s="216"/>
      <c r="S42" s="216"/>
      <c r="T42" s="215" t="s">
        <v>29</v>
      </c>
      <c r="U42" s="216"/>
      <c r="V42" s="216"/>
      <c r="W42" s="215" t="s">
        <v>29</v>
      </c>
      <c r="X42" s="216"/>
      <c r="Y42" s="216"/>
      <c r="Z42" s="215" t="s">
        <v>29</v>
      </c>
      <c r="AA42" s="216"/>
      <c r="AB42" s="216"/>
      <c r="AC42" s="215" t="s">
        <v>29</v>
      </c>
      <c r="AD42" s="216"/>
      <c r="AE42" s="216"/>
    </row>
    <row r="43" spans="1:166">
      <c r="A43" s="131"/>
      <c r="B43" s="132" t="s">
        <v>116</v>
      </c>
      <c r="E43" s="217">
        <v>40424</v>
      </c>
      <c r="F43" s="218"/>
      <c r="G43" s="219"/>
      <c r="H43" s="217">
        <v>40483</v>
      </c>
      <c r="I43" s="218"/>
      <c r="J43" s="219"/>
      <c r="K43" s="217">
        <v>40588</v>
      </c>
      <c r="L43" s="218"/>
      <c r="M43" s="219"/>
      <c r="N43" s="217">
        <v>40638</v>
      </c>
      <c r="O43" s="218"/>
      <c r="P43" s="219"/>
      <c r="Q43" s="217">
        <v>40865</v>
      </c>
      <c r="R43" s="218"/>
      <c r="S43" s="219"/>
      <c r="T43" s="217">
        <v>40900</v>
      </c>
      <c r="U43" s="218"/>
      <c r="V43" s="219"/>
      <c r="W43" s="217">
        <v>41081</v>
      </c>
      <c r="X43" s="218"/>
      <c r="Y43" s="219"/>
      <c r="Z43" s="217">
        <v>41172</v>
      </c>
      <c r="AA43" s="218"/>
      <c r="AB43" s="219"/>
      <c r="AC43" s="217">
        <v>41355</v>
      </c>
      <c r="AD43" s="218"/>
      <c r="AE43" s="219"/>
    </row>
    <row r="44" spans="1:166">
      <c r="A44" s="131"/>
      <c r="B44" s="132" t="s">
        <v>13</v>
      </c>
      <c r="E44" s="211" t="s">
        <v>118</v>
      </c>
      <c r="F44" s="211"/>
      <c r="G44" s="211"/>
      <c r="H44" s="211" t="s">
        <v>118</v>
      </c>
      <c r="I44" s="211"/>
      <c r="J44" s="211"/>
      <c r="K44" s="211" t="s">
        <v>118</v>
      </c>
      <c r="L44" s="211"/>
      <c r="M44" s="211"/>
      <c r="N44" s="211" t="s">
        <v>118</v>
      </c>
      <c r="O44" s="211"/>
      <c r="P44" s="211"/>
      <c r="Q44" s="211" t="s">
        <v>118</v>
      </c>
      <c r="R44" s="211"/>
      <c r="S44" s="211"/>
      <c r="T44" s="211" t="s">
        <v>118</v>
      </c>
      <c r="U44" s="211"/>
      <c r="V44" s="211"/>
      <c r="W44" s="211" t="s">
        <v>118</v>
      </c>
      <c r="X44" s="211"/>
      <c r="Y44" s="211"/>
      <c r="Z44" s="211" t="s">
        <v>118</v>
      </c>
      <c r="AA44" s="211"/>
      <c r="AB44" s="211"/>
      <c r="AC44" s="211" t="s">
        <v>118</v>
      </c>
      <c r="AD44" s="211"/>
      <c r="AE44" s="211"/>
    </row>
    <row r="45" spans="1:166">
      <c r="A45" s="131"/>
      <c r="B45" s="132" t="s">
        <v>122</v>
      </c>
      <c r="E45" s="211" t="s">
        <v>123</v>
      </c>
      <c r="F45" s="211"/>
      <c r="G45" s="211"/>
      <c r="H45" s="211" t="s">
        <v>123</v>
      </c>
      <c r="I45" s="211"/>
      <c r="J45" s="211"/>
      <c r="K45" s="211" t="s">
        <v>123</v>
      </c>
      <c r="L45" s="211"/>
      <c r="M45" s="211"/>
      <c r="N45" s="211" t="s">
        <v>123</v>
      </c>
      <c r="O45" s="211"/>
      <c r="P45" s="211"/>
      <c r="Q45" s="211" t="s">
        <v>123</v>
      </c>
      <c r="R45" s="211"/>
      <c r="S45" s="211"/>
      <c r="T45" s="211" t="s">
        <v>123</v>
      </c>
      <c r="U45" s="211"/>
      <c r="V45" s="211"/>
      <c r="W45" s="211" t="s">
        <v>123</v>
      </c>
      <c r="X45" s="211"/>
      <c r="Y45" s="211"/>
      <c r="Z45" s="211" t="s">
        <v>123</v>
      </c>
      <c r="AA45" s="211"/>
      <c r="AB45" s="211"/>
      <c r="AC45" s="211" t="s">
        <v>123</v>
      </c>
      <c r="AD45" s="211"/>
      <c r="AE45" s="211"/>
    </row>
    <row r="46" spans="1:166">
      <c r="A46" s="131"/>
      <c r="B46" s="132" t="s">
        <v>124</v>
      </c>
      <c r="E46" s="211" t="s">
        <v>125</v>
      </c>
      <c r="F46" s="211"/>
      <c r="G46" s="211"/>
      <c r="H46" s="211" t="s">
        <v>125</v>
      </c>
      <c r="I46" s="211"/>
      <c r="J46" s="211"/>
      <c r="K46" s="211" t="s">
        <v>125</v>
      </c>
      <c r="L46" s="211"/>
      <c r="M46" s="211"/>
      <c r="N46" s="211" t="s">
        <v>125</v>
      </c>
      <c r="O46" s="211"/>
      <c r="P46" s="211"/>
      <c r="Q46" s="211" t="s">
        <v>125</v>
      </c>
      <c r="R46" s="211"/>
      <c r="S46" s="211"/>
      <c r="T46" s="211" t="s">
        <v>125</v>
      </c>
      <c r="U46" s="211"/>
      <c r="V46" s="211"/>
      <c r="W46" s="211" t="s">
        <v>125</v>
      </c>
      <c r="X46" s="211"/>
      <c r="Y46" s="211"/>
      <c r="Z46" s="211" t="s">
        <v>125</v>
      </c>
      <c r="AA46" s="211"/>
      <c r="AB46" s="211"/>
      <c r="AC46" s="211" t="s">
        <v>125</v>
      </c>
      <c r="AD46" s="211"/>
      <c r="AE46" s="211"/>
    </row>
    <row r="47" spans="1:166">
      <c r="A47" s="131"/>
      <c r="B47" s="132" t="s">
        <v>126</v>
      </c>
      <c r="E47" s="211" t="s">
        <v>128</v>
      </c>
      <c r="F47" s="211"/>
      <c r="G47" s="211"/>
      <c r="H47" s="211" t="s">
        <v>128</v>
      </c>
      <c r="I47" s="211"/>
      <c r="J47" s="211"/>
      <c r="K47" s="211" t="s">
        <v>128</v>
      </c>
      <c r="L47" s="211"/>
      <c r="M47" s="211"/>
      <c r="N47" s="211" t="s">
        <v>128</v>
      </c>
      <c r="O47" s="211"/>
      <c r="P47" s="211"/>
      <c r="Q47" s="211" t="s">
        <v>128</v>
      </c>
      <c r="R47" s="211"/>
      <c r="S47" s="211"/>
      <c r="T47" s="211" t="s">
        <v>128</v>
      </c>
      <c r="U47" s="211"/>
      <c r="V47" s="211"/>
      <c r="W47" s="211" t="s">
        <v>128</v>
      </c>
      <c r="X47" s="211"/>
      <c r="Y47" s="211"/>
      <c r="Z47" s="211" t="s">
        <v>128</v>
      </c>
      <c r="AA47" s="211"/>
      <c r="AB47" s="211"/>
      <c r="AC47" s="211" t="s">
        <v>128</v>
      </c>
      <c r="AD47" s="211"/>
      <c r="AE47" s="211"/>
    </row>
    <row r="48" spans="1:166">
      <c r="A48" s="131"/>
      <c r="B48" s="132" t="s">
        <v>131</v>
      </c>
      <c r="E48" s="211" t="s">
        <v>132</v>
      </c>
      <c r="F48" s="211"/>
      <c r="G48" s="211"/>
      <c r="H48" s="211" t="s">
        <v>132</v>
      </c>
      <c r="I48" s="211"/>
      <c r="J48" s="211"/>
      <c r="K48" s="211" t="s">
        <v>132</v>
      </c>
      <c r="L48" s="211"/>
      <c r="M48" s="211"/>
      <c r="N48" s="211" t="s">
        <v>132</v>
      </c>
      <c r="O48" s="211"/>
      <c r="P48" s="211"/>
      <c r="Q48" s="211" t="s">
        <v>132</v>
      </c>
      <c r="R48" s="211"/>
      <c r="S48" s="211"/>
      <c r="T48" s="211" t="s">
        <v>132</v>
      </c>
      <c r="U48" s="211"/>
      <c r="V48" s="211"/>
      <c r="W48" s="211" t="s">
        <v>132</v>
      </c>
      <c r="X48" s="211"/>
      <c r="Y48" s="211"/>
      <c r="Z48" s="211" t="s">
        <v>132</v>
      </c>
      <c r="AA48" s="211"/>
      <c r="AB48" s="211"/>
      <c r="AC48" s="211" t="s">
        <v>132</v>
      </c>
      <c r="AD48" s="211"/>
      <c r="AE48" s="211"/>
    </row>
    <row r="49" spans="1:31" ht="13.5" thickBot="1">
      <c r="A49" s="133" t="s">
        <v>133</v>
      </c>
      <c r="B49" s="134" t="s">
        <v>134</v>
      </c>
      <c r="E49" s="212"/>
      <c r="F49" s="213"/>
      <c r="G49" s="214"/>
      <c r="H49" s="212"/>
      <c r="I49" s="213"/>
      <c r="J49" s="214"/>
      <c r="K49" s="212"/>
      <c r="L49" s="213"/>
      <c r="M49" s="214"/>
      <c r="N49" s="212"/>
      <c r="O49" s="213"/>
      <c r="P49" s="214"/>
      <c r="Q49" s="212"/>
      <c r="R49" s="213"/>
      <c r="S49" s="214"/>
      <c r="T49" s="212"/>
      <c r="U49" s="213"/>
      <c r="V49" s="214"/>
      <c r="W49" s="212"/>
      <c r="X49" s="213"/>
      <c r="Y49" s="214"/>
      <c r="Z49" s="212"/>
      <c r="AA49" s="213"/>
      <c r="AB49" s="214"/>
      <c r="AC49" s="212"/>
      <c r="AD49" s="213"/>
      <c r="AE49" s="214"/>
    </row>
    <row r="50" spans="1:31">
      <c r="A50" s="135" t="s">
        <v>135</v>
      </c>
      <c r="B50" s="136"/>
      <c r="E50" s="137"/>
      <c r="F50" s="138"/>
      <c r="G50" s="139"/>
      <c r="H50" s="137"/>
      <c r="I50" s="138"/>
      <c r="J50" s="139"/>
      <c r="K50" s="137"/>
      <c r="L50" s="138"/>
      <c r="M50" s="139"/>
      <c r="N50" s="137"/>
      <c r="O50" s="138"/>
      <c r="P50" s="139"/>
      <c r="Q50" s="137"/>
      <c r="R50" s="138"/>
      <c r="S50" s="139"/>
      <c r="T50" s="137"/>
      <c r="U50" s="138"/>
      <c r="V50" s="139"/>
      <c r="W50" s="137"/>
      <c r="X50" s="138"/>
      <c r="Y50" s="139"/>
      <c r="Z50" s="137"/>
      <c r="AA50" s="138"/>
      <c r="AB50" s="139"/>
      <c r="AC50" s="137"/>
      <c r="AD50" s="138"/>
      <c r="AE50" s="139"/>
    </row>
    <row r="51" spans="1:31">
      <c r="A51" s="140" t="s">
        <v>136</v>
      </c>
      <c r="B51" s="141" t="s">
        <v>137</v>
      </c>
      <c r="E51" s="142"/>
      <c r="F51" s="143">
        <v>5</v>
      </c>
      <c r="G51" s="144"/>
      <c r="H51" s="142"/>
      <c r="I51" s="145">
        <v>6.4</v>
      </c>
      <c r="J51" s="144"/>
      <c r="K51" s="142" t="s">
        <v>138</v>
      </c>
      <c r="L51" s="145">
        <v>5</v>
      </c>
      <c r="M51" s="144"/>
      <c r="N51" s="142"/>
      <c r="O51" s="145">
        <v>5.8</v>
      </c>
      <c r="P51" s="144"/>
      <c r="Q51" s="142" t="s">
        <v>138</v>
      </c>
      <c r="R51" s="145">
        <v>5</v>
      </c>
      <c r="S51" s="144"/>
      <c r="T51" s="142" t="s">
        <v>138</v>
      </c>
      <c r="U51" s="145">
        <v>5</v>
      </c>
      <c r="V51" s="144"/>
      <c r="W51" s="142" t="s">
        <v>138</v>
      </c>
      <c r="X51" s="145">
        <v>2</v>
      </c>
      <c r="Y51" s="144"/>
      <c r="Z51" s="142" t="s">
        <v>138</v>
      </c>
      <c r="AA51" s="145">
        <v>2</v>
      </c>
      <c r="AB51" s="144"/>
      <c r="AC51" s="142" t="s">
        <v>138</v>
      </c>
      <c r="AD51" s="145">
        <v>2</v>
      </c>
      <c r="AE51" s="144"/>
    </row>
    <row r="52" spans="1:31">
      <c r="A52" s="149" t="s">
        <v>139</v>
      </c>
      <c r="B52" s="150" t="s">
        <v>140</v>
      </c>
      <c r="E52" s="142" t="s">
        <v>138</v>
      </c>
      <c r="F52" s="143">
        <v>5</v>
      </c>
      <c r="G52" s="144"/>
      <c r="H52" s="142" t="s">
        <v>138</v>
      </c>
      <c r="I52" s="145">
        <v>5</v>
      </c>
      <c r="J52" s="144"/>
      <c r="K52" s="142" t="s">
        <v>138</v>
      </c>
      <c r="L52" s="145">
        <v>5</v>
      </c>
      <c r="M52" s="144"/>
      <c r="N52" s="142" t="s">
        <v>138</v>
      </c>
      <c r="O52" s="145">
        <v>5</v>
      </c>
      <c r="P52" s="144"/>
      <c r="Q52" s="142" t="s">
        <v>138</v>
      </c>
      <c r="R52" s="145">
        <v>5</v>
      </c>
      <c r="S52" s="144"/>
      <c r="T52" s="142" t="s">
        <v>138</v>
      </c>
      <c r="U52" s="145">
        <v>5</v>
      </c>
      <c r="V52" s="144"/>
      <c r="W52" s="142" t="s">
        <v>138</v>
      </c>
      <c r="X52" s="145">
        <v>2</v>
      </c>
      <c r="Y52" s="144"/>
      <c r="Z52" s="142" t="s">
        <v>138</v>
      </c>
      <c r="AA52" s="145">
        <v>2</v>
      </c>
      <c r="AB52" s="144"/>
      <c r="AC52" s="142" t="s">
        <v>138</v>
      </c>
      <c r="AD52" s="145">
        <v>2</v>
      </c>
      <c r="AE52" s="144"/>
    </row>
    <row r="53" spans="1:31">
      <c r="A53" s="149" t="s">
        <v>141</v>
      </c>
      <c r="B53" s="150" t="s">
        <v>142</v>
      </c>
      <c r="E53" s="142" t="s">
        <v>138</v>
      </c>
      <c r="F53" s="143">
        <v>5</v>
      </c>
      <c r="G53" s="152"/>
      <c r="H53" s="142" t="s">
        <v>138</v>
      </c>
      <c r="I53" s="145">
        <v>5</v>
      </c>
      <c r="J53" s="152"/>
      <c r="K53" s="142" t="s">
        <v>138</v>
      </c>
      <c r="L53" s="145">
        <v>5</v>
      </c>
      <c r="M53" s="152"/>
      <c r="N53" s="142" t="s">
        <v>138</v>
      </c>
      <c r="O53" s="145">
        <v>5</v>
      </c>
      <c r="P53" s="152"/>
      <c r="Q53" s="142" t="s">
        <v>138</v>
      </c>
      <c r="R53" s="145">
        <v>5</v>
      </c>
      <c r="S53" s="152"/>
      <c r="T53" s="142" t="s">
        <v>138</v>
      </c>
      <c r="U53" s="145">
        <v>5</v>
      </c>
      <c r="V53" s="152"/>
      <c r="W53" s="142" t="s">
        <v>138</v>
      </c>
      <c r="X53" s="145">
        <v>2</v>
      </c>
      <c r="Y53" s="152"/>
      <c r="Z53" s="142" t="s">
        <v>138</v>
      </c>
      <c r="AA53" s="145">
        <v>2</v>
      </c>
      <c r="AB53" s="152"/>
      <c r="AC53" s="142" t="s">
        <v>138</v>
      </c>
      <c r="AD53" s="145">
        <v>2</v>
      </c>
      <c r="AE53" s="152"/>
    </row>
    <row r="54" spans="1:31">
      <c r="A54" s="149" t="s">
        <v>143</v>
      </c>
      <c r="B54" s="150" t="s">
        <v>144</v>
      </c>
      <c r="E54" s="142" t="s">
        <v>138</v>
      </c>
      <c r="F54" s="148">
        <v>10</v>
      </c>
      <c r="G54" s="152"/>
      <c r="H54" s="142" t="s">
        <v>138</v>
      </c>
      <c r="I54" s="145">
        <v>5</v>
      </c>
      <c r="J54" s="152"/>
      <c r="K54" s="142" t="s">
        <v>138</v>
      </c>
      <c r="L54" s="145">
        <v>5</v>
      </c>
      <c r="M54" s="152"/>
      <c r="N54" s="142" t="s">
        <v>138</v>
      </c>
      <c r="O54" s="145">
        <v>5</v>
      </c>
      <c r="P54" s="152"/>
      <c r="Q54" s="142" t="s">
        <v>138</v>
      </c>
      <c r="R54" s="145">
        <v>5</v>
      </c>
      <c r="S54" s="152"/>
      <c r="T54" s="142" t="s">
        <v>138</v>
      </c>
      <c r="U54" s="145">
        <v>5</v>
      </c>
      <c r="V54" s="152"/>
      <c r="W54" s="142" t="s">
        <v>138</v>
      </c>
      <c r="X54" s="145">
        <v>2</v>
      </c>
      <c r="Y54" s="152"/>
      <c r="Z54" s="142" t="s">
        <v>138</v>
      </c>
      <c r="AA54" s="145">
        <v>2</v>
      </c>
      <c r="AB54" s="152"/>
      <c r="AC54" s="142" t="s">
        <v>138</v>
      </c>
      <c r="AD54" s="145">
        <v>2</v>
      </c>
      <c r="AE54" s="152"/>
    </row>
    <row r="55" spans="1:31">
      <c r="A55" s="149" t="s">
        <v>145</v>
      </c>
      <c r="B55" s="150" t="s">
        <v>146</v>
      </c>
      <c r="E55" s="142"/>
      <c r="F55" s="143">
        <v>9</v>
      </c>
      <c r="G55" s="144"/>
      <c r="H55" s="142"/>
      <c r="I55" s="147">
        <v>12</v>
      </c>
      <c r="J55" s="144"/>
      <c r="K55" s="142" t="s">
        <v>138</v>
      </c>
      <c r="L55" s="145">
        <v>5</v>
      </c>
      <c r="M55" s="144"/>
      <c r="N55" s="142" t="s">
        <v>138</v>
      </c>
      <c r="O55" s="145">
        <v>5</v>
      </c>
      <c r="P55" s="144"/>
      <c r="Q55" s="142" t="s">
        <v>138</v>
      </c>
      <c r="R55" s="145">
        <v>5</v>
      </c>
      <c r="S55" s="144"/>
      <c r="T55" s="142" t="s">
        <v>138</v>
      </c>
      <c r="U55" s="145">
        <v>5</v>
      </c>
      <c r="V55" s="144"/>
      <c r="W55" s="142" t="s">
        <v>138</v>
      </c>
      <c r="X55" s="145">
        <v>2</v>
      </c>
      <c r="Y55" s="144"/>
      <c r="Z55" s="142" t="s">
        <v>138</v>
      </c>
      <c r="AA55" s="145">
        <v>2</v>
      </c>
      <c r="AB55" s="144"/>
      <c r="AC55" s="142" t="s">
        <v>138</v>
      </c>
      <c r="AD55" s="145">
        <v>2</v>
      </c>
      <c r="AE55" s="144"/>
    </row>
    <row r="56" spans="1:31">
      <c r="A56" s="149" t="s">
        <v>147</v>
      </c>
      <c r="B56" s="150" t="s">
        <v>148</v>
      </c>
      <c r="E56" s="142" t="s">
        <v>138</v>
      </c>
      <c r="F56" s="148">
        <v>10</v>
      </c>
      <c r="G56" s="144"/>
      <c r="H56" s="142" t="s">
        <v>138</v>
      </c>
      <c r="I56" s="145">
        <v>5</v>
      </c>
      <c r="J56" s="144"/>
      <c r="K56" s="142" t="s">
        <v>138</v>
      </c>
      <c r="L56" s="145">
        <v>5</v>
      </c>
      <c r="M56" s="144"/>
      <c r="N56" s="142" t="s">
        <v>138</v>
      </c>
      <c r="O56" s="145">
        <v>5</v>
      </c>
      <c r="P56" s="144"/>
      <c r="Q56" s="142" t="s">
        <v>138</v>
      </c>
      <c r="R56" s="145">
        <v>5</v>
      </c>
      <c r="S56" s="144"/>
      <c r="T56" s="142" t="s">
        <v>138</v>
      </c>
      <c r="U56" s="145">
        <v>5</v>
      </c>
      <c r="V56" s="144"/>
      <c r="W56" s="142" t="s">
        <v>138</v>
      </c>
      <c r="X56" s="145">
        <v>2</v>
      </c>
      <c r="Y56" s="144"/>
      <c r="Z56" s="142" t="s">
        <v>138</v>
      </c>
      <c r="AA56" s="145">
        <v>2</v>
      </c>
      <c r="AB56" s="144"/>
      <c r="AC56" s="142" t="s">
        <v>138</v>
      </c>
      <c r="AD56" s="145">
        <v>2</v>
      </c>
      <c r="AE56" s="144"/>
    </row>
    <row r="57" spans="1:31">
      <c r="A57" s="149" t="s">
        <v>149</v>
      </c>
      <c r="B57" s="150" t="s">
        <v>150</v>
      </c>
      <c r="E57" s="142"/>
      <c r="F57" s="148">
        <v>270</v>
      </c>
      <c r="G57" s="144"/>
      <c r="H57" s="142"/>
      <c r="I57" s="147">
        <v>190</v>
      </c>
      <c r="J57" s="144"/>
      <c r="K57" s="142"/>
      <c r="L57" s="147">
        <v>190</v>
      </c>
      <c r="M57" s="144"/>
      <c r="N57" s="142"/>
      <c r="O57" s="147">
        <v>170</v>
      </c>
      <c r="P57" s="144"/>
      <c r="Q57" s="142"/>
      <c r="R57" s="147">
        <v>160</v>
      </c>
      <c r="S57" s="144"/>
      <c r="T57" s="142"/>
      <c r="U57" s="147">
        <v>140</v>
      </c>
      <c r="V57" s="144"/>
      <c r="W57" s="142"/>
      <c r="X57" s="147">
        <v>160</v>
      </c>
      <c r="Y57" s="144"/>
      <c r="Z57" s="142"/>
      <c r="AA57" s="147">
        <v>170</v>
      </c>
      <c r="AB57" s="144"/>
      <c r="AC57" s="142"/>
      <c r="AD57" s="147">
        <v>89</v>
      </c>
      <c r="AE57" s="144"/>
    </row>
    <row r="58" spans="1:31">
      <c r="A58" s="155" t="s">
        <v>151</v>
      </c>
      <c r="B58" s="156" t="s">
        <v>152</v>
      </c>
      <c r="E58" s="142" t="s">
        <v>138</v>
      </c>
      <c r="F58" s="143">
        <v>5</v>
      </c>
      <c r="G58" s="144"/>
      <c r="H58" s="142" t="s">
        <v>138</v>
      </c>
      <c r="I58" s="145">
        <v>5</v>
      </c>
      <c r="J58" s="144"/>
      <c r="K58" s="142" t="s">
        <v>138</v>
      </c>
      <c r="L58" s="145">
        <v>5</v>
      </c>
      <c r="M58" s="144"/>
      <c r="N58" s="142" t="s">
        <v>138</v>
      </c>
      <c r="O58" s="145">
        <v>5</v>
      </c>
      <c r="P58" s="144"/>
      <c r="Q58" s="142" t="s">
        <v>138</v>
      </c>
      <c r="R58" s="145">
        <v>5</v>
      </c>
      <c r="S58" s="144"/>
      <c r="T58" s="142" t="s">
        <v>138</v>
      </c>
      <c r="U58" s="145">
        <v>5</v>
      </c>
      <c r="V58" s="144"/>
      <c r="W58" s="142" t="s">
        <v>138</v>
      </c>
      <c r="X58" s="145">
        <v>2</v>
      </c>
      <c r="Y58" s="144"/>
      <c r="Z58" s="142" t="s">
        <v>138</v>
      </c>
      <c r="AA58" s="145">
        <v>2</v>
      </c>
      <c r="AB58" s="144"/>
      <c r="AC58" s="142" t="s">
        <v>138</v>
      </c>
      <c r="AD58" s="145">
        <v>2</v>
      </c>
      <c r="AE58" s="144"/>
    </row>
    <row r="59" spans="1:31">
      <c r="A59" s="157" t="s">
        <v>153</v>
      </c>
      <c r="B59" s="158" t="s">
        <v>154</v>
      </c>
      <c r="E59" s="160" t="s">
        <v>138</v>
      </c>
      <c r="F59" s="161">
        <v>5</v>
      </c>
      <c r="G59" s="159"/>
      <c r="H59" s="160" t="s">
        <v>138</v>
      </c>
      <c r="I59" s="162">
        <v>5</v>
      </c>
      <c r="J59" s="159"/>
      <c r="K59" s="160" t="s">
        <v>138</v>
      </c>
      <c r="L59" s="162">
        <v>5</v>
      </c>
      <c r="M59" s="159"/>
      <c r="N59" s="160" t="s">
        <v>138</v>
      </c>
      <c r="O59" s="162">
        <v>5</v>
      </c>
      <c r="P59" s="159"/>
      <c r="Q59" s="160" t="s">
        <v>138</v>
      </c>
      <c r="R59" s="162">
        <v>5</v>
      </c>
      <c r="S59" s="159"/>
      <c r="T59" s="160" t="s">
        <v>138</v>
      </c>
      <c r="U59" s="162">
        <v>5</v>
      </c>
      <c r="V59" s="159"/>
      <c r="W59" s="160" t="s">
        <v>138</v>
      </c>
      <c r="X59" s="162">
        <v>2</v>
      </c>
      <c r="Y59" s="159"/>
      <c r="Z59" s="160" t="s">
        <v>138</v>
      </c>
      <c r="AA59" s="162">
        <v>2</v>
      </c>
      <c r="AB59" s="159"/>
      <c r="AC59" s="160" t="s">
        <v>138</v>
      </c>
      <c r="AD59" s="162">
        <v>2</v>
      </c>
      <c r="AE59" s="159"/>
    </row>
    <row r="60" spans="1:31">
      <c r="A60" s="164" t="s">
        <v>155</v>
      </c>
      <c r="B60" s="165"/>
      <c r="E60" s="142"/>
      <c r="F60" s="168"/>
      <c r="G60" s="144"/>
      <c r="H60" s="142"/>
      <c r="I60" s="168"/>
      <c r="J60" s="144"/>
      <c r="K60" s="142"/>
      <c r="L60" s="168"/>
      <c r="M60" s="144"/>
      <c r="N60" s="142"/>
      <c r="O60" s="168"/>
      <c r="P60" s="144"/>
      <c r="Q60" s="142"/>
      <c r="R60" s="168"/>
      <c r="S60" s="144"/>
      <c r="T60" s="142"/>
      <c r="U60" s="168"/>
      <c r="V60" s="144"/>
      <c r="W60" s="142"/>
      <c r="X60" s="168"/>
      <c r="Y60" s="144"/>
      <c r="Z60" s="142"/>
      <c r="AA60" s="168"/>
      <c r="AB60" s="144"/>
      <c r="AC60" s="142"/>
      <c r="AD60" s="168"/>
      <c r="AE60" s="144"/>
    </row>
    <row r="61" spans="1:31">
      <c r="A61" s="149" t="s">
        <v>156</v>
      </c>
      <c r="B61" s="150" t="s">
        <v>157</v>
      </c>
      <c r="E61" s="171"/>
      <c r="F61" s="169" t="s">
        <v>158</v>
      </c>
      <c r="G61" s="170"/>
      <c r="H61" s="171"/>
      <c r="I61" s="169" t="s">
        <v>158</v>
      </c>
      <c r="J61" s="170"/>
      <c r="K61" s="171"/>
      <c r="L61" s="169" t="s">
        <v>158</v>
      </c>
      <c r="M61" s="170"/>
      <c r="N61" s="171"/>
      <c r="O61" s="169" t="s">
        <v>158</v>
      </c>
      <c r="P61" s="170"/>
      <c r="Q61" s="171"/>
      <c r="R61" s="169" t="s">
        <v>158</v>
      </c>
      <c r="S61" s="170"/>
      <c r="T61" s="171"/>
      <c r="U61" s="169" t="s">
        <v>158</v>
      </c>
      <c r="V61" s="170"/>
      <c r="W61" s="171"/>
      <c r="X61" s="169" t="s">
        <v>158</v>
      </c>
      <c r="Y61" s="170"/>
      <c r="Z61" s="171"/>
      <c r="AA61" s="169" t="s">
        <v>158</v>
      </c>
      <c r="AB61" s="170"/>
      <c r="AC61" s="171"/>
      <c r="AD61" s="169" t="s">
        <v>158</v>
      </c>
      <c r="AE61" s="170"/>
    </row>
    <row r="62" spans="1:31">
      <c r="A62" s="149" t="s">
        <v>159</v>
      </c>
      <c r="B62" s="150" t="s">
        <v>160</v>
      </c>
      <c r="E62" s="171"/>
      <c r="F62" s="169" t="s">
        <v>158</v>
      </c>
      <c r="G62" s="170"/>
      <c r="H62" s="171"/>
      <c r="I62" s="169" t="s">
        <v>158</v>
      </c>
      <c r="J62" s="170"/>
      <c r="K62" s="171"/>
      <c r="L62" s="169" t="s">
        <v>158</v>
      </c>
      <c r="M62" s="170"/>
      <c r="N62" s="171"/>
      <c r="O62" s="169" t="s">
        <v>158</v>
      </c>
      <c r="P62" s="170"/>
      <c r="Q62" s="171"/>
      <c r="R62" s="169" t="s">
        <v>158</v>
      </c>
      <c r="S62" s="170"/>
      <c r="T62" s="171"/>
      <c r="U62" s="169" t="s">
        <v>158</v>
      </c>
      <c r="V62" s="170"/>
      <c r="W62" s="171"/>
      <c r="X62" s="169" t="s">
        <v>158</v>
      </c>
      <c r="Y62" s="170"/>
      <c r="Z62" s="171"/>
      <c r="AA62" s="169" t="s">
        <v>158</v>
      </c>
      <c r="AB62" s="170"/>
      <c r="AC62" s="171"/>
      <c r="AD62" s="169" t="s">
        <v>158</v>
      </c>
      <c r="AE62" s="170"/>
    </row>
    <row r="63" spans="1:31">
      <c r="A63" s="149" t="s">
        <v>161</v>
      </c>
      <c r="B63" s="150" t="s">
        <v>160</v>
      </c>
      <c r="E63" s="171"/>
      <c r="F63" s="169" t="s">
        <v>158</v>
      </c>
      <c r="G63" s="170"/>
      <c r="H63" s="171"/>
      <c r="I63" s="169" t="s">
        <v>158</v>
      </c>
      <c r="J63" s="170"/>
      <c r="K63" s="171"/>
      <c r="L63" s="169" t="s">
        <v>158</v>
      </c>
      <c r="M63" s="170"/>
      <c r="N63" s="171"/>
      <c r="O63" s="169" t="s">
        <v>158</v>
      </c>
      <c r="P63" s="170"/>
      <c r="Q63" s="171"/>
      <c r="R63" s="169" t="s">
        <v>158</v>
      </c>
      <c r="S63" s="170"/>
      <c r="T63" s="171"/>
      <c r="U63" s="169" t="s">
        <v>158</v>
      </c>
      <c r="V63" s="170"/>
      <c r="W63" s="171"/>
      <c r="X63" s="169" t="s">
        <v>158</v>
      </c>
      <c r="Y63" s="170"/>
      <c r="Z63" s="171"/>
      <c r="AA63" s="169" t="s">
        <v>158</v>
      </c>
      <c r="AB63" s="170"/>
      <c r="AC63" s="171"/>
      <c r="AD63" s="169" t="s">
        <v>158</v>
      </c>
      <c r="AE63" s="170"/>
    </row>
    <row r="64" spans="1:31">
      <c r="A64" s="149" t="s">
        <v>162</v>
      </c>
      <c r="B64" s="150" t="s">
        <v>160</v>
      </c>
      <c r="E64" s="171"/>
      <c r="F64" s="169" t="s">
        <v>158</v>
      </c>
      <c r="G64" s="170"/>
      <c r="H64" s="171"/>
      <c r="I64" s="169" t="s">
        <v>158</v>
      </c>
      <c r="J64" s="170"/>
      <c r="K64" s="171"/>
      <c r="L64" s="169" t="s">
        <v>158</v>
      </c>
      <c r="M64" s="170"/>
      <c r="N64" s="171"/>
      <c r="O64" s="169" t="s">
        <v>158</v>
      </c>
      <c r="P64" s="170"/>
      <c r="Q64" s="171"/>
      <c r="R64" s="169" t="s">
        <v>158</v>
      </c>
      <c r="S64" s="170"/>
      <c r="T64" s="171"/>
      <c r="U64" s="169" t="s">
        <v>158</v>
      </c>
      <c r="V64" s="170"/>
      <c r="W64" s="171"/>
      <c r="X64" s="169" t="s">
        <v>158</v>
      </c>
      <c r="Y64" s="170"/>
      <c r="Z64" s="171"/>
      <c r="AA64" s="169" t="s">
        <v>158</v>
      </c>
      <c r="AB64" s="170"/>
      <c r="AC64" s="171"/>
      <c r="AD64" s="169" t="s">
        <v>158</v>
      </c>
      <c r="AE64" s="170"/>
    </row>
    <row r="65" spans="1:31">
      <c r="A65" s="149" t="s">
        <v>163</v>
      </c>
      <c r="B65" s="150" t="s">
        <v>160</v>
      </c>
      <c r="E65" s="171"/>
      <c r="F65" s="169" t="s">
        <v>158</v>
      </c>
      <c r="G65" s="170"/>
      <c r="H65" s="171"/>
      <c r="I65" s="169" t="s">
        <v>158</v>
      </c>
      <c r="J65" s="170"/>
      <c r="K65" s="171"/>
      <c r="L65" s="169" t="s">
        <v>158</v>
      </c>
      <c r="M65" s="170"/>
      <c r="N65" s="171"/>
      <c r="O65" s="169" t="s">
        <v>158</v>
      </c>
      <c r="P65" s="170"/>
      <c r="Q65" s="171"/>
      <c r="R65" s="169" t="s">
        <v>158</v>
      </c>
      <c r="S65" s="170"/>
      <c r="T65" s="171"/>
      <c r="U65" s="169" t="s">
        <v>158</v>
      </c>
      <c r="V65" s="170"/>
      <c r="W65" s="171"/>
      <c r="X65" s="169" t="s">
        <v>158</v>
      </c>
      <c r="Y65" s="170"/>
      <c r="Z65" s="171"/>
      <c r="AA65" s="169" t="s">
        <v>158</v>
      </c>
      <c r="AB65" s="170"/>
      <c r="AC65" s="171"/>
      <c r="AD65" s="169" t="s">
        <v>158</v>
      </c>
      <c r="AE65" s="170"/>
    </row>
    <row r="66" spans="1:31">
      <c r="A66" s="149" t="s">
        <v>164</v>
      </c>
      <c r="B66" s="150" t="s">
        <v>160</v>
      </c>
      <c r="E66" s="171"/>
      <c r="F66" s="169" t="s">
        <v>158</v>
      </c>
      <c r="G66" s="170"/>
      <c r="H66" s="171"/>
      <c r="I66" s="169" t="s">
        <v>158</v>
      </c>
      <c r="J66" s="170"/>
      <c r="K66" s="171"/>
      <c r="L66" s="169" t="s">
        <v>158</v>
      </c>
      <c r="M66" s="170"/>
      <c r="N66" s="171"/>
      <c r="O66" s="169" t="s">
        <v>158</v>
      </c>
      <c r="P66" s="170"/>
      <c r="Q66" s="171"/>
      <c r="R66" s="169" t="s">
        <v>158</v>
      </c>
      <c r="S66" s="170"/>
      <c r="T66" s="171"/>
      <c r="U66" s="169" t="s">
        <v>158</v>
      </c>
      <c r="V66" s="170"/>
      <c r="W66" s="171"/>
      <c r="X66" s="169" t="s">
        <v>158</v>
      </c>
      <c r="Y66" s="170"/>
      <c r="Z66" s="171"/>
      <c r="AA66" s="169" t="s">
        <v>158</v>
      </c>
      <c r="AB66" s="170"/>
      <c r="AC66" s="171"/>
      <c r="AD66" s="169" t="s">
        <v>158</v>
      </c>
      <c r="AE66" s="170"/>
    </row>
    <row r="67" spans="1:31">
      <c r="A67" s="149" t="s">
        <v>165</v>
      </c>
      <c r="B67" s="150" t="s">
        <v>160</v>
      </c>
      <c r="E67" s="171"/>
      <c r="F67" s="169" t="s">
        <v>158</v>
      </c>
      <c r="G67" s="170"/>
      <c r="H67" s="171"/>
      <c r="I67" s="169" t="s">
        <v>158</v>
      </c>
      <c r="J67" s="170"/>
      <c r="K67" s="171"/>
      <c r="L67" s="169" t="s">
        <v>158</v>
      </c>
      <c r="M67" s="170"/>
      <c r="N67" s="171"/>
      <c r="O67" s="169" t="s">
        <v>158</v>
      </c>
      <c r="P67" s="170"/>
      <c r="Q67" s="171"/>
      <c r="R67" s="169" t="s">
        <v>158</v>
      </c>
      <c r="S67" s="170"/>
      <c r="T67" s="171"/>
      <c r="U67" s="169" t="s">
        <v>158</v>
      </c>
      <c r="V67" s="170"/>
      <c r="W67" s="171"/>
      <c r="X67" s="169" t="s">
        <v>158</v>
      </c>
      <c r="Y67" s="170"/>
      <c r="Z67" s="171"/>
      <c r="AA67" s="169" t="s">
        <v>158</v>
      </c>
      <c r="AB67" s="170"/>
      <c r="AC67" s="171"/>
      <c r="AD67" s="169" t="s">
        <v>158</v>
      </c>
      <c r="AE67" s="170"/>
    </row>
    <row r="68" spans="1:31">
      <c r="A68" s="149" t="s">
        <v>166</v>
      </c>
      <c r="B68" s="150" t="s">
        <v>160</v>
      </c>
      <c r="E68" s="171"/>
      <c r="F68" s="169" t="s">
        <v>158</v>
      </c>
      <c r="G68" s="170"/>
      <c r="H68" s="171"/>
      <c r="I68" s="169" t="s">
        <v>158</v>
      </c>
      <c r="J68" s="170"/>
      <c r="K68" s="171"/>
      <c r="L68" s="169" t="s">
        <v>158</v>
      </c>
      <c r="M68" s="170"/>
      <c r="N68" s="171"/>
      <c r="O68" s="169" t="s">
        <v>158</v>
      </c>
      <c r="P68" s="170"/>
      <c r="Q68" s="171"/>
      <c r="R68" s="169" t="s">
        <v>158</v>
      </c>
      <c r="S68" s="170"/>
      <c r="T68" s="171"/>
      <c r="U68" s="169" t="s">
        <v>158</v>
      </c>
      <c r="V68" s="170"/>
      <c r="W68" s="171"/>
      <c r="X68" s="169" t="s">
        <v>158</v>
      </c>
      <c r="Y68" s="170"/>
      <c r="Z68" s="171"/>
      <c r="AA68" s="169" t="s">
        <v>158</v>
      </c>
      <c r="AB68" s="170"/>
      <c r="AC68" s="171"/>
      <c r="AD68" s="169" t="s">
        <v>158</v>
      </c>
      <c r="AE68" s="170"/>
    </row>
    <row r="69" spans="1:31">
      <c r="A69" s="172" t="s">
        <v>167</v>
      </c>
      <c r="B69" s="173" t="s">
        <v>168</v>
      </c>
      <c r="E69" s="176"/>
      <c r="F69" s="174" t="s">
        <v>158</v>
      </c>
      <c r="G69" s="175"/>
      <c r="H69" s="176"/>
      <c r="I69" s="174" t="s">
        <v>158</v>
      </c>
      <c r="J69" s="175"/>
      <c r="K69" s="176"/>
      <c r="L69" s="174" t="s">
        <v>158</v>
      </c>
      <c r="M69" s="175"/>
      <c r="N69" s="176"/>
      <c r="O69" s="174" t="s">
        <v>158</v>
      </c>
      <c r="P69" s="175"/>
      <c r="Q69" s="176"/>
      <c r="R69" s="174" t="s">
        <v>158</v>
      </c>
      <c r="S69" s="175"/>
      <c r="T69" s="176"/>
      <c r="U69" s="174" t="s">
        <v>158</v>
      </c>
      <c r="V69" s="175"/>
      <c r="W69" s="176"/>
      <c r="X69" s="174" t="s">
        <v>158</v>
      </c>
      <c r="Y69" s="175"/>
      <c r="Z69" s="176"/>
      <c r="AA69" s="174" t="s">
        <v>158</v>
      </c>
      <c r="AB69" s="175"/>
      <c r="AC69" s="176"/>
      <c r="AD69" s="174" t="s">
        <v>158</v>
      </c>
      <c r="AE69" s="175"/>
    </row>
    <row r="70" spans="1:31">
      <c r="A70" s="177" t="s">
        <v>169</v>
      </c>
      <c r="B70" s="150"/>
      <c r="E70" s="166"/>
      <c r="F70" s="167"/>
      <c r="G70" s="144"/>
      <c r="H70" s="166"/>
      <c r="I70" s="167"/>
      <c r="J70" s="144"/>
      <c r="K70" s="166"/>
      <c r="L70" s="167"/>
      <c r="M70" s="144"/>
      <c r="N70" s="166"/>
      <c r="O70" s="167"/>
      <c r="P70" s="144"/>
      <c r="Q70" s="166"/>
      <c r="R70" s="167"/>
      <c r="S70" s="144"/>
      <c r="T70" s="166"/>
      <c r="U70" s="167"/>
      <c r="V70" s="144"/>
      <c r="W70" s="166"/>
      <c r="X70" s="167"/>
      <c r="Y70" s="144"/>
      <c r="Z70" s="166"/>
      <c r="AA70" s="167"/>
      <c r="AB70" s="144"/>
      <c r="AC70" s="166"/>
      <c r="AD70" s="167"/>
      <c r="AE70" s="144"/>
    </row>
    <row r="71" spans="1:31">
      <c r="A71" s="149" t="s">
        <v>167</v>
      </c>
      <c r="B71" s="150" t="s">
        <v>170</v>
      </c>
      <c r="E71" s="179"/>
      <c r="F71" s="180">
        <v>6.22</v>
      </c>
      <c r="G71" s="144"/>
      <c r="H71" s="179"/>
      <c r="I71" s="168">
        <v>6.31</v>
      </c>
      <c r="J71" s="144"/>
      <c r="K71" s="179"/>
      <c r="L71" s="168">
        <v>5.41</v>
      </c>
      <c r="M71" s="144"/>
      <c r="N71" s="179"/>
      <c r="O71" s="168">
        <v>6.24</v>
      </c>
      <c r="P71" s="144"/>
      <c r="Q71" s="179"/>
      <c r="R71" s="168">
        <v>7.08</v>
      </c>
      <c r="S71" s="144"/>
      <c r="T71" s="179"/>
      <c r="U71" s="168">
        <v>6.48</v>
      </c>
      <c r="V71" s="144"/>
      <c r="W71" s="179"/>
      <c r="X71" s="168">
        <v>6.12</v>
      </c>
      <c r="Y71" s="144"/>
      <c r="Z71" s="179"/>
      <c r="AA71" s="168">
        <v>6.17</v>
      </c>
      <c r="AB71" s="144"/>
      <c r="AC71" s="179"/>
      <c r="AD71" s="168">
        <v>6.15</v>
      </c>
      <c r="AE71" s="144"/>
    </row>
    <row r="72" spans="1:31">
      <c r="A72" s="149" t="s">
        <v>171</v>
      </c>
      <c r="B72" s="150" t="s">
        <v>172</v>
      </c>
      <c r="E72" s="179"/>
      <c r="F72" s="168">
        <v>24.66</v>
      </c>
      <c r="G72" s="144"/>
      <c r="H72" s="179"/>
      <c r="I72" s="168">
        <v>17.55</v>
      </c>
      <c r="J72" s="144"/>
      <c r="K72" s="179"/>
      <c r="L72" s="168">
        <v>8.48</v>
      </c>
      <c r="M72" s="144"/>
      <c r="N72" s="179"/>
      <c r="O72" s="168">
        <v>7.63</v>
      </c>
      <c r="P72" s="144"/>
      <c r="Q72" s="179"/>
      <c r="R72" s="168">
        <v>16.16</v>
      </c>
      <c r="S72" s="144"/>
      <c r="T72" s="179"/>
      <c r="U72" s="168">
        <v>12.52</v>
      </c>
      <c r="V72" s="144"/>
      <c r="W72" s="179"/>
      <c r="X72" s="168">
        <v>18.670000000000002</v>
      </c>
      <c r="Y72" s="144"/>
      <c r="Z72" s="179"/>
      <c r="AA72" s="168">
        <v>23.53</v>
      </c>
      <c r="AB72" s="144"/>
      <c r="AC72" s="179"/>
      <c r="AD72" s="168">
        <v>6.56</v>
      </c>
      <c r="AE72" s="144"/>
    </row>
    <row r="73" spans="1:31">
      <c r="A73" s="149" t="s">
        <v>173</v>
      </c>
      <c r="B73" s="150" t="s">
        <v>174</v>
      </c>
      <c r="E73" s="179"/>
      <c r="F73" s="182">
        <v>0.753</v>
      </c>
      <c r="G73" s="144"/>
      <c r="H73" s="179"/>
      <c r="I73" s="182">
        <v>0.65100000000000002</v>
      </c>
      <c r="J73" s="144"/>
      <c r="K73" s="179"/>
      <c r="L73" s="182">
        <v>0.92800000000000005</v>
      </c>
      <c r="M73" s="144"/>
      <c r="N73" s="179"/>
      <c r="O73" s="182">
        <v>1.0149999999999999</v>
      </c>
      <c r="P73" s="144"/>
      <c r="Q73" s="179"/>
      <c r="R73" s="182">
        <v>0.68100000000000005</v>
      </c>
      <c r="S73" s="144"/>
      <c r="T73" s="179"/>
      <c r="U73" s="182">
        <v>0.79300000000000004</v>
      </c>
      <c r="V73" s="144"/>
      <c r="W73" s="179"/>
      <c r="X73" s="182">
        <v>0.69199999999999995</v>
      </c>
      <c r="Y73" s="144"/>
      <c r="Z73" s="179"/>
      <c r="AA73" s="182">
        <v>1.242</v>
      </c>
      <c r="AB73" s="144"/>
      <c r="AC73" s="179"/>
      <c r="AD73" s="182">
        <v>0.48799999999999999</v>
      </c>
      <c r="AE73" s="144"/>
    </row>
    <row r="74" spans="1:31">
      <c r="A74" s="149" t="s">
        <v>175</v>
      </c>
      <c r="B74" s="150" t="s">
        <v>160</v>
      </c>
      <c r="E74" s="179"/>
      <c r="F74" s="168">
        <v>0.47</v>
      </c>
      <c r="G74" s="144"/>
      <c r="H74" s="179"/>
      <c r="I74" s="168">
        <v>0.44</v>
      </c>
      <c r="J74" s="144"/>
      <c r="K74" s="179"/>
      <c r="L74" s="168">
        <v>0.79</v>
      </c>
      <c r="M74" s="144"/>
      <c r="N74" s="179"/>
      <c r="O74" s="168">
        <v>0.54</v>
      </c>
      <c r="P74" s="144"/>
      <c r="Q74" s="179"/>
      <c r="R74" s="168">
        <v>0.24</v>
      </c>
      <c r="S74" s="144"/>
      <c r="T74" s="179"/>
      <c r="U74" s="168">
        <v>0.42</v>
      </c>
      <c r="V74" s="144"/>
      <c r="W74" s="179"/>
      <c r="X74" s="168">
        <v>0.97</v>
      </c>
      <c r="Y74" s="144"/>
      <c r="Z74" s="179"/>
      <c r="AA74" s="168">
        <v>0.47</v>
      </c>
      <c r="AB74" s="144"/>
      <c r="AC74" s="179"/>
      <c r="AD74" s="168">
        <v>0.34</v>
      </c>
      <c r="AE74" s="144"/>
    </row>
    <row r="75" spans="1:31">
      <c r="A75" s="149" t="s">
        <v>176</v>
      </c>
      <c r="B75" s="150" t="s">
        <v>177</v>
      </c>
      <c r="E75" s="179"/>
      <c r="F75" s="168">
        <v>19.899999999999999</v>
      </c>
      <c r="G75" s="144"/>
      <c r="H75" s="179"/>
      <c r="I75" s="168">
        <v>36.6</v>
      </c>
      <c r="J75" s="144"/>
      <c r="K75" s="179"/>
      <c r="L75" s="168">
        <v>64.8</v>
      </c>
      <c r="M75" s="144"/>
      <c r="N75" s="179"/>
      <c r="O75" s="168">
        <v>88.9</v>
      </c>
      <c r="P75" s="144"/>
      <c r="Q75" s="179"/>
      <c r="R75" s="168">
        <v>52.5</v>
      </c>
      <c r="S75" s="144"/>
      <c r="T75" s="179"/>
      <c r="U75" s="168">
        <v>31.3</v>
      </c>
      <c r="V75" s="144"/>
      <c r="W75" s="179"/>
      <c r="X75" s="168">
        <v>54.2</v>
      </c>
      <c r="Y75" s="144"/>
      <c r="Z75" s="179"/>
      <c r="AA75" s="168">
        <v>71.599999999999994</v>
      </c>
      <c r="AB75" s="144"/>
      <c r="AC75" s="179"/>
      <c r="AD75" s="168">
        <v>29.6</v>
      </c>
      <c r="AE75" s="144"/>
    </row>
    <row r="76" spans="1:31">
      <c r="A76" s="149" t="s">
        <v>178</v>
      </c>
      <c r="B76" s="150" t="s">
        <v>179</v>
      </c>
      <c r="E76" s="179"/>
      <c r="F76" s="168">
        <v>-29.8</v>
      </c>
      <c r="G76" s="144"/>
      <c r="H76" s="179"/>
      <c r="I76" s="184">
        <v>14.5</v>
      </c>
      <c r="J76" s="144"/>
      <c r="K76" s="179"/>
      <c r="L76" s="184">
        <v>28.7</v>
      </c>
      <c r="M76" s="144"/>
      <c r="N76" s="179"/>
      <c r="O76" s="184">
        <v>11.7</v>
      </c>
      <c r="P76" s="144"/>
      <c r="Q76" s="179"/>
      <c r="R76" s="184">
        <v>-49.8</v>
      </c>
      <c r="S76" s="144"/>
      <c r="T76" s="179"/>
      <c r="U76" s="184">
        <v>-51.7</v>
      </c>
      <c r="V76" s="144"/>
      <c r="W76" s="179"/>
      <c r="X76" s="184">
        <v>-137.69999999999999</v>
      </c>
      <c r="Y76" s="144"/>
      <c r="Z76" s="179"/>
      <c r="AA76" s="184">
        <v>2.4</v>
      </c>
      <c r="AB76" s="144"/>
      <c r="AC76" s="179"/>
      <c r="AD76" s="184">
        <v>-31.1</v>
      </c>
      <c r="AE76" s="144"/>
    </row>
    <row r="77" spans="1:31">
      <c r="A77" s="149" t="s">
        <v>180</v>
      </c>
      <c r="B77" s="150" t="s">
        <v>181</v>
      </c>
      <c r="E77" s="179"/>
      <c r="F77" s="168">
        <v>0.37</v>
      </c>
      <c r="G77" s="144"/>
      <c r="H77" s="179"/>
      <c r="I77" s="180">
        <v>0.37</v>
      </c>
      <c r="J77" s="144"/>
      <c r="K77" s="179"/>
      <c r="L77" s="180">
        <v>0.68</v>
      </c>
      <c r="M77" s="144"/>
      <c r="N77" s="179"/>
      <c r="O77" s="180">
        <v>0.5</v>
      </c>
      <c r="P77" s="144"/>
      <c r="Q77" s="179"/>
      <c r="R77" s="180">
        <v>0.41</v>
      </c>
      <c r="S77" s="144"/>
      <c r="T77" s="179"/>
      <c r="U77" s="180">
        <v>0.52</v>
      </c>
      <c r="V77" s="144"/>
      <c r="W77" s="179"/>
      <c r="X77" s="180">
        <v>0.39</v>
      </c>
      <c r="Y77" s="144"/>
      <c r="Z77" s="179"/>
      <c r="AA77" s="180">
        <v>0.64</v>
      </c>
      <c r="AB77" s="144"/>
      <c r="AC77" s="179"/>
      <c r="AD77" s="180">
        <v>0.37</v>
      </c>
      <c r="AE77" s="144"/>
    </row>
    <row r="78" spans="1:31">
      <c r="A78" s="149" t="s">
        <v>166</v>
      </c>
      <c r="B78" s="150" t="s">
        <v>182</v>
      </c>
      <c r="E78" s="179"/>
      <c r="F78" s="182">
        <v>0.49299999999999999</v>
      </c>
      <c r="G78" s="144"/>
      <c r="H78" s="179"/>
      <c r="I78" s="168">
        <v>0.499</v>
      </c>
      <c r="J78" s="144"/>
      <c r="K78" s="179"/>
      <c r="L78" s="168">
        <v>0.879</v>
      </c>
      <c r="M78" s="144"/>
      <c r="N78" s="179"/>
      <c r="O78" s="182">
        <v>0.66</v>
      </c>
      <c r="P78" s="144"/>
      <c r="Q78" s="179"/>
      <c r="R78" s="182">
        <v>0.53400000000000003</v>
      </c>
      <c r="S78" s="144"/>
      <c r="T78" s="179"/>
      <c r="U78" s="182">
        <v>0.67800000000000005</v>
      </c>
      <c r="V78" s="144"/>
      <c r="W78" s="179"/>
      <c r="X78" s="182">
        <v>0.51100000000000001</v>
      </c>
      <c r="Y78" s="144"/>
      <c r="Z78" s="179"/>
      <c r="AA78" s="182">
        <v>0.83499999999999996</v>
      </c>
      <c r="AB78" s="144"/>
      <c r="AC78" s="179"/>
      <c r="AD78" s="182">
        <v>0.48899999999999999</v>
      </c>
      <c r="AE78" s="144"/>
    </row>
    <row r="79" spans="1:31">
      <c r="A79" s="149" t="s">
        <v>183</v>
      </c>
      <c r="B79" s="150" t="s">
        <v>9</v>
      </c>
      <c r="E79" s="179"/>
      <c r="F79" s="184">
        <v>3</v>
      </c>
      <c r="G79" s="144"/>
      <c r="H79" s="179"/>
      <c r="I79" s="184">
        <v>3</v>
      </c>
      <c r="J79" s="144"/>
      <c r="K79" s="179"/>
      <c r="L79" s="184">
        <v>3</v>
      </c>
      <c r="M79" s="144"/>
      <c r="N79" s="179"/>
      <c r="O79" s="184">
        <v>3</v>
      </c>
      <c r="P79" s="144"/>
      <c r="Q79" s="179"/>
      <c r="R79" s="184">
        <v>4.5</v>
      </c>
      <c r="S79" s="144"/>
      <c r="T79" s="179"/>
      <c r="U79" s="184">
        <v>9</v>
      </c>
      <c r="V79" s="144"/>
      <c r="W79" s="179"/>
      <c r="X79" s="180">
        <v>6.25</v>
      </c>
      <c r="Y79" s="144"/>
      <c r="Z79" s="179"/>
      <c r="AA79" s="184">
        <v>3</v>
      </c>
      <c r="AB79" s="144"/>
      <c r="AC79" s="179"/>
      <c r="AD79" s="184">
        <v>3</v>
      </c>
      <c r="AE79" s="144"/>
    </row>
    <row r="80" spans="1:31" ht="17.25" customHeight="1">
      <c r="A80" s="172" t="s">
        <v>184</v>
      </c>
      <c r="B80" s="173" t="s">
        <v>185</v>
      </c>
      <c r="E80" s="185"/>
      <c r="F80" s="186">
        <v>100</v>
      </c>
      <c r="G80" s="159"/>
      <c r="H80" s="185"/>
      <c r="I80" s="186">
        <v>100</v>
      </c>
      <c r="J80" s="159"/>
      <c r="K80" s="185"/>
      <c r="L80" s="186">
        <v>100</v>
      </c>
      <c r="M80" s="159"/>
      <c r="N80" s="185"/>
      <c r="O80" s="186">
        <v>100</v>
      </c>
      <c r="P80" s="159"/>
      <c r="Q80" s="185"/>
      <c r="R80" s="186">
        <v>150</v>
      </c>
      <c r="S80" s="159"/>
      <c r="T80" s="185"/>
      <c r="U80" s="186">
        <v>300</v>
      </c>
      <c r="V80" s="159"/>
      <c r="W80" s="185"/>
      <c r="X80" s="186">
        <v>250</v>
      </c>
      <c r="Y80" s="159"/>
      <c r="Z80" s="185"/>
      <c r="AA80" s="186">
        <v>100</v>
      </c>
      <c r="AB80" s="159"/>
      <c r="AC80" s="185"/>
      <c r="AD80" s="186">
        <v>100</v>
      </c>
      <c r="AE80" s="159"/>
    </row>
    <row r="81" spans="1:31">
      <c r="A81" s="129"/>
      <c r="B81" s="130" t="s">
        <v>60</v>
      </c>
      <c r="E81" s="220" t="s">
        <v>79</v>
      </c>
      <c r="F81" s="221"/>
      <c r="G81" s="221"/>
      <c r="H81" s="220" t="s">
        <v>80</v>
      </c>
      <c r="I81" s="221"/>
      <c r="J81" s="221"/>
      <c r="K81" s="220" t="s">
        <v>81</v>
      </c>
      <c r="L81" s="221"/>
      <c r="M81" s="221"/>
      <c r="N81" s="220" t="s">
        <v>82</v>
      </c>
      <c r="O81" s="221"/>
      <c r="P81" s="221"/>
      <c r="Q81" s="220" t="s">
        <v>83</v>
      </c>
      <c r="R81" s="221"/>
      <c r="S81" s="221"/>
      <c r="T81" s="220" t="s">
        <v>84</v>
      </c>
      <c r="U81" s="221"/>
      <c r="V81" s="221"/>
      <c r="W81" s="220" t="s">
        <v>85</v>
      </c>
      <c r="X81" s="221"/>
      <c r="Y81" s="221"/>
      <c r="Z81" s="220" t="s">
        <v>86</v>
      </c>
      <c r="AA81" s="221"/>
      <c r="AB81" s="221"/>
      <c r="AC81" s="220" t="s">
        <v>87</v>
      </c>
      <c r="AD81" s="221"/>
      <c r="AE81" s="221"/>
    </row>
    <row r="82" spans="1:31">
      <c r="A82" s="131"/>
      <c r="B82" s="132" t="s">
        <v>115</v>
      </c>
      <c r="E82" s="215" t="s">
        <v>30</v>
      </c>
      <c r="F82" s="216"/>
      <c r="G82" s="216"/>
      <c r="H82" s="215" t="s">
        <v>30</v>
      </c>
      <c r="I82" s="216"/>
      <c r="J82" s="216"/>
      <c r="K82" s="215" t="s">
        <v>30</v>
      </c>
      <c r="L82" s="216"/>
      <c r="M82" s="216"/>
      <c r="N82" s="215" t="s">
        <v>30</v>
      </c>
      <c r="O82" s="216"/>
      <c r="P82" s="216"/>
      <c r="Q82" s="215" t="s">
        <v>30</v>
      </c>
      <c r="R82" s="216"/>
      <c r="S82" s="216"/>
      <c r="T82" s="215" t="s">
        <v>30</v>
      </c>
      <c r="U82" s="216"/>
      <c r="V82" s="216"/>
      <c r="W82" s="215" t="s">
        <v>30</v>
      </c>
      <c r="X82" s="216"/>
      <c r="Y82" s="216"/>
      <c r="Z82" s="215" t="s">
        <v>30</v>
      </c>
      <c r="AA82" s="216"/>
      <c r="AB82" s="216"/>
      <c r="AC82" s="215" t="s">
        <v>30</v>
      </c>
      <c r="AD82" s="216"/>
      <c r="AE82" s="216"/>
    </row>
    <row r="83" spans="1:31">
      <c r="A83" s="131"/>
      <c r="B83" s="132" t="s">
        <v>116</v>
      </c>
      <c r="E83" s="217">
        <v>40424</v>
      </c>
      <c r="F83" s="218"/>
      <c r="G83" s="219"/>
      <c r="H83" s="217">
        <v>40424</v>
      </c>
      <c r="I83" s="218"/>
      <c r="J83" s="219"/>
      <c r="K83" s="217">
        <v>40483</v>
      </c>
      <c r="L83" s="218"/>
      <c r="M83" s="219"/>
      <c r="N83" s="217">
        <v>40483</v>
      </c>
      <c r="O83" s="218"/>
      <c r="P83" s="219"/>
      <c r="Q83" s="217">
        <v>40588</v>
      </c>
      <c r="R83" s="218"/>
      <c r="S83" s="219"/>
      <c r="T83" s="217">
        <v>40588</v>
      </c>
      <c r="U83" s="218"/>
      <c r="V83" s="219"/>
      <c r="W83" s="217">
        <v>40638</v>
      </c>
      <c r="X83" s="218"/>
      <c r="Y83" s="219"/>
      <c r="Z83" s="217">
        <v>40638</v>
      </c>
      <c r="AA83" s="218"/>
      <c r="AB83" s="219"/>
      <c r="AC83" s="217">
        <v>40864</v>
      </c>
      <c r="AD83" s="218"/>
      <c r="AE83" s="219"/>
    </row>
    <row r="84" spans="1:31">
      <c r="A84" s="131"/>
      <c r="B84" s="132" t="s">
        <v>13</v>
      </c>
      <c r="E84" s="211" t="s">
        <v>119</v>
      </c>
      <c r="F84" s="211"/>
      <c r="G84" s="211"/>
      <c r="H84" s="211" t="s">
        <v>119</v>
      </c>
      <c r="I84" s="211"/>
      <c r="J84" s="211"/>
      <c r="K84" s="211" t="s">
        <v>119</v>
      </c>
      <c r="L84" s="211"/>
      <c r="M84" s="211"/>
      <c r="N84" s="211" t="s">
        <v>119</v>
      </c>
      <c r="O84" s="211"/>
      <c r="P84" s="211"/>
      <c r="Q84" s="211" t="s">
        <v>119</v>
      </c>
      <c r="R84" s="211"/>
      <c r="S84" s="211"/>
      <c r="T84" s="211" t="s">
        <v>119</v>
      </c>
      <c r="U84" s="211"/>
      <c r="V84" s="211"/>
      <c r="W84" s="211" t="s">
        <v>119</v>
      </c>
      <c r="X84" s="211"/>
      <c r="Y84" s="211"/>
      <c r="Z84" s="211" t="s">
        <v>119</v>
      </c>
      <c r="AA84" s="211"/>
      <c r="AB84" s="211"/>
      <c r="AC84" s="211" t="s">
        <v>119</v>
      </c>
      <c r="AD84" s="211"/>
      <c r="AE84" s="211"/>
    </row>
    <row r="85" spans="1:31">
      <c r="A85" s="131"/>
      <c r="B85" s="132" t="s">
        <v>122</v>
      </c>
      <c r="E85" s="211" t="s">
        <v>123</v>
      </c>
      <c r="F85" s="211"/>
      <c r="G85" s="211"/>
      <c r="H85" s="211" t="s">
        <v>123</v>
      </c>
      <c r="I85" s="211"/>
      <c r="J85" s="211"/>
      <c r="K85" s="211" t="s">
        <v>123</v>
      </c>
      <c r="L85" s="211"/>
      <c r="M85" s="211"/>
      <c r="N85" s="211" t="s">
        <v>123</v>
      </c>
      <c r="O85" s="211"/>
      <c r="P85" s="211"/>
      <c r="Q85" s="211" t="s">
        <v>123</v>
      </c>
      <c r="R85" s="211"/>
      <c r="S85" s="211"/>
      <c r="T85" s="211" t="s">
        <v>123</v>
      </c>
      <c r="U85" s="211"/>
      <c r="V85" s="211"/>
      <c r="W85" s="211" t="s">
        <v>123</v>
      </c>
      <c r="X85" s="211"/>
      <c r="Y85" s="211"/>
      <c r="Z85" s="211" t="s">
        <v>123</v>
      </c>
      <c r="AA85" s="211"/>
      <c r="AB85" s="211"/>
      <c r="AC85" s="211" t="s">
        <v>123</v>
      </c>
      <c r="AD85" s="211"/>
      <c r="AE85" s="211"/>
    </row>
    <row r="86" spans="1:31">
      <c r="A86" s="131"/>
      <c r="B86" s="132" t="s">
        <v>124</v>
      </c>
      <c r="E86" s="211" t="s">
        <v>125</v>
      </c>
      <c r="F86" s="211"/>
      <c r="G86" s="211"/>
      <c r="H86" s="211" t="s">
        <v>125</v>
      </c>
      <c r="I86" s="211"/>
      <c r="J86" s="211"/>
      <c r="K86" s="211" t="s">
        <v>125</v>
      </c>
      <c r="L86" s="211"/>
      <c r="M86" s="211"/>
      <c r="N86" s="211" t="s">
        <v>125</v>
      </c>
      <c r="O86" s="211"/>
      <c r="P86" s="211"/>
      <c r="Q86" s="211" t="s">
        <v>125</v>
      </c>
      <c r="R86" s="211"/>
      <c r="S86" s="211"/>
      <c r="T86" s="211" t="s">
        <v>125</v>
      </c>
      <c r="U86" s="211"/>
      <c r="V86" s="211"/>
      <c r="W86" s="211" t="s">
        <v>125</v>
      </c>
      <c r="X86" s="211"/>
      <c r="Y86" s="211"/>
      <c r="Z86" s="211" t="s">
        <v>125</v>
      </c>
      <c r="AA86" s="211"/>
      <c r="AB86" s="211"/>
      <c r="AC86" s="211" t="s">
        <v>125</v>
      </c>
      <c r="AD86" s="211"/>
      <c r="AE86" s="211"/>
    </row>
    <row r="87" spans="1:31">
      <c r="A87" s="131"/>
      <c r="B87" s="132" t="s">
        <v>126</v>
      </c>
      <c r="E87" s="211" t="s">
        <v>128</v>
      </c>
      <c r="F87" s="211"/>
      <c r="G87" s="211"/>
      <c r="H87" s="211" t="s">
        <v>128</v>
      </c>
      <c r="I87" s="211"/>
      <c r="J87" s="211"/>
      <c r="K87" s="211" t="s">
        <v>128</v>
      </c>
      <c r="L87" s="211"/>
      <c r="M87" s="211"/>
      <c r="N87" s="211" t="s">
        <v>128</v>
      </c>
      <c r="O87" s="211"/>
      <c r="P87" s="211"/>
      <c r="Q87" s="211" t="s">
        <v>128</v>
      </c>
      <c r="R87" s="211"/>
      <c r="S87" s="211"/>
      <c r="T87" s="211" t="s">
        <v>128</v>
      </c>
      <c r="U87" s="211"/>
      <c r="V87" s="211"/>
      <c r="W87" s="211" t="s">
        <v>128</v>
      </c>
      <c r="X87" s="211"/>
      <c r="Y87" s="211"/>
      <c r="Z87" s="211" t="s">
        <v>128</v>
      </c>
      <c r="AA87" s="211"/>
      <c r="AB87" s="211"/>
      <c r="AC87" s="211" t="s">
        <v>128</v>
      </c>
      <c r="AD87" s="211"/>
      <c r="AE87" s="211"/>
    </row>
    <row r="88" spans="1:31">
      <c r="A88" s="131"/>
      <c r="B88" s="132" t="s">
        <v>131</v>
      </c>
      <c r="E88" s="211" t="s">
        <v>132</v>
      </c>
      <c r="F88" s="211"/>
      <c r="G88" s="211"/>
      <c r="H88" s="211" t="s">
        <v>132</v>
      </c>
      <c r="I88" s="211"/>
      <c r="J88" s="211"/>
      <c r="K88" s="211" t="s">
        <v>132</v>
      </c>
      <c r="L88" s="211"/>
      <c r="M88" s="211"/>
      <c r="N88" s="211" t="s">
        <v>132</v>
      </c>
      <c r="O88" s="211"/>
      <c r="P88" s="211"/>
      <c r="Q88" s="211" t="s">
        <v>132</v>
      </c>
      <c r="R88" s="211"/>
      <c r="S88" s="211"/>
      <c r="T88" s="211" t="s">
        <v>132</v>
      </c>
      <c r="U88" s="211"/>
      <c r="V88" s="211"/>
      <c r="W88" s="211" t="s">
        <v>132</v>
      </c>
      <c r="X88" s="211"/>
      <c r="Y88" s="211"/>
      <c r="Z88" s="211" t="s">
        <v>132</v>
      </c>
      <c r="AA88" s="211"/>
      <c r="AB88" s="211"/>
      <c r="AC88" s="211" t="s">
        <v>132</v>
      </c>
      <c r="AD88" s="211"/>
      <c r="AE88" s="211"/>
    </row>
    <row r="89" spans="1:31" ht="13.5" thickBot="1">
      <c r="A89" s="133" t="s">
        <v>133</v>
      </c>
      <c r="B89" s="134" t="s">
        <v>134</v>
      </c>
      <c r="E89" s="212"/>
      <c r="F89" s="213"/>
      <c r="G89" s="214"/>
      <c r="H89" s="212"/>
      <c r="I89" s="213"/>
      <c r="J89" s="214"/>
      <c r="K89" s="212"/>
      <c r="L89" s="213"/>
      <c r="M89" s="214"/>
      <c r="N89" s="212"/>
      <c r="O89" s="213"/>
      <c r="P89" s="214"/>
      <c r="Q89" s="212"/>
      <c r="R89" s="213"/>
      <c r="S89" s="214"/>
      <c r="T89" s="212"/>
      <c r="U89" s="213"/>
      <c r="V89" s="214"/>
      <c r="W89" s="212"/>
      <c r="X89" s="213"/>
      <c r="Y89" s="214"/>
      <c r="Z89" s="212"/>
      <c r="AA89" s="213"/>
      <c r="AB89" s="214"/>
      <c r="AC89" s="212"/>
      <c r="AD89" s="213"/>
      <c r="AE89" s="214"/>
    </row>
    <row r="90" spans="1:31">
      <c r="A90" s="135" t="s">
        <v>135</v>
      </c>
      <c r="B90" s="136"/>
      <c r="E90" s="137"/>
      <c r="F90" s="138"/>
      <c r="G90" s="139"/>
      <c r="H90" s="137"/>
      <c r="I90" s="138"/>
      <c r="J90" s="139"/>
      <c r="K90" s="137"/>
      <c r="L90" s="138"/>
      <c r="M90" s="139"/>
      <c r="N90" s="137"/>
      <c r="O90" s="138"/>
      <c r="P90" s="139"/>
      <c r="Q90" s="137"/>
      <c r="R90" s="138"/>
      <c r="S90" s="139"/>
      <c r="T90" s="137"/>
      <c r="U90" s="138"/>
      <c r="V90" s="139"/>
      <c r="W90" s="137"/>
      <c r="X90" s="138"/>
      <c r="Y90" s="139"/>
      <c r="Z90" s="137"/>
      <c r="AA90" s="138"/>
      <c r="AB90" s="139"/>
      <c r="AC90" s="137"/>
      <c r="AD90" s="138"/>
      <c r="AE90" s="139"/>
    </row>
    <row r="91" spans="1:31">
      <c r="A91" s="140" t="s">
        <v>136</v>
      </c>
      <c r="B91" s="141" t="s">
        <v>137</v>
      </c>
      <c r="E91" s="142"/>
      <c r="F91" s="143">
        <v>5</v>
      </c>
      <c r="G91" s="144"/>
      <c r="H91" s="142" t="s">
        <v>138</v>
      </c>
      <c r="I91" s="143">
        <v>5</v>
      </c>
      <c r="J91" s="144"/>
      <c r="K91" s="142" t="s">
        <v>138</v>
      </c>
      <c r="L91" s="143">
        <v>5</v>
      </c>
      <c r="M91" s="144"/>
      <c r="N91" s="142" t="s">
        <v>138</v>
      </c>
      <c r="O91" s="143">
        <v>5</v>
      </c>
      <c r="P91" s="144"/>
      <c r="Q91" s="142" t="s">
        <v>138</v>
      </c>
      <c r="R91" s="143">
        <v>5</v>
      </c>
      <c r="S91" s="144"/>
      <c r="T91" s="142" t="s">
        <v>138</v>
      </c>
      <c r="U91" s="143">
        <v>5</v>
      </c>
      <c r="V91" s="144"/>
      <c r="W91" s="142"/>
      <c r="X91" s="143">
        <v>7.8</v>
      </c>
      <c r="Y91" s="146"/>
      <c r="Z91" s="142"/>
      <c r="AA91" s="143">
        <v>7.6</v>
      </c>
      <c r="AB91" s="144"/>
      <c r="AC91" s="142" t="s">
        <v>138</v>
      </c>
      <c r="AD91" s="145">
        <v>5</v>
      </c>
      <c r="AE91" s="146"/>
    </row>
    <row r="92" spans="1:31">
      <c r="A92" s="149" t="s">
        <v>139</v>
      </c>
      <c r="B92" s="150" t="s">
        <v>140</v>
      </c>
      <c r="E92" s="142" t="s">
        <v>138</v>
      </c>
      <c r="F92" s="143">
        <v>5</v>
      </c>
      <c r="G92" s="144"/>
      <c r="H92" s="142" t="s">
        <v>138</v>
      </c>
      <c r="I92" s="143">
        <v>5</v>
      </c>
      <c r="J92" s="144"/>
      <c r="K92" s="142" t="s">
        <v>138</v>
      </c>
      <c r="L92" s="143">
        <v>5</v>
      </c>
      <c r="M92" s="144"/>
      <c r="N92" s="142" t="s">
        <v>138</v>
      </c>
      <c r="O92" s="143">
        <v>5</v>
      </c>
      <c r="P92" s="144"/>
      <c r="Q92" s="142" t="s">
        <v>138</v>
      </c>
      <c r="R92" s="143">
        <v>5</v>
      </c>
      <c r="S92" s="144"/>
      <c r="T92" s="142" t="s">
        <v>138</v>
      </c>
      <c r="U92" s="143">
        <v>5</v>
      </c>
      <c r="V92" s="144"/>
      <c r="W92" s="142" t="s">
        <v>138</v>
      </c>
      <c r="X92" s="143">
        <v>5</v>
      </c>
      <c r="Y92" s="151"/>
      <c r="Z92" s="142" t="s">
        <v>138</v>
      </c>
      <c r="AA92" s="143">
        <v>5</v>
      </c>
      <c r="AB92" s="144"/>
      <c r="AC92" s="142" t="s">
        <v>138</v>
      </c>
      <c r="AD92" s="145">
        <v>5</v>
      </c>
      <c r="AE92" s="151"/>
    </row>
    <row r="93" spans="1:31">
      <c r="A93" s="149" t="s">
        <v>141</v>
      </c>
      <c r="B93" s="150" t="s">
        <v>142</v>
      </c>
      <c r="E93" s="142" t="s">
        <v>138</v>
      </c>
      <c r="F93" s="143">
        <v>5</v>
      </c>
      <c r="G93" s="152"/>
      <c r="H93" s="142" t="s">
        <v>138</v>
      </c>
      <c r="I93" s="143">
        <v>5</v>
      </c>
      <c r="J93" s="152"/>
      <c r="K93" s="142" t="s">
        <v>138</v>
      </c>
      <c r="L93" s="143">
        <v>5</v>
      </c>
      <c r="M93" s="152"/>
      <c r="N93" s="142" t="s">
        <v>138</v>
      </c>
      <c r="O93" s="143">
        <v>5</v>
      </c>
      <c r="P93" s="152"/>
      <c r="Q93" s="142" t="s">
        <v>138</v>
      </c>
      <c r="R93" s="143">
        <v>5</v>
      </c>
      <c r="S93" s="152"/>
      <c r="T93" s="142" t="s">
        <v>138</v>
      </c>
      <c r="U93" s="143">
        <v>5</v>
      </c>
      <c r="V93" s="152"/>
      <c r="W93" s="142" t="s">
        <v>138</v>
      </c>
      <c r="X93" s="143">
        <v>5</v>
      </c>
      <c r="Y93" s="151"/>
      <c r="Z93" s="142" t="s">
        <v>138</v>
      </c>
      <c r="AA93" s="143">
        <v>5</v>
      </c>
      <c r="AB93" s="152"/>
      <c r="AC93" s="142" t="s">
        <v>138</v>
      </c>
      <c r="AD93" s="145">
        <v>5</v>
      </c>
      <c r="AE93" s="151"/>
    </row>
    <row r="94" spans="1:31">
      <c r="A94" s="149" t="s">
        <v>143</v>
      </c>
      <c r="B94" s="150" t="s">
        <v>144</v>
      </c>
      <c r="E94" s="142" t="s">
        <v>138</v>
      </c>
      <c r="F94" s="148">
        <v>10</v>
      </c>
      <c r="G94" s="152"/>
      <c r="H94" s="142" t="s">
        <v>138</v>
      </c>
      <c r="I94" s="148">
        <v>10</v>
      </c>
      <c r="J94" s="152"/>
      <c r="K94" s="142" t="s">
        <v>138</v>
      </c>
      <c r="L94" s="143">
        <v>5</v>
      </c>
      <c r="M94" s="152"/>
      <c r="N94" s="142" t="s">
        <v>138</v>
      </c>
      <c r="O94" s="143">
        <v>5</v>
      </c>
      <c r="P94" s="152"/>
      <c r="Q94" s="142" t="s">
        <v>138</v>
      </c>
      <c r="R94" s="143">
        <v>5</v>
      </c>
      <c r="S94" s="152"/>
      <c r="T94" s="142" t="s">
        <v>138</v>
      </c>
      <c r="U94" s="143">
        <v>5</v>
      </c>
      <c r="V94" s="152"/>
      <c r="W94" s="142" t="s">
        <v>138</v>
      </c>
      <c r="X94" s="143">
        <v>5</v>
      </c>
      <c r="Y94" s="151"/>
      <c r="Z94" s="142" t="s">
        <v>138</v>
      </c>
      <c r="AA94" s="143">
        <v>5</v>
      </c>
      <c r="AB94" s="152"/>
      <c r="AC94" s="142" t="s">
        <v>138</v>
      </c>
      <c r="AD94" s="145">
        <v>5</v>
      </c>
      <c r="AE94" s="151"/>
    </row>
    <row r="95" spans="1:31">
      <c r="A95" s="149" t="s">
        <v>145</v>
      </c>
      <c r="B95" s="150" t="s">
        <v>146</v>
      </c>
      <c r="E95" s="142" t="s">
        <v>138</v>
      </c>
      <c r="F95" s="143">
        <v>5</v>
      </c>
      <c r="G95" s="144"/>
      <c r="H95" s="142" t="s">
        <v>138</v>
      </c>
      <c r="I95" s="143">
        <v>5</v>
      </c>
      <c r="J95" s="144"/>
      <c r="K95" s="142" t="s">
        <v>138</v>
      </c>
      <c r="L95" s="143">
        <v>5</v>
      </c>
      <c r="M95" s="144"/>
      <c r="N95" s="142" t="s">
        <v>138</v>
      </c>
      <c r="O95" s="143">
        <v>5</v>
      </c>
      <c r="P95" s="144"/>
      <c r="Q95" s="142" t="s">
        <v>138</v>
      </c>
      <c r="R95" s="143">
        <v>5</v>
      </c>
      <c r="S95" s="144"/>
      <c r="T95" s="142" t="s">
        <v>138</v>
      </c>
      <c r="U95" s="143">
        <v>5</v>
      </c>
      <c r="V95" s="144"/>
      <c r="W95" s="142" t="s">
        <v>138</v>
      </c>
      <c r="X95" s="143">
        <v>5</v>
      </c>
      <c r="Y95" s="153"/>
      <c r="Z95" s="142" t="s">
        <v>138</v>
      </c>
      <c r="AA95" s="143">
        <v>5</v>
      </c>
      <c r="AB95" s="144"/>
      <c r="AC95" s="142" t="s">
        <v>138</v>
      </c>
      <c r="AD95" s="145">
        <v>5</v>
      </c>
      <c r="AE95" s="153"/>
    </row>
    <row r="96" spans="1:31">
      <c r="A96" s="149" t="s">
        <v>147</v>
      </c>
      <c r="B96" s="150" t="s">
        <v>148</v>
      </c>
      <c r="E96" s="142" t="s">
        <v>138</v>
      </c>
      <c r="F96" s="148">
        <v>10</v>
      </c>
      <c r="G96" s="144"/>
      <c r="H96" s="142" t="s">
        <v>138</v>
      </c>
      <c r="I96" s="148">
        <v>10</v>
      </c>
      <c r="J96" s="144"/>
      <c r="K96" s="142" t="s">
        <v>138</v>
      </c>
      <c r="L96" s="143">
        <v>5</v>
      </c>
      <c r="M96" s="144"/>
      <c r="N96" s="142" t="s">
        <v>138</v>
      </c>
      <c r="O96" s="143">
        <v>5</v>
      </c>
      <c r="P96" s="144"/>
      <c r="Q96" s="142" t="s">
        <v>138</v>
      </c>
      <c r="R96" s="143">
        <v>5</v>
      </c>
      <c r="S96" s="144"/>
      <c r="T96" s="142" t="s">
        <v>138</v>
      </c>
      <c r="U96" s="143">
        <v>5</v>
      </c>
      <c r="V96" s="144"/>
      <c r="W96" s="142" t="s">
        <v>138</v>
      </c>
      <c r="X96" s="143">
        <v>5</v>
      </c>
      <c r="Y96" s="154"/>
      <c r="Z96" s="142" t="s">
        <v>138</v>
      </c>
      <c r="AA96" s="143">
        <v>5</v>
      </c>
      <c r="AB96" s="144"/>
      <c r="AC96" s="142" t="s">
        <v>138</v>
      </c>
      <c r="AD96" s="145">
        <v>5</v>
      </c>
      <c r="AE96" s="154"/>
    </row>
    <row r="97" spans="1:31">
      <c r="A97" s="149" t="s">
        <v>149</v>
      </c>
      <c r="B97" s="150" t="s">
        <v>150</v>
      </c>
      <c r="E97" s="142"/>
      <c r="F97" s="148">
        <v>110</v>
      </c>
      <c r="G97" s="144"/>
      <c r="H97" s="142"/>
      <c r="I97" s="148">
        <v>130</v>
      </c>
      <c r="J97" s="144"/>
      <c r="K97" s="142"/>
      <c r="L97" s="148">
        <v>110</v>
      </c>
      <c r="M97" s="144"/>
      <c r="N97" s="142"/>
      <c r="O97" s="148">
        <v>110</v>
      </c>
      <c r="P97" s="144"/>
      <c r="Q97" s="142"/>
      <c r="R97" s="148">
        <v>74</v>
      </c>
      <c r="S97" s="144"/>
      <c r="T97" s="142"/>
      <c r="U97" s="148">
        <v>67</v>
      </c>
      <c r="V97" s="144"/>
      <c r="W97" s="142"/>
      <c r="X97" s="148">
        <v>70</v>
      </c>
      <c r="Y97" s="146"/>
      <c r="Z97" s="142"/>
      <c r="AA97" s="148">
        <v>70</v>
      </c>
      <c r="AB97" s="144"/>
      <c r="AC97" s="142"/>
      <c r="AD97" s="147">
        <v>24</v>
      </c>
      <c r="AE97" s="146"/>
    </row>
    <row r="98" spans="1:31">
      <c r="A98" s="155" t="s">
        <v>151</v>
      </c>
      <c r="B98" s="156" t="s">
        <v>152</v>
      </c>
      <c r="E98" s="142" t="s">
        <v>138</v>
      </c>
      <c r="F98" s="143">
        <v>5</v>
      </c>
      <c r="G98" s="144"/>
      <c r="H98" s="142" t="s">
        <v>138</v>
      </c>
      <c r="I98" s="143">
        <v>5</v>
      </c>
      <c r="J98" s="144"/>
      <c r="K98" s="142" t="s">
        <v>138</v>
      </c>
      <c r="L98" s="143">
        <v>5</v>
      </c>
      <c r="M98" s="144"/>
      <c r="N98" s="142" t="s">
        <v>138</v>
      </c>
      <c r="O98" s="143">
        <v>5</v>
      </c>
      <c r="P98" s="144"/>
      <c r="Q98" s="142" t="s">
        <v>138</v>
      </c>
      <c r="R98" s="143">
        <v>5</v>
      </c>
      <c r="S98" s="144"/>
      <c r="T98" s="142" t="s">
        <v>138</v>
      </c>
      <c r="U98" s="143">
        <v>5</v>
      </c>
      <c r="V98" s="144"/>
      <c r="W98" s="142" t="s">
        <v>138</v>
      </c>
      <c r="X98" s="143">
        <v>5</v>
      </c>
      <c r="Y98" s="146"/>
      <c r="Z98" s="142" t="s">
        <v>138</v>
      </c>
      <c r="AA98" s="143">
        <v>5</v>
      </c>
      <c r="AB98" s="144"/>
      <c r="AC98" s="142" t="s">
        <v>138</v>
      </c>
      <c r="AD98" s="145">
        <v>5</v>
      </c>
      <c r="AE98" s="146"/>
    </row>
    <row r="99" spans="1:31">
      <c r="A99" s="157" t="s">
        <v>153</v>
      </c>
      <c r="B99" s="158" t="s">
        <v>154</v>
      </c>
      <c r="E99" s="160" t="s">
        <v>138</v>
      </c>
      <c r="F99" s="161">
        <v>5</v>
      </c>
      <c r="G99" s="159"/>
      <c r="H99" s="160" t="s">
        <v>138</v>
      </c>
      <c r="I99" s="161">
        <v>5</v>
      </c>
      <c r="J99" s="159"/>
      <c r="K99" s="160" t="s">
        <v>138</v>
      </c>
      <c r="L99" s="161">
        <v>5</v>
      </c>
      <c r="M99" s="159"/>
      <c r="N99" s="160" t="s">
        <v>138</v>
      </c>
      <c r="O99" s="161">
        <v>5</v>
      </c>
      <c r="P99" s="159"/>
      <c r="Q99" s="160" t="s">
        <v>138</v>
      </c>
      <c r="R99" s="161">
        <v>5</v>
      </c>
      <c r="S99" s="159"/>
      <c r="T99" s="160" t="s">
        <v>138</v>
      </c>
      <c r="U99" s="161">
        <v>5</v>
      </c>
      <c r="V99" s="159"/>
      <c r="W99" s="160" t="s">
        <v>138</v>
      </c>
      <c r="X99" s="161">
        <v>5</v>
      </c>
      <c r="Y99" s="163"/>
      <c r="Z99" s="160" t="s">
        <v>138</v>
      </c>
      <c r="AA99" s="161">
        <v>5</v>
      </c>
      <c r="AB99" s="159"/>
      <c r="AC99" s="160" t="s">
        <v>138</v>
      </c>
      <c r="AD99" s="162">
        <v>5</v>
      </c>
      <c r="AE99" s="163"/>
    </row>
    <row r="100" spans="1:31">
      <c r="A100" s="164" t="s">
        <v>155</v>
      </c>
      <c r="B100" s="165"/>
      <c r="E100" s="142"/>
      <c r="F100" s="168"/>
      <c r="G100" s="144"/>
      <c r="H100" s="142"/>
      <c r="I100" s="168"/>
      <c r="J100" s="144"/>
      <c r="K100" s="142"/>
      <c r="L100" s="168"/>
      <c r="M100" s="144"/>
      <c r="N100" s="142"/>
      <c r="O100" s="168"/>
      <c r="P100" s="144"/>
      <c r="Q100" s="142"/>
      <c r="R100" s="168"/>
      <c r="S100" s="144"/>
      <c r="T100" s="142"/>
      <c r="U100" s="168"/>
      <c r="V100" s="144"/>
      <c r="W100" s="142"/>
      <c r="X100" s="168"/>
      <c r="Y100" s="144"/>
      <c r="Z100" s="142"/>
      <c r="AA100" s="168"/>
      <c r="AB100" s="144"/>
      <c r="AC100" s="142"/>
      <c r="AD100" s="168"/>
      <c r="AE100" s="144"/>
    </row>
    <row r="101" spans="1:31">
      <c r="A101" s="149" t="s">
        <v>156</v>
      </c>
      <c r="B101" s="150" t="s">
        <v>157</v>
      </c>
      <c r="E101" s="171"/>
      <c r="F101" s="169" t="s">
        <v>158</v>
      </c>
      <c r="G101" s="170"/>
      <c r="H101" s="171"/>
      <c r="I101" s="169" t="s">
        <v>34</v>
      </c>
      <c r="J101" s="170"/>
      <c r="K101" s="171"/>
      <c r="L101" s="169" t="s">
        <v>158</v>
      </c>
      <c r="M101" s="170"/>
      <c r="N101" s="171"/>
      <c r="O101" s="169" t="s">
        <v>34</v>
      </c>
      <c r="P101" s="170"/>
      <c r="Q101" s="171"/>
      <c r="R101" s="169" t="s">
        <v>158</v>
      </c>
      <c r="S101" s="170"/>
      <c r="T101" s="171"/>
      <c r="U101" s="169" t="s">
        <v>34</v>
      </c>
      <c r="V101" s="170"/>
      <c r="W101" s="171"/>
      <c r="X101" s="169" t="s">
        <v>158</v>
      </c>
      <c r="Y101" s="170"/>
      <c r="Z101" s="171"/>
      <c r="AA101" s="169" t="s">
        <v>34</v>
      </c>
      <c r="AB101" s="170"/>
      <c r="AC101" s="171"/>
      <c r="AD101" s="169" t="s">
        <v>158</v>
      </c>
      <c r="AE101" s="170"/>
    </row>
    <row r="102" spans="1:31">
      <c r="A102" s="149" t="s">
        <v>159</v>
      </c>
      <c r="B102" s="150" t="s">
        <v>160</v>
      </c>
      <c r="E102" s="171"/>
      <c r="F102" s="169" t="s">
        <v>158</v>
      </c>
      <c r="G102" s="170"/>
      <c r="H102" s="171"/>
      <c r="I102" s="169" t="s">
        <v>34</v>
      </c>
      <c r="J102" s="170"/>
      <c r="K102" s="171"/>
      <c r="L102" s="169" t="s">
        <v>158</v>
      </c>
      <c r="M102" s="170"/>
      <c r="N102" s="171"/>
      <c r="O102" s="169" t="s">
        <v>34</v>
      </c>
      <c r="P102" s="170"/>
      <c r="Q102" s="171"/>
      <c r="R102" s="169" t="s">
        <v>158</v>
      </c>
      <c r="S102" s="170"/>
      <c r="T102" s="171"/>
      <c r="U102" s="169" t="s">
        <v>34</v>
      </c>
      <c r="V102" s="170"/>
      <c r="W102" s="171"/>
      <c r="X102" s="169" t="s">
        <v>158</v>
      </c>
      <c r="Y102" s="170"/>
      <c r="Z102" s="171"/>
      <c r="AA102" s="169" t="s">
        <v>34</v>
      </c>
      <c r="AB102" s="170"/>
      <c r="AC102" s="171"/>
      <c r="AD102" s="169" t="s">
        <v>158</v>
      </c>
      <c r="AE102" s="170"/>
    </row>
    <row r="103" spans="1:31">
      <c r="A103" s="149" t="s">
        <v>161</v>
      </c>
      <c r="B103" s="150" t="s">
        <v>160</v>
      </c>
      <c r="E103" s="171"/>
      <c r="F103" s="169" t="s">
        <v>158</v>
      </c>
      <c r="G103" s="170"/>
      <c r="H103" s="171"/>
      <c r="I103" s="169" t="s">
        <v>34</v>
      </c>
      <c r="J103" s="170"/>
      <c r="K103" s="171"/>
      <c r="L103" s="169" t="s">
        <v>158</v>
      </c>
      <c r="M103" s="170"/>
      <c r="N103" s="171"/>
      <c r="O103" s="169" t="s">
        <v>34</v>
      </c>
      <c r="P103" s="170"/>
      <c r="Q103" s="171"/>
      <c r="R103" s="169" t="s">
        <v>158</v>
      </c>
      <c r="S103" s="170"/>
      <c r="T103" s="171"/>
      <c r="U103" s="169" t="s">
        <v>34</v>
      </c>
      <c r="V103" s="170"/>
      <c r="W103" s="171"/>
      <c r="X103" s="169" t="s">
        <v>158</v>
      </c>
      <c r="Y103" s="170"/>
      <c r="Z103" s="171"/>
      <c r="AA103" s="169" t="s">
        <v>34</v>
      </c>
      <c r="AB103" s="170"/>
      <c r="AC103" s="171"/>
      <c r="AD103" s="169" t="s">
        <v>158</v>
      </c>
      <c r="AE103" s="170"/>
    </row>
    <row r="104" spans="1:31">
      <c r="A104" s="149" t="s">
        <v>162</v>
      </c>
      <c r="B104" s="150" t="s">
        <v>160</v>
      </c>
      <c r="E104" s="171"/>
      <c r="F104" s="169" t="s">
        <v>158</v>
      </c>
      <c r="G104" s="170"/>
      <c r="H104" s="171"/>
      <c r="I104" s="169" t="s">
        <v>34</v>
      </c>
      <c r="J104" s="170"/>
      <c r="K104" s="171"/>
      <c r="L104" s="169" t="s">
        <v>158</v>
      </c>
      <c r="M104" s="170"/>
      <c r="N104" s="171"/>
      <c r="O104" s="169" t="s">
        <v>34</v>
      </c>
      <c r="P104" s="170"/>
      <c r="Q104" s="171"/>
      <c r="R104" s="169" t="s">
        <v>158</v>
      </c>
      <c r="S104" s="170"/>
      <c r="T104" s="171"/>
      <c r="U104" s="169" t="s">
        <v>34</v>
      </c>
      <c r="V104" s="170"/>
      <c r="W104" s="171"/>
      <c r="X104" s="169" t="s">
        <v>158</v>
      </c>
      <c r="Y104" s="170"/>
      <c r="Z104" s="171"/>
      <c r="AA104" s="169" t="s">
        <v>34</v>
      </c>
      <c r="AB104" s="170"/>
      <c r="AC104" s="171"/>
      <c r="AD104" s="169" t="s">
        <v>158</v>
      </c>
      <c r="AE104" s="170"/>
    </row>
    <row r="105" spans="1:31">
      <c r="A105" s="149" t="s">
        <v>163</v>
      </c>
      <c r="B105" s="150" t="s">
        <v>160</v>
      </c>
      <c r="E105" s="171"/>
      <c r="F105" s="169" t="s">
        <v>158</v>
      </c>
      <c r="G105" s="170"/>
      <c r="H105" s="171"/>
      <c r="I105" s="169" t="s">
        <v>34</v>
      </c>
      <c r="J105" s="170"/>
      <c r="K105" s="171"/>
      <c r="L105" s="169" t="s">
        <v>158</v>
      </c>
      <c r="M105" s="170"/>
      <c r="N105" s="171"/>
      <c r="O105" s="169" t="s">
        <v>34</v>
      </c>
      <c r="P105" s="170"/>
      <c r="Q105" s="171"/>
      <c r="R105" s="169" t="s">
        <v>158</v>
      </c>
      <c r="S105" s="170"/>
      <c r="T105" s="171"/>
      <c r="U105" s="169" t="s">
        <v>34</v>
      </c>
      <c r="V105" s="170"/>
      <c r="W105" s="171"/>
      <c r="X105" s="169" t="s">
        <v>158</v>
      </c>
      <c r="Y105" s="170"/>
      <c r="Z105" s="171"/>
      <c r="AA105" s="169" t="s">
        <v>34</v>
      </c>
      <c r="AB105" s="170"/>
      <c r="AC105" s="171"/>
      <c r="AD105" s="169" t="s">
        <v>158</v>
      </c>
      <c r="AE105" s="170"/>
    </row>
    <row r="106" spans="1:31">
      <c r="A106" s="149" t="s">
        <v>164</v>
      </c>
      <c r="B106" s="150" t="s">
        <v>160</v>
      </c>
      <c r="E106" s="171"/>
      <c r="F106" s="169" t="s">
        <v>158</v>
      </c>
      <c r="G106" s="170"/>
      <c r="H106" s="171"/>
      <c r="I106" s="169" t="s">
        <v>34</v>
      </c>
      <c r="J106" s="170"/>
      <c r="K106" s="171"/>
      <c r="L106" s="169" t="s">
        <v>158</v>
      </c>
      <c r="M106" s="170"/>
      <c r="N106" s="171"/>
      <c r="O106" s="169" t="s">
        <v>34</v>
      </c>
      <c r="P106" s="170"/>
      <c r="Q106" s="171"/>
      <c r="R106" s="169" t="s">
        <v>158</v>
      </c>
      <c r="S106" s="170"/>
      <c r="T106" s="171"/>
      <c r="U106" s="169" t="s">
        <v>34</v>
      </c>
      <c r="V106" s="170"/>
      <c r="W106" s="171"/>
      <c r="X106" s="169" t="s">
        <v>158</v>
      </c>
      <c r="Y106" s="170"/>
      <c r="Z106" s="171"/>
      <c r="AA106" s="169" t="s">
        <v>34</v>
      </c>
      <c r="AB106" s="170"/>
      <c r="AC106" s="171"/>
      <c r="AD106" s="169" t="s">
        <v>158</v>
      </c>
      <c r="AE106" s="170"/>
    </row>
    <row r="107" spans="1:31">
      <c r="A107" s="149" t="s">
        <v>165</v>
      </c>
      <c r="B107" s="150" t="s">
        <v>160</v>
      </c>
      <c r="E107" s="171"/>
      <c r="F107" s="169" t="s">
        <v>158</v>
      </c>
      <c r="G107" s="170"/>
      <c r="H107" s="171"/>
      <c r="I107" s="169" t="s">
        <v>34</v>
      </c>
      <c r="J107" s="170"/>
      <c r="K107" s="171"/>
      <c r="L107" s="169" t="s">
        <v>158</v>
      </c>
      <c r="M107" s="170"/>
      <c r="N107" s="171"/>
      <c r="O107" s="169" t="s">
        <v>34</v>
      </c>
      <c r="P107" s="170"/>
      <c r="Q107" s="171"/>
      <c r="R107" s="169" t="s">
        <v>158</v>
      </c>
      <c r="S107" s="170"/>
      <c r="T107" s="171"/>
      <c r="U107" s="169" t="s">
        <v>34</v>
      </c>
      <c r="V107" s="170"/>
      <c r="W107" s="171"/>
      <c r="X107" s="169" t="s">
        <v>158</v>
      </c>
      <c r="Y107" s="170"/>
      <c r="Z107" s="171"/>
      <c r="AA107" s="169" t="s">
        <v>34</v>
      </c>
      <c r="AB107" s="170"/>
      <c r="AC107" s="171"/>
      <c r="AD107" s="169" t="s">
        <v>158</v>
      </c>
      <c r="AE107" s="170"/>
    </row>
    <row r="108" spans="1:31">
      <c r="A108" s="149" t="s">
        <v>166</v>
      </c>
      <c r="B108" s="150" t="s">
        <v>160</v>
      </c>
      <c r="E108" s="171"/>
      <c r="F108" s="169" t="s">
        <v>158</v>
      </c>
      <c r="G108" s="170"/>
      <c r="H108" s="171"/>
      <c r="I108" s="169" t="s">
        <v>34</v>
      </c>
      <c r="J108" s="170"/>
      <c r="K108" s="171"/>
      <c r="L108" s="169" t="s">
        <v>158</v>
      </c>
      <c r="M108" s="170"/>
      <c r="N108" s="171"/>
      <c r="O108" s="169" t="s">
        <v>34</v>
      </c>
      <c r="P108" s="170"/>
      <c r="Q108" s="171"/>
      <c r="R108" s="169" t="s">
        <v>158</v>
      </c>
      <c r="S108" s="170"/>
      <c r="T108" s="171"/>
      <c r="U108" s="169" t="s">
        <v>34</v>
      </c>
      <c r="V108" s="170"/>
      <c r="W108" s="171"/>
      <c r="X108" s="169" t="s">
        <v>158</v>
      </c>
      <c r="Y108" s="170"/>
      <c r="Z108" s="171"/>
      <c r="AA108" s="169" t="s">
        <v>34</v>
      </c>
      <c r="AB108" s="170"/>
      <c r="AC108" s="171"/>
      <c r="AD108" s="169" t="s">
        <v>158</v>
      </c>
      <c r="AE108" s="170"/>
    </row>
    <row r="109" spans="1:31">
      <c r="A109" s="172" t="s">
        <v>167</v>
      </c>
      <c r="B109" s="173" t="s">
        <v>168</v>
      </c>
      <c r="E109" s="176"/>
      <c r="F109" s="174" t="s">
        <v>158</v>
      </c>
      <c r="G109" s="175"/>
      <c r="H109" s="176"/>
      <c r="I109" s="174" t="s">
        <v>34</v>
      </c>
      <c r="J109" s="175"/>
      <c r="K109" s="176"/>
      <c r="L109" s="174" t="s">
        <v>158</v>
      </c>
      <c r="M109" s="175"/>
      <c r="N109" s="176"/>
      <c r="O109" s="174" t="s">
        <v>34</v>
      </c>
      <c r="P109" s="175"/>
      <c r="Q109" s="176"/>
      <c r="R109" s="174" t="s">
        <v>158</v>
      </c>
      <c r="S109" s="175"/>
      <c r="T109" s="176"/>
      <c r="U109" s="174" t="s">
        <v>34</v>
      </c>
      <c r="V109" s="175"/>
      <c r="W109" s="176"/>
      <c r="X109" s="174" t="s">
        <v>158</v>
      </c>
      <c r="Y109" s="175"/>
      <c r="Z109" s="176"/>
      <c r="AA109" s="174" t="s">
        <v>34</v>
      </c>
      <c r="AB109" s="175"/>
      <c r="AC109" s="176"/>
      <c r="AD109" s="174" t="s">
        <v>158</v>
      </c>
      <c r="AE109" s="175"/>
    </row>
    <row r="110" spans="1:31">
      <c r="A110" s="177" t="s">
        <v>169</v>
      </c>
      <c r="B110" s="150"/>
      <c r="E110" s="166"/>
      <c r="F110" s="167"/>
      <c r="G110" s="144"/>
      <c r="H110" s="166"/>
      <c r="I110" s="167"/>
      <c r="J110" s="144"/>
      <c r="K110" s="166"/>
      <c r="L110" s="167"/>
      <c r="M110" s="144"/>
      <c r="N110" s="166"/>
      <c r="O110" s="167"/>
      <c r="P110" s="144"/>
      <c r="Q110" s="166"/>
      <c r="R110" s="167"/>
      <c r="S110" s="144"/>
      <c r="T110" s="166"/>
      <c r="U110" s="167"/>
      <c r="V110" s="144"/>
      <c r="W110" s="166"/>
      <c r="X110" s="167"/>
      <c r="Y110" s="144"/>
      <c r="Z110" s="166"/>
      <c r="AA110" s="167"/>
      <c r="AB110" s="144"/>
      <c r="AC110" s="166"/>
      <c r="AD110" s="167"/>
      <c r="AE110" s="144"/>
    </row>
    <row r="111" spans="1:31">
      <c r="A111" s="149" t="s">
        <v>167</v>
      </c>
      <c r="B111" s="150" t="s">
        <v>170</v>
      </c>
      <c r="E111" s="179"/>
      <c r="F111" s="168">
        <v>6.27</v>
      </c>
      <c r="G111" s="144"/>
      <c r="H111" s="179"/>
      <c r="I111" s="168" t="s">
        <v>34</v>
      </c>
      <c r="J111" s="144"/>
      <c r="K111" s="179"/>
      <c r="L111" s="168">
        <v>6.33</v>
      </c>
      <c r="M111" s="144"/>
      <c r="N111" s="179"/>
      <c r="O111" s="168" t="s">
        <v>34</v>
      </c>
      <c r="P111" s="144"/>
      <c r="Q111" s="179"/>
      <c r="R111" s="168">
        <v>5.38</v>
      </c>
      <c r="S111" s="144"/>
      <c r="T111" s="179"/>
      <c r="U111" s="168" t="s">
        <v>34</v>
      </c>
      <c r="V111" s="144"/>
      <c r="W111" s="179"/>
      <c r="X111" s="168">
        <v>6.27</v>
      </c>
      <c r="Y111" s="144"/>
      <c r="Z111" s="179"/>
      <c r="AA111" s="168" t="s">
        <v>34</v>
      </c>
      <c r="AB111" s="144"/>
      <c r="AC111" s="179"/>
      <c r="AD111" s="168">
        <v>6.96</v>
      </c>
      <c r="AE111" s="144"/>
    </row>
    <row r="112" spans="1:31">
      <c r="A112" s="149" t="s">
        <v>171</v>
      </c>
      <c r="B112" s="150" t="s">
        <v>172</v>
      </c>
      <c r="E112" s="179"/>
      <c r="F112" s="168">
        <v>28.18</v>
      </c>
      <c r="G112" s="144"/>
      <c r="H112" s="179"/>
      <c r="I112" s="168" t="s">
        <v>34</v>
      </c>
      <c r="J112" s="144"/>
      <c r="K112" s="179"/>
      <c r="L112" s="168">
        <v>17.21</v>
      </c>
      <c r="M112" s="144"/>
      <c r="N112" s="179"/>
      <c r="O112" s="168" t="s">
        <v>34</v>
      </c>
      <c r="P112" s="144"/>
      <c r="Q112" s="179"/>
      <c r="R112" s="168">
        <v>8.86</v>
      </c>
      <c r="S112" s="144"/>
      <c r="T112" s="179"/>
      <c r="U112" s="168" t="s">
        <v>34</v>
      </c>
      <c r="V112" s="144"/>
      <c r="W112" s="179"/>
      <c r="X112" s="168">
        <v>8.5500000000000007</v>
      </c>
      <c r="Y112" s="144"/>
      <c r="Z112" s="179"/>
      <c r="AA112" s="168" t="s">
        <v>34</v>
      </c>
      <c r="AB112" s="144"/>
      <c r="AC112" s="179"/>
      <c r="AD112" s="168">
        <v>16.170000000000002</v>
      </c>
      <c r="AE112" s="144"/>
    </row>
    <row r="113" spans="1:31">
      <c r="A113" s="149" t="s">
        <v>173</v>
      </c>
      <c r="B113" s="150" t="s">
        <v>174</v>
      </c>
      <c r="E113" s="179"/>
      <c r="F113" s="182">
        <v>1.335</v>
      </c>
      <c r="G113" s="144"/>
      <c r="H113" s="179"/>
      <c r="I113" s="182" t="s">
        <v>34</v>
      </c>
      <c r="J113" s="144"/>
      <c r="K113" s="179"/>
      <c r="L113" s="182">
        <v>0.89600000000000002</v>
      </c>
      <c r="M113" s="144"/>
      <c r="N113" s="179"/>
      <c r="O113" s="182" t="s">
        <v>34</v>
      </c>
      <c r="P113" s="144"/>
      <c r="Q113" s="179"/>
      <c r="R113" s="182">
        <v>1.0149999999999999</v>
      </c>
      <c r="S113" s="144"/>
      <c r="T113" s="179"/>
      <c r="U113" s="182" t="s">
        <v>34</v>
      </c>
      <c r="V113" s="144"/>
      <c r="W113" s="179"/>
      <c r="X113" s="182">
        <v>1.4710000000000001</v>
      </c>
      <c r="Y113" s="144"/>
      <c r="Z113" s="179"/>
      <c r="AA113" s="182" t="s">
        <v>34</v>
      </c>
      <c r="AB113" s="144"/>
      <c r="AC113" s="179"/>
      <c r="AD113" s="182">
        <v>0.95199999999999996</v>
      </c>
      <c r="AE113" s="144"/>
    </row>
    <row r="114" spans="1:31">
      <c r="A114" s="149" t="s">
        <v>175</v>
      </c>
      <c r="B114" s="150" t="s">
        <v>160</v>
      </c>
      <c r="E114" s="179"/>
      <c r="F114" s="168">
        <v>0.85</v>
      </c>
      <c r="G114" s="144"/>
      <c r="H114" s="179"/>
      <c r="I114" s="168" t="s">
        <v>34</v>
      </c>
      <c r="J114" s="144"/>
      <c r="K114" s="179"/>
      <c r="L114" s="168">
        <v>0.65</v>
      </c>
      <c r="M114" s="144"/>
      <c r="N114" s="179"/>
      <c r="O114" s="168" t="s">
        <v>34</v>
      </c>
      <c r="P114" s="144"/>
      <c r="Q114" s="179"/>
      <c r="R114" s="168">
        <v>0.66</v>
      </c>
      <c r="S114" s="144"/>
      <c r="T114" s="179"/>
      <c r="U114" s="168" t="s">
        <v>34</v>
      </c>
      <c r="V114" s="144"/>
      <c r="W114" s="179"/>
      <c r="X114" s="168">
        <v>0.36</v>
      </c>
      <c r="Y114" s="144"/>
      <c r="Z114" s="179"/>
      <c r="AA114" s="168" t="s">
        <v>34</v>
      </c>
      <c r="AB114" s="144"/>
      <c r="AC114" s="179"/>
      <c r="AD114" s="168">
        <v>0.19</v>
      </c>
      <c r="AE114" s="144"/>
    </row>
    <row r="115" spans="1:31">
      <c r="A115" s="149" t="s">
        <v>176</v>
      </c>
      <c r="B115" s="150" t="s">
        <v>177</v>
      </c>
      <c r="E115" s="179"/>
      <c r="F115" s="184">
        <v>28.5</v>
      </c>
      <c r="G115" s="144"/>
      <c r="H115" s="179"/>
      <c r="I115" s="184" t="s">
        <v>34</v>
      </c>
      <c r="J115" s="144"/>
      <c r="K115" s="179"/>
      <c r="L115" s="168">
        <v>38.6</v>
      </c>
      <c r="M115" s="144"/>
      <c r="N115" s="179"/>
      <c r="O115" s="184" t="s">
        <v>34</v>
      </c>
      <c r="P115" s="144"/>
      <c r="Q115" s="179"/>
      <c r="R115" s="168">
        <v>62.6</v>
      </c>
      <c r="S115" s="144"/>
      <c r="T115" s="179"/>
      <c r="U115" s="184" t="s">
        <v>34</v>
      </c>
      <c r="V115" s="144"/>
      <c r="W115" s="179"/>
      <c r="X115" s="168">
        <v>79.2</v>
      </c>
      <c r="Y115" s="144"/>
      <c r="Z115" s="179"/>
      <c r="AA115" s="184" t="s">
        <v>34</v>
      </c>
      <c r="AB115" s="144"/>
      <c r="AC115" s="179"/>
      <c r="AD115" s="168">
        <v>89.6</v>
      </c>
      <c r="AE115" s="144"/>
    </row>
    <row r="116" spans="1:31">
      <c r="A116" s="149" t="s">
        <v>178</v>
      </c>
      <c r="B116" s="150" t="s">
        <v>179</v>
      </c>
      <c r="E116" s="179"/>
      <c r="F116" s="168">
        <v>-10.4</v>
      </c>
      <c r="G116" s="144"/>
      <c r="H116" s="179"/>
      <c r="I116" s="168" t="s">
        <v>34</v>
      </c>
      <c r="J116" s="144"/>
      <c r="K116" s="179"/>
      <c r="L116" s="184">
        <v>14.4</v>
      </c>
      <c r="M116" s="144"/>
      <c r="N116" s="179"/>
      <c r="O116" s="168" t="s">
        <v>34</v>
      </c>
      <c r="P116" s="144"/>
      <c r="Q116" s="179"/>
      <c r="R116" s="184">
        <v>6.6</v>
      </c>
      <c r="S116" s="144"/>
      <c r="T116" s="179"/>
      <c r="U116" s="168" t="s">
        <v>34</v>
      </c>
      <c r="V116" s="144"/>
      <c r="W116" s="179"/>
      <c r="X116" s="184">
        <v>-22.9</v>
      </c>
      <c r="Y116" s="144"/>
      <c r="Z116" s="179"/>
      <c r="AA116" s="168" t="s">
        <v>34</v>
      </c>
      <c r="AB116" s="144"/>
      <c r="AC116" s="179"/>
      <c r="AD116" s="184">
        <v>-129.4</v>
      </c>
      <c r="AE116" s="144"/>
    </row>
    <row r="117" spans="1:31">
      <c r="A117" s="149" t="s">
        <v>180</v>
      </c>
      <c r="B117" s="150" t="s">
        <v>181</v>
      </c>
      <c r="E117" s="179"/>
      <c r="F117" s="168">
        <v>0.62</v>
      </c>
      <c r="G117" s="144"/>
      <c r="H117" s="179"/>
      <c r="I117" s="168" t="s">
        <v>34</v>
      </c>
      <c r="J117" s="144"/>
      <c r="K117" s="179"/>
      <c r="L117" s="180">
        <v>0.52</v>
      </c>
      <c r="M117" s="144"/>
      <c r="N117" s="179"/>
      <c r="O117" s="168" t="s">
        <v>34</v>
      </c>
      <c r="P117" s="144"/>
      <c r="Q117" s="179"/>
      <c r="R117" s="180">
        <v>0.74</v>
      </c>
      <c r="S117" s="144"/>
      <c r="T117" s="179"/>
      <c r="U117" s="168" t="s">
        <v>34</v>
      </c>
      <c r="V117" s="144"/>
      <c r="W117" s="179"/>
      <c r="X117" s="180">
        <v>0.74</v>
      </c>
      <c r="Y117" s="144"/>
      <c r="Z117" s="179"/>
      <c r="AA117" s="168" t="s">
        <v>34</v>
      </c>
      <c r="AB117" s="144"/>
      <c r="AC117" s="179"/>
      <c r="AD117" s="180">
        <v>0.56999999999999995</v>
      </c>
      <c r="AE117" s="144"/>
    </row>
    <row r="118" spans="1:31">
      <c r="A118" s="149" t="s">
        <v>166</v>
      </c>
      <c r="B118" s="150" t="s">
        <v>182</v>
      </c>
      <c r="E118" s="179"/>
      <c r="F118" s="168">
        <v>0.81799999999999995</v>
      </c>
      <c r="G118" s="144"/>
      <c r="H118" s="179"/>
      <c r="I118" s="168" t="s">
        <v>34</v>
      </c>
      <c r="J118" s="144"/>
      <c r="K118" s="179"/>
      <c r="L118" s="168">
        <v>0.68400000000000005</v>
      </c>
      <c r="M118" s="144"/>
      <c r="N118" s="179"/>
      <c r="O118" s="168" t="s">
        <v>34</v>
      </c>
      <c r="P118" s="144"/>
      <c r="Q118" s="179"/>
      <c r="R118" s="168">
        <v>0.95399999999999996</v>
      </c>
      <c r="S118" s="144"/>
      <c r="T118" s="179"/>
      <c r="U118" s="168" t="s">
        <v>34</v>
      </c>
      <c r="V118" s="144"/>
      <c r="W118" s="179"/>
      <c r="X118" s="168">
        <v>0.95599999999999996</v>
      </c>
      <c r="Y118" s="144"/>
      <c r="Z118" s="179"/>
      <c r="AA118" s="168" t="s">
        <v>34</v>
      </c>
      <c r="AB118" s="144"/>
      <c r="AC118" s="179"/>
      <c r="AD118" s="168">
        <v>0.745</v>
      </c>
      <c r="AE118" s="144"/>
    </row>
    <row r="119" spans="1:31">
      <c r="A119" s="149" t="s">
        <v>183</v>
      </c>
      <c r="B119" s="150" t="s">
        <v>9</v>
      </c>
      <c r="E119" s="179"/>
      <c r="F119" s="184">
        <v>3</v>
      </c>
      <c r="G119" s="144"/>
      <c r="H119" s="179"/>
      <c r="I119" s="180" t="s">
        <v>34</v>
      </c>
      <c r="J119" s="144"/>
      <c r="K119" s="179"/>
      <c r="L119" s="184">
        <v>3</v>
      </c>
      <c r="M119" s="144"/>
      <c r="N119" s="179"/>
      <c r="O119" s="180" t="s">
        <v>34</v>
      </c>
      <c r="P119" s="144"/>
      <c r="Q119" s="179"/>
      <c r="R119" s="184">
        <v>3</v>
      </c>
      <c r="S119" s="144"/>
      <c r="T119" s="179"/>
      <c r="U119" s="180" t="s">
        <v>34</v>
      </c>
      <c r="V119" s="144"/>
      <c r="W119" s="179"/>
      <c r="X119" s="184">
        <v>3</v>
      </c>
      <c r="Y119" s="144"/>
      <c r="Z119" s="179"/>
      <c r="AA119" s="180" t="s">
        <v>34</v>
      </c>
      <c r="AB119" s="144"/>
      <c r="AC119" s="179"/>
      <c r="AD119" s="184">
        <v>4.5</v>
      </c>
      <c r="AE119" s="144"/>
    </row>
    <row r="120" spans="1:31" ht="18.75" customHeight="1">
      <c r="A120" s="172" t="s">
        <v>184</v>
      </c>
      <c r="B120" s="173" t="s">
        <v>185</v>
      </c>
      <c r="E120" s="185"/>
      <c r="F120" s="186">
        <v>100</v>
      </c>
      <c r="G120" s="159"/>
      <c r="H120" s="185"/>
      <c r="I120" s="186" t="s">
        <v>34</v>
      </c>
      <c r="J120" s="159"/>
      <c r="K120" s="185"/>
      <c r="L120" s="186">
        <v>100</v>
      </c>
      <c r="M120" s="159"/>
      <c r="N120" s="185"/>
      <c r="O120" s="186" t="s">
        <v>34</v>
      </c>
      <c r="P120" s="159"/>
      <c r="Q120" s="185"/>
      <c r="R120" s="186">
        <v>100</v>
      </c>
      <c r="S120" s="159"/>
      <c r="T120" s="185"/>
      <c r="U120" s="186" t="s">
        <v>34</v>
      </c>
      <c r="V120" s="159"/>
      <c r="W120" s="185"/>
      <c r="X120" s="186">
        <v>100</v>
      </c>
      <c r="Y120" s="159"/>
      <c r="Z120" s="185"/>
      <c r="AA120" s="186" t="s">
        <v>34</v>
      </c>
      <c r="AB120" s="159"/>
      <c r="AC120" s="185"/>
      <c r="AD120" s="186">
        <v>150</v>
      </c>
      <c r="AE120" s="159"/>
    </row>
    <row r="121" spans="1:31">
      <c r="A121" s="129"/>
      <c r="B121" s="130" t="s">
        <v>60</v>
      </c>
      <c r="E121" s="220" t="s">
        <v>88</v>
      </c>
      <c r="F121" s="221"/>
      <c r="G121" s="221"/>
      <c r="H121" s="220" t="s">
        <v>89</v>
      </c>
      <c r="I121" s="221"/>
      <c r="J121" s="221"/>
      <c r="K121" s="220" t="s">
        <v>90</v>
      </c>
      <c r="L121" s="221"/>
      <c r="M121" s="221"/>
      <c r="N121" s="220" t="s">
        <v>91</v>
      </c>
      <c r="O121" s="221"/>
      <c r="P121" s="221"/>
      <c r="Q121" s="220" t="s">
        <v>92</v>
      </c>
      <c r="R121" s="221"/>
      <c r="S121" s="221"/>
      <c r="T121" s="220" t="s">
        <v>93</v>
      </c>
      <c r="U121" s="221"/>
      <c r="V121" s="221"/>
      <c r="W121" s="220" t="s">
        <v>94</v>
      </c>
      <c r="X121" s="221"/>
      <c r="Y121" s="221"/>
      <c r="Z121" s="220" t="s">
        <v>95</v>
      </c>
      <c r="AA121" s="221"/>
      <c r="AB121" s="221"/>
      <c r="AC121" s="220" t="s">
        <v>96</v>
      </c>
      <c r="AD121" s="221"/>
      <c r="AE121" s="221"/>
    </row>
    <row r="122" spans="1:31">
      <c r="A122" s="131"/>
      <c r="B122" s="132" t="s">
        <v>115</v>
      </c>
      <c r="E122" s="215" t="s">
        <v>30</v>
      </c>
      <c r="F122" s="216"/>
      <c r="G122" s="216"/>
      <c r="H122" s="215" t="s">
        <v>30</v>
      </c>
      <c r="I122" s="216"/>
      <c r="J122" s="216"/>
      <c r="K122" s="215" t="s">
        <v>30</v>
      </c>
      <c r="L122" s="216"/>
      <c r="M122" s="216"/>
      <c r="N122" s="215" t="s">
        <v>30</v>
      </c>
      <c r="O122" s="216"/>
      <c r="P122" s="216"/>
      <c r="Q122" s="215" t="s">
        <v>30</v>
      </c>
      <c r="R122" s="216"/>
      <c r="S122" s="216"/>
      <c r="T122" s="215" t="s">
        <v>30</v>
      </c>
      <c r="U122" s="216"/>
      <c r="V122" s="216"/>
      <c r="W122" s="215" t="s">
        <v>30</v>
      </c>
      <c r="X122" s="216"/>
      <c r="Y122" s="216"/>
      <c r="Z122" s="215" t="s">
        <v>30</v>
      </c>
      <c r="AA122" s="216"/>
      <c r="AB122" s="216"/>
      <c r="AC122" s="215" t="s">
        <v>30</v>
      </c>
      <c r="AD122" s="216"/>
      <c r="AE122" s="216"/>
    </row>
    <row r="123" spans="1:31">
      <c r="A123" s="131"/>
      <c r="B123" s="132" t="s">
        <v>116</v>
      </c>
      <c r="E123" s="217">
        <v>40864</v>
      </c>
      <c r="F123" s="218"/>
      <c r="G123" s="219"/>
      <c r="H123" s="217">
        <v>40900</v>
      </c>
      <c r="I123" s="218"/>
      <c r="J123" s="219"/>
      <c r="K123" s="217">
        <v>40900</v>
      </c>
      <c r="L123" s="218"/>
      <c r="M123" s="219"/>
      <c r="N123" s="217">
        <v>41081</v>
      </c>
      <c r="O123" s="218"/>
      <c r="P123" s="219"/>
      <c r="Q123" s="217">
        <v>41081</v>
      </c>
      <c r="R123" s="218"/>
      <c r="S123" s="219"/>
      <c r="T123" s="217">
        <v>41172</v>
      </c>
      <c r="U123" s="218"/>
      <c r="V123" s="219"/>
      <c r="W123" s="217">
        <v>41172</v>
      </c>
      <c r="X123" s="218"/>
      <c r="Y123" s="219"/>
      <c r="Z123" s="217">
        <v>41354</v>
      </c>
      <c r="AA123" s="218"/>
      <c r="AB123" s="219"/>
      <c r="AC123" s="217">
        <v>41354</v>
      </c>
      <c r="AD123" s="218"/>
      <c r="AE123" s="219"/>
    </row>
    <row r="124" spans="1:31">
      <c r="A124" s="131"/>
      <c r="B124" s="132" t="s">
        <v>13</v>
      </c>
      <c r="E124" s="211" t="s">
        <v>119</v>
      </c>
      <c r="F124" s="211"/>
      <c r="G124" s="211"/>
      <c r="H124" s="211" t="s">
        <v>119</v>
      </c>
      <c r="I124" s="211"/>
      <c r="J124" s="211"/>
      <c r="K124" s="211" t="s">
        <v>119</v>
      </c>
      <c r="L124" s="211"/>
      <c r="M124" s="211"/>
      <c r="N124" s="211" t="s">
        <v>119</v>
      </c>
      <c r="O124" s="211"/>
      <c r="P124" s="211"/>
      <c r="Q124" s="211" t="s">
        <v>119</v>
      </c>
      <c r="R124" s="211"/>
      <c r="S124" s="211"/>
      <c r="T124" s="211" t="s">
        <v>119</v>
      </c>
      <c r="U124" s="211"/>
      <c r="V124" s="211"/>
      <c r="W124" s="211" t="s">
        <v>119</v>
      </c>
      <c r="X124" s="211"/>
      <c r="Y124" s="211"/>
      <c r="Z124" s="211" t="s">
        <v>119</v>
      </c>
      <c r="AA124" s="211"/>
      <c r="AB124" s="211"/>
      <c r="AC124" s="211" t="s">
        <v>119</v>
      </c>
      <c r="AD124" s="211"/>
      <c r="AE124" s="211"/>
    </row>
    <row r="125" spans="1:31">
      <c r="A125" s="131"/>
      <c r="B125" s="132" t="s">
        <v>122</v>
      </c>
      <c r="E125" s="211" t="s">
        <v>123</v>
      </c>
      <c r="F125" s="211"/>
      <c r="G125" s="211"/>
      <c r="H125" s="211" t="s">
        <v>123</v>
      </c>
      <c r="I125" s="211"/>
      <c r="J125" s="211"/>
      <c r="K125" s="211" t="s">
        <v>123</v>
      </c>
      <c r="L125" s="211"/>
      <c r="M125" s="211"/>
      <c r="N125" s="211" t="s">
        <v>123</v>
      </c>
      <c r="O125" s="211"/>
      <c r="P125" s="211"/>
      <c r="Q125" s="211" t="s">
        <v>123</v>
      </c>
      <c r="R125" s="211"/>
      <c r="S125" s="211"/>
      <c r="T125" s="211" t="s">
        <v>123</v>
      </c>
      <c r="U125" s="211"/>
      <c r="V125" s="211"/>
      <c r="W125" s="211" t="s">
        <v>123</v>
      </c>
      <c r="X125" s="211"/>
      <c r="Y125" s="211"/>
      <c r="Z125" s="211" t="s">
        <v>123</v>
      </c>
      <c r="AA125" s="211"/>
      <c r="AB125" s="211"/>
      <c r="AC125" s="211" t="s">
        <v>123</v>
      </c>
      <c r="AD125" s="211"/>
      <c r="AE125" s="211"/>
    </row>
    <row r="126" spans="1:31">
      <c r="A126" s="131"/>
      <c r="B126" s="132" t="s">
        <v>124</v>
      </c>
      <c r="E126" s="211" t="s">
        <v>125</v>
      </c>
      <c r="F126" s="211"/>
      <c r="G126" s="211"/>
      <c r="H126" s="211" t="s">
        <v>125</v>
      </c>
      <c r="I126" s="211"/>
      <c r="J126" s="211"/>
      <c r="K126" s="211" t="s">
        <v>125</v>
      </c>
      <c r="L126" s="211"/>
      <c r="M126" s="211"/>
      <c r="N126" s="211" t="s">
        <v>125</v>
      </c>
      <c r="O126" s="211"/>
      <c r="P126" s="211"/>
      <c r="Q126" s="211" t="s">
        <v>125</v>
      </c>
      <c r="R126" s="211"/>
      <c r="S126" s="211"/>
      <c r="T126" s="211" t="s">
        <v>125</v>
      </c>
      <c r="U126" s="211"/>
      <c r="V126" s="211"/>
      <c r="W126" s="211" t="s">
        <v>125</v>
      </c>
      <c r="X126" s="211"/>
      <c r="Y126" s="211"/>
      <c r="Z126" s="211" t="s">
        <v>125</v>
      </c>
      <c r="AA126" s="211"/>
      <c r="AB126" s="211"/>
      <c r="AC126" s="211" t="s">
        <v>125</v>
      </c>
      <c r="AD126" s="211"/>
      <c r="AE126" s="211"/>
    </row>
    <row r="127" spans="1:31">
      <c r="A127" s="131"/>
      <c r="B127" s="132" t="s">
        <v>126</v>
      </c>
      <c r="E127" s="211" t="s">
        <v>128</v>
      </c>
      <c r="F127" s="211"/>
      <c r="G127" s="211"/>
      <c r="H127" s="211" t="s">
        <v>128</v>
      </c>
      <c r="I127" s="211"/>
      <c r="J127" s="211"/>
      <c r="K127" s="211" t="s">
        <v>128</v>
      </c>
      <c r="L127" s="211"/>
      <c r="M127" s="211"/>
      <c r="N127" s="211" t="s">
        <v>128</v>
      </c>
      <c r="O127" s="211"/>
      <c r="P127" s="211"/>
      <c r="Q127" s="211" t="s">
        <v>128</v>
      </c>
      <c r="R127" s="211"/>
      <c r="S127" s="211"/>
      <c r="T127" s="211" t="s">
        <v>128</v>
      </c>
      <c r="U127" s="211"/>
      <c r="V127" s="211"/>
      <c r="W127" s="211" t="s">
        <v>128</v>
      </c>
      <c r="X127" s="211"/>
      <c r="Y127" s="211"/>
      <c r="Z127" s="211" t="s">
        <v>128</v>
      </c>
      <c r="AA127" s="211"/>
      <c r="AB127" s="211"/>
      <c r="AC127" s="211" t="s">
        <v>128</v>
      </c>
      <c r="AD127" s="211"/>
      <c r="AE127" s="211"/>
    </row>
    <row r="128" spans="1:31">
      <c r="A128" s="131"/>
      <c r="B128" s="132" t="s">
        <v>131</v>
      </c>
      <c r="E128" s="211" t="s">
        <v>132</v>
      </c>
      <c r="F128" s="211"/>
      <c r="G128" s="211"/>
      <c r="H128" s="211" t="s">
        <v>132</v>
      </c>
      <c r="I128" s="211"/>
      <c r="J128" s="211"/>
      <c r="K128" s="211" t="s">
        <v>132</v>
      </c>
      <c r="L128" s="211"/>
      <c r="M128" s="211"/>
      <c r="N128" s="211" t="s">
        <v>132</v>
      </c>
      <c r="O128" s="211"/>
      <c r="P128" s="211"/>
      <c r="Q128" s="211" t="s">
        <v>132</v>
      </c>
      <c r="R128" s="211"/>
      <c r="S128" s="211"/>
      <c r="T128" s="211" t="s">
        <v>132</v>
      </c>
      <c r="U128" s="211"/>
      <c r="V128" s="211"/>
      <c r="W128" s="211" t="s">
        <v>132</v>
      </c>
      <c r="X128" s="211"/>
      <c r="Y128" s="211"/>
      <c r="Z128" s="211" t="s">
        <v>132</v>
      </c>
      <c r="AA128" s="211"/>
      <c r="AB128" s="211"/>
      <c r="AC128" s="211" t="s">
        <v>132</v>
      </c>
      <c r="AD128" s="211"/>
      <c r="AE128" s="211"/>
    </row>
    <row r="129" spans="1:31" ht="13.5" thickBot="1">
      <c r="A129" s="133" t="s">
        <v>133</v>
      </c>
      <c r="B129" s="134" t="s">
        <v>134</v>
      </c>
      <c r="E129" s="212"/>
      <c r="F129" s="213"/>
      <c r="G129" s="214"/>
      <c r="H129" s="212"/>
      <c r="I129" s="213"/>
      <c r="J129" s="214"/>
      <c r="K129" s="212"/>
      <c r="L129" s="213"/>
      <c r="M129" s="214"/>
      <c r="N129" s="212"/>
      <c r="O129" s="213"/>
      <c r="P129" s="214"/>
      <c r="Q129" s="212"/>
      <c r="R129" s="213"/>
      <c r="S129" s="214"/>
      <c r="T129" s="212"/>
      <c r="U129" s="213"/>
      <c r="V129" s="214"/>
      <c r="W129" s="212"/>
      <c r="X129" s="213"/>
      <c r="Y129" s="214"/>
      <c r="Z129" s="212"/>
      <c r="AA129" s="213"/>
      <c r="AB129" s="214"/>
      <c r="AC129" s="212"/>
      <c r="AD129" s="213"/>
      <c r="AE129" s="214"/>
    </row>
    <row r="130" spans="1:31">
      <c r="A130" s="135" t="s">
        <v>135</v>
      </c>
      <c r="B130" s="136"/>
      <c r="E130" s="137"/>
      <c r="F130" s="138"/>
      <c r="G130" s="139"/>
      <c r="H130" s="137"/>
      <c r="I130" s="138"/>
      <c r="J130" s="139"/>
      <c r="K130" s="137"/>
      <c r="L130" s="138"/>
      <c r="M130" s="139"/>
      <c r="N130" s="137"/>
      <c r="O130" s="138"/>
      <c r="P130" s="139"/>
      <c r="Q130" s="137"/>
      <c r="R130" s="138"/>
      <c r="S130" s="139"/>
      <c r="T130" s="137"/>
      <c r="U130" s="138"/>
      <c r="V130" s="139"/>
      <c r="W130" s="137"/>
      <c r="X130" s="138"/>
      <c r="Y130" s="139"/>
      <c r="Z130" s="137"/>
      <c r="AA130" s="138"/>
      <c r="AB130" s="139"/>
      <c r="AC130" s="137"/>
      <c r="AD130" s="138"/>
      <c r="AE130" s="139"/>
    </row>
    <row r="131" spans="1:31">
      <c r="A131" s="140" t="s">
        <v>136</v>
      </c>
      <c r="B131" s="141" t="s">
        <v>137</v>
      </c>
      <c r="E131" s="142" t="s">
        <v>138</v>
      </c>
      <c r="F131" s="145">
        <v>5</v>
      </c>
      <c r="G131" s="144"/>
      <c r="H131" s="142" t="s">
        <v>138</v>
      </c>
      <c r="I131" s="145">
        <v>5</v>
      </c>
      <c r="J131" s="146"/>
      <c r="K131" s="142" t="s">
        <v>138</v>
      </c>
      <c r="L131" s="145">
        <v>5</v>
      </c>
      <c r="M131" s="144"/>
      <c r="N131" s="142" t="s">
        <v>138</v>
      </c>
      <c r="O131" s="145">
        <v>2</v>
      </c>
      <c r="P131" s="146"/>
      <c r="Q131" s="142" t="s">
        <v>138</v>
      </c>
      <c r="R131" s="145">
        <v>2</v>
      </c>
      <c r="S131" s="144"/>
      <c r="T131" s="142" t="s">
        <v>138</v>
      </c>
      <c r="U131" s="145">
        <v>2</v>
      </c>
      <c r="V131" s="146"/>
      <c r="W131" s="142" t="s">
        <v>138</v>
      </c>
      <c r="X131" s="145">
        <v>2</v>
      </c>
      <c r="Y131" s="144"/>
      <c r="Z131" s="142" t="s">
        <v>138</v>
      </c>
      <c r="AA131" s="145">
        <v>2</v>
      </c>
      <c r="AB131" s="146"/>
      <c r="AC131" s="142" t="s">
        <v>138</v>
      </c>
      <c r="AD131" s="145">
        <v>2</v>
      </c>
      <c r="AE131" s="144"/>
    </row>
    <row r="132" spans="1:31">
      <c r="A132" s="149" t="s">
        <v>139</v>
      </c>
      <c r="B132" s="150" t="s">
        <v>140</v>
      </c>
      <c r="E132" s="142" t="s">
        <v>138</v>
      </c>
      <c r="F132" s="145">
        <v>5</v>
      </c>
      <c r="G132" s="144"/>
      <c r="H132" s="142" t="s">
        <v>138</v>
      </c>
      <c r="I132" s="145">
        <v>5</v>
      </c>
      <c r="J132" s="151"/>
      <c r="K132" s="142" t="s">
        <v>138</v>
      </c>
      <c r="L132" s="145">
        <v>5</v>
      </c>
      <c r="M132" s="144"/>
      <c r="N132" s="142" t="s">
        <v>138</v>
      </c>
      <c r="O132" s="145">
        <v>2</v>
      </c>
      <c r="P132" s="151"/>
      <c r="Q132" s="142" t="s">
        <v>138</v>
      </c>
      <c r="R132" s="145">
        <v>2</v>
      </c>
      <c r="S132" s="144"/>
      <c r="T132" s="142" t="s">
        <v>138</v>
      </c>
      <c r="U132" s="145">
        <v>2</v>
      </c>
      <c r="V132" s="151"/>
      <c r="W132" s="142" t="s">
        <v>138</v>
      </c>
      <c r="X132" s="145">
        <v>2</v>
      </c>
      <c r="Y132" s="144"/>
      <c r="Z132" s="142" t="s">
        <v>138</v>
      </c>
      <c r="AA132" s="145">
        <v>2</v>
      </c>
      <c r="AB132" s="151"/>
      <c r="AC132" s="142" t="s">
        <v>138</v>
      </c>
      <c r="AD132" s="145">
        <v>2</v>
      </c>
      <c r="AE132" s="144"/>
    </row>
    <row r="133" spans="1:31">
      <c r="A133" s="149" t="s">
        <v>141</v>
      </c>
      <c r="B133" s="150" t="s">
        <v>142</v>
      </c>
      <c r="E133" s="142" t="s">
        <v>138</v>
      </c>
      <c r="F133" s="145">
        <v>5</v>
      </c>
      <c r="G133" s="152"/>
      <c r="H133" s="142" t="s">
        <v>138</v>
      </c>
      <c r="I133" s="145">
        <v>5</v>
      </c>
      <c r="J133" s="151"/>
      <c r="K133" s="142" t="s">
        <v>138</v>
      </c>
      <c r="L133" s="145">
        <v>5</v>
      </c>
      <c r="M133" s="152"/>
      <c r="N133" s="142" t="s">
        <v>138</v>
      </c>
      <c r="O133" s="145">
        <v>2</v>
      </c>
      <c r="P133" s="151"/>
      <c r="Q133" s="142" t="s">
        <v>138</v>
      </c>
      <c r="R133" s="145">
        <v>2</v>
      </c>
      <c r="S133" s="152"/>
      <c r="T133" s="142" t="s">
        <v>138</v>
      </c>
      <c r="U133" s="145">
        <v>2</v>
      </c>
      <c r="V133" s="151"/>
      <c r="W133" s="142" t="s">
        <v>138</v>
      </c>
      <c r="X133" s="145">
        <v>2</v>
      </c>
      <c r="Y133" s="152"/>
      <c r="Z133" s="142" t="s">
        <v>138</v>
      </c>
      <c r="AA133" s="145">
        <v>2</v>
      </c>
      <c r="AB133" s="151"/>
      <c r="AC133" s="142" t="s">
        <v>138</v>
      </c>
      <c r="AD133" s="145">
        <v>2</v>
      </c>
      <c r="AE133" s="152"/>
    </row>
    <row r="134" spans="1:31">
      <c r="A134" s="149" t="s">
        <v>143</v>
      </c>
      <c r="B134" s="150" t="s">
        <v>144</v>
      </c>
      <c r="E134" s="142" t="s">
        <v>138</v>
      </c>
      <c r="F134" s="145">
        <v>5</v>
      </c>
      <c r="G134" s="152"/>
      <c r="H134" s="142" t="s">
        <v>138</v>
      </c>
      <c r="I134" s="145">
        <v>5</v>
      </c>
      <c r="J134" s="151"/>
      <c r="K134" s="142" t="s">
        <v>138</v>
      </c>
      <c r="L134" s="145">
        <v>5</v>
      </c>
      <c r="M134" s="152"/>
      <c r="N134" s="142" t="s">
        <v>138</v>
      </c>
      <c r="O134" s="145">
        <v>2</v>
      </c>
      <c r="P134" s="151"/>
      <c r="Q134" s="142" t="s">
        <v>138</v>
      </c>
      <c r="R134" s="145">
        <v>2</v>
      </c>
      <c r="S134" s="152"/>
      <c r="T134" s="142" t="s">
        <v>138</v>
      </c>
      <c r="U134" s="145">
        <v>2</v>
      </c>
      <c r="V134" s="151"/>
      <c r="W134" s="142" t="s">
        <v>138</v>
      </c>
      <c r="X134" s="145">
        <v>2</v>
      </c>
      <c r="Y134" s="152"/>
      <c r="Z134" s="142" t="s">
        <v>138</v>
      </c>
      <c r="AA134" s="145">
        <v>2</v>
      </c>
      <c r="AB134" s="151"/>
      <c r="AC134" s="142" t="s">
        <v>138</v>
      </c>
      <c r="AD134" s="145">
        <v>2</v>
      </c>
      <c r="AE134" s="152"/>
    </row>
    <row r="135" spans="1:31">
      <c r="A135" s="149" t="s">
        <v>145</v>
      </c>
      <c r="B135" s="150" t="s">
        <v>146</v>
      </c>
      <c r="E135" s="142" t="s">
        <v>138</v>
      </c>
      <c r="F135" s="145">
        <v>5</v>
      </c>
      <c r="G135" s="144"/>
      <c r="H135" s="142" t="s">
        <v>138</v>
      </c>
      <c r="I135" s="145">
        <v>5</v>
      </c>
      <c r="J135" s="153"/>
      <c r="K135" s="142" t="s">
        <v>138</v>
      </c>
      <c r="L135" s="145">
        <v>5</v>
      </c>
      <c r="M135" s="144"/>
      <c r="N135" s="142" t="s">
        <v>138</v>
      </c>
      <c r="O135" s="145">
        <v>2</v>
      </c>
      <c r="P135" s="153"/>
      <c r="Q135" s="142" t="s">
        <v>138</v>
      </c>
      <c r="R135" s="145">
        <v>2</v>
      </c>
      <c r="S135" s="144"/>
      <c r="T135" s="142" t="s">
        <v>138</v>
      </c>
      <c r="U135" s="145">
        <v>2</v>
      </c>
      <c r="V135" s="153"/>
      <c r="W135" s="142" t="s">
        <v>138</v>
      </c>
      <c r="X135" s="145">
        <v>2</v>
      </c>
      <c r="Y135" s="144"/>
      <c r="Z135" s="142" t="s">
        <v>138</v>
      </c>
      <c r="AA135" s="145">
        <v>2</v>
      </c>
      <c r="AB135" s="153"/>
      <c r="AC135" s="142" t="s">
        <v>138</v>
      </c>
      <c r="AD135" s="145">
        <v>2</v>
      </c>
      <c r="AE135" s="144"/>
    </row>
    <row r="136" spans="1:31">
      <c r="A136" s="149" t="s">
        <v>147</v>
      </c>
      <c r="B136" s="150" t="s">
        <v>148</v>
      </c>
      <c r="E136" s="142" t="s">
        <v>138</v>
      </c>
      <c r="F136" s="145">
        <v>5</v>
      </c>
      <c r="G136" s="144"/>
      <c r="H136" s="142" t="s">
        <v>138</v>
      </c>
      <c r="I136" s="145">
        <v>5</v>
      </c>
      <c r="J136" s="154"/>
      <c r="K136" s="142" t="s">
        <v>138</v>
      </c>
      <c r="L136" s="145">
        <v>5</v>
      </c>
      <c r="M136" s="144"/>
      <c r="N136" s="142" t="s">
        <v>138</v>
      </c>
      <c r="O136" s="145">
        <v>2</v>
      </c>
      <c r="P136" s="154"/>
      <c r="Q136" s="142" t="s">
        <v>138</v>
      </c>
      <c r="R136" s="145">
        <v>2</v>
      </c>
      <c r="S136" s="144"/>
      <c r="T136" s="142" t="s">
        <v>138</v>
      </c>
      <c r="U136" s="145">
        <v>2</v>
      </c>
      <c r="V136" s="154"/>
      <c r="W136" s="142" t="s">
        <v>138</v>
      </c>
      <c r="X136" s="145">
        <v>2</v>
      </c>
      <c r="Y136" s="144"/>
      <c r="Z136" s="142" t="s">
        <v>138</v>
      </c>
      <c r="AA136" s="145">
        <v>2</v>
      </c>
      <c r="AB136" s="154"/>
      <c r="AC136" s="142" t="s">
        <v>138</v>
      </c>
      <c r="AD136" s="145">
        <v>2</v>
      </c>
      <c r="AE136" s="144"/>
    </row>
    <row r="137" spans="1:31">
      <c r="A137" s="149" t="s">
        <v>149</v>
      </c>
      <c r="B137" s="150" t="s">
        <v>150</v>
      </c>
      <c r="E137" s="142"/>
      <c r="F137" s="147">
        <v>24</v>
      </c>
      <c r="G137" s="144"/>
      <c r="H137" s="142"/>
      <c r="I137" s="147">
        <v>41</v>
      </c>
      <c r="J137" s="146"/>
      <c r="K137" s="142"/>
      <c r="L137" s="147">
        <v>41</v>
      </c>
      <c r="M137" s="144"/>
      <c r="N137" s="142"/>
      <c r="O137" s="147">
        <v>82</v>
      </c>
      <c r="P137" s="146"/>
      <c r="Q137" s="142"/>
      <c r="R137" s="147">
        <v>79</v>
      </c>
      <c r="S137" s="144"/>
      <c r="T137" s="142"/>
      <c r="U137" s="147">
        <v>90</v>
      </c>
      <c r="V137" s="146"/>
      <c r="W137" s="142"/>
      <c r="X137" s="147">
        <v>120</v>
      </c>
      <c r="Y137" s="144"/>
      <c r="Z137" s="142"/>
      <c r="AA137" s="147">
        <v>41</v>
      </c>
      <c r="AB137" s="146"/>
      <c r="AC137" s="142"/>
      <c r="AD137" s="147">
        <v>37</v>
      </c>
      <c r="AE137" s="144"/>
    </row>
    <row r="138" spans="1:31">
      <c r="A138" s="155" t="s">
        <v>151</v>
      </c>
      <c r="B138" s="156" t="s">
        <v>152</v>
      </c>
      <c r="E138" s="142" t="s">
        <v>138</v>
      </c>
      <c r="F138" s="145">
        <v>5</v>
      </c>
      <c r="G138" s="144"/>
      <c r="H138" s="142" t="s">
        <v>138</v>
      </c>
      <c r="I138" s="145">
        <v>5</v>
      </c>
      <c r="J138" s="146"/>
      <c r="K138" s="142" t="s">
        <v>138</v>
      </c>
      <c r="L138" s="145">
        <v>5</v>
      </c>
      <c r="M138" s="144"/>
      <c r="N138" s="142" t="s">
        <v>138</v>
      </c>
      <c r="O138" s="145">
        <v>2</v>
      </c>
      <c r="P138" s="146"/>
      <c r="Q138" s="142" t="s">
        <v>138</v>
      </c>
      <c r="R138" s="145">
        <v>2</v>
      </c>
      <c r="S138" s="144"/>
      <c r="T138" s="142" t="s">
        <v>138</v>
      </c>
      <c r="U138" s="145">
        <v>2</v>
      </c>
      <c r="V138" s="146"/>
      <c r="W138" s="142" t="s">
        <v>138</v>
      </c>
      <c r="X138" s="145">
        <v>2</v>
      </c>
      <c r="Y138" s="144"/>
      <c r="Z138" s="142" t="s">
        <v>138</v>
      </c>
      <c r="AA138" s="145">
        <v>2</v>
      </c>
      <c r="AB138" s="146"/>
      <c r="AC138" s="142" t="s">
        <v>138</v>
      </c>
      <c r="AD138" s="145">
        <v>2</v>
      </c>
      <c r="AE138" s="144"/>
    </row>
    <row r="139" spans="1:31">
      <c r="A139" s="157" t="s">
        <v>153</v>
      </c>
      <c r="B139" s="158" t="s">
        <v>154</v>
      </c>
      <c r="E139" s="160" t="s">
        <v>138</v>
      </c>
      <c r="F139" s="162">
        <v>5</v>
      </c>
      <c r="G139" s="159"/>
      <c r="H139" s="160" t="s">
        <v>138</v>
      </c>
      <c r="I139" s="162">
        <v>5</v>
      </c>
      <c r="J139" s="163"/>
      <c r="K139" s="160" t="s">
        <v>138</v>
      </c>
      <c r="L139" s="162">
        <v>5</v>
      </c>
      <c r="M139" s="159"/>
      <c r="N139" s="160" t="s">
        <v>138</v>
      </c>
      <c r="O139" s="162">
        <v>2</v>
      </c>
      <c r="P139" s="163"/>
      <c r="Q139" s="160" t="s">
        <v>138</v>
      </c>
      <c r="R139" s="162">
        <v>2</v>
      </c>
      <c r="S139" s="159"/>
      <c r="T139" s="160" t="s">
        <v>138</v>
      </c>
      <c r="U139" s="162">
        <v>2</v>
      </c>
      <c r="V139" s="163"/>
      <c r="W139" s="160" t="s">
        <v>138</v>
      </c>
      <c r="X139" s="162">
        <v>2</v>
      </c>
      <c r="Y139" s="159"/>
      <c r="Z139" s="160" t="s">
        <v>138</v>
      </c>
      <c r="AA139" s="162">
        <v>2</v>
      </c>
      <c r="AB139" s="163"/>
      <c r="AC139" s="160" t="s">
        <v>138</v>
      </c>
      <c r="AD139" s="162">
        <v>2</v>
      </c>
      <c r="AE139" s="159"/>
    </row>
    <row r="140" spans="1:31">
      <c r="A140" s="164" t="s">
        <v>155</v>
      </c>
      <c r="B140" s="165"/>
      <c r="E140" s="142"/>
      <c r="F140" s="168"/>
      <c r="G140" s="144"/>
      <c r="H140" s="142"/>
      <c r="I140" s="168"/>
      <c r="J140" s="144"/>
      <c r="K140" s="142"/>
      <c r="L140" s="168"/>
      <c r="M140" s="144"/>
      <c r="N140" s="142"/>
      <c r="O140" s="168"/>
      <c r="P140" s="144"/>
      <c r="Q140" s="142"/>
      <c r="R140" s="168"/>
      <c r="S140" s="144"/>
      <c r="T140" s="142"/>
      <c r="U140" s="168"/>
      <c r="V140" s="144"/>
      <c r="W140" s="142"/>
      <c r="X140" s="168"/>
      <c r="Y140" s="144"/>
      <c r="Z140" s="142"/>
      <c r="AA140" s="168"/>
      <c r="AB140" s="144"/>
      <c r="AC140" s="142"/>
      <c r="AD140" s="168"/>
      <c r="AE140" s="144"/>
    </row>
    <row r="141" spans="1:31">
      <c r="A141" s="149" t="s">
        <v>156</v>
      </c>
      <c r="B141" s="150" t="s">
        <v>157</v>
      </c>
      <c r="E141" s="171"/>
      <c r="F141" s="169" t="s">
        <v>34</v>
      </c>
      <c r="G141" s="170"/>
      <c r="H141" s="171"/>
      <c r="I141" s="169" t="s">
        <v>158</v>
      </c>
      <c r="J141" s="170"/>
      <c r="K141" s="171"/>
      <c r="L141" s="169" t="s">
        <v>34</v>
      </c>
      <c r="M141" s="170"/>
      <c r="N141" s="171"/>
      <c r="O141" s="169" t="s">
        <v>158</v>
      </c>
      <c r="P141" s="170"/>
      <c r="Q141" s="171"/>
      <c r="R141" s="169" t="s">
        <v>34</v>
      </c>
      <c r="S141" s="170"/>
      <c r="T141" s="171"/>
      <c r="U141" s="169" t="s">
        <v>158</v>
      </c>
      <c r="V141" s="170"/>
      <c r="W141" s="171"/>
      <c r="X141" s="169" t="s">
        <v>34</v>
      </c>
      <c r="Y141" s="170"/>
      <c r="Z141" s="171"/>
      <c r="AA141" s="169" t="s">
        <v>158</v>
      </c>
      <c r="AB141" s="170"/>
      <c r="AC141" s="171"/>
      <c r="AD141" s="169" t="s">
        <v>34</v>
      </c>
      <c r="AE141" s="170"/>
    </row>
    <row r="142" spans="1:31">
      <c r="A142" s="149" t="s">
        <v>159</v>
      </c>
      <c r="B142" s="150" t="s">
        <v>160</v>
      </c>
      <c r="E142" s="171"/>
      <c r="F142" s="169" t="s">
        <v>34</v>
      </c>
      <c r="G142" s="170"/>
      <c r="H142" s="171"/>
      <c r="I142" s="169" t="s">
        <v>158</v>
      </c>
      <c r="J142" s="170"/>
      <c r="K142" s="171"/>
      <c r="L142" s="169" t="s">
        <v>34</v>
      </c>
      <c r="M142" s="170"/>
      <c r="N142" s="171"/>
      <c r="O142" s="169" t="s">
        <v>158</v>
      </c>
      <c r="P142" s="170"/>
      <c r="Q142" s="171"/>
      <c r="R142" s="169" t="s">
        <v>34</v>
      </c>
      <c r="S142" s="170"/>
      <c r="T142" s="171"/>
      <c r="U142" s="169" t="s">
        <v>158</v>
      </c>
      <c r="V142" s="170"/>
      <c r="W142" s="171"/>
      <c r="X142" s="169" t="s">
        <v>34</v>
      </c>
      <c r="Y142" s="170"/>
      <c r="Z142" s="171"/>
      <c r="AA142" s="169" t="s">
        <v>158</v>
      </c>
      <c r="AB142" s="170"/>
      <c r="AC142" s="171"/>
      <c r="AD142" s="169" t="s">
        <v>34</v>
      </c>
      <c r="AE142" s="170"/>
    </row>
    <row r="143" spans="1:31">
      <c r="A143" s="149" t="s">
        <v>161</v>
      </c>
      <c r="B143" s="150" t="s">
        <v>160</v>
      </c>
      <c r="E143" s="171"/>
      <c r="F143" s="169" t="s">
        <v>34</v>
      </c>
      <c r="G143" s="170"/>
      <c r="H143" s="171"/>
      <c r="I143" s="169" t="s">
        <v>158</v>
      </c>
      <c r="J143" s="170"/>
      <c r="K143" s="171"/>
      <c r="L143" s="169" t="s">
        <v>34</v>
      </c>
      <c r="M143" s="170"/>
      <c r="N143" s="171"/>
      <c r="O143" s="169" t="s">
        <v>158</v>
      </c>
      <c r="P143" s="170"/>
      <c r="Q143" s="171"/>
      <c r="R143" s="169" t="s">
        <v>34</v>
      </c>
      <c r="S143" s="170"/>
      <c r="T143" s="171"/>
      <c r="U143" s="169" t="s">
        <v>158</v>
      </c>
      <c r="V143" s="170"/>
      <c r="W143" s="171"/>
      <c r="X143" s="169" t="s">
        <v>34</v>
      </c>
      <c r="Y143" s="170"/>
      <c r="Z143" s="171"/>
      <c r="AA143" s="169" t="s">
        <v>158</v>
      </c>
      <c r="AB143" s="170"/>
      <c r="AC143" s="171"/>
      <c r="AD143" s="169" t="s">
        <v>34</v>
      </c>
      <c r="AE143" s="170"/>
    </row>
    <row r="144" spans="1:31">
      <c r="A144" s="149" t="s">
        <v>162</v>
      </c>
      <c r="B144" s="150" t="s">
        <v>160</v>
      </c>
      <c r="E144" s="171"/>
      <c r="F144" s="169" t="s">
        <v>34</v>
      </c>
      <c r="G144" s="170"/>
      <c r="H144" s="171"/>
      <c r="I144" s="169" t="s">
        <v>158</v>
      </c>
      <c r="J144" s="170"/>
      <c r="K144" s="171"/>
      <c r="L144" s="169" t="s">
        <v>34</v>
      </c>
      <c r="M144" s="170"/>
      <c r="N144" s="171"/>
      <c r="O144" s="169" t="s">
        <v>158</v>
      </c>
      <c r="P144" s="170"/>
      <c r="Q144" s="171"/>
      <c r="R144" s="169" t="s">
        <v>34</v>
      </c>
      <c r="S144" s="170"/>
      <c r="T144" s="171"/>
      <c r="U144" s="169" t="s">
        <v>158</v>
      </c>
      <c r="V144" s="170"/>
      <c r="W144" s="171"/>
      <c r="X144" s="169" t="s">
        <v>34</v>
      </c>
      <c r="Y144" s="170"/>
      <c r="Z144" s="171"/>
      <c r="AA144" s="169" t="s">
        <v>158</v>
      </c>
      <c r="AB144" s="170"/>
      <c r="AC144" s="171"/>
      <c r="AD144" s="169" t="s">
        <v>34</v>
      </c>
      <c r="AE144" s="170"/>
    </row>
    <row r="145" spans="1:31">
      <c r="A145" s="149" t="s">
        <v>163</v>
      </c>
      <c r="B145" s="150" t="s">
        <v>160</v>
      </c>
      <c r="E145" s="171"/>
      <c r="F145" s="169" t="s">
        <v>34</v>
      </c>
      <c r="G145" s="170"/>
      <c r="H145" s="171"/>
      <c r="I145" s="169" t="s">
        <v>158</v>
      </c>
      <c r="J145" s="170"/>
      <c r="K145" s="171"/>
      <c r="L145" s="169" t="s">
        <v>34</v>
      </c>
      <c r="M145" s="170"/>
      <c r="N145" s="171"/>
      <c r="O145" s="169" t="s">
        <v>158</v>
      </c>
      <c r="P145" s="170"/>
      <c r="Q145" s="171"/>
      <c r="R145" s="169" t="s">
        <v>34</v>
      </c>
      <c r="S145" s="170"/>
      <c r="T145" s="171"/>
      <c r="U145" s="169" t="s">
        <v>158</v>
      </c>
      <c r="V145" s="170"/>
      <c r="W145" s="171"/>
      <c r="X145" s="169" t="s">
        <v>34</v>
      </c>
      <c r="Y145" s="170"/>
      <c r="Z145" s="171"/>
      <c r="AA145" s="169" t="s">
        <v>158</v>
      </c>
      <c r="AB145" s="170"/>
      <c r="AC145" s="171"/>
      <c r="AD145" s="169" t="s">
        <v>34</v>
      </c>
      <c r="AE145" s="170"/>
    </row>
    <row r="146" spans="1:31">
      <c r="A146" s="149" t="s">
        <v>164</v>
      </c>
      <c r="B146" s="150" t="s">
        <v>160</v>
      </c>
      <c r="E146" s="171"/>
      <c r="F146" s="169" t="s">
        <v>34</v>
      </c>
      <c r="G146" s="170"/>
      <c r="H146" s="171"/>
      <c r="I146" s="169" t="s">
        <v>158</v>
      </c>
      <c r="J146" s="170"/>
      <c r="K146" s="171"/>
      <c r="L146" s="169" t="s">
        <v>34</v>
      </c>
      <c r="M146" s="170"/>
      <c r="N146" s="171"/>
      <c r="O146" s="169" t="s">
        <v>158</v>
      </c>
      <c r="P146" s="170"/>
      <c r="Q146" s="171"/>
      <c r="R146" s="169" t="s">
        <v>34</v>
      </c>
      <c r="S146" s="170"/>
      <c r="T146" s="171"/>
      <c r="U146" s="169" t="s">
        <v>158</v>
      </c>
      <c r="V146" s="170"/>
      <c r="W146" s="171"/>
      <c r="X146" s="169" t="s">
        <v>34</v>
      </c>
      <c r="Y146" s="170"/>
      <c r="Z146" s="171"/>
      <c r="AA146" s="169" t="s">
        <v>158</v>
      </c>
      <c r="AB146" s="170"/>
      <c r="AC146" s="171"/>
      <c r="AD146" s="169" t="s">
        <v>34</v>
      </c>
      <c r="AE146" s="170"/>
    </row>
    <row r="147" spans="1:31">
      <c r="A147" s="149" t="s">
        <v>165</v>
      </c>
      <c r="B147" s="150" t="s">
        <v>160</v>
      </c>
      <c r="E147" s="171"/>
      <c r="F147" s="169" t="s">
        <v>34</v>
      </c>
      <c r="G147" s="170"/>
      <c r="H147" s="171"/>
      <c r="I147" s="169" t="s">
        <v>158</v>
      </c>
      <c r="J147" s="170"/>
      <c r="K147" s="171"/>
      <c r="L147" s="169" t="s">
        <v>34</v>
      </c>
      <c r="M147" s="170"/>
      <c r="N147" s="171"/>
      <c r="O147" s="169" t="s">
        <v>158</v>
      </c>
      <c r="P147" s="170"/>
      <c r="Q147" s="171"/>
      <c r="R147" s="169" t="s">
        <v>34</v>
      </c>
      <c r="S147" s="170"/>
      <c r="T147" s="171"/>
      <c r="U147" s="169" t="s">
        <v>158</v>
      </c>
      <c r="V147" s="170"/>
      <c r="W147" s="171"/>
      <c r="X147" s="169" t="s">
        <v>34</v>
      </c>
      <c r="Y147" s="170"/>
      <c r="Z147" s="171"/>
      <c r="AA147" s="169" t="s">
        <v>158</v>
      </c>
      <c r="AB147" s="170"/>
      <c r="AC147" s="171"/>
      <c r="AD147" s="169" t="s">
        <v>34</v>
      </c>
      <c r="AE147" s="170"/>
    </row>
    <row r="148" spans="1:31">
      <c r="A148" s="149" t="s">
        <v>166</v>
      </c>
      <c r="B148" s="150" t="s">
        <v>160</v>
      </c>
      <c r="E148" s="171"/>
      <c r="F148" s="169" t="s">
        <v>34</v>
      </c>
      <c r="G148" s="170"/>
      <c r="H148" s="171"/>
      <c r="I148" s="169" t="s">
        <v>158</v>
      </c>
      <c r="J148" s="170"/>
      <c r="K148" s="171"/>
      <c r="L148" s="169" t="s">
        <v>34</v>
      </c>
      <c r="M148" s="170"/>
      <c r="N148" s="171"/>
      <c r="O148" s="169" t="s">
        <v>158</v>
      </c>
      <c r="P148" s="170"/>
      <c r="Q148" s="171"/>
      <c r="R148" s="169" t="s">
        <v>34</v>
      </c>
      <c r="S148" s="170"/>
      <c r="T148" s="171"/>
      <c r="U148" s="169" t="s">
        <v>158</v>
      </c>
      <c r="V148" s="170"/>
      <c r="W148" s="171"/>
      <c r="X148" s="169" t="s">
        <v>34</v>
      </c>
      <c r="Y148" s="170"/>
      <c r="Z148" s="171"/>
      <c r="AA148" s="169" t="s">
        <v>158</v>
      </c>
      <c r="AB148" s="170"/>
      <c r="AC148" s="171"/>
      <c r="AD148" s="169" t="s">
        <v>34</v>
      </c>
      <c r="AE148" s="170"/>
    </row>
    <row r="149" spans="1:31">
      <c r="A149" s="172" t="s">
        <v>167</v>
      </c>
      <c r="B149" s="173" t="s">
        <v>168</v>
      </c>
      <c r="E149" s="176"/>
      <c r="F149" s="174" t="s">
        <v>34</v>
      </c>
      <c r="G149" s="175"/>
      <c r="H149" s="176"/>
      <c r="I149" s="174" t="s">
        <v>158</v>
      </c>
      <c r="J149" s="175"/>
      <c r="K149" s="176"/>
      <c r="L149" s="174" t="s">
        <v>34</v>
      </c>
      <c r="M149" s="175"/>
      <c r="N149" s="176"/>
      <c r="O149" s="174" t="s">
        <v>158</v>
      </c>
      <c r="P149" s="175"/>
      <c r="Q149" s="176"/>
      <c r="R149" s="174" t="s">
        <v>34</v>
      </c>
      <c r="S149" s="175"/>
      <c r="T149" s="176"/>
      <c r="U149" s="174" t="s">
        <v>158</v>
      </c>
      <c r="V149" s="175"/>
      <c r="W149" s="176"/>
      <c r="X149" s="174" t="s">
        <v>34</v>
      </c>
      <c r="Y149" s="175"/>
      <c r="Z149" s="176"/>
      <c r="AA149" s="174" t="s">
        <v>158</v>
      </c>
      <c r="AB149" s="175"/>
      <c r="AC149" s="176"/>
      <c r="AD149" s="174" t="s">
        <v>34</v>
      </c>
      <c r="AE149" s="175"/>
    </row>
    <row r="150" spans="1:31">
      <c r="A150" s="177" t="s">
        <v>169</v>
      </c>
      <c r="B150" s="150"/>
      <c r="E150" s="166"/>
      <c r="F150" s="167"/>
      <c r="G150" s="144"/>
      <c r="H150" s="166"/>
      <c r="I150" s="167"/>
      <c r="J150" s="144"/>
      <c r="K150" s="166"/>
      <c r="L150" s="167"/>
      <c r="M150" s="144"/>
      <c r="N150" s="166"/>
      <c r="O150" s="167"/>
      <c r="P150" s="144"/>
      <c r="Q150" s="166"/>
      <c r="R150" s="167"/>
      <c r="S150" s="144"/>
      <c r="T150" s="166"/>
      <c r="U150" s="167"/>
      <c r="V150" s="144"/>
      <c r="W150" s="166"/>
      <c r="X150" s="167"/>
      <c r="Y150" s="144"/>
      <c r="Z150" s="166"/>
      <c r="AA150" s="167"/>
      <c r="AB150" s="144"/>
      <c r="AC150" s="166"/>
      <c r="AD150" s="167"/>
      <c r="AE150" s="144"/>
    </row>
    <row r="151" spans="1:31">
      <c r="A151" s="149" t="s">
        <v>167</v>
      </c>
      <c r="B151" s="150" t="s">
        <v>170</v>
      </c>
      <c r="E151" s="179"/>
      <c r="F151" s="168" t="s">
        <v>34</v>
      </c>
      <c r="G151" s="144"/>
      <c r="H151" s="179"/>
      <c r="I151" s="168">
        <v>6.33</v>
      </c>
      <c r="J151" s="144"/>
      <c r="K151" s="179"/>
      <c r="L151" s="168" t="s">
        <v>34</v>
      </c>
      <c r="M151" s="144"/>
      <c r="N151" s="179"/>
      <c r="O151" s="168">
        <v>6.18</v>
      </c>
      <c r="P151" s="144"/>
      <c r="Q151" s="179"/>
      <c r="R151" s="168" t="s">
        <v>34</v>
      </c>
      <c r="S151" s="144"/>
      <c r="T151" s="179"/>
      <c r="U151" s="180">
        <v>6.2</v>
      </c>
      <c r="V151" s="144"/>
      <c r="W151" s="179"/>
      <c r="X151" s="168" t="s">
        <v>34</v>
      </c>
      <c r="Y151" s="144"/>
      <c r="Z151" s="179"/>
      <c r="AA151" s="180">
        <v>6.32</v>
      </c>
      <c r="AB151" s="144"/>
      <c r="AC151" s="179"/>
      <c r="AD151" s="168" t="s">
        <v>34</v>
      </c>
      <c r="AE151" s="144"/>
    </row>
    <row r="152" spans="1:31">
      <c r="A152" s="149" t="s">
        <v>171</v>
      </c>
      <c r="B152" s="150" t="s">
        <v>172</v>
      </c>
      <c r="E152" s="179"/>
      <c r="F152" s="168" t="s">
        <v>34</v>
      </c>
      <c r="G152" s="144"/>
      <c r="H152" s="179"/>
      <c r="I152" s="168">
        <v>13.24</v>
      </c>
      <c r="J152" s="144"/>
      <c r="K152" s="179"/>
      <c r="L152" s="168" t="s">
        <v>34</v>
      </c>
      <c r="M152" s="144"/>
      <c r="N152" s="179"/>
      <c r="O152" s="168">
        <v>19.420000000000002</v>
      </c>
      <c r="P152" s="144"/>
      <c r="Q152" s="179"/>
      <c r="R152" s="168" t="s">
        <v>34</v>
      </c>
      <c r="S152" s="144"/>
      <c r="T152" s="179"/>
      <c r="U152" s="168">
        <v>23.05</v>
      </c>
      <c r="V152" s="144"/>
      <c r="W152" s="179"/>
      <c r="X152" s="168" t="s">
        <v>34</v>
      </c>
      <c r="Y152" s="144"/>
      <c r="Z152" s="179"/>
      <c r="AA152" s="168">
        <v>5.24</v>
      </c>
      <c r="AB152" s="144"/>
      <c r="AC152" s="179"/>
      <c r="AD152" s="168" t="s">
        <v>34</v>
      </c>
      <c r="AE152" s="144"/>
    </row>
    <row r="153" spans="1:31">
      <c r="A153" s="149" t="s">
        <v>173</v>
      </c>
      <c r="B153" s="150" t="s">
        <v>174</v>
      </c>
      <c r="E153" s="179"/>
      <c r="F153" s="182" t="s">
        <v>34</v>
      </c>
      <c r="G153" s="144"/>
      <c r="H153" s="179"/>
      <c r="I153" s="182">
        <v>1.1060000000000001</v>
      </c>
      <c r="J153" s="144"/>
      <c r="K153" s="179"/>
      <c r="L153" s="182" t="s">
        <v>34</v>
      </c>
      <c r="M153" s="144"/>
      <c r="N153" s="179"/>
      <c r="O153" s="182">
        <v>0.96199999999999997</v>
      </c>
      <c r="P153" s="144"/>
      <c r="Q153" s="179"/>
      <c r="R153" s="182" t="s">
        <v>34</v>
      </c>
      <c r="S153" s="144"/>
      <c r="T153" s="179"/>
      <c r="U153" s="182">
        <v>1.526</v>
      </c>
      <c r="V153" s="144"/>
      <c r="W153" s="179"/>
      <c r="X153" s="182" t="s">
        <v>34</v>
      </c>
      <c r="Y153" s="144"/>
      <c r="Z153" s="179"/>
      <c r="AA153" s="182">
        <v>0.53300000000000003</v>
      </c>
      <c r="AB153" s="144"/>
      <c r="AC153" s="179"/>
      <c r="AD153" s="182" t="s">
        <v>34</v>
      </c>
      <c r="AE153" s="144"/>
    </row>
    <row r="154" spans="1:31">
      <c r="A154" s="149" t="s">
        <v>175</v>
      </c>
      <c r="B154" s="150" t="s">
        <v>160</v>
      </c>
      <c r="E154" s="179"/>
      <c r="F154" s="168" t="s">
        <v>34</v>
      </c>
      <c r="G154" s="144"/>
      <c r="H154" s="179"/>
      <c r="I154" s="168">
        <v>1.1499999999999999</v>
      </c>
      <c r="J154" s="144"/>
      <c r="K154" s="179"/>
      <c r="L154" s="168" t="s">
        <v>34</v>
      </c>
      <c r="M154" s="144"/>
      <c r="N154" s="179"/>
      <c r="O154" s="168">
        <v>0.72</v>
      </c>
      <c r="P154" s="144"/>
      <c r="Q154" s="179"/>
      <c r="R154" s="168" t="s">
        <v>34</v>
      </c>
      <c r="S154" s="144"/>
      <c r="T154" s="179"/>
      <c r="U154" s="168">
        <v>0.55000000000000004</v>
      </c>
      <c r="V154" s="144"/>
      <c r="W154" s="179"/>
      <c r="X154" s="168" t="s">
        <v>34</v>
      </c>
      <c r="Y154" s="144"/>
      <c r="Z154" s="179"/>
      <c r="AA154" s="168">
        <v>0.49</v>
      </c>
      <c r="AB154" s="144"/>
      <c r="AC154" s="179"/>
      <c r="AD154" s="168" t="s">
        <v>34</v>
      </c>
      <c r="AE154" s="144"/>
    </row>
    <row r="155" spans="1:31">
      <c r="A155" s="149" t="s">
        <v>176</v>
      </c>
      <c r="B155" s="150" t="s">
        <v>177</v>
      </c>
      <c r="E155" s="179"/>
      <c r="F155" s="184" t="s">
        <v>34</v>
      </c>
      <c r="G155" s="144"/>
      <c r="H155" s="179"/>
      <c r="I155" s="168">
        <v>44.4</v>
      </c>
      <c r="J155" s="144"/>
      <c r="K155" s="179"/>
      <c r="L155" s="184" t="s">
        <v>34</v>
      </c>
      <c r="M155" s="144"/>
      <c r="N155" s="179"/>
      <c r="O155" s="168">
        <v>15.1</v>
      </c>
      <c r="P155" s="144"/>
      <c r="Q155" s="179"/>
      <c r="R155" s="184" t="s">
        <v>34</v>
      </c>
      <c r="S155" s="144"/>
      <c r="T155" s="179"/>
      <c r="U155" s="184">
        <v>83</v>
      </c>
      <c r="V155" s="144"/>
      <c r="W155" s="179"/>
      <c r="X155" s="184" t="s">
        <v>34</v>
      </c>
      <c r="Y155" s="144"/>
      <c r="Z155" s="179"/>
      <c r="AA155" s="184">
        <v>19.7</v>
      </c>
      <c r="AB155" s="144"/>
      <c r="AC155" s="179"/>
      <c r="AD155" s="184" t="s">
        <v>34</v>
      </c>
      <c r="AE155" s="144"/>
    </row>
    <row r="156" spans="1:31">
      <c r="A156" s="149" t="s">
        <v>178</v>
      </c>
      <c r="B156" s="150" t="s">
        <v>179</v>
      </c>
      <c r="E156" s="179"/>
      <c r="F156" s="168" t="s">
        <v>34</v>
      </c>
      <c r="G156" s="144"/>
      <c r="H156" s="179"/>
      <c r="I156" s="184">
        <v>-43.1</v>
      </c>
      <c r="J156" s="144"/>
      <c r="K156" s="179"/>
      <c r="L156" s="168" t="s">
        <v>34</v>
      </c>
      <c r="M156" s="144"/>
      <c r="N156" s="179"/>
      <c r="O156" s="184">
        <v>-93.3</v>
      </c>
      <c r="P156" s="144"/>
      <c r="Q156" s="179"/>
      <c r="R156" s="168" t="s">
        <v>34</v>
      </c>
      <c r="S156" s="144"/>
      <c r="T156" s="179"/>
      <c r="U156" s="184">
        <v>1.7</v>
      </c>
      <c r="V156" s="144"/>
      <c r="W156" s="179"/>
      <c r="X156" s="168" t="s">
        <v>34</v>
      </c>
      <c r="Y156" s="144"/>
      <c r="Z156" s="179"/>
      <c r="AA156" s="184">
        <v>-7.4</v>
      </c>
      <c r="AB156" s="144"/>
      <c r="AC156" s="179"/>
      <c r="AD156" s="168" t="s">
        <v>34</v>
      </c>
      <c r="AE156" s="144"/>
    </row>
    <row r="157" spans="1:31">
      <c r="A157" s="149" t="s">
        <v>180</v>
      </c>
      <c r="B157" s="150" t="s">
        <v>181</v>
      </c>
      <c r="E157" s="179"/>
      <c r="F157" s="168" t="s">
        <v>34</v>
      </c>
      <c r="G157" s="144"/>
      <c r="H157" s="179"/>
      <c r="I157" s="180">
        <v>0.72</v>
      </c>
      <c r="J157" s="144"/>
      <c r="K157" s="179"/>
      <c r="L157" s="168" t="s">
        <v>34</v>
      </c>
      <c r="M157" s="144"/>
      <c r="N157" s="179"/>
      <c r="O157" s="180">
        <v>0.53</v>
      </c>
      <c r="P157" s="144"/>
      <c r="Q157" s="179"/>
      <c r="R157" s="168" t="s">
        <v>34</v>
      </c>
      <c r="S157" s="144"/>
      <c r="T157" s="179"/>
      <c r="U157" s="180">
        <v>0.8</v>
      </c>
      <c r="V157" s="144"/>
      <c r="W157" s="179"/>
      <c r="X157" s="168" t="s">
        <v>34</v>
      </c>
      <c r="Y157" s="144"/>
      <c r="Z157" s="179"/>
      <c r="AA157" s="180">
        <v>0.42</v>
      </c>
      <c r="AB157" s="144"/>
      <c r="AC157" s="179"/>
      <c r="AD157" s="168" t="s">
        <v>34</v>
      </c>
      <c r="AE157" s="144"/>
    </row>
    <row r="158" spans="1:31">
      <c r="A158" s="149" t="s">
        <v>166</v>
      </c>
      <c r="B158" s="150" t="s">
        <v>182</v>
      </c>
      <c r="E158" s="179"/>
      <c r="F158" s="168" t="s">
        <v>34</v>
      </c>
      <c r="G158" s="144"/>
      <c r="H158" s="179"/>
      <c r="I158" s="168">
        <v>0.92800000000000005</v>
      </c>
      <c r="J158" s="144"/>
      <c r="K158" s="179"/>
      <c r="L158" s="168" t="s">
        <v>34</v>
      </c>
      <c r="M158" s="144"/>
      <c r="N158" s="179"/>
      <c r="O158" s="168">
        <v>0.69699999999999995</v>
      </c>
      <c r="P158" s="144"/>
      <c r="Q158" s="179"/>
      <c r="R158" s="168" t="s">
        <v>34</v>
      </c>
      <c r="S158" s="144"/>
      <c r="T158" s="179"/>
      <c r="U158" s="168">
        <v>1.032</v>
      </c>
      <c r="V158" s="144"/>
      <c r="W158" s="179"/>
      <c r="X158" s="168" t="s">
        <v>34</v>
      </c>
      <c r="Y158" s="144"/>
      <c r="Z158" s="179"/>
      <c r="AA158" s="168">
        <v>0.55800000000000005</v>
      </c>
      <c r="AB158" s="144"/>
      <c r="AC158" s="179"/>
      <c r="AD158" s="168" t="s">
        <v>34</v>
      </c>
      <c r="AE158" s="144"/>
    </row>
    <row r="159" spans="1:31">
      <c r="A159" s="149" t="s">
        <v>183</v>
      </c>
      <c r="B159" s="150" t="s">
        <v>9</v>
      </c>
      <c r="E159" s="179"/>
      <c r="F159" s="180" t="s">
        <v>34</v>
      </c>
      <c r="G159" s="144"/>
      <c r="H159" s="179"/>
      <c r="I159" s="184">
        <v>9</v>
      </c>
      <c r="J159" s="144"/>
      <c r="K159" s="179"/>
      <c r="L159" s="180" t="s">
        <v>34</v>
      </c>
      <c r="M159" s="144"/>
      <c r="N159" s="179"/>
      <c r="O159" s="184">
        <v>7.5</v>
      </c>
      <c r="P159" s="144"/>
      <c r="Q159" s="179"/>
      <c r="R159" s="180" t="s">
        <v>34</v>
      </c>
      <c r="S159" s="144"/>
      <c r="T159" s="179"/>
      <c r="U159" s="184">
        <v>3</v>
      </c>
      <c r="V159" s="144"/>
      <c r="W159" s="179"/>
      <c r="X159" s="180" t="s">
        <v>34</v>
      </c>
      <c r="Y159" s="144"/>
      <c r="Z159" s="179"/>
      <c r="AA159" s="184">
        <v>3</v>
      </c>
      <c r="AB159" s="144"/>
      <c r="AC159" s="179"/>
      <c r="AD159" s="180" t="s">
        <v>34</v>
      </c>
      <c r="AE159" s="144"/>
    </row>
    <row r="160" spans="1:31" ht="17.25" customHeight="1">
      <c r="A160" s="172" t="s">
        <v>184</v>
      </c>
      <c r="B160" s="173" t="s">
        <v>185</v>
      </c>
      <c r="E160" s="185"/>
      <c r="F160" s="186" t="s">
        <v>34</v>
      </c>
      <c r="G160" s="159"/>
      <c r="H160" s="185"/>
      <c r="I160" s="186">
        <v>300</v>
      </c>
      <c r="J160" s="159"/>
      <c r="K160" s="185"/>
      <c r="L160" s="186" t="s">
        <v>34</v>
      </c>
      <c r="M160" s="159"/>
      <c r="N160" s="185"/>
      <c r="O160" s="186">
        <v>250</v>
      </c>
      <c r="P160" s="159"/>
      <c r="Q160" s="185"/>
      <c r="R160" s="186" t="s">
        <v>34</v>
      </c>
      <c r="S160" s="159"/>
      <c r="T160" s="185"/>
      <c r="U160" s="186">
        <v>100</v>
      </c>
      <c r="V160" s="159"/>
      <c r="W160" s="185"/>
      <c r="X160" s="186" t="s">
        <v>34</v>
      </c>
      <c r="Y160" s="159"/>
      <c r="Z160" s="185"/>
      <c r="AA160" s="186">
        <v>100</v>
      </c>
      <c r="AB160" s="159"/>
      <c r="AC160" s="185"/>
      <c r="AD160" s="186" t="s">
        <v>34</v>
      </c>
      <c r="AE160" s="159"/>
    </row>
    <row r="161" spans="1:31">
      <c r="A161" s="129"/>
      <c r="B161" s="130" t="s">
        <v>60</v>
      </c>
      <c r="E161" s="220" t="s">
        <v>97</v>
      </c>
      <c r="F161" s="221"/>
      <c r="G161" s="221"/>
      <c r="H161" s="220" t="s">
        <v>98</v>
      </c>
      <c r="I161" s="221"/>
      <c r="J161" s="221"/>
      <c r="K161" s="220" t="s">
        <v>99</v>
      </c>
      <c r="L161" s="221"/>
      <c r="M161" s="221"/>
      <c r="N161" s="220" t="s">
        <v>100</v>
      </c>
      <c r="O161" s="221"/>
      <c r="P161" s="221"/>
      <c r="Q161" s="220" t="s">
        <v>101</v>
      </c>
      <c r="R161" s="221"/>
      <c r="S161" s="221"/>
      <c r="T161" s="220" t="s">
        <v>102</v>
      </c>
      <c r="U161" s="221"/>
      <c r="V161" s="221"/>
      <c r="W161" s="220" t="s">
        <v>103</v>
      </c>
      <c r="X161" s="221"/>
      <c r="Y161" s="221"/>
      <c r="Z161" s="220" t="s">
        <v>104</v>
      </c>
      <c r="AA161" s="221"/>
      <c r="AB161" s="221"/>
      <c r="AC161" s="220" t="s">
        <v>105</v>
      </c>
      <c r="AD161" s="221"/>
      <c r="AE161" s="221"/>
    </row>
    <row r="162" spans="1:31">
      <c r="A162" s="131"/>
      <c r="B162" s="132" t="s">
        <v>115</v>
      </c>
      <c r="E162" s="215" t="s">
        <v>31</v>
      </c>
      <c r="F162" s="216"/>
      <c r="G162" s="216"/>
      <c r="H162" s="215" t="s">
        <v>31</v>
      </c>
      <c r="I162" s="216"/>
      <c r="J162" s="216"/>
      <c r="K162" s="215" t="s">
        <v>31</v>
      </c>
      <c r="L162" s="216"/>
      <c r="M162" s="216"/>
      <c r="N162" s="215" t="s">
        <v>31</v>
      </c>
      <c r="O162" s="216"/>
      <c r="P162" s="216"/>
      <c r="Q162" s="215" t="s">
        <v>31</v>
      </c>
      <c r="R162" s="216"/>
      <c r="S162" s="216"/>
      <c r="T162" s="215" t="s">
        <v>31</v>
      </c>
      <c r="U162" s="216"/>
      <c r="V162" s="216"/>
      <c r="W162" s="215" t="s">
        <v>31</v>
      </c>
      <c r="X162" s="216"/>
      <c r="Y162" s="216"/>
      <c r="Z162" s="215" t="s">
        <v>31</v>
      </c>
      <c r="AA162" s="216"/>
      <c r="AB162" s="216"/>
      <c r="AC162" s="215" t="s">
        <v>31</v>
      </c>
      <c r="AD162" s="216"/>
      <c r="AE162" s="216"/>
    </row>
    <row r="163" spans="1:31">
      <c r="A163" s="131"/>
      <c r="B163" s="132" t="s">
        <v>116</v>
      </c>
      <c r="E163" s="217">
        <v>40424</v>
      </c>
      <c r="F163" s="218"/>
      <c r="G163" s="219"/>
      <c r="H163" s="217">
        <v>40483</v>
      </c>
      <c r="I163" s="218"/>
      <c r="J163" s="219"/>
      <c r="K163" s="217">
        <v>40588</v>
      </c>
      <c r="L163" s="218"/>
      <c r="M163" s="219"/>
      <c r="N163" s="217">
        <v>40638</v>
      </c>
      <c r="O163" s="218"/>
      <c r="P163" s="219"/>
      <c r="Q163" s="217">
        <v>40865</v>
      </c>
      <c r="R163" s="218"/>
      <c r="S163" s="219"/>
      <c r="T163" s="217">
        <v>40900</v>
      </c>
      <c r="U163" s="218"/>
      <c r="V163" s="219"/>
      <c r="W163" s="217">
        <v>41081</v>
      </c>
      <c r="X163" s="218"/>
      <c r="Y163" s="219"/>
      <c r="Z163" s="217">
        <v>41172</v>
      </c>
      <c r="AA163" s="218"/>
      <c r="AB163" s="219"/>
      <c r="AC163" s="217">
        <v>41355</v>
      </c>
      <c r="AD163" s="218"/>
      <c r="AE163" s="219"/>
    </row>
    <row r="164" spans="1:31">
      <c r="A164" s="131"/>
      <c r="B164" s="132" t="s">
        <v>13</v>
      </c>
      <c r="E164" s="211" t="s">
        <v>120</v>
      </c>
      <c r="F164" s="211"/>
      <c r="G164" s="211"/>
      <c r="H164" s="211" t="s">
        <v>120</v>
      </c>
      <c r="I164" s="211"/>
      <c r="J164" s="211"/>
      <c r="K164" s="211" t="s">
        <v>120</v>
      </c>
      <c r="L164" s="211"/>
      <c r="M164" s="211"/>
      <c r="N164" s="211" t="s">
        <v>120</v>
      </c>
      <c r="O164" s="211"/>
      <c r="P164" s="211"/>
      <c r="Q164" s="211" t="s">
        <v>120</v>
      </c>
      <c r="R164" s="211"/>
      <c r="S164" s="211"/>
      <c r="T164" s="211" t="s">
        <v>120</v>
      </c>
      <c r="U164" s="211"/>
      <c r="V164" s="211"/>
      <c r="W164" s="211" t="s">
        <v>120</v>
      </c>
      <c r="X164" s="211"/>
      <c r="Y164" s="211"/>
      <c r="Z164" s="211" t="s">
        <v>120</v>
      </c>
      <c r="AA164" s="211"/>
      <c r="AB164" s="211"/>
      <c r="AC164" s="211" t="s">
        <v>120</v>
      </c>
      <c r="AD164" s="211"/>
      <c r="AE164" s="211"/>
    </row>
    <row r="165" spans="1:31">
      <c r="A165" s="131"/>
      <c r="B165" s="132" t="s">
        <v>122</v>
      </c>
      <c r="E165" s="211" t="s">
        <v>123</v>
      </c>
      <c r="F165" s="211"/>
      <c r="G165" s="211"/>
      <c r="H165" s="211" t="s">
        <v>123</v>
      </c>
      <c r="I165" s="211"/>
      <c r="J165" s="211"/>
      <c r="K165" s="211" t="s">
        <v>123</v>
      </c>
      <c r="L165" s="211"/>
      <c r="M165" s="211"/>
      <c r="N165" s="211" t="s">
        <v>123</v>
      </c>
      <c r="O165" s="211"/>
      <c r="P165" s="211"/>
      <c r="Q165" s="211" t="s">
        <v>123</v>
      </c>
      <c r="R165" s="211"/>
      <c r="S165" s="211"/>
      <c r="T165" s="211" t="s">
        <v>123</v>
      </c>
      <c r="U165" s="211"/>
      <c r="V165" s="211"/>
      <c r="W165" s="211" t="s">
        <v>123</v>
      </c>
      <c r="X165" s="211"/>
      <c r="Y165" s="211"/>
      <c r="Z165" s="211" t="s">
        <v>123</v>
      </c>
      <c r="AA165" s="211"/>
      <c r="AB165" s="211"/>
      <c r="AC165" s="211" t="s">
        <v>123</v>
      </c>
      <c r="AD165" s="211"/>
      <c r="AE165" s="211"/>
    </row>
    <row r="166" spans="1:31">
      <c r="A166" s="131"/>
      <c r="B166" s="132" t="s">
        <v>124</v>
      </c>
      <c r="E166" s="211" t="s">
        <v>125</v>
      </c>
      <c r="F166" s="211"/>
      <c r="G166" s="211"/>
      <c r="H166" s="211" t="s">
        <v>125</v>
      </c>
      <c r="I166" s="211"/>
      <c r="J166" s="211"/>
      <c r="K166" s="211" t="s">
        <v>125</v>
      </c>
      <c r="L166" s="211"/>
      <c r="M166" s="211"/>
      <c r="N166" s="211" t="s">
        <v>125</v>
      </c>
      <c r="O166" s="211"/>
      <c r="P166" s="211"/>
      <c r="Q166" s="211" t="s">
        <v>125</v>
      </c>
      <c r="R166" s="211"/>
      <c r="S166" s="211"/>
      <c r="T166" s="211" t="s">
        <v>125</v>
      </c>
      <c r="U166" s="211"/>
      <c r="V166" s="211"/>
      <c r="W166" s="211" t="s">
        <v>125</v>
      </c>
      <c r="X166" s="211"/>
      <c r="Y166" s="211"/>
      <c r="Z166" s="211" t="s">
        <v>125</v>
      </c>
      <c r="AA166" s="211"/>
      <c r="AB166" s="211"/>
      <c r="AC166" s="211" t="s">
        <v>125</v>
      </c>
      <c r="AD166" s="211"/>
      <c r="AE166" s="211"/>
    </row>
    <row r="167" spans="1:31">
      <c r="A167" s="131"/>
      <c r="B167" s="132" t="s">
        <v>126</v>
      </c>
      <c r="E167" s="211" t="s">
        <v>129</v>
      </c>
      <c r="F167" s="211"/>
      <c r="G167" s="211"/>
      <c r="H167" s="211" t="s">
        <v>129</v>
      </c>
      <c r="I167" s="211"/>
      <c r="J167" s="211"/>
      <c r="K167" s="211" t="s">
        <v>129</v>
      </c>
      <c r="L167" s="211"/>
      <c r="M167" s="211"/>
      <c r="N167" s="211" t="s">
        <v>129</v>
      </c>
      <c r="O167" s="211"/>
      <c r="P167" s="211"/>
      <c r="Q167" s="211" t="s">
        <v>129</v>
      </c>
      <c r="R167" s="211"/>
      <c r="S167" s="211"/>
      <c r="T167" s="211" t="s">
        <v>129</v>
      </c>
      <c r="U167" s="211"/>
      <c r="V167" s="211"/>
      <c r="W167" s="211" t="s">
        <v>129</v>
      </c>
      <c r="X167" s="211"/>
      <c r="Y167" s="211"/>
      <c r="Z167" s="211" t="s">
        <v>129</v>
      </c>
      <c r="AA167" s="211"/>
      <c r="AB167" s="211"/>
      <c r="AC167" s="211" t="s">
        <v>129</v>
      </c>
      <c r="AD167" s="211"/>
      <c r="AE167" s="211"/>
    </row>
    <row r="168" spans="1:31">
      <c r="A168" s="131"/>
      <c r="B168" s="132" t="s">
        <v>131</v>
      </c>
      <c r="E168" s="211" t="s">
        <v>132</v>
      </c>
      <c r="F168" s="211"/>
      <c r="G168" s="211"/>
      <c r="H168" s="211" t="s">
        <v>132</v>
      </c>
      <c r="I168" s="211"/>
      <c r="J168" s="211"/>
      <c r="K168" s="211" t="s">
        <v>132</v>
      </c>
      <c r="L168" s="211"/>
      <c r="M168" s="211"/>
      <c r="N168" s="211" t="s">
        <v>132</v>
      </c>
      <c r="O168" s="211"/>
      <c r="P168" s="211"/>
      <c r="Q168" s="211" t="s">
        <v>132</v>
      </c>
      <c r="R168" s="211"/>
      <c r="S168" s="211"/>
      <c r="T168" s="211" t="s">
        <v>132</v>
      </c>
      <c r="U168" s="211"/>
      <c r="V168" s="211"/>
      <c r="W168" s="211" t="s">
        <v>132</v>
      </c>
      <c r="X168" s="211"/>
      <c r="Y168" s="211"/>
      <c r="Z168" s="211" t="s">
        <v>132</v>
      </c>
      <c r="AA168" s="211"/>
      <c r="AB168" s="211"/>
      <c r="AC168" s="211" t="s">
        <v>132</v>
      </c>
      <c r="AD168" s="211"/>
      <c r="AE168" s="211"/>
    </row>
    <row r="169" spans="1:31" ht="13.5" thickBot="1">
      <c r="A169" s="133" t="s">
        <v>133</v>
      </c>
      <c r="B169" s="134" t="s">
        <v>134</v>
      </c>
      <c r="E169" s="212"/>
      <c r="F169" s="213"/>
      <c r="G169" s="214"/>
      <c r="H169" s="212"/>
      <c r="I169" s="213"/>
      <c r="J169" s="214"/>
      <c r="K169" s="212"/>
      <c r="L169" s="213"/>
      <c r="M169" s="214"/>
      <c r="N169" s="212"/>
      <c r="O169" s="213"/>
      <c r="P169" s="214"/>
      <c r="Q169" s="212"/>
      <c r="R169" s="213"/>
      <c r="S169" s="214"/>
      <c r="T169" s="212"/>
      <c r="U169" s="213"/>
      <c r="V169" s="214"/>
      <c r="W169" s="212"/>
      <c r="X169" s="213"/>
      <c r="Y169" s="214"/>
      <c r="Z169" s="212"/>
      <c r="AA169" s="213"/>
      <c r="AB169" s="214"/>
      <c r="AC169" s="212"/>
      <c r="AD169" s="213"/>
      <c r="AE169" s="214"/>
    </row>
    <row r="170" spans="1:31">
      <c r="A170" s="135" t="s">
        <v>135</v>
      </c>
      <c r="B170" s="136"/>
      <c r="E170" s="137"/>
      <c r="F170" s="138"/>
      <c r="G170" s="139"/>
      <c r="H170" s="137"/>
      <c r="I170" s="138"/>
      <c r="J170" s="139"/>
      <c r="K170" s="137"/>
      <c r="L170" s="138"/>
      <c r="M170" s="139"/>
      <c r="N170" s="137"/>
      <c r="O170" s="138"/>
      <c r="P170" s="139"/>
      <c r="Q170" s="137"/>
      <c r="R170" s="138"/>
      <c r="S170" s="139"/>
      <c r="T170" s="137"/>
      <c r="U170" s="138"/>
      <c r="V170" s="139"/>
      <c r="W170" s="137"/>
      <c r="X170" s="138"/>
      <c r="Y170" s="139"/>
      <c r="Z170" s="137"/>
      <c r="AA170" s="138"/>
      <c r="AB170" s="139"/>
      <c r="AC170" s="137"/>
      <c r="AD170" s="138"/>
      <c r="AE170" s="139"/>
    </row>
    <row r="171" spans="1:31">
      <c r="A171" s="140" t="s">
        <v>136</v>
      </c>
      <c r="B171" s="141" t="s">
        <v>137</v>
      </c>
      <c r="E171" s="142" t="s">
        <v>138</v>
      </c>
      <c r="F171" s="143">
        <v>5</v>
      </c>
      <c r="G171" s="144"/>
      <c r="H171" s="142"/>
      <c r="I171" s="147">
        <v>24</v>
      </c>
      <c r="J171" s="144"/>
      <c r="K171" s="142"/>
      <c r="L171" s="145">
        <v>9.8000000000000007</v>
      </c>
      <c r="M171" s="144"/>
      <c r="N171" s="142"/>
      <c r="O171" s="147">
        <v>17</v>
      </c>
      <c r="P171" s="144"/>
      <c r="Q171" s="142" t="s">
        <v>138</v>
      </c>
      <c r="R171" s="145">
        <v>5</v>
      </c>
      <c r="S171" s="144"/>
      <c r="T171" s="142" t="s">
        <v>138</v>
      </c>
      <c r="U171" s="145">
        <v>5</v>
      </c>
      <c r="V171" s="144"/>
      <c r="W171" s="142" t="s">
        <v>138</v>
      </c>
      <c r="X171" s="145">
        <v>2</v>
      </c>
      <c r="Y171" s="144"/>
      <c r="Z171" s="142" t="s">
        <v>138</v>
      </c>
      <c r="AA171" s="145">
        <v>2</v>
      </c>
      <c r="AB171" s="144"/>
      <c r="AC171" s="142"/>
      <c r="AD171" s="145">
        <v>3.8</v>
      </c>
      <c r="AE171" s="144"/>
    </row>
    <row r="172" spans="1:31">
      <c r="A172" s="149" t="s">
        <v>139</v>
      </c>
      <c r="B172" s="150" t="s">
        <v>140</v>
      </c>
      <c r="E172" s="142" t="s">
        <v>138</v>
      </c>
      <c r="F172" s="143">
        <v>5</v>
      </c>
      <c r="G172" s="144"/>
      <c r="H172" s="142" t="s">
        <v>138</v>
      </c>
      <c r="I172" s="145">
        <v>5</v>
      </c>
      <c r="J172" s="144"/>
      <c r="K172" s="142" t="s">
        <v>138</v>
      </c>
      <c r="L172" s="145">
        <v>5</v>
      </c>
      <c r="M172" s="144"/>
      <c r="N172" s="142" t="s">
        <v>138</v>
      </c>
      <c r="O172" s="145">
        <v>5</v>
      </c>
      <c r="P172" s="144"/>
      <c r="Q172" s="142" t="s">
        <v>138</v>
      </c>
      <c r="R172" s="145">
        <v>5</v>
      </c>
      <c r="S172" s="144"/>
      <c r="T172" s="142" t="s">
        <v>138</v>
      </c>
      <c r="U172" s="145">
        <v>5</v>
      </c>
      <c r="V172" s="144"/>
      <c r="W172" s="142" t="s">
        <v>138</v>
      </c>
      <c r="X172" s="145">
        <v>2</v>
      </c>
      <c r="Y172" s="144"/>
      <c r="Z172" s="142" t="s">
        <v>138</v>
      </c>
      <c r="AA172" s="145">
        <v>2</v>
      </c>
      <c r="AB172" s="144"/>
      <c r="AC172" s="142" t="s">
        <v>138</v>
      </c>
      <c r="AD172" s="145">
        <v>2</v>
      </c>
      <c r="AE172" s="144"/>
    </row>
    <row r="173" spans="1:31">
      <c r="A173" s="149" t="s">
        <v>141</v>
      </c>
      <c r="B173" s="150" t="s">
        <v>142</v>
      </c>
      <c r="E173" s="142" t="s">
        <v>138</v>
      </c>
      <c r="F173" s="143">
        <v>5</v>
      </c>
      <c r="G173" s="152"/>
      <c r="H173" s="142" t="s">
        <v>138</v>
      </c>
      <c r="I173" s="145">
        <v>5</v>
      </c>
      <c r="J173" s="152"/>
      <c r="K173" s="142" t="s">
        <v>138</v>
      </c>
      <c r="L173" s="145">
        <v>5</v>
      </c>
      <c r="M173" s="152"/>
      <c r="N173" s="142" t="s">
        <v>138</v>
      </c>
      <c r="O173" s="145">
        <v>5</v>
      </c>
      <c r="P173" s="152"/>
      <c r="Q173" s="142" t="s">
        <v>138</v>
      </c>
      <c r="R173" s="145">
        <v>5</v>
      </c>
      <c r="S173" s="152"/>
      <c r="T173" s="142" t="s">
        <v>138</v>
      </c>
      <c r="U173" s="145">
        <v>5</v>
      </c>
      <c r="V173" s="152"/>
      <c r="W173" s="142" t="s">
        <v>138</v>
      </c>
      <c r="X173" s="145">
        <v>2</v>
      </c>
      <c r="Y173" s="152"/>
      <c r="Z173" s="142" t="s">
        <v>138</v>
      </c>
      <c r="AA173" s="145">
        <v>2</v>
      </c>
      <c r="AB173" s="152"/>
      <c r="AC173" s="142" t="s">
        <v>138</v>
      </c>
      <c r="AD173" s="145">
        <v>2</v>
      </c>
      <c r="AE173" s="152"/>
    </row>
    <row r="174" spans="1:31">
      <c r="A174" s="149" t="s">
        <v>143</v>
      </c>
      <c r="B174" s="150" t="s">
        <v>144</v>
      </c>
      <c r="E174" s="142" t="s">
        <v>138</v>
      </c>
      <c r="F174" s="148">
        <v>10</v>
      </c>
      <c r="G174" s="152"/>
      <c r="H174" s="142" t="s">
        <v>138</v>
      </c>
      <c r="I174" s="145">
        <v>5</v>
      </c>
      <c r="J174" s="152"/>
      <c r="K174" s="142" t="s">
        <v>138</v>
      </c>
      <c r="L174" s="145">
        <v>5</v>
      </c>
      <c r="M174" s="152"/>
      <c r="N174" s="142" t="s">
        <v>138</v>
      </c>
      <c r="O174" s="145">
        <v>5</v>
      </c>
      <c r="P174" s="152"/>
      <c r="Q174" s="142" t="s">
        <v>138</v>
      </c>
      <c r="R174" s="145">
        <v>5</v>
      </c>
      <c r="S174" s="152"/>
      <c r="T174" s="142" t="s">
        <v>138</v>
      </c>
      <c r="U174" s="145">
        <v>5</v>
      </c>
      <c r="V174" s="152"/>
      <c r="W174" s="142" t="s">
        <v>138</v>
      </c>
      <c r="X174" s="145">
        <v>2</v>
      </c>
      <c r="Y174" s="152"/>
      <c r="Z174" s="142" t="s">
        <v>138</v>
      </c>
      <c r="AA174" s="145">
        <v>2</v>
      </c>
      <c r="AB174" s="152"/>
      <c r="AC174" s="142" t="s">
        <v>138</v>
      </c>
      <c r="AD174" s="145">
        <v>2</v>
      </c>
      <c r="AE174" s="152"/>
    </row>
    <row r="175" spans="1:31">
      <c r="A175" s="149" t="s">
        <v>145</v>
      </c>
      <c r="B175" s="150" t="s">
        <v>146</v>
      </c>
      <c r="E175" s="142" t="s">
        <v>138</v>
      </c>
      <c r="F175" s="143">
        <v>5</v>
      </c>
      <c r="G175" s="144"/>
      <c r="H175" s="142"/>
      <c r="I175" s="145">
        <v>7.6</v>
      </c>
      <c r="J175" s="144"/>
      <c r="K175" s="142" t="s">
        <v>138</v>
      </c>
      <c r="L175" s="145">
        <v>5</v>
      </c>
      <c r="M175" s="144"/>
      <c r="N175" s="142"/>
      <c r="O175" s="145">
        <v>9.5</v>
      </c>
      <c r="P175" s="144"/>
      <c r="Q175" s="142" t="s">
        <v>138</v>
      </c>
      <c r="R175" s="145">
        <v>5</v>
      </c>
      <c r="S175" s="144"/>
      <c r="T175" s="142" t="s">
        <v>138</v>
      </c>
      <c r="U175" s="145">
        <v>5</v>
      </c>
      <c r="V175" s="144"/>
      <c r="W175" s="142" t="s">
        <v>138</v>
      </c>
      <c r="X175" s="145">
        <v>2</v>
      </c>
      <c r="Y175" s="144"/>
      <c r="Z175" s="142" t="s">
        <v>138</v>
      </c>
      <c r="AA175" s="145">
        <v>2</v>
      </c>
      <c r="AB175" s="144"/>
      <c r="AC175" s="142" t="s">
        <v>138</v>
      </c>
      <c r="AD175" s="145">
        <v>2</v>
      </c>
      <c r="AE175" s="144"/>
    </row>
    <row r="176" spans="1:31">
      <c r="A176" s="149" t="s">
        <v>147</v>
      </c>
      <c r="B176" s="150" t="s">
        <v>148</v>
      </c>
      <c r="E176" s="142" t="s">
        <v>138</v>
      </c>
      <c r="F176" s="148">
        <v>10</v>
      </c>
      <c r="G176" s="144"/>
      <c r="H176" s="142" t="s">
        <v>138</v>
      </c>
      <c r="I176" s="145">
        <v>5</v>
      </c>
      <c r="J176" s="144"/>
      <c r="K176" s="142" t="s">
        <v>138</v>
      </c>
      <c r="L176" s="145">
        <v>5</v>
      </c>
      <c r="M176" s="144"/>
      <c r="N176" s="142" t="s">
        <v>138</v>
      </c>
      <c r="O176" s="145">
        <v>5</v>
      </c>
      <c r="P176" s="144"/>
      <c r="Q176" s="142" t="s">
        <v>138</v>
      </c>
      <c r="R176" s="145">
        <v>5</v>
      </c>
      <c r="S176" s="144"/>
      <c r="T176" s="142" t="s">
        <v>138</v>
      </c>
      <c r="U176" s="145">
        <v>5</v>
      </c>
      <c r="V176" s="144"/>
      <c r="W176" s="142" t="s">
        <v>138</v>
      </c>
      <c r="X176" s="145">
        <v>2</v>
      </c>
      <c r="Y176" s="144"/>
      <c r="Z176" s="142" t="s">
        <v>138</v>
      </c>
      <c r="AA176" s="145">
        <v>2</v>
      </c>
      <c r="AB176" s="144"/>
      <c r="AC176" s="142" t="s">
        <v>138</v>
      </c>
      <c r="AD176" s="145">
        <v>2</v>
      </c>
      <c r="AE176" s="144"/>
    </row>
    <row r="177" spans="1:31">
      <c r="A177" s="149" t="s">
        <v>149</v>
      </c>
      <c r="B177" s="150" t="s">
        <v>150</v>
      </c>
      <c r="E177" s="142"/>
      <c r="F177" s="148">
        <v>71</v>
      </c>
      <c r="G177" s="144"/>
      <c r="H177" s="142"/>
      <c r="I177" s="147">
        <v>57</v>
      </c>
      <c r="J177" s="144"/>
      <c r="K177" s="142"/>
      <c r="L177" s="147">
        <v>39</v>
      </c>
      <c r="M177" s="144"/>
      <c r="N177" s="142"/>
      <c r="O177" s="147">
        <v>26</v>
      </c>
      <c r="P177" s="144"/>
      <c r="Q177" s="142"/>
      <c r="R177" s="147">
        <v>52</v>
      </c>
      <c r="S177" s="144"/>
      <c r="T177" s="142"/>
      <c r="U177" s="147">
        <v>24</v>
      </c>
      <c r="V177" s="144"/>
      <c r="W177" s="142"/>
      <c r="X177" s="147">
        <v>35</v>
      </c>
      <c r="Y177" s="144"/>
      <c r="Z177" s="142"/>
      <c r="AA177" s="147">
        <v>44</v>
      </c>
      <c r="AB177" s="144"/>
      <c r="AC177" s="142"/>
      <c r="AD177" s="147">
        <v>23</v>
      </c>
      <c r="AE177" s="144"/>
    </row>
    <row r="178" spans="1:31">
      <c r="A178" s="155" t="s">
        <v>151</v>
      </c>
      <c r="B178" s="156" t="s">
        <v>152</v>
      </c>
      <c r="E178" s="142" t="s">
        <v>138</v>
      </c>
      <c r="F178" s="143">
        <v>5</v>
      </c>
      <c r="G178" s="144"/>
      <c r="H178" s="142" t="s">
        <v>138</v>
      </c>
      <c r="I178" s="145">
        <v>5</v>
      </c>
      <c r="J178" s="144"/>
      <c r="K178" s="142" t="s">
        <v>138</v>
      </c>
      <c r="L178" s="145">
        <v>5</v>
      </c>
      <c r="M178" s="144"/>
      <c r="N178" s="142" t="s">
        <v>138</v>
      </c>
      <c r="O178" s="145">
        <v>5</v>
      </c>
      <c r="P178" s="144"/>
      <c r="Q178" s="142" t="s">
        <v>138</v>
      </c>
      <c r="R178" s="145">
        <v>5</v>
      </c>
      <c r="S178" s="144"/>
      <c r="T178" s="142" t="s">
        <v>138</v>
      </c>
      <c r="U178" s="145">
        <v>5</v>
      </c>
      <c r="V178" s="144"/>
      <c r="W178" s="142" t="s">
        <v>138</v>
      </c>
      <c r="X178" s="145">
        <v>2</v>
      </c>
      <c r="Y178" s="144"/>
      <c r="Z178" s="142" t="s">
        <v>138</v>
      </c>
      <c r="AA178" s="145">
        <v>2</v>
      </c>
      <c r="AB178" s="144"/>
      <c r="AC178" s="142" t="s">
        <v>138</v>
      </c>
      <c r="AD178" s="145">
        <v>2</v>
      </c>
      <c r="AE178" s="144"/>
    </row>
    <row r="179" spans="1:31">
      <c r="A179" s="157" t="s">
        <v>153</v>
      </c>
      <c r="B179" s="158" t="s">
        <v>154</v>
      </c>
      <c r="E179" s="160" t="s">
        <v>138</v>
      </c>
      <c r="F179" s="161">
        <v>5</v>
      </c>
      <c r="G179" s="159"/>
      <c r="H179" s="160" t="s">
        <v>138</v>
      </c>
      <c r="I179" s="162">
        <v>5</v>
      </c>
      <c r="J179" s="159"/>
      <c r="K179" s="160" t="s">
        <v>138</v>
      </c>
      <c r="L179" s="162">
        <v>5</v>
      </c>
      <c r="M179" s="159"/>
      <c r="N179" s="160" t="s">
        <v>138</v>
      </c>
      <c r="O179" s="162">
        <v>5</v>
      </c>
      <c r="P179" s="159"/>
      <c r="Q179" s="160" t="s">
        <v>138</v>
      </c>
      <c r="R179" s="162">
        <v>5</v>
      </c>
      <c r="S179" s="159"/>
      <c r="T179" s="160" t="s">
        <v>138</v>
      </c>
      <c r="U179" s="162">
        <v>5</v>
      </c>
      <c r="V179" s="159"/>
      <c r="W179" s="160" t="s">
        <v>138</v>
      </c>
      <c r="X179" s="162">
        <v>2</v>
      </c>
      <c r="Y179" s="159"/>
      <c r="Z179" s="160" t="s">
        <v>138</v>
      </c>
      <c r="AA179" s="162">
        <v>2</v>
      </c>
      <c r="AB179" s="159"/>
      <c r="AC179" s="160" t="s">
        <v>138</v>
      </c>
      <c r="AD179" s="162">
        <v>2</v>
      </c>
      <c r="AE179" s="159"/>
    </row>
    <row r="180" spans="1:31">
      <c r="A180" s="164" t="s">
        <v>155</v>
      </c>
      <c r="B180" s="165"/>
      <c r="E180" s="142"/>
      <c r="F180" s="168"/>
      <c r="G180" s="144"/>
      <c r="H180" s="142"/>
      <c r="I180" s="168"/>
      <c r="J180" s="144"/>
      <c r="K180" s="142"/>
      <c r="L180" s="168"/>
      <c r="M180" s="144"/>
      <c r="N180" s="142"/>
      <c r="O180" s="168"/>
      <c r="P180" s="144"/>
      <c r="Q180" s="142"/>
      <c r="R180" s="168"/>
      <c r="S180" s="144"/>
      <c r="T180" s="142"/>
      <c r="U180" s="168"/>
      <c r="V180" s="144"/>
      <c r="W180" s="142"/>
      <c r="X180" s="168"/>
      <c r="Y180" s="144"/>
      <c r="Z180" s="142"/>
      <c r="AA180" s="168"/>
      <c r="AB180" s="144"/>
      <c r="AC180" s="142"/>
      <c r="AD180" s="168"/>
      <c r="AE180" s="144"/>
    </row>
    <row r="181" spans="1:31">
      <c r="A181" s="149" t="s">
        <v>156</v>
      </c>
      <c r="B181" s="150" t="s">
        <v>157</v>
      </c>
      <c r="E181" s="171"/>
      <c r="F181" s="169" t="s">
        <v>158</v>
      </c>
      <c r="G181" s="170"/>
      <c r="H181" s="171"/>
      <c r="I181" s="169" t="s">
        <v>158</v>
      </c>
      <c r="J181" s="170"/>
      <c r="K181" s="171"/>
      <c r="L181" s="169" t="s">
        <v>158</v>
      </c>
      <c r="M181" s="170"/>
      <c r="N181" s="171"/>
      <c r="O181" s="169" t="s">
        <v>158</v>
      </c>
      <c r="P181" s="170"/>
      <c r="Q181" s="171"/>
      <c r="R181" s="169" t="s">
        <v>158</v>
      </c>
      <c r="S181" s="170"/>
      <c r="T181" s="171"/>
      <c r="U181" s="169" t="s">
        <v>158</v>
      </c>
      <c r="V181" s="170"/>
      <c r="W181" s="171"/>
      <c r="X181" s="169" t="s">
        <v>158</v>
      </c>
      <c r="Y181" s="170"/>
      <c r="Z181" s="171"/>
      <c r="AA181" s="169" t="s">
        <v>158</v>
      </c>
      <c r="AB181" s="170"/>
      <c r="AC181" s="171"/>
      <c r="AD181" s="169" t="s">
        <v>158</v>
      </c>
      <c r="AE181" s="170"/>
    </row>
    <row r="182" spans="1:31">
      <c r="A182" s="149" t="s">
        <v>159</v>
      </c>
      <c r="B182" s="150" t="s">
        <v>160</v>
      </c>
      <c r="E182" s="171"/>
      <c r="F182" s="169" t="s">
        <v>158</v>
      </c>
      <c r="G182" s="170"/>
      <c r="H182" s="171"/>
      <c r="I182" s="169" t="s">
        <v>158</v>
      </c>
      <c r="J182" s="170"/>
      <c r="K182" s="171"/>
      <c r="L182" s="169" t="s">
        <v>158</v>
      </c>
      <c r="M182" s="170"/>
      <c r="N182" s="171"/>
      <c r="O182" s="169" t="s">
        <v>158</v>
      </c>
      <c r="P182" s="170"/>
      <c r="Q182" s="171"/>
      <c r="R182" s="169" t="s">
        <v>158</v>
      </c>
      <c r="S182" s="170"/>
      <c r="T182" s="171"/>
      <c r="U182" s="169" t="s">
        <v>158</v>
      </c>
      <c r="V182" s="170"/>
      <c r="W182" s="171"/>
      <c r="X182" s="169" t="s">
        <v>158</v>
      </c>
      <c r="Y182" s="170"/>
      <c r="Z182" s="171"/>
      <c r="AA182" s="169" t="s">
        <v>158</v>
      </c>
      <c r="AB182" s="170"/>
      <c r="AC182" s="171"/>
      <c r="AD182" s="169" t="s">
        <v>158</v>
      </c>
      <c r="AE182" s="170"/>
    </row>
    <row r="183" spans="1:31">
      <c r="A183" s="149" t="s">
        <v>161</v>
      </c>
      <c r="B183" s="150" t="s">
        <v>160</v>
      </c>
      <c r="E183" s="171"/>
      <c r="F183" s="169" t="s">
        <v>158</v>
      </c>
      <c r="G183" s="170"/>
      <c r="H183" s="171"/>
      <c r="I183" s="169" t="s">
        <v>158</v>
      </c>
      <c r="J183" s="170"/>
      <c r="K183" s="171"/>
      <c r="L183" s="169" t="s">
        <v>158</v>
      </c>
      <c r="M183" s="170"/>
      <c r="N183" s="171"/>
      <c r="O183" s="169" t="s">
        <v>158</v>
      </c>
      <c r="P183" s="170"/>
      <c r="Q183" s="171"/>
      <c r="R183" s="169" t="s">
        <v>158</v>
      </c>
      <c r="S183" s="170"/>
      <c r="T183" s="171"/>
      <c r="U183" s="169" t="s">
        <v>158</v>
      </c>
      <c r="V183" s="170"/>
      <c r="W183" s="171"/>
      <c r="X183" s="169" t="s">
        <v>158</v>
      </c>
      <c r="Y183" s="170"/>
      <c r="Z183" s="171"/>
      <c r="AA183" s="169" t="s">
        <v>158</v>
      </c>
      <c r="AB183" s="170"/>
      <c r="AC183" s="171"/>
      <c r="AD183" s="169" t="s">
        <v>158</v>
      </c>
      <c r="AE183" s="170"/>
    </row>
    <row r="184" spans="1:31">
      <c r="A184" s="149" t="s">
        <v>162</v>
      </c>
      <c r="B184" s="150" t="s">
        <v>160</v>
      </c>
      <c r="E184" s="171"/>
      <c r="F184" s="169" t="s">
        <v>158</v>
      </c>
      <c r="G184" s="170"/>
      <c r="H184" s="171"/>
      <c r="I184" s="169" t="s">
        <v>158</v>
      </c>
      <c r="J184" s="170"/>
      <c r="K184" s="171"/>
      <c r="L184" s="169" t="s">
        <v>158</v>
      </c>
      <c r="M184" s="170"/>
      <c r="N184" s="171"/>
      <c r="O184" s="169" t="s">
        <v>158</v>
      </c>
      <c r="P184" s="170"/>
      <c r="Q184" s="171"/>
      <c r="R184" s="169" t="s">
        <v>158</v>
      </c>
      <c r="S184" s="170"/>
      <c r="T184" s="171"/>
      <c r="U184" s="169" t="s">
        <v>158</v>
      </c>
      <c r="V184" s="170"/>
      <c r="W184" s="171"/>
      <c r="X184" s="169" t="s">
        <v>158</v>
      </c>
      <c r="Y184" s="170"/>
      <c r="Z184" s="171"/>
      <c r="AA184" s="169" t="s">
        <v>158</v>
      </c>
      <c r="AB184" s="170"/>
      <c r="AC184" s="171"/>
      <c r="AD184" s="169" t="s">
        <v>158</v>
      </c>
      <c r="AE184" s="170"/>
    </row>
    <row r="185" spans="1:31">
      <c r="A185" s="149" t="s">
        <v>163</v>
      </c>
      <c r="B185" s="150" t="s">
        <v>160</v>
      </c>
      <c r="E185" s="171"/>
      <c r="F185" s="169" t="s">
        <v>158</v>
      </c>
      <c r="G185" s="170"/>
      <c r="H185" s="171"/>
      <c r="I185" s="169" t="s">
        <v>158</v>
      </c>
      <c r="J185" s="170"/>
      <c r="K185" s="171"/>
      <c r="L185" s="169" t="s">
        <v>158</v>
      </c>
      <c r="M185" s="170"/>
      <c r="N185" s="171"/>
      <c r="O185" s="169" t="s">
        <v>158</v>
      </c>
      <c r="P185" s="170"/>
      <c r="Q185" s="171"/>
      <c r="R185" s="169" t="s">
        <v>158</v>
      </c>
      <c r="S185" s="170"/>
      <c r="T185" s="171"/>
      <c r="U185" s="169" t="s">
        <v>158</v>
      </c>
      <c r="V185" s="170"/>
      <c r="W185" s="171"/>
      <c r="X185" s="169" t="s">
        <v>158</v>
      </c>
      <c r="Y185" s="170"/>
      <c r="Z185" s="171"/>
      <c r="AA185" s="169" t="s">
        <v>158</v>
      </c>
      <c r="AB185" s="170"/>
      <c r="AC185" s="171"/>
      <c r="AD185" s="169" t="s">
        <v>158</v>
      </c>
      <c r="AE185" s="170"/>
    </row>
    <row r="186" spans="1:31">
      <c r="A186" s="149" t="s">
        <v>164</v>
      </c>
      <c r="B186" s="150" t="s">
        <v>160</v>
      </c>
      <c r="E186" s="171"/>
      <c r="F186" s="169" t="s">
        <v>158</v>
      </c>
      <c r="G186" s="170"/>
      <c r="H186" s="171"/>
      <c r="I186" s="169" t="s">
        <v>158</v>
      </c>
      <c r="J186" s="170"/>
      <c r="K186" s="171"/>
      <c r="L186" s="169" t="s">
        <v>158</v>
      </c>
      <c r="M186" s="170"/>
      <c r="N186" s="171"/>
      <c r="O186" s="169" t="s">
        <v>158</v>
      </c>
      <c r="P186" s="170"/>
      <c r="Q186" s="171"/>
      <c r="R186" s="169" t="s">
        <v>158</v>
      </c>
      <c r="S186" s="170"/>
      <c r="T186" s="171"/>
      <c r="U186" s="169" t="s">
        <v>158</v>
      </c>
      <c r="V186" s="170"/>
      <c r="W186" s="171"/>
      <c r="X186" s="169" t="s">
        <v>158</v>
      </c>
      <c r="Y186" s="170"/>
      <c r="Z186" s="171"/>
      <c r="AA186" s="169" t="s">
        <v>158</v>
      </c>
      <c r="AB186" s="170"/>
      <c r="AC186" s="171"/>
      <c r="AD186" s="169" t="s">
        <v>158</v>
      </c>
      <c r="AE186" s="170"/>
    </row>
    <row r="187" spans="1:31">
      <c r="A187" s="149" t="s">
        <v>165</v>
      </c>
      <c r="B187" s="150" t="s">
        <v>160</v>
      </c>
      <c r="E187" s="171"/>
      <c r="F187" s="169" t="s">
        <v>158</v>
      </c>
      <c r="G187" s="170"/>
      <c r="H187" s="171"/>
      <c r="I187" s="169" t="s">
        <v>158</v>
      </c>
      <c r="J187" s="170"/>
      <c r="K187" s="171"/>
      <c r="L187" s="169" t="s">
        <v>158</v>
      </c>
      <c r="M187" s="170"/>
      <c r="N187" s="171"/>
      <c r="O187" s="169" t="s">
        <v>158</v>
      </c>
      <c r="P187" s="170"/>
      <c r="Q187" s="171"/>
      <c r="R187" s="169" t="s">
        <v>158</v>
      </c>
      <c r="S187" s="170"/>
      <c r="T187" s="171"/>
      <c r="U187" s="169" t="s">
        <v>158</v>
      </c>
      <c r="V187" s="170"/>
      <c r="W187" s="171"/>
      <c r="X187" s="169" t="s">
        <v>158</v>
      </c>
      <c r="Y187" s="170"/>
      <c r="Z187" s="171"/>
      <c r="AA187" s="169" t="s">
        <v>158</v>
      </c>
      <c r="AB187" s="170"/>
      <c r="AC187" s="171"/>
      <c r="AD187" s="169" t="s">
        <v>158</v>
      </c>
      <c r="AE187" s="170"/>
    </row>
    <row r="188" spans="1:31">
      <c r="A188" s="149" t="s">
        <v>166</v>
      </c>
      <c r="B188" s="150" t="s">
        <v>160</v>
      </c>
      <c r="E188" s="171"/>
      <c r="F188" s="169" t="s">
        <v>158</v>
      </c>
      <c r="G188" s="170"/>
      <c r="H188" s="171"/>
      <c r="I188" s="169" t="s">
        <v>158</v>
      </c>
      <c r="J188" s="170"/>
      <c r="K188" s="171"/>
      <c r="L188" s="169" t="s">
        <v>158</v>
      </c>
      <c r="M188" s="170"/>
      <c r="N188" s="171"/>
      <c r="O188" s="169" t="s">
        <v>158</v>
      </c>
      <c r="P188" s="170"/>
      <c r="Q188" s="171"/>
      <c r="R188" s="169" t="s">
        <v>158</v>
      </c>
      <c r="S188" s="170"/>
      <c r="T188" s="171"/>
      <c r="U188" s="169" t="s">
        <v>158</v>
      </c>
      <c r="V188" s="170"/>
      <c r="W188" s="171"/>
      <c r="X188" s="169" t="s">
        <v>158</v>
      </c>
      <c r="Y188" s="170"/>
      <c r="Z188" s="171"/>
      <c r="AA188" s="169" t="s">
        <v>158</v>
      </c>
      <c r="AB188" s="170"/>
      <c r="AC188" s="171"/>
      <c r="AD188" s="169" t="s">
        <v>158</v>
      </c>
      <c r="AE188" s="170"/>
    </row>
    <row r="189" spans="1:31">
      <c r="A189" s="172" t="s">
        <v>167</v>
      </c>
      <c r="B189" s="173" t="s">
        <v>168</v>
      </c>
      <c r="E189" s="176"/>
      <c r="F189" s="174" t="s">
        <v>158</v>
      </c>
      <c r="G189" s="175"/>
      <c r="H189" s="176"/>
      <c r="I189" s="174" t="s">
        <v>158</v>
      </c>
      <c r="J189" s="175"/>
      <c r="K189" s="176"/>
      <c r="L189" s="174" t="s">
        <v>158</v>
      </c>
      <c r="M189" s="175"/>
      <c r="N189" s="176"/>
      <c r="O189" s="174" t="s">
        <v>158</v>
      </c>
      <c r="P189" s="175"/>
      <c r="Q189" s="176"/>
      <c r="R189" s="174" t="s">
        <v>158</v>
      </c>
      <c r="S189" s="175"/>
      <c r="T189" s="176"/>
      <c r="U189" s="174" t="s">
        <v>158</v>
      </c>
      <c r="V189" s="175"/>
      <c r="W189" s="176"/>
      <c r="X189" s="174" t="s">
        <v>158</v>
      </c>
      <c r="Y189" s="175"/>
      <c r="Z189" s="176"/>
      <c r="AA189" s="174" t="s">
        <v>158</v>
      </c>
      <c r="AB189" s="175"/>
      <c r="AC189" s="176"/>
      <c r="AD189" s="174" t="s">
        <v>158</v>
      </c>
      <c r="AE189" s="175"/>
    </row>
    <row r="190" spans="1:31">
      <c r="A190" s="177" t="s">
        <v>169</v>
      </c>
      <c r="B190" s="150"/>
      <c r="E190" s="166"/>
      <c r="F190" s="167"/>
      <c r="G190" s="144"/>
      <c r="H190" s="166"/>
      <c r="I190" s="167"/>
      <c r="J190" s="144"/>
      <c r="K190" s="166"/>
      <c r="L190" s="167"/>
      <c r="M190" s="144"/>
      <c r="N190" s="166"/>
      <c r="O190" s="167"/>
      <c r="P190" s="144"/>
      <c r="Q190" s="166"/>
      <c r="R190" s="167"/>
      <c r="S190" s="144"/>
      <c r="T190" s="166"/>
      <c r="U190" s="167"/>
      <c r="V190" s="144"/>
      <c r="W190" s="166"/>
      <c r="X190" s="167"/>
      <c r="Y190" s="144"/>
      <c r="Z190" s="166"/>
      <c r="AA190" s="167"/>
      <c r="AB190" s="144"/>
      <c r="AC190" s="166"/>
      <c r="AD190" s="167"/>
      <c r="AE190" s="144"/>
    </row>
    <row r="191" spans="1:31">
      <c r="A191" s="149" t="s">
        <v>167</v>
      </c>
      <c r="B191" s="150" t="s">
        <v>170</v>
      </c>
      <c r="E191" s="179"/>
      <c r="F191" s="180">
        <v>6.22</v>
      </c>
      <c r="G191" s="144"/>
      <c r="H191" s="179"/>
      <c r="I191" s="168">
        <v>6.29</v>
      </c>
      <c r="J191" s="144"/>
      <c r="K191" s="179"/>
      <c r="L191" s="168">
        <v>5.47</v>
      </c>
      <c r="M191" s="144"/>
      <c r="N191" s="179"/>
      <c r="O191" s="180">
        <v>6.5</v>
      </c>
      <c r="P191" s="144"/>
      <c r="Q191" s="179"/>
      <c r="R191" s="180">
        <v>7.12</v>
      </c>
      <c r="S191" s="144"/>
      <c r="T191" s="179"/>
      <c r="U191" s="180">
        <v>6.45</v>
      </c>
      <c r="V191" s="144"/>
      <c r="W191" s="179"/>
      <c r="X191" s="180">
        <v>6.24</v>
      </c>
      <c r="Y191" s="144"/>
      <c r="Z191" s="179"/>
      <c r="AA191" s="180">
        <v>6.23</v>
      </c>
      <c r="AB191" s="144"/>
      <c r="AC191" s="179"/>
      <c r="AD191" s="180">
        <v>6.32</v>
      </c>
      <c r="AE191" s="144"/>
    </row>
    <row r="192" spans="1:31">
      <c r="A192" s="149" t="s">
        <v>171</v>
      </c>
      <c r="B192" s="150" t="s">
        <v>172</v>
      </c>
      <c r="E192" s="179"/>
      <c r="F192" s="180">
        <v>26.5</v>
      </c>
      <c r="G192" s="144"/>
      <c r="H192" s="179"/>
      <c r="I192" s="180">
        <v>17</v>
      </c>
      <c r="J192" s="144"/>
      <c r="K192" s="179"/>
      <c r="L192" s="180">
        <v>9</v>
      </c>
      <c r="M192" s="144"/>
      <c r="N192" s="179"/>
      <c r="O192" s="180">
        <v>8.06</v>
      </c>
      <c r="P192" s="144"/>
      <c r="Q192" s="179"/>
      <c r="R192" s="180">
        <v>16.3</v>
      </c>
      <c r="S192" s="144"/>
      <c r="T192" s="179"/>
      <c r="U192" s="180">
        <v>12.44</v>
      </c>
      <c r="V192" s="144"/>
      <c r="W192" s="179"/>
      <c r="X192" s="180">
        <v>18.010000000000002</v>
      </c>
      <c r="Y192" s="144"/>
      <c r="Z192" s="179"/>
      <c r="AA192" s="180">
        <v>22.71</v>
      </c>
      <c r="AB192" s="144"/>
      <c r="AC192" s="179"/>
      <c r="AD192" s="180">
        <v>6.69</v>
      </c>
      <c r="AE192" s="144"/>
    </row>
    <row r="193" spans="1:31">
      <c r="A193" s="149" t="s">
        <v>173</v>
      </c>
      <c r="B193" s="150" t="s">
        <v>174</v>
      </c>
      <c r="E193" s="179"/>
      <c r="F193" s="182">
        <v>1.514</v>
      </c>
      <c r="G193" s="144"/>
      <c r="H193" s="179"/>
      <c r="I193" s="182">
        <v>1.147</v>
      </c>
      <c r="J193" s="144"/>
      <c r="K193" s="179"/>
      <c r="L193" s="182">
        <v>2.2879999999999998</v>
      </c>
      <c r="M193" s="144"/>
      <c r="N193" s="179"/>
      <c r="O193" s="182">
        <v>2.5289999999999999</v>
      </c>
      <c r="P193" s="144"/>
      <c r="Q193" s="179"/>
      <c r="R193" s="182">
        <v>0.86099999999999999</v>
      </c>
      <c r="S193" s="144"/>
      <c r="T193" s="179"/>
      <c r="U193" s="182">
        <v>1.2410000000000001</v>
      </c>
      <c r="V193" s="144"/>
      <c r="W193" s="179"/>
      <c r="X193" s="182">
        <v>1.1160000000000001</v>
      </c>
      <c r="Y193" s="144"/>
      <c r="Z193" s="179"/>
      <c r="AA193" s="182">
        <v>1.89</v>
      </c>
      <c r="AB193" s="144"/>
      <c r="AC193" s="179"/>
      <c r="AD193" s="182">
        <v>0.747</v>
      </c>
      <c r="AE193" s="144"/>
    </row>
    <row r="194" spans="1:31">
      <c r="A194" s="149" t="s">
        <v>175</v>
      </c>
      <c r="B194" s="150" t="s">
        <v>160</v>
      </c>
      <c r="E194" s="179"/>
      <c r="F194" s="180">
        <v>0.45</v>
      </c>
      <c r="G194" s="144"/>
      <c r="H194" s="179"/>
      <c r="I194" s="168">
        <v>0.46</v>
      </c>
      <c r="J194" s="144"/>
      <c r="K194" s="179"/>
      <c r="L194" s="168">
        <v>0.42</v>
      </c>
      <c r="M194" s="144"/>
      <c r="N194" s="179"/>
      <c r="O194" s="168">
        <v>0.42</v>
      </c>
      <c r="P194" s="144"/>
      <c r="Q194" s="179"/>
      <c r="R194" s="168">
        <v>0.42</v>
      </c>
      <c r="S194" s="144"/>
      <c r="T194" s="179"/>
      <c r="U194" s="168">
        <v>0.38</v>
      </c>
      <c r="V194" s="144"/>
      <c r="W194" s="179"/>
      <c r="X194" s="168">
        <v>0.18</v>
      </c>
      <c r="Y194" s="144"/>
      <c r="Z194" s="179"/>
      <c r="AA194" s="168">
        <v>0.43</v>
      </c>
      <c r="AB194" s="144"/>
      <c r="AC194" s="179"/>
      <c r="AD194" s="168">
        <v>0.27</v>
      </c>
      <c r="AE194" s="144"/>
    </row>
    <row r="195" spans="1:31">
      <c r="A195" s="149" t="s">
        <v>176</v>
      </c>
      <c r="B195" s="150" t="s">
        <v>177</v>
      </c>
      <c r="E195" s="179"/>
      <c r="F195" s="168">
        <v>47.4</v>
      </c>
      <c r="G195" s="144"/>
      <c r="H195" s="179"/>
      <c r="I195" s="168">
        <v>69.400000000000006</v>
      </c>
      <c r="J195" s="144"/>
      <c r="K195" s="179"/>
      <c r="L195" s="184">
        <v>90</v>
      </c>
      <c r="M195" s="144"/>
      <c r="N195" s="179"/>
      <c r="O195" s="184">
        <v>97.8</v>
      </c>
      <c r="P195" s="144"/>
      <c r="Q195" s="179"/>
      <c r="R195" s="184">
        <v>31.8</v>
      </c>
      <c r="S195" s="144"/>
      <c r="T195" s="179"/>
      <c r="U195" s="184">
        <v>42.6</v>
      </c>
      <c r="V195" s="144"/>
      <c r="W195" s="179"/>
      <c r="X195" s="184">
        <v>34.799999999999997</v>
      </c>
      <c r="Y195" s="144"/>
      <c r="Z195" s="179"/>
      <c r="AA195" s="184">
        <v>19.399999999999999</v>
      </c>
      <c r="AB195" s="144"/>
      <c r="AC195" s="179"/>
      <c r="AD195" s="184">
        <v>70.8</v>
      </c>
      <c r="AE195" s="144"/>
    </row>
    <row r="196" spans="1:31">
      <c r="A196" s="149" t="s">
        <v>178</v>
      </c>
      <c r="B196" s="150" t="s">
        <v>179</v>
      </c>
      <c r="E196" s="179"/>
      <c r="F196" s="168">
        <v>5.4</v>
      </c>
      <c r="G196" s="144"/>
      <c r="H196" s="179"/>
      <c r="I196" s="184">
        <v>-4.3</v>
      </c>
      <c r="J196" s="144"/>
      <c r="K196" s="179"/>
      <c r="L196" s="184">
        <v>-19.3</v>
      </c>
      <c r="M196" s="144"/>
      <c r="N196" s="179"/>
      <c r="O196" s="184">
        <v>-56.2</v>
      </c>
      <c r="P196" s="144"/>
      <c r="Q196" s="179"/>
      <c r="R196" s="184">
        <v>-12.9</v>
      </c>
      <c r="S196" s="144"/>
      <c r="T196" s="179"/>
      <c r="U196" s="184">
        <v>-110.7</v>
      </c>
      <c r="V196" s="144"/>
      <c r="W196" s="179"/>
      <c r="X196" s="184">
        <v>-131.4</v>
      </c>
      <c r="Y196" s="144"/>
      <c r="Z196" s="179"/>
      <c r="AA196" s="184">
        <v>-23.6</v>
      </c>
      <c r="AB196" s="144"/>
      <c r="AC196" s="179"/>
      <c r="AD196" s="184">
        <v>-51.3</v>
      </c>
      <c r="AE196" s="144"/>
    </row>
    <row r="197" spans="1:31">
      <c r="A197" s="149" t="s">
        <v>180</v>
      </c>
      <c r="B197" s="150" t="s">
        <v>181</v>
      </c>
      <c r="E197" s="179"/>
      <c r="F197" s="168">
        <v>0.74</v>
      </c>
      <c r="G197" s="144"/>
      <c r="H197" s="179"/>
      <c r="I197" s="180">
        <v>0.68</v>
      </c>
      <c r="J197" s="144"/>
      <c r="K197" s="179"/>
      <c r="L197" s="180">
        <v>1.73</v>
      </c>
      <c r="M197" s="144"/>
      <c r="N197" s="179"/>
      <c r="O197" s="180">
        <v>1.31</v>
      </c>
      <c r="P197" s="144"/>
      <c r="Q197" s="179"/>
      <c r="R197" s="180">
        <v>0.51</v>
      </c>
      <c r="S197" s="144"/>
      <c r="T197" s="179"/>
      <c r="U197" s="180">
        <v>0.83</v>
      </c>
      <c r="V197" s="144"/>
      <c r="W197" s="179"/>
      <c r="X197" s="180">
        <v>0.65</v>
      </c>
      <c r="Y197" s="144"/>
      <c r="Z197" s="179"/>
      <c r="AA197" s="180">
        <v>1.01</v>
      </c>
      <c r="AB197" s="144"/>
      <c r="AC197" s="179"/>
      <c r="AD197" s="180">
        <v>0.56999999999999995</v>
      </c>
      <c r="AE197" s="144"/>
    </row>
    <row r="198" spans="1:31">
      <c r="A198" s="149" t="s">
        <v>166</v>
      </c>
      <c r="B198" s="150" t="s">
        <v>182</v>
      </c>
      <c r="E198" s="179"/>
      <c r="F198" s="168">
        <v>0.95699999999999996</v>
      </c>
      <c r="G198" s="144"/>
      <c r="H198" s="179"/>
      <c r="I198" s="182">
        <v>0.88</v>
      </c>
      <c r="J198" s="144"/>
      <c r="K198" s="179"/>
      <c r="L198" s="182">
        <v>2.1429999999999998</v>
      </c>
      <c r="M198" s="144"/>
      <c r="N198" s="179"/>
      <c r="O198" s="182">
        <v>1.639</v>
      </c>
      <c r="P198" s="144"/>
      <c r="Q198" s="179"/>
      <c r="R198" s="182">
        <v>0.67100000000000004</v>
      </c>
      <c r="S198" s="144"/>
      <c r="T198" s="179"/>
      <c r="U198" s="182">
        <v>1.0609999999999999</v>
      </c>
      <c r="V198" s="144"/>
      <c r="W198" s="179"/>
      <c r="X198" s="182">
        <v>0.83699999999999997</v>
      </c>
      <c r="Y198" s="144"/>
      <c r="Z198" s="179"/>
      <c r="AA198" s="182">
        <v>1.2829999999999999</v>
      </c>
      <c r="AB198" s="144"/>
      <c r="AC198" s="179"/>
      <c r="AD198" s="182">
        <v>0.746</v>
      </c>
      <c r="AE198" s="144"/>
    </row>
    <row r="199" spans="1:31">
      <c r="A199" s="149" t="s">
        <v>183</v>
      </c>
      <c r="B199" s="150" t="s">
        <v>9</v>
      </c>
      <c r="E199" s="179"/>
      <c r="F199" s="184">
        <v>3</v>
      </c>
      <c r="G199" s="144"/>
      <c r="H199" s="179"/>
      <c r="I199" s="184">
        <v>3</v>
      </c>
      <c r="J199" s="144"/>
      <c r="K199" s="179"/>
      <c r="L199" s="184">
        <v>3</v>
      </c>
      <c r="M199" s="144"/>
      <c r="N199" s="179"/>
      <c r="O199" s="184">
        <v>3</v>
      </c>
      <c r="P199" s="144"/>
      <c r="Q199" s="179"/>
      <c r="R199" s="184">
        <v>4.5</v>
      </c>
      <c r="S199" s="144"/>
      <c r="T199" s="179"/>
      <c r="U199" s="184">
        <v>9</v>
      </c>
      <c r="V199" s="144"/>
      <c r="W199" s="179"/>
      <c r="X199" s="184">
        <v>7.5</v>
      </c>
      <c r="Y199" s="144"/>
      <c r="Z199" s="179"/>
      <c r="AA199" s="184">
        <v>9</v>
      </c>
      <c r="AB199" s="144"/>
      <c r="AC199" s="179"/>
      <c r="AD199" s="184">
        <v>6</v>
      </c>
      <c r="AE199" s="144"/>
    </row>
    <row r="200" spans="1:31" ht="17.25" customHeight="1">
      <c r="A200" s="172" t="s">
        <v>184</v>
      </c>
      <c r="B200" s="173" t="s">
        <v>185</v>
      </c>
      <c r="E200" s="185"/>
      <c r="F200" s="186">
        <v>100</v>
      </c>
      <c r="G200" s="159"/>
      <c r="H200" s="185"/>
      <c r="I200" s="186">
        <v>100</v>
      </c>
      <c r="J200" s="159"/>
      <c r="K200" s="185"/>
      <c r="L200" s="186">
        <v>100</v>
      </c>
      <c r="M200" s="159"/>
      <c r="N200" s="185"/>
      <c r="O200" s="186">
        <v>100</v>
      </c>
      <c r="P200" s="159"/>
      <c r="Q200" s="185"/>
      <c r="R200" s="186">
        <v>150</v>
      </c>
      <c r="S200" s="159"/>
      <c r="T200" s="185"/>
      <c r="U200" s="186">
        <v>300</v>
      </c>
      <c r="V200" s="159"/>
      <c r="W200" s="185"/>
      <c r="X200" s="186">
        <v>250</v>
      </c>
      <c r="Y200" s="159"/>
      <c r="Z200" s="185"/>
      <c r="AA200" s="186">
        <v>300</v>
      </c>
      <c r="AB200" s="159"/>
      <c r="AC200" s="185"/>
      <c r="AD200" s="186">
        <v>200</v>
      </c>
      <c r="AE200" s="159"/>
    </row>
    <row r="201" spans="1:31">
      <c r="A201" s="129"/>
      <c r="B201" s="130" t="s">
        <v>60</v>
      </c>
      <c r="E201" s="220" t="s">
        <v>106</v>
      </c>
      <c r="F201" s="221"/>
      <c r="G201" s="221"/>
      <c r="H201" s="220" t="s">
        <v>107</v>
      </c>
      <c r="I201" s="221"/>
      <c r="J201" s="221"/>
      <c r="K201" s="220" t="s">
        <v>108</v>
      </c>
      <c r="L201" s="221"/>
      <c r="M201" s="221"/>
      <c r="N201" s="220" t="s">
        <v>109</v>
      </c>
      <c r="O201" s="221"/>
      <c r="P201" s="221"/>
      <c r="Q201" s="220" t="s">
        <v>110</v>
      </c>
      <c r="R201" s="221"/>
      <c r="S201" s="221"/>
      <c r="T201" s="220" t="s">
        <v>111</v>
      </c>
      <c r="U201" s="221"/>
      <c r="V201" s="221"/>
      <c r="W201" s="220" t="s">
        <v>112</v>
      </c>
      <c r="X201" s="221"/>
      <c r="Y201" s="221"/>
      <c r="Z201" s="220" t="s">
        <v>113</v>
      </c>
      <c r="AA201" s="221"/>
      <c r="AB201" s="221"/>
      <c r="AC201" s="220" t="s">
        <v>114</v>
      </c>
      <c r="AD201" s="221"/>
      <c r="AE201" s="221"/>
    </row>
    <row r="202" spans="1:31">
      <c r="A202" s="131"/>
      <c r="B202" s="132" t="s">
        <v>115</v>
      </c>
      <c r="E202" s="215" t="s">
        <v>32</v>
      </c>
      <c r="F202" s="216"/>
      <c r="G202" s="216"/>
      <c r="H202" s="215" t="s">
        <v>32</v>
      </c>
      <c r="I202" s="216"/>
      <c r="J202" s="216"/>
      <c r="K202" s="215" t="s">
        <v>32</v>
      </c>
      <c r="L202" s="216"/>
      <c r="M202" s="216"/>
      <c r="N202" s="215" t="s">
        <v>32</v>
      </c>
      <c r="O202" s="216"/>
      <c r="P202" s="216"/>
      <c r="Q202" s="215" t="s">
        <v>32</v>
      </c>
      <c r="R202" s="216"/>
      <c r="S202" s="216"/>
      <c r="T202" s="215" t="s">
        <v>32</v>
      </c>
      <c r="U202" s="216"/>
      <c r="V202" s="216"/>
      <c r="W202" s="215" t="s">
        <v>32</v>
      </c>
      <c r="X202" s="216"/>
      <c r="Y202" s="216"/>
      <c r="Z202" s="215" t="s">
        <v>32</v>
      </c>
      <c r="AA202" s="216"/>
      <c r="AB202" s="216"/>
      <c r="AC202" s="215" t="s">
        <v>32</v>
      </c>
      <c r="AD202" s="216"/>
      <c r="AE202" s="216"/>
    </row>
    <row r="203" spans="1:31">
      <c r="A203" s="131"/>
      <c r="B203" s="132" t="s">
        <v>116</v>
      </c>
      <c r="E203" s="217">
        <v>40424</v>
      </c>
      <c r="F203" s="218"/>
      <c r="G203" s="219"/>
      <c r="H203" s="217">
        <v>40483</v>
      </c>
      <c r="I203" s="218"/>
      <c r="J203" s="219"/>
      <c r="K203" s="217">
        <v>40588</v>
      </c>
      <c r="L203" s="218"/>
      <c r="M203" s="219"/>
      <c r="N203" s="217">
        <v>40638</v>
      </c>
      <c r="O203" s="218"/>
      <c r="P203" s="219"/>
      <c r="Q203" s="217">
        <v>40865</v>
      </c>
      <c r="R203" s="218"/>
      <c r="S203" s="219"/>
      <c r="T203" s="217">
        <v>40900</v>
      </c>
      <c r="U203" s="218"/>
      <c r="V203" s="219"/>
      <c r="W203" s="217">
        <v>41081</v>
      </c>
      <c r="X203" s="218"/>
      <c r="Y203" s="219"/>
      <c r="Z203" s="217">
        <v>41172</v>
      </c>
      <c r="AA203" s="218"/>
      <c r="AB203" s="219"/>
      <c r="AC203" s="217">
        <v>41355</v>
      </c>
      <c r="AD203" s="218"/>
      <c r="AE203" s="219"/>
    </row>
    <row r="204" spans="1:31">
      <c r="A204" s="131"/>
      <c r="B204" s="132" t="s">
        <v>13</v>
      </c>
      <c r="E204" s="211" t="s">
        <v>121</v>
      </c>
      <c r="F204" s="211"/>
      <c r="G204" s="211"/>
      <c r="H204" s="211" t="s">
        <v>121</v>
      </c>
      <c r="I204" s="211"/>
      <c r="J204" s="211"/>
      <c r="K204" s="211" t="s">
        <v>121</v>
      </c>
      <c r="L204" s="211"/>
      <c r="M204" s="211"/>
      <c r="N204" s="211" t="s">
        <v>121</v>
      </c>
      <c r="O204" s="211"/>
      <c r="P204" s="211"/>
      <c r="Q204" s="211" t="s">
        <v>121</v>
      </c>
      <c r="R204" s="211"/>
      <c r="S204" s="211"/>
      <c r="T204" s="211" t="s">
        <v>121</v>
      </c>
      <c r="U204" s="211"/>
      <c r="V204" s="211"/>
      <c r="W204" s="211" t="s">
        <v>121</v>
      </c>
      <c r="X204" s="211"/>
      <c r="Y204" s="211"/>
      <c r="Z204" s="211" t="s">
        <v>121</v>
      </c>
      <c r="AA204" s="211"/>
      <c r="AB204" s="211"/>
      <c r="AC204" s="211" t="s">
        <v>121</v>
      </c>
      <c r="AD204" s="211"/>
      <c r="AE204" s="211"/>
    </row>
    <row r="205" spans="1:31">
      <c r="A205" s="131"/>
      <c r="B205" s="132" t="s">
        <v>122</v>
      </c>
      <c r="E205" s="211" t="s">
        <v>123</v>
      </c>
      <c r="F205" s="211"/>
      <c r="G205" s="211"/>
      <c r="H205" s="211" t="s">
        <v>123</v>
      </c>
      <c r="I205" s="211"/>
      <c r="J205" s="211"/>
      <c r="K205" s="211" t="s">
        <v>123</v>
      </c>
      <c r="L205" s="211"/>
      <c r="M205" s="211"/>
      <c r="N205" s="211" t="s">
        <v>123</v>
      </c>
      <c r="O205" s="211"/>
      <c r="P205" s="211"/>
      <c r="Q205" s="211" t="s">
        <v>123</v>
      </c>
      <c r="R205" s="211"/>
      <c r="S205" s="211"/>
      <c r="T205" s="211" t="s">
        <v>123</v>
      </c>
      <c r="U205" s="211"/>
      <c r="V205" s="211"/>
      <c r="W205" s="211" t="s">
        <v>123</v>
      </c>
      <c r="X205" s="211"/>
      <c r="Y205" s="211"/>
      <c r="Z205" s="211" t="s">
        <v>123</v>
      </c>
      <c r="AA205" s="211"/>
      <c r="AB205" s="211"/>
      <c r="AC205" s="211" t="s">
        <v>123</v>
      </c>
      <c r="AD205" s="211"/>
      <c r="AE205" s="211"/>
    </row>
    <row r="206" spans="1:31">
      <c r="A206" s="131"/>
      <c r="B206" s="132" t="s">
        <v>124</v>
      </c>
      <c r="E206" s="211" t="s">
        <v>125</v>
      </c>
      <c r="F206" s="211"/>
      <c r="G206" s="211"/>
      <c r="H206" s="211" t="s">
        <v>125</v>
      </c>
      <c r="I206" s="211"/>
      <c r="J206" s="211"/>
      <c r="K206" s="211" t="s">
        <v>125</v>
      </c>
      <c r="L206" s="211"/>
      <c r="M206" s="211"/>
      <c r="N206" s="211" t="s">
        <v>125</v>
      </c>
      <c r="O206" s="211"/>
      <c r="P206" s="211"/>
      <c r="Q206" s="211" t="s">
        <v>125</v>
      </c>
      <c r="R206" s="211"/>
      <c r="S206" s="211"/>
      <c r="T206" s="211" t="s">
        <v>125</v>
      </c>
      <c r="U206" s="211"/>
      <c r="V206" s="211"/>
      <c r="W206" s="211" t="s">
        <v>125</v>
      </c>
      <c r="X206" s="211"/>
      <c r="Y206" s="211"/>
      <c r="Z206" s="211" t="s">
        <v>125</v>
      </c>
      <c r="AA206" s="211"/>
      <c r="AB206" s="211"/>
      <c r="AC206" s="211" t="s">
        <v>125</v>
      </c>
      <c r="AD206" s="211"/>
      <c r="AE206" s="211"/>
    </row>
    <row r="207" spans="1:31">
      <c r="A207" s="131"/>
      <c r="B207" s="132" t="s">
        <v>126</v>
      </c>
      <c r="E207" s="211" t="s">
        <v>130</v>
      </c>
      <c r="F207" s="211"/>
      <c r="G207" s="211"/>
      <c r="H207" s="211" t="s">
        <v>130</v>
      </c>
      <c r="I207" s="211"/>
      <c r="J207" s="211"/>
      <c r="K207" s="211" t="s">
        <v>130</v>
      </c>
      <c r="L207" s="211"/>
      <c r="M207" s="211"/>
      <c r="N207" s="211" t="s">
        <v>130</v>
      </c>
      <c r="O207" s="211"/>
      <c r="P207" s="211"/>
      <c r="Q207" s="211" t="s">
        <v>130</v>
      </c>
      <c r="R207" s="211"/>
      <c r="S207" s="211"/>
      <c r="T207" s="211" t="s">
        <v>130</v>
      </c>
      <c r="U207" s="211"/>
      <c r="V207" s="211"/>
      <c r="W207" s="211" t="s">
        <v>130</v>
      </c>
      <c r="X207" s="211"/>
      <c r="Y207" s="211"/>
      <c r="Z207" s="211" t="s">
        <v>130</v>
      </c>
      <c r="AA207" s="211"/>
      <c r="AB207" s="211"/>
      <c r="AC207" s="211" t="s">
        <v>130</v>
      </c>
      <c r="AD207" s="211"/>
      <c r="AE207" s="211"/>
    </row>
    <row r="208" spans="1:31">
      <c r="A208" s="131"/>
      <c r="B208" s="132" t="s">
        <v>131</v>
      </c>
      <c r="E208" s="211" t="s">
        <v>132</v>
      </c>
      <c r="F208" s="211"/>
      <c r="G208" s="211"/>
      <c r="H208" s="211" t="s">
        <v>132</v>
      </c>
      <c r="I208" s="211"/>
      <c r="J208" s="211"/>
      <c r="K208" s="211" t="s">
        <v>132</v>
      </c>
      <c r="L208" s="211"/>
      <c r="M208" s="211"/>
      <c r="N208" s="211" t="s">
        <v>132</v>
      </c>
      <c r="O208" s="211"/>
      <c r="P208" s="211"/>
      <c r="Q208" s="211" t="s">
        <v>132</v>
      </c>
      <c r="R208" s="211"/>
      <c r="S208" s="211"/>
      <c r="T208" s="211" t="s">
        <v>132</v>
      </c>
      <c r="U208" s="211"/>
      <c r="V208" s="211"/>
      <c r="W208" s="211" t="s">
        <v>132</v>
      </c>
      <c r="X208" s="211"/>
      <c r="Y208" s="211"/>
      <c r="Z208" s="211" t="s">
        <v>132</v>
      </c>
      <c r="AA208" s="211"/>
      <c r="AB208" s="211"/>
      <c r="AC208" s="211" t="s">
        <v>132</v>
      </c>
      <c r="AD208" s="211"/>
      <c r="AE208" s="211"/>
    </row>
    <row r="209" spans="1:31" ht="13.5" thickBot="1">
      <c r="A209" s="133" t="s">
        <v>133</v>
      </c>
      <c r="B209" s="134" t="s">
        <v>134</v>
      </c>
      <c r="E209" s="212"/>
      <c r="F209" s="213"/>
      <c r="G209" s="214"/>
      <c r="H209" s="212"/>
      <c r="I209" s="213"/>
      <c r="J209" s="214"/>
      <c r="K209" s="212"/>
      <c r="L209" s="213"/>
      <c r="M209" s="214"/>
      <c r="N209" s="212"/>
      <c r="O209" s="213"/>
      <c r="P209" s="214"/>
      <c r="Q209" s="212"/>
      <c r="R209" s="213"/>
      <c r="S209" s="214"/>
      <c r="T209" s="212"/>
      <c r="U209" s="213"/>
      <c r="V209" s="214"/>
      <c r="W209" s="212"/>
      <c r="X209" s="213"/>
      <c r="Y209" s="214"/>
      <c r="Z209" s="212"/>
      <c r="AA209" s="213"/>
      <c r="AB209" s="214"/>
      <c r="AC209" s="212"/>
      <c r="AD209" s="213"/>
      <c r="AE209" s="214"/>
    </row>
    <row r="210" spans="1:31">
      <c r="A210" s="135" t="s">
        <v>135</v>
      </c>
      <c r="B210" s="136"/>
      <c r="E210" s="137"/>
      <c r="F210" s="138"/>
      <c r="G210" s="139"/>
      <c r="H210" s="137"/>
      <c r="I210" s="138"/>
      <c r="J210" s="139"/>
      <c r="K210" s="137"/>
      <c r="L210" s="138"/>
      <c r="M210" s="139"/>
      <c r="N210" s="137"/>
      <c r="O210" s="138"/>
      <c r="P210" s="139"/>
      <c r="Q210" s="137"/>
      <c r="R210" s="138"/>
      <c r="S210" s="139"/>
      <c r="T210" s="137"/>
      <c r="U210" s="138"/>
      <c r="V210" s="139"/>
      <c r="W210" s="137"/>
      <c r="X210" s="138"/>
      <c r="Y210" s="139"/>
      <c r="Z210" s="137"/>
      <c r="AA210" s="138"/>
      <c r="AB210" s="139"/>
      <c r="AC210" s="137"/>
      <c r="AD210" s="138"/>
      <c r="AE210" s="139"/>
    </row>
    <row r="211" spans="1:31">
      <c r="A211" s="140" t="s">
        <v>136</v>
      </c>
      <c r="B211" s="141" t="s">
        <v>137</v>
      </c>
      <c r="E211" s="142"/>
      <c r="F211" s="148">
        <v>200</v>
      </c>
      <c r="G211" s="144"/>
      <c r="H211" s="142"/>
      <c r="I211" s="147">
        <v>130</v>
      </c>
      <c r="J211" s="144"/>
      <c r="K211" s="142"/>
      <c r="L211" s="147">
        <v>190</v>
      </c>
      <c r="M211" s="144"/>
      <c r="N211" s="142"/>
      <c r="O211" s="147">
        <v>260</v>
      </c>
      <c r="P211" s="144"/>
      <c r="Q211" s="142"/>
      <c r="R211" s="145">
        <v>7.2</v>
      </c>
      <c r="S211" s="144"/>
      <c r="T211" s="142"/>
      <c r="U211" s="147">
        <v>23</v>
      </c>
      <c r="V211" s="144"/>
      <c r="W211" s="142"/>
      <c r="X211" s="147">
        <v>12</v>
      </c>
      <c r="Y211" s="144"/>
      <c r="Z211" s="142" t="s">
        <v>138</v>
      </c>
      <c r="AA211" s="145">
        <v>2</v>
      </c>
      <c r="AB211" s="144"/>
      <c r="AC211" s="142"/>
      <c r="AD211" s="147">
        <v>120</v>
      </c>
      <c r="AE211" s="144"/>
    </row>
    <row r="212" spans="1:31">
      <c r="A212" s="149" t="s">
        <v>139</v>
      </c>
      <c r="B212" s="150" t="s">
        <v>140</v>
      </c>
      <c r="E212" s="142"/>
      <c r="F212" s="143">
        <v>5</v>
      </c>
      <c r="G212" s="144"/>
      <c r="H212" s="142"/>
      <c r="I212" s="145">
        <v>5.3</v>
      </c>
      <c r="J212" s="144"/>
      <c r="K212" s="142" t="s">
        <v>138</v>
      </c>
      <c r="L212" s="145">
        <v>5</v>
      </c>
      <c r="M212" s="144"/>
      <c r="N212" s="142"/>
      <c r="O212" s="145">
        <v>5.4</v>
      </c>
      <c r="P212" s="144"/>
      <c r="Q212" s="142" t="s">
        <v>138</v>
      </c>
      <c r="R212" s="145">
        <v>5</v>
      </c>
      <c r="S212" s="144"/>
      <c r="T212" s="142" t="s">
        <v>138</v>
      </c>
      <c r="U212" s="145">
        <v>5</v>
      </c>
      <c r="V212" s="144"/>
      <c r="W212" s="142" t="s">
        <v>138</v>
      </c>
      <c r="X212" s="145">
        <v>2</v>
      </c>
      <c r="Y212" s="144"/>
      <c r="Z212" s="142" t="s">
        <v>138</v>
      </c>
      <c r="AA212" s="145">
        <v>2</v>
      </c>
      <c r="AB212" s="144"/>
      <c r="AC212" s="142"/>
      <c r="AD212" s="145">
        <v>2.4</v>
      </c>
      <c r="AE212" s="144"/>
    </row>
    <row r="213" spans="1:31">
      <c r="A213" s="149" t="s">
        <v>141</v>
      </c>
      <c r="B213" s="150" t="s">
        <v>142</v>
      </c>
      <c r="E213" s="142"/>
      <c r="F213" s="148">
        <v>18</v>
      </c>
      <c r="G213" s="152"/>
      <c r="H213" s="142"/>
      <c r="I213" s="147">
        <v>16</v>
      </c>
      <c r="J213" s="152"/>
      <c r="K213" s="142"/>
      <c r="L213" s="147">
        <v>42</v>
      </c>
      <c r="M213" s="152"/>
      <c r="N213" s="142"/>
      <c r="O213" s="147">
        <v>61</v>
      </c>
      <c r="P213" s="152"/>
      <c r="Q213" s="142" t="s">
        <v>138</v>
      </c>
      <c r="R213" s="145">
        <v>5</v>
      </c>
      <c r="S213" s="152"/>
      <c r="T213" s="142" t="s">
        <v>138</v>
      </c>
      <c r="U213" s="145">
        <v>5</v>
      </c>
      <c r="V213" s="152"/>
      <c r="W213" s="142" t="s">
        <v>138</v>
      </c>
      <c r="X213" s="145">
        <v>2</v>
      </c>
      <c r="Y213" s="152"/>
      <c r="Z213" s="142" t="s">
        <v>138</v>
      </c>
      <c r="AA213" s="145">
        <v>2</v>
      </c>
      <c r="AB213" s="152"/>
      <c r="AC213" s="142"/>
      <c r="AD213" s="145">
        <v>2.8</v>
      </c>
      <c r="AE213" s="152"/>
    </row>
    <row r="214" spans="1:31">
      <c r="A214" s="149" t="s">
        <v>143</v>
      </c>
      <c r="B214" s="150" t="s">
        <v>144</v>
      </c>
      <c r="E214" s="142" t="s">
        <v>138</v>
      </c>
      <c r="F214" s="148">
        <v>10</v>
      </c>
      <c r="G214" s="152"/>
      <c r="H214" s="142" t="s">
        <v>138</v>
      </c>
      <c r="I214" s="145">
        <v>5</v>
      </c>
      <c r="J214" s="152"/>
      <c r="K214" s="142"/>
      <c r="L214" s="145">
        <v>6</v>
      </c>
      <c r="M214" s="152"/>
      <c r="N214" s="142"/>
      <c r="O214" s="145">
        <v>7.6</v>
      </c>
      <c r="P214" s="152"/>
      <c r="Q214" s="142" t="s">
        <v>138</v>
      </c>
      <c r="R214" s="145">
        <v>5</v>
      </c>
      <c r="S214" s="152"/>
      <c r="T214" s="142" t="s">
        <v>138</v>
      </c>
      <c r="U214" s="145">
        <v>5</v>
      </c>
      <c r="V214" s="152"/>
      <c r="W214" s="142" t="s">
        <v>138</v>
      </c>
      <c r="X214" s="145">
        <v>2</v>
      </c>
      <c r="Y214" s="152"/>
      <c r="Z214" s="142"/>
      <c r="AA214" s="145">
        <v>2</v>
      </c>
      <c r="AB214" s="152"/>
      <c r="AC214" s="142"/>
      <c r="AD214" s="145">
        <v>26</v>
      </c>
      <c r="AE214" s="152"/>
    </row>
    <row r="215" spans="1:31">
      <c r="A215" s="149" t="s">
        <v>145</v>
      </c>
      <c r="B215" s="150" t="s">
        <v>146</v>
      </c>
      <c r="E215" s="142"/>
      <c r="F215" s="148">
        <v>15</v>
      </c>
      <c r="G215" s="144"/>
      <c r="H215" s="142"/>
      <c r="I215" s="147">
        <v>20</v>
      </c>
      <c r="J215" s="144"/>
      <c r="K215" s="142"/>
      <c r="L215" s="147">
        <v>36</v>
      </c>
      <c r="M215" s="144"/>
      <c r="N215" s="142"/>
      <c r="O215" s="147">
        <v>49</v>
      </c>
      <c r="P215" s="144"/>
      <c r="Q215" s="142"/>
      <c r="R215" s="145">
        <v>5.8</v>
      </c>
      <c r="S215" s="144"/>
      <c r="T215" s="142"/>
      <c r="U215" s="147">
        <v>12</v>
      </c>
      <c r="V215" s="144"/>
      <c r="W215" s="142"/>
      <c r="X215" s="145">
        <v>8.1999999999999993</v>
      </c>
      <c r="Y215" s="144"/>
      <c r="Z215" s="142"/>
      <c r="AA215" s="145">
        <v>4.8</v>
      </c>
      <c r="AB215" s="144"/>
      <c r="AC215" s="142"/>
      <c r="AD215" s="145">
        <v>12</v>
      </c>
      <c r="AE215" s="144"/>
    </row>
    <row r="216" spans="1:31">
      <c r="A216" s="149" t="s">
        <v>147</v>
      </c>
      <c r="B216" s="150" t="s">
        <v>148</v>
      </c>
      <c r="E216" s="142" t="s">
        <v>138</v>
      </c>
      <c r="F216" s="148">
        <v>10</v>
      </c>
      <c r="G216" s="144"/>
      <c r="H216" s="142" t="s">
        <v>138</v>
      </c>
      <c r="I216" s="145">
        <v>5</v>
      </c>
      <c r="J216" s="144"/>
      <c r="K216" s="142" t="s">
        <v>138</v>
      </c>
      <c r="L216" s="145">
        <v>5</v>
      </c>
      <c r="M216" s="144"/>
      <c r="N216" s="142"/>
      <c r="O216" s="145">
        <v>5.8</v>
      </c>
      <c r="P216" s="144"/>
      <c r="Q216" s="142" t="s">
        <v>138</v>
      </c>
      <c r="R216" s="145">
        <v>5</v>
      </c>
      <c r="S216" s="144"/>
      <c r="T216" s="142" t="s">
        <v>138</v>
      </c>
      <c r="U216" s="145">
        <v>5</v>
      </c>
      <c r="V216" s="144"/>
      <c r="W216" s="142" t="s">
        <v>138</v>
      </c>
      <c r="X216" s="145">
        <v>2</v>
      </c>
      <c r="Y216" s="144"/>
      <c r="Z216" s="142" t="s">
        <v>138</v>
      </c>
      <c r="AA216" s="145">
        <v>2</v>
      </c>
      <c r="AB216" s="144"/>
      <c r="AC216" s="142" t="s">
        <v>138</v>
      </c>
      <c r="AD216" s="145">
        <v>2</v>
      </c>
      <c r="AE216" s="144"/>
    </row>
    <row r="217" spans="1:31">
      <c r="A217" s="149" t="s">
        <v>149</v>
      </c>
      <c r="B217" s="150" t="s">
        <v>150</v>
      </c>
      <c r="E217" s="142"/>
      <c r="F217" s="148">
        <v>330</v>
      </c>
      <c r="G217" s="144"/>
      <c r="H217" s="142"/>
      <c r="I217" s="147">
        <v>250</v>
      </c>
      <c r="J217" s="144"/>
      <c r="K217" s="142"/>
      <c r="L217" s="147">
        <v>260</v>
      </c>
      <c r="M217" s="144"/>
      <c r="N217" s="142"/>
      <c r="O217" s="147">
        <v>270</v>
      </c>
      <c r="P217" s="144"/>
      <c r="Q217" s="142"/>
      <c r="R217" s="147">
        <v>270</v>
      </c>
      <c r="S217" s="144"/>
      <c r="T217" s="142"/>
      <c r="U217" s="147">
        <v>260</v>
      </c>
      <c r="V217" s="144"/>
      <c r="W217" s="142"/>
      <c r="X217" s="147">
        <v>260</v>
      </c>
      <c r="Y217" s="144"/>
      <c r="Z217" s="142"/>
      <c r="AA217" s="147">
        <v>230</v>
      </c>
      <c r="AB217" s="144"/>
      <c r="AC217" s="142"/>
      <c r="AD217" s="147">
        <v>260</v>
      </c>
      <c r="AE217" s="144"/>
    </row>
    <row r="218" spans="1:31">
      <c r="A218" s="155" t="s">
        <v>151</v>
      </c>
      <c r="B218" s="156" t="s">
        <v>152</v>
      </c>
      <c r="E218" s="142"/>
      <c r="F218" s="143">
        <v>5</v>
      </c>
      <c r="G218" s="144"/>
      <c r="H218" s="142" t="s">
        <v>138</v>
      </c>
      <c r="I218" s="145">
        <v>5</v>
      </c>
      <c r="J218" s="144"/>
      <c r="K218" s="142" t="s">
        <v>138</v>
      </c>
      <c r="L218" s="145">
        <v>5</v>
      </c>
      <c r="M218" s="144"/>
      <c r="N218" s="142" t="s">
        <v>138</v>
      </c>
      <c r="O218" s="145">
        <v>5</v>
      </c>
      <c r="P218" s="144"/>
      <c r="Q218" s="142" t="s">
        <v>138</v>
      </c>
      <c r="R218" s="145">
        <v>5</v>
      </c>
      <c r="S218" s="144"/>
      <c r="T218" s="142" t="s">
        <v>138</v>
      </c>
      <c r="U218" s="145">
        <v>5</v>
      </c>
      <c r="V218" s="144"/>
      <c r="W218" s="142"/>
      <c r="X218" s="145">
        <v>2.8</v>
      </c>
      <c r="Y218" s="144"/>
      <c r="Z218" s="142"/>
      <c r="AA218" s="145">
        <v>3</v>
      </c>
      <c r="AB218" s="144"/>
      <c r="AC218" s="142" t="s">
        <v>138</v>
      </c>
      <c r="AD218" s="145">
        <v>2</v>
      </c>
      <c r="AE218" s="144"/>
    </row>
    <row r="219" spans="1:31">
      <c r="A219" s="157" t="s">
        <v>153</v>
      </c>
      <c r="B219" s="158" t="s">
        <v>154</v>
      </c>
      <c r="E219" s="160" t="s">
        <v>138</v>
      </c>
      <c r="F219" s="161">
        <v>5</v>
      </c>
      <c r="G219" s="159"/>
      <c r="H219" s="160" t="s">
        <v>138</v>
      </c>
      <c r="I219" s="162">
        <v>5</v>
      </c>
      <c r="J219" s="159"/>
      <c r="K219" s="160" t="s">
        <v>138</v>
      </c>
      <c r="L219" s="162">
        <v>5</v>
      </c>
      <c r="M219" s="159"/>
      <c r="N219" s="160" t="s">
        <v>138</v>
      </c>
      <c r="O219" s="162">
        <v>5</v>
      </c>
      <c r="P219" s="159"/>
      <c r="Q219" s="160" t="s">
        <v>138</v>
      </c>
      <c r="R219" s="162">
        <v>5</v>
      </c>
      <c r="S219" s="159"/>
      <c r="T219" s="160" t="s">
        <v>138</v>
      </c>
      <c r="U219" s="162">
        <v>5</v>
      </c>
      <c r="V219" s="159"/>
      <c r="W219" s="160" t="s">
        <v>138</v>
      </c>
      <c r="X219" s="162">
        <v>2</v>
      </c>
      <c r="Y219" s="159"/>
      <c r="Z219" s="160"/>
      <c r="AA219" s="162">
        <v>2.2999999999999998</v>
      </c>
      <c r="AB219" s="159"/>
      <c r="AC219" s="160" t="s">
        <v>138</v>
      </c>
      <c r="AD219" s="162">
        <v>2</v>
      </c>
      <c r="AE219" s="159"/>
    </row>
    <row r="220" spans="1:31">
      <c r="A220" s="164" t="s">
        <v>155</v>
      </c>
      <c r="B220" s="165"/>
      <c r="E220" s="142"/>
      <c r="F220" s="168"/>
      <c r="G220" s="144"/>
      <c r="H220" s="142"/>
      <c r="I220" s="168"/>
      <c r="J220" s="144"/>
      <c r="K220" s="142"/>
      <c r="L220" s="168"/>
      <c r="M220" s="144"/>
      <c r="N220" s="142"/>
      <c r="O220" s="168"/>
      <c r="P220" s="144"/>
      <c r="Q220" s="142"/>
      <c r="R220" s="168"/>
      <c r="S220" s="144"/>
      <c r="T220" s="142"/>
      <c r="U220" s="168"/>
      <c r="V220" s="144"/>
      <c r="W220" s="142"/>
      <c r="X220" s="168"/>
      <c r="Y220" s="144"/>
      <c r="Z220" s="142"/>
      <c r="AA220" s="168"/>
      <c r="AB220" s="144"/>
      <c r="AC220" s="142"/>
      <c r="AD220" s="168"/>
      <c r="AE220" s="144"/>
    </row>
    <row r="221" spans="1:31">
      <c r="A221" s="149" t="s">
        <v>156</v>
      </c>
      <c r="B221" s="150" t="s">
        <v>157</v>
      </c>
      <c r="E221" s="171"/>
      <c r="F221" s="169" t="s">
        <v>158</v>
      </c>
      <c r="G221" s="144"/>
      <c r="H221" s="171"/>
      <c r="I221" s="169" t="s">
        <v>158</v>
      </c>
      <c r="J221" s="144"/>
      <c r="K221" s="171"/>
      <c r="L221" s="169" t="s">
        <v>158</v>
      </c>
      <c r="M221" s="144"/>
      <c r="N221" s="171"/>
      <c r="O221" s="169" t="s">
        <v>158</v>
      </c>
      <c r="P221" s="144"/>
      <c r="Q221" s="171"/>
      <c r="R221" s="169" t="s">
        <v>158</v>
      </c>
      <c r="S221" s="144"/>
      <c r="T221" s="171"/>
      <c r="U221" s="169" t="s">
        <v>158</v>
      </c>
      <c r="V221" s="144"/>
      <c r="W221" s="171"/>
      <c r="X221" s="169" t="s">
        <v>158</v>
      </c>
      <c r="Y221" s="144"/>
      <c r="Z221" s="171"/>
      <c r="AA221" s="169" t="s">
        <v>158</v>
      </c>
      <c r="AB221" s="144"/>
      <c r="AC221" s="171"/>
      <c r="AD221" s="169" t="s">
        <v>158</v>
      </c>
      <c r="AE221" s="144"/>
    </row>
    <row r="222" spans="1:31">
      <c r="A222" s="149" t="s">
        <v>159</v>
      </c>
      <c r="B222" s="150" t="s">
        <v>160</v>
      </c>
      <c r="E222" s="171"/>
      <c r="F222" s="169" t="s">
        <v>158</v>
      </c>
      <c r="G222" s="144"/>
      <c r="H222" s="171"/>
      <c r="I222" s="169" t="s">
        <v>158</v>
      </c>
      <c r="J222" s="144"/>
      <c r="K222" s="171"/>
      <c r="L222" s="169" t="s">
        <v>158</v>
      </c>
      <c r="M222" s="144"/>
      <c r="N222" s="171"/>
      <c r="O222" s="169" t="s">
        <v>158</v>
      </c>
      <c r="P222" s="144"/>
      <c r="Q222" s="171"/>
      <c r="R222" s="169" t="s">
        <v>158</v>
      </c>
      <c r="S222" s="144"/>
      <c r="T222" s="171"/>
      <c r="U222" s="169" t="s">
        <v>158</v>
      </c>
      <c r="V222" s="144"/>
      <c r="W222" s="171"/>
      <c r="X222" s="169" t="s">
        <v>158</v>
      </c>
      <c r="Y222" s="144"/>
      <c r="Z222" s="171"/>
      <c r="AA222" s="169" t="s">
        <v>158</v>
      </c>
      <c r="AB222" s="144"/>
      <c r="AC222" s="171"/>
      <c r="AD222" s="169" t="s">
        <v>158</v>
      </c>
      <c r="AE222" s="144"/>
    </row>
    <row r="223" spans="1:31">
      <c r="A223" s="149" t="s">
        <v>161</v>
      </c>
      <c r="B223" s="150" t="s">
        <v>160</v>
      </c>
      <c r="E223" s="171"/>
      <c r="F223" s="169" t="s">
        <v>158</v>
      </c>
      <c r="G223" s="144"/>
      <c r="H223" s="171"/>
      <c r="I223" s="169" t="s">
        <v>158</v>
      </c>
      <c r="J223" s="144"/>
      <c r="K223" s="171"/>
      <c r="L223" s="169" t="s">
        <v>158</v>
      </c>
      <c r="M223" s="144"/>
      <c r="N223" s="171"/>
      <c r="O223" s="169" t="s">
        <v>158</v>
      </c>
      <c r="P223" s="144"/>
      <c r="Q223" s="171"/>
      <c r="R223" s="169" t="s">
        <v>158</v>
      </c>
      <c r="S223" s="144"/>
      <c r="T223" s="171"/>
      <c r="U223" s="169" t="s">
        <v>158</v>
      </c>
      <c r="V223" s="144"/>
      <c r="W223" s="171"/>
      <c r="X223" s="169" t="s">
        <v>158</v>
      </c>
      <c r="Y223" s="144"/>
      <c r="Z223" s="171"/>
      <c r="AA223" s="169" t="s">
        <v>158</v>
      </c>
      <c r="AB223" s="144"/>
      <c r="AC223" s="171"/>
      <c r="AD223" s="169" t="s">
        <v>158</v>
      </c>
      <c r="AE223" s="144"/>
    </row>
    <row r="224" spans="1:31">
      <c r="A224" s="149" t="s">
        <v>162</v>
      </c>
      <c r="B224" s="150" t="s">
        <v>160</v>
      </c>
      <c r="E224" s="171"/>
      <c r="F224" s="169" t="s">
        <v>158</v>
      </c>
      <c r="G224" s="144"/>
      <c r="H224" s="171"/>
      <c r="I224" s="169" t="s">
        <v>158</v>
      </c>
      <c r="J224" s="144"/>
      <c r="K224" s="171"/>
      <c r="L224" s="169" t="s">
        <v>158</v>
      </c>
      <c r="M224" s="144"/>
      <c r="N224" s="171"/>
      <c r="O224" s="169" t="s">
        <v>158</v>
      </c>
      <c r="P224" s="144"/>
      <c r="Q224" s="171"/>
      <c r="R224" s="169" t="s">
        <v>158</v>
      </c>
      <c r="S224" s="144"/>
      <c r="T224" s="171"/>
      <c r="U224" s="169" t="s">
        <v>158</v>
      </c>
      <c r="V224" s="144"/>
      <c r="W224" s="171"/>
      <c r="X224" s="169" t="s">
        <v>158</v>
      </c>
      <c r="Y224" s="144"/>
      <c r="Z224" s="171"/>
      <c r="AA224" s="169" t="s">
        <v>158</v>
      </c>
      <c r="AB224" s="144"/>
      <c r="AC224" s="171"/>
      <c r="AD224" s="169" t="s">
        <v>158</v>
      </c>
      <c r="AE224" s="144"/>
    </row>
    <row r="225" spans="1:31">
      <c r="A225" s="149" t="s">
        <v>163</v>
      </c>
      <c r="B225" s="150" t="s">
        <v>160</v>
      </c>
      <c r="E225" s="171"/>
      <c r="F225" s="169" t="s">
        <v>158</v>
      </c>
      <c r="G225" s="144"/>
      <c r="H225" s="171"/>
      <c r="I225" s="169" t="s">
        <v>158</v>
      </c>
      <c r="J225" s="144"/>
      <c r="K225" s="171"/>
      <c r="L225" s="169" t="s">
        <v>158</v>
      </c>
      <c r="M225" s="144"/>
      <c r="N225" s="171"/>
      <c r="O225" s="169" t="s">
        <v>158</v>
      </c>
      <c r="P225" s="144"/>
      <c r="Q225" s="171"/>
      <c r="R225" s="169" t="s">
        <v>158</v>
      </c>
      <c r="S225" s="144"/>
      <c r="T225" s="171"/>
      <c r="U225" s="169" t="s">
        <v>158</v>
      </c>
      <c r="V225" s="144"/>
      <c r="W225" s="171"/>
      <c r="X225" s="169" t="s">
        <v>158</v>
      </c>
      <c r="Y225" s="144"/>
      <c r="Z225" s="171"/>
      <c r="AA225" s="169" t="s">
        <v>158</v>
      </c>
      <c r="AB225" s="144"/>
      <c r="AC225" s="171"/>
      <c r="AD225" s="169" t="s">
        <v>158</v>
      </c>
      <c r="AE225" s="144"/>
    </row>
    <row r="226" spans="1:31">
      <c r="A226" s="149" t="s">
        <v>164</v>
      </c>
      <c r="B226" s="150" t="s">
        <v>160</v>
      </c>
      <c r="E226" s="171"/>
      <c r="F226" s="169" t="s">
        <v>158</v>
      </c>
      <c r="G226" s="144"/>
      <c r="H226" s="171"/>
      <c r="I226" s="169" t="s">
        <v>158</v>
      </c>
      <c r="J226" s="144"/>
      <c r="K226" s="171"/>
      <c r="L226" s="169" t="s">
        <v>158</v>
      </c>
      <c r="M226" s="144"/>
      <c r="N226" s="171"/>
      <c r="O226" s="169" t="s">
        <v>158</v>
      </c>
      <c r="P226" s="144"/>
      <c r="Q226" s="171"/>
      <c r="R226" s="169" t="s">
        <v>158</v>
      </c>
      <c r="S226" s="144"/>
      <c r="T226" s="171"/>
      <c r="U226" s="169" t="s">
        <v>158</v>
      </c>
      <c r="V226" s="144"/>
      <c r="W226" s="171"/>
      <c r="X226" s="169" t="s">
        <v>158</v>
      </c>
      <c r="Y226" s="144"/>
      <c r="Z226" s="171"/>
      <c r="AA226" s="169" t="s">
        <v>158</v>
      </c>
      <c r="AB226" s="144"/>
      <c r="AC226" s="171"/>
      <c r="AD226" s="169" t="s">
        <v>158</v>
      </c>
      <c r="AE226" s="144"/>
    </row>
    <row r="227" spans="1:31">
      <c r="A227" s="149" t="s">
        <v>165</v>
      </c>
      <c r="B227" s="150" t="s">
        <v>160</v>
      </c>
      <c r="E227" s="171"/>
      <c r="F227" s="169" t="s">
        <v>158</v>
      </c>
      <c r="G227" s="144"/>
      <c r="H227" s="171"/>
      <c r="I227" s="169" t="s">
        <v>158</v>
      </c>
      <c r="J227" s="144"/>
      <c r="K227" s="171"/>
      <c r="L227" s="169" t="s">
        <v>158</v>
      </c>
      <c r="M227" s="144"/>
      <c r="N227" s="171"/>
      <c r="O227" s="169" t="s">
        <v>158</v>
      </c>
      <c r="P227" s="144"/>
      <c r="Q227" s="171"/>
      <c r="R227" s="169" t="s">
        <v>158</v>
      </c>
      <c r="S227" s="144"/>
      <c r="T227" s="171"/>
      <c r="U227" s="169" t="s">
        <v>158</v>
      </c>
      <c r="V227" s="144"/>
      <c r="W227" s="171"/>
      <c r="X227" s="169" t="s">
        <v>158</v>
      </c>
      <c r="Y227" s="144"/>
      <c r="Z227" s="171"/>
      <c r="AA227" s="169" t="s">
        <v>158</v>
      </c>
      <c r="AB227" s="144"/>
      <c r="AC227" s="171"/>
      <c r="AD227" s="169" t="s">
        <v>158</v>
      </c>
      <c r="AE227" s="144"/>
    </row>
    <row r="228" spans="1:31">
      <c r="A228" s="149" t="s">
        <v>166</v>
      </c>
      <c r="B228" s="150" t="s">
        <v>160</v>
      </c>
      <c r="E228" s="171"/>
      <c r="F228" s="169" t="s">
        <v>158</v>
      </c>
      <c r="G228" s="144"/>
      <c r="H228" s="171"/>
      <c r="I228" s="169" t="s">
        <v>158</v>
      </c>
      <c r="J228" s="144"/>
      <c r="K228" s="171"/>
      <c r="L228" s="169" t="s">
        <v>158</v>
      </c>
      <c r="M228" s="144"/>
      <c r="N228" s="171"/>
      <c r="O228" s="169" t="s">
        <v>158</v>
      </c>
      <c r="P228" s="144"/>
      <c r="Q228" s="171"/>
      <c r="R228" s="169" t="s">
        <v>158</v>
      </c>
      <c r="S228" s="144"/>
      <c r="T228" s="171"/>
      <c r="U228" s="169" t="s">
        <v>158</v>
      </c>
      <c r="V228" s="144"/>
      <c r="W228" s="171"/>
      <c r="X228" s="169" t="s">
        <v>158</v>
      </c>
      <c r="Y228" s="144"/>
      <c r="Z228" s="171"/>
      <c r="AA228" s="169" t="s">
        <v>158</v>
      </c>
      <c r="AB228" s="144"/>
      <c r="AC228" s="171"/>
      <c r="AD228" s="169" t="s">
        <v>158</v>
      </c>
      <c r="AE228" s="144"/>
    </row>
    <row r="229" spans="1:31">
      <c r="A229" s="172" t="s">
        <v>167</v>
      </c>
      <c r="B229" s="173" t="s">
        <v>168</v>
      </c>
      <c r="E229" s="176"/>
      <c r="F229" s="174" t="s">
        <v>158</v>
      </c>
      <c r="G229" s="159"/>
      <c r="H229" s="176"/>
      <c r="I229" s="174" t="s">
        <v>158</v>
      </c>
      <c r="J229" s="159"/>
      <c r="K229" s="176"/>
      <c r="L229" s="174" t="s">
        <v>158</v>
      </c>
      <c r="M229" s="159"/>
      <c r="N229" s="176"/>
      <c r="O229" s="174" t="s">
        <v>158</v>
      </c>
      <c r="P229" s="159"/>
      <c r="Q229" s="176"/>
      <c r="R229" s="174" t="s">
        <v>158</v>
      </c>
      <c r="S229" s="159"/>
      <c r="T229" s="176"/>
      <c r="U229" s="174" t="s">
        <v>158</v>
      </c>
      <c r="V229" s="159"/>
      <c r="W229" s="176"/>
      <c r="X229" s="174" t="s">
        <v>158</v>
      </c>
      <c r="Y229" s="159"/>
      <c r="Z229" s="176"/>
      <c r="AA229" s="174" t="s">
        <v>158</v>
      </c>
      <c r="AB229" s="159"/>
      <c r="AC229" s="176"/>
      <c r="AD229" s="174" t="s">
        <v>158</v>
      </c>
      <c r="AE229" s="159"/>
    </row>
    <row r="230" spans="1:31">
      <c r="A230" s="177" t="s">
        <v>169</v>
      </c>
      <c r="B230" s="150"/>
      <c r="E230" s="166"/>
      <c r="F230" s="167"/>
      <c r="G230" s="144"/>
      <c r="H230" s="166"/>
      <c r="I230" s="167"/>
      <c r="J230" s="144"/>
      <c r="K230" s="166"/>
      <c r="L230" s="167"/>
      <c r="M230" s="144"/>
      <c r="N230" s="166"/>
      <c r="O230" s="167"/>
      <c r="P230" s="144"/>
      <c r="Q230" s="166"/>
      <c r="R230" s="167"/>
      <c r="S230" s="144"/>
      <c r="T230" s="166"/>
      <c r="U230" s="167"/>
      <c r="V230" s="144"/>
      <c r="W230" s="166"/>
      <c r="X230" s="167"/>
      <c r="Y230" s="144"/>
      <c r="Z230" s="166"/>
      <c r="AA230" s="167"/>
      <c r="AB230" s="144"/>
      <c r="AC230" s="166"/>
      <c r="AD230" s="167"/>
      <c r="AE230" s="144"/>
    </row>
    <row r="231" spans="1:31">
      <c r="A231" s="149" t="s">
        <v>167</v>
      </c>
      <c r="B231" s="150" t="s">
        <v>170</v>
      </c>
      <c r="E231" s="179"/>
      <c r="F231" s="168">
        <v>6.42</v>
      </c>
      <c r="G231" s="144"/>
      <c r="H231" s="179"/>
      <c r="I231" s="168">
        <v>6.62</v>
      </c>
      <c r="J231" s="144"/>
      <c r="K231" s="179"/>
      <c r="L231" s="168">
        <v>5.64</v>
      </c>
      <c r="M231" s="144"/>
      <c r="N231" s="179"/>
      <c r="O231" s="180">
        <v>6.7</v>
      </c>
      <c r="P231" s="144"/>
      <c r="Q231" s="179"/>
      <c r="R231" s="180">
        <v>7.19</v>
      </c>
      <c r="S231" s="144"/>
      <c r="T231" s="179"/>
      <c r="U231" s="180">
        <v>6.81</v>
      </c>
      <c r="V231" s="144"/>
      <c r="W231" s="179"/>
      <c r="X231" s="180">
        <v>6.46</v>
      </c>
      <c r="Y231" s="144"/>
      <c r="Z231" s="179"/>
      <c r="AA231" s="180">
        <v>6.47</v>
      </c>
      <c r="AB231" s="144"/>
      <c r="AC231" s="179"/>
      <c r="AD231" s="180">
        <v>6.66</v>
      </c>
      <c r="AE231" s="144"/>
    </row>
    <row r="232" spans="1:31">
      <c r="A232" s="149" t="s">
        <v>171</v>
      </c>
      <c r="B232" s="150" t="s">
        <v>172</v>
      </c>
      <c r="E232" s="179"/>
      <c r="F232" s="168">
        <v>26.62</v>
      </c>
      <c r="G232" s="144"/>
      <c r="H232" s="179"/>
      <c r="I232" s="168">
        <v>19.03</v>
      </c>
      <c r="J232" s="144"/>
      <c r="K232" s="179"/>
      <c r="L232" s="168">
        <v>9.65</v>
      </c>
      <c r="M232" s="144"/>
      <c r="N232" s="179"/>
      <c r="O232" s="168">
        <v>9.09</v>
      </c>
      <c r="P232" s="144"/>
      <c r="Q232" s="179"/>
      <c r="R232" s="168">
        <v>17.75</v>
      </c>
      <c r="S232" s="144"/>
      <c r="T232" s="179"/>
      <c r="U232" s="168">
        <v>14.39</v>
      </c>
      <c r="V232" s="144"/>
      <c r="W232" s="179"/>
      <c r="X232" s="168">
        <v>17.21</v>
      </c>
      <c r="Y232" s="144"/>
      <c r="Z232" s="179"/>
      <c r="AA232" s="168">
        <v>22.38</v>
      </c>
      <c r="AB232" s="144"/>
      <c r="AC232" s="179"/>
      <c r="AD232" s="168">
        <v>7.58</v>
      </c>
      <c r="AE232" s="144"/>
    </row>
    <row r="233" spans="1:31">
      <c r="A233" s="149" t="s">
        <v>173</v>
      </c>
      <c r="B233" s="150" t="s">
        <v>174</v>
      </c>
      <c r="E233" s="179"/>
      <c r="F233" s="182">
        <v>1.1850000000000001</v>
      </c>
      <c r="G233" s="144"/>
      <c r="H233" s="179"/>
      <c r="I233" s="182">
        <v>0.85599999999999998</v>
      </c>
      <c r="J233" s="144"/>
      <c r="K233" s="179"/>
      <c r="L233" s="182">
        <v>0.90800000000000003</v>
      </c>
      <c r="M233" s="144"/>
      <c r="N233" s="179"/>
      <c r="O233" s="182">
        <v>1.2410000000000001</v>
      </c>
      <c r="P233" s="144"/>
      <c r="Q233" s="179"/>
      <c r="R233" s="182">
        <v>0.69899999999999995</v>
      </c>
      <c r="S233" s="144"/>
      <c r="T233" s="179"/>
      <c r="U233" s="182">
        <v>0.90100000000000002</v>
      </c>
      <c r="V233" s="144"/>
      <c r="W233" s="179"/>
      <c r="X233" s="182">
        <v>0.68899999999999995</v>
      </c>
      <c r="Y233" s="144"/>
      <c r="Z233" s="179"/>
      <c r="AA233" s="182">
        <v>1.109</v>
      </c>
      <c r="AB233" s="144"/>
      <c r="AC233" s="179"/>
      <c r="AD233" s="182">
        <v>0.44600000000000001</v>
      </c>
      <c r="AE233" s="144"/>
    </row>
    <row r="234" spans="1:31">
      <c r="A234" s="149" t="s">
        <v>175</v>
      </c>
      <c r="B234" s="150" t="s">
        <v>160</v>
      </c>
      <c r="E234" s="179"/>
      <c r="F234" s="168">
        <v>0.38</v>
      </c>
      <c r="G234" s="144"/>
      <c r="H234" s="179"/>
      <c r="I234" s="168">
        <v>0.38</v>
      </c>
      <c r="J234" s="144"/>
      <c r="K234" s="179"/>
      <c r="L234" s="168">
        <v>0.32</v>
      </c>
      <c r="M234" s="144"/>
      <c r="N234" s="179"/>
      <c r="O234" s="168">
        <v>0.23</v>
      </c>
      <c r="P234" s="144"/>
      <c r="Q234" s="179"/>
      <c r="R234" s="168">
        <v>0.15</v>
      </c>
      <c r="S234" s="144"/>
      <c r="T234" s="179"/>
      <c r="U234" s="168">
        <v>0.23</v>
      </c>
      <c r="V234" s="144"/>
      <c r="W234" s="179"/>
      <c r="X234" s="168">
        <v>1.34</v>
      </c>
      <c r="Y234" s="144"/>
      <c r="Z234" s="179"/>
      <c r="AA234" s="168">
        <v>0.48</v>
      </c>
      <c r="AB234" s="144"/>
      <c r="AC234" s="179"/>
      <c r="AD234" s="168">
        <v>0.31</v>
      </c>
      <c r="AE234" s="144"/>
    </row>
    <row r="235" spans="1:31">
      <c r="A235" s="149" t="s">
        <v>176</v>
      </c>
      <c r="B235" s="150" t="s">
        <v>177</v>
      </c>
      <c r="E235" s="179"/>
      <c r="F235" s="168">
        <v>24.3</v>
      </c>
      <c r="G235" s="144"/>
      <c r="H235" s="179"/>
      <c r="I235" s="168">
        <v>29.4</v>
      </c>
      <c r="J235" s="144"/>
      <c r="K235" s="179"/>
      <c r="L235" s="168">
        <v>61.8</v>
      </c>
      <c r="M235" s="144"/>
      <c r="N235" s="179"/>
      <c r="O235" s="168">
        <v>41.9</v>
      </c>
      <c r="P235" s="144"/>
      <c r="Q235" s="179"/>
      <c r="R235" s="168">
        <v>32.9</v>
      </c>
      <c r="S235" s="144"/>
      <c r="T235" s="179"/>
      <c r="U235" s="168">
        <v>49.6</v>
      </c>
      <c r="V235" s="144"/>
      <c r="W235" s="179"/>
      <c r="X235" s="184">
        <v>26</v>
      </c>
      <c r="Y235" s="144"/>
      <c r="Z235" s="179"/>
      <c r="AA235" s="184">
        <v>36</v>
      </c>
      <c r="AB235" s="144"/>
      <c r="AC235" s="179"/>
      <c r="AD235" s="184">
        <v>72.5</v>
      </c>
      <c r="AE235" s="144"/>
    </row>
    <row r="236" spans="1:31">
      <c r="A236" s="149" t="s">
        <v>178</v>
      </c>
      <c r="B236" s="150" t="s">
        <v>179</v>
      </c>
      <c r="E236" s="179"/>
      <c r="F236" s="168">
        <v>-88.7</v>
      </c>
      <c r="G236" s="144"/>
      <c r="H236" s="179"/>
      <c r="I236" s="184">
        <v>-99</v>
      </c>
      <c r="J236" s="144"/>
      <c r="K236" s="179"/>
      <c r="L236" s="184">
        <v>-117.4</v>
      </c>
      <c r="M236" s="144"/>
      <c r="N236" s="179"/>
      <c r="O236" s="184">
        <v>-119.6</v>
      </c>
      <c r="P236" s="144"/>
      <c r="Q236" s="179"/>
      <c r="R236" s="184">
        <v>-152.1</v>
      </c>
      <c r="S236" s="144"/>
      <c r="T236" s="179"/>
      <c r="U236" s="184">
        <v>-118.6</v>
      </c>
      <c r="V236" s="144"/>
      <c r="W236" s="179"/>
      <c r="X236" s="184">
        <v>-91</v>
      </c>
      <c r="Y236" s="144"/>
      <c r="Z236" s="179"/>
      <c r="AA236" s="184">
        <v>-33.9</v>
      </c>
      <c r="AB236" s="144"/>
      <c r="AC236" s="179"/>
      <c r="AD236" s="184">
        <v>-36.5</v>
      </c>
      <c r="AE236" s="144"/>
    </row>
    <row r="237" spans="1:31">
      <c r="A237" s="149" t="s">
        <v>180</v>
      </c>
      <c r="B237" s="150" t="s">
        <v>181</v>
      </c>
      <c r="E237" s="179"/>
      <c r="F237" s="168">
        <v>0.56999999999999995</v>
      </c>
      <c r="G237" s="144"/>
      <c r="H237" s="179"/>
      <c r="I237" s="180">
        <v>0.48</v>
      </c>
      <c r="J237" s="144"/>
      <c r="K237" s="179"/>
      <c r="L237" s="180">
        <v>0.65</v>
      </c>
      <c r="M237" s="144"/>
      <c r="N237" s="179"/>
      <c r="O237" s="180">
        <v>0.62</v>
      </c>
      <c r="P237" s="144"/>
      <c r="Q237" s="179"/>
      <c r="R237" s="180">
        <v>0.4</v>
      </c>
      <c r="S237" s="144"/>
      <c r="T237" s="179"/>
      <c r="U237" s="180">
        <v>0.56000000000000005</v>
      </c>
      <c r="V237" s="144"/>
      <c r="W237" s="179"/>
      <c r="X237" s="180">
        <v>0.38</v>
      </c>
      <c r="Y237" s="144"/>
      <c r="Z237" s="179"/>
      <c r="AA237" s="180">
        <v>0.57999999999999996</v>
      </c>
      <c r="AB237" s="144"/>
      <c r="AC237" s="179"/>
      <c r="AD237" s="180">
        <v>0.33</v>
      </c>
      <c r="AE237" s="144"/>
    </row>
    <row r="238" spans="1:31">
      <c r="A238" s="149" t="s">
        <v>166</v>
      </c>
      <c r="B238" s="150" t="s">
        <v>182</v>
      </c>
      <c r="E238" s="179"/>
      <c r="F238" s="168">
        <v>0.747</v>
      </c>
      <c r="G238" s="144"/>
      <c r="H238" s="179"/>
      <c r="I238" s="168">
        <v>0.628</v>
      </c>
      <c r="J238" s="144"/>
      <c r="K238" s="179"/>
      <c r="L238" s="168">
        <v>0.83499999999999996</v>
      </c>
      <c r="M238" s="144"/>
      <c r="N238" s="179"/>
      <c r="O238" s="168">
        <v>0.80300000000000005</v>
      </c>
      <c r="P238" s="144"/>
      <c r="Q238" s="179"/>
      <c r="R238" s="168">
        <v>0.52800000000000002</v>
      </c>
      <c r="S238" s="144"/>
      <c r="T238" s="179"/>
      <c r="U238" s="168">
        <v>0.73399999999999999</v>
      </c>
      <c r="V238" s="144"/>
      <c r="W238" s="179"/>
      <c r="X238" s="168">
        <v>0.499</v>
      </c>
      <c r="Y238" s="144"/>
      <c r="Z238" s="179"/>
      <c r="AA238" s="168">
        <v>0.75800000000000001</v>
      </c>
      <c r="AB238" s="144"/>
      <c r="AC238" s="179"/>
      <c r="AD238" s="168">
        <v>0.434</v>
      </c>
      <c r="AE238" s="144"/>
    </row>
    <row r="239" spans="1:31">
      <c r="A239" s="149" t="s">
        <v>183</v>
      </c>
      <c r="B239" s="150" t="s">
        <v>9</v>
      </c>
      <c r="E239" s="179"/>
      <c r="F239" s="184">
        <v>3</v>
      </c>
      <c r="G239" s="144"/>
      <c r="H239" s="179"/>
      <c r="I239" s="184">
        <v>3</v>
      </c>
      <c r="J239" s="144"/>
      <c r="K239" s="179"/>
      <c r="L239" s="184">
        <v>3</v>
      </c>
      <c r="M239" s="144"/>
      <c r="N239" s="179"/>
      <c r="O239" s="184">
        <v>3</v>
      </c>
      <c r="P239" s="144"/>
      <c r="Q239" s="179"/>
      <c r="R239" s="184">
        <v>4.5</v>
      </c>
      <c r="S239" s="144"/>
      <c r="T239" s="179"/>
      <c r="U239" s="184">
        <v>9</v>
      </c>
      <c r="V239" s="144"/>
      <c r="W239" s="179"/>
      <c r="X239" s="184">
        <v>7.5</v>
      </c>
      <c r="Y239" s="144"/>
      <c r="Z239" s="179"/>
      <c r="AA239" s="184">
        <v>3</v>
      </c>
      <c r="AB239" s="144"/>
      <c r="AC239" s="179"/>
      <c r="AD239" s="184">
        <v>6</v>
      </c>
      <c r="AE239" s="144"/>
    </row>
    <row r="240" spans="1:31" ht="16.5" customHeight="1">
      <c r="A240" s="172" t="s">
        <v>184</v>
      </c>
      <c r="B240" s="173" t="s">
        <v>185</v>
      </c>
      <c r="E240" s="185"/>
      <c r="F240" s="186">
        <v>100</v>
      </c>
      <c r="G240" s="159"/>
      <c r="H240" s="185"/>
      <c r="I240" s="186">
        <v>100</v>
      </c>
      <c r="J240" s="159"/>
      <c r="K240" s="185"/>
      <c r="L240" s="186">
        <v>100</v>
      </c>
      <c r="M240" s="159"/>
      <c r="N240" s="185"/>
      <c r="O240" s="186">
        <v>100</v>
      </c>
      <c r="P240" s="159"/>
      <c r="Q240" s="185"/>
      <c r="R240" s="186">
        <v>150</v>
      </c>
      <c r="S240" s="159"/>
      <c r="T240" s="185"/>
      <c r="U240" s="186">
        <v>300</v>
      </c>
      <c r="V240" s="159"/>
      <c r="W240" s="185"/>
      <c r="X240" s="186">
        <v>250</v>
      </c>
      <c r="Y240" s="159"/>
      <c r="Z240" s="185"/>
      <c r="AA240" s="186">
        <v>100</v>
      </c>
      <c r="AB240" s="159"/>
      <c r="AC240" s="185"/>
      <c r="AD240" s="186">
        <v>200</v>
      </c>
      <c r="AE240" s="159"/>
    </row>
    <row r="241" spans="1:25">
      <c r="A241" s="129"/>
      <c r="B241" s="130" t="s">
        <v>60</v>
      </c>
      <c r="E241" s="220" t="s">
        <v>190</v>
      </c>
      <c r="F241" s="221"/>
      <c r="G241" s="221"/>
      <c r="H241" s="220" t="s">
        <v>191</v>
      </c>
      <c r="I241" s="221"/>
      <c r="J241" s="221"/>
      <c r="K241" s="220" t="s">
        <v>192</v>
      </c>
      <c r="L241" s="221"/>
      <c r="M241" s="221"/>
      <c r="N241" s="220" t="s">
        <v>193</v>
      </c>
      <c r="O241" s="221"/>
      <c r="P241" s="221"/>
      <c r="Q241" s="220" t="s">
        <v>194</v>
      </c>
      <c r="R241" s="221"/>
      <c r="S241" s="221"/>
      <c r="T241" s="220" t="s">
        <v>195</v>
      </c>
      <c r="U241" s="221"/>
      <c r="V241" s="221"/>
      <c r="W241" s="220" t="s">
        <v>196</v>
      </c>
      <c r="X241" s="221"/>
      <c r="Y241" s="221"/>
    </row>
    <row r="242" spans="1:25">
      <c r="A242" s="131"/>
      <c r="B242" s="132" t="s">
        <v>115</v>
      </c>
      <c r="E242" s="215" t="s">
        <v>33</v>
      </c>
      <c r="F242" s="216"/>
      <c r="G242" s="216"/>
      <c r="H242" s="215" t="s">
        <v>33</v>
      </c>
      <c r="I242" s="216"/>
      <c r="J242" s="216"/>
      <c r="K242" s="215" t="s">
        <v>33</v>
      </c>
      <c r="L242" s="216"/>
      <c r="M242" s="216"/>
      <c r="N242" s="215" t="s">
        <v>33</v>
      </c>
      <c r="O242" s="216"/>
      <c r="P242" s="216"/>
      <c r="Q242" s="215" t="s">
        <v>33</v>
      </c>
      <c r="R242" s="216"/>
      <c r="S242" s="216"/>
      <c r="T242" s="215" t="s">
        <v>33</v>
      </c>
      <c r="U242" s="216"/>
      <c r="V242" s="216"/>
      <c r="W242" s="215" t="s">
        <v>33</v>
      </c>
      <c r="X242" s="216"/>
      <c r="Y242" s="216"/>
    </row>
    <row r="243" spans="1:25">
      <c r="A243" s="131"/>
      <c r="B243" s="132" t="s">
        <v>116</v>
      </c>
      <c r="E243" s="217">
        <v>40588</v>
      </c>
      <c r="F243" s="218"/>
      <c r="G243" s="219"/>
      <c r="H243" s="217">
        <v>40638</v>
      </c>
      <c r="I243" s="218"/>
      <c r="J243" s="219"/>
      <c r="K243" s="217">
        <v>40864</v>
      </c>
      <c r="L243" s="218"/>
      <c r="M243" s="219"/>
      <c r="N243" s="217">
        <v>40899</v>
      </c>
      <c r="O243" s="218"/>
      <c r="P243" s="219"/>
      <c r="Q243" s="217">
        <v>41080</v>
      </c>
      <c r="R243" s="218"/>
      <c r="S243" s="219"/>
      <c r="T243" s="217">
        <v>41172</v>
      </c>
      <c r="U243" s="218"/>
      <c r="V243" s="219"/>
      <c r="W243" s="217">
        <v>41354</v>
      </c>
      <c r="X243" s="218"/>
      <c r="Y243" s="219"/>
    </row>
    <row r="244" spans="1:25">
      <c r="A244" s="131"/>
      <c r="B244" s="132" t="s">
        <v>13</v>
      </c>
      <c r="E244" s="211" t="s">
        <v>234</v>
      </c>
      <c r="F244" s="211"/>
      <c r="G244" s="211"/>
      <c r="H244" s="211" t="s">
        <v>234</v>
      </c>
      <c r="I244" s="211"/>
      <c r="J244" s="211"/>
      <c r="K244" s="211" t="s">
        <v>234</v>
      </c>
      <c r="L244" s="211"/>
      <c r="M244" s="211"/>
      <c r="N244" s="211" t="s">
        <v>234</v>
      </c>
      <c r="O244" s="211"/>
      <c r="P244" s="211"/>
      <c r="Q244" s="211" t="s">
        <v>234</v>
      </c>
      <c r="R244" s="211"/>
      <c r="S244" s="211"/>
      <c r="T244" s="211" t="s">
        <v>234</v>
      </c>
      <c r="U244" s="211"/>
      <c r="V244" s="211"/>
      <c r="W244" s="211" t="s">
        <v>234</v>
      </c>
      <c r="X244" s="211"/>
      <c r="Y244" s="211"/>
    </row>
    <row r="245" spans="1:25">
      <c r="A245" s="131"/>
      <c r="B245" s="132" t="s">
        <v>122</v>
      </c>
      <c r="E245" s="211" t="s">
        <v>123</v>
      </c>
      <c r="F245" s="211"/>
      <c r="G245" s="211"/>
      <c r="H245" s="211" t="s">
        <v>123</v>
      </c>
      <c r="I245" s="211"/>
      <c r="J245" s="211"/>
      <c r="K245" s="211" t="s">
        <v>123</v>
      </c>
      <c r="L245" s="211"/>
      <c r="M245" s="211"/>
      <c r="N245" s="211" t="s">
        <v>123</v>
      </c>
      <c r="O245" s="211"/>
      <c r="P245" s="211"/>
      <c r="Q245" s="211" t="s">
        <v>123</v>
      </c>
      <c r="R245" s="211"/>
      <c r="S245" s="211"/>
      <c r="T245" s="211" t="s">
        <v>123</v>
      </c>
      <c r="U245" s="211"/>
      <c r="V245" s="211"/>
      <c r="W245" s="211" t="s">
        <v>123</v>
      </c>
      <c r="X245" s="211"/>
      <c r="Y245" s="211"/>
    </row>
    <row r="246" spans="1:25">
      <c r="A246" s="131"/>
      <c r="B246" s="132" t="s">
        <v>124</v>
      </c>
      <c r="E246" s="211" t="s">
        <v>125</v>
      </c>
      <c r="F246" s="211"/>
      <c r="G246" s="211"/>
      <c r="H246" s="211" t="s">
        <v>125</v>
      </c>
      <c r="I246" s="211"/>
      <c r="J246" s="211"/>
      <c r="K246" s="211" t="s">
        <v>125</v>
      </c>
      <c r="L246" s="211"/>
      <c r="M246" s="211"/>
      <c r="N246" s="211" t="s">
        <v>125</v>
      </c>
      <c r="O246" s="211"/>
      <c r="P246" s="211"/>
      <c r="Q246" s="211" t="s">
        <v>125</v>
      </c>
      <c r="R246" s="211"/>
      <c r="S246" s="211"/>
      <c r="T246" s="211" t="s">
        <v>125</v>
      </c>
      <c r="U246" s="211"/>
      <c r="V246" s="211"/>
      <c r="W246" s="211" t="s">
        <v>125</v>
      </c>
      <c r="X246" s="211"/>
      <c r="Y246" s="211"/>
    </row>
    <row r="247" spans="1:25">
      <c r="A247" s="131"/>
      <c r="B247" s="132" t="s">
        <v>126</v>
      </c>
      <c r="E247" s="211" t="s">
        <v>130</v>
      </c>
      <c r="F247" s="211"/>
      <c r="G247" s="211"/>
      <c r="H247" s="211" t="s">
        <v>130</v>
      </c>
      <c r="I247" s="211"/>
      <c r="J247" s="211"/>
      <c r="K247" s="211" t="s">
        <v>130</v>
      </c>
      <c r="L247" s="211"/>
      <c r="M247" s="211"/>
      <c r="N247" s="211" t="s">
        <v>130</v>
      </c>
      <c r="O247" s="211"/>
      <c r="P247" s="211"/>
      <c r="Q247" s="211" t="s">
        <v>130</v>
      </c>
      <c r="R247" s="211"/>
      <c r="S247" s="211"/>
      <c r="T247" s="211" t="s">
        <v>130</v>
      </c>
      <c r="U247" s="211"/>
      <c r="V247" s="211"/>
      <c r="W247" s="211" t="s">
        <v>130</v>
      </c>
      <c r="X247" s="211"/>
      <c r="Y247" s="211"/>
    </row>
    <row r="248" spans="1:25">
      <c r="A248" s="131"/>
      <c r="B248" s="132" t="s">
        <v>131</v>
      </c>
      <c r="E248" s="211" t="s">
        <v>132</v>
      </c>
      <c r="F248" s="211"/>
      <c r="G248" s="211"/>
      <c r="H248" s="211" t="s">
        <v>132</v>
      </c>
      <c r="I248" s="211"/>
      <c r="J248" s="211"/>
      <c r="K248" s="211" t="s">
        <v>132</v>
      </c>
      <c r="L248" s="211"/>
      <c r="M248" s="211"/>
      <c r="N248" s="211" t="s">
        <v>132</v>
      </c>
      <c r="O248" s="211"/>
      <c r="P248" s="211"/>
      <c r="Q248" s="211" t="s">
        <v>132</v>
      </c>
      <c r="R248" s="211"/>
      <c r="S248" s="211"/>
      <c r="T248" s="211" t="s">
        <v>132</v>
      </c>
      <c r="U248" s="211"/>
      <c r="V248" s="211"/>
      <c r="W248" s="211" t="s">
        <v>132</v>
      </c>
      <c r="X248" s="211"/>
      <c r="Y248" s="211"/>
    </row>
    <row r="249" spans="1:25" ht="13.5" thickBot="1">
      <c r="A249" s="133" t="s">
        <v>133</v>
      </c>
      <c r="B249" s="134" t="s">
        <v>134</v>
      </c>
      <c r="E249" s="212"/>
      <c r="F249" s="213"/>
      <c r="G249" s="214"/>
      <c r="H249" s="212"/>
      <c r="I249" s="213"/>
      <c r="J249" s="214"/>
      <c r="K249" s="212"/>
      <c r="L249" s="213"/>
      <c r="M249" s="214"/>
      <c r="N249" s="212"/>
      <c r="O249" s="213"/>
      <c r="P249" s="214"/>
      <c r="Q249" s="212"/>
      <c r="R249" s="213"/>
      <c r="S249" s="214"/>
      <c r="T249" s="212"/>
      <c r="U249" s="213"/>
      <c r="V249" s="214"/>
      <c r="W249" s="212"/>
      <c r="X249" s="213"/>
      <c r="Y249" s="214"/>
    </row>
    <row r="250" spans="1:25">
      <c r="A250" s="135" t="s">
        <v>135</v>
      </c>
      <c r="B250" s="136"/>
      <c r="E250" s="137"/>
      <c r="F250" s="138"/>
      <c r="G250" s="139"/>
      <c r="H250" s="137"/>
      <c r="I250" s="138"/>
      <c r="J250" s="139"/>
      <c r="K250" s="137"/>
      <c r="L250" s="138"/>
      <c r="M250" s="139"/>
      <c r="N250" s="137"/>
      <c r="O250" s="138"/>
      <c r="P250" s="139"/>
      <c r="Q250" s="137"/>
      <c r="R250" s="138"/>
      <c r="S250" s="139"/>
      <c r="T250" s="137"/>
      <c r="U250" s="138"/>
      <c r="V250" s="139"/>
      <c r="W250" s="137"/>
      <c r="X250" s="138"/>
      <c r="Y250" s="139"/>
    </row>
    <row r="251" spans="1:25">
      <c r="A251" s="140" t="s">
        <v>136</v>
      </c>
      <c r="B251" s="141" t="s">
        <v>137</v>
      </c>
      <c r="E251" s="142" t="s">
        <v>138</v>
      </c>
      <c r="F251" s="145">
        <v>5</v>
      </c>
      <c r="G251" s="144"/>
      <c r="H251" s="142" t="s">
        <v>138</v>
      </c>
      <c r="I251" s="145">
        <v>5</v>
      </c>
      <c r="J251" s="144"/>
      <c r="K251" s="142" t="s">
        <v>138</v>
      </c>
      <c r="L251" s="145">
        <v>5</v>
      </c>
      <c r="M251" s="144"/>
      <c r="N251" s="142" t="s">
        <v>138</v>
      </c>
      <c r="O251" s="145">
        <v>5</v>
      </c>
      <c r="P251" s="144"/>
      <c r="Q251" s="142" t="s">
        <v>138</v>
      </c>
      <c r="R251" s="145">
        <v>2</v>
      </c>
      <c r="S251" s="144"/>
      <c r="T251" s="142" t="s">
        <v>138</v>
      </c>
      <c r="U251" s="145">
        <v>2</v>
      </c>
      <c r="V251" s="144"/>
      <c r="W251" s="142" t="s">
        <v>138</v>
      </c>
      <c r="X251" s="145">
        <v>2</v>
      </c>
      <c r="Y251" s="144"/>
    </row>
    <row r="252" spans="1:25">
      <c r="A252" s="149" t="s">
        <v>139</v>
      </c>
      <c r="B252" s="150" t="s">
        <v>140</v>
      </c>
      <c r="E252" s="142" t="s">
        <v>138</v>
      </c>
      <c r="F252" s="145">
        <v>5</v>
      </c>
      <c r="G252" s="144"/>
      <c r="H252" s="142" t="s">
        <v>138</v>
      </c>
      <c r="I252" s="145">
        <v>5</v>
      </c>
      <c r="J252" s="144"/>
      <c r="K252" s="142" t="s">
        <v>138</v>
      </c>
      <c r="L252" s="145">
        <v>5</v>
      </c>
      <c r="M252" s="144"/>
      <c r="N252" s="142" t="s">
        <v>138</v>
      </c>
      <c r="O252" s="145">
        <v>5</v>
      </c>
      <c r="P252" s="144"/>
      <c r="Q252" s="142" t="s">
        <v>138</v>
      </c>
      <c r="R252" s="145">
        <v>2</v>
      </c>
      <c r="S252" s="144"/>
      <c r="T252" s="142" t="s">
        <v>138</v>
      </c>
      <c r="U252" s="145">
        <v>2</v>
      </c>
      <c r="V252" s="144"/>
      <c r="W252" s="142" t="s">
        <v>138</v>
      </c>
      <c r="X252" s="145">
        <v>2</v>
      </c>
      <c r="Y252" s="144"/>
    </row>
    <row r="253" spans="1:25">
      <c r="A253" s="149" t="s">
        <v>141</v>
      </c>
      <c r="B253" s="150" t="s">
        <v>142</v>
      </c>
      <c r="E253" s="142" t="s">
        <v>138</v>
      </c>
      <c r="F253" s="145">
        <v>5</v>
      </c>
      <c r="G253" s="152"/>
      <c r="H253" s="142" t="s">
        <v>138</v>
      </c>
      <c r="I253" s="145">
        <v>5</v>
      </c>
      <c r="J253" s="152"/>
      <c r="K253" s="142" t="s">
        <v>138</v>
      </c>
      <c r="L253" s="145">
        <v>5</v>
      </c>
      <c r="M253" s="152"/>
      <c r="N253" s="142" t="s">
        <v>138</v>
      </c>
      <c r="O253" s="145">
        <v>5</v>
      </c>
      <c r="P253" s="152"/>
      <c r="Q253" s="142" t="s">
        <v>138</v>
      </c>
      <c r="R253" s="145">
        <v>2</v>
      </c>
      <c r="S253" s="152"/>
      <c r="T253" s="142" t="s">
        <v>138</v>
      </c>
      <c r="U253" s="145">
        <v>2</v>
      </c>
      <c r="V253" s="152"/>
      <c r="W253" s="142" t="s">
        <v>138</v>
      </c>
      <c r="X253" s="145">
        <v>2</v>
      </c>
      <c r="Y253" s="152"/>
    </row>
    <row r="254" spans="1:25">
      <c r="A254" s="149" t="s">
        <v>143</v>
      </c>
      <c r="B254" s="150" t="s">
        <v>144</v>
      </c>
      <c r="E254" s="142" t="s">
        <v>138</v>
      </c>
      <c r="F254" s="145">
        <v>5</v>
      </c>
      <c r="G254" s="152"/>
      <c r="H254" s="142" t="s">
        <v>138</v>
      </c>
      <c r="I254" s="145">
        <v>5</v>
      </c>
      <c r="J254" s="152"/>
      <c r="K254" s="142" t="s">
        <v>138</v>
      </c>
      <c r="L254" s="145">
        <v>5</v>
      </c>
      <c r="M254" s="152"/>
      <c r="N254" s="142" t="s">
        <v>138</v>
      </c>
      <c r="O254" s="145">
        <v>5</v>
      </c>
      <c r="P254" s="152"/>
      <c r="Q254" s="142" t="s">
        <v>138</v>
      </c>
      <c r="R254" s="145">
        <v>2</v>
      </c>
      <c r="S254" s="152"/>
      <c r="T254" s="142" t="s">
        <v>138</v>
      </c>
      <c r="U254" s="145">
        <v>2</v>
      </c>
      <c r="V254" s="152"/>
      <c r="W254" s="142" t="s">
        <v>138</v>
      </c>
      <c r="X254" s="145">
        <v>2</v>
      </c>
      <c r="Y254" s="152"/>
    </row>
    <row r="255" spans="1:25">
      <c r="A255" s="149" t="s">
        <v>145</v>
      </c>
      <c r="B255" s="150" t="s">
        <v>146</v>
      </c>
      <c r="E255" s="142" t="s">
        <v>138</v>
      </c>
      <c r="F255" s="145">
        <v>5</v>
      </c>
      <c r="G255" s="144"/>
      <c r="H255" s="142" t="s">
        <v>138</v>
      </c>
      <c r="I255" s="145">
        <v>5</v>
      </c>
      <c r="J255" s="144"/>
      <c r="K255" s="142" t="s">
        <v>138</v>
      </c>
      <c r="L255" s="145">
        <v>5</v>
      </c>
      <c r="M255" s="144"/>
      <c r="N255" s="142" t="s">
        <v>138</v>
      </c>
      <c r="O255" s="145">
        <v>5</v>
      </c>
      <c r="P255" s="144"/>
      <c r="Q255" s="142" t="s">
        <v>138</v>
      </c>
      <c r="R255" s="145">
        <v>2</v>
      </c>
      <c r="S255" s="144"/>
      <c r="T255" s="142" t="s">
        <v>138</v>
      </c>
      <c r="U255" s="145">
        <v>2</v>
      </c>
      <c r="V255" s="144"/>
      <c r="W255" s="142" t="s">
        <v>138</v>
      </c>
      <c r="X255" s="145">
        <v>2</v>
      </c>
      <c r="Y255" s="144"/>
    </row>
    <row r="256" spans="1:25">
      <c r="A256" s="149" t="s">
        <v>147</v>
      </c>
      <c r="B256" s="150" t="s">
        <v>148</v>
      </c>
      <c r="E256" s="142" t="s">
        <v>138</v>
      </c>
      <c r="F256" s="145">
        <v>5</v>
      </c>
      <c r="G256" s="144"/>
      <c r="H256" s="142" t="s">
        <v>138</v>
      </c>
      <c r="I256" s="145">
        <v>5</v>
      </c>
      <c r="J256" s="144"/>
      <c r="K256" s="142" t="s">
        <v>138</v>
      </c>
      <c r="L256" s="145">
        <v>5</v>
      </c>
      <c r="M256" s="144"/>
      <c r="N256" s="142" t="s">
        <v>138</v>
      </c>
      <c r="O256" s="145">
        <v>5</v>
      </c>
      <c r="P256" s="144"/>
      <c r="Q256" s="142" t="s">
        <v>138</v>
      </c>
      <c r="R256" s="145">
        <v>2</v>
      </c>
      <c r="S256" s="144"/>
      <c r="T256" s="142" t="s">
        <v>138</v>
      </c>
      <c r="U256" s="145">
        <v>2</v>
      </c>
      <c r="V256" s="144"/>
      <c r="W256" s="142" t="s">
        <v>138</v>
      </c>
      <c r="X256" s="145">
        <v>2</v>
      </c>
      <c r="Y256" s="144"/>
    </row>
    <row r="257" spans="1:25">
      <c r="A257" s="149" t="s">
        <v>149</v>
      </c>
      <c r="B257" s="150" t="s">
        <v>150</v>
      </c>
      <c r="E257" s="142" t="s">
        <v>138</v>
      </c>
      <c r="F257" s="145">
        <v>5</v>
      </c>
      <c r="G257" s="144"/>
      <c r="H257" s="142" t="s">
        <v>138</v>
      </c>
      <c r="I257" s="145">
        <v>5</v>
      </c>
      <c r="J257" s="144"/>
      <c r="K257" s="142" t="s">
        <v>138</v>
      </c>
      <c r="L257" s="145">
        <v>5</v>
      </c>
      <c r="M257" s="144"/>
      <c r="N257" s="142" t="s">
        <v>138</v>
      </c>
      <c r="O257" s="145">
        <v>5</v>
      </c>
      <c r="P257" s="144"/>
      <c r="Q257" s="142" t="s">
        <v>138</v>
      </c>
      <c r="R257" s="145">
        <v>2</v>
      </c>
      <c r="S257" s="144"/>
      <c r="T257" s="142" t="s">
        <v>138</v>
      </c>
      <c r="U257" s="145">
        <v>2</v>
      </c>
      <c r="V257" s="144"/>
      <c r="W257" s="142" t="s">
        <v>138</v>
      </c>
      <c r="X257" s="145">
        <v>2</v>
      </c>
      <c r="Y257" s="144"/>
    </row>
    <row r="258" spans="1:25">
      <c r="A258" s="155" t="s">
        <v>151</v>
      </c>
      <c r="B258" s="156" t="s">
        <v>152</v>
      </c>
      <c r="E258" s="142" t="s">
        <v>138</v>
      </c>
      <c r="F258" s="145">
        <v>5</v>
      </c>
      <c r="G258" s="144"/>
      <c r="H258" s="142" t="s">
        <v>138</v>
      </c>
      <c r="I258" s="145">
        <v>5</v>
      </c>
      <c r="J258" s="144"/>
      <c r="K258" s="142" t="s">
        <v>138</v>
      </c>
      <c r="L258" s="145">
        <v>5</v>
      </c>
      <c r="M258" s="144"/>
      <c r="N258" s="142" t="s">
        <v>138</v>
      </c>
      <c r="O258" s="145">
        <v>5</v>
      </c>
      <c r="P258" s="144"/>
      <c r="Q258" s="142" t="s">
        <v>138</v>
      </c>
      <c r="R258" s="145">
        <v>2</v>
      </c>
      <c r="S258" s="144"/>
      <c r="T258" s="142" t="s">
        <v>138</v>
      </c>
      <c r="U258" s="145">
        <v>2</v>
      </c>
      <c r="V258" s="144"/>
      <c r="W258" s="142" t="s">
        <v>138</v>
      </c>
      <c r="X258" s="145">
        <v>2</v>
      </c>
      <c r="Y258" s="144"/>
    </row>
    <row r="259" spans="1:25">
      <c r="A259" s="157" t="s">
        <v>153</v>
      </c>
      <c r="B259" s="158" t="s">
        <v>154</v>
      </c>
      <c r="E259" s="160" t="s">
        <v>138</v>
      </c>
      <c r="F259" s="162">
        <v>5</v>
      </c>
      <c r="G259" s="159"/>
      <c r="H259" s="160" t="s">
        <v>138</v>
      </c>
      <c r="I259" s="162">
        <v>5</v>
      </c>
      <c r="J259" s="159"/>
      <c r="K259" s="160" t="s">
        <v>138</v>
      </c>
      <c r="L259" s="162">
        <v>5</v>
      </c>
      <c r="M259" s="159"/>
      <c r="N259" s="160" t="s">
        <v>138</v>
      </c>
      <c r="O259" s="162">
        <v>5</v>
      </c>
      <c r="P259" s="159"/>
      <c r="Q259" s="160" t="s">
        <v>138</v>
      </c>
      <c r="R259" s="162">
        <v>2</v>
      </c>
      <c r="S259" s="159"/>
      <c r="T259" s="160" t="s">
        <v>138</v>
      </c>
      <c r="U259" s="162">
        <v>2</v>
      </c>
      <c r="V259" s="159"/>
      <c r="W259" s="160" t="s">
        <v>138</v>
      </c>
      <c r="X259" s="162">
        <v>2</v>
      </c>
      <c r="Y259" s="159"/>
    </row>
    <row r="260" spans="1:25">
      <c r="A260" s="164" t="s">
        <v>155</v>
      </c>
      <c r="B260" s="165"/>
      <c r="E260" s="142"/>
      <c r="F260" s="168"/>
      <c r="G260" s="144"/>
      <c r="H260" s="142"/>
      <c r="I260" s="168"/>
      <c r="J260" s="144"/>
      <c r="K260" s="142"/>
      <c r="L260" s="168"/>
      <c r="M260" s="144"/>
      <c r="N260" s="142"/>
      <c r="O260" s="168"/>
      <c r="P260" s="144"/>
      <c r="Q260" s="142"/>
      <c r="R260" s="168"/>
      <c r="S260" s="144"/>
      <c r="T260" s="142"/>
      <c r="U260" s="168"/>
      <c r="V260" s="144"/>
      <c r="W260" s="142"/>
      <c r="X260" s="168"/>
      <c r="Y260" s="144"/>
    </row>
    <row r="261" spans="1:25">
      <c r="A261" s="149" t="s">
        <v>156</v>
      </c>
      <c r="B261" s="150" t="s">
        <v>157</v>
      </c>
      <c r="E261" s="171"/>
      <c r="F261" s="169" t="s">
        <v>158</v>
      </c>
      <c r="G261" s="144"/>
      <c r="H261" s="171"/>
      <c r="I261" s="169" t="s">
        <v>158</v>
      </c>
      <c r="J261" s="144"/>
      <c r="K261" s="171"/>
      <c r="L261" s="169" t="s">
        <v>158</v>
      </c>
      <c r="M261" s="144"/>
      <c r="N261" s="171"/>
      <c r="O261" s="169" t="s">
        <v>158</v>
      </c>
      <c r="P261" s="144"/>
      <c r="Q261" s="171"/>
      <c r="R261" s="169" t="s">
        <v>158</v>
      </c>
      <c r="S261" s="144"/>
      <c r="T261" s="171"/>
      <c r="U261" s="169" t="s">
        <v>158</v>
      </c>
      <c r="V261" s="144"/>
      <c r="W261" s="171"/>
      <c r="X261" s="169" t="s">
        <v>158</v>
      </c>
      <c r="Y261" s="144"/>
    </row>
    <row r="262" spans="1:25">
      <c r="A262" s="149" t="s">
        <v>159</v>
      </c>
      <c r="B262" s="150" t="s">
        <v>160</v>
      </c>
      <c r="E262" s="171"/>
      <c r="F262" s="169" t="s">
        <v>158</v>
      </c>
      <c r="G262" s="144"/>
      <c r="H262" s="171"/>
      <c r="I262" s="169" t="s">
        <v>158</v>
      </c>
      <c r="J262" s="144"/>
      <c r="K262" s="171"/>
      <c r="L262" s="169" t="s">
        <v>158</v>
      </c>
      <c r="M262" s="144"/>
      <c r="N262" s="171"/>
      <c r="O262" s="169" t="s">
        <v>158</v>
      </c>
      <c r="P262" s="144"/>
      <c r="Q262" s="171"/>
      <c r="R262" s="169" t="s">
        <v>158</v>
      </c>
      <c r="S262" s="144"/>
      <c r="T262" s="171"/>
      <c r="U262" s="169" t="s">
        <v>158</v>
      </c>
      <c r="V262" s="144"/>
      <c r="W262" s="171"/>
      <c r="X262" s="169" t="s">
        <v>158</v>
      </c>
      <c r="Y262" s="144"/>
    </row>
    <row r="263" spans="1:25">
      <c r="A263" s="149" t="s">
        <v>161</v>
      </c>
      <c r="B263" s="150" t="s">
        <v>160</v>
      </c>
      <c r="E263" s="171"/>
      <c r="F263" s="169" t="s">
        <v>158</v>
      </c>
      <c r="G263" s="144"/>
      <c r="H263" s="171"/>
      <c r="I263" s="169" t="s">
        <v>158</v>
      </c>
      <c r="J263" s="144"/>
      <c r="K263" s="171"/>
      <c r="L263" s="169" t="s">
        <v>158</v>
      </c>
      <c r="M263" s="144"/>
      <c r="N263" s="171"/>
      <c r="O263" s="169" t="s">
        <v>158</v>
      </c>
      <c r="P263" s="144"/>
      <c r="Q263" s="171"/>
      <c r="R263" s="169" t="s">
        <v>158</v>
      </c>
      <c r="S263" s="144"/>
      <c r="T263" s="171"/>
      <c r="U263" s="169" t="s">
        <v>158</v>
      </c>
      <c r="V263" s="144"/>
      <c r="W263" s="171"/>
      <c r="X263" s="169" t="s">
        <v>158</v>
      </c>
      <c r="Y263" s="144"/>
    </row>
    <row r="264" spans="1:25">
      <c r="A264" s="149" t="s">
        <v>162</v>
      </c>
      <c r="B264" s="150" t="s">
        <v>160</v>
      </c>
      <c r="E264" s="171"/>
      <c r="F264" s="169" t="s">
        <v>158</v>
      </c>
      <c r="G264" s="144"/>
      <c r="H264" s="171"/>
      <c r="I264" s="169" t="s">
        <v>158</v>
      </c>
      <c r="J264" s="144"/>
      <c r="K264" s="171"/>
      <c r="L264" s="169" t="s">
        <v>158</v>
      </c>
      <c r="M264" s="144"/>
      <c r="N264" s="171"/>
      <c r="O264" s="169" t="s">
        <v>158</v>
      </c>
      <c r="P264" s="144"/>
      <c r="Q264" s="171"/>
      <c r="R264" s="169" t="s">
        <v>158</v>
      </c>
      <c r="S264" s="144"/>
      <c r="T264" s="171"/>
      <c r="U264" s="169" t="s">
        <v>158</v>
      </c>
      <c r="V264" s="144"/>
      <c r="W264" s="171"/>
      <c r="X264" s="169" t="s">
        <v>158</v>
      </c>
      <c r="Y264" s="144"/>
    </row>
    <row r="265" spans="1:25">
      <c r="A265" s="149" t="s">
        <v>163</v>
      </c>
      <c r="B265" s="150" t="s">
        <v>160</v>
      </c>
      <c r="E265" s="171"/>
      <c r="F265" s="169" t="s">
        <v>158</v>
      </c>
      <c r="G265" s="144"/>
      <c r="H265" s="171"/>
      <c r="I265" s="169" t="s">
        <v>158</v>
      </c>
      <c r="J265" s="144"/>
      <c r="K265" s="171"/>
      <c r="L265" s="169" t="s">
        <v>158</v>
      </c>
      <c r="M265" s="144"/>
      <c r="N265" s="171"/>
      <c r="O265" s="169" t="s">
        <v>158</v>
      </c>
      <c r="P265" s="144"/>
      <c r="Q265" s="171"/>
      <c r="R265" s="169" t="s">
        <v>158</v>
      </c>
      <c r="S265" s="144"/>
      <c r="T265" s="171"/>
      <c r="U265" s="169" t="s">
        <v>158</v>
      </c>
      <c r="V265" s="144"/>
      <c r="W265" s="171"/>
      <c r="X265" s="169" t="s">
        <v>158</v>
      </c>
      <c r="Y265" s="144"/>
    </row>
    <row r="266" spans="1:25">
      <c r="A266" s="149" t="s">
        <v>164</v>
      </c>
      <c r="B266" s="150" t="s">
        <v>160</v>
      </c>
      <c r="E266" s="171"/>
      <c r="F266" s="169" t="s">
        <v>158</v>
      </c>
      <c r="G266" s="144"/>
      <c r="H266" s="171"/>
      <c r="I266" s="169" t="s">
        <v>158</v>
      </c>
      <c r="J266" s="144"/>
      <c r="K266" s="171"/>
      <c r="L266" s="169" t="s">
        <v>158</v>
      </c>
      <c r="M266" s="144"/>
      <c r="N266" s="171"/>
      <c r="O266" s="169" t="s">
        <v>158</v>
      </c>
      <c r="P266" s="144"/>
      <c r="Q266" s="171"/>
      <c r="R266" s="169" t="s">
        <v>158</v>
      </c>
      <c r="S266" s="144"/>
      <c r="T266" s="171"/>
      <c r="U266" s="169" t="s">
        <v>158</v>
      </c>
      <c r="V266" s="144"/>
      <c r="W266" s="171"/>
      <c r="X266" s="169" t="s">
        <v>158</v>
      </c>
      <c r="Y266" s="144"/>
    </row>
    <row r="267" spans="1:25">
      <c r="A267" s="149" t="s">
        <v>165</v>
      </c>
      <c r="B267" s="150" t="s">
        <v>160</v>
      </c>
      <c r="E267" s="171"/>
      <c r="F267" s="169" t="s">
        <v>158</v>
      </c>
      <c r="G267" s="144"/>
      <c r="H267" s="171"/>
      <c r="I267" s="169" t="s">
        <v>158</v>
      </c>
      <c r="J267" s="144"/>
      <c r="K267" s="171"/>
      <c r="L267" s="169" t="s">
        <v>158</v>
      </c>
      <c r="M267" s="144"/>
      <c r="N267" s="171"/>
      <c r="O267" s="169" t="s">
        <v>158</v>
      </c>
      <c r="P267" s="144"/>
      <c r="Q267" s="171"/>
      <c r="R267" s="169" t="s">
        <v>158</v>
      </c>
      <c r="S267" s="144"/>
      <c r="T267" s="171"/>
      <c r="U267" s="169" t="s">
        <v>158</v>
      </c>
      <c r="V267" s="144"/>
      <c r="W267" s="171"/>
      <c r="X267" s="169" t="s">
        <v>158</v>
      </c>
      <c r="Y267" s="144"/>
    </row>
    <row r="268" spans="1:25">
      <c r="A268" s="149" t="s">
        <v>166</v>
      </c>
      <c r="B268" s="150" t="s">
        <v>160</v>
      </c>
      <c r="E268" s="171"/>
      <c r="F268" s="169" t="s">
        <v>158</v>
      </c>
      <c r="G268" s="144"/>
      <c r="H268" s="171"/>
      <c r="I268" s="169" t="s">
        <v>158</v>
      </c>
      <c r="J268" s="144"/>
      <c r="K268" s="171"/>
      <c r="L268" s="169" t="s">
        <v>158</v>
      </c>
      <c r="M268" s="144"/>
      <c r="N268" s="171"/>
      <c r="O268" s="169" t="s">
        <v>158</v>
      </c>
      <c r="P268" s="144"/>
      <c r="Q268" s="171"/>
      <c r="R268" s="169" t="s">
        <v>158</v>
      </c>
      <c r="S268" s="144"/>
      <c r="T268" s="171"/>
      <c r="U268" s="169" t="s">
        <v>158</v>
      </c>
      <c r="V268" s="144"/>
      <c r="W268" s="171"/>
      <c r="X268" s="169" t="s">
        <v>158</v>
      </c>
      <c r="Y268" s="144"/>
    </row>
    <row r="269" spans="1:25">
      <c r="A269" s="172" t="s">
        <v>167</v>
      </c>
      <c r="B269" s="173" t="s">
        <v>168</v>
      </c>
      <c r="E269" s="176"/>
      <c r="F269" s="174" t="s">
        <v>158</v>
      </c>
      <c r="G269" s="159"/>
      <c r="H269" s="176"/>
      <c r="I269" s="174" t="s">
        <v>158</v>
      </c>
      <c r="J269" s="159"/>
      <c r="K269" s="176"/>
      <c r="L269" s="174" t="s">
        <v>158</v>
      </c>
      <c r="M269" s="159"/>
      <c r="N269" s="176"/>
      <c r="O269" s="174" t="s">
        <v>158</v>
      </c>
      <c r="P269" s="159"/>
      <c r="Q269" s="176"/>
      <c r="R269" s="174" t="s">
        <v>158</v>
      </c>
      <c r="S269" s="159"/>
      <c r="T269" s="176"/>
      <c r="U269" s="174" t="s">
        <v>158</v>
      </c>
      <c r="V269" s="159"/>
      <c r="W269" s="176"/>
      <c r="X269" s="174" t="s">
        <v>158</v>
      </c>
      <c r="Y269" s="159"/>
    </row>
    <row r="270" spans="1:25">
      <c r="A270" s="177" t="s">
        <v>169</v>
      </c>
      <c r="B270" s="150"/>
      <c r="E270" s="166"/>
      <c r="F270" s="167"/>
      <c r="G270" s="144"/>
      <c r="H270" s="166"/>
      <c r="I270" s="167"/>
      <c r="J270" s="144"/>
      <c r="K270" s="166"/>
      <c r="L270" s="167"/>
      <c r="M270" s="144"/>
      <c r="N270" s="166"/>
      <c r="O270" s="167"/>
      <c r="P270" s="144"/>
      <c r="Q270" s="166"/>
      <c r="R270" s="167"/>
      <c r="S270" s="144"/>
      <c r="T270" s="166"/>
      <c r="U270" s="167"/>
      <c r="V270" s="144"/>
      <c r="W270" s="166"/>
      <c r="X270" s="167"/>
      <c r="Y270" s="144"/>
    </row>
    <row r="271" spans="1:25">
      <c r="A271" s="149" t="s">
        <v>167</v>
      </c>
      <c r="B271" s="150" t="s">
        <v>170</v>
      </c>
      <c r="E271" s="179"/>
      <c r="F271" s="168">
        <v>5.82</v>
      </c>
      <c r="G271" s="144"/>
      <c r="H271" s="179"/>
      <c r="I271" s="168">
        <v>6.35</v>
      </c>
      <c r="J271" s="144"/>
      <c r="K271" s="179"/>
      <c r="L271" s="168">
        <v>7.03</v>
      </c>
      <c r="M271" s="144"/>
      <c r="N271" s="179"/>
      <c r="O271" s="168">
        <v>6.61</v>
      </c>
      <c r="P271" s="144"/>
      <c r="Q271" s="179"/>
      <c r="R271" s="168">
        <v>6.36</v>
      </c>
      <c r="S271" s="144"/>
      <c r="T271" s="179"/>
      <c r="U271" s="168">
        <v>6.29</v>
      </c>
      <c r="V271" s="144"/>
      <c r="W271" s="179"/>
      <c r="X271" s="168">
        <v>6.54</v>
      </c>
      <c r="Y271" s="144"/>
    </row>
    <row r="272" spans="1:25">
      <c r="A272" s="149" t="s">
        <v>171</v>
      </c>
      <c r="B272" s="150" t="s">
        <v>172</v>
      </c>
      <c r="E272" s="179"/>
      <c r="F272" s="168">
        <v>7.95</v>
      </c>
      <c r="G272" s="144"/>
      <c r="H272" s="179"/>
      <c r="I272" s="168">
        <v>7.75</v>
      </c>
      <c r="J272" s="144"/>
      <c r="K272" s="179"/>
      <c r="L272" s="168">
        <v>17.55</v>
      </c>
      <c r="M272" s="144"/>
      <c r="N272" s="179"/>
      <c r="O272" s="168">
        <v>14.03</v>
      </c>
      <c r="P272" s="144"/>
      <c r="Q272" s="179"/>
      <c r="R272" s="168">
        <v>19.989999999999998</v>
      </c>
      <c r="S272" s="144"/>
      <c r="T272" s="179"/>
      <c r="U272" s="168">
        <v>20.420000000000002</v>
      </c>
      <c r="V272" s="144"/>
      <c r="W272" s="179"/>
      <c r="X272" s="168">
        <v>56.52</v>
      </c>
      <c r="Y272" s="144"/>
    </row>
    <row r="273" spans="1:25">
      <c r="A273" s="149" t="s">
        <v>173</v>
      </c>
      <c r="B273" s="150" t="s">
        <v>174</v>
      </c>
      <c r="E273" s="179"/>
      <c r="F273" s="182">
        <v>0.248</v>
      </c>
      <c r="G273" s="144"/>
      <c r="H273" s="179"/>
      <c r="I273" s="182">
        <v>0.34200000000000003</v>
      </c>
      <c r="J273" s="144"/>
      <c r="K273" s="179"/>
      <c r="L273" s="182">
        <v>0.14299999999999999</v>
      </c>
      <c r="M273" s="144"/>
      <c r="N273" s="179"/>
      <c r="O273" s="182">
        <v>0.16</v>
      </c>
      <c r="P273" s="144"/>
      <c r="Q273" s="179"/>
      <c r="R273" s="182">
        <v>0.158</v>
      </c>
      <c r="S273" s="144"/>
      <c r="T273" s="179"/>
      <c r="U273" s="182">
        <v>0.33900000000000002</v>
      </c>
      <c r="V273" s="144"/>
      <c r="W273" s="179"/>
      <c r="X273" s="182">
        <v>0.154</v>
      </c>
      <c r="Y273" s="144"/>
    </row>
    <row r="274" spans="1:25">
      <c r="A274" s="149" t="s">
        <v>175</v>
      </c>
      <c r="B274" s="150" t="s">
        <v>160</v>
      </c>
      <c r="E274" s="179"/>
      <c r="F274" s="180">
        <v>1.5</v>
      </c>
      <c r="G274" s="144"/>
      <c r="H274" s="179"/>
      <c r="I274" s="180">
        <v>0.2</v>
      </c>
      <c r="J274" s="144"/>
      <c r="K274" s="179"/>
      <c r="L274" s="180">
        <v>0.39</v>
      </c>
      <c r="M274" s="144"/>
      <c r="N274" s="179"/>
      <c r="O274" s="180">
        <v>0.38</v>
      </c>
      <c r="P274" s="144"/>
      <c r="Q274" s="179"/>
      <c r="R274" s="180">
        <v>0.17</v>
      </c>
      <c r="S274" s="144"/>
      <c r="T274" s="179"/>
      <c r="U274" s="180">
        <v>0.39</v>
      </c>
      <c r="V274" s="144"/>
      <c r="W274" s="179"/>
      <c r="X274" s="180">
        <v>0.24</v>
      </c>
      <c r="Y274" s="144"/>
    </row>
    <row r="275" spans="1:25">
      <c r="A275" s="149" t="s">
        <v>176</v>
      </c>
      <c r="B275" s="150" t="s">
        <v>177</v>
      </c>
      <c r="E275" s="179"/>
      <c r="F275" s="168">
        <v>74.400000000000006</v>
      </c>
      <c r="G275" s="144"/>
      <c r="H275" s="179"/>
      <c r="I275" s="168">
        <v>81.599999999999994</v>
      </c>
      <c r="J275" s="144"/>
      <c r="K275" s="179"/>
      <c r="L275" s="168">
        <v>98.7</v>
      </c>
      <c r="M275" s="144"/>
      <c r="N275" s="179"/>
      <c r="O275" s="168">
        <v>51.8</v>
      </c>
      <c r="P275" s="144"/>
      <c r="Q275" s="179"/>
      <c r="R275" s="168">
        <v>40.200000000000003</v>
      </c>
      <c r="S275" s="144"/>
      <c r="T275" s="179"/>
      <c r="U275" s="168">
        <v>20.6</v>
      </c>
      <c r="V275" s="144"/>
      <c r="W275" s="179"/>
      <c r="X275" s="168">
        <v>10.3</v>
      </c>
      <c r="Y275" s="144"/>
    </row>
    <row r="276" spans="1:25">
      <c r="A276" s="149" t="s">
        <v>178</v>
      </c>
      <c r="B276" s="150" t="s">
        <v>179</v>
      </c>
      <c r="E276" s="179"/>
      <c r="F276" s="184">
        <v>72.8</v>
      </c>
      <c r="G276" s="144"/>
      <c r="H276" s="179"/>
      <c r="I276" s="184">
        <v>65.7</v>
      </c>
      <c r="J276" s="144"/>
      <c r="K276" s="179"/>
      <c r="L276" s="184">
        <v>-37</v>
      </c>
      <c r="M276" s="144"/>
      <c r="N276" s="179"/>
      <c r="O276" s="184">
        <v>-41.4</v>
      </c>
      <c r="P276" s="144"/>
      <c r="Q276" s="179"/>
      <c r="R276" s="184">
        <v>-162</v>
      </c>
      <c r="S276" s="144"/>
      <c r="T276" s="179"/>
      <c r="U276" s="184">
        <v>5.5</v>
      </c>
      <c r="V276" s="144"/>
      <c r="W276" s="179"/>
      <c r="X276" s="184">
        <v>-3.9</v>
      </c>
      <c r="Y276" s="144"/>
    </row>
    <row r="277" spans="1:25">
      <c r="A277" s="149" t="s">
        <v>180</v>
      </c>
      <c r="B277" s="150" t="s">
        <v>181</v>
      </c>
      <c r="E277" s="179"/>
      <c r="F277" s="180">
        <v>0.18</v>
      </c>
      <c r="G277" s="144"/>
      <c r="H277" s="179"/>
      <c r="I277" s="180">
        <v>0.16</v>
      </c>
      <c r="J277" s="144"/>
      <c r="K277" s="179"/>
      <c r="L277" s="180">
        <v>0.08</v>
      </c>
      <c r="M277" s="144"/>
      <c r="N277" s="179"/>
      <c r="O277" s="180">
        <v>0.09</v>
      </c>
      <c r="P277" s="144"/>
      <c r="Q277" s="179"/>
      <c r="R277" s="180">
        <v>0.08</v>
      </c>
      <c r="S277" s="144"/>
      <c r="T277" s="179"/>
      <c r="U277" s="180">
        <v>0.16</v>
      </c>
      <c r="V277" s="144"/>
      <c r="W277" s="179"/>
      <c r="X277" s="180">
        <v>0.11</v>
      </c>
      <c r="Y277" s="144"/>
    </row>
    <row r="278" spans="1:25">
      <c r="A278" s="149" t="s">
        <v>166</v>
      </c>
      <c r="B278" s="150" t="s">
        <v>182</v>
      </c>
      <c r="E278" s="179"/>
      <c r="F278" s="168">
        <v>0.23899999999999999</v>
      </c>
      <c r="G278" s="144"/>
      <c r="H278" s="179"/>
      <c r="I278" s="168">
        <v>0.222</v>
      </c>
      <c r="J278" s="144"/>
      <c r="K278" s="179"/>
      <c r="L278" s="168">
        <v>0.108</v>
      </c>
      <c r="M278" s="144"/>
      <c r="N278" s="179"/>
      <c r="O278" s="168">
        <v>0.13300000000000001</v>
      </c>
      <c r="P278" s="144"/>
      <c r="Q278" s="179"/>
      <c r="R278" s="168">
        <v>0.114</v>
      </c>
      <c r="S278" s="144"/>
      <c r="T278" s="179"/>
      <c r="U278" s="182">
        <v>0.22</v>
      </c>
      <c r="V278" s="144"/>
      <c r="W278" s="179"/>
      <c r="X278" s="182">
        <v>0.155</v>
      </c>
      <c r="Y278" s="144"/>
    </row>
    <row r="279" spans="1:25">
      <c r="A279" s="149" t="s">
        <v>183</v>
      </c>
      <c r="B279" s="150" t="s">
        <v>9</v>
      </c>
      <c r="E279" s="179"/>
      <c r="F279" s="184">
        <v>12</v>
      </c>
      <c r="G279" s="144"/>
      <c r="H279" s="179"/>
      <c r="I279" s="184">
        <v>9</v>
      </c>
      <c r="J279" s="144"/>
      <c r="K279" s="179"/>
      <c r="L279" s="184">
        <v>9</v>
      </c>
      <c r="M279" s="144"/>
      <c r="N279" s="179"/>
      <c r="O279" s="184">
        <v>9</v>
      </c>
      <c r="P279" s="144"/>
      <c r="Q279" s="179"/>
      <c r="R279" s="184">
        <v>10</v>
      </c>
      <c r="S279" s="144"/>
      <c r="T279" s="179"/>
      <c r="U279" s="184">
        <v>9</v>
      </c>
      <c r="V279" s="144"/>
      <c r="W279" s="179"/>
      <c r="X279" s="184">
        <v>9</v>
      </c>
      <c r="Y279" s="144"/>
    </row>
    <row r="280" spans="1:25" ht="17.25" customHeight="1">
      <c r="A280" s="172" t="s">
        <v>184</v>
      </c>
      <c r="B280" s="173" t="s">
        <v>185</v>
      </c>
      <c r="E280" s="185"/>
      <c r="F280" s="186">
        <v>300</v>
      </c>
      <c r="G280" s="159"/>
      <c r="H280" s="185"/>
      <c r="I280" s="186">
        <v>300</v>
      </c>
      <c r="J280" s="159"/>
      <c r="K280" s="185"/>
      <c r="L280" s="186">
        <v>300</v>
      </c>
      <c r="M280" s="159"/>
      <c r="N280" s="185"/>
      <c r="O280" s="186">
        <v>300</v>
      </c>
      <c r="P280" s="159"/>
      <c r="Q280" s="185"/>
      <c r="R280" s="186">
        <v>250</v>
      </c>
      <c r="S280" s="159"/>
      <c r="T280" s="185"/>
      <c r="U280" s="186">
        <v>300</v>
      </c>
      <c r="V280" s="159"/>
      <c r="W280" s="185"/>
      <c r="X280" s="186">
        <v>300</v>
      </c>
      <c r="Y280" s="159"/>
    </row>
    <row r="281" spans="1:25">
      <c r="A281" s="129"/>
      <c r="B281" s="130" t="s">
        <v>60</v>
      </c>
      <c r="E281" s="220" t="s">
        <v>197</v>
      </c>
      <c r="F281" s="221"/>
      <c r="G281" s="221"/>
      <c r="H281" s="220" t="s">
        <v>198</v>
      </c>
      <c r="I281" s="221"/>
      <c r="J281" s="221"/>
      <c r="K281" s="220" t="s">
        <v>199</v>
      </c>
      <c r="L281" s="221"/>
      <c r="M281" s="221"/>
      <c r="N281" s="220" t="s">
        <v>200</v>
      </c>
      <c r="O281" s="221"/>
      <c r="P281" s="221"/>
      <c r="Q281" s="220" t="s">
        <v>201</v>
      </c>
      <c r="R281" s="221"/>
      <c r="S281" s="221"/>
      <c r="T281" s="220" t="s">
        <v>202</v>
      </c>
      <c r="U281" s="221"/>
      <c r="V281" s="221"/>
      <c r="W281" s="220" t="s">
        <v>203</v>
      </c>
      <c r="X281" s="221"/>
      <c r="Y281" s="221"/>
    </row>
    <row r="282" spans="1:25">
      <c r="A282" s="131"/>
      <c r="B282" s="132" t="s">
        <v>115</v>
      </c>
      <c r="E282" s="215" t="s">
        <v>35</v>
      </c>
      <c r="F282" s="216"/>
      <c r="G282" s="216"/>
      <c r="H282" s="215" t="s">
        <v>35</v>
      </c>
      <c r="I282" s="216"/>
      <c r="J282" s="216"/>
      <c r="K282" s="215" t="s">
        <v>35</v>
      </c>
      <c r="L282" s="216"/>
      <c r="M282" s="216"/>
      <c r="N282" s="215" t="s">
        <v>35</v>
      </c>
      <c r="O282" s="216"/>
      <c r="P282" s="216"/>
      <c r="Q282" s="215" t="s">
        <v>35</v>
      </c>
      <c r="R282" s="216"/>
      <c r="S282" s="216"/>
      <c r="T282" s="215" t="s">
        <v>35</v>
      </c>
      <c r="U282" s="216"/>
      <c r="V282" s="216"/>
      <c r="W282" s="215" t="s">
        <v>35</v>
      </c>
      <c r="X282" s="216"/>
      <c r="Y282" s="216"/>
    </row>
    <row r="283" spans="1:25">
      <c r="A283" s="131"/>
      <c r="B283" s="132" t="s">
        <v>116</v>
      </c>
      <c r="E283" s="217">
        <v>40588</v>
      </c>
      <c r="F283" s="218"/>
      <c r="G283" s="219"/>
      <c r="H283" s="217">
        <v>40638</v>
      </c>
      <c r="I283" s="218"/>
      <c r="J283" s="219"/>
      <c r="K283" s="217">
        <v>40864</v>
      </c>
      <c r="L283" s="218"/>
      <c r="M283" s="219"/>
      <c r="N283" s="217">
        <v>40899</v>
      </c>
      <c r="O283" s="218"/>
      <c r="P283" s="219"/>
      <c r="Q283" s="217">
        <v>41080</v>
      </c>
      <c r="R283" s="218"/>
      <c r="S283" s="219"/>
      <c r="T283" s="217">
        <v>41172</v>
      </c>
      <c r="U283" s="218"/>
      <c r="V283" s="219"/>
      <c r="W283" s="217">
        <v>41354</v>
      </c>
      <c r="X283" s="218"/>
      <c r="Y283" s="219"/>
    </row>
    <row r="284" spans="1:25">
      <c r="A284" s="131"/>
      <c r="B284" s="132" t="s">
        <v>13</v>
      </c>
      <c r="E284" s="211" t="s">
        <v>235</v>
      </c>
      <c r="F284" s="211"/>
      <c r="G284" s="211"/>
      <c r="H284" s="211" t="s">
        <v>235</v>
      </c>
      <c r="I284" s="211"/>
      <c r="J284" s="211"/>
      <c r="K284" s="211" t="s">
        <v>235</v>
      </c>
      <c r="L284" s="211"/>
      <c r="M284" s="211"/>
      <c r="N284" s="211" t="s">
        <v>235</v>
      </c>
      <c r="O284" s="211"/>
      <c r="P284" s="211"/>
      <c r="Q284" s="211" t="s">
        <v>235</v>
      </c>
      <c r="R284" s="211"/>
      <c r="S284" s="211"/>
      <c r="T284" s="211" t="s">
        <v>235</v>
      </c>
      <c r="U284" s="211"/>
      <c r="V284" s="211"/>
      <c r="W284" s="211" t="s">
        <v>235</v>
      </c>
      <c r="X284" s="211"/>
      <c r="Y284" s="211"/>
    </row>
    <row r="285" spans="1:25">
      <c r="A285" s="131"/>
      <c r="B285" s="132" t="s">
        <v>122</v>
      </c>
      <c r="E285" s="211" t="s">
        <v>123</v>
      </c>
      <c r="F285" s="211"/>
      <c r="G285" s="211"/>
      <c r="H285" s="211" t="s">
        <v>123</v>
      </c>
      <c r="I285" s="211"/>
      <c r="J285" s="211"/>
      <c r="K285" s="211" t="s">
        <v>123</v>
      </c>
      <c r="L285" s="211"/>
      <c r="M285" s="211"/>
      <c r="N285" s="211" t="s">
        <v>123</v>
      </c>
      <c r="O285" s="211"/>
      <c r="P285" s="211"/>
      <c r="Q285" s="211" t="s">
        <v>123</v>
      </c>
      <c r="R285" s="211"/>
      <c r="S285" s="211"/>
      <c r="T285" s="211" t="s">
        <v>123</v>
      </c>
      <c r="U285" s="211"/>
      <c r="V285" s="211"/>
      <c r="W285" s="211" t="s">
        <v>123</v>
      </c>
      <c r="X285" s="211"/>
      <c r="Y285" s="211"/>
    </row>
    <row r="286" spans="1:25">
      <c r="A286" s="131"/>
      <c r="B286" s="132" t="s">
        <v>124</v>
      </c>
      <c r="E286" s="211" t="s">
        <v>125</v>
      </c>
      <c r="F286" s="211"/>
      <c r="G286" s="211"/>
      <c r="H286" s="211" t="s">
        <v>125</v>
      </c>
      <c r="I286" s="211"/>
      <c r="J286" s="211"/>
      <c r="K286" s="211" t="s">
        <v>125</v>
      </c>
      <c r="L286" s="211"/>
      <c r="M286" s="211"/>
      <c r="N286" s="211" t="s">
        <v>125</v>
      </c>
      <c r="O286" s="211"/>
      <c r="P286" s="211"/>
      <c r="Q286" s="211" t="s">
        <v>125</v>
      </c>
      <c r="R286" s="211"/>
      <c r="S286" s="211"/>
      <c r="T286" s="211" t="s">
        <v>125</v>
      </c>
      <c r="U286" s="211"/>
      <c r="V286" s="211"/>
      <c r="W286" s="211" t="s">
        <v>125</v>
      </c>
      <c r="X286" s="211"/>
      <c r="Y286" s="211"/>
    </row>
    <row r="287" spans="1:25">
      <c r="A287" s="131"/>
      <c r="B287" s="132" t="s">
        <v>126</v>
      </c>
      <c r="E287" s="211" t="s">
        <v>130</v>
      </c>
      <c r="F287" s="211"/>
      <c r="G287" s="211"/>
      <c r="H287" s="211" t="s">
        <v>130</v>
      </c>
      <c r="I287" s="211"/>
      <c r="J287" s="211"/>
      <c r="K287" s="211" t="s">
        <v>130</v>
      </c>
      <c r="L287" s="211"/>
      <c r="M287" s="211"/>
      <c r="N287" s="211" t="s">
        <v>130</v>
      </c>
      <c r="O287" s="211"/>
      <c r="P287" s="211"/>
      <c r="Q287" s="211" t="s">
        <v>130</v>
      </c>
      <c r="R287" s="211"/>
      <c r="S287" s="211"/>
      <c r="T287" s="211" t="s">
        <v>130</v>
      </c>
      <c r="U287" s="211"/>
      <c r="V287" s="211"/>
      <c r="W287" s="211" t="s">
        <v>130</v>
      </c>
      <c r="X287" s="211"/>
      <c r="Y287" s="211"/>
    </row>
    <row r="288" spans="1:25">
      <c r="A288" s="131"/>
      <c r="B288" s="132" t="s">
        <v>131</v>
      </c>
      <c r="E288" s="211" t="s">
        <v>132</v>
      </c>
      <c r="F288" s="211"/>
      <c r="G288" s="211"/>
      <c r="H288" s="211" t="s">
        <v>132</v>
      </c>
      <c r="I288" s="211"/>
      <c r="J288" s="211"/>
      <c r="K288" s="211" t="s">
        <v>132</v>
      </c>
      <c r="L288" s="211"/>
      <c r="M288" s="211"/>
      <c r="N288" s="211" t="s">
        <v>132</v>
      </c>
      <c r="O288" s="211"/>
      <c r="P288" s="211"/>
      <c r="Q288" s="211" t="s">
        <v>132</v>
      </c>
      <c r="R288" s="211"/>
      <c r="S288" s="211"/>
      <c r="T288" s="211" t="s">
        <v>132</v>
      </c>
      <c r="U288" s="211"/>
      <c r="V288" s="211"/>
      <c r="W288" s="211" t="s">
        <v>132</v>
      </c>
      <c r="X288" s="211"/>
      <c r="Y288" s="211"/>
    </row>
    <row r="289" spans="1:25" ht="13.5" thickBot="1">
      <c r="A289" s="133" t="s">
        <v>133</v>
      </c>
      <c r="B289" s="134" t="s">
        <v>134</v>
      </c>
      <c r="E289" s="212"/>
      <c r="F289" s="213"/>
      <c r="G289" s="214"/>
      <c r="H289" s="212"/>
      <c r="I289" s="213"/>
      <c r="J289" s="214"/>
      <c r="K289" s="212"/>
      <c r="L289" s="213"/>
      <c r="M289" s="214"/>
      <c r="N289" s="212"/>
      <c r="O289" s="213"/>
      <c r="P289" s="214"/>
      <c r="Q289" s="212"/>
      <c r="R289" s="213"/>
      <c r="S289" s="214"/>
      <c r="T289" s="212"/>
      <c r="U289" s="213"/>
      <c r="V289" s="214"/>
      <c r="W289" s="212"/>
      <c r="X289" s="213"/>
      <c r="Y289" s="214"/>
    </row>
    <row r="290" spans="1:25">
      <c r="A290" s="135" t="s">
        <v>135</v>
      </c>
      <c r="B290" s="136"/>
      <c r="E290" s="137"/>
      <c r="F290" s="138"/>
      <c r="G290" s="139"/>
      <c r="H290" s="137"/>
      <c r="I290" s="138"/>
      <c r="J290" s="139"/>
      <c r="K290" s="137"/>
      <c r="L290" s="138"/>
      <c r="M290" s="139"/>
      <c r="N290" s="137"/>
      <c r="O290" s="138"/>
      <c r="P290" s="139"/>
      <c r="Q290" s="137"/>
      <c r="R290" s="138"/>
      <c r="S290" s="139"/>
      <c r="T290" s="137"/>
      <c r="U290" s="138"/>
      <c r="V290" s="139"/>
      <c r="W290" s="137"/>
      <c r="X290" s="138"/>
      <c r="Y290" s="139"/>
    </row>
    <row r="291" spans="1:25">
      <c r="A291" s="140" t="s">
        <v>136</v>
      </c>
      <c r="B291" s="141" t="s">
        <v>137</v>
      </c>
      <c r="E291" s="142" t="s">
        <v>138</v>
      </c>
      <c r="F291" s="145">
        <v>5</v>
      </c>
      <c r="G291" s="144"/>
      <c r="H291" s="142" t="s">
        <v>138</v>
      </c>
      <c r="I291" s="145">
        <v>5</v>
      </c>
      <c r="J291" s="144"/>
      <c r="K291" s="142" t="s">
        <v>138</v>
      </c>
      <c r="L291" s="145">
        <v>5</v>
      </c>
      <c r="M291" s="144"/>
      <c r="N291" s="142" t="s">
        <v>138</v>
      </c>
      <c r="O291" s="145">
        <v>5</v>
      </c>
      <c r="P291" s="144"/>
      <c r="Q291" s="142" t="s">
        <v>138</v>
      </c>
      <c r="R291" s="145">
        <v>2</v>
      </c>
      <c r="S291" s="144"/>
      <c r="T291" s="142" t="s">
        <v>138</v>
      </c>
      <c r="U291" s="145">
        <v>2</v>
      </c>
      <c r="V291" s="144"/>
      <c r="W291" s="142" t="s">
        <v>138</v>
      </c>
      <c r="X291" s="145">
        <v>2</v>
      </c>
      <c r="Y291" s="144"/>
    </row>
    <row r="292" spans="1:25">
      <c r="A292" s="149" t="s">
        <v>139</v>
      </c>
      <c r="B292" s="150" t="s">
        <v>140</v>
      </c>
      <c r="E292" s="142" t="s">
        <v>138</v>
      </c>
      <c r="F292" s="145">
        <v>5</v>
      </c>
      <c r="G292" s="144"/>
      <c r="H292" s="142" t="s">
        <v>138</v>
      </c>
      <c r="I292" s="145">
        <v>5</v>
      </c>
      <c r="J292" s="144"/>
      <c r="K292" s="142" t="s">
        <v>138</v>
      </c>
      <c r="L292" s="145">
        <v>5</v>
      </c>
      <c r="M292" s="144"/>
      <c r="N292" s="142" t="s">
        <v>138</v>
      </c>
      <c r="O292" s="145">
        <v>5</v>
      </c>
      <c r="P292" s="144"/>
      <c r="Q292" s="142" t="s">
        <v>138</v>
      </c>
      <c r="R292" s="145">
        <v>2</v>
      </c>
      <c r="S292" s="144"/>
      <c r="T292" s="142" t="s">
        <v>138</v>
      </c>
      <c r="U292" s="145">
        <v>2</v>
      </c>
      <c r="V292" s="144"/>
      <c r="W292" s="142" t="s">
        <v>138</v>
      </c>
      <c r="X292" s="145">
        <v>2</v>
      </c>
      <c r="Y292" s="144"/>
    </row>
    <row r="293" spans="1:25">
      <c r="A293" s="149" t="s">
        <v>141</v>
      </c>
      <c r="B293" s="150" t="s">
        <v>142</v>
      </c>
      <c r="E293" s="142" t="s">
        <v>138</v>
      </c>
      <c r="F293" s="145">
        <v>5</v>
      </c>
      <c r="G293" s="152"/>
      <c r="H293" s="142" t="s">
        <v>138</v>
      </c>
      <c r="I293" s="145">
        <v>5</v>
      </c>
      <c r="J293" s="152"/>
      <c r="K293" s="142" t="s">
        <v>138</v>
      </c>
      <c r="L293" s="145">
        <v>5</v>
      </c>
      <c r="M293" s="152"/>
      <c r="N293" s="142" t="s">
        <v>138</v>
      </c>
      <c r="O293" s="145">
        <v>5</v>
      </c>
      <c r="P293" s="152"/>
      <c r="Q293" s="142" t="s">
        <v>138</v>
      </c>
      <c r="R293" s="145">
        <v>2</v>
      </c>
      <c r="S293" s="152"/>
      <c r="T293" s="142" t="s">
        <v>138</v>
      </c>
      <c r="U293" s="145">
        <v>2</v>
      </c>
      <c r="V293" s="152"/>
      <c r="W293" s="142" t="s">
        <v>138</v>
      </c>
      <c r="X293" s="145">
        <v>2</v>
      </c>
      <c r="Y293" s="152"/>
    </row>
    <row r="294" spans="1:25">
      <c r="A294" s="149" t="s">
        <v>143</v>
      </c>
      <c r="B294" s="150" t="s">
        <v>144</v>
      </c>
      <c r="E294" s="142" t="s">
        <v>138</v>
      </c>
      <c r="F294" s="145">
        <v>5</v>
      </c>
      <c r="G294" s="152"/>
      <c r="H294" s="142" t="s">
        <v>138</v>
      </c>
      <c r="I294" s="145">
        <v>5</v>
      </c>
      <c r="J294" s="152"/>
      <c r="K294" s="142" t="s">
        <v>138</v>
      </c>
      <c r="L294" s="145">
        <v>5</v>
      </c>
      <c r="M294" s="152"/>
      <c r="N294" s="142" t="s">
        <v>138</v>
      </c>
      <c r="O294" s="145">
        <v>5</v>
      </c>
      <c r="P294" s="152"/>
      <c r="Q294" s="142" t="s">
        <v>138</v>
      </c>
      <c r="R294" s="145">
        <v>2</v>
      </c>
      <c r="S294" s="152"/>
      <c r="T294" s="142" t="s">
        <v>138</v>
      </c>
      <c r="U294" s="145">
        <v>2</v>
      </c>
      <c r="V294" s="152"/>
      <c r="W294" s="142" t="s">
        <v>138</v>
      </c>
      <c r="X294" s="145">
        <v>2</v>
      </c>
      <c r="Y294" s="152"/>
    </row>
    <row r="295" spans="1:25">
      <c r="A295" s="149" t="s">
        <v>145</v>
      </c>
      <c r="B295" s="150" t="s">
        <v>146</v>
      </c>
      <c r="E295" s="142" t="s">
        <v>138</v>
      </c>
      <c r="F295" s="145">
        <v>5</v>
      </c>
      <c r="G295" s="144"/>
      <c r="H295" s="142" t="s">
        <v>138</v>
      </c>
      <c r="I295" s="145">
        <v>5</v>
      </c>
      <c r="J295" s="144"/>
      <c r="K295" s="142" t="s">
        <v>138</v>
      </c>
      <c r="L295" s="145">
        <v>5</v>
      </c>
      <c r="M295" s="144"/>
      <c r="N295" s="142" t="s">
        <v>138</v>
      </c>
      <c r="O295" s="145">
        <v>5</v>
      </c>
      <c r="P295" s="144"/>
      <c r="Q295" s="142" t="s">
        <v>138</v>
      </c>
      <c r="R295" s="145">
        <v>2</v>
      </c>
      <c r="S295" s="144"/>
      <c r="T295" s="142" t="s">
        <v>138</v>
      </c>
      <c r="U295" s="145">
        <v>2</v>
      </c>
      <c r="V295" s="144"/>
      <c r="W295" s="142" t="s">
        <v>138</v>
      </c>
      <c r="X295" s="145">
        <v>2</v>
      </c>
      <c r="Y295" s="144"/>
    </row>
    <row r="296" spans="1:25">
      <c r="A296" s="149" t="s">
        <v>147</v>
      </c>
      <c r="B296" s="150" t="s">
        <v>148</v>
      </c>
      <c r="E296" s="142" t="s">
        <v>138</v>
      </c>
      <c r="F296" s="145">
        <v>5</v>
      </c>
      <c r="G296" s="144"/>
      <c r="H296" s="142" t="s">
        <v>138</v>
      </c>
      <c r="I296" s="145">
        <v>5</v>
      </c>
      <c r="J296" s="144"/>
      <c r="K296" s="142" t="s">
        <v>138</v>
      </c>
      <c r="L296" s="145">
        <v>5</v>
      </c>
      <c r="M296" s="144"/>
      <c r="N296" s="142" t="s">
        <v>138</v>
      </c>
      <c r="O296" s="145">
        <v>5</v>
      </c>
      <c r="P296" s="144"/>
      <c r="Q296" s="142" t="s">
        <v>138</v>
      </c>
      <c r="R296" s="145">
        <v>2</v>
      </c>
      <c r="S296" s="144"/>
      <c r="T296" s="142" t="s">
        <v>138</v>
      </c>
      <c r="U296" s="145">
        <v>2</v>
      </c>
      <c r="V296" s="144"/>
      <c r="W296" s="142" t="s">
        <v>138</v>
      </c>
      <c r="X296" s="145">
        <v>2</v>
      </c>
      <c r="Y296" s="144"/>
    </row>
    <row r="297" spans="1:25">
      <c r="A297" s="149" t="s">
        <v>149</v>
      </c>
      <c r="B297" s="150" t="s">
        <v>150</v>
      </c>
      <c r="E297" s="142"/>
      <c r="F297" s="147">
        <v>77</v>
      </c>
      <c r="G297" s="144"/>
      <c r="H297" s="142"/>
      <c r="I297" s="147">
        <v>78</v>
      </c>
      <c r="J297" s="144"/>
      <c r="K297" s="142"/>
      <c r="L297" s="147">
        <v>64</v>
      </c>
      <c r="M297" s="144"/>
      <c r="N297" s="142"/>
      <c r="O297" s="147">
        <v>59</v>
      </c>
      <c r="P297" s="144"/>
      <c r="Q297" s="142"/>
      <c r="R297" s="147">
        <v>69</v>
      </c>
      <c r="S297" s="144"/>
      <c r="T297" s="142"/>
      <c r="U297" s="147">
        <v>71</v>
      </c>
      <c r="V297" s="144"/>
      <c r="W297" s="142"/>
      <c r="X297" s="147">
        <v>40</v>
      </c>
      <c r="Y297" s="144"/>
    </row>
    <row r="298" spans="1:25">
      <c r="A298" s="155" t="s">
        <v>151</v>
      </c>
      <c r="B298" s="156" t="s">
        <v>152</v>
      </c>
      <c r="E298" s="142" t="s">
        <v>138</v>
      </c>
      <c r="F298" s="145">
        <v>5</v>
      </c>
      <c r="G298" s="144"/>
      <c r="H298" s="142" t="s">
        <v>138</v>
      </c>
      <c r="I298" s="145">
        <v>5</v>
      </c>
      <c r="J298" s="144"/>
      <c r="K298" s="142" t="s">
        <v>138</v>
      </c>
      <c r="L298" s="145">
        <v>5</v>
      </c>
      <c r="M298" s="144"/>
      <c r="N298" s="142" t="s">
        <v>138</v>
      </c>
      <c r="O298" s="145">
        <v>5</v>
      </c>
      <c r="P298" s="144"/>
      <c r="Q298" s="142" t="s">
        <v>138</v>
      </c>
      <c r="R298" s="145">
        <v>2</v>
      </c>
      <c r="S298" s="144"/>
      <c r="T298" s="142" t="s">
        <v>138</v>
      </c>
      <c r="U298" s="145">
        <v>2</v>
      </c>
      <c r="V298" s="144"/>
      <c r="W298" s="142" t="s">
        <v>138</v>
      </c>
      <c r="X298" s="145">
        <v>2</v>
      </c>
      <c r="Y298" s="144"/>
    </row>
    <row r="299" spans="1:25">
      <c r="A299" s="157" t="s">
        <v>153</v>
      </c>
      <c r="B299" s="158" t="s">
        <v>154</v>
      </c>
      <c r="E299" s="160" t="s">
        <v>138</v>
      </c>
      <c r="F299" s="162">
        <v>5</v>
      </c>
      <c r="G299" s="159"/>
      <c r="H299" s="160" t="s">
        <v>138</v>
      </c>
      <c r="I299" s="162">
        <v>5</v>
      </c>
      <c r="J299" s="159"/>
      <c r="K299" s="160" t="s">
        <v>138</v>
      </c>
      <c r="L299" s="162">
        <v>5</v>
      </c>
      <c r="M299" s="159"/>
      <c r="N299" s="160" t="s">
        <v>138</v>
      </c>
      <c r="O299" s="162">
        <v>5</v>
      </c>
      <c r="P299" s="159"/>
      <c r="Q299" s="160" t="s">
        <v>138</v>
      </c>
      <c r="R299" s="162">
        <v>2</v>
      </c>
      <c r="S299" s="159"/>
      <c r="T299" s="160" t="s">
        <v>138</v>
      </c>
      <c r="U299" s="162">
        <v>2</v>
      </c>
      <c r="V299" s="159"/>
      <c r="W299" s="160" t="s">
        <v>138</v>
      </c>
      <c r="X299" s="162">
        <v>2</v>
      </c>
      <c r="Y299" s="159"/>
    </row>
    <row r="300" spans="1:25">
      <c r="A300" s="164" t="s">
        <v>155</v>
      </c>
      <c r="B300" s="165"/>
      <c r="E300" s="142"/>
      <c r="F300" s="168"/>
      <c r="G300" s="144"/>
      <c r="H300" s="142"/>
      <c r="I300" s="168"/>
      <c r="J300" s="144"/>
      <c r="K300" s="142"/>
      <c r="L300" s="168"/>
      <c r="M300" s="144"/>
      <c r="N300" s="142"/>
      <c r="O300" s="168"/>
      <c r="P300" s="144"/>
      <c r="Q300" s="142"/>
      <c r="R300" s="168"/>
      <c r="S300" s="144"/>
      <c r="T300" s="142"/>
      <c r="U300" s="168"/>
      <c r="V300" s="144"/>
      <c r="W300" s="142"/>
      <c r="X300" s="168"/>
      <c r="Y300" s="144"/>
    </row>
    <row r="301" spans="1:25">
      <c r="A301" s="149" t="s">
        <v>156</v>
      </c>
      <c r="B301" s="150" t="s">
        <v>157</v>
      </c>
      <c r="E301" s="171"/>
      <c r="F301" s="169" t="s">
        <v>158</v>
      </c>
      <c r="G301" s="144"/>
      <c r="H301" s="171"/>
      <c r="I301" s="169" t="s">
        <v>158</v>
      </c>
      <c r="J301" s="144"/>
      <c r="K301" s="171"/>
      <c r="L301" s="169" t="s">
        <v>158</v>
      </c>
      <c r="M301" s="144"/>
      <c r="N301" s="171"/>
      <c r="O301" s="169" t="s">
        <v>158</v>
      </c>
      <c r="P301" s="144"/>
      <c r="Q301" s="171"/>
      <c r="R301" s="169" t="s">
        <v>158</v>
      </c>
      <c r="S301" s="144"/>
      <c r="T301" s="171"/>
      <c r="U301" s="169" t="s">
        <v>158</v>
      </c>
      <c r="V301" s="144"/>
      <c r="W301" s="171"/>
      <c r="X301" s="169" t="s">
        <v>158</v>
      </c>
      <c r="Y301" s="144"/>
    </row>
    <row r="302" spans="1:25">
      <c r="A302" s="149" t="s">
        <v>159</v>
      </c>
      <c r="B302" s="150" t="s">
        <v>160</v>
      </c>
      <c r="E302" s="171"/>
      <c r="F302" s="169" t="s">
        <v>158</v>
      </c>
      <c r="G302" s="144"/>
      <c r="H302" s="171"/>
      <c r="I302" s="169" t="s">
        <v>158</v>
      </c>
      <c r="J302" s="144"/>
      <c r="K302" s="171"/>
      <c r="L302" s="169" t="s">
        <v>158</v>
      </c>
      <c r="M302" s="144"/>
      <c r="N302" s="171"/>
      <c r="O302" s="169" t="s">
        <v>158</v>
      </c>
      <c r="P302" s="144"/>
      <c r="Q302" s="171"/>
      <c r="R302" s="169" t="s">
        <v>158</v>
      </c>
      <c r="S302" s="144"/>
      <c r="T302" s="171"/>
      <c r="U302" s="169" t="s">
        <v>158</v>
      </c>
      <c r="V302" s="144"/>
      <c r="W302" s="171"/>
      <c r="X302" s="169" t="s">
        <v>158</v>
      </c>
      <c r="Y302" s="144"/>
    </row>
    <row r="303" spans="1:25">
      <c r="A303" s="149" t="s">
        <v>161</v>
      </c>
      <c r="B303" s="150" t="s">
        <v>160</v>
      </c>
      <c r="E303" s="171"/>
      <c r="F303" s="169" t="s">
        <v>158</v>
      </c>
      <c r="G303" s="144"/>
      <c r="H303" s="171"/>
      <c r="I303" s="169" t="s">
        <v>158</v>
      </c>
      <c r="J303" s="144"/>
      <c r="K303" s="171"/>
      <c r="L303" s="169" t="s">
        <v>158</v>
      </c>
      <c r="M303" s="144"/>
      <c r="N303" s="171"/>
      <c r="O303" s="169" t="s">
        <v>158</v>
      </c>
      <c r="P303" s="144"/>
      <c r="Q303" s="171"/>
      <c r="R303" s="169" t="s">
        <v>158</v>
      </c>
      <c r="S303" s="144"/>
      <c r="T303" s="171"/>
      <c r="U303" s="169" t="s">
        <v>158</v>
      </c>
      <c r="V303" s="144"/>
      <c r="W303" s="171"/>
      <c r="X303" s="169" t="s">
        <v>158</v>
      </c>
      <c r="Y303" s="144"/>
    </row>
    <row r="304" spans="1:25">
      <c r="A304" s="149" t="s">
        <v>162</v>
      </c>
      <c r="B304" s="150" t="s">
        <v>160</v>
      </c>
      <c r="E304" s="171"/>
      <c r="F304" s="169" t="s">
        <v>158</v>
      </c>
      <c r="G304" s="144"/>
      <c r="H304" s="171"/>
      <c r="I304" s="169" t="s">
        <v>158</v>
      </c>
      <c r="J304" s="144"/>
      <c r="K304" s="171"/>
      <c r="L304" s="169" t="s">
        <v>158</v>
      </c>
      <c r="M304" s="144"/>
      <c r="N304" s="171"/>
      <c r="O304" s="169" t="s">
        <v>158</v>
      </c>
      <c r="P304" s="144"/>
      <c r="Q304" s="171"/>
      <c r="R304" s="169" t="s">
        <v>158</v>
      </c>
      <c r="S304" s="144"/>
      <c r="T304" s="171"/>
      <c r="U304" s="169" t="s">
        <v>158</v>
      </c>
      <c r="V304" s="144"/>
      <c r="W304" s="171"/>
      <c r="X304" s="169" t="s">
        <v>158</v>
      </c>
      <c r="Y304" s="144"/>
    </row>
    <row r="305" spans="1:25">
      <c r="A305" s="149" t="s">
        <v>163</v>
      </c>
      <c r="B305" s="150" t="s">
        <v>160</v>
      </c>
      <c r="E305" s="171"/>
      <c r="F305" s="169" t="s">
        <v>158</v>
      </c>
      <c r="G305" s="144"/>
      <c r="H305" s="171"/>
      <c r="I305" s="169" t="s">
        <v>158</v>
      </c>
      <c r="J305" s="144"/>
      <c r="K305" s="171"/>
      <c r="L305" s="169" t="s">
        <v>158</v>
      </c>
      <c r="M305" s="144"/>
      <c r="N305" s="171"/>
      <c r="O305" s="169" t="s">
        <v>158</v>
      </c>
      <c r="P305" s="144"/>
      <c r="Q305" s="171"/>
      <c r="R305" s="169" t="s">
        <v>158</v>
      </c>
      <c r="S305" s="144"/>
      <c r="T305" s="171"/>
      <c r="U305" s="169" t="s">
        <v>158</v>
      </c>
      <c r="V305" s="144"/>
      <c r="W305" s="171"/>
      <c r="X305" s="169" t="s">
        <v>158</v>
      </c>
      <c r="Y305" s="144"/>
    </row>
    <row r="306" spans="1:25">
      <c r="A306" s="149" t="s">
        <v>164</v>
      </c>
      <c r="B306" s="150" t="s">
        <v>160</v>
      </c>
      <c r="E306" s="171"/>
      <c r="F306" s="169" t="s">
        <v>158</v>
      </c>
      <c r="G306" s="144"/>
      <c r="H306" s="171"/>
      <c r="I306" s="169" t="s">
        <v>158</v>
      </c>
      <c r="J306" s="144"/>
      <c r="K306" s="171"/>
      <c r="L306" s="169" t="s">
        <v>158</v>
      </c>
      <c r="M306" s="144"/>
      <c r="N306" s="171"/>
      <c r="O306" s="169" t="s">
        <v>158</v>
      </c>
      <c r="P306" s="144"/>
      <c r="Q306" s="171"/>
      <c r="R306" s="169" t="s">
        <v>158</v>
      </c>
      <c r="S306" s="144"/>
      <c r="T306" s="171"/>
      <c r="U306" s="169" t="s">
        <v>158</v>
      </c>
      <c r="V306" s="144"/>
      <c r="W306" s="171"/>
      <c r="X306" s="169" t="s">
        <v>158</v>
      </c>
      <c r="Y306" s="144"/>
    </row>
    <row r="307" spans="1:25">
      <c r="A307" s="149" t="s">
        <v>165</v>
      </c>
      <c r="B307" s="150" t="s">
        <v>160</v>
      </c>
      <c r="E307" s="171"/>
      <c r="F307" s="169" t="s">
        <v>158</v>
      </c>
      <c r="G307" s="144"/>
      <c r="H307" s="171"/>
      <c r="I307" s="169" t="s">
        <v>158</v>
      </c>
      <c r="J307" s="144"/>
      <c r="K307" s="171"/>
      <c r="L307" s="169" t="s">
        <v>158</v>
      </c>
      <c r="M307" s="144"/>
      <c r="N307" s="171"/>
      <c r="O307" s="169" t="s">
        <v>158</v>
      </c>
      <c r="P307" s="144"/>
      <c r="Q307" s="171"/>
      <c r="R307" s="169" t="s">
        <v>158</v>
      </c>
      <c r="S307" s="144"/>
      <c r="T307" s="171"/>
      <c r="U307" s="169" t="s">
        <v>158</v>
      </c>
      <c r="V307" s="144"/>
      <c r="W307" s="171"/>
      <c r="X307" s="169" t="s">
        <v>158</v>
      </c>
      <c r="Y307" s="144"/>
    </row>
    <row r="308" spans="1:25">
      <c r="A308" s="149" t="s">
        <v>166</v>
      </c>
      <c r="B308" s="150" t="s">
        <v>160</v>
      </c>
      <c r="E308" s="171"/>
      <c r="F308" s="169" t="s">
        <v>158</v>
      </c>
      <c r="G308" s="144"/>
      <c r="H308" s="171"/>
      <c r="I308" s="169" t="s">
        <v>158</v>
      </c>
      <c r="J308" s="144"/>
      <c r="K308" s="171"/>
      <c r="L308" s="169" t="s">
        <v>158</v>
      </c>
      <c r="M308" s="144"/>
      <c r="N308" s="171"/>
      <c r="O308" s="169" t="s">
        <v>158</v>
      </c>
      <c r="P308" s="144"/>
      <c r="Q308" s="171"/>
      <c r="R308" s="169" t="s">
        <v>158</v>
      </c>
      <c r="S308" s="144"/>
      <c r="T308" s="171"/>
      <c r="U308" s="169" t="s">
        <v>158</v>
      </c>
      <c r="V308" s="144"/>
      <c r="W308" s="171"/>
      <c r="X308" s="169" t="s">
        <v>158</v>
      </c>
      <c r="Y308" s="144"/>
    </row>
    <row r="309" spans="1:25">
      <c r="A309" s="172" t="s">
        <v>167</v>
      </c>
      <c r="B309" s="173" t="s">
        <v>168</v>
      </c>
      <c r="E309" s="176"/>
      <c r="F309" s="174" t="s">
        <v>158</v>
      </c>
      <c r="G309" s="159"/>
      <c r="H309" s="176"/>
      <c r="I309" s="174" t="s">
        <v>158</v>
      </c>
      <c r="J309" s="159"/>
      <c r="K309" s="176"/>
      <c r="L309" s="174" t="s">
        <v>158</v>
      </c>
      <c r="M309" s="159"/>
      <c r="N309" s="176"/>
      <c r="O309" s="174" t="s">
        <v>158</v>
      </c>
      <c r="P309" s="159"/>
      <c r="Q309" s="176"/>
      <c r="R309" s="174" t="s">
        <v>158</v>
      </c>
      <c r="S309" s="159"/>
      <c r="T309" s="176"/>
      <c r="U309" s="174" t="s">
        <v>158</v>
      </c>
      <c r="V309" s="159"/>
      <c r="W309" s="176"/>
      <c r="X309" s="174" t="s">
        <v>158</v>
      </c>
      <c r="Y309" s="159"/>
    </row>
    <row r="310" spans="1:25">
      <c r="A310" s="177" t="s">
        <v>169</v>
      </c>
      <c r="B310" s="150"/>
      <c r="E310" s="166"/>
      <c r="F310" s="167"/>
      <c r="G310" s="144"/>
      <c r="H310" s="166"/>
      <c r="I310" s="167"/>
      <c r="J310" s="144"/>
      <c r="K310" s="166"/>
      <c r="L310" s="167"/>
      <c r="M310" s="144"/>
      <c r="N310" s="166"/>
      <c r="O310" s="167"/>
      <c r="P310" s="144"/>
      <c r="Q310" s="166"/>
      <c r="R310" s="167"/>
      <c r="S310" s="144"/>
      <c r="T310" s="166"/>
      <c r="U310" s="167"/>
      <c r="V310" s="144"/>
      <c r="W310" s="166"/>
      <c r="X310" s="167"/>
      <c r="Y310" s="144"/>
    </row>
    <row r="311" spans="1:25">
      <c r="A311" s="149" t="s">
        <v>167</v>
      </c>
      <c r="B311" s="150" t="s">
        <v>170</v>
      </c>
      <c r="E311" s="179"/>
      <c r="F311" s="168">
        <v>7.57</v>
      </c>
      <c r="G311" s="144"/>
      <c r="H311" s="179"/>
      <c r="I311" s="168">
        <v>6.42</v>
      </c>
      <c r="J311" s="144"/>
      <c r="K311" s="179"/>
      <c r="L311" s="168">
        <v>7.01</v>
      </c>
      <c r="M311" s="144"/>
      <c r="N311" s="179"/>
      <c r="O311" s="168">
        <v>6.52</v>
      </c>
      <c r="P311" s="144"/>
      <c r="Q311" s="179"/>
      <c r="R311" s="168">
        <v>6.13</v>
      </c>
      <c r="S311" s="144"/>
      <c r="T311" s="179"/>
      <c r="U311" s="168">
        <v>6.19</v>
      </c>
      <c r="V311" s="144"/>
      <c r="W311" s="179"/>
      <c r="X311" s="168">
        <v>6.42</v>
      </c>
      <c r="Y311" s="144"/>
    </row>
    <row r="312" spans="1:25">
      <c r="A312" s="149" t="s">
        <v>171</v>
      </c>
      <c r="B312" s="150" t="s">
        <v>172</v>
      </c>
      <c r="E312" s="179"/>
      <c r="F312" s="168">
        <v>9.4600000000000009</v>
      </c>
      <c r="G312" s="144"/>
      <c r="H312" s="179"/>
      <c r="I312" s="168">
        <v>8.6300000000000008</v>
      </c>
      <c r="J312" s="144"/>
      <c r="K312" s="179"/>
      <c r="L312" s="168">
        <v>15.61</v>
      </c>
      <c r="M312" s="144"/>
      <c r="N312" s="179"/>
      <c r="O312" s="168">
        <v>12.98</v>
      </c>
      <c r="P312" s="144"/>
      <c r="Q312" s="179"/>
      <c r="R312" s="168">
        <v>17.18</v>
      </c>
      <c r="S312" s="144"/>
      <c r="T312" s="179"/>
      <c r="U312" s="168">
        <v>20.25</v>
      </c>
      <c r="V312" s="144"/>
      <c r="W312" s="179"/>
      <c r="X312" s="168">
        <v>7.01</v>
      </c>
      <c r="Y312" s="144"/>
    </row>
    <row r="313" spans="1:25">
      <c r="A313" s="149" t="s">
        <v>173</v>
      </c>
      <c r="B313" s="150" t="s">
        <v>174</v>
      </c>
      <c r="E313" s="179"/>
      <c r="F313" s="182">
        <v>2.7909999999999999</v>
      </c>
      <c r="G313" s="144"/>
      <c r="H313" s="179"/>
      <c r="I313" s="182">
        <v>0.71299999999999997</v>
      </c>
      <c r="J313" s="144"/>
      <c r="K313" s="179"/>
      <c r="L313" s="182">
        <v>0.40500000000000003</v>
      </c>
      <c r="M313" s="144"/>
      <c r="N313" s="179"/>
      <c r="O313" s="182">
        <v>0.54100000000000004</v>
      </c>
      <c r="P313" s="144"/>
      <c r="Q313" s="179"/>
      <c r="R313" s="182">
        <v>0.48099999999999998</v>
      </c>
      <c r="S313" s="144"/>
      <c r="T313" s="179"/>
      <c r="U313" s="182">
        <v>0.77200000000000002</v>
      </c>
      <c r="V313" s="144"/>
      <c r="W313" s="179"/>
      <c r="X313" s="182">
        <v>0.34499999999999997</v>
      </c>
      <c r="Y313" s="144"/>
    </row>
    <row r="314" spans="1:25">
      <c r="A314" s="149" t="s">
        <v>175</v>
      </c>
      <c r="B314" s="150" t="s">
        <v>160</v>
      </c>
      <c r="E314" s="179"/>
      <c r="F314" s="168">
        <v>2.02</v>
      </c>
      <c r="G314" s="144"/>
      <c r="H314" s="179"/>
      <c r="I314" s="168">
        <v>0.55000000000000004</v>
      </c>
      <c r="J314" s="144"/>
      <c r="K314" s="179"/>
      <c r="L314" s="168">
        <v>0.23</v>
      </c>
      <c r="M314" s="144"/>
      <c r="N314" s="179"/>
      <c r="O314" s="168">
        <v>0.38</v>
      </c>
      <c r="P314" s="144"/>
      <c r="Q314" s="179"/>
      <c r="R314" s="168">
        <v>0.26</v>
      </c>
      <c r="S314" s="144"/>
      <c r="T314" s="179"/>
      <c r="U314" s="180">
        <v>0.6</v>
      </c>
      <c r="V314" s="144"/>
      <c r="W314" s="179"/>
      <c r="X314" s="180">
        <v>0.31</v>
      </c>
      <c r="Y314" s="144"/>
    </row>
    <row r="315" spans="1:25">
      <c r="A315" s="149" t="s">
        <v>176</v>
      </c>
      <c r="B315" s="150" t="s">
        <v>177</v>
      </c>
      <c r="E315" s="179"/>
      <c r="F315" s="168">
        <v>60.6</v>
      </c>
      <c r="G315" s="144"/>
      <c r="H315" s="179"/>
      <c r="I315" s="168">
        <v>64.599999999999994</v>
      </c>
      <c r="J315" s="144"/>
      <c r="K315" s="179"/>
      <c r="L315" s="168">
        <v>74.5</v>
      </c>
      <c r="M315" s="144"/>
      <c r="N315" s="179"/>
      <c r="O315" s="168">
        <v>41.8</v>
      </c>
      <c r="P315" s="144"/>
      <c r="Q315" s="179"/>
      <c r="R315" s="168">
        <v>59.2</v>
      </c>
      <c r="S315" s="144"/>
      <c r="T315" s="179"/>
      <c r="U315" s="168">
        <v>28.2</v>
      </c>
      <c r="V315" s="144"/>
      <c r="W315" s="179"/>
      <c r="X315" s="168">
        <v>7.94</v>
      </c>
      <c r="Y315" s="144"/>
    </row>
    <row r="316" spans="1:25">
      <c r="A316" s="149" t="s">
        <v>178</v>
      </c>
      <c r="B316" s="150" t="s">
        <v>179</v>
      </c>
      <c r="E316" s="179"/>
      <c r="F316" s="184">
        <v>111.6</v>
      </c>
      <c r="G316" s="144"/>
      <c r="H316" s="179"/>
      <c r="I316" s="184">
        <v>27.8</v>
      </c>
      <c r="J316" s="144"/>
      <c r="K316" s="179"/>
      <c r="L316" s="184">
        <v>-56.2</v>
      </c>
      <c r="M316" s="144"/>
      <c r="N316" s="179"/>
      <c r="O316" s="184">
        <v>-49.9</v>
      </c>
      <c r="P316" s="144"/>
      <c r="Q316" s="179"/>
      <c r="R316" s="184">
        <v>-158.69999999999999</v>
      </c>
      <c r="S316" s="144"/>
      <c r="T316" s="179"/>
      <c r="U316" s="184">
        <v>-29.1</v>
      </c>
      <c r="V316" s="144"/>
      <c r="W316" s="179"/>
      <c r="X316" s="184">
        <v>2.7</v>
      </c>
      <c r="Y316" s="144"/>
    </row>
    <row r="317" spans="1:25">
      <c r="A317" s="149" t="s">
        <v>180</v>
      </c>
      <c r="B317" s="150" t="s">
        <v>181</v>
      </c>
      <c r="E317" s="179"/>
      <c r="F317" s="180">
        <v>2.1</v>
      </c>
      <c r="G317" s="144"/>
      <c r="H317" s="179"/>
      <c r="I317" s="180">
        <v>0.35</v>
      </c>
      <c r="J317" s="144"/>
      <c r="K317" s="179"/>
      <c r="L317" s="180">
        <v>0.24</v>
      </c>
      <c r="M317" s="144"/>
      <c r="N317" s="179"/>
      <c r="O317" s="180">
        <v>0.35</v>
      </c>
      <c r="P317" s="144"/>
      <c r="Q317" s="179"/>
      <c r="R317" s="180">
        <v>0.28000000000000003</v>
      </c>
      <c r="S317" s="144"/>
      <c r="T317" s="179"/>
      <c r="U317" s="180">
        <v>0.42</v>
      </c>
      <c r="V317" s="144"/>
      <c r="W317" s="179"/>
      <c r="X317" s="180">
        <v>0.25</v>
      </c>
      <c r="Y317" s="144"/>
    </row>
    <row r="318" spans="1:25">
      <c r="A318" s="149" t="s">
        <v>166</v>
      </c>
      <c r="B318" s="150" t="s">
        <v>182</v>
      </c>
      <c r="E318" s="179"/>
      <c r="F318" s="168">
        <v>2.5670000000000002</v>
      </c>
      <c r="G318" s="144"/>
      <c r="H318" s="179"/>
      <c r="I318" s="168">
        <v>0.46400000000000002</v>
      </c>
      <c r="J318" s="144"/>
      <c r="K318" s="179"/>
      <c r="L318" s="168">
        <v>0.32100000000000001</v>
      </c>
      <c r="M318" s="144"/>
      <c r="N318" s="179"/>
      <c r="O318" s="168">
        <v>0.45700000000000002</v>
      </c>
      <c r="P318" s="144"/>
      <c r="Q318" s="179"/>
      <c r="R318" s="168">
        <v>0.36799999999999999</v>
      </c>
      <c r="S318" s="144"/>
      <c r="T318" s="179"/>
      <c r="U318" s="168">
        <v>0.55100000000000005</v>
      </c>
      <c r="V318" s="144"/>
      <c r="W318" s="179"/>
      <c r="X318" s="168">
        <v>0.34100000000000003</v>
      </c>
      <c r="Y318" s="144"/>
    </row>
    <row r="319" spans="1:25">
      <c r="A319" s="149" t="s">
        <v>183</v>
      </c>
      <c r="B319" s="150" t="s">
        <v>9</v>
      </c>
      <c r="E319" s="179"/>
      <c r="F319" s="184">
        <v>9</v>
      </c>
      <c r="G319" s="144"/>
      <c r="H319" s="179"/>
      <c r="I319" s="184">
        <v>9</v>
      </c>
      <c r="J319" s="144"/>
      <c r="K319" s="179"/>
      <c r="L319" s="184">
        <v>9</v>
      </c>
      <c r="M319" s="144"/>
      <c r="N319" s="179"/>
      <c r="O319" s="184">
        <v>9</v>
      </c>
      <c r="P319" s="144"/>
      <c r="Q319" s="179"/>
      <c r="R319" s="184">
        <v>7.5</v>
      </c>
      <c r="S319" s="144"/>
      <c r="T319" s="179"/>
      <c r="U319" s="184">
        <v>9</v>
      </c>
      <c r="V319" s="144"/>
      <c r="W319" s="179"/>
      <c r="X319" s="184">
        <v>9</v>
      </c>
      <c r="Y319" s="144"/>
    </row>
    <row r="320" spans="1:25" ht="16.5" customHeight="1">
      <c r="A320" s="172" t="s">
        <v>184</v>
      </c>
      <c r="B320" s="173" t="s">
        <v>185</v>
      </c>
      <c r="E320" s="185"/>
      <c r="F320" s="186">
        <v>300</v>
      </c>
      <c r="G320" s="159"/>
      <c r="H320" s="185"/>
      <c r="I320" s="186">
        <v>300</v>
      </c>
      <c r="J320" s="159"/>
      <c r="K320" s="185"/>
      <c r="L320" s="186">
        <v>300</v>
      </c>
      <c r="M320" s="159"/>
      <c r="N320" s="185"/>
      <c r="O320" s="186">
        <v>300</v>
      </c>
      <c r="P320" s="159"/>
      <c r="Q320" s="185"/>
      <c r="R320" s="186">
        <v>250</v>
      </c>
      <c r="S320" s="159"/>
      <c r="T320" s="185"/>
      <c r="U320" s="186">
        <v>300</v>
      </c>
      <c r="V320" s="159"/>
      <c r="W320" s="185"/>
      <c r="X320" s="186">
        <v>300</v>
      </c>
      <c r="Y320" s="159"/>
    </row>
    <row r="321" spans="1:19">
      <c r="A321" s="129"/>
      <c r="B321" s="130" t="s">
        <v>60</v>
      </c>
      <c r="E321" s="220" t="s">
        <v>204</v>
      </c>
      <c r="F321" s="221"/>
      <c r="G321" s="221"/>
      <c r="H321" s="220" t="s">
        <v>205</v>
      </c>
      <c r="I321" s="221"/>
      <c r="J321" s="221"/>
      <c r="K321" s="220" t="s">
        <v>206</v>
      </c>
      <c r="L321" s="221"/>
      <c r="M321" s="221"/>
      <c r="N321" s="220" t="s">
        <v>207</v>
      </c>
      <c r="O321" s="221"/>
      <c r="P321" s="221"/>
      <c r="Q321" s="220" t="s">
        <v>208</v>
      </c>
      <c r="R321" s="221"/>
      <c r="S321" s="221"/>
    </row>
    <row r="322" spans="1:19">
      <c r="A322" s="131"/>
      <c r="B322" s="132" t="s">
        <v>115</v>
      </c>
      <c r="E322" s="215" t="s">
        <v>50</v>
      </c>
      <c r="F322" s="216"/>
      <c r="G322" s="216"/>
      <c r="H322" s="215" t="s">
        <v>50</v>
      </c>
      <c r="I322" s="216"/>
      <c r="J322" s="216"/>
      <c r="K322" s="215" t="s">
        <v>50</v>
      </c>
      <c r="L322" s="216"/>
      <c r="M322" s="216"/>
      <c r="N322" s="215" t="s">
        <v>50</v>
      </c>
      <c r="O322" s="216"/>
      <c r="P322" s="216"/>
      <c r="Q322" s="215" t="s">
        <v>50</v>
      </c>
      <c r="R322" s="216"/>
      <c r="S322" s="216"/>
    </row>
    <row r="323" spans="1:19">
      <c r="A323" s="131"/>
      <c r="B323" s="132" t="s">
        <v>116</v>
      </c>
      <c r="E323" s="217">
        <v>40864</v>
      </c>
      <c r="F323" s="218"/>
      <c r="G323" s="219"/>
      <c r="H323" s="217">
        <v>40899</v>
      </c>
      <c r="I323" s="218"/>
      <c r="J323" s="219"/>
      <c r="K323" s="217">
        <v>41080</v>
      </c>
      <c r="L323" s="218"/>
      <c r="M323" s="219"/>
      <c r="N323" s="217">
        <v>41172</v>
      </c>
      <c r="O323" s="218"/>
      <c r="P323" s="219"/>
      <c r="Q323" s="217">
        <v>41354</v>
      </c>
      <c r="R323" s="218"/>
      <c r="S323" s="219"/>
    </row>
    <row r="324" spans="1:19">
      <c r="A324" s="131"/>
      <c r="B324" s="132" t="s">
        <v>13</v>
      </c>
      <c r="E324" s="211" t="s">
        <v>236</v>
      </c>
      <c r="F324" s="211"/>
      <c r="G324" s="211"/>
      <c r="H324" s="211" t="s">
        <v>236</v>
      </c>
      <c r="I324" s="211"/>
      <c r="J324" s="211"/>
      <c r="K324" s="211" t="s">
        <v>236</v>
      </c>
      <c r="L324" s="211"/>
      <c r="M324" s="211"/>
      <c r="N324" s="211" t="s">
        <v>236</v>
      </c>
      <c r="O324" s="211"/>
      <c r="P324" s="211"/>
      <c r="Q324" s="211" t="s">
        <v>236</v>
      </c>
      <c r="R324" s="211"/>
      <c r="S324" s="211"/>
    </row>
    <row r="325" spans="1:19">
      <c r="A325" s="131"/>
      <c r="B325" s="132" t="s">
        <v>122</v>
      </c>
      <c r="E325" s="211" t="s">
        <v>123</v>
      </c>
      <c r="F325" s="211"/>
      <c r="G325" s="211"/>
      <c r="H325" s="211" t="s">
        <v>123</v>
      </c>
      <c r="I325" s="211"/>
      <c r="J325" s="211"/>
      <c r="K325" s="211" t="s">
        <v>123</v>
      </c>
      <c r="L325" s="211"/>
      <c r="M325" s="211"/>
      <c r="N325" s="211" t="s">
        <v>123</v>
      </c>
      <c r="O325" s="211"/>
      <c r="P325" s="211"/>
      <c r="Q325" s="211" t="s">
        <v>123</v>
      </c>
      <c r="R325" s="211"/>
      <c r="S325" s="211"/>
    </row>
    <row r="326" spans="1:19">
      <c r="A326" s="131"/>
      <c r="B326" s="132" t="s">
        <v>124</v>
      </c>
      <c r="E326" s="211" t="s">
        <v>242</v>
      </c>
      <c r="F326" s="211"/>
      <c r="G326" s="211"/>
      <c r="H326" s="211" t="s">
        <v>242</v>
      </c>
      <c r="I326" s="211"/>
      <c r="J326" s="211"/>
      <c r="K326" s="211" t="s">
        <v>242</v>
      </c>
      <c r="L326" s="211"/>
      <c r="M326" s="211"/>
      <c r="N326" s="211" t="s">
        <v>242</v>
      </c>
      <c r="O326" s="211"/>
      <c r="P326" s="211"/>
      <c r="Q326" s="211" t="s">
        <v>242</v>
      </c>
      <c r="R326" s="211"/>
      <c r="S326" s="211"/>
    </row>
    <row r="327" spans="1:19">
      <c r="A327" s="131"/>
      <c r="B327" s="132" t="s">
        <v>126</v>
      </c>
      <c r="E327" s="211" t="s">
        <v>128</v>
      </c>
      <c r="F327" s="211"/>
      <c r="G327" s="211"/>
      <c r="H327" s="211" t="s">
        <v>128</v>
      </c>
      <c r="I327" s="211"/>
      <c r="J327" s="211"/>
      <c r="K327" s="211" t="s">
        <v>128</v>
      </c>
      <c r="L327" s="211"/>
      <c r="M327" s="211"/>
      <c r="N327" s="211" t="s">
        <v>128</v>
      </c>
      <c r="O327" s="211"/>
      <c r="P327" s="211"/>
      <c r="Q327" s="211" t="s">
        <v>128</v>
      </c>
      <c r="R327" s="211"/>
      <c r="S327" s="211"/>
    </row>
    <row r="328" spans="1:19">
      <c r="A328" s="131"/>
      <c r="B328" s="132" t="s">
        <v>131</v>
      </c>
      <c r="E328" s="211" t="s">
        <v>132</v>
      </c>
      <c r="F328" s="211"/>
      <c r="G328" s="211"/>
      <c r="H328" s="211" t="s">
        <v>132</v>
      </c>
      <c r="I328" s="211"/>
      <c r="J328" s="211"/>
      <c r="K328" s="211" t="s">
        <v>132</v>
      </c>
      <c r="L328" s="211"/>
      <c r="M328" s="211"/>
      <c r="N328" s="211" t="s">
        <v>132</v>
      </c>
      <c r="O328" s="211"/>
      <c r="P328" s="211"/>
      <c r="Q328" s="211" t="s">
        <v>132</v>
      </c>
      <c r="R328" s="211"/>
      <c r="S328" s="211"/>
    </row>
    <row r="329" spans="1:19" ht="13.5" thickBot="1">
      <c r="A329" s="133" t="s">
        <v>133</v>
      </c>
      <c r="B329" s="134" t="s">
        <v>134</v>
      </c>
      <c r="E329" s="212"/>
      <c r="F329" s="213"/>
      <c r="G329" s="214"/>
      <c r="H329" s="212"/>
      <c r="I329" s="213"/>
      <c r="J329" s="214"/>
      <c r="K329" s="212"/>
      <c r="L329" s="213"/>
      <c r="M329" s="214"/>
      <c r="N329" s="212"/>
      <c r="O329" s="213"/>
      <c r="P329" s="214"/>
      <c r="Q329" s="212"/>
      <c r="R329" s="213"/>
      <c r="S329" s="214"/>
    </row>
    <row r="330" spans="1:19">
      <c r="A330" s="135" t="s">
        <v>135</v>
      </c>
      <c r="B330" s="136"/>
      <c r="E330" s="137"/>
      <c r="F330" s="138"/>
      <c r="G330" s="139"/>
      <c r="H330" s="137"/>
      <c r="I330" s="138"/>
      <c r="J330" s="139"/>
      <c r="K330" s="137"/>
      <c r="L330" s="138"/>
      <c r="M330" s="139"/>
      <c r="N330" s="137"/>
      <c r="O330" s="138"/>
      <c r="P330" s="139"/>
      <c r="Q330" s="137"/>
      <c r="R330" s="138"/>
      <c r="S330" s="139"/>
    </row>
    <row r="331" spans="1:19">
      <c r="A331" s="140" t="s">
        <v>136</v>
      </c>
      <c r="B331" s="141" t="s">
        <v>137</v>
      </c>
      <c r="E331" s="142" t="s">
        <v>138</v>
      </c>
      <c r="F331" s="145">
        <v>5</v>
      </c>
      <c r="G331" s="144"/>
      <c r="H331" s="142" t="s">
        <v>138</v>
      </c>
      <c r="I331" s="145">
        <v>5</v>
      </c>
      <c r="J331" s="144"/>
      <c r="K331" s="142" t="s">
        <v>138</v>
      </c>
      <c r="L331" s="145">
        <v>2</v>
      </c>
      <c r="M331" s="144"/>
      <c r="N331" s="142" t="s">
        <v>138</v>
      </c>
      <c r="O331" s="145">
        <v>2</v>
      </c>
      <c r="P331" s="144"/>
      <c r="Q331" s="142" t="s">
        <v>138</v>
      </c>
      <c r="R331" s="145">
        <v>2</v>
      </c>
      <c r="S331" s="144"/>
    </row>
    <row r="332" spans="1:19">
      <c r="A332" s="149" t="s">
        <v>139</v>
      </c>
      <c r="B332" s="150" t="s">
        <v>140</v>
      </c>
      <c r="E332" s="142" t="s">
        <v>138</v>
      </c>
      <c r="F332" s="145">
        <v>5</v>
      </c>
      <c r="G332" s="144"/>
      <c r="H332" s="142" t="s">
        <v>138</v>
      </c>
      <c r="I332" s="145">
        <v>5</v>
      </c>
      <c r="J332" s="144"/>
      <c r="K332" s="142" t="s">
        <v>138</v>
      </c>
      <c r="L332" s="145">
        <v>2</v>
      </c>
      <c r="M332" s="144"/>
      <c r="N332" s="142" t="s">
        <v>138</v>
      </c>
      <c r="O332" s="145">
        <v>2</v>
      </c>
      <c r="P332" s="144"/>
      <c r="Q332" s="142" t="s">
        <v>138</v>
      </c>
      <c r="R332" s="145">
        <v>2</v>
      </c>
      <c r="S332" s="144"/>
    </row>
    <row r="333" spans="1:19">
      <c r="A333" s="149" t="s">
        <v>141</v>
      </c>
      <c r="B333" s="150" t="s">
        <v>142</v>
      </c>
      <c r="E333" s="142" t="s">
        <v>138</v>
      </c>
      <c r="F333" s="145">
        <v>5</v>
      </c>
      <c r="G333" s="152"/>
      <c r="H333" s="142" t="s">
        <v>138</v>
      </c>
      <c r="I333" s="145">
        <v>5</v>
      </c>
      <c r="J333" s="152"/>
      <c r="K333" s="142" t="s">
        <v>138</v>
      </c>
      <c r="L333" s="145">
        <v>2</v>
      </c>
      <c r="M333" s="152"/>
      <c r="N333" s="142" t="s">
        <v>138</v>
      </c>
      <c r="O333" s="145">
        <v>2</v>
      </c>
      <c r="P333" s="152"/>
      <c r="Q333" s="142" t="s">
        <v>138</v>
      </c>
      <c r="R333" s="145">
        <v>2</v>
      </c>
      <c r="S333" s="152"/>
    </row>
    <row r="334" spans="1:19">
      <c r="A334" s="149" t="s">
        <v>143</v>
      </c>
      <c r="B334" s="150" t="s">
        <v>144</v>
      </c>
      <c r="E334" s="142" t="s">
        <v>138</v>
      </c>
      <c r="F334" s="145">
        <v>5</v>
      </c>
      <c r="G334" s="152"/>
      <c r="H334" s="142" t="s">
        <v>138</v>
      </c>
      <c r="I334" s="145">
        <v>5</v>
      </c>
      <c r="J334" s="152"/>
      <c r="K334" s="142" t="s">
        <v>138</v>
      </c>
      <c r="L334" s="145">
        <v>2</v>
      </c>
      <c r="M334" s="152"/>
      <c r="N334" s="142" t="s">
        <v>138</v>
      </c>
      <c r="O334" s="145">
        <v>2</v>
      </c>
      <c r="P334" s="152"/>
      <c r="Q334" s="142" t="s">
        <v>138</v>
      </c>
      <c r="R334" s="145">
        <v>2</v>
      </c>
      <c r="S334" s="152"/>
    </row>
    <row r="335" spans="1:19">
      <c r="A335" s="149" t="s">
        <v>145</v>
      </c>
      <c r="B335" s="150" t="s">
        <v>146</v>
      </c>
      <c r="E335" s="142" t="s">
        <v>138</v>
      </c>
      <c r="F335" s="145">
        <v>5</v>
      </c>
      <c r="G335" s="144"/>
      <c r="H335" s="142" t="s">
        <v>138</v>
      </c>
      <c r="I335" s="145">
        <v>5</v>
      </c>
      <c r="J335" s="144"/>
      <c r="K335" s="142" t="s">
        <v>138</v>
      </c>
      <c r="L335" s="145">
        <v>2</v>
      </c>
      <c r="M335" s="144"/>
      <c r="N335" s="142" t="s">
        <v>138</v>
      </c>
      <c r="O335" s="145">
        <v>2</v>
      </c>
      <c r="P335" s="144"/>
      <c r="Q335" s="142" t="s">
        <v>138</v>
      </c>
      <c r="R335" s="145">
        <v>2</v>
      </c>
      <c r="S335" s="144"/>
    </row>
    <row r="336" spans="1:19">
      <c r="A336" s="149" t="s">
        <v>147</v>
      </c>
      <c r="B336" s="150" t="s">
        <v>148</v>
      </c>
      <c r="E336" s="142" t="s">
        <v>138</v>
      </c>
      <c r="F336" s="145">
        <v>5</v>
      </c>
      <c r="G336" s="144"/>
      <c r="H336" s="142" t="s">
        <v>138</v>
      </c>
      <c r="I336" s="145">
        <v>5</v>
      </c>
      <c r="J336" s="144"/>
      <c r="K336" s="142" t="s">
        <v>138</v>
      </c>
      <c r="L336" s="145">
        <v>2</v>
      </c>
      <c r="M336" s="144"/>
      <c r="N336" s="142" t="s">
        <v>138</v>
      </c>
      <c r="O336" s="145">
        <v>2</v>
      </c>
      <c r="P336" s="144"/>
      <c r="Q336" s="142" t="s">
        <v>138</v>
      </c>
      <c r="R336" s="145">
        <v>2</v>
      </c>
      <c r="S336" s="144"/>
    </row>
    <row r="337" spans="1:19">
      <c r="A337" s="149" t="s">
        <v>149</v>
      </c>
      <c r="B337" s="150" t="s">
        <v>150</v>
      </c>
      <c r="E337" s="142" t="s">
        <v>138</v>
      </c>
      <c r="F337" s="145">
        <v>5</v>
      </c>
      <c r="G337" s="144"/>
      <c r="H337" s="142" t="s">
        <v>138</v>
      </c>
      <c r="I337" s="145">
        <v>5</v>
      </c>
      <c r="J337" s="144"/>
      <c r="K337" s="142"/>
      <c r="L337" s="145">
        <v>4.5</v>
      </c>
      <c r="M337" s="144"/>
      <c r="N337" s="142"/>
      <c r="O337" s="145">
        <v>6.6</v>
      </c>
      <c r="P337" s="144"/>
      <c r="Q337" s="142"/>
      <c r="R337" s="145">
        <v>3.8</v>
      </c>
      <c r="S337" s="144"/>
    </row>
    <row r="338" spans="1:19">
      <c r="A338" s="155" t="s">
        <v>151</v>
      </c>
      <c r="B338" s="156" t="s">
        <v>152</v>
      </c>
      <c r="E338" s="142" t="s">
        <v>138</v>
      </c>
      <c r="F338" s="145">
        <v>5</v>
      </c>
      <c r="G338" s="144"/>
      <c r="H338" s="142" t="s">
        <v>138</v>
      </c>
      <c r="I338" s="145">
        <v>5</v>
      </c>
      <c r="J338" s="144"/>
      <c r="K338" s="142" t="s">
        <v>138</v>
      </c>
      <c r="L338" s="145">
        <v>2</v>
      </c>
      <c r="M338" s="144"/>
      <c r="N338" s="142" t="s">
        <v>138</v>
      </c>
      <c r="O338" s="145">
        <v>2</v>
      </c>
      <c r="P338" s="144"/>
      <c r="Q338" s="142" t="s">
        <v>138</v>
      </c>
      <c r="R338" s="145">
        <v>2</v>
      </c>
      <c r="S338" s="144"/>
    </row>
    <row r="339" spans="1:19">
      <c r="A339" s="157" t="s">
        <v>153</v>
      </c>
      <c r="B339" s="158" t="s">
        <v>154</v>
      </c>
      <c r="E339" s="160" t="s">
        <v>138</v>
      </c>
      <c r="F339" s="162">
        <v>5</v>
      </c>
      <c r="G339" s="159"/>
      <c r="H339" s="160" t="s">
        <v>138</v>
      </c>
      <c r="I339" s="162">
        <v>5</v>
      </c>
      <c r="J339" s="159"/>
      <c r="K339" s="160" t="s">
        <v>138</v>
      </c>
      <c r="L339" s="162">
        <v>2</v>
      </c>
      <c r="M339" s="159"/>
      <c r="N339" s="160" t="s">
        <v>138</v>
      </c>
      <c r="O339" s="162">
        <v>2</v>
      </c>
      <c r="P339" s="159"/>
      <c r="Q339" s="160" t="s">
        <v>138</v>
      </c>
      <c r="R339" s="162">
        <v>2</v>
      </c>
      <c r="S339" s="159"/>
    </row>
    <row r="340" spans="1:19">
      <c r="A340" s="164" t="s">
        <v>155</v>
      </c>
      <c r="B340" s="165"/>
      <c r="E340" s="142"/>
      <c r="F340" s="168"/>
      <c r="G340" s="144"/>
      <c r="H340" s="142"/>
      <c r="I340" s="168"/>
      <c r="J340" s="144"/>
      <c r="K340" s="142"/>
      <c r="L340" s="168"/>
      <c r="M340" s="144"/>
      <c r="N340" s="142"/>
      <c r="O340" s="168"/>
      <c r="P340" s="144"/>
      <c r="Q340" s="142"/>
      <c r="R340" s="168"/>
      <c r="S340" s="144"/>
    </row>
    <row r="341" spans="1:19">
      <c r="A341" s="149" t="s">
        <v>156</v>
      </c>
      <c r="B341" s="150" t="s">
        <v>157</v>
      </c>
      <c r="E341" s="171"/>
      <c r="F341" s="169" t="s">
        <v>158</v>
      </c>
      <c r="G341" s="144"/>
      <c r="H341" s="171"/>
      <c r="I341" s="169" t="s">
        <v>158</v>
      </c>
      <c r="J341" s="144"/>
      <c r="K341" s="171"/>
      <c r="L341" s="169" t="s">
        <v>158</v>
      </c>
      <c r="M341" s="144"/>
      <c r="N341" s="171"/>
      <c r="O341" s="169" t="s">
        <v>158</v>
      </c>
      <c r="P341" s="144"/>
      <c r="Q341" s="171"/>
      <c r="R341" s="169" t="s">
        <v>158</v>
      </c>
      <c r="S341" s="144"/>
    </row>
    <row r="342" spans="1:19">
      <c r="A342" s="149" t="s">
        <v>159</v>
      </c>
      <c r="B342" s="150" t="s">
        <v>160</v>
      </c>
      <c r="E342" s="171"/>
      <c r="F342" s="169" t="s">
        <v>158</v>
      </c>
      <c r="G342" s="144"/>
      <c r="H342" s="171"/>
      <c r="I342" s="169" t="s">
        <v>158</v>
      </c>
      <c r="J342" s="144"/>
      <c r="K342" s="171"/>
      <c r="L342" s="169" t="s">
        <v>158</v>
      </c>
      <c r="M342" s="144"/>
      <c r="N342" s="171"/>
      <c r="O342" s="169" t="s">
        <v>158</v>
      </c>
      <c r="P342" s="144"/>
      <c r="Q342" s="171"/>
      <c r="R342" s="169" t="s">
        <v>158</v>
      </c>
      <c r="S342" s="144"/>
    </row>
    <row r="343" spans="1:19">
      <c r="A343" s="149" t="s">
        <v>161</v>
      </c>
      <c r="B343" s="150" t="s">
        <v>160</v>
      </c>
      <c r="E343" s="171"/>
      <c r="F343" s="169" t="s">
        <v>158</v>
      </c>
      <c r="G343" s="144"/>
      <c r="H343" s="171"/>
      <c r="I343" s="169" t="s">
        <v>158</v>
      </c>
      <c r="J343" s="144"/>
      <c r="K343" s="171"/>
      <c r="L343" s="169" t="s">
        <v>158</v>
      </c>
      <c r="M343" s="144"/>
      <c r="N343" s="171"/>
      <c r="O343" s="169" t="s">
        <v>158</v>
      </c>
      <c r="P343" s="144"/>
      <c r="Q343" s="171"/>
      <c r="R343" s="169" t="s">
        <v>158</v>
      </c>
      <c r="S343" s="144"/>
    </row>
    <row r="344" spans="1:19">
      <c r="A344" s="149" t="s">
        <v>162</v>
      </c>
      <c r="B344" s="150" t="s">
        <v>160</v>
      </c>
      <c r="E344" s="171"/>
      <c r="F344" s="169" t="s">
        <v>158</v>
      </c>
      <c r="G344" s="144"/>
      <c r="H344" s="171"/>
      <c r="I344" s="169" t="s">
        <v>158</v>
      </c>
      <c r="J344" s="144"/>
      <c r="K344" s="171"/>
      <c r="L344" s="169" t="s">
        <v>158</v>
      </c>
      <c r="M344" s="144"/>
      <c r="N344" s="171"/>
      <c r="O344" s="169" t="s">
        <v>158</v>
      </c>
      <c r="P344" s="144"/>
      <c r="Q344" s="171"/>
      <c r="R344" s="169" t="s">
        <v>158</v>
      </c>
      <c r="S344" s="144"/>
    </row>
    <row r="345" spans="1:19">
      <c r="A345" s="149" t="s">
        <v>163</v>
      </c>
      <c r="B345" s="150" t="s">
        <v>160</v>
      </c>
      <c r="E345" s="171"/>
      <c r="F345" s="169" t="s">
        <v>158</v>
      </c>
      <c r="G345" s="144"/>
      <c r="H345" s="171"/>
      <c r="I345" s="169" t="s">
        <v>158</v>
      </c>
      <c r="J345" s="144"/>
      <c r="K345" s="171"/>
      <c r="L345" s="169" t="s">
        <v>158</v>
      </c>
      <c r="M345" s="144"/>
      <c r="N345" s="171"/>
      <c r="O345" s="169" t="s">
        <v>158</v>
      </c>
      <c r="P345" s="144"/>
      <c r="Q345" s="171"/>
      <c r="R345" s="169" t="s">
        <v>158</v>
      </c>
      <c r="S345" s="144"/>
    </row>
    <row r="346" spans="1:19">
      <c r="A346" s="149" t="s">
        <v>164</v>
      </c>
      <c r="B346" s="150" t="s">
        <v>160</v>
      </c>
      <c r="E346" s="171"/>
      <c r="F346" s="169" t="s">
        <v>158</v>
      </c>
      <c r="G346" s="144"/>
      <c r="H346" s="171"/>
      <c r="I346" s="169" t="s">
        <v>158</v>
      </c>
      <c r="J346" s="144"/>
      <c r="K346" s="171"/>
      <c r="L346" s="169" t="s">
        <v>158</v>
      </c>
      <c r="M346" s="144"/>
      <c r="N346" s="171"/>
      <c r="O346" s="169" t="s">
        <v>158</v>
      </c>
      <c r="P346" s="144"/>
      <c r="Q346" s="171"/>
      <c r="R346" s="169" t="s">
        <v>158</v>
      </c>
      <c r="S346" s="144"/>
    </row>
    <row r="347" spans="1:19">
      <c r="A347" s="149" t="s">
        <v>165</v>
      </c>
      <c r="B347" s="150" t="s">
        <v>160</v>
      </c>
      <c r="E347" s="171"/>
      <c r="F347" s="169" t="s">
        <v>158</v>
      </c>
      <c r="G347" s="144"/>
      <c r="H347" s="171"/>
      <c r="I347" s="169" t="s">
        <v>158</v>
      </c>
      <c r="J347" s="144"/>
      <c r="K347" s="171"/>
      <c r="L347" s="169" t="s">
        <v>158</v>
      </c>
      <c r="M347" s="144"/>
      <c r="N347" s="171"/>
      <c r="O347" s="169" t="s">
        <v>158</v>
      </c>
      <c r="P347" s="144"/>
      <c r="Q347" s="171"/>
      <c r="R347" s="169" t="s">
        <v>158</v>
      </c>
      <c r="S347" s="144"/>
    </row>
    <row r="348" spans="1:19">
      <c r="A348" s="149" t="s">
        <v>166</v>
      </c>
      <c r="B348" s="150" t="s">
        <v>160</v>
      </c>
      <c r="E348" s="171"/>
      <c r="F348" s="169" t="s">
        <v>158</v>
      </c>
      <c r="G348" s="144"/>
      <c r="H348" s="171"/>
      <c r="I348" s="169" t="s">
        <v>158</v>
      </c>
      <c r="J348" s="144"/>
      <c r="K348" s="171"/>
      <c r="L348" s="169" t="s">
        <v>158</v>
      </c>
      <c r="M348" s="144"/>
      <c r="N348" s="171"/>
      <c r="O348" s="169" t="s">
        <v>158</v>
      </c>
      <c r="P348" s="144"/>
      <c r="Q348" s="171"/>
      <c r="R348" s="169" t="s">
        <v>158</v>
      </c>
      <c r="S348" s="144"/>
    </row>
    <row r="349" spans="1:19">
      <c r="A349" s="172" t="s">
        <v>167</v>
      </c>
      <c r="B349" s="173" t="s">
        <v>168</v>
      </c>
      <c r="E349" s="176"/>
      <c r="F349" s="174" t="s">
        <v>158</v>
      </c>
      <c r="G349" s="159"/>
      <c r="H349" s="176"/>
      <c r="I349" s="174" t="s">
        <v>158</v>
      </c>
      <c r="J349" s="159"/>
      <c r="K349" s="176"/>
      <c r="L349" s="174" t="s">
        <v>158</v>
      </c>
      <c r="M349" s="159"/>
      <c r="N349" s="176"/>
      <c r="O349" s="174" t="s">
        <v>158</v>
      </c>
      <c r="P349" s="159"/>
      <c r="Q349" s="176"/>
      <c r="R349" s="174" t="s">
        <v>158</v>
      </c>
      <c r="S349" s="159"/>
    </row>
    <row r="350" spans="1:19">
      <c r="A350" s="177" t="s">
        <v>169</v>
      </c>
      <c r="B350" s="150"/>
      <c r="E350" s="166"/>
      <c r="F350" s="167"/>
      <c r="G350" s="144"/>
      <c r="H350" s="166"/>
      <c r="I350" s="167"/>
      <c r="J350" s="144"/>
      <c r="K350" s="166"/>
      <c r="L350" s="167"/>
      <c r="M350" s="144"/>
      <c r="N350" s="166"/>
      <c r="O350" s="167"/>
      <c r="P350" s="144"/>
      <c r="Q350" s="166"/>
      <c r="R350" s="167"/>
      <c r="S350" s="144"/>
    </row>
    <row r="351" spans="1:19">
      <c r="A351" s="149" t="s">
        <v>167</v>
      </c>
      <c r="B351" s="150" t="s">
        <v>170</v>
      </c>
      <c r="E351" s="179"/>
      <c r="F351" s="180">
        <v>6.9</v>
      </c>
      <c r="G351" s="144"/>
      <c r="H351" s="179"/>
      <c r="I351" s="180">
        <v>6.56</v>
      </c>
      <c r="J351" s="144"/>
      <c r="K351" s="179"/>
      <c r="L351" s="180">
        <v>6.4</v>
      </c>
      <c r="M351" s="144"/>
      <c r="N351" s="179"/>
      <c r="O351" s="180">
        <v>6.37</v>
      </c>
      <c r="P351" s="144"/>
      <c r="Q351" s="179"/>
      <c r="R351" s="168">
        <v>6.33</v>
      </c>
      <c r="S351" s="144"/>
    </row>
    <row r="352" spans="1:19">
      <c r="A352" s="149" t="s">
        <v>171</v>
      </c>
      <c r="B352" s="150" t="s">
        <v>172</v>
      </c>
      <c r="E352" s="179"/>
      <c r="F352" s="180">
        <v>12.9</v>
      </c>
      <c r="G352" s="144"/>
      <c r="H352" s="179"/>
      <c r="I352" s="180">
        <v>9.74</v>
      </c>
      <c r="J352" s="144"/>
      <c r="K352" s="179"/>
      <c r="L352" s="180">
        <v>19.989999999999998</v>
      </c>
      <c r="M352" s="144"/>
      <c r="N352" s="179"/>
      <c r="O352" s="180">
        <v>21.09</v>
      </c>
      <c r="P352" s="144"/>
      <c r="Q352" s="179"/>
      <c r="R352" s="180">
        <v>3.49</v>
      </c>
      <c r="S352" s="144"/>
    </row>
    <row r="353" spans="1:19">
      <c r="A353" s="149" t="s">
        <v>173</v>
      </c>
      <c r="B353" s="150" t="s">
        <v>174</v>
      </c>
      <c r="E353" s="179"/>
      <c r="F353" s="182">
        <v>1.202</v>
      </c>
      <c r="G353" s="144"/>
      <c r="H353" s="179"/>
      <c r="I353" s="182">
        <v>1.3979999999999999</v>
      </c>
      <c r="J353" s="144"/>
      <c r="K353" s="179"/>
      <c r="L353" s="182">
        <v>1.379</v>
      </c>
      <c r="M353" s="144"/>
      <c r="N353" s="179"/>
      <c r="O353" s="182">
        <v>1.653</v>
      </c>
      <c r="P353" s="144"/>
      <c r="Q353" s="179"/>
      <c r="R353" s="180">
        <v>0.64600000000000002</v>
      </c>
      <c r="S353" s="144"/>
    </row>
    <row r="354" spans="1:19">
      <c r="A354" s="149" t="s">
        <v>175</v>
      </c>
      <c r="B354" s="150" t="s">
        <v>160</v>
      </c>
      <c r="E354" s="179"/>
      <c r="F354" s="168">
        <v>0.31</v>
      </c>
      <c r="G354" s="144"/>
      <c r="H354" s="179"/>
      <c r="I354" s="168">
        <v>0.32</v>
      </c>
      <c r="J354" s="144"/>
      <c r="K354" s="179"/>
      <c r="L354" s="168">
        <v>2.0499999999999998</v>
      </c>
      <c r="M354" s="144"/>
      <c r="N354" s="179"/>
      <c r="O354" s="168">
        <v>0.69</v>
      </c>
      <c r="P354" s="144"/>
      <c r="Q354" s="179"/>
      <c r="R354" s="182">
        <v>0.39</v>
      </c>
      <c r="S354" s="144"/>
    </row>
    <row r="355" spans="1:19">
      <c r="A355" s="149" t="s">
        <v>176</v>
      </c>
      <c r="B355" s="150" t="s">
        <v>177</v>
      </c>
      <c r="E355" s="179"/>
      <c r="F355" s="168">
        <v>91.6</v>
      </c>
      <c r="G355" s="144"/>
      <c r="H355" s="179"/>
      <c r="I355" s="168">
        <v>47.6</v>
      </c>
      <c r="J355" s="144"/>
      <c r="K355" s="179"/>
      <c r="L355" s="168">
        <v>44.7</v>
      </c>
      <c r="M355" s="144"/>
      <c r="N355" s="179"/>
      <c r="O355" s="168">
        <v>51.3</v>
      </c>
      <c r="P355" s="144"/>
      <c r="Q355" s="179"/>
      <c r="R355" s="168">
        <v>12.8</v>
      </c>
      <c r="S355" s="144"/>
    </row>
    <row r="356" spans="1:19">
      <c r="A356" s="149" t="s">
        <v>178</v>
      </c>
      <c r="B356" s="150" t="s">
        <v>179</v>
      </c>
      <c r="E356" s="179"/>
      <c r="F356" s="184">
        <v>14.1</v>
      </c>
      <c r="G356" s="144"/>
      <c r="H356" s="179"/>
      <c r="I356" s="184">
        <v>-24.2</v>
      </c>
      <c r="J356" s="144"/>
      <c r="K356" s="179"/>
      <c r="L356" s="184">
        <v>-133.5</v>
      </c>
      <c r="M356" s="144"/>
      <c r="N356" s="179"/>
      <c r="O356" s="184">
        <v>-30.7</v>
      </c>
      <c r="P356" s="144"/>
      <c r="Q356" s="179"/>
      <c r="R356" s="168">
        <v>-30.6</v>
      </c>
      <c r="S356" s="144"/>
    </row>
    <row r="357" spans="1:19">
      <c r="A357" s="149" t="s">
        <v>180</v>
      </c>
      <c r="B357" s="150" t="s">
        <v>181</v>
      </c>
      <c r="E357" s="179"/>
      <c r="F357" s="180">
        <v>0.79</v>
      </c>
      <c r="G357" s="144"/>
      <c r="H357" s="179"/>
      <c r="I357" s="180">
        <v>1.01</v>
      </c>
      <c r="J357" s="144"/>
      <c r="K357" s="179"/>
      <c r="L357" s="180">
        <v>0.77</v>
      </c>
      <c r="M357" s="144"/>
      <c r="N357" s="179"/>
      <c r="O357" s="180">
        <v>0.89</v>
      </c>
      <c r="P357" s="144"/>
      <c r="Q357" s="179"/>
      <c r="R357" s="180">
        <v>0.54</v>
      </c>
      <c r="S357" s="144"/>
    </row>
    <row r="358" spans="1:19">
      <c r="A358" s="149" t="s">
        <v>166</v>
      </c>
      <c r="B358" s="150" t="s">
        <v>182</v>
      </c>
      <c r="E358" s="179"/>
      <c r="F358" s="168">
        <v>1.016</v>
      </c>
      <c r="G358" s="144"/>
      <c r="H358" s="179"/>
      <c r="I358" s="168">
        <v>1.2849999999999999</v>
      </c>
      <c r="J358" s="144"/>
      <c r="K358" s="179"/>
      <c r="L358" s="168">
        <v>0.99099999999999999</v>
      </c>
      <c r="M358" s="144"/>
      <c r="N358" s="179"/>
      <c r="O358" s="168">
        <v>1.1459999999999999</v>
      </c>
      <c r="P358" s="144"/>
      <c r="Q358" s="179"/>
      <c r="R358" s="180">
        <v>0.71299999999999997</v>
      </c>
      <c r="S358" s="144"/>
    </row>
    <row r="359" spans="1:19">
      <c r="A359" s="149" t="s">
        <v>183</v>
      </c>
      <c r="B359" s="150" t="s">
        <v>9</v>
      </c>
      <c r="E359" s="179"/>
      <c r="F359" s="184">
        <v>9</v>
      </c>
      <c r="G359" s="144"/>
      <c r="H359" s="179"/>
      <c r="I359" s="184">
        <v>9</v>
      </c>
      <c r="J359" s="144"/>
      <c r="K359" s="179"/>
      <c r="L359" s="180">
        <v>8.75</v>
      </c>
      <c r="M359" s="144"/>
      <c r="N359" s="179"/>
      <c r="O359" s="180">
        <v>9</v>
      </c>
      <c r="P359" s="144"/>
      <c r="Q359" s="179"/>
      <c r="R359" s="184">
        <v>9</v>
      </c>
      <c r="S359" s="144"/>
    </row>
    <row r="360" spans="1:19" ht="17.25" customHeight="1">
      <c r="A360" s="172" t="s">
        <v>184</v>
      </c>
      <c r="B360" s="173" t="s">
        <v>185</v>
      </c>
      <c r="E360" s="185"/>
      <c r="F360" s="186">
        <v>300</v>
      </c>
      <c r="G360" s="159"/>
      <c r="H360" s="185"/>
      <c r="I360" s="186">
        <v>300</v>
      </c>
      <c r="J360" s="159"/>
      <c r="K360" s="185"/>
      <c r="L360" s="186">
        <v>250</v>
      </c>
      <c r="M360" s="159"/>
      <c r="N360" s="185"/>
      <c r="O360" s="186">
        <v>300</v>
      </c>
      <c r="P360" s="159"/>
      <c r="Q360" s="185"/>
      <c r="R360" s="194">
        <v>300</v>
      </c>
      <c r="S360" s="159"/>
    </row>
    <row r="361" spans="1:19">
      <c r="A361" s="129"/>
      <c r="B361" s="130" t="s">
        <v>60</v>
      </c>
      <c r="E361" s="220" t="s">
        <v>209</v>
      </c>
      <c r="F361" s="221"/>
      <c r="G361" s="221"/>
      <c r="H361" s="220" t="s">
        <v>210</v>
      </c>
      <c r="I361" s="221"/>
      <c r="J361" s="221"/>
      <c r="K361" s="220" t="s">
        <v>211</v>
      </c>
      <c r="L361" s="221"/>
      <c r="M361" s="221"/>
      <c r="N361" s="220" t="s">
        <v>212</v>
      </c>
      <c r="O361" s="221"/>
      <c r="P361" s="221"/>
      <c r="Q361" s="220" t="s">
        <v>213</v>
      </c>
      <c r="R361" s="221"/>
      <c r="S361" s="221"/>
    </row>
    <row r="362" spans="1:19">
      <c r="A362" s="131"/>
      <c r="B362" s="132" t="s">
        <v>115</v>
      </c>
      <c r="E362" s="215" t="s">
        <v>51</v>
      </c>
      <c r="F362" s="216"/>
      <c r="G362" s="216"/>
      <c r="H362" s="215" t="s">
        <v>51</v>
      </c>
      <c r="I362" s="216"/>
      <c r="J362" s="216"/>
      <c r="K362" s="215" t="s">
        <v>51</v>
      </c>
      <c r="L362" s="216"/>
      <c r="M362" s="216"/>
      <c r="N362" s="215" t="s">
        <v>51</v>
      </c>
      <c r="O362" s="216"/>
      <c r="P362" s="216"/>
      <c r="Q362" s="215" t="s">
        <v>51</v>
      </c>
      <c r="R362" s="216"/>
      <c r="S362" s="216"/>
    </row>
    <row r="363" spans="1:19">
      <c r="A363" s="131"/>
      <c r="B363" s="132" t="s">
        <v>116</v>
      </c>
      <c r="E363" s="217">
        <v>40864</v>
      </c>
      <c r="F363" s="218"/>
      <c r="G363" s="219"/>
      <c r="H363" s="217">
        <v>40899</v>
      </c>
      <c r="I363" s="218"/>
      <c r="J363" s="219"/>
      <c r="K363" s="217">
        <v>41080</v>
      </c>
      <c r="L363" s="218"/>
      <c r="M363" s="219"/>
      <c r="N363" s="217">
        <v>41172</v>
      </c>
      <c r="O363" s="218"/>
      <c r="P363" s="219"/>
      <c r="Q363" s="217">
        <v>41354</v>
      </c>
      <c r="R363" s="218"/>
      <c r="S363" s="219"/>
    </row>
    <row r="364" spans="1:19">
      <c r="A364" s="131"/>
      <c r="B364" s="132" t="s">
        <v>13</v>
      </c>
      <c r="E364" s="211" t="s">
        <v>237</v>
      </c>
      <c r="F364" s="211"/>
      <c r="G364" s="211"/>
      <c r="H364" s="211" t="s">
        <v>237</v>
      </c>
      <c r="I364" s="211"/>
      <c r="J364" s="211"/>
      <c r="K364" s="211" t="s">
        <v>237</v>
      </c>
      <c r="L364" s="211"/>
      <c r="M364" s="211"/>
      <c r="N364" s="211" t="s">
        <v>237</v>
      </c>
      <c r="O364" s="211"/>
      <c r="P364" s="211"/>
      <c r="Q364" s="211" t="s">
        <v>237</v>
      </c>
      <c r="R364" s="211"/>
      <c r="S364" s="211"/>
    </row>
    <row r="365" spans="1:19">
      <c r="A365" s="131"/>
      <c r="B365" s="132" t="s">
        <v>122</v>
      </c>
      <c r="E365" s="211" t="s">
        <v>123</v>
      </c>
      <c r="F365" s="211"/>
      <c r="G365" s="211"/>
      <c r="H365" s="211" t="s">
        <v>123</v>
      </c>
      <c r="I365" s="211"/>
      <c r="J365" s="211"/>
      <c r="K365" s="211" t="s">
        <v>123</v>
      </c>
      <c r="L365" s="211"/>
      <c r="M365" s="211"/>
      <c r="N365" s="211" t="s">
        <v>123</v>
      </c>
      <c r="O365" s="211"/>
      <c r="P365" s="211"/>
      <c r="Q365" s="211" t="s">
        <v>123</v>
      </c>
      <c r="R365" s="211"/>
      <c r="S365" s="211"/>
    </row>
    <row r="366" spans="1:19">
      <c r="A366" s="131"/>
      <c r="B366" s="132" t="s">
        <v>124</v>
      </c>
      <c r="E366" s="211" t="s">
        <v>242</v>
      </c>
      <c r="F366" s="211"/>
      <c r="G366" s="211"/>
      <c r="H366" s="211" t="s">
        <v>242</v>
      </c>
      <c r="I366" s="211"/>
      <c r="J366" s="211"/>
      <c r="K366" s="211" t="s">
        <v>242</v>
      </c>
      <c r="L366" s="211"/>
      <c r="M366" s="211"/>
      <c r="N366" s="211" t="s">
        <v>242</v>
      </c>
      <c r="O366" s="211"/>
      <c r="P366" s="211"/>
      <c r="Q366" s="211" t="s">
        <v>242</v>
      </c>
      <c r="R366" s="211"/>
      <c r="S366" s="211"/>
    </row>
    <row r="367" spans="1:19">
      <c r="A367" s="131"/>
      <c r="B367" s="132" t="s">
        <v>126</v>
      </c>
      <c r="E367" s="211" t="s">
        <v>128</v>
      </c>
      <c r="F367" s="211"/>
      <c r="G367" s="211"/>
      <c r="H367" s="211" t="s">
        <v>128</v>
      </c>
      <c r="I367" s="211"/>
      <c r="J367" s="211"/>
      <c r="K367" s="211" t="s">
        <v>128</v>
      </c>
      <c r="L367" s="211"/>
      <c r="M367" s="211"/>
      <c r="N367" s="211" t="s">
        <v>128</v>
      </c>
      <c r="O367" s="211"/>
      <c r="P367" s="211"/>
      <c r="Q367" s="211" t="s">
        <v>128</v>
      </c>
      <c r="R367" s="211"/>
      <c r="S367" s="211"/>
    </row>
    <row r="368" spans="1:19">
      <c r="A368" s="131"/>
      <c r="B368" s="132" t="s">
        <v>131</v>
      </c>
      <c r="E368" s="211" t="s">
        <v>132</v>
      </c>
      <c r="F368" s="211"/>
      <c r="G368" s="211"/>
      <c r="H368" s="211" t="s">
        <v>132</v>
      </c>
      <c r="I368" s="211"/>
      <c r="J368" s="211"/>
      <c r="K368" s="211" t="s">
        <v>132</v>
      </c>
      <c r="L368" s="211"/>
      <c r="M368" s="211"/>
      <c r="N368" s="211" t="s">
        <v>132</v>
      </c>
      <c r="O368" s="211"/>
      <c r="P368" s="211"/>
      <c r="Q368" s="211" t="s">
        <v>132</v>
      </c>
      <c r="R368" s="211"/>
      <c r="S368" s="211"/>
    </row>
    <row r="369" spans="1:19" ht="13.5" thickBot="1">
      <c r="A369" s="133" t="s">
        <v>133</v>
      </c>
      <c r="B369" s="134" t="s">
        <v>134</v>
      </c>
      <c r="E369" s="212"/>
      <c r="F369" s="213"/>
      <c r="G369" s="214"/>
      <c r="H369" s="212"/>
      <c r="I369" s="213"/>
      <c r="J369" s="214"/>
      <c r="K369" s="212"/>
      <c r="L369" s="213"/>
      <c r="M369" s="214"/>
      <c r="N369" s="212"/>
      <c r="O369" s="213"/>
      <c r="P369" s="214"/>
      <c r="Q369" s="212"/>
      <c r="R369" s="213"/>
      <c r="S369" s="214"/>
    </row>
    <row r="370" spans="1:19">
      <c r="A370" s="135" t="s">
        <v>135</v>
      </c>
      <c r="B370" s="136"/>
      <c r="E370" s="137"/>
      <c r="F370" s="138"/>
      <c r="G370" s="139"/>
      <c r="H370" s="137"/>
      <c r="I370" s="138"/>
      <c r="J370" s="139"/>
      <c r="K370" s="137"/>
      <c r="L370" s="138"/>
      <c r="M370" s="139"/>
      <c r="N370" s="137"/>
      <c r="O370" s="138"/>
      <c r="P370" s="139"/>
      <c r="Q370" s="137"/>
      <c r="R370" s="138"/>
      <c r="S370" s="139"/>
    </row>
    <row r="371" spans="1:19">
      <c r="A371" s="140" t="s">
        <v>136</v>
      </c>
      <c r="B371" s="141" t="s">
        <v>137</v>
      </c>
      <c r="E371" s="142" t="s">
        <v>138</v>
      </c>
      <c r="F371" s="145">
        <v>5</v>
      </c>
      <c r="G371" s="144"/>
      <c r="H371" s="142" t="s">
        <v>138</v>
      </c>
      <c r="I371" s="145">
        <v>5</v>
      </c>
      <c r="J371" s="144"/>
      <c r="K371" s="142" t="s">
        <v>138</v>
      </c>
      <c r="L371" s="145">
        <v>2</v>
      </c>
      <c r="M371" s="144"/>
      <c r="N371" s="142" t="s">
        <v>138</v>
      </c>
      <c r="O371" s="145">
        <v>2</v>
      </c>
      <c r="P371" s="144"/>
      <c r="Q371" s="142" t="s">
        <v>138</v>
      </c>
      <c r="R371" s="145">
        <v>2</v>
      </c>
      <c r="S371" s="144"/>
    </row>
    <row r="372" spans="1:19">
      <c r="A372" s="149" t="s">
        <v>139</v>
      </c>
      <c r="B372" s="150" t="s">
        <v>140</v>
      </c>
      <c r="E372" s="142" t="s">
        <v>138</v>
      </c>
      <c r="F372" s="145">
        <v>5</v>
      </c>
      <c r="G372" s="144"/>
      <c r="H372" s="142" t="s">
        <v>138</v>
      </c>
      <c r="I372" s="145">
        <v>5</v>
      </c>
      <c r="J372" s="144"/>
      <c r="K372" s="142" t="s">
        <v>138</v>
      </c>
      <c r="L372" s="145">
        <v>2</v>
      </c>
      <c r="M372" s="144"/>
      <c r="N372" s="142" t="s">
        <v>138</v>
      </c>
      <c r="O372" s="145">
        <v>2</v>
      </c>
      <c r="P372" s="144"/>
      <c r="Q372" s="142" t="s">
        <v>138</v>
      </c>
      <c r="R372" s="145">
        <v>2</v>
      </c>
      <c r="S372" s="144"/>
    </row>
    <row r="373" spans="1:19">
      <c r="A373" s="149" t="s">
        <v>141</v>
      </c>
      <c r="B373" s="150" t="s">
        <v>142</v>
      </c>
      <c r="E373" s="142" t="s">
        <v>138</v>
      </c>
      <c r="F373" s="145">
        <v>5</v>
      </c>
      <c r="G373" s="152"/>
      <c r="H373" s="142" t="s">
        <v>138</v>
      </c>
      <c r="I373" s="145">
        <v>5</v>
      </c>
      <c r="J373" s="152"/>
      <c r="K373" s="142" t="s">
        <v>138</v>
      </c>
      <c r="L373" s="145">
        <v>2</v>
      </c>
      <c r="M373" s="152"/>
      <c r="N373" s="142" t="s">
        <v>138</v>
      </c>
      <c r="O373" s="145">
        <v>2</v>
      </c>
      <c r="P373" s="152"/>
      <c r="Q373" s="142" t="s">
        <v>138</v>
      </c>
      <c r="R373" s="145">
        <v>2</v>
      </c>
      <c r="S373" s="152"/>
    </row>
    <row r="374" spans="1:19">
      <c r="A374" s="149" t="s">
        <v>143</v>
      </c>
      <c r="B374" s="150" t="s">
        <v>144</v>
      </c>
      <c r="E374" s="142" t="s">
        <v>138</v>
      </c>
      <c r="F374" s="145">
        <v>5</v>
      </c>
      <c r="G374" s="152"/>
      <c r="H374" s="142" t="s">
        <v>138</v>
      </c>
      <c r="I374" s="145">
        <v>5</v>
      </c>
      <c r="J374" s="152"/>
      <c r="K374" s="142" t="s">
        <v>138</v>
      </c>
      <c r="L374" s="145">
        <v>2</v>
      </c>
      <c r="M374" s="152"/>
      <c r="N374" s="142" t="s">
        <v>138</v>
      </c>
      <c r="O374" s="145">
        <v>2</v>
      </c>
      <c r="P374" s="152"/>
      <c r="Q374" s="142" t="s">
        <v>138</v>
      </c>
      <c r="R374" s="145">
        <v>2</v>
      </c>
      <c r="S374" s="152"/>
    </row>
    <row r="375" spans="1:19">
      <c r="A375" s="149" t="s">
        <v>145</v>
      </c>
      <c r="B375" s="150" t="s">
        <v>146</v>
      </c>
      <c r="E375" s="142" t="s">
        <v>138</v>
      </c>
      <c r="F375" s="145">
        <v>5</v>
      </c>
      <c r="G375" s="144"/>
      <c r="H375" s="142" t="s">
        <v>138</v>
      </c>
      <c r="I375" s="145">
        <v>5</v>
      </c>
      <c r="J375" s="144"/>
      <c r="K375" s="142" t="s">
        <v>138</v>
      </c>
      <c r="L375" s="145">
        <v>2</v>
      </c>
      <c r="M375" s="144"/>
      <c r="N375" s="142" t="s">
        <v>138</v>
      </c>
      <c r="O375" s="145">
        <v>2</v>
      </c>
      <c r="P375" s="144"/>
      <c r="Q375" s="142" t="s">
        <v>138</v>
      </c>
      <c r="R375" s="145">
        <v>2</v>
      </c>
      <c r="S375" s="144"/>
    </row>
    <row r="376" spans="1:19">
      <c r="A376" s="149" t="s">
        <v>147</v>
      </c>
      <c r="B376" s="150" t="s">
        <v>148</v>
      </c>
      <c r="E376" s="142" t="s">
        <v>138</v>
      </c>
      <c r="F376" s="145">
        <v>5</v>
      </c>
      <c r="G376" s="144"/>
      <c r="H376" s="142" t="s">
        <v>138</v>
      </c>
      <c r="I376" s="145">
        <v>5</v>
      </c>
      <c r="J376" s="144"/>
      <c r="K376" s="142" t="s">
        <v>138</v>
      </c>
      <c r="L376" s="145">
        <v>2</v>
      </c>
      <c r="M376" s="144"/>
      <c r="N376" s="142" t="s">
        <v>138</v>
      </c>
      <c r="O376" s="145">
        <v>2</v>
      </c>
      <c r="P376" s="144"/>
      <c r="Q376" s="142" t="s">
        <v>138</v>
      </c>
      <c r="R376" s="145">
        <v>2</v>
      </c>
      <c r="S376" s="144"/>
    </row>
    <row r="377" spans="1:19">
      <c r="A377" s="149" t="s">
        <v>149</v>
      </c>
      <c r="B377" s="150" t="s">
        <v>150</v>
      </c>
      <c r="E377" s="142"/>
      <c r="F377" s="147">
        <v>38</v>
      </c>
      <c r="G377" s="144"/>
      <c r="H377" s="142"/>
      <c r="I377" s="145">
        <v>9.6</v>
      </c>
      <c r="J377" s="144"/>
      <c r="K377" s="142"/>
      <c r="L377" s="145">
        <v>5.0999999999999996</v>
      </c>
      <c r="M377" s="144"/>
      <c r="N377" s="142"/>
      <c r="O377" s="147">
        <v>36</v>
      </c>
      <c r="P377" s="144"/>
      <c r="Q377" s="142" t="s">
        <v>138</v>
      </c>
      <c r="R377" s="145">
        <v>2</v>
      </c>
      <c r="S377" s="144"/>
    </row>
    <row r="378" spans="1:19">
      <c r="A378" s="155" t="s">
        <v>151</v>
      </c>
      <c r="B378" s="156" t="s">
        <v>152</v>
      </c>
      <c r="E378" s="142" t="s">
        <v>138</v>
      </c>
      <c r="F378" s="145">
        <v>5</v>
      </c>
      <c r="G378" s="144"/>
      <c r="H378" s="142" t="s">
        <v>138</v>
      </c>
      <c r="I378" s="145">
        <v>5</v>
      </c>
      <c r="J378" s="144"/>
      <c r="K378" s="142" t="s">
        <v>138</v>
      </c>
      <c r="L378" s="145">
        <v>2</v>
      </c>
      <c r="M378" s="144"/>
      <c r="N378" s="142" t="s">
        <v>138</v>
      </c>
      <c r="O378" s="145">
        <v>2</v>
      </c>
      <c r="P378" s="144"/>
      <c r="Q378" s="142" t="s">
        <v>138</v>
      </c>
      <c r="R378" s="145">
        <v>2</v>
      </c>
      <c r="S378" s="144"/>
    </row>
    <row r="379" spans="1:19">
      <c r="A379" s="157" t="s">
        <v>153</v>
      </c>
      <c r="B379" s="158" t="s">
        <v>154</v>
      </c>
      <c r="E379" s="160" t="s">
        <v>138</v>
      </c>
      <c r="F379" s="162">
        <v>5</v>
      </c>
      <c r="G379" s="159"/>
      <c r="H379" s="160" t="s">
        <v>138</v>
      </c>
      <c r="I379" s="162">
        <v>5</v>
      </c>
      <c r="J379" s="159"/>
      <c r="K379" s="160" t="s">
        <v>138</v>
      </c>
      <c r="L379" s="162">
        <v>2</v>
      </c>
      <c r="M379" s="159"/>
      <c r="N379" s="160" t="s">
        <v>138</v>
      </c>
      <c r="O379" s="162">
        <v>2</v>
      </c>
      <c r="P379" s="159"/>
      <c r="Q379" s="160" t="s">
        <v>138</v>
      </c>
      <c r="R379" s="162">
        <v>2</v>
      </c>
      <c r="S379" s="159"/>
    </row>
    <row r="380" spans="1:19">
      <c r="A380" s="164" t="s">
        <v>155</v>
      </c>
      <c r="B380" s="165"/>
      <c r="E380" s="142"/>
      <c r="F380" s="168"/>
      <c r="G380" s="144"/>
      <c r="H380" s="142"/>
      <c r="I380" s="168"/>
      <c r="J380" s="144"/>
      <c r="K380" s="142"/>
      <c r="L380" s="168"/>
      <c r="M380" s="144"/>
      <c r="N380" s="142"/>
      <c r="O380" s="168"/>
      <c r="P380" s="144"/>
      <c r="Q380" s="142"/>
      <c r="R380" s="168"/>
      <c r="S380" s="144"/>
    </row>
    <row r="381" spans="1:19">
      <c r="A381" s="149" t="s">
        <v>156</v>
      </c>
      <c r="B381" s="150" t="s">
        <v>157</v>
      </c>
      <c r="E381" s="171"/>
      <c r="F381" s="169" t="s">
        <v>158</v>
      </c>
      <c r="G381" s="144"/>
      <c r="H381" s="171"/>
      <c r="I381" s="169" t="s">
        <v>158</v>
      </c>
      <c r="J381" s="144"/>
      <c r="K381" s="171"/>
      <c r="L381" s="169" t="s">
        <v>158</v>
      </c>
      <c r="M381" s="144"/>
      <c r="N381" s="171"/>
      <c r="O381" s="169" t="s">
        <v>158</v>
      </c>
      <c r="P381" s="144"/>
      <c r="Q381" s="171"/>
      <c r="R381" s="169" t="s">
        <v>158</v>
      </c>
      <c r="S381" s="144"/>
    </row>
    <row r="382" spans="1:19">
      <c r="A382" s="149" t="s">
        <v>159</v>
      </c>
      <c r="B382" s="150" t="s">
        <v>160</v>
      </c>
      <c r="E382" s="171"/>
      <c r="F382" s="169" t="s">
        <v>158</v>
      </c>
      <c r="G382" s="144"/>
      <c r="H382" s="171"/>
      <c r="I382" s="169" t="s">
        <v>158</v>
      </c>
      <c r="J382" s="144"/>
      <c r="K382" s="171"/>
      <c r="L382" s="169" t="s">
        <v>158</v>
      </c>
      <c r="M382" s="144"/>
      <c r="N382" s="171"/>
      <c r="O382" s="169" t="s">
        <v>158</v>
      </c>
      <c r="P382" s="144"/>
      <c r="Q382" s="171"/>
      <c r="R382" s="169" t="s">
        <v>158</v>
      </c>
      <c r="S382" s="144"/>
    </row>
    <row r="383" spans="1:19">
      <c r="A383" s="149" t="s">
        <v>161</v>
      </c>
      <c r="B383" s="150" t="s">
        <v>160</v>
      </c>
      <c r="E383" s="171"/>
      <c r="F383" s="169" t="s">
        <v>158</v>
      </c>
      <c r="G383" s="144"/>
      <c r="H383" s="171"/>
      <c r="I383" s="169" t="s">
        <v>158</v>
      </c>
      <c r="J383" s="144"/>
      <c r="K383" s="171"/>
      <c r="L383" s="169" t="s">
        <v>158</v>
      </c>
      <c r="M383" s="144"/>
      <c r="N383" s="171"/>
      <c r="O383" s="169" t="s">
        <v>158</v>
      </c>
      <c r="P383" s="144"/>
      <c r="Q383" s="171"/>
      <c r="R383" s="169" t="s">
        <v>158</v>
      </c>
      <c r="S383" s="144"/>
    </row>
    <row r="384" spans="1:19">
      <c r="A384" s="149" t="s">
        <v>162</v>
      </c>
      <c r="B384" s="150" t="s">
        <v>160</v>
      </c>
      <c r="E384" s="171"/>
      <c r="F384" s="169" t="s">
        <v>158</v>
      </c>
      <c r="G384" s="144"/>
      <c r="H384" s="171"/>
      <c r="I384" s="169" t="s">
        <v>158</v>
      </c>
      <c r="J384" s="144"/>
      <c r="K384" s="171"/>
      <c r="L384" s="169" t="s">
        <v>158</v>
      </c>
      <c r="M384" s="144"/>
      <c r="N384" s="171"/>
      <c r="O384" s="169" t="s">
        <v>158</v>
      </c>
      <c r="P384" s="144"/>
      <c r="Q384" s="171"/>
      <c r="R384" s="169" t="s">
        <v>158</v>
      </c>
      <c r="S384" s="144"/>
    </row>
    <row r="385" spans="1:19">
      <c r="A385" s="149" t="s">
        <v>163</v>
      </c>
      <c r="B385" s="150" t="s">
        <v>160</v>
      </c>
      <c r="E385" s="171"/>
      <c r="F385" s="169" t="s">
        <v>158</v>
      </c>
      <c r="G385" s="144"/>
      <c r="H385" s="171"/>
      <c r="I385" s="169" t="s">
        <v>158</v>
      </c>
      <c r="J385" s="144"/>
      <c r="K385" s="171"/>
      <c r="L385" s="169" t="s">
        <v>158</v>
      </c>
      <c r="M385" s="144"/>
      <c r="N385" s="171"/>
      <c r="O385" s="169" t="s">
        <v>158</v>
      </c>
      <c r="P385" s="144"/>
      <c r="Q385" s="171"/>
      <c r="R385" s="169" t="s">
        <v>158</v>
      </c>
      <c r="S385" s="144"/>
    </row>
    <row r="386" spans="1:19">
      <c r="A386" s="149" t="s">
        <v>164</v>
      </c>
      <c r="B386" s="150" t="s">
        <v>160</v>
      </c>
      <c r="E386" s="171"/>
      <c r="F386" s="169" t="s">
        <v>158</v>
      </c>
      <c r="G386" s="144"/>
      <c r="H386" s="171"/>
      <c r="I386" s="169" t="s">
        <v>158</v>
      </c>
      <c r="J386" s="144"/>
      <c r="K386" s="171"/>
      <c r="L386" s="169" t="s">
        <v>158</v>
      </c>
      <c r="M386" s="144"/>
      <c r="N386" s="171"/>
      <c r="O386" s="169" t="s">
        <v>158</v>
      </c>
      <c r="P386" s="144"/>
      <c r="Q386" s="171"/>
      <c r="R386" s="169" t="s">
        <v>158</v>
      </c>
      <c r="S386" s="144"/>
    </row>
    <row r="387" spans="1:19">
      <c r="A387" s="149" t="s">
        <v>165</v>
      </c>
      <c r="B387" s="150" t="s">
        <v>160</v>
      </c>
      <c r="E387" s="171"/>
      <c r="F387" s="169" t="s">
        <v>158</v>
      </c>
      <c r="G387" s="144"/>
      <c r="H387" s="171"/>
      <c r="I387" s="169" t="s">
        <v>158</v>
      </c>
      <c r="J387" s="144"/>
      <c r="K387" s="171"/>
      <c r="L387" s="169" t="s">
        <v>158</v>
      </c>
      <c r="M387" s="144"/>
      <c r="N387" s="171"/>
      <c r="O387" s="169" t="s">
        <v>158</v>
      </c>
      <c r="P387" s="144"/>
      <c r="Q387" s="171"/>
      <c r="R387" s="169" t="s">
        <v>158</v>
      </c>
      <c r="S387" s="144"/>
    </row>
    <row r="388" spans="1:19">
      <c r="A388" s="149" t="s">
        <v>166</v>
      </c>
      <c r="B388" s="150" t="s">
        <v>160</v>
      </c>
      <c r="E388" s="171"/>
      <c r="F388" s="169" t="s">
        <v>158</v>
      </c>
      <c r="G388" s="144"/>
      <c r="H388" s="171"/>
      <c r="I388" s="169" t="s">
        <v>158</v>
      </c>
      <c r="J388" s="144"/>
      <c r="K388" s="171"/>
      <c r="L388" s="169" t="s">
        <v>158</v>
      </c>
      <c r="M388" s="144"/>
      <c r="N388" s="171"/>
      <c r="O388" s="169" t="s">
        <v>158</v>
      </c>
      <c r="P388" s="144"/>
      <c r="Q388" s="171"/>
      <c r="R388" s="169" t="s">
        <v>158</v>
      </c>
      <c r="S388" s="144"/>
    </row>
    <row r="389" spans="1:19">
      <c r="A389" s="172" t="s">
        <v>167</v>
      </c>
      <c r="B389" s="173" t="s">
        <v>168</v>
      </c>
      <c r="E389" s="176"/>
      <c r="F389" s="174" t="s">
        <v>158</v>
      </c>
      <c r="G389" s="159"/>
      <c r="H389" s="176"/>
      <c r="I389" s="174" t="s">
        <v>158</v>
      </c>
      <c r="J389" s="159"/>
      <c r="K389" s="176"/>
      <c r="L389" s="174" t="s">
        <v>158</v>
      </c>
      <c r="M389" s="159"/>
      <c r="N389" s="176"/>
      <c r="O389" s="174" t="s">
        <v>158</v>
      </c>
      <c r="P389" s="159"/>
      <c r="Q389" s="176"/>
      <c r="R389" s="174" t="s">
        <v>158</v>
      </c>
      <c r="S389" s="159"/>
    </row>
    <row r="390" spans="1:19">
      <c r="A390" s="177" t="s">
        <v>169</v>
      </c>
      <c r="B390" s="150"/>
      <c r="E390" s="166"/>
      <c r="F390" s="167"/>
      <c r="G390" s="144"/>
      <c r="H390" s="166"/>
      <c r="I390" s="167"/>
      <c r="J390" s="144"/>
      <c r="K390" s="166"/>
      <c r="L390" s="167"/>
      <c r="M390" s="144"/>
      <c r="N390" s="166"/>
      <c r="O390" s="167"/>
      <c r="P390" s="144"/>
      <c r="Q390" s="166"/>
      <c r="R390" s="167"/>
      <c r="S390" s="144"/>
    </row>
    <row r="391" spans="1:19">
      <c r="A391" s="149" t="s">
        <v>167</v>
      </c>
      <c r="B391" s="150" t="s">
        <v>170</v>
      </c>
      <c r="E391" s="179"/>
      <c r="F391" s="180">
        <v>6.92</v>
      </c>
      <c r="G391" s="144"/>
      <c r="H391" s="179"/>
      <c r="I391" s="180">
        <v>6.53</v>
      </c>
      <c r="J391" s="144"/>
      <c r="K391" s="179"/>
      <c r="L391" s="180">
        <v>6.46</v>
      </c>
      <c r="M391" s="144"/>
      <c r="N391" s="179"/>
      <c r="O391" s="180">
        <v>6.12</v>
      </c>
      <c r="P391" s="144"/>
      <c r="Q391" s="179"/>
      <c r="R391" s="180">
        <v>6.17</v>
      </c>
      <c r="S391" s="144"/>
    </row>
    <row r="392" spans="1:19">
      <c r="A392" s="149" t="s">
        <v>171</v>
      </c>
      <c r="B392" s="150" t="s">
        <v>172</v>
      </c>
      <c r="E392" s="179"/>
      <c r="F392" s="180">
        <v>13.99</v>
      </c>
      <c r="G392" s="144"/>
      <c r="H392" s="179"/>
      <c r="I392" s="180">
        <v>11.35</v>
      </c>
      <c r="J392" s="144"/>
      <c r="K392" s="179"/>
      <c r="L392" s="180">
        <v>28.28</v>
      </c>
      <c r="M392" s="144"/>
      <c r="N392" s="179"/>
      <c r="O392" s="180">
        <v>18.510000000000002</v>
      </c>
      <c r="P392" s="144"/>
      <c r="Q392" s="179"/>
      <c r="R392" s="180">
        <v>3.81</v>
      </c>
      <c r="S392" s="144"/>
    </row>
    <row r="393" spans="1:19">
      <c r="A393" s="149" t="s">
        <v>173</v>
      </c>
      <c r="B393" s="150" t="s">
        <v>174</v>
      </c>
      <c r="E393" s="179"/>
      <c r="F393" s="182">
        <v>1.1779999999999999</v>
      </c>
      <c r="G393" s="144"/>
      <c r="H393" s="179"/>
      <c r="I393" s="182">
        <v>1.339</v>
      </c>
      <c r="J393" s="144"/>
      <c r="K393" s="179"/>
      <c r="L393" s="182">
        <v>1.768</v>
      </c>
      <c r="M393" s="144"/>
      <c r="N393" s="179"/>
      <c r="O393" s="182">
        <v>1.397</v>
      </c>
      <c r="P393" s="144"/>
      <c r="Q393" s="179"/>
      <c r="R393" s="182">
        <v>0.65200000000000002</v>
      </c>
      <c r="S393" s="144"/>
    </row>
    <row r="394" spans="1:19">
      <c r="A394" s="149" t="s">
        <v>175</v>
      </c>
      <c r="B394" s="150" t="s">
        <v>160</v>
      </c>
      <c r="E394" s="179"/>
      <c r="F394" s="168">
        <v>0.89</v>
      </c>
      <c r="G394" s="144"/>
      <c r="H394" s="179"/>
      <c r="I394" s="180">
        <v>1.7</v>
      </c>
      <c r="J394" s="144"/>
      <c r="K394" s="179"/>
      <c r="L394" s="180">
        <v>0.56999999999999995</v>
      </c>
      <c r="M394" s="144"/>
      <c r="N394" s="179"/>
      <c r="O394" s="180">
        <v>0.95</v>
      </c>
      <c r="P394" s="144"/>
      <c r="Q394" s="179"/>
      <c r="R394" s="180">
        <v>4.21</v>
      </c>
      <c r="S394" s="144"/>
    </row>
    <row r="395" spans="1:19">
      <c r="A395" s="149" t="s">
        <v>176</v>
      </c>
      <c r="B395" s="150" t="s">
        <v>177</v>
      </c>
      <c r="E395" s="179"/>
      <c r="F395" s="168">
        <v>59.9</v>
      </c>
      <c r="G395" s="144"/>
      <c r="H395" s="179"/>
      <c r="I395" s="168">
        <v>42.6</v>
      </c>
      <c r="J395" s="144"/>
      <c r="K395" s="179"/>
      <c r="L395" s="168">
        <v>19.100000000000001</v>
      </c>
      <c r="M395" s="144"/>
      <c r="N395" s="179"/>
      <c r="O395" s="184">
        <v>60</v>
      </c>
      <c r="P395" s="144"/>
      <c r="Q395" s="179"/>
      <c r="R395" s="184">
        <v>32.700000000000003</v>
      </c>
      <c r="S395" s="144"/>
    </row>
    <row r="396" spans="1:19">
      <c r="A396" s="149" t="s">
        <v>178</v>
      </c>
      <c r="B396" s="150" t="s">
        <v>179</v>
      </c>
      <c r="E396" s="179"/>
      <c r="F396" s="184">
        <v>17.399999999999999</v>
      </c>
      <c r="G396" s="144"/>
      <c r="H396" s="179"/>
      <c r="I396" s="184">
        <v>-24.1</v>
      </c>
      <c r="J396" s="144"/>
      <c r="K396" s="179"/>
      <c r="L396" s="184">
        <v>-105.5</v>
      </c>
      <c r="M396" s="144"/>
      <c r="N396" s="179"/>
      <c r="O396" s="184">
        <v>-42.3</v>
      </c>
      <c r="P396" s="144"/>
      <c r="Q396" s="179"/>
      <c r="R396" s="184">
        <v>-17.2</v>
      </c>
      <c r="S396" s="144"/>
    </row>
    <row r="397" spans="1:19">
      <c r="A397" s="149" t="s">
        <v>180</v>
      </c>
      <c r="B397" s="150" t="s">
        <v>181</v>
      </c>
      <c r="E397" s="179"/>
      <c r="F397" s="180">
        <v>0.75</v>
      </c>
      <c r="G397" s="144"/>
      <c r="H397" s="179"/>
      <c r="I397" s="180">
        <v>0.92</v>
      </c>
      <c r="J397" s="144"/>
      <c r="K397" s="179"/>
      <c r="L397" s="180">
        <v>0.83</v>
      </c>
      <c r="M397" s="144"/>
      <c r="N397" s="179"/>
      <c r="O397" s="180">
        <v>0.81</v>
      </c>
      <c r="P397" s="144"/>
      <c r="Q397" s="179"/>
      <c r="R397" s="180">
        <v>0.54</v>
      </c>
      <c r="S397" s="144"/>
    </row>
    <row r="398" spans="1:19">
      <c r="A398" s="149" t="s">
        <v>166</v>
      </c>
      <c r="B398" s="150" t="s">
        <v>182</v>
      </c>
      <c r="E398" s="179"/>
      <c r="F398" s="168">
        <v>0.96899999999999997</v>
      </c>
      <c r="G398" s="144"/>
      <c r="H398" s="179"/>
      <c r="I398" s="168">
        <v>1.177</v>
      </c>
      <c r="J398" s="144"/>
      <c r="K398" s="179"/>
      <c r="L398" s="168">
        <v>1.081</v>
      </c>
      <c r="M398" s="144"/>
      <c r="N398" s="179"/>
      <c r="O398" s="168">
        <v>1.038</v>
      </c>
      <c r="P398" s="144"/>
      <c r="Q398" s="179"/>
      <c r="R398" s="168">
        <v>0.71299999999999997</v>
      </c>
      <c r="S398" s="144"/>
    </row>
    <row r="399" spans="1:19">
      <c r="A399" s="149" t="s">
        <v>183</v>
      </c>
      <c r="B399" s="150" t="s">
        <v>9</v>
      </c>
      <c r="E399" s="179"/>
      <c r="F399" s="184">
        <v>9</v>
      </c>
      <c r="G399" s="144"/>
      <c r="H399" s="179"/>
      <c r="I399" s="184">
        <v>9</v>
      </c>
      <c r="J399" s="144"/>
      <c r="K399" s="179"/>
      <c r="L399" s="184">
        <v>7.5</v>
      </c>
      <c r="M399" s="144"/>
      <c r="N399" s="179"/>
      <c r="O399" s="184">
        <v>9</v>
      </c>
      <c r="P399" s="144"/>
      <c r="Q399" s="179"/>
      <c r="R399" s="184">
        <v>9</v>
      </c>
      <c r="S399" s="144"/>
    </row>
    <row r="400" spans="1:19" ht="17.25" customHeight="1">
      <c r="A400" s="172" t="s">
        <v>184</v>
      </c>
      <c r="B400" s="173" t="s">
        <v>185</v>
      </c>
      <c r="E400" s="185"/>
      <c r="F400" s="186">
        <v>300</v>
      </c>
      <c r="G400" s="159"/>
      <c r="H400" s="185"/>
      <c r="I400" s="186">
        <v>300</v>
      </c>
      <c r="J400" s="159"/>
      <c r="K400" s="185"/>
      <c r="L400" s="186">
        <v>250</v>
      </c>
      <c r="M400" s="159"/>
      <c r="N400" s="185"/>
      <c r="O400" s="186">
        <v>300</v>
      </c>
      <c r="P400" s="159"/>
      <c r="Q400" s="185"/>
      <c r="R400" s="186">
        <v>300</v>
      </c>
      <c r="S400" s="159"/>
    </row>
    <row r="401" spans="1:19">
      <c r="A401" s="129"/>
      <c r="B401" s="130" t="s">
        <v>60</v>
      </c>
      <c r="E401" s="220" t="s">
        <v>214</v>
      </c>
      <c r="F401" s="221"/>
      <c r="G401" s="221"/>
      <c r="H401" s="220" t="s">
        <v>215</v>
      </c>
      <c r="I401" s="221"/>
      <c r="J401" s="221"/>
      <c r="K401" s="220" t="s">
        <v>216</v>
      </c>
      <c r="L401" s="221"/>
      <c r="M401" s="221"/>
      <c r="N401" s="220" t="s">
        <v>217</v>
      </c>
      <c r="O401" s="221"/>
      <c r="P401" s="221"/>
      <c r="Q401" s="220" t="s">
        <v>218</v>
      </c>
      <c r="R401" s="221"/>
      <c r="S401" s="221"/>
    </row>
    <row r="402" spans="1:19">
      <c r="A402" s="131"/>
      <c r="B402" s="132" t="s">
        <v>115</v>
      </c>
      <c r="E402" s="215" t="s">
        <v>52</v>
      </c>
      <c r="F402" s="216"/>
      <c r="G402" s="216"/>
      <c r="H402" s="215" t="s">
        <v>52</v>
      </c>
      <c r="I402" s="216"/>
      <c r="J402" s="216"/>
      <c r="K402" s="215" t="s">
        <v>52</v>
      </c>
      <c r="L402" s="216"/>
      <c r="M402" s="216"/>
      <c r="N402" s="215" t="s">
        <v>52</v>
      </c>
      <c r="O402" s="216"/>
      <c r="P402" s="216"/>
      <c r="Q402" s="215" t="s">
        <v>52</v>
      </c>
      <c r="R402" s="216"/>
      <c r="S402" s="216"/>
    </row>
    <row r="403" spans="1:19">
      <c r="A403" s="131"/>
      <c r="B403" s="132" t="s">
        <v>116</v>
      </c>
      <c r="E403" s="217">
        <v>40864</v>
      </c>
      <c r="F403" s="218"/>
      <c r="G403" s="219"/>
      <c r="H403" s="217">
        <v>40899</v>
      </c>
      <c r="I403" s="218"/>
      <c r="J403" s="219"/>
      <c r="K403" s="217">
        <v>41080</v>
      </c>
      <c r="L403" s="218"/>
      <c r="M403" s="219"/>
      <c r="N403" s="217">
        <v>41172</v>
      </c>
      <c r="O403" s="218"/>
      <c r="P403" s="219"/>
      <c r="Q403" s="217">
        <v>41354</v>
      </c>
      <c r="R403" s="218"/>
      <c r="S403" s="219"/>
    </row>
    <row r="404" spans="1:19">
      <c r="A404" s="131"/>
      <c r="B404" s="132" t="s">
        <v>13</v>
      </c>
      <c r="E404" s="211" t="s">
        <v>238</v>
      </c>
      <c r="F404" s="211"/>
      <c r="G404" s="211"/>
      <c r="H404" s="211" t="s">
        <v>238</v>
      </c>
      <c r="I404" s="211"/>
      <c r="J404" s="211"/>
      <c r="K404" s="211" t="s">
        <v>238</v>
      </c>
      <c r="L404" s="211"/>
      <c r="M404" s="211"/>
      <c r="N404" s="211" t="s">
        <v>238</v>
      </c>
      <c r="O404" s="211"/>
      <c r="P404" s="211"/>
      <c r="Q404" s="211" t="s">
        <v>238</v>
      </c>
      <c r="R404" s="211"/>
      <c r="S404" s="211"/>
    </row>
    <row r="405" spans="1:19">
      <c r="A405" s="131"/>
      <c r="B405" s="132" t="s">
        <v>122</v>
      </c>
      <c r="E405" s="211" t="s">
        <v>123</v>
      </c>
      <c r="F405" s="211"/>
      <c r="G405" s="211"/>
      <c r="H405" s="211" t="s">
        <v>123</v>
      </c>
      <c r="I405" s="211"/>
      <c r="J405" s="211"/>
      <c r="K405" s="211" t="s">
        <v>123</v>
      </c>
      <c r="L405" s="211"/>
      <c r="M405" s="211"/>
      <c r="N405" s="211" t="s">
        <v>123</v>
      </c>
      <c r="O405" s="211"/>
      <c r="P405" s="211"/>
      <c r="Q405" s="211" t="s">
        <v>123</v>
      </c>
      <c r="R405" s="211"/>
      <c r="S405" s="211"/>
    </row>
    <row r="406" spans="1:19">
      <c r="A406" s="131"/>
      <c r="B406" s="132" t="s">
        <v>124</v>
      </c>
      <c r="E406" s="211" t="s">
        <v>242</v>
      </c>
      <c r="F406" s="211"/>
      <c r="G406" s="211"/>
      <c r="H406" s="211" t="s">
        <v>242</v>
      </c>
      <c r="I406" s="211"/>
      <c r="J406" s="211"/>
      <c r="K406" s="211" t="s">
        <v>242</v>
      </c>
      <c r="L406" s="211"/>
      <c r="M406" s="211"/>
      <c r="N406" s="211" t="s">
        <v>242</v>
      </c>
      <c r="O406" s="211"/>
      <c r="P406" s="211"/>
      <c r="Q406" s="211" t="s">
        <v>242</v>
      </c>
      <c r="R406" s="211"/>
      <c r="S406" s="211"/>
    </row>
    <row r="407" spans="1:19">
      <c r="A407" s="131"/>
      <c r="B407" s="132" t="s">
        <v>126</v>
      </c>
      <c r="E407" s="211" t="s">
        <v>128</v>
      </c>
      <c r="F407" s="211"/>
      <c r="G407" s="211"/>
      <c r="H407" s="211" t="s">
        <v>128</v>
      </c>
      <c r="I407" s="211"/>
      <c r="J407" s="211"/>
      <c r="K407" s="211" t="s">
        <v>128</v>
      </c>
      <c r="L407" s="211"/>
      <c r="M407" s="211"/>
      <c r="N407" s="211" t="s">
        <v>128</v>
      </c>
      <c r="O407" s="211"/>
      <c r="P407" s="211"/>
      <c r="Q407" s="211" t="s">
        <v>128</v>
      </c>
      <c r="R407" s="211"/>
      <c r="S407" s="211"/>
    </row>
    <row r="408" spans="1:19">
      <c r="A408" s="131"/>
      <c r="B408" s="132" t="s">
        <v>131</v>
      </c>
      <c r="E408" s="211" t="s">
        <v>132</v>
      </c>
      <c r="F408" s="211"/>
      <c r="G408" s="211"/>
      <c r="H408" s="211" t="s">
        <v>132</v>
      </c>
      <c r="I408" s="211"/>
      <c r="J408" s="211"/>
      <c r="K408" s="211" t="s">
        <v>132</v>
      </c>
      <c r="L408" s="211"/>
      <c r="M408" s="211"/>
      <c r="N408" s="211" t="s">
        <v>132</v>
      </c>
      <c r="O408" s="211"/>
      <c r="P408" s="211"/>
      <c r="Q408" s="211" t="s">
        <v>132</v>
      </c>
      <c r="R408" s="211"/>
      <c r="S408" s="211"/>
    </row>
    <row r="409" spans="1:19" ht="13.5" thickBot="1">
      <c r="A409" s="133" t="s">
        <v>133</v>
      </c>
      <c r="B409" s="134" t="s">
        <v>134</v>
      </c>
      <c r="E409" s="212"/>
      <c r="F409" s="213"/>
      <c r="G409" s="214"/>
      <c r="H409" s="212"/>
      <c r="I409" s="213"/>
      <c r="J409" s="214"/>
      <c r="K409" s="212"/>
      <c r="L409" s="213"/>
      <c r="M409" s="214"/>
      <c r="N409" s="212"/>
      <c r="O409" s="213"/>
      <c r="P409" s="214"/>
      <c r="Q409" s="212"/>
      <c r="R409" s="213"/>
      <c r="S409" s="214"/>
    </row>
    <row r="410" spans="1:19">
      <c r="A410" s="135" t="s">
        <v>135</v>
      </c>
      <c r="B410" s="136"/>
      <c r="E410" s="137"/>
      <c r="F410" s="138"/>
      <c r="G410" s="139"/>
      <c r="H410" s="137"/>
      <c r="I410" s="138"/>
      <c r="J410" s="139"/>
      <c r="K410" s="137"/>
      <c r="L410" s="138"/>
      <c r="M410" s="139"/>
      <c r="N410" s="137"/>
      <c r="O410" s="138"/>
      <c r="P410" s="139"/>
      <c r="Q410" s="137"/>
      <c r="R410" s="138"/>
      <c r="S410" s="139"/>
    </row>
    <row r="411" spans="1:19">
      <c r="A411" s="140" t="s">
        <v>136</v>
      </c>
      <c r="B411" s="141" t="s">
        <v>137</v>
      </c>
      <c r="E411" s="142" t="s">
        <v>138</v>
      </c>
      <c r="F411" s="145">
        <v>5</v>
      </c>
      <c r="G411" s="144"/>
      <c r="H411" s="142" t="s">
        <v>138</v>
      </c>
      <c r="I411" s="145">
        <v>5</v>
      </c>
      <c r="J411" s="144"/>
      <c r="K411" s="142" t="s">
        <v>138</v>
      </c>
      <c r="L411" s="145">
        <v>2</v>
      </c>
      <c r="M411" s="144"/>
      <c r="N411" s="142" t="s">
        <v>138</v>
      </c>
      <c r="O411" s="145">
        <v>2</v>
      </c>
      <c r="P411" s="144"/>
      <c r="Q411" s="142" t="s">
        <v>138</v>
      </c>
      <c r="R411" s="145">
        <v>2</v>
      </c>
      <c r="S411" s="144"/>
    </row>
    <row r="412" spans="1:19">
      <c r="A412" s="149" t="s">
        <v>139</v>
      </c>
      <c r="B412" s="150" t="s">
        <v>140</v>
      </c>
      <c r="E412" s="142" t="s">
        <v>138</v>
      </c>
      <c r="F412" s="145">
        <v>5</v>
      </c>
      <c r="G412" s="144"/>
      <c r="H412" s="142" t="s">
        <v>138</v>
      </c>
      <c r="I412" s="145">
        <v>5</v>
      </c>
      <c r="J412" s="144"/>
      <c r="K412" s="142" t="s">
        <v>138</v>
      </c>
      <c r="L412" s="145">
        <v>2</v>
      </c>
      <c r="M412" s="144"/>
      <c r="N412" s="142" t="s">
        <v>138</v>
      </c>
      <c r="O412" s="145">
        <v>2</v>
      </c>
      <c r="P412" s="144"/>
      <c r="Q412" s="142" t="s">
        <v>138</v>
      </c>
      <c r="R412" s="145">
        <v>2</v>
      </c>
      <c r="S412" s="144"/>
    </row>
    <row r="413" spans="1:19">
      <c r="A413" s="149" t="s">
        <v>141</v>
      </c>
      <c r="B413" s="150" t="s">
        <v>142</v>
      </c>
      <c r="E413" s="142" t="s">
        <v>138</v>
      </c>
      <c r="F413" s="145">
        <v>5</v>
      </c>
      <c r="G413" s="152"/>
      <c r="H413" s="142" t="s">
        <v>138</v>
      </c>
      <c r="I413" s="145">
        <v>5</v>
      </c>
      <c r="J413" s="152"/>
      <c r="K413" s="142" t="s">
        <v>138</v>
      </c>
      <c r="L413" s="145">
        <v>2</v>
      </c>
      <c r="M413" s="152"/>
      <c r="N413" s="142" t="s">
        <v>138</v>
      </c>
      <c r="O413" s="145">
        <v>2</v>
      </c>
      <c r="P413" s="152"/>
      <c r="Q413" s="142" t="s">
        <v>138</v>
      </c>
      <c r="R413" s="145">
        <v>2</v>
      </c>
      <c r="S413" s="152"/>
    </row>
    <row r="414" spans="1:19">
      <c r="A414" s="149" t="s">
        <v>143</v>
      </c>
      <c r="B414" s="150" t="s">
        <v>144</v>
      </c>
      <c r="E414" s="142" t="s">
        <v>138</v>
      </c>
      <c r="F414" s="145">
        <v>5</v>
      </c>
      <c r="G414" s="152"/>
      <c r="H414" s="142" t="s">
        <v>138</v>
      </c>
      <c r="I414" s="145">
        <v>5</v>
      </c>
      <c r="J414" s="152"/>
      <c r="K414" s="142" t="s">
        <v>138</v>
      </c>
      <c r="L414" s="145">
        <v>2</v>
      </c>
      <c r="M414" s="152"/>
      <c r="N414" s="142" t="s">
        <v>138</v>
      </c>
      <c r="O414" s="145">
        <v>2</v>
      </c>
      <c r="P414" s="152"/>
      <c r="Q414" s="142" t="s">
        <v>138</v>
      </c>
      <c r="R414" s="145">
        <v>2</v>
      </c>
      <c r="S414" s="152"/>
    </row>
    <row r="415" spans="1:19">
      <c r="A415" s="149" t="s">
        <v>145</v>
      </c>
      <c r="B415" s="150" t="s">
        <v>146</v>
      </c>
      <c r="E415" s="142" t="s">
        <v>138</v>
      </c>
      <c r="F415" s="145">
        <v>5</v>
      </c>
      <c r="G415" s="144"/>
      <c r="H415" s="142" t="s">
        <v>138</v>
      </c>
      <c r="I415" s="145">
        <v>5</v>
      </c>
      <c r="J415" s="144"/>
      <c r="K415" s="142" t="s">
        <v>138</v>
      </c>
      <c r="L415" s="145">
        <v>2</v>
      </c>
      <c r="M415" s="144"/>
      <c r="N415" s="142" t="s">
        <v>138</v>
      </c>
      <c r="O415" s="145">
        <v>2</v>
      </c>
      <c r="P415" s="144"/>
      <c r="Q415" s="142" t="s">
        <v>138</v>
      </c>
      <c r="R415" s="145">
        <v>2</v>
      </c>
      <c r="S415" s="144"/>
    </row>
    <row r="416" spans="1:19">
      <c r="A416" s="149" t="s">
        <v>147</v>
      </c>
      <c r="B416" s="150" t="s">
        <v>148</v>
      </c>
      <c r="E416" s="142" t="s">
        <v>138</v>
      </c>
      <c r="F416" s="145">
        <v>5</v>
      </c>
      <c r="G416" s="144"/>
      <c r="H416" s="142" t="s">
        <v>138</v>
      </c>
      <c r="I416" s="145">
        <v>5</v>
      </c>
      <c r="J416" s="144"/>
      <c r="K416" s="142" t="s">
        <v>138</v>
      </c>
      <c r="L416" s="145">
        <v>2</v>
      </c>
      <c r="M416" s="144"/>
      <c r="N416" s="142" t="s">
        <v>138</v>
      </c>
      <c r="O416" s="145">
        <v>2</v>
      </c>
      <c r="P416" s="144"/>
      <c r="Q416" s="142" t="s">
        <v>138</v>
      </c>
      <c r="R416" s="145">
        <v>2</v>
      </c>
      <c r="S416" s="144"/>
    </row>
    <row r="417" spans="1:19">
      <c r="A417" s="149" t="s">
        <v>149</v>
      </c>
      <c r="B417" s="150" t="s">
        <v>150</v>
      </c>
      <c r="E417" s="142"/>
      <c r="F417" s="147">
        <v>14</v>
      </c>
      <c r="G417" s="144"/>
      <c r="H417" s="142"/>
      <c r="I417" s="145">
        <v>7</v>
      </c>
      <c r="J417" s="144"/>
      <c r="K417" s="142"/>
      <c r="L417" s="147">
        <v>16</v>
      </c>
      <c r="M417" s="144"/>
      <c r="N417" s="142"/>
      <c r="O417" s="147">
        <v>34</v>
      </c>
      <c r="P417" s="144"/>
      <c r="Q417" s="142"/>
      <c r="R417" s="145">
        <v>8.4</v>
      </c>
      <c r="S417" s="144"/>
    </row>
    <row r="418" spans="1:19">
      <c r="A418" s="155" t="s">
        <v>151</v>
      </c>
      <c r="B418" s="156" t="s">
        <v>152</v>
      </c>
      <c r="E418" s="142" t="s">
        <v>138</v>
      </c>
      <c r="F418" s="145">
        <v>5</v>
      </c>
      <c r="G418" s="144"/>
      <c r="H418" s="142" t="s">
        <v>138</v>
      </c>
      <c r="I418" s="145">
        <v>5</v>
      </c>
      <c r="J418" s="144"/>
      <c r="K418" s="142" t="s">
        <v>138</v>
      </c>
      <c r="L418" s="145">
        <v>2</v>
      </c>
      <c r="M418" s="144"/>
      <c r="N418" s="142" t="s">
        <v>138</v>
      </c>
      <c r="O418" s="145">
        <v>2</v>
      </c>
      <c r="P418" s="144"/>
      <c r="Q418" s="142" t="s">
        <v>138</v>
      </c>
      <c r="R418" s="145">
        <v>2</v>
      </c>
      <c r="S418" s="144"/>
    </row>
    <row r="419" spans="1:19">
      <c r="A419" s="157" t="s">
        <v>153</v>
      </c>
      <c r="B419" s="158" t="s">
        <v>154</v>
      </c>
      <c r="E419" s="160" t="s">
        <v>138</v>
      </c>
      <c r="F419" s="162">
        <v>5</v>
      </c>
      <c r="G419" s="159"/>
      <c r="H419" s="160" t="s">
        <v>138</v>
      </c>
      <c r="I419" s="162">
        <v>5</v>
      </c>
      <c r="J419" s="159"/>
      <c r="K419" s="160" t="s">
        <v>138</v>
      </c>
      <c r="L419" s="162">
        <v>2</v>
      </c>
      <c r="M419" s="159"/>
      <c r="N419" s="160" t="s">
        <v>138</v>
      </c>
      <c r="O419" s="162">
        <v>2</v>
      </c>
      <c r="P419" s="159"/>
      <c r="Q419" s="160" t="s">
        <v>138</v>
      </c>
      <c r="R419" s="162">
        <v>2</v>
      </c>
      <c r="S419" s="159"/>
    </row>
    <row r="420" spans="1:19">
      <c r="A420" s="164" t="s">
        <v>155</v>
      </c>
      <c r="B420" s="165"/>
      <c r="E420" s="142"/>
      <c r="F420" s="168"/>
      <c r="G420" s="144"/>
      <c r="H420" s="142"/>
      <c r="I420" s="168"/>
      <c r="J420" s="144"/>
      <c r="K420" s="142"/>
      <c r="L420" s="168"/>
      <c r="M420" s="144"/>
      <c r="N420" s="142"/>
      <c r="O420" s="168"/>
      <c r="P420" s="144"/>
      <c r="Q420" s="142"/>
      <c r="R420" s="168"/>
      <c r="S420" s="144"/>
    </row>
    <row r="421" spans="1:19">
      <c r="A421" s="149" t="s">
        <v>156</v>
      </c>
      <c r="B421" s="150" t="s">
        <v>157</v>
      </c>
      <c r="E421" s="171"/>
      <c r="F421" s="169" t="s">
        <v>158</v>
      </c>
      <c r="G421" s="144"/>
      <c r="H421" s="171"/>
      <c r="I421" s="169" t="s">
        <v>158</v>
      </c>
      <c r="J421" s="144"/>
      <c r="K421" s="171"/>
      <c r="L421" s="169" t="s">
        <v>158</v>
      </c>
      <c r="M421" s="144"/>
      <c r="N421" s="171"/>
      <c r="O421" s="169" t="s">
        <v>158</v>
      </c>
      <c r="P421" s="144"/>
      <c r="Q421" s="171"/>
      <c r="R421" s="169" t="s">
        <v>158</v>
      </c>
      <c r="S421" s="144"/>
    </row>
    <row r="422" spans="1:19">
      <c r="A422" s="149" t="s">
        <v>159</v>
      </c>
      <c r="B422" s="150" t="s">
        <v>160</v>
      </c>
      <c r="E422" s="171"/>
      <c r="F422" s="169" t="s">
        <v>158</v>
      </c>
      <c r="G422" s="144"/>
      <c r="H422" s="171"/>
      <c r="I422" s="169" t="s">
        <v>158</v>
      </c>
      <c r="J422" s="144"/>
      <c r="K422" s="171"/>
      <c r="L422" s="169" t="s">
        <v>158</v>
      </c>
      <c r="M422" s="144"/>
      <c r="N422" s="171"/>
      <c r="O422" s="169" t="s">
        <v>158</v>
      </c>
      <c r="P422" s="144"/>
      <c r="Q422" s="171"/>
      <c r="R422" s="169" t="s">
        <v>158</v>
      </c>
      <c r="S422" s="144"/>
    </row>
    <row r="423" spans="1:19">
      <c r="A423" s="149" t="s">
        <v>161</v>
      </c>
      <c r="B423" s="150" t="s">
        <v>160</v>
      </c>
      <c r="E423" s="171"/>
      <c r="F423" s="169" t="s">
        <v>158</v>
      </c>
      <c r="G423" s="144"/>
      <c r="H423" s="171"/>
      <c r="I423" s="169" t="s">
        <v>158</v>
      </c>
      <c r="J423" s="144"/>
      <c r="K423" s="171"/>
      <c r="L423" s="169" t="s">
        <v>158</v>
      </c>
      <c r="M423" s="144"/>
      <c r="N423" s="171"/>
      <c r="O423" s="169" t="s">
        <v>158</v>
      </c>
      <c r="P423" s="144"/>
      <c r="Q423" s="171"/>
      <c r="R423" s="169" t="s">
        <v>158</v>
      </c>
      <c r="S423" s="144"/>
    </row>
    <row r="424" spans="1:19">
      <c r="A424" s="149" t="s">
        <v>162</v>
      </c>
      <c r="B424" s="150" t="s">
        <v>160</v>
      </c>
      <c r="E424" s="171"/>
      <c r="F424" s="169" t="s">
        <v>158</v>
      </c>
      <c r="G424" s="144"/>
      <c r="H424" s="171"/>
      <c r="I424" s="169" t="s">
        <v>158</v>
      </c>
      <c r="J424" s="144"/>
      <c r="K424" s="171"/>
      <c r="L424" s="169" t="s">
        <v>158</v>
      </c>
      <c r="M424" s="144"/>
      <c r="N424" s="171"/>
      <c r="O424" s="169" t="s">
        <v>158</v>
      </c>
      <c r="P424" s="144"/>
      <c r="Q424" s="171"/>
      <c r="R424" s="169" t="s">
        <v>158</v>
      </c>
      <c r="S424" s="144"/>
    </row>
    <row r="425" spans="1:19">
      <c r="A425" s="149" t="s">
        <v>163</v>
      </c>
      <c r="B425" s="150" t="s">
        <v>160</v>
      </c>
      <c r="E425" s="171"/>
      <c r="F425" s="169" t="s">
        <v>158</v>
      </c>
      <c r="G425" s="144"/>
      <c r="H425" s="171"/>
      <c r="I425" s="169" t="s">
        <v>158</v>
      </c>
      <c r="J425" s="144"/>
      <c r="K425" s="171"/>
      <c r="L425" s="169" t="s">
        <v>158</v>
      </c>
      <c r="M425" s="144"/>
      <c r="N425" s="171"/>
      <c r="O425" s="169" t="s">
        <v>158</v>
      </c>
      <c r="P425" s="144"/>
      <c r="Q425" s="171"/>
      <c r="R425" s="169" t="s">
        <v>158</v>
      </c>
      <c r="S425" s="144"/>
    </row>
    <row r="426" spans="1:19">
      <c r="A426" s="149" t="s">
        <v>164</v>
      </c>
      <c r="B426" s="150" t="s">
        <v>160</v>
      </c>
      <c r="E426" s="171"/>
      <c r="F426" s="169" t="s">
        <v>158</v>
      </c>
      <c r="G426" s="144"/>
      <c r="H426" s="171"/>
      <c r="I426" s="169" t="s">
        <v>158</v>
      </c>
      <c r="J426" s="144"/>
      <c r="K426" s="171"/>
      <c r="L426" s="169" t="s">
        <v>158</v>
      </c>
      <c r="M426" s="144"/>
      <c r="N426" s="171"/>
      <c r="O426" s="169" t="s">
        <v>158</v>
      </c>
      <c r="P426" s="144"/>
      <c r="Q426" s="171"/>
      <c r="R426" s="169" t="s">
        <v>158</v>
      </c>
      <c r="S426" s="144"/>
    </row>
    <row r="427" spans="1:19">
      <c r="A427" s="149" t="s">
        <v>165</v>
      </c>
      <c r="B427" s="150" t="s">
        <v>160</v>
      </c>
      <c r="E427" s="171"/>
      <c r="F427" s="169" t="s">
        <v>158</v>
      </c>
      <c r="G427" s="144"/>
      <c r="H427" s="171"/>
      <c r="I427" s="169" t="s">
        <v>158</v>
      </c>
      <c r="J427" s="144"/>
      <c r="K427" s="171"/>
      <c r="L427" s="169" t="s">
        <v>158</v>
      </c>
      <c r="M427" s="144"/>
      <c r="N427" s="171"/>
      <c r="O427" s="169" t="s">
        <v>158</v>
      </c>
      <c r="P427" s="144"/>
      <c r="Q427" s="171"/>
      <c r="R427" s="169" t="s">
        <v>158</v>
      </c>
      <c r="S427" s="144"/>
    </row>
    <row r="428" spans="1:19">
      <c r="A428" s="149" t="s">
        <v>166</v>
      </c>
      <c r="B428" s="150" t="s">
        <v>160</v>
      </c>
      <c r="E428" s="171"/>
      <c r="F428" s="169" t="s">
        <v>158</v>
      </c>
      <c r="G428" s="144"/>
      <c r="H428" s="171"/>
      <c r="I428" s="169" t="s">
        <v>158</v>
      </c>
      <c r="J428" s="144"/>
      <c r="K428" s="171"/>
      <c r="L428" s="169" t="s">
        <v>158</v>
      </c>
      <c r="M428" s="144"/>
      <c r="N428" s="171"/>
      <c r="O428" s="169" t="s">
        <v>158</v>
      </c>
      <c r="P428" s="144"/>
      <c r="Q428" s="171"/>
      <c r="R428" s="169" t="s">
        <v>158</v>
      </c>
      <c r="S428" s="144"/>
    </row>
    <row r="429" spans="1:19">
      <c r="A429" s="172" t="s">
        <v>167</v>
      </c>
      <c r="B429" s="173" t="s">
        <v>168</v>
      </c>
      <c r="E429" s="176"/>
      <c r="F429" s="174" t="s">
        <v>158</v>
      </c>
      <c r="G429" s="159"/>
      <c r="H429" s="176"/>
      <c r="I429" s="174" t="s">
        <v>158</v>
      </c>
      <c r="J429" s="159"/>
      <c r="K429" s="176"/>
      <c r="L429" s="174" t="s">
        <v>158</v>
      </c>
      <c r="M429" s="159"/>
      <c r="N429" s="176"/>
      <c r="O429" s="174" t="s">
        <v>158</v>
      </c>
      <c r="P429" s="159"/>
      <c r="Q429" s="176"/>
      <c r="R429" s="174" t="s">
        <v>158</v>
      </c>
      <c r="S429" s="159"/>
    </row>
    <row r="430" spans="1:19">
      <c r="A430" s="177" t="s">
        <v>169</v>
      </c>
      <c r="B430" s="150"/>
      <c r="E430" s="166"/>
      <c r="F430" s="167"/>
      <c r="G430" s="144"/>
      <c r="H430" s="166"/>
      <c r="I430" s="167"/>
      <c r="J430" s="144"/>
      <c r="K430" s="166"/>
      <c r="L430" s="167"/>
      <c r="M430" s="144"/>
      <c r="N430" s="166"/>
      <c r="O430" s="167"/>
      <c r="P430" s="144"/>
      <c r="Q430" s="166"/>
      <c r="R430" s="167"/>
      <c r="S430" s="144"/>
    </row>
    <row r="431" spans="1:19">
      <c r="A431" s="149" t="s">
        <v>167</v>
      </c>
      <c r="B431" s="150" t="s">
        <v>170</v>
      </c>
      <c r="E431" s="179"/>
      <c r="F431" s="180">
        <v>5.88</v>
      </c>
      <c r="G431" s="144"/>
      <c r="H431" s="179"/>
      <c r="I431" s="180">
        <v>6.65</v>
      </c>
      <c r="J431" s="144"/>
      <c r="K431" s="179"/>
      <c r="L431" s="180">
        <v>6.34</v>
      </c>
      <c r="M431" s="144"/>
      <c r="N431" s="179"/>
      <c r="O431" s="180">
        <v>6.26</v>
      </c>
      <c r="P431" s="144"/>
      <c r="Q431" s="179"/>
      <c r="R431" s="180">
        <v>69.31</v>
      </c>
      <c r="S431" s="144"/>
    </row>
    <row r="432" spans="1:19">
      <c r="A432" s="149" t="s">
        <v>171</v>
      </c>
      <c r="B432" s="150" t="s">
        <v>172</v>
      </c>
      <c r="E432" s="179"/>
      <c r="F432" s="180">
        <v>11.86</v>
      </c>
      <c r="G432" s="144"/>
      <c r="H432" s="179"/>
      <c r="I432" s="180">
        <v>12.48</v>
      </c>
      <c r="J432" s="144"/>
      <c r="K432" s="179"/>
      <c r="L432" s="180">
        <v>22.59</v>
      </c>
      <c r="M432" s="144"/>
      <c r="N432" s="179"/>
      <c r="O432" s="180">
        <v>19.57</v>
      </c>
      <c r="P432" s="144"/>
      <c r="Q432" s="179"/>
      <c r="R432" s="180">
        <v>5.68</v>
      </c>
      <c r="S432" s="144"/>
    </row>
    <row r="433" spans="1:19">
      <c r="A433" s="149" t="s">
        <v>173</v>
      </c>
      <c r="B433" s="150" t="s">
        <v>174</v>
      </c>
      <c r="E433" s="179"/>
      <c r="F433" s="182">
        <v>1.079</v>
      </c>
      <c r="G433" s="144"/>
      <c r="H433" s="179"/>
      <c r="I433" s="182">
        <v>1.444</v>
      </c>
      <c r="J433" s="144"/>
      <c r="K433" s="179"/>
      <c r="L433" s="182">
        <v>1.41</v>
      </c>
      <c r="M433" s="144"/>
      <c r="N433" s="179"/>
      <c r="O433" s="182">
        <v>1.69</v>
      </c>
      <c r="P433" s="144"/>
      <c r="Q433" s="179"/>
      <c r="R433" s="182">
        <v>0.72</v>
      </c>
      <c r="S433" s="144"/>
    </row>
    <row r="434" spans="1:19">
      <c r="A434" s="149" t="s">
        <v>175</v>
      </c>
      <c r="B434" s="150" t="s">
        <v>160</v>
      </c>
      <c r="E434" s="179"/>
      <c r="F434" s="168">
        <v>0.35</v>
      </c>
      <c r="G434" s="144"/>
      <c r="H434" s="179"/>
      <c r="I434" s="168">
        <v>0.66</v>
      </c>
      <c r="J434" s="144"/>
      <c r="K434" s="179"/>
      <c r="L434" s="168">
        <v>0.61</v>
      </c>
      <c r="M434" s="144"/>
      <c r="N434" s="179"/>
      <c r="O434" s="168">
        <v>0.62</v>
      </c>
      <c r="P434" s="144"/>
      <c r="Q434" s="179"/>
      <c r="R434" s="168">
        <v>0.35</v>
      </c>
      <c r="S434" s="144"/>
    </row>
    <row r="435" spans="1:19">
      <c r="A435" s="149" t="s">
        <v>176</v>
      </c>
      <c r="B435" s="150" t="s">
        <v>177</v>
      </c>
      <c r="E435" s="179"/>
      <c r="F435" s="168">
        <v>94.8</v>
      </c>
      <c r="G435" s="144"/>
      <c r="H435" s="179"/>
      <c r="I435" s="168">
        <v>36.200000000000003</v>
      </c>
      <c r="J435" s="144"/>
      <c r="K435" s="179"/>
      <c r="L435" s="168">
        <v>76.2</v>
      </c>
      <c r="M435" s="144"/>
      <c r="N435" s="179"/>
      <c r="O435" s="168">
        <v>42.3</v>
      </c>
      <c r="P435" s="144"/>
      <c r="Q435" s="179"/>
      <c r="R435" s="168">
        <v>64.900000000000006</v>
      </c>
      <c r="S435" s="144"/>
    </row>
    <row r="436" spans="1:19">
      <c r="A436" s="149" t="s">
        <v>178</v>
      </c>
      <c r="B436" s="150" t="s">
        <v>179</v>
      </c>
      <c r="E436" s="179"/>
      <c r="F436" s="184">
        <v>-18</v>
      </c>
      <c r="G436" s="144"/>
      <c r="H436" s="179"/>
      <c r="I436" s="184">
        <v>-31.2</v>
      </c>
      <c r="J436" s="144"/>
      <c r="K436" s="179"/>
      <c r="L436" s="184">
        <v>-156.19999999999999</v>
      </c>
      <c r="M436" s="144"/>
      <c r="N436" s="179"/>
      <c r="O436" s="184">
        <v>-38.700000000000003</v>
      </c>
      <c r="P436" s="144"/>
      <c r="Q436" s="179"/>
      <c r="R436" s="184">
        <v>-1.7</v>
      </c>
      <c r="S436" s="144"/>
    </row>
    <row r="437" spans="1:19">
      <c r="A437" s="149" t="s">
        <v>180</v>
      </c>
      <c r="B437" s="150" t="s">
        <v>181</v>
      </c>
      <c r="E437" s="179"/>
      <c r="F437" s="180">
        <v>0.73</v>
      </c>
      <c r="G437" s="144"/>
      <c r="H437" s="179"/>
      <c r="I437" s="180">
        <v>0.97</v>
      </c>
      <c r="J437" s="144"/>
      <c r="K437" s="179"/>
      <c r="L437" s="180">
        <v>0.74</v>
      </c>
      <c r="M437" s="144"/>
      <c r="N437" s="179"/>
      <c r="O437" s="180">
        <v>0.96</v>
      </c>
      <c r="P437" s="144"/>
      <c r="Q437" s="179"/>
      <c r="R437" s="180">
        <v>0.56999999999999995</v>
      </c>
      <c r="S437" s="144"/>
    </row>
    <row r="438" spans="1:19">
      <c r="A438" s="149" t="s">
        <v>166</v>
      </c>
      <c r="B438" s="150" t="s">
        <v>182</v>
      </c>
      <c r="E438" s="179"/>
      <c r="F438" s="168">
        <v>0.93700000000000006</v>
      </c>
      <c r="G438" s="144"/>
      <c r="H438" s="179"/>
      <c r="I438" s="168">
        <v>1.234</v>
      </c>
      <c r="J438" s="144"/>
      <c r="K438" s="179"/>
      <c r="L438" s="168">
        <v>0.96299999999999997</v>
      </c>
      <c r="M438" s="144"/>
      <c r="N438" s="179"/>
      <c r="O438" s="168">
        <v>1.226</v>
      </c>
      <c r="P438" s="144"/>
      <c r="Q438" s="179"/>
      <c r="R438" s="168">
        <v>0.74199999999999999</v>
      </c>
      <c r="S438" s="144"/>
    </row>
    <row r="439" spans="1:19">
      <c r="A439" s="149" t="s">
        <v>183</v>
      </c>
      <c r="B439" s="150" t="s">
        <v>9</v>
      </c>
      <c r="E439" s="179"/>
      <c r="F439" s="184">
        <v>9</v>
      </c>
      <c r="G439" s="144"/>
      <c r="H439" s="179"/>
      <c r="I439" s="184">
        <v>9</v>
      </c>
      <c r="J439" s="144"/>
      <c r="K439" s="179"/>
      <c r="L439" s="184">
        <v>17.5</v>
      </c>
      <c r="M439" s="144"/>
      <c r="N439" s="179"/>
      <c r="O439" s="184">
        <v>9</v>
      </c>
      <c r="P439" s="144"/>
      <c r="Q439" s="179"/>
      <c r="R439" s="184">
        <v>9</v>
      </c>
      <c r="S439" s="144"/>
    </row>
    <row r="440" spans="1:19" ht="16.5" customHeight="1">
      <c r="A440" s="172" t="s">
        <v>184</v>
      </c>
      <c r="B440" s="173" t="s">
        <v>185</v>
      </c>
      <c r="E440" s="185"/>
      <c r="F440" s="186">
        <v>300</v>
      </c>
      <c r="G440" s="159"/>
      <c r="H440" s="185"/>
      <c r="I440" s="186">
        <v>300</v>
      </c>
      <c r="J440" s="159"/>
      <c r="K440" s="185"/>
      <c r="L440" s="186">
        <v>250</v>
      </c>
      <c r="M440" s="159"/>
      <c r="N440" s="185"/>
      <c r="O440" s="186">
        <v>300</v>
      </c>
      <c r="P440" s="159"/>
      <c r="Q440" s="185"/>
      <c r="R440" s="186">
        <v>300</v>
      </c>
      <c r="S440" s="159"/>
    </row>
    <row r="441" spans="1:19">
      <c r="A441" s="129"/>
      <c r="B441" s="130" t="s">
        <v>60</v>
      </c>
      <c r="E441" s="220" t="s">
        <v>219</v>
      </c>
      <c r="F441" s="221"/>
      <c r="G441" s="221"/>
      <c r="H441" s="220" t="s">
        <v>220</v>
      </c>
      <c r="I441" s="221"/>
      <c r="J441" s="221"/>
      <c r="K441" s="220" t="s">
        <v>221</v>
      </c>
      <c r="L441" s="221"/>
      <c r="M441" s="221"/>
      <c r="N441" s="220" t="s">
        <v>222</v>
      </c>
      <c r="O441" s="221"/>
      <c r="P441" s="221"/>
      <c r="Q441" s="220" t="s">
        <v>223</v>
      </c>
      <c r="R441" s="221"/>
      <c r="S441" s="221"/>
    </row>
    <row r="442" spans="1:19">
      <c r="A442" s="131"/>
      <c r="B442" s="132" t="s">
        <v>115</v>
      </c>
      <c r="E442" s="215" t="s">
        <v>53</v>
      </c>
      <c r="F442" s="216"/>
      <c r="G442" s="216"/>
      <c r="H442" s="215" t="s">
        <v>53</v>
      </c>
      <c r="I442" s="216"/>
      <c r="J442" s="216"/>
      <c r="K442" s="215" t="s">
        <v>53</v>
      </c>
      <c r="L442" s="216"/>
      <c r="M442" s="216"/>
      <c r="N442" s="215" t="s">
        <v>53</v>
      </c>
      <c r="O442" s="216"/>
      <c r="P442" s="216"/>
      <c r="Q442" s="215" t="s">
        <v>53</v>
      </c>
      <c r="R442" s="216"/>
      <c r="S442" s="216"/>
    </row>
    <row r="443" spans="1:19">
      <c r="A443" s="131"/>
      <c r="B443" s="132" t="s">
        <v>116</v>
      </c>
      <c r="E443" s="217">
        <v>40865</v>
      </c>
      <c r="F443" s="218"/>
      <c r="G443" s="219"/>
      <c r="H443" s="217">
        <v>40900</v>
      </c>
      <c r="I443" s="218"/>
      <c r="J443" s="219"/>
      <c r="K443" s="217">
        <v>41081</v>
      </c>
      <c r="L443" s="218"/>
      <c r="M443" s="219"/>
      <c r="N443" s="217">
        <v>41172</v>
      </c>
      <c r="O443" s="218"/>
      <c r="P443" s="219"/>
      <c r="Q443" s="217">
        <v>41355</v>
      </c>
      <c r="R443" s="218"/>
      <c r="S443" s="219"/>
    </row>
    <row r="444" spans="1:19">
      <c r="A444" s="131"/>
      <c r="B444" s="132" t="s">
        <v>13</v>
      </c>
      <c r="E444" s="211" t="s">
        <v>239</v>
      </c>
      <c r="F444" s="211"/>
      <c r="G444" s="211"/>
      <c r="H444" s="211" t="s">
        <v>239</v>
      </c>
      <c r="I444" s="211"/>
      <c r="J444" s="211"/>
      <c r="K444" s="211" t="s">
        <v>239</v>
      </c>
      <c r="L444" s="211"/>
      <c r="M444" s="211"/>
      <c r="N444" s="211" t="s">
        <v>239</v>
      </c>
      <c r="O444" s="211"/>
      <c r="P444" s="211"/>
      <c r="Q444" s="211" t="s">
        <v>239</v>
      </c>
      <c r="R444" s="211"/>
      <c r="S444" s="211"/>
    </row>
    <row r="445" spans="1:19">
      <c r="A445" s="131"/>
      <c r="B445" s="132" t="s">
        <v>122</v>
      </c>
      <c r="E445" s="211" t="s">
        <v>123</v>
      </c>
      <c r="F445" s="211"/>
      <c r="G445" s="211"/>
      <c r="H445" s="211" t="s">
        <v>123</v>
      </c>
      <c r="I445" s="211"/>
      <c r="J445" s="211"/>
      <c r="K445" s="211" t="s">
        <v>123</v>
      </c>
      <c r="L445" s="211"/>
      <c r="M445" s="211"/>
      <c r="N445" s="211" t="s">
        <v>123</v>
      </c>
      <c r="O445" s="211"/>
      <c r="P445" s="211"/>
      <c r="Q445" s="211" t="s">
        <v>123</v>
      </c>
      <c r="R445" s="211"/>
      <c r="S445" s="211"/>
    </row>
    <row r="446" spans="1:19">
      <c r="A446" s="131"/>
      <c r="B446" s="132" t="s">
        <v>124</v>
      </c>
      <c r="E446" s="211" t="s">
        <v>125</v>
      </c>
      <c r="F446" s="211"/>
      <c r="G446" s="211"/>
      <c r="H446" s="211" t="s">
        <v>125</v>
      </c>
      <c r="I446" s="211"/>
      <c r="J446" s="211"/>
      <c r="K446" s="211" t="s">
        <v>125</v>
      </c>
      <c r="L446" s="211"/>
      <c r="M446" s="211"/>
      <c r="N446" s="211" t="s">
        <v>125</v>
      </c>
      <c r="O446" s="211"/>
      <c r="P446" s="211"/>
      <c r="Q446" s="211" t="s">
        <v>125</v>
      </c>
      <c r="R446" s="211"/>
      <c r="S446" s="211"/>
    </row>
    <row r="447" spans="1:19">
      <c r="A447" s="131"/>
      <c r="B447" s="132" t="s">
        <v>126</v>
      </c>
      <c r="E447" s="211" t="s">
        <v>127</v>
      </c>
      <c r="F447" s="211"/>
      <c r="G447" s="211"/>
      <c r="H447" s="211" t="s">
        <v>127</v>
      </c>
      <c r="I447" s="211"/>
      <c r="J447" s="211"/>
      <c r="K447" s="211" t="s">
        <v>127</v>
      </c>
      <c r="L447" s="211"/>
      <c r="M447" s="211"/>
      <c r="N447" s="211" t="s">
        <v>127</v>
      </c>
      <c r="O447" s="211"/>
      <c r="P447" s="211"/>
      <c r="Q447" s="211" t="s">
        <v>127</v>
      </c>
      <c r="R447" s="211"/>
      <c r="S447" s="211"/>
    </row>
    <row r="448" spans="1:19">
      <c r="A448" s="131"/>
      <c r="B448" s="132" t="s">
        <v>131</v>
      </c>
      <c r="E448" s="211" t="s">
        <v>132</v>
      </c>
      <c r="F448" s="211"/>
      <c r="G448" s="211"/>
      <c r="H448" s="211" t="s">
        <v>132</v>
      </c>
      <c r="I448" s="211"/>
      <c r="J448" s="211"/>
      <c r="K448" s="211" t="s">
        <v>132</v>
      </c>
      <c r="L448" s="211"/>
      <c r="M448" s="211"/>
      <c r="N448" s="211" t="s">
        <v>132</v>
      </c>
      <c r="O448" s="211"/>
      <c r="P448" s="211"/>
      <c r="Q448" s="211" t="s">
        <v>132</v>
      </c>
      <c r="R448" s="211"/>
      <c r="S448" s="211"/>
    </row>
    <row r="449" spans="1:19" ht="13.5" thickBot="1">
      <c r="A449" s="133" t="s">
        <v>133</v>
      </c>
      <c r="B449" s="134" t="s">
        <v>134</v>
      </c>
      <c r="E449" s="212"/>
      <c r="F449" s="213"/>
      <c r="G449" s="214"/>
      <c r="H449" s="212"/>
      <c r="I449" s="213"/>
      <c r="J449" s="214"/>
      <c r="K449" s="212"/>
      <c r="L449" s="213"/>
      <c r="M449" s="214"/>
      <c r="N449" s="212"/>
      <c r="O449" s="213"/>
      <c r="P449" s="214"/>
      <c r="Q449" s="212"/>
      <c r="R449" s="213"/>
      <c r="S449" s="214"/>
    </row>
    <row r="450" spans="1:19">
      <c r="A450" s="135" t="s">
        <v>135</v>
      </c>
      <c r="B450" s="136"/>
      <c r="E450" s="137"/>
      <c r="F450" s="138"/>
      <c r="G450" s="139"/>
      <c r="H450" s="137"/>
      <c r="I450" s="138"/>
      <c r="J450" s="139"/>
      <c r="K450" s="137"/>
      <c r="L450" s="138"/>
      <c r="M450" s="139"/>
      <c r="N450" s="137"/>
      <c r="O450" s="138"/>
      <c r="P450" s="139"/>
      <c r="Q450" s="137"/>
      <c r="R450" s="138"/>
      <c r="S450" s="139"/>
    </row>
    <row r="451" spans="1:19">
      <c r="A451" s="140" t="s">
        <v>136</v>
      </c>
      <c r="B451" s="141" t="s">
        <v>137</v>
      </c>
      <c r="E451" s="142"/>
      <c r="F451" s="147">
        <v>29</v>
      </c>
      <c r="G451" s="144"/>
      <c r="H451" s="142"/>
      <c r="I451" s="147">
        <v>42</v>
      </c>
      <c r="J451" s="144"/>
      <c r="K451" s="142"/>
      <c r="L451" s="147">
        <v>25</v>
      </c>
      <c r="M451" s="144"/>
      <c r="N451" s="142"/>
      <c r="O451" s="147">
        <v>16</v>
      </c>
      <c r="P451" s="144"/>
      <c r="Q451" s="142"/>
      <c r="R451" s="147">
        <v>54</v>
      </c>
      <c r="S451" s="144"/>
    </row>
    <row r="452" spans="1:19">
      <c r="A452" s="149" t="s">
        <v>139</v>
      </c>
      <c r="B452" s="150" t="s">
        <v>140</v>
      </c>
      <c r="E452" s="142" t="s">
        <v>138</v>
      </c>
      <c r="F452" s="145">
        <v>5</v>
      </c>
      <c r="G452" s="144"/>
      <c r="H452" s="142" t="s">
        <v>138</v>
      </c>
      <c r="I452" s="145">
        <v>5</v>
      </c>
      <c r="J452" s="144"/>
      <c r="K452" s="142"/>
      <c r="L452" s="145">
        <v>2.6</v>
      </c>
      <c r="M452" s="144"/>
      <c r="N452" s="142"/>
      <c r="O452" s="145">
        <v>2.5</v>
      </c>
      <c r="P452" s="144"/>
      <c r="Q452" s="142"/>
      <c r="R452" s="145">
        <v>3</v>
      </c>
      <c r="S452" s="144"/>
    </row>
    <row r="453" spans="1:19">
      <c r="A453" s="149" t="s">
        <v>141</v>
      </c>
      <c r="B453" s="150" t="s">
        <v>142</v>
      </c>
      <c r="E453" s="142" t="s">
        <v>138</v>
      </c>
      <c r="F453" s="145">
        <v>5</v>
      </c>
      <c r="G453" s="152"/>
      <c r="H453" s="142" t="s">
        <v>138</v>
      </c>
      <c r="I453" s="145">
        <v>5</v>
      </c>
      <c r="J453" s="152"/>
      <c r="K453" s="142"/>
      <c r="L453" s="145">
        <v>2.5</v>
      </c>
      <c r="M453" s="152"/>
      <c r="N453" s="142"/>
      <c r="O453" s="145">
        <v>2.6</v>
      </c>
      <c r="P453" s="152"/>
      <c r="Q453" s="142"/>
      <c r="R453" s="145">
        <v>4.9000000000000004</v>
      </c>
      <c r="S453" s="152"/>
    </row>
    <row r="454" spans="1:19">
      <c r="A454" s="149" t="s">
        <v>143</v>
      </c>
      <c r="B454" s="150" t="s">
        <v>144</v>
      </c>
      <c r="E454" s="142" t="s">
        <v>138</v>
      </c>
      <c r="F454" s="145">
        <v>5</v>
      </c>
      <c r="G454" s="152"/>
      <c r="H454" s="142" t="s">
        <v>138</v>
      </c>
      <c r="I454" s="145">
        <v>5</v>
      </c>
      <c r="J454" s="152"/>
      <c r="K454" s="142"/>
      <c r="L454" s="145">
        <v>2.4</v>
      </c>
      <c r="M454" s="152"/>
      <c r="N454" s="142"/>
      <c r="O454" s="145">
        <v>2.6</v>
      </c>
      <c r="P454" s="152"/>
      <c r="Q454" s="142"/>
      <c r="R454" s="145">
        <v>3.4</v>
      </c>
      <c r="S454" s="152"/>
    </row>
    <row r="455" spans="1:19">
      <c r="A455" s="149" t="s">
        <v>145</v>
      </c>
      <c r="B455" s="150" t="s">
        <v>146</v>
      </c>
      <c r="E455" s="142"/>
      <c r="F455" s="147">
        <v>42</v>
      </c>
      <c r="G455" s="144"/>
      <c r="H455" s="142"/>
      <c r="I455" s="147">
        <v>68</v>
      </c>
      <c r="J455" s="144"/>
      <c r="K455" s="142"/>
      <c r="L455" s="147">
        <v>59</v>
      </c>
      <c r="M455" s="144"/>
      <c r="N455" s="142"/>
      <c r="O455" s="147">
        <v>55</v>
      </c>
      <c r="P455" s="144"/>
      <c r="Q455" s="142"/>
      <c r="R455" s="147">
        <v>79</v>
      </c>
      <c r="S455" s="144"/>
    </row>
    <row r="456" spans="1:19">
      <c r="A456" s="149" t="s">
        <v>147</v>
      </c>
      <c r="B456" s="150" t="s">
        <v>148</v>
      </c>
      <c r="E456" s="142" t="s">
        <v>138</v>
      </c>
      <c r="F456" s="145">
        <v>5</v>
      </c>
      <c r="G456" s="144"/>
      <c r="H456" s="142" t="s">
        <v>138</v>
      </c>
      <c r="I456" s="145">
        <v>5</v>
      </c>
      <c r="J456" s="144"/>
      <c r="K456" s="142" t="s">
        <v>138</v>
      </c>
      <c r="L456" s="145">
        <v>2</v>
      </c>
      <c r="M456" s="144"/>
      <c r="N456" s="142" t="s">
        <v>138</v>
      </c>
      <c r="O456" s="145">
        <v>2</v>
      </c>
      <c r="P456" s="144"/>
      <c r="Q456" s="142" t="s">
        <v>138</v>
      </c>
      <c r="R456" s="145">
        <v>2</v>
      </c>
      <c r="S456" s="144"/>
    </row>
    <row r="457" spans="1:19">
      <c r="A457" s="149" t="s">
        <v>149</v>
      </c>
      <c r="B457" s="150" t="s">
        <v>150</v>
      </c>
      <c r="E457" s="142"/>
      <c r="F457" s="147">
        <v>86</v>
      </c>
      <c r="G457" s="144"/>
      <c r="H457" s="142"/>
      <c r="I457" s="147">
        <v>81</v>
      </c>
      <c r="J457" s="144"/>
      <c r="K457" s="142"/>
      <c r="L457" s="147">
        <v>89</v>
      </c>
      <c r="M457" s="144"/>
      <c r="N457" s="142"/>
      <c r="O457" s="147">
        <v>100</v>
      </c>
      <c r="P457" s="144"/>
      <c r="Q457" s="142"/>
      <c r="R457" s="147">
        <v>62</v>
      </c>
      <c r="S457" s="144"/>
    </row>
    <row r="458" spans="1:19">
      <c r="A458" s="155" t="s">
        <v>151</v>
      </c>
      <c r="B458" s="156" t="s">
        <v>152</v>
      </c>
      <c r="E458" s="142" t="s">
        <v>138</v>
      </c>
      <c r="F458" s="145">
        <v>5</v>
      </c>
      <c r="G458" s="144"/>
      <c r="H458" s="142" t="s">
        <v>138</v>
      </c>
      <c r="I458" s="145">
        <v>5</v>
      </c>
      <c r="J458" s="144"/>
      <c r="K458" s="142" t="s">
        <v>138</v>
      </c>
      <c r="L458" s="145">
        <v>2</v>
      </c>
      <c r="M458" s="144"/>
      <c r="N458" s="142" t="s">
        <v>138</v>
      </c>
      <c r="O458" s="145">
        <v>2</v>
      </c>
      <c r="P458" s="144"/>
      <c r="Q458" s="142" t="s">
        <v>138</v>
      </c>
      <c r="R458" s="145">
        <v>2</v>
      </c>
      <c r="S458" s="144"/>
    </row>
    <row r="459" spans="1:19">
      <c r="A459" s="157" t="s">
        <v>153</v>
      </c>
      <c r="B459" s="158" t="s">
        <v>154</v>
      </c>
      <c r="E459" s="160" t="s">
        <v>138</v>
      </c>
      <c r="F459" s="162">
        <v>5</v>
      </c>
      <c r="G459" s="159"/>
      <c r="H459" s="160" t="s">
        <v>138</v>
      </c>
      <c r="I459" s="162">
        <v>5</v>
      </c>
      <c r="J459" s="159"/>
      <c r="K459" s="160" t="s">
        <v>138</v>
      </c>
      <c r="L459" s="162">
        <v>2</v>
      </c>
      <c r="M459" s="159"/>
      <c r="N459" s="160" t="s">
        <v>138</v>
      </c>
      <c r="O459" s="162">
        <v>2</v>
      </c>
      <c r="P459" s="159"/>
      <c r="Q459" s="160" t="s">
        <v>138</v>
      </c>
      <c r="R459" s="162">
        <v>2</v>
      </c>
      <c r="S459" s="159"/>
    </row>
    <row r="460" spans="1:19">
      <c r="A460" s="164" t="s">
        <v>155</v>
      </c>
      <c r="B460" s="165"/>
      <c r="E460" s="142"/>
      <c r="F460" s="168"/>
      <c r="G460" s="144"/>
      <c r="H460" s="142"/>
      <c r="I460" s="168"/>
      <c r="J460" s="144"/>
      <c r="K460" s="142"/>
      <c r="L460" s="168"/>
      <c r="M460" s="144"/>
      <c r="N460" s="142"/>
      <c r="O460" s="168"/>
      <c r="P460" s="144"/>
      <c r="Q460" s="142"/>
      <c r="R460" s="168"/>
      <c r="S460" s="144"/>
    </row>
    <row r="461" spans="1:19">
      <c r="A461" s="149" t="s">
        <v>156</v>
      </c>
      <c r="B461" s="150" t="s">
        <v>157</v>
      </c>
      <c r="E461" s="171"/>
      <c r="F461" s="169" t="s">
        <v>158</v>
      </c>
      <c r="G461" s="144"/>
      <c r="H461" s="171"/>
      <c r="I461" s="169" t="s">
        <v>158</v>
      </c>
      <c r="J461" s="144"/>
      <c r="K461" s="171"/>
      <c r="L461" s="169" t="s">
        <v>158</v>
      </c>
      <c r="M461" s="144"/>
      <c r="N461" s="171"/>
      <c r="O461" s="169" t="s">
        <v>158</v>
      </c>
      <c r="P461" s="144"/>
      <c r="Q461" s="171"/>
      <c r="R461" s="169" t="s">
        <v>158</v>
      </c>
      <c r="S461" s="144"/>
    </row>
    <row r="462" spans="1:19">
      <c r="A462" s="149" t="s">
        <v>159</v>
      </c>
      <c r="B462" s="150" t="s">
        <v>160</v>
      </c>
      <c r="E462" s="171"/>
      <c r="F462" s="169" t="s">
        <v>158</v>
      </c>
      <c r="G462" s="144"/>
      <c r="H462" s="171"/>
      <c r="I462" s="169" t="s">
        <v>158</v>
      </c>
      <c r="J462" s="144"/>
      <c r="K462" s="171"/>
      <c r="L462" s="169" t="s">
        <v>158</v>
      </c>
      <c r="M462" s="144"/>
      <c r="N462" s="171"/>
      <c r="O462" s="169" t="s">
        <v>158</v>
      </c>
      <c r="P462" s="144"/>
      <c r="Q462" s="171"/>
      <c r="R462" s="169" t="s">
        <v>158</v>
      </c>
      <c r="S462" s="144"/>
    </row>
    <row r="463" spans="1:19">
      <c r="A463" s="149" t="s">
        <v>161</v>
      </c>
      <c r="B463" s="150" t="s">
        <v>160</v>
      </c>
      <c r="E463" s="171"/>
      <c r="F463" s="169" t="s">
        <v>158</v>
      </c>
      <c r="G463" s="144"/>
      <c r="H463" s="171"/>
      <c r="I463" s="169" t="s">
        <v>158</v>
      </c>
      <c r="J463" s="144"/>
      <c r="K463" s="171"/>
      <c r="L463" s="169" t="s">
        <v>158</v>
      </c>
      <c r="M463" s="144"/>
      <c r="N463" s="171"/>
      <c r="O463" s="169" t="s">
        <v>158</v>
      </c>
      <c r="P463" s="144"/>
      <c r="Q463" s="171"/>
      <c r="R463" s="169" t="s">
        <v>158</v>
      </c>
      <c r="S463" s="144"/>
    </row>
    <row r="464" spans="1:19">
      <c r="A464" s="149" t="s">
        <v>162</v>
      </c>
      <c r="B464" s="150" t="s">
        <v>160</v>
      </c>
      <c r="E464" s="171"/>
      <c r="F464" s="169" t="s">
        <v>158</v>
      </c>
      <c r="G464" s="144"/>
      <c r="H464" s="171"/>
      <c r="I464" s="169" t="s">
        <v>158</v>
      </c>
      <c r="J464" s="144"/>
      <c r="K464" s="171"/>
      <c r="L464" s="169" t="s">
        <v>158</v>
      </c>
      <c r="M464" s="144"/>
      <c r="N464" s="171"/>
      <c r="O464" s="169" t="s">
        <v>158</v>
      </c>
      <c r="P464" s="144"/>
      <c r="Q464" s="171"/>
      <c r="R464" s="169" t="s">
        <v>158</v>
      </c>
      <c r="S464" s="144"/>
    </row>
    <row r="465" spans="1:19">
      <c r="A465" s="149" t="s">
        <v>163</v>
      </c>
      <c r="B465" s="150" t="s">
        <v>160</v>
      </c>
      <c r="E465" s="171"/>
      <c r="F465" s="169" t="s">
        <v>158</v>
      </c>
      <c r="G465" s="144"/>
      <c r="H465" s="171"/>
      <c r="I465" s="169" t="s">
        <v>158</v>
      </c>
      <c r="J465" s="144"/>
      <c r="K465" s="171"/>
      <c r="L465" s="169" t="s">
        <v>158</v>
      </c>
      <c r="M465" s="144"/>
      <c r="N465" s="171"/>
      <c r="O465" s="169" t="s">
        <v>158</v>
      </c>
      <c r="P465" s="144"/>
      <c r="Q465" s="171"/>
      <c r="R465" s="169" t="s">
        <v>158</v>
      </c>
      <c r="S465" s="144"/>
    </row>
    <row r="466" spans="1:19">
      <c r="A466" s="149" t="s">
        <v>164</v>
      </c>
      <c r="B466" s="150" t="s">
        <v>160</v>
      </c>
      <c r="E466" s="171"/>
      <c r="F466" s="169" t="s">
        <v>158</v>
      </c>
      <c r="G466" s="144"/>
      <c r="H466" s="171"/>
      <c r="I466" s="169" t="s">
        <v>158</v>
      </c>
      <c r="J466" s="144"/>
      <c r="K466" s="171"/>
      <c r="L466" s="169" t="s">
        <v>158</v>
      </c>
      <c r="M466" s="144"/>
      <c r="N466" s="171"/>
      <c r="O466" s="169" t="s">
        <v>158</v>
      </c>
      <c r="P466" s="144"/>
      <c r="Q466" s="171"/>
      <c r="R466" s="169" t="s">
        <v>158</v>
      </c>
      <c r="S466" s="144"/>
    </row>
    <row r="467" spans="1:19">
      <c r="A467" s="149" t="s">
        <v>165</v>
      </c>
      <c r="B467" s="150" t="s">
        <v>160</v>
      </c>
      <c r="E467" s="171"/>
      <c r="F467" s="169" t="s">
        <v>158</v>
      </c>
      <c r="G467" s="144"/>
      <c r="H467" s="171"/>
      <c r="I467" s="169" t="s">
        <v>158</v>
      </c>
      <c r="J467" s="144"/>
      <c r="K467" s="171"/>
      <c r="L467" s="169" t="s">
        <v>158</v>
      </c>
      <c r="M467" s="144"/>
      <c r="N467" s="171"/>
      <c r="O467" s="169" t="s">
        <v>158</v>
      </c>
      <c r="P467" s="144"/>
      <c r="Q467" s="171"/>
      <c r="R467" s="169" t="s">
        <v>158</v>
      </c>
      <c r="S467" s="144"/>
    </row>
    <row r="468" spans="1:19">
      <c r="A468" s="149" t="s">
        <v>166</v>
      </c>
      <c r="B468" s="150" t="s">
        <v>160</v>
      </c>
      <c r="E468" s="171"/>
      <c r="F468" s="169" t="s">
        <v>158</v>
      </c>
      <c r="G468" s="144"/>
      <c r="H468" s="171"/>
      <c r="I468" s="169" t="s">
        <v>158</v>
      </c>
      <c r="J468" s="144"/>
      <c r="K468" s="171"/>
      <c r="L468" s="169" t="s">
        <v>158</v>
      </c>
      <c r="M468" s="144"/>
      <c r="N468" s="171"/>
      <c r="O468" s="169" t="s">
        <v>158</v>
      </c>
      <c r="P468" s="144"/>
      <c r="Q468" s="171"/>
      <c r="R468" s="169" t="s">
        <v>158</v>
      </c>
      <c r="S468" s="144"/>
    </row>
    <row r="469" spans="1:19">
      <c r="A469" s="172" t="s">
        <v>167</v>
      </c>
      <c r="B469" s="173" t="s">
        <v>168</v>
      </c>
      <c r="E469" s="176"/>
      <c r="F469" s="174" t="s">
        <v>158</v>
      </c>
      <c r="G469" s="159"/>
      <c r="H469" s="176"/>
      <c r="I469" s="174" t="s">
        <v>158</v>
      </c>
      <c r="J469" s="159"/>
      <c r="K469" s="176"/>
      <c r="L469" s="174" t="s">
        <v>158</v>
      </c>
      <c r="M469" s="159"/>
      <c r="N469" s="176"/>
      <c r="O469" s="174" t="s">
        <v>158</v>
      </c>
      <c r="P469" s="159"/>
      <c r="Q469" s="176"/>
      <c r="R469" s="174" t="s">
        <v>158</v>
      </c>
      <c r="S469" s="159"/>
    </row>
    <row r="470" spans="1:19">
      <c r="A470" s="177" t="s">
        <v>169</v>
      </c>
      <c r="B470" s="150"/>
      <c r="E470" s="166"/>
      <c r="F470" s="167"/>
      <c r="G470" s="144"/>
      <c r="H470" s="166"/>
      <c r="I470" s="167"/>
      <c r="J470" s="144"/>
      <c r="K470" s="166"/>
      <c r="L470" s="167"/>
      <c r="M470" s="144"/>
      <c r="N470" s="166"/>
      <c r="O470" s="167"/>
      <c r="P470" s="144"/>
      <c r="Q470" s="166"/>
      <c r="R470" s="167"/>
      <c r="S470" s="144"/>
    </row>
    <row r="471" spans="1:19">
      <c r="A471" s="149" t="s">
        <v>167</v>
      </c>
      <c r="B471" s="150" t="s">
        <v>170</v>
      </c>
      <c r="E471" s="179"/>
      <c r="F471" s="180">
        <v>7.22</v>
      </c>
      <c r="G471" s="144"/>
      <c r="H471" s="179"/>
      <c r="I471" s="180">
        <v>7.01</v>
      </c>
      <c r="J471" s="144"/>
      <c r="K471" s="179"/>
      <c r="L471" s="180">
        <v>6.65</v>
      </c>
      <c r="M471" s="144"/>
      <c r="N471" s="179"/>
      <c r="O471" s="180">
        <v>6.66</v>
      </c>
      <c r="P471" s="144"/>
      <c r="Q471" s="179"/>
      <c r="R471" s="180">
        <v>6.82</v>
      </c>
      <c r="S471" s="144"/>
    </row>
    <row r="472" spans="1:19">
      <c r="A472" s="149" t="s">
        <v>171</v>
      </c>
      <c r="B472" s="150" t="s">
        <v>172</v>
      </c>
      <c r="E472" s="179"/>
      <c r="F472" s="180">
        <v>16.190000000000001</v>
      </c>
      <c r="G472" s="144"/>
      <c r="H472" s="179"/>
      <c r="I472" s="180">
        <v>10.39</v>
      </c>
      <c r="J472" s="144"/>
      <c r="K472" s="179"/>
      <c r="L472" s="180">
        <v>20.43</v>
      </c>
      <c r="M472" s="144"/>
      <c r="N472" s="179"/>
      <c r="O472" s="180">
        <v>22.65</v>
      </c>
      <c r="P472" s="144"/>
      <c r="Q472" s="179"/>
      <c r="R472" s="180">
        <v>5.19</v>
      </c>
      <c r="S472" s="144"/>
    </row>
    <row r="473" spans="1:19">
      <c r="A473" s="149" t="s">
        <v>173</v>
      </c>
      <c r="B473" s="150" t="s">
        <v>174</v>
      </c>
      <c r="E473" s="179"/>
      <c r="F473" s="182">
        <v>0.74299999999999999</v>
      </c>
      <c r="G473" s="144"/>
      <c r="H473" s="179"/>
      <c r="I473" s="182">
        <v>0.92900000000000005</v>
      </c>
      <c r="J473" s="144"/>
      <c r="K473" s="179"/>
      <c r="L473" s="182">
        <v>0.84499999999999997</v>
      </c>
      <c r="M473" s="144"/>
      <c r="N473" s="179"/>
      <c r="O473" s="182">
        <v>1.1299999999999999</v>
      </c>
      <c r="P473" s="144"/>
      <c r="Q473" s="179"/>
      <c r="R473" s="182">
        <v>0.48799999999999999</v>
      </c>
      <c r="S473" s="144"/>
    </row>
    <row r="474" spans="1:19">
      <c r="A474" s="149" t="s">
        <v>175</v>
      </c>
      <c r="B474" s="150" t="s">
        <v>160</v>
      </c>
      <c r="E474" s="179"/>
      <c r="F474" s="168">
        <v>0.18</v>
      </c>
      <c r="G474" s="144"/>
      <c r="H474" s="179"/>
      <c r="I474" s="168">
        <v>0.28000000000000003</v>
      </c>
      <c r="J474" s="144"/>
      <c r="K474" s="179"/>
      <c r="L474" s="168">
        <v>0.22</v>
      </c>
      <c r="M474" s="144"/>
      <c r="N474" s="179"/>
      <c r="O474" s="168">
        <v>0.65</v>
      </c>
      <c r="P474" s="144"/>
      <c r="Q474" s="179"/>
      <c r="R474" s="168">
        <v>0.31</v>
      </c>
      <c r="S474" s="144"/>
    </row>
    <row r="475" spans="1:19">
      <c r="A475" s="149" t="s">
        <v>176</v>
      </c>
      <c r="B475" s="150" t="s">
        <v>177</v>
      </c>
      <c r="E475" s="179"/>
      <c r="F475" s="168">
        <v>42.5</v>
      </c>
      <c r="G475" s="144"/>
      <c r="H475" s="179"/>
      <c r="I475" s="168">
        <v>36.5</v>
      </c>
      <c r="J475" s="144"/>
      <c r="K475" s="179"/>
      <c r="L475" s="168">
        <v>5.43</v>
      </c>
      <c r="M475" s="144"/>
      <c r="N475" s="179"/>
      <c r="O475" s="168">
        <v>27.6</v>
      </c>
      <c r="P475" s="144"/>
      <c r="Q475" s="179"/>
      <c r="R475" s="168">
        <v>35.200000000000003</v>
      </c>
      <c r="S475" s="144"/>
    </row>
    <row r="476" spans="1:19">
      <c r="A476" s="149" t="s">
        <v>178</v>
      </c>
      <c r="B476" s="150" t="s">
        <v>179</v>
      </c>
      <c r="E476" s="179"/>
      <c r="F476" s="184">
        <v>-159.9</v>
      </c>
      <c r="G476" s="144"/>
      <c r="H476" s="179"/>
      <c r="I476" s="184">
        <v>-99.8</v>
      </c>
      <c r="J476" s="144"/>
      <c r="K476" s="179"/>
      <c r="L476" s="184">
        <v>-139.5</v>
      </c>
      <c r="M476" s="144"/>
      <c r="N476" s="179"/>
      <c r="O476" s="184">
        <v>-66.400000000000006</v>
      </c>
      <c r="P476" s="144"/>
      <c r="Q476" s="179"/>
      <c r="R476" s="184">
        <v>-34.799999999999997</v>
      </c>
      <c r="S476" s="144"/>
    </row>
    <row r="477" spans="1:19">
      <c r="A477" s="149" t="s">
        <v>180</v>
      </c>
      <c r="B477" s="150" t="s">
        <v>181</v>
      </c>
      <c r="E477" s="179"/>
      <c r="F477" s="180">
        <v>0.44</v>
      </c>
      <c r="G477" s="144"/>
      <c r="H477" s="179"/>
      <c r="I477" s="180">
        <v>0.65</v>
      </c>
      <c r="J477" s="144"/>
      <c r="K477" s="179"/>
      <c r="L477" s="180">
        <v>0.46</v>
      </c>
      <c r="M477" s="144"/>
      <c r="N477" s="179"/>
      <c r="O477" s="180">
        <v>0.59</v>
      </c>
      <c r="P477" s="144"/>
      <c r="Q477" s="179"/>
      <c r="R477" s="180">
        <v>0.38</v>
      </c>
      <c r="S477" s="144"/>
    </row>
    <row r="478" spans="1:19">
      <c r="A478" s="149" t="s">
        <v>166</v>
      </c>
      <c r="B478" s="150" t="s">
        <v>182</v>
      </c>
      <c r="E478" s="179"/>
      <c r="F478" s="168">
        <v>0.58099999999999996</v>
      </c>
      <c r="G478" s="144"/>
      <c r="H478" s="179"/>
      <c r="I478" s="168">
        <v>0.83799999999999997</v>
      </c>
      <c r="J478" s="144"/>
      <c r="K478" s="179"/>
      <c r="L478" s="168">
        <v>0.60199999999999998</v>
      </c>
      <c r="M478" s="144"/>
      <c r="N478" s="179"/>
      <c r="O478" s="168">
        <v>0.76800000000000002</v>
      </c>
      <c r="P478" s="144"/>
      <c r="Q478" s="179"/>
      <c r="R478" s="168">
        <v>0.51100000000000001</v>
      </c>
      <c r="S478" s="144"/>
    </row>
    <row r="479" spans="1:19">
      <c r="A479" s="149" t="s">
        <v>183</v>
      </c>
      <c r="B479" s="150" t="s">
        <v>9</v>
      </c>
      <c r="E479" s="179"/>
      <c r="F479" s="184">
        <v>9</v>
      </c>
      <c r="G479" s="144"/>
      <c r="H479" s="179"/>
      <c r="I479" s="184">
        <v>9</v>
      </c>
      <c r="J479" s="144"/>
      <c r="K479" s="179"/>
      <c r="L479" s="184">
        <v>7.5</v>
      </c>
      <c r="M479" s="144"/>
      <c r="N479" s="179"/>
      <c r="O479" s="184">
        <v>9</v>
      </c>
      <c r="P479" s="144"/>
      <c r="Q479" s="179"/>
      <c r="R479" s="184">
        <v>6</v>
      </c>
      <c r="S479" s="144"/>
    </row>
    <row r="480" spans="1:19" ht="17.25" customHeight="1">
      <c r="A480" s="172" t="s">
        <v>184</v>
      </c>
      <c r="B480" s="173" t="s">
        <v>185</v>
      </c>
      <c r="E480" s="185"/>
      <c r="F480" s="186">
        <v>300</v>
      </c>
      <c r="G480" s="159"/>
      <c r="H480" s="185"/>
      <c r="I480" s="186">
        <v>300</v>
      </c>
      <c r="J480" s="159"/>
      <c r="K480" s="185"/>
      <c r="L480" s="186">
        <v>250</v>
      </c>
      <c r="M480" s="159"/>
      <c r="N480" s="185"/>
      <c r="O480" s="186">
        <v>300</v>
      </c>
      <c r="P480" s="159"/>
      <c r="Q480" s="185"/>
      <c r="R480" s="186">
        <v>200</v>
      </c>
      <c r="S480" s="159"/>
    </row>
    <row r="481" spans="1:19">
      <c r="A481" s="129"/>
      <c r="B481" s="130" t="s">
        <v>60</v>
      </c>
      <c r="E481" s="220" t="s">
        <v>224</v>
      </c>
      <c r="F481" s="221"/>
      <c r="G481" s="221"/>
      <c r="H481" s="220" t="s">
        <v>225</v>
      </c>
      <c r="I481" s="221"/>
      <c r="J481" s="221"/>
      <c r="K481" s="220" t="s">
        <v>226</v>
      </c>
      <c r="L481" s="221"/>
      <c r="M481" s="221"/>
      <c r="N481" s="220" t="s">
        <v>227</v>
      </c>
      <c r="O481" s="221"/>
      <c r="P481" s="221"/>
      <c r="Q481" s="220" t="s">
        <v>228</v>
      </c>
      <c r="R481" s="221"/>
      <c r="S481" s="221"/>
    </row>
    <row r="482" spans="1:19">
      <c r="A482" s="131"/>
      <c r="B482" s="132" t="s">
        <v>115</v>
      </c>
      <c r="E482" s="215" t="s">
        <v>54</v>
      </c>
      <c r="F482" s="216"/>
      <c r="G482" s="216"/>
      <c r="H482" s="215" t="s">
        <v>54</v>
      </c>
      <c r="I482" s="216"/>
      <c r="J482" s="216"/>
      <c r="K482" s="215" t="s">
        <v>54</v>
      </c>
      <c r="L482" s="216"/>
      <c r="M482" s="216"/>
      <c r="N482" s="215" t="s">
        <v>54</v>
      </c>
      <c r="O482" s="216"/>
      <c r="P482" s="216"/>
      <c r="Q482" s="215" t="s">
        <v>54</v>
      </c>
      <c r="R482" s="216"/>
      <c r="S482" s="216"/>
    </row>
    <row r="483" spans="1:19">
      <c r="A483" s="131"/>
      <c r="B483" s="132" t="s">
        <v>116</v>
      </c>
      <c r="E483" s="217">
        <v>40864</v>
      </c>
      <c r="F483" s="218"/>
      <c r="G483" s="219"/>
      <c r="H483" s="217">
        <v>40899</v>
      </c>
      <c r="I483" s="218"/>
      <c r="J483" s="219"/>
      <c r="K483" s="217">
        <v>41080</v>
      </c>
      <c r="L483" s="218"/>
      <c r="M483" s="219"/>
      <c r="N483" s="217">
        <v>41172</v>
      </c>
      <c r="O483" s="218"/>
      <c r="P483" s="219"/>
      <c r="Q483" s="217">
        <v>41354</v>
      </c>
      <c r="R483" s="218"/>
      <c r="S483" s="219"/>
    </row>
    <row r="484" spans="1:19">
      <c r="A484" s="131"/>
      <c r="B484" s="132" t="s">
        <v>13</v>
      </c>
      <c r="E484" s="211" t="s">
        <v>240</v>
      </c>
      <c r="F484" s="211"/>
      <c r="G484" s="211"/>
      <c r="H484" s="211" t="s">
        <v>240</v>
      </c>
      <c r="I484" s="211"/>
      <c r="J484" s="211"/>
      <c r="K484" s="211" t="s">
        <v>240</v>
      </c>
      <c r="L484" s="211"/>
      <c r="M484" s="211"/>
      <c r="N484" s="211" t="s">
        <v>240</v>
      </c>
      <c r="O484" s="211"/>
      <c r="P484" s="211"/>
      <c r="Q484" s="211" t="s">
        <v>240</v>
      </c>
      <c r="R484" s="211"/>
      <c r="S484" s="211"/>
    </row>
    <row r="485" spans="1:19">
      <c r="A485" s="131"/>
      <c r="B485" s="132" t="s">
        <v>122</v>
      </c>
      <c r="E485" s="211" t="s">
        <v>123</v>
      </c>
      <c r="F485" s="211"/>
      <c r="G485" s="211"/>
      <c r="H485" s="211" t="s">
        <v>123</v>
      </c>
      <c r="I485" s="211"/>
      <c r="J485" s="211"/>
      <c r="K485" s="211" t="s">
        <v>123</v>
      </c>
      <c r="L485" s="211"/>
      <c r="M485" s="211"/>
      <c r="N485" s="211" t="s">
        <v>123</v>
      </c>
      <c r="O485" s="211"/>
      <c r="P485" s="211"/>
      <c r="Q485" s="211" t="s">
        <v>123</v>
      </c>
      <c r="R485" s="211"/>
      <c r="S485" s="211"/>
    </row>
    <row r="486" spans="1:19">
      <c r="A486" s="131"/>
      <c r="B486" s="132" t="s">
        <v>124</v>
      </c>
      <c r="E486" s="211" t="s">
        <v>242</v>
      </c>
      <c r="F486" s="211"/>
      <c r="G486" s="211"/>
      <c r="H486" s="211" t="s">
        <v>242</v>
      </c>
      <c r="I486" s="211"/>
      <c r="J486" s="211"/>
      <c r="K486" s="211" t="s">
        <v>242</v>
      </c>
      <c r="L486" s="211"/>
      <c r="M486" s="211"/>
      <c r="N486" s="211" t="s">
        <v>242</v>
      </c>
      <c r="O486" s="211"/>
      <c r="P486" s="211"/>
      <c r="Q486" s="211" t="s">
        <v>242</v>
      </c>
      <c r="R486" s="211"/>
      <c r="S486" s="211"/>
    </row>
    <row r="487" spans="1:19">
      <c r="A487" s="131"/>
      <c r="B487" s="132" t="s">
        <v>126</v>
      </c>
      <c r="E487" s="211" t="s">
        <v>128</v>
      </c>
      <c r="F487" s="211"/>
      <c r="G487" s="211"/>
      <c r="H487" s="211" t="s">
        <v>128</v>
      </c>
      <c r="I487" s="211"/>
      <c r="J487" s="211"/>
      <c r="K487" s="211" t="s">
        <v>128</v>
      </c>
      <c r="L487" s="211"/>
      <c r="M487" s="211"/>
      <c r="N487" s="211" t="s">
        <v>128</v>
      </c>
      <c r="O487" s="211"/>
      <c r="P487" s="211"/>
      <c r="Q487" s="211" t="s">
        <v>128</v>
      </c>
      <c r="R487" s="211"/>
      <c r="S487" s="211"/>
    </row>
    <row r="488" spans="1:19">
      <c r="A488" s="131"/>
      <c r="B488" s="132" t="s">
        <v>131</v>
      </c>
      <c r="E488" s="211" t="s">
        <v>132</v>
      </c>
      <c r="F488" s="211"/>
      <c r="G488" s="211"/>
      <c r="H488" s="211" t="s">
        <v>132</v>
      </c>
      <c r="I488" s="211"/>
      <c r="J488" s="211"/>
      <c r="K488" s="211" t="s">
        <v>132</v>
      </c>
      <c r="L488" s="211"/>
      <c r="M488" s="211"/>
      <c r="N488" s="211" t="s">
        <v>132</v>
      </c>
      <c r="O488" s="211"/>
      <c r="P488" s="211"/>
      <c r="Q488" s="211" t="s">
        <v>132</v>
      </c>
      <c r="R488" s="211"/>
      <c r="S488" s="211"/>
    </row>
    <row r="489" spans="1:19" ht="13.5" thickBot="1">
      <c r="A489" s="133" t="s">
        <v>133</v>
      </c>
      <c r="B489" s="134" t="s">
        <v>134</v>
      </c>
      <c r="E489" s="212"/>
      <c r="F489" s="213"/>
      <c r="G489" s="214"/>
      <c r="H489" s="212"/>
      <c r="I489" s="213"/>
      <c r="J489" s="214"/>
      <c r="K489" s="212"/>
      <c r="L489" s="213"/>
      <c r="M489" s="214"/>
      <c r="N489" s="212"/>
      <c r="O489" s="213"/>
      <c r="P489" s="214"/>
      <c r="Q489" s="212"/>
      <c r="R489" s="213"/>
      <c r="S489" s="214"/>
    </row>
    <row r="490" spans="1:19">
      <c r="A490" s="135" t="s">
        <v>135</v>
      </c>
      <c r="B490" s="136"/>
      <c r="E490" s="137"/>
      <c r="F490" s="138"/>
      <c r="G490" s="139"/>
      <c r="H490" s="137"/>
      <c r="I490" s="138"/>
      <c r="J490" s="139"/>
      <c r="K490" s="137"/>
      <c r="L490" s="138"/>
      <c r="M490" s="139"/>
      <c r="N490" s="137"/>
      <c r="O490" s="138"/>
      <c r="P490" s="139"/>
      <c r="Q490" s="137"/>
      <c r="R490" s="138"/>
      <c r="S490" s="139"/>
    </row>
    <row r="491" spans="1:19">
      <c r="A491" s="140" t="s">
        <v>136</v>
      </c>
      <c r="B491" s="141" t="s">
        <v>137</v>
      </c>
      <c r="E491" s="142" t="s">
        <v>138</v>
      </c>
      <c r="F491" s="145">
        <v>5</v>
      </c>
      <c r="G491" s="144"/>
      <c r="H491" s="142" t="s">
        <v>138</v>
      </c>
      <c r="I491" s="145">
        <v>5</v>
      </c>
      <c r="J491" s="144"/>
      <c r="K491" s="142" t="s">
        <v>138</v>
      </c>
      <c r="L491" s="145">
        <v>2</v>
      </c>
      <c r="M491" s="144"/>
      <c r="N491" s="142" t="s">
        <v>138</v>
      </c>
      <c r="O491" s="145">
        <v>2</v>
      </c>
      <c r="P491" s="144"/>
      <c r="Q491" s="142" t="s">
        <v>138</v>
      </c>
      <c r="R491" s="145">
        <v>2</v>
      </c>
      <c r="S491" s="144"/>
    </row>
    <row r="492" spans="1:19">
      <c r="A492" s="149" t="s">
        <v>139</v>
      </c>
      <c r="B492" s="150" t="s">
        <v>140</v>
      </c>
      <c r="E492" s="142" t="s">
        <v>138</v>
      </c>
      <c r="F492" s="145">
        <v>5</v>
      </c>
      <c r="G492" s="144"/>
      <c r="H492" s="142" t="s">
        <v>138</v>
      </c>
      <c r="I492" s="145">
        <v>5</v>
      </c>
      <c r="J492" s="144"/>
      <c r="K492" s="142" t="s">
        <v>138</v>
      </c>
      <c r="L492" s="145">
        <v>2</v>
      </c>
      <c r="M492" s="144"/>
      <c r="N492" s="142" t="s">
        <v>138</v>
      </c>
      <c r="O492" s="145">
        <v>2</v>
      </c>
      <c r="P492" s="144"/>
      <c r="Q492" s="142" t="s">
        <v>138</v>
      </c>
      <c r="R492" s="145">
        <v>2</v>
      </c>
      <c r="S492" s="144"/>
    </row>
    <row r="493" spans="1:19">
      <c r="A493" s="149" t="s">
        <v>141</v>
      </c>
      <c r="B493" s="150" t="s">
        <v>142</v>
      </c>
      <c r="E493" s="142" t="s">
        <v>138</v>
      </c>
      <c r="F493" s="145">
        <v>5</v>
      </c>
      <c r="G493" s="152"/>
      <c r="H493" s="142" t="s">
        <v>138</v>
      </c>
      <c r="I493" s="145">
        <v>5</v>
      </c>
      <c r="J493" s="152"/>
      <c r="K493" s="142" t="s">
        <v>138</v>
      </c>
      <c r="L493" s="145">
        <v>2</v>
      </c>
      <c r="M493" s="152"/>
      <c r="N493" s="142" t="s">
        <v>138</v>
      </c>
      <c r="O493" s="145">
        <v>2</v>
      </c>
      <c r="P493" s="152"/>
      <c r="Q493" s="142" t="s">
        <v>138</v>
      </c>
      <c r="R493" s="145">
        <v>2</v>
      </c>
      <c r="S493" s="152"/>
    </row>
    <row r="494" spans="1:19">
      <c r="A494" s="149" t="s">
        <v>143</v>
      </c>
      <c r="B494" s="150" t="s">
        <v>144</v>
      </c>
      <c r="E494" s="142" t="s">
        <v>138</v>
      </c>
      <c r="F494" s="145">
        <v>5</v>
      </c>
      <c r="G494" s="152"/>
      <c r="H494" s="142" t="s">
        <v>138</v>
      </c>
      <c r="I494" s="145">
        <v>5</v>
      </c>
      <c r="J494" s="152"/>
      <c r="K494" s="142" t="s">
        <v>138</v>
      </c>
      <c r="L494" s="145">
        <v>2</v>
      </c>
      <c r="M494" s="152"/>
      <c r="N494" s="142" t="s">
        <v>138</v>
      </c>
      <c r="O494" s="145">
        <v>2</v>
      </c>
      <c r="P494" s="152"/>
      <c r="Q494" s="142" t="s">
        <v>138</v>
      </c>
      <c r="R494" s="145">
        <v>2</v>
      </c>
      <c r="S494" s="152"/>
    </row>
    <row r="495" spans="1:19">
      <c r="A495" s="149" t="s">
        <v>145</v>
      </c>
      <c r="B495" s="150" t="s">
        <v>146</v>
      </c>
      <c r="E495" s="142" t="s">
        <v>138</v>
      </c>
      <c r="F495" s="145">
        <v>5</v>
      </c>
      <c r="G495" s="144"/>
      <c r="H495" s="142" t="s">
        <v>138</v>
      </c>
      <c r="I495" s="145">
        <v>5</v>
      </c>
      <c r="J495" s="144"/>
      <c r="K495" s="142" t="s">
        <v>138</v>
      </c>
      <c r="L495" s="145">
        <v>2</v>
      </c>
      <c r="M495" s="144"/>
      <c r="N495" s="142" t="s">
        <v>138</v>
      </c>
      <c r="O495" s="145">
        <v>2</v>
      </c>
      <c r="P495" s="144"/>
      <c r="Q495" s="142" t="s">
        <v>138</v>
      </c>
      <c r="R495" s="145">
        <v>2</v>
      </c>
      <c r="S495" s="144"/>
    </row>
    <row r="496" spans="1:19">
      <c r="A496" s="149" t="s">
        <v>147</v>
      </c>
      <c r="B496" s="150" t="s">
        <v>148</v>
      </c>
      <c r="E496" s="142" t="s">
        <v>138</v>
      </c>
      <c r="F496" s="145">
        <v>5</v>
      </c>
      <c r="G496" s="144"/>
      <c r="H496" s="142" t="s">
        <v>138</v>
      </c>
      <c r="I496" s="145">
        <v>5</v>
      </c>
      <c r="J496" s="144"/>
      <c r="K496" s="142" t="s">
        <v>138</v>
      </c>
      <c r="L496" s="145">
        <v>2</v>
      </c>
      <c r="M496" s="144"/>
      <c r="N496" s="142" t="s">
        <v>138</v>
      </c>
      <c r="O496" s="145">
        <v>2</v>
      </c>
      <c r="P496" s="144"/>
      <c r="Q496" s="142" t="s">
        <v>138</v>
      </c>
      <c r="R496" s="145">
        <v>2</v>
      </c>
      <c r="S496" s="144"/>
    </row>
    <row r="497" spans="1:19">
      <c r="A497" s="149" t="s">
        <v>149</v>
      </c>
      <c r="B497" s="150" t="s">
        <v>150</v>
      </c>
      <c r="E497" s="142"/>
      <c r="F497" s="147">
        <v>410</v>
      </c>
      <c r="G497" s="144"/>
      <c r="H497" s="142"/>
      <c r="I497" s="147">
        <v>320</v>
      </c>
      <c r="J497" s="144"/>
      <c r="K497" s="142"/>
      <c r="L497" s="147">
        <v>240</v>
      </c>
      <c r="M497" s="144"/>
      <c r="N497" s="142"/>
      <c r="O497" s="147">
        <v>220</v>
      </c>
      <c r="P497" s="144"/>
      <c r="Q497" s="142"/>
      <c r="R497" s="147">
        <v>230</v>
      </c>
      <c r="S497" s="144"/>
    </row>
    <row r="498" spans="1:19">
      <c r="A498" s="155" t="s">
        <v>151</v>
      </c>
      <c r="B498" s="156" t="s">
        <v>152</v>
      </c>
      <c r="E498" s="142" t="s">
        <v>138</v>
      </c>
      <c r="F498" s="145">
        <v>5</v>
      </c>
      <c r="G498" s="144"/>
      <c r="H498" s="142" t="s">
        <v>138</v>
      </c>
      <c r="I498" s="145">
        <v>5</v>
      </c>
      <c r="J498" s="144"/>
      <c r="K498" s="142" t="s">
        <v>138</v>
      </c>
      <c r="L498" s="145">
        <v>2</v>
      </c>
      <c r="M498" s="144"/>
      <c r="N498" s="142" t="s">
        <v>138</v>
      </c>
      <c r="O498" s="145">
        <v>2</v>
      </c>
      <c r="P498" s="144"/>
      <c r="Q498" s="142" t="s">
        <v>138</v>
      </c>
      <c r="R498" s="145">
        <v>2</v>
      </c>
      <c r="S498" s="144"/>
    </row>
    <row r="499" spans="1:19">
      <c r="A499" s="157" t="s">
        <v>153</v>
      </c>
      <c r="B499" s="158" t="s">
        <v>154</v>
      </c>
      <c r="E499" s="160" t="s">
        <v>138</v>
      </c>
      <c r="F499" s="162">
        <v>5</v>
      </c>
      <c r="G499" s="159"/>
      <c r="H499" s="160" t="s">
        <v>138</v>
      </c>
      <c r="I499" s="162">
        <v>5</v>
      </c>
      <c r="J499" s="159"/>
      <c r="K499" s="160" t="s">
        <v>138</v>
      </c>
      <c r="L499" s="162">
        <v>2</v>
      </c>
      <c r="M499" s="159"/>
      <c r="N499" s="160" t="s">
        <v>138</v>
      </c>
      <c r="O499" s="162">
        <v>2</v>
      </c>
      <c r="P499" s="159"/>
      <c r="Q499" s="160" t="s">
        <v>138</v>
      </c>
      <c r="R499" s="162">
        <v>2</v>
      </c>
      <c r="S499" s="159"/>
    </row>
    <row r="500" spans="1:19">
      <c r="A500" s="164" t="s">
        <v>155</v>
      </c>
      <c r="B500" s="165"/>
      <c r="E500" s="142"/>
      <c r="F500" s="168"/>
      <c r="G500" s="144"/>
      <c r="H500" s="142"/>
      <c r="I500" s="168"/>
      <c r="J500" s="144"/>
      <c r="K500" s="142"/>
      <c r="L500" s="168"/>
      <c r="M500" s="144"/>
      <c r="N500" s="142"/>
      <c r="O500" s="168"/>
      <c r="P500" s="144"/>
      <c r="Q500" s="142"/>
      <c r="R500" s="168"/>
      <c r="S500" s="144"/>
    </row>
    <row r="501" spans="1:19">
      <c r="A501" s="149" t="s">
        <v>156</v>
      </c>
      <c r="B501" s="150" t="s">
        <v>157</v>
      </c>
      <c r="E501" s="171"/>
      <c r="F501" s="169" t="s">
        <v>158</v>
      </c>
      <c r="G501" s="144"/>
      <c r="H501" s="171"/>
      <c r="I501" s="169" t="s">
        <v>158</v>
      </c>
      <c r="J501" s="144"/>
      <c r="K501" s="171"/>
      <c r="L501" s="169" t="s">
        <v>158</v>
      </c>
      <c r="M501" s="144"/>
      <c r="N501" s="171"/>
      <c r="O501" s="169" t="s">
        <v>158</v>
      </c>
      <c r="P501" s="144"/>
      <c r="Q501" s="171"/>
      <c r="R501" s="169" t="s">
        <v>158</v>
      </c>
      <c r="S501" s="144"/>
    </row>
    <row r="502" spans="1:19">
      <c r="A502" s="149" t="s">
        <v>159</v>
      </c>
      <c r="B502" s="150" t="s">
        <v>160</v>
      </c>
      <c r="E502" s="171"/>
      <c r="F502" s="169" t="s">
        <v>158</v>
      </c>
      <c r="G502" s="144"/>
      <c r="H502" s="171"/>
      <c r="I502" s="169" t="s">
        <v>158</v>
      </c>
      <c r="J502" s="144"/>
      <c r="K502" s="171"/>
      <c r="L502" s="169" t="s">
        <v>158</v>
      </c>
      <c r="M502" s="144"/>
      <c r="N502" s="171"/>
      <c r="O502" s="169" t="s">
        <v>158</v>
      </c>
      <c r="P502" s="144"/>
      <c r="Q502" s="171"/>
      <c r="R502" s="169" t="s">
        <v>158</v>
      </c>
      <c r="S502" s="144"/>
    </row>
    <row r="503" spans="1:19">
      <c r="A503" s="149" t="s">
        <v>161</v>
      </c>
      <c r="B503" s="150" t="s">
        <v>160</v>
      </c>
      <c r="E503" s="171"/>
      <c r="F503" s="169" t="s">
        <v>158</v>
      </c>
      <c r="G503" s="144"/>
      <c r="H503" s="171"/>
      <c r="I503" s="169" t="s">
        <v>158</v>
      </c>
      <c r="J503" s="144"/>
      <c r="K503" s="171"/>
      <c r="L503" s="169" t="s">
        <v>158</v>
      </c>
      <c r="M503" s="144"/>
      <c r="N503" s="171"/>
      <c r="O503" s="169" t="s">
        <v>158</v>
      </c>
      <c r="P503" s="144"/>
      <c r="Q503" s="171"/>
      <c r="R503" s="169" t="s">
        <v>158</v>
      </c>
      <c r="S503" s="144"/>
    </row>
    <row r="504" spans="1:19">
      <c r="A504" s="149" t="s">
        <v>162</v>
      </c>
      <c r="B504" s="150" t="s">
        <v>160</v>
      </c>
      <c r="E504" s="171"/>
      <c r="F504" s="169" t="s">
        <v>158</v>
      </c>
      <c r="G504" s="144"/>
      <c r="H504" s="171"/>
      <c r="I504" s="169" t="s">
        <v>158</v>
      </c>
      <c r="J504" s="144"/>
      <c r="K504" s="171"/>
      <c r="L504" s="169" t="s">
        <v>158</v>
      </c>
      <c r="M504" s="144"/>
      <c r="N504" s="171"/>
      <c r="O504" s="169" t="s">
        <v>158</v>
      </c>
      <c r="P504" s="144"/>
      <c r="Q504" s="171"/>
      <c r="R504" s="169" t="s">
        <v>158</v>
      </c>
      <c r="S504" s="144"/>
    </row>
    <row r="505" spans="1:19">
      <c r="A505" s="149" t="s">
        <v>163</v>
      </c>
      <c r="B505" s="150" t="s">
        <v>160</v>
      </c>
      <c r="E505" s="171"/>
      <c r="F505" s="169" t="s">
        <v>158</v>
      </c>
      <c r="G505" s="144"/>
      <c r="H505" s="171"/>
      <c r="I505" s="169" t="s">
        <v>158</v>
      </c>
      <c r="J505" s="144"/>
      <c r="K505" s="171"/>
      <c r="L505" s="169" t="s">
        <v>158</v>
      </c>
      <c r="M505" s="144"/>
      <c r="N505" s="171"/>
      <c r="O505" s="169" t="s">
        <v>158</v>
      </c>
      <c r="P505" s="144"/>
      <c r="Q505" s="171"/>
      <c r="R505" s="169" t="s">
        <v>158</v>
      </c>
      <c r="S505" s="144"/>
    </row>
    <row r="506" spans="1:19">
      <c r="A506" s="149" t="s">
        <v>164</v>
      </c>
      <c r="B506" s="150" t="s">
        <v>160</v>
      </c>
      <c r="E506" s="171"/>
      <c r="F506" s="169" t="s">
        <v>158</v>
      </c>
      <c r="G506" s="144"/>
      <c r="H506" s="171"/>
      <c r="I506" s="169" t="s">
        <v>158</v>
      </c>
      <c r="J506" s="144"/>
      <c r="K506" s="171"/>
      <c r="L506" s="169" t="s">
        <v>158</v>
      </c>
      <c r="M506" s="144"/>
      <c r="N506" s="171"/>
      <c r="O506" s="169" t="s">
        <v>158</v>
      </c>
      <c r="P506" s="144"/>
      <c r="Q506" s="171"/>
      <c r="R506" s="169" t="s">
        <v>158</v>
      </c>
      <c r="S506" s="144"/>
    </row>
    <row r="507" spans="1:19">
      <c r="A507" s="149" t="s">
        <v>165</v>
      </c>
      <c r="B507" s="150" t="s">
        <v>160</v>
      </c>
      <c r="E507" s="171"/>
      <c r="F507" s="169" t="s">
        <v>158</v>
      </c>
      <c r="G507" s="144"/>
      <c r="H507" s="171"/>
      <c r="I507" s="169" t="s">
        <v>158</v>
      </c>
      <c r="J507" s="144"/>
      <c r="K507" s="171"/>
      <c r="L507" s="169" t="s">
        <v>158</v>
      </c>
      <c r="M507" s="144"/>
      <c r="N507" s="171"/>
      <c r="O507" s="169" t="s">
        <v>158</v>
      </c>
      <c r="P507" s="144"/>
      <c r="Q507" s="171"/>
      <c r="R507" s="169" t="s">
        <v>158</v>
      </c>
      <c r="S507" s="144"/>
    </row>
    <row r="508" spans="1:19">
      <c r="A508" s="149" t="s">
        <v>166</v>
      </c>
      <c r="B508" s="150" t="s">
        <v>160</v>
      </c>
      <c r="E508" s="171"/>
      <c r="F508" s="169" t="s">
        <v>158</v>
      </c>
      <c r="G508" s="144"/>
      <c r="H508" s="171"/>
      <c r="I508" s="169" t="s">
        <v>158</v>
      </c>
      <c r="J508" s="144"/>
      <c r="K508" s="171"/>
      <c r="L508" s="169" t="s">
        <v>158</v>
      </c>
      <c r="M508" s="144"/>
      <c r="N508" s="171"/>
      <c r="O508" s="169" t="s">
        <v>158</v>
      </c>
      <c r="P508" s="144"/>
      <c r="Q508" s="171"/>
      <c r="R508" s="169" t="s">
        <v>158</v>
      </c>
      <c r="S508" s="144"/>
    </row>
    <row r="509" spans="1:19">
      <c r="A509" s="172" t="s">
        <v>167</v>
      </c>
      <c r="B509" s="173" t="s">
        <v>168</v>
      </c>
      <c r="E509" s="176"/>
      <c r="F509" s="174" t="s">
        <v>158</v>
      </c>
      <c r="G509" s="159"/>
      <c r="H509" s="176"/>
      <c r="I509" s="174" t="s">
        <v>158</v>
      </c>
      <c r="J509" s="159"/>
      <c r="K509" s="176"/>
      <c r="L509" s="174" t="s">
        <v>158</v>
      </c>
      <c r="M509" s="159"/>
      <c r="N509" s="176"/>
      <c r="O509" s="174" t="s">
        <v>158</v>
      </c>
      <c r="P509" s="159"/>
      <c r="Q509" s="176"/>
      <c r="R509" s="174" t="s">
        <v>158</v>
      </c>
      <c r="S509" s="159"/>
    </row>
    <row r="510" spans="1:19">
      <c r="A510" s="177" t="s">
        <v>169</v>
      </c>
      <c r="B510" s="150"/>
      <c r="E510" s="166"/>
      <c r="F510" s="167"/>
      <c r="G510" s="144"/>
      <c r="H510" s="166"/>
      <c r="I510" s="167"/>
      <c r="J510" s="144"/>
      <c r="K510" s="166"/>
      <c r="L510" s="167"/>
      <c r="M510" s="144"/>
      <c r="N510" s="166"/>
      <c r="O510" s="167"/>
      <c r="P510" s="144"/>
      <c r="Q510" s="166"/>
      <c r="R510" s="167"/>
      <c r="S510" s="144"/>
    </row>
    <row r="511" spans="1:19">
      <c r="A511" s="149" t="s">
        <v>167</v>
      </c>
      <c r="B511" s="150" t="s">
        <v>170</v>
      </c>
      <c r="E511" s="179"/>
      <c r="F511" s="180">
        <v>6.23</v>
      </c>
      <c r="G511" s="144"/>
      <c r="H511" s="179"/>
      <c r="I511" s="180">
        <v>6.95</v>
      </c>
      <c r="J511" s="144"/>
      <c r="K511" s="179"/>
      <c r="L511" s="180">
        <v>6.64</v>
      </c>
      <c r="M511" s="144"/>
      <c r="N511" s="179"/>
      <c r="O511" s="180">
        <v>6.71</v>
      </c>
      <c r="P511" s="144"/>
      <c r="Q511" s="179"/>
      <c r="R511" s="180">
        <v>6.57</v>
      </c>
      <c r="S511" s="144"/>
    </row>
    <row r="512" spans="1:19">
      <c r="A512" s="149" t="s">
        <v>171</v>
      </c>
      <c r="B512" s="150" t="s">
        <v>172</v>
      </c>
      <c r="E512" s="179"/>
      <c r="F512" s="180">
        <v>13.92</v>
      </c>
      <c r="G512" s="144"/>
      <c r="H512" s="179"/>
      <c r="I512" s="180">
        <v>12.2</v>
      </c>
      <c r="J512" s="144"/>
      <c r="K512" s="179"/>
      <c r="L512" s="180">
        <v>20.99</v>
      </c>
      <c r="M512" s="144"/>
      <c r="N512" s="179"/>
      <c r="O512" s="180">
        <v>19.809999999999999</v>
      </c>
      <c r="P512" s="144"/>
      <c r="Q512" s="179"/>
      <c r="R512" s="180">
        <v>5.12</v>
      </c>
      <c r="S512" s="144"/>
    </row>
    <row r="513" spans="1:19">
      <c r="A513" s="149" t="s">
        <v>173</v>
      </c>
      <c r="B513" s="150" t="s">
        <v>174</v>
      </c>
      <c r="E513" s="179"/>
      <c r="F513" s="182">
        <v>0.56000000000000005</v>
      </c>
      <c r="G513" s="144"/>
      <c r="H513" s="179"/>
      <c r="I513" s="182">
        <v>0.71899999999999997</v>
      </c>
      <c r="J513" s="144"/>
      <c r="K513" s="179"/>
      <c r="L513" s="182">
        <v>0.67600000000000005</v>
      </c>
      <c r="M513" s="144"/>
      <c r="N513" s="179"/>
      <c r="O513" s="182">
        <v>0.84599999999999997</v>
      </c>
      <c r="P513" s="144"/>
      <c r="Q513" s="179"/>
      <c r="R513" s="182">
        <v>0.40600000000000003</v>
      </c>
      <c r="S513" s="144"/>
    </row>
    <row r="514" spans="1:19">
      <c r="A514" s="149" t="s">
        <v>175</v>
      </c>
      <c r="B514" s="150" t="s">
        <v>160</v>
      </c>
      <c r="E514" s="179"/>
      <c r="F514" s="168">
        <v>0.33</v>
      </c>
      <c r="G514" s="144"/>
      <c r="H514" s="179"/>
      <c r="I514" s="180">
        <v>0.3</v>
      </c>
      <c r="J514" s="144"/>
      <c r="K514" s="179"/>
      <c r="L514" s="180">
        <v>0.33</v>
      </c>
      <c r="M514" s="144"/>
      <c r="N514" s="179"/>
      <c r="O514" s="180">
        <v>0.56999999999999995</v>
      </c>
      <c r="P514" s="144"/>
      <c r="Q514" s="179"/>
      <c r="R514" s="180">
        <v>0.41</v>
      </c>
      <c r="S514" s="144"/>
    </row>
    <row r="515" spans="1:19">
      <c r="A515" s="149" t="s">
        <v>176</v>
      </c>
      <c r="B515" s="150" t="s">
        <v>177</v>
      </c>
      <c r="E515" s="179"/>
      <c r="F515" s="168">
        <v>67.5</v>
      </c>
      <c r="G515" s="144"/>
      <c r="H515" s="179"/>
      <c r="I515" s="168">
        <v>40.799999999999997</v>
      </c>
      <c r="J515" s="144"/>
      <c r="K515" s="179"/>
      <c r="L515" s="168">
        <v>53.2</v>
      </c>
      <c r="M515" s="144"/>
      <c r="N515" s="179"/>
      <c r="O515" s="168">
        <v>29.2</v>
      </c>
      <c r="P515" s="144"/>
      <c r="Q515" s="179"/>
      <c r="R515" s="168">
        <v>30.8</v>
      </c>
      <c r="S515" s="144"/>
    </row>
    <row r="516" spans="1:19">
      <c r="A516" s="149" t="s">
        <v>178</v>
      </c>
      <c r="B516" s="150" t="s">
        <v>179</v>
      </c>
      <c r="E516" s="179"/>
      <c r="F516" s="184">
        <v>-136.30000000000001</v>
      </c>
      <c r="G516" s="144"/>
      <c r="H516" s="179"/>
      <c r="I516" s="184">
        <v>-122.9</v>
      </c>
      <c r="J516" s="144"/>
      <c r="K516" s="179"/>
      <c r="L516" s="184">
        <v>-144.9</v>
      </c>
      <c r="M516" s="144"/>
      <c r="N516" s="179"/>
      <c r="O516" s="184">
        <v>-30.3</v>
      </c>
      <c r="P516" s="144"/>
      <c r="Q516" s="179"/>
      <c r="R516" s="184">
        <v>11.1</v>
      </c>
      <c r="S516" s="144"/>
    </row>
    <row r="517" spans="1:19">
      <c r="A517" s="149" t="s">
        <v>180</v>
      </c>
      <c r="B517" s="150" t="s">
        <v>181</v>
      </c>
      <c r="E517" s="179"/>
      <c r="F517" s="180">
        <v>0.35</v>
      </c>
      <c r="G517" s="144"/>
      <c r="H517" s="179"/>
      <c r="I517" s="180">
        <v>0.47</v>
      </c>
      <c r="J517" s="144"/>
      <c r="K517" s="179"/>
      <c r="L517" s="180">
        <v>0.36</v>
      </c>
      <c r="M517" s="144"/>
      <c r="N517" s="179"/>
      <c r="O517" s="180">
        <v>0.46</v>
      </c>
      <c r="P517" s="144"/>
      <c r="Q517" s="179"/>
      <c r="R517" s="180">
        <v>0.32</v>
      </c>
      <c r="S517" s="144"/>
    </row>
    <row r="518" spans="1:19">
      <c r="A518" s="149" t="s">
        <v>166</v>
      </c>
      <c r="B518" s="150" t="s">
        <v>182</v>
      </c>
      <c r="E518" s="179"/>
      <c r="F518" s="168">
        <v>0.46100000000000002</v>
      </c>
      <c r="G518" s="144"/>
      <c r="H518" s="179"/>
      <c r="I518" s="168">
        <v>0.61799999999999999</v>
      </c>
      <c r="J518" s="144"/>
      <c r="K518" s="179"/>
      <c r="L518" s="168">
        <v>0.47599999999999998</v>
      </c>
      <c r="M518" s="144"/>
      <c r="N518" s="179"/>
      <c r="O518" s="168">
        <v>0.60899999999999999</v>
      </c>
      <c r="P518" s="144"/>
      <c r="Q518" s="179"/>
      <c r="R518" s="168">
        <v>0.42699999999999999</v>
      </c>
      <c r="S518" s="144"/>
    </row>
    <row r="519" spans="1:19">
      <c r="A519" s="149" t="s">
        <v>183</v>
      </c>
      <c r="B519" s="150" t="s">
        <v>9</v>
      </c>
      <c r="E519" s="179"/>
      <c r="F519" s="184">
        <v>9</v>
      </c>
      <c r="G519" s="144"/>
      <c r="H519" s="179"/>
      <c r="I519" s="184">
        <v>9</v>
      </c>
      <c r="J519" s="144"/>
      <c r="K519" s="179"/>
      <c r="L519" s="184">
        <v>7.5</v>
      </c>
      <c r="M519" s="144"/>
      <c r="N519" s="179"/>
      <c r="O519" s="184">
        <v>9</v>
      </c>
      <c r="P519" s="144"/>
      <c r="Q519" s="179"/>
      <c r="R519" s="184">
        <v>9</v>
      </c>
      <c r="S519" s="144"/>
    </row>
    <row r="520" spans="1:19" ht="18.75" customHeight="1">
      <c r="A520" s="172" t="s">
        <v>184</v>
      </c>
      <c r="B520" s="173" t="s">
        <v>185</v>
      </c>
      <c r="E520" s="185"/>
      <c r="F520" s="186">
        <v>300</v>
      </c>
      <c r="G520" s="159"/>
      <c r="H520" s="185"/>
      <c r="I520" s="186">
        <v>300</v>
      </c>
      <c r="J520" s="159"/>
      <c r="K520" s="185"/>
      <c r="L520" s="186">
        <v>250</v>
      </c>
      <c r="M520" s="159"/>
      <c r="N520" s="185"/>
      <c r="O520" s="186">
        <v>300</v>
      </c>
      <c r="P520" s="159"/>
      <c r="Q520" s="185"/>
      <c r="R520" s="186">
        <v>300</v>
      </c>
      <c r="S520" s="159"/>
    </row>
    <row r="521" spans="1:19">
      <c r="A521" s="129"/>
      <c r="B521" s="130" t="s">
        <v>60</v>
      </c>
      <c r="E521" s="220" t="s">
        <v>229</v>
      </c>
      <c r="F521" s="221"/>
      <c r="G521" s="221"/>
      <c r="H521" s="220" t="s">
        <v>230</v>
      </c>
      <c r="I521" s="221"/>
      <c r="J521" s="221"/>
      <c r="K521" s="220" t="s">
        <v>231</v>
      </c>
      <c r="L521" s="221"/>
      <c r="M521" s="221"/>
      <c r="N521" s="220" t="s">
        <v>232</v>
      </c>
      <c r="O521" s="221"/>
      <c r="P521" s="221"/>
      <c r="Q521" s="220" t="s">
        <v>233</v>
      </c>
      <c r="R521" s="221"/>
      <c r="S521" s="221"/>
    </row>
    <row r="522" spans="1:19">
      <c r="A522" s="131"/>
      <c r="B522" s="132" t="s">
        <v>115</v>
      </c>
      <c r="E522" s="215" t="s">
        <v>55</v>
      </c>
      <c r="F522" s="216"/>
      <c r="G522" s="216"/>
      <c r="H522" s="215" t="s">
        <v>55</v>
      </c>
      <c r="I522" s="216"/>
      <c r="J522" s="216"/>
      <c r="K522" s="215" t="s">
        <v>55</v>
      </c>
      <c r="L522" s="216"/>
      <c r="M522" s="216"/>
      <c r="N522" s="215" t="s">
        <v>55</v>
      </c>
      <c r="O522" s="216"/>
      <c r="P522" s="216"/>
      <c r="Q522" s="215" t="s">
        <v>55</v>
      </c>
      <c r="R522" s="216"/>
      <c r="S522" s="216"/>
    </row>
    <row r="523" spans="1:19">
      <c r="A523" s="131"/>
      <c r="B523" s="132" t="s">
        <v>116</v>
      </c>
      <c r="E523" s="217">
        <v>40864</v>
      </c>
      <c r="F523" s="218"/>
      <c r="G523" s="219"/>
      <c r="H523" s="217">
        <v>40899</v>
      </c>
      <c r="I523" s="218"/>
      <c r="J523" s="219"/>
      <c r="K523" s="217">
        <v>41081</v>
      </c>
      <c r="L523" s="218"/>
      <c r="M523" s="219"/>
      <c r="N523" s="217">
        <v>41172</v>
      </c>
      <c r="O523" s="218"/>
      <c r="P523" s="219"/>
      <c r="Q523" s="217">
        <v>41354</v>
      </c>
      <c r="R523" s="218"/>
      <c r="S523" s="219"/>
    </row>
    <row r="524" spans="1:19">
      <c r="A524" s="131"/>
      <c r="B524" s="132" t="s">
        <v>13</v>
      </c>
      <c r="E524" s="211" t="s">
        <v>241</v>
      </c>
      <c r="F524" s="211"/>
      <c r="G524" s="211"/>
      <c r="H524" s="211" t="s">
        <v>241</v>
      </c>
      <c r="I524" s="211"/>
      <c r="J524" s="211"/>
      <c r="K524" s="211" t="s">
        <v>241</v>
      </c>
      <c r="L524" s="211"/>
      <c r="M524" s="211"/>
      <c r="N524" s="211" t="s">
        <v>241</v>
      </c>
      <c r="O524" s="211"/>
      <c r="P524" s="211"/>
      <c r="Q524" s="211" t="s">
        <v>241</v>
      </c>
      <c r="R524" s="211"/>
      <c r="S524" s="211"/>
    </row>
    <row r="525" spans="1:19">
      <c r="A525" s="131"/>
      <c r="B525" s="132" t="s">
        <v>122</v>
      </c>
      <c r="E525" s="211" t="s">
        <v>123</v>
      </c>
      <c r="F525" s="211"/>
      <c r="G525" s="211"/>
      <c r="H525" s="211" t="s">
        <v>123</v>
      </c>
      <c r="I525" s="211"/>
      <c r="J525" s="211"/>
      <c r="K525" s="211" t="s">
        <v>123</v>
      </c>
      <c r="L525" s="211"/>
      <c r="M525" s="211"/>
      <c r="N525" s="211" t="s">
        <v>123</v>
      </c>
      <c r="O525" s="211"/>
      <c r="P525" s="211"/>
      <c r="Q525" s="211" t="s">
        <v>123</v>
      </c>
      <c r="R525" s="211"/>
      <c r="S525" s="211"/>
    </row>
    <row r="526" spans="1:19">
      <c r="A526" s="131"/>
      <c r="B526" s="132" t="s">
        <v>124</v>
      </c>
      <c r="E526" s="211" t="s">
        <v>125</v>
      </c>
      <c r="F526" s="211"/>
      <c r="G526" s="211"/>
      <c r="H526" s="211" t="s">
        <v>125</v>
      </c>
      <c r="I526" s="211"/>
      <c r="J526" s="211"/>
      <c r="K526" s="211" t="s">
        <v>125</v>
      </c>
      <c r="L526" s="211"/>
      <c r="M526" s="211"/>
      <c r="N526" s="211" t="s">
        <v>125</v>
      </c>
      <c r="O526" s="211"/>
      <c r="P526" s="211"/>
      <c r="Q526" s="211" t="s">
        <v>125</v>
      </c>
      <c r="R526" s="211"/>
      <c r="S526" s="211"/>
    </row>
    <row r="527" spans="1:19">
      <c r="A527" s="131"/>
      <c r="B527" s="132" t="s">
        <v>126</v>
      </c>
      <c r="E527" s="211" t="s">
        <v>128</v>
      </c>
      <c r="F527" s="211"/>
      <c r="G527" s="211"/>
      <c r="H527" s="211" t="s">
        <v>128</v>
      </c>
      <c r="I527" s="211"/>
      <c r="J527" s="211"/>
      <c r="K527" s="211" t="s">
        <v>128</v>
      </c>
      <c r="L527" s="211"/>
      <c r="M527" s="211"/>
      <c r="N527" s="211" t="s">
        <v>128</v>
      </c>
      <c r="O527" s="211"/>
      <c r="P527" s="211"/>
      <c r="Q527" s="211" t="s">
        <v>128</v>
      </c>
      <c r="R527" s="211"/>
      <c r="S527" s="211"/>
    </row>
    <row r="528" spans="1:19">
      <c r="A528" s="131"/>
      <c r="B528" s="132" t="s">
        <v>131</v>
      </c>
      <c r="E528" s="211" t="s">
        <v>132</v>
      </c>
      <c r="F528" s="211"/>
      <c r="G528" s="211"/>
      <c r="H528" s="211" t="s">
        <v>132</v>
      </c>
      <c r="I528" s="211"/>
      <c r="J528" s="211"/>
      <c r="K528" s="211" t="s">
        <v>132</v>
      </c>
      <c r="L528" s="211"/>
      <c r="M528" s="211"/>
      <c r="N528" s="211" t="s">
        <v>132</v>
      </c>
      <c r="O528" s="211"/>
      <c r="P528" s="211"/>
      <c r="Q528" s="211" t="s">
        <v>132</v>
      </c>
      <c r="R528" s="211"/>
      <c r="S528" s="211"/>
    </row>
    <row r="529" spans="1:19" ht="13.5" thickBot="1">
      <c r="A529" s="133" t="s">
        <v>133</v>
      </c>
      <c r="B529" s="134" t="s">
        <v>134</v>
      </c>
      <c r="E529" s="212"/>
      <c r="F529" s="213"/>
      <c r="G529" s="214"/>
      <c r="H529" s="212"/>
      <c r="I529" s="213"/>
      <c r="J529" s="214"/>
      <c r="K529" s="212"/>
      <c r="L529" s="213"/>
      <c r="M529" s="214"/>
      <c r="N529" s="212"/>
      <c r="O529" s="213"/>
      <c r="P529" s="214"/>
      <c r="Q529" s="212"/>
      <c r="R529" s="213"/>
      <c r="S529" s="214"/>
    </row>
    <row r="530" spans="1:19">
      <c r="A530" s="135" t="s">
        <v>135</v>
      </c>
      <c r="B530" s="136"/>
      <c r="E530" s="137"/>
      <c r="F530" s="138"/>
      <c r="G530" s="139"/>
      <c r="H530" s="137"/>
      <c r="I530" s="138"/>
      <c r="J530" s="139"/>
      <c r="K530" s="137"/>
      <c r="L530" s="138"/>
      <c r="M530" s="139"/>
      <c r="N530" s="137"/>
      <c r="O530" s="138"/>
      <c r="P530" s="139"/>
      <c r="Q530" s="137"/>
      <c r="R530" s="138"/>
      <c r="S530" s="139"/>
    </row>
    <row r="531" spans="1:19">
      <c r="A531" s="140" t="s">
        <v>136</v>
      </c>
      <c r="B531" s="141" t="s">
        <v>137</v>
      </c>
      <c r="E531" s="142" t="s">
        <v>138</v>
      </c>
      <c r="F531" s="145">
        <v>5</v>
      </c>
      <c r="G531" s="144"/>
      <c r="H531" s="142" t="s">
        <v>138</v>
      </c>
      <c r="I531" s="145">
        <v>5</v>
      </c>
      <c r="J531" s="144"/>
      <c r="K531" s="142" t="s">
        <v>138</v>
      </c>
      <c r="L531" s="145">
        <v>2</v>
      </c>
      <c r="M531" s="144"/>
      <c r="N531" s="142" t="s">
        <v>138</v>
      </c>
      <c r="O531" s="145">
        <v>2</v>
      </c>
      <c r="P531" s="144"/>
      <c r="Q531" s="142" t="s">
        <v>138</v>
      </c>
      <c r="R531" s="145">
        <v>2</v>
      </c>
      <c r="S531" s="144"/>
    </row>
    <row r="532" spans="1:19">
      <c r="A532" s="149" t="s">
        <v>139</v>
      </c>
      <c r="B532" s="150" t="s">
        <v>140</v>
      </c>
      <c r="E532" s="142" t="s">
        <v>138</v>
      </c>
      <c r="F532" s="145">
        <v>5</v>
      </c>
      <c r="G532" s="144"/>
      <c r="H532" s="142" t="s">
        <v>138</v>
      </c>
      <c r="I532" s="145">
        <v>5</v>
      </c>
      <c r="J532" s="144"/>
      <c r="K532" s="142" t="s">
        <v>138</v>
      </c>
      <c r="L532" s="145">
        <v>2</v>
      </c>
      <c r="M532" s="144"/>
      <c r="N532" s="142" t="s">
        <v>138</v>
      </c>
      <c r="O532" s="145">
        <v>2</v>
      </c>
      <c r="P532" s="144"/>
      <c r="Q532" s="142" t="s">
        <v>138</v>
      </c>
      <c r="R532" s="145">
        <v>2</v>
      </c>
      <c r="S532" s="144"/>
    </row>
    <row r="533" spans="1:19">
      <c r="A533" s="149" t="s">
        <v>141</v>
      </c>
      <c r="B533" s="150" t="s">
        <v>142</v>
      </c>
      <c r="E533" s="142" t="s">
        <v>138</v>
      </c>
      <c r="F533" s="145">
        <v>5</v>
      </c>
      <c r="G533" s="152"/>
      <c r="H533" s="142" t="s">
        <v>138</v>
      </c>
      <c r="I533" s="145">
        <v>5</v>
      </c>
      <c r="J533" s="152"/>
      <c r="K533" s="142" t="s">
        <v>138</v>
      </c>
      <c r="L533" s="145">
        <v>2</v>
      </c>
      <c r="M533" s="152"/>
      <c r="N533" s="142" t="s">
        <v>138</v>
      </c>
      <c r="O533" s="145">
        <v>2</v>
      </c>
      <c r="P533" s="152"/>
      <c r="Q533" s="142" t="s">
        <v>138</v>
      </c>
      <c r="R533" s="145">
        <v>2</v>
      </c>
      <c r="S533" s="152"/>
    </row>
    <row r="534" spans="1:19">
      <c r="A534" s="149" t="s">
        <v>143</v>
      </c>
      <c r="B534" s="150" t="s">
        <v>144</v>
      </c>
      <c r="E534" s="142" t="s">
        <v>138</v>
      </c>
      <c r="F534" s="145">
        <v>5</v>
      </c>
      <c r="G534" s="152"/>
      <c r="H534" s="142" t="s">
        <v>138</v>
      </c>
      <c r="I534" s="145">
        <v>5</v>
      </c>
      <c r="J534" s="152"/>
      <c r="K534" s="142" t="s">
        <v>138</v>
      </c>
      <c r="L534" s="145">
        <v>2</v>
      </c>
      <c r="M534" s="152"/>
      <c r="N534" s="142" t="s">
        <v>138</v>
      </c>
      <c r="O534" s="145">
        <v>2</v>
      </c>
      <c r="P534" s="152"/>
      <c r="Q534" s="142" t="s">
        <v>138</v>
      </c>
      <c r="R534" s="145">
        <v>2</v>
      </c>
      <c r="S534" s="152"/>
    </row>
    <row r="535" spans="1:19">
      <c r="A535" s="149" t="s">
        <v>145</v>
      </c>
      <c r="B535" s="150" t="s">
        <v>146</v>
      </c>
      <c r="E535" s="142" t="s">
        <v>138</v>
      </c>
      <c r="F535" s="145">
        <v>5</v>
      </c>
      <c r="G535" s="144"/>
      <c r="H535" s="142" t="s">
        <v>138</v>
      </c>
      <c r="I535" s="145">
        <v>5</v>
      </c>
      <c r="J535" s="144"/>
      <c r="K535" s="142" t="s">
        <v>138</v>
      </c>
      <c r="L535" s="145">
        <v>2</v>
      </c>
      <c r="M535" s="144"/>
      <c r="N535" s="142" t="s">
        <v>138</v>
      </c>
      <c r="O535" s="145">
        <v>2</v>
      </c>
      <c r="P535" s="144"/>
      <c r="Q535" s="142" t="s">
        <v>138</v>
      </c>
      <c r="R535" s="145">
        <v>2</v>
      </c>
      <c r="S535" s="144"/>
    </row>
    <row r="536" spans="1:19">
      <c r="A536" s="149" t="s">
        <v>147</v>
      </c>
      <c r="B536" s="150" t="s">
        <v>148</v>
      </c>
      <c r="E536" s="142" t="s">
        <v>138</v>
      </c>
      <c r="F536" s="145">
        <v>5</v>
      </c>
      <c r="G536" s="144"/>
      <c r="H536" s="142" t="s">
        <v>138</v>
      </c>
      <c r="I536" s="145">
        <v>5</v>
      </c>
      <c r="J536" s="144"/>
      <c r="K536" s="142" t="s">
        <v>138</v>
      </c>
      <c r="L536" s="145">
        <v>2</v>
      </c>
      <c r="M536" s="144"/>
      <c r="N536" s="142" t="s">
        <v>138</v>
      </c>
      <c r="O536" s="145">
        <v>2</v>
      </c>
      <c r="P536" s="144"/>
      <c r="Q536" s="142" t="s">
        <v>138</v>
      </c>
      <c r="R536" s="145">
        <v>2</v>
      </c>
      <c r="S536" s="144"/>
    </row>
    <row r="537" spans="1:19">
      <c r="A537" s="149" t="s">
        <v>149</v>
      </c>
      <c r="B537" s="150" t="s">
        <v>150</v>
      </c>
      <c r="E537" s="142"/>
      <c r="F537" s="147">
        <v>63</v>
      </c>
      <c r="G537" s="144"/>
      <c r="H537" s="142"/>
      <c r="I537" s="147">
        <v>58</v>
      </c>
      <c r="J537" s="144"/>
      <c r="K537" s="142"/>
      <c r="L537" s="147">
        <v>47</v>
      </c>
      <c r="M537" s="144"/>
      <c r="N537" s="142"/>
      <c r="O537" s="147">
        <v>74</v>
      </c>
      <c r="P537" s="144"/>
      <c r="Q537" s="142"/>
      <c r="R537" s="147">
        <v>34</v>
      </c>
      <c r="S537" s="144"/>
    </row>
    <row r="538" spans="1:19">
      <c r="A538" s="155" t="s">
        <v>151</v>
      </c>
      <c r="B538" s="156" t="s">
        <v>152</v>
      </c>
      <c r="E538" s="142" t="s">
        <v>138</v>
      </c>
      <c r="F538" s="145">
        <v>5</v>
      </c>
      <c r="G538" s="144"/>
      <c r="H538" s="142" t="s">
        <v>138</v>
      </c>
      <c r="I538" s="145">
        <v>5</v>
      </c>
      <c r="J538" s="144"/>
      <c r="K538" s="142" t="s">
        <v>138</v>
      </c>
      <c r="L538" s="145">
        <v>2</v>
      </c>
      <c r="M538" s="144"/>
      <c r="N538" s="142" t="s">
        <v>138</v>
      </c>
      <c r="O538" s="145">
        <v>2</v>
      </c>
      <c r="P538" s="144"/>
      <c r="Q538" s="142" t="s">
        <v>138</v>
      </c>
      <c r="R538" s="145">
        <v>2</v>
      </c>
      <c r="S538" s="144"/>
    </row>
    <row r="539" spans="1:19">
      <c r="A539" s="157" t="s">
        <v>153</v>
      </c>
      <c r="B539" s="158" t="s">
        <v>154</v>
      </c>
      <c r="E539" s="160" t="s">
        <v>138</v>
      </c>
      <c r="F539" s="162">
        <v>5</v>
      </c>
      <c r="G539" s="159"/>
      <c r="H539" s="160" t="s">
        <v>138</v>
      </c>
      <c r="I539" s="162">
        <v>5</v>
      </c>
      <c r="J539" s="159"/>
      <c r="K539" s="160" t="s">
        <v>138</v>
      </c>
      <c r="L539" s="162">
        <v>2</v>
      </c>
      <c r="M539" s="159"/>
      <c r="N539" s="160" t="s">
        <v>138</v>
      </c>
      <c r="O539" s="162">
        <v>2</v>
      </c>
      <c r="P539" s="159"/>
      <c r="Q539" s="160" t="s">
        <v>138</v>
      </c>
      <c r="R539" s="162">
        <v>2</v>
      </c>
      <c r="S539" s="159"/>
    </row>
    <row r="540" spans="1:19">
      <c r="A540" s="164" t="s">
        <v>155</v>
      </c>
      <c r="B540" s="165"/>
      <c r="E540" s="142"/>
      <c r="F540" s="168"/>
      <c r="G540" s="144"/>
      <c r="H540" s="142"/>
      <c r="I540" s="168"/>
      <c r="J540" s="144"/>
      <c r="K540" s="142"/>
      <c r="L540" s="168"/>
      <c r="M540" s="144"/>
      <c r="N540" s="142"/>
      <c r="O540" s="168"/>
      <c r="P540" s="144"/>
      <c r="Q540" s="142"/>
      <c r="R540" s="168"/>
      <c r="S540" s="144"/>
    </row>
    <row r="541" spans="1:19">
      <c r="A541" s="149" t="s">
        <v>156</v>
      </c>
      <c r="B541" s="150" t="s">
        <v>157</v>
      </c>
      <c r="E541" s="171"/>
      <c r="F541" s="169" t="s">
        <v>158</v>
      </c>
      <c r="G541" s="144"/>
      <c r="H541" s="171"/>
      <c r="I541" s="169" t="s">
        <v>158</v>
      </c>
      <c r="J541" s="144"/>
      <c r="K541" s="171"/>
      <c r="L541" s="169" t="s">
        <v>158</v>
      </c>
      <c r="M541" s="144"/>
      <c r="N541" s="171"/>
      <c r="O541" s="169" t="s">
        <v>158</v>
      </c>
      <c r="P541" s="144"/>
      <c r="Q541" s="171"/>
      <c r="R541" s="169" t="s">
        <v>158</v>
      </c>
      <c r="S541" s="144"/>
    </row>
    <row r="542" spans="1:19">
      <c r="A542" s="149" t="s">
        <v>159</v>
      </c>
      <c r="B542" s="150" t="s">
        <v>160</v>
      </c>
      <c r="E542" s="171"/>
      <c r="F542" s="169" t="s">
        <v>158</v>
      </c>
      <c r="G542" s="144"/>
      <c r="H542" s="171"/>
      <c r="I542" s="169" t="s">
        <v>158</v>
      </c>
      <c r="J542" s="144"/>
      <c r="K542" s="171"/>
      <c r="L542" s="169" t="s">
        <v>158</v>
      </c>
      <c r="M542" s="144"/>
      <c r="N542" s="171"/>
      <c r="O542" s="169" t="s">
        <v>158</v>
      </c>
      <c r="P542" s="144"/>
      <c r="Q542" s="171"/>
      <c r="R542" s="169" t="s">
        <v>158</v>
      </c>
      <c r="S542" s="144"/>
    </row>
    <row r="543" spans="1:19">
      <c r="A543" s="149" t="s">
        <v>161</v>
      </c>
      <c r="B543" s="150" t="s">
        <v>160</v>
      </c>
      <c r="E543" s="171"/>
      <c r="F543" s="169" t="s">
        <v>158</v>
      </c>
      <c r="G543" s="144"/>
      <c r="H543" s="171"/>
      <c r="I543" s="169" t="s">
        <v>158</v>
      </c>
      <c r="J543" s="144"/>
      <c r="K543" s="171"/>
      <c r="L543" s="169" t="s">
        <v>158</v>
      </c>
      <c r="M543" s="144"/>
      <c r="N543" s="171"/>
      <c r="O543" s="169" t="s">
        <v>158</v>
      </c>
      <c r="P543" s="144"/>
      <c r="Q543" s="171"/>
      <c r="R543" s="169" t="s">
        <v>158</v>
      </c>
      <c r="S543" s="144"/>
    </row>
    <row r="544" spans="1:19">
      <c r="A544" s="149" t="s">
        <v>162</v>
      </c>
      <c r="B544" s="150" t="s">
        <v>160</v>
      </c>
      <c r="E544" s="171"/>
      <c r="F544" s="169" t="s">
        <v>158</v>
      </c>
      <c r="G544" s="144"/>
      <c r="H544" s="171"/>
      <c r="I544" s="169" t="s">
        <v>158</v>
      </c>
      <c r="J544" s="144"/>
      <c r="K544" s="171"/>
      <c r="L544" s="169" t="s">
        <v>158</v>
      </c>
      <c r="M544" s="144"/>
      <c r="N544" s="171"/>
      <c r="O544" s="169" t="s">
        <v>158</v>
      </c>
      <c r="P544" s="144"/>
      <c r="Q544" s="171"/>
      <c r="R544" s="169" t="s">
        <v>158</v>
      </c>
      <c r="S544" s="144"/>
    </row>
    <row r="545" spans="1:19">
      <c r="A545" s="149" t="s">
        <v>163</v>
      </c>
      <c r="B545" s="150" t="s">
        <v>160</v>
      </c>
      <c r="E545" s="171"/>
      <c r="F545" s="169" t="s">
        <v>158</v>
      </c>
      <c r="G545" s="144"/>
      <c r="H545" s="171"/>
      <c r="I545" s="169" t="s">
        <v>158</v>
      </c>
      <c r="J545" s="144"/>
      <c r="K545" s="171"/>
      <c r="L545" s="169" t="s">
        <v>158</v>
      </c>
      <c r="M545" s="144"/>
      <c r="N545" s="171"/>
      <c r="O545" s="169" t="s">
        <v>158</v>
      </c>
      <c r="P545" s="144"/>
      <c r="Q545" s="171"/>
      <c r="R545" s="169" t="s">
        <v>158</v>
      </c>
      <c r="S545" s="144"/>
    </row>
    <row r="546" spans="1:19">
      <c r="A546" s="149" t="s">
        <v>164</v>
      </c>
      <c r="B546" s="150" t="s">
        <v>160</v>
      </c>
      <c r="E546" s="171"/>
      <c r="F546" s="169" t="s">
        <v>158</v>
      </c>
      <c r="G546" s="144"/>
      <c r="H546" s="171"/>
      <c r="I546" s="169" t="s">
        <v>158</v>
      </c>
      <c r="J546" s="144"/>
      <c r="K546" s="171"/>
      <c r="L546" s="169" t="s">
        <v>158</v>
      </c>
      <c r="M546" s="144"/>
      <c r="N546" s="171"/>
      <c r="O546" s="169" t="s">
        <v>158</v>
      </c>
      <c r="P546" s="144"/>
      <c r="Q546" s="171"/>
      <c r="R546" s="169" t="s">
        <v>158</v>
      </c>
      <c r="S546" s="144"/>
    </row>
    <row r="547" spans="1:19">
      <c r="A547" s="149" t="s">
        <v>165</v>
      </c>
      <c r="B547" s="150" t="s">
        <v>160</v>
      </c>
      <c r="E547" s="171"/>
      <c r="F547" s="169" t="s">
        <v>158</v>
      </c>
      <c r="G547" s="144"/>
      <c r="H547" s="171"/>
      <c r="I547" s="169" t="s">
        <v>158</v>
      </c>
      <c r="J547" s="144"/>
      <c r="K547" s="171"/>
      <c r="L547" s="169" t="s">
        <v>158</v>
      </c>
      <c r="M547" s="144"/>
      <c r="N547" s="171"/>
      <c r="O547" s="169" t="s">
        <v>158</v>
      </c>
      <c r="P547" s="144"/>
      <c r="Q547" s="171"/>
      <c r="R547" s="169" t="s">
        <v>158</v>
      </c>
      <c r="S547" s="144"/>
    </row>
    <row r="548" spans="1:19">
      <c r="A548" s="149" t="s">
        <v>166</v>
      </c>
      <c r="B548" s="150" t="s">
        <v>160</v>
      </c>
      <c r="E548" s="171"/>
      <c r="F548" s="169" t="s">
        <v>158</v>
      </c>
      <c r="G548" s="144"/>
      <c r="H548" s="171"/>
      <c r="I548" s="169" t="s">
        <v>158</v>
      </c>
      <c r="J548" s="144"/>
      <c r="K548" s="171"/>
      <c r="L548" s="169" t="s">
        <v>158</v>
      </c>
      <c r="M548" s="144"/>
      <c r="N548" s="171"/>
      <c r="O548" s="169" t="s">
        <v>158</v>
      </c>
      <c r="P548" s="144"/>
      <c r="Q548" s="171"/>
      <c r="R548" s="169" t="s">
        <v>158</v>
      </c>
      <c r="S548" s="144"/>
    </row>
    <row r="549" spans="1:19">
      <c r="A549" s="172" t="s">
        <v>167</v>
      </c>
      <c r="B549" s="173" t="s">
        <v>168</v>
      </c>
      <c r="E549" s="176"/>
      <c r="F549" s="174" t="s">
        <v>158</v>
      </c>
      <c r="G549" s="159"/>
      <c r="H549" s="176"/>
      <c r="I549" s="174" t="s">
        <v>158</v>
      </c>
      <c r="J549" s="159"/>
      <c r="K549" s="176"/>
      <c r="L549" s="174" t="s">
        <v>158</v>
      </c>
      <c r="M549" s="159"/>
      <c r="N549" s="176"/>
      <c r="O549" s="174" t="s">
        <v>158</v>
      </c>
      <c r="P549" s="159"/>
      <c r="Q549" s="176"/>
      <c r="R549" s="174" t="s">
        <v>158</v>
      </c>
      <c r="S549" s="159"/>
    </row>
    <row r="550" spans="1:19">
      <c r="A550" s="177" t="s">
        <v>169</v>
      </c>
      <c r="B550" s="150"/>
      <c r="E550" s="166"/>
      <c r="F550" s="167"/>
      <c r="G550" s="144"/>
      <c r="H550" s="166"/>
      <c r="I550" s="167"/>
      <c r="J550" s="144"/>
      <c r="K550" s="166"/>
      <c r="L550" s="167"/>
      <c r="M550" s="144"/>
      <c r="N550" s="166"/>
      <c r="O550" s="167"/>
      <c r="P550" s="144"/>
      <c r="Q550" s="166"/>
      <c r="R550" s="167"/>
      <c r="S550" s="144"/>
    </row>
    <row r="551" spans="1:19">
      <c r="A551" s="149" t="s">
        <v>167</v>
      </c>
      <c r="B551" s="150" t="s">
        <v>170</v>
      </c>
      <c r="E551" s="179"/>
      <c r="F551" s="180">
        <v>7.16</v>
      </c>
      <c r="G551" s="144"/>
      <c r="H551" s="179"/>
      <c r="I551" s="180">
        <v>6.81</v>
      </c>
      <c r="J551" s="144"/>
      <c r="K551" s="179"/>
      <c r="L551" s="180">
        <v>6.7</v>
      </c>
      <c r="M551" s="144"/>
      <c r="N551" s="179"/>
      <c r="O551" s="180">
        <v>6.59</v>
      </c>
      <c r="P551" s="144"/>
      <c r="Q551" s="179"/>
      <c r="R551" s="180">
        <v>6.46</v>
      </c>
      <c r="S551" s="144"/>
    </row>
    <row r="552" spans="1:19">
      <c r="A552" s="149" t="s">
        <v>171</v>
      </c>
      <c r="B552" s="150" t="s">
        <v>172</v>
      </c>
      <c r="E552" s="179"/>
      <c r="F552" s="180">
        <v>17.8</v>
      </c>
      <c r="G552" s="144"/>
      <c r="H552" s="179"/>
      <c r="I552" s="180">
        <v>14.99</v>
      </c>
      <c r="J552" s="144"/>
      <c r="K552" s="179"/>
      <c r="L552" s="180">
        <v>17.07</v>
      </c>
      <c r="M552" s="144"/>
      <c r="N552" s="179"/>
      <c r="O552" s="180">
        <v>22.67</v>
      </c>
      <c r="P552" s="144"/>
      <c r="Q552" s="179"/>
      <c r="R552" s="180">
        <v>7.87</v>
      </c>
      <c r="S552" s="144"/>
    </row>
    <row r="553" spans="1:19">
      <c r="A553" s="149" t="s">
        <v>173</v>
      </c>
      <c r="B553" s="150" t="s">
        <v>174</v>
      </c>
      <c r="E553" s="179"/>
      <c r="F553" s="182">
        <v>0.75600000000000001</v>
      </c>
      <c r="G553" s="144"/>
      <c r="H553" s="179"/>
      <c r="I553" s="182">
        <v>1.137</v>
      </c>
      <c r="J553" s="144"/>
      <c r="K553" s="179"/>
      <c r="L553" s="182">
        <v>0.74299999999999999</v>
      </c>
      <c r="M553" s="144"/>
      <c r="N553" s="179"/>
      <c r="O553" s="182">
        <v>1.335</v>
      </c>
      <c r="P553" s="144"/>
      <c r="Q553" s="179"/>
      <c r="R553" s="182">
        <v>1.0009999999999999</v>
      </c>
      <c r="S553" s="144"/>
    </row>
    <row r="554" spans="1:19">
      <c r="A554" s="149" t="s">
        <v>175</v>
      </c>
      <c r="B554" s="150" t="s">
        <v>160</v>
      </c>
      <c r="E554" s="179"/>
      <c r="F554" s="168">
        <v>0.16</v>
      </c>
      <c r="G554" s="144"/>
      <c r="H554" s="179"/>
      <c r="I554" s="168">
        <v>0.21</v>
      </c>
      <c r="J554" s="144"/>
      <c r="K554" s="179"/>
      <c r="L554" s="168">
        <v>0.16</v>
      </c>
      <c r="M554" s="144"/>
      <c r="N554" s="179"/>
      <c r="O554" s="168">
        <v>0.39</v>
      </c>
      <c r="P554" s="144"/>
      <c r="Q554" s="179"/>
      <c r="R554" s="168">
        <v>0.22</v>
      </c>
      <c r="S554" s="144"/>
    </row>
    <row r="555" spans="1:19">
      <c r="A555" s="149" t="s">
        <v>176</v>
      </c>
      <c r="B555" s="150" t="s">
        <v>177</v>
      </c>
      <c r="E555" s="179"/>
      <c r="F555" s="168">
        <v>107.7</v>
      </c>
      <c r="G555" s="144"/>
      <c r="H555" s="179"/>
      <c r="I555" s="168">
        <v>91.6</v>
      </c>
      <c r="J555" s="144"/>
      <c r="K555" s="179"/>
      <c r="L555" s="168">
        <v>40.4</v>
      </c>
      <c r="M555" s="144"/>
      <c r="N555" s="179"/>
      <c r="O555" s="168">
        <v>22.2</v>
      </c>
      <c r="P555" s="144"/>
      <c r="Q555" s="179"/>
      <c r="R555" s="168">
        <v>40.9</v>
      </c>
      <c r="S555" s="144"/>
    </row>
    <row r="556" spans="1:19">
      <c r="A556" s="149" t="s">
        <v>178</v>
      </c>
      <c r="B556" s="150" t="s">
        <v>179</v>
      </c>
      <c r="E556" s="179"/>
      <c r="F556" s="184">
        <v>-69.2</v>
      </c>
      <c r="G556" s="144"/>
      <c r="H556" s="179"/>
      <c r="I556" s="184">
        <v>-88.9</v>
      </c>
      <c r="J556" s="144"/>
      <c r="K556" s="179"/>
      <c r="L556" s="184">
        <v>-145.9</v>
      </c>
      <c r="M556" s="144"/>
      <c r="N556" s="179"/>
      <c r="O556" s="184">
        <v>-11</v>
      </c>
      <c r="P556" s="144"/>
      <c r="Q556" s="179"/>
      <c r="R556" s="184">
        <v>-3.2</v>
      </c>
      <c r="S556" s="144"/>
    </row>
    <row r="557" spans="1:19">
      <c r="A557" s="149" t="s">
        <v>180</v>
      </c>
      <c r="B557" s="150" t="s">
        <v>181</v>
      </c>
      <c r="E557" s="179"/>
      <c r="F557" s="180">
        <v>0.43</v>
      </c>
      <c r="G557" s="144"/>
      <c r="H557" s="179"/>
      <c r="I557" s="180">
        <v>0.7</v>
      </c>
      <c r="J557" s="144"/>
      <c r="K557" s="179"/>
      <c r="L557" s="180">
        <v>0.43</v>
      </c>
      <c r="M557" s="144"/>
      <c r="N557" s="179"/>
      <c r="O557" s="180">
        <v>0.7</v>
      </c>
      <c r="P557" s="144"/>
      <c r="Q557" s="179"/>
      <c r="R557" s="180">
        <v>0.75</v>
      </c>
      <c r="S557" s="144"/>
    </row>
    <row r="558" spans="1:19">
      <c r="A558" s="149" t="s">
        <v>166</v>
      </c>
      <c r="B558" s="150" t="s">
        <v>182</v>
      </c>
      <c r="E558" s="179"/>
      <c r="F558" s="168">
        <v>0.56799999999999995</v>
      </c>
      <c r="G558" s="144"/>
      <c r="H558" s="179"/>
      <c r="I558" s="168">
        <v>0.90900000000000003</v>
      </c>
      <c r="J558" s="144"/>
      <c r="K558" s="179"/>
      <c r="L558" s="182">
        <v>0.56999999999999995</v>
      </c>
      <c r="M558" s="144"/>
      <c r="N558" s="179"/>
      <c r="O558" s="182">
        <v>0.90800000000000003</v>
      </c>
      <c r="P558" s="144"/>
      <c r="Q558" s="179"/>
      <c r="R558" s="182">
        <v>0.96699999999999997</v>
      </c>
      <c r="S558" s="144"/>
    </row>
    <row r="559" spans="1:19">
      <c r="A559" s="149" t="s">
        <v>183</v>
      </c>
      <c r="B559" s="150" t="s">
        <v>9</v>
      </c>
      <c r="E559" s="179"/>
      <c r="F559" s="184">
        <v>9</v>
      </c>
      <c r="G559" s="144"/>
      <c r="H559" s="179"/>
      <c r="I559" s="184">
        <v>9</v>
      </c>
      <c r="J559" s="144"/>
      <c r="K559" s="179"/>
      <c r="L559" s="180">
        <v>13.75</v>
      </c>
      <c r="M559" s="144"/>
      <c r="N559" s="179"/>
      <c r="O559" s="184">
        <v>9</v>
      </c>
      <c r="P559" s="144"/>
      <c r="Q559" s="179"/>
      <c r="R559" s="184">
        <v>9</v>
      </c>
      <c r="S559" s="144"/>
    </row>
    <row r="560" spans="1:19">
      <c r="A560" s="172" t="s">
        <v>184</v>
      </c>
      <c r="B560" s="173" t="s">
        <v>185</v>
      </c>
      <c r="C560" s="172"/>
      <c r="D560" s="195"/>
      <c r="E560" s="185"/>
      <c r="F560" s="186">
        <v>300</v>
      </c>
      <c r="G560" s="159"/>
      <c r="H560" s="185"/>
      <c r="I560" s="186">
        <v>300</v>
      </c>
      <c r="J560" s="159"/>
      <c r="K560" s="185"/>
      <c r="L560" s="186">
        <v>250</v>
      </c>
      <c r="M560" s="159"/>
      <c r="N560" s="185"/>
      <c r="O560" s="186">
        <v>300</v>
      </c>
      <c r="P560" s="159"/>
      <c r="Q560" s="185"/>
      <c r="R560" s="186">
        <v>300</v>
      </c>
      <c r="S560" s="159"/>
    </row>
    <row r="562" spans="1:1">
      <c r="A562" s="190" t="s">
        <v>186</v>
      </c>
    </row>
    <row r="563" spans="1:1">
      <c r="A563" s="191" t="s">
        <v>187</v>
      </c>
    </row>
    <row r="564" spans="1:1">
      <c r="A564" s="191" t="s">
        <v>188</v>
      </c>
    </row>
    <row r="565" spans="1:1">
      <c r="A565" s="192" t="s">
        <v>189</v>
      </c>
    </row>
  </sheetData>
  <sheetProtection password="D9B1" sheet="1" objects="1" scenarios="1" selectLockedCells="1" selectUnlockedCells="1"/>
  <mergeCells count="882">
    <mergeCell ref="W209:Y209"/>
    <mergeCell ref="Z209:AB209"/>
    <mergeCell ref="AC209:AE209"/>
    <mergeCell ref="W169:Y169"/>
    <mergeCell ref="Z169:AB169"/>
    <mergeCell ref="AC169:AE169"/>
    <mergeCell ref="N205:P205"/>
    <mergeCell ref="Q205:S205"/>
    <mergeCell ref="T205:V205"/>
    <mergeCell ref="N204:P204"/>
    <mergeCell ref="Q204:S204"/>
    <mergeCell ref="T204:V204"/>
    <mergeCell ref="N203:P203"/>
    <mergeCell ref="Q203:S203"/>
    <mergeCell ref="T203:V203"/>
    <mergeCell ref="N202:P202"/>
    <mergeCell ref="Q202:S202"/>
    <mergeCell ref="T202:V202"/>
    <mergeCell ref="N201:P201"/>
    <mergeCell ref="Q201:S201"/>
    <mergeCell ref="T201:V201"/>
    <mergeCell ref="W208:Y208"/>
    <mergeCell ref="Z208:AB208"/>
    <mergeCell ref="AC208:AE208"/>
    <mergeCell ref="T207:V207"/>
    <mergeCell ref="E207:G207"/>
    <mergeCell ref="H207:J207"/>
    <mergeCell ref="K207:M207"/>
    <mergeCell ref="N206:P206"/>
    <mergeCell ref="Q206:S206"/>
    <mergeCell ref="T206:V206"/>
    <mergeCell ref="N209:P209"/>
    <mergeCell ref="Q209:S209"/>
    <mergeCell ref="T209:V209"/>
    <mergeCell ref="T129:V129"/>
    <mergeCell ref="N122:P122"/>
    <mergeCell ref="Q122:S122"/>
    <mergeCell ref="T122:V122"/>
    <mergeCell ref="N121:P121"/>
    <mergeCell ref="Q121:S121"/>
    <mergeCell ref="T121:V121"/>
    <mergeCell ref="E209:G209"/>
    <mergeCell ref="H209:J209"/>
    <mergeCell ref="K209:M209"/>
    <mergeCell ref="E169:G169"/>
    <mergeCell ref="H169:J169"/>
    <mergeCell ref="K169:M169"/>
    <mergeCell ref="N169:P169"/>
    <mergeCell ref="Q169:S169"/>
    <mergeCell ref="T169:V169"/>
    <mergeCell ref="N208:P208"/>
    <mergeCell ref="Q208:S208"/>
    <mergeCell ref="T208:V208"/>
    <mergeCell ref="E208:G208"/>
    <mergeCell ref="H208:J208"/>
    <mergeCell ref="K208:M208"/>
    <mergeCell ref="N207:P207"/>
    <mergeCell ref="Q207:S207"/>
    <mergeCell ref="E129:G129"/>
    <mergeCell ref="H129:J129"/>
    <mergeCell ref="K129:M129"/>
    <mergeCell ref="E89:G89"/>
    <mergeCell ref="H89:J89"/>
    <mergeCell ref="K89:M89"/>
    <mergeCell ref="N89:P89"/>
    <mergeCell ref="Q89:S89"/>
    <mergeCell ref="T89:V89"/>
    <mergeCell ref="N127:P127"/>
    <mergeCell ref="Q127:S127"/>
    <mergeCell ref="T127:V127"/>
    <mergeCell ref="E127:G127"/>
    <mergeCell ref="H127:J127"/>
    <mergeCell ref="K127:M127"/>
    <mergeCell ref="N126:P126"/>
    <mergeCell ref="N124:P124"/>
    <mergeCell ref="Q124:S124"/>
    <mergeCell ref="T124:V124"/>
    <mergeCell ref="E124:G124"/>
    <mergeCell ref="H124:J124"/>
    <mergeCell ref="K124:M124"/>
    <mergeCell ref="N129:P129"/>
    <mergeCell ref="Q129:S129"/>
    <mergeCell ref="N48:P48"/>
    <mergeCell ref="Q48:S48"/>
    <mergeCell ref="T48:V48"/>
    <mergeCell ref="Z49:AB49"/>
    <mergeCell ref="AC49:AE49"/>
    <mergeCell ref="U9:W9"/>
    <mergeCell ref="X9:Z9"/>
    <mergeCell ref="AA9:AC9"/>
    <mergeCell ref="W48:Y48"/>
    <mergeCell ref="Z48:AB48"/>
    <mergeCell ref="AC48:AE48"/>
    <mergeCell ref="E168:G168"/>
    <mergeCell ref="H168:J168"/>
    <mergeCell ref="K168:M168"/>
    <mergeCell ref="N168:P168"/>
    <mergeCell ref="Q168:S168"/>
    <mergeCell ref="T168:V168"/>
    <mergeCell ref="N128:P128"/>
    <mergeCell ref="Q128:S128"/>
    <mergeCell ref="T128:V128"/>
    <mergeCell ref="E128:G128"/>
    <mergeCell ref="H128:J128"/>
    <mergeCell ref="K128:M128"/>
    <mergeCell ref="E167:G167"/>
    <mergeCell ref="H167:J167"/>
    <mergeCell ref="K167:M167"/>
    <mergeCell ref="N167:P167"/>
    <mergeCell ref="Q167:S167"/>
    <mergeCell ref="T167:V167"/>
    <mergeCell ref="E166:G166"/>
    <mergeCell ref="H166:J166"/>
    <mergeCell ref="K166:M166"/>
    <mergeCell ref="N166:P166"/>
    <mergeCell ref="Q166:S166"/>
    <mergeCell ref="T166:V166"/>
    <mergeCell ref="W168:Y168"/>
    <mergeCell ref="Z168:AB168"/>
    <mergeCell ref="AC168:AE168"/>
    <mergeCell ref="W127:Y127"/>
    <mergeCell ref="Z127:AB127"/>
    <mergeCell ref="AC127:AE127"/>
    <mergeCell ref="W129:Y129"/>
    <mergeCell ref="Z129:AB129"/>
    <mergeCell ref="AC129:AE129"/>
    <mergeCell ref="W128:Y128"/>
    <mergeCell ref="Z128:AB128"/>
    <mergeCell ref="AC128:AE128"/>
    <mergeCell ref="T47:V47"/>
    <mergeCell ref="E47:G47"/>
    <mergeCell ref="H47:J47"/>
    <mergeCell ref="K47:M47"/>
    <mergeCell ref="Q87:S87"/>
    <mergeCell ref="T87:V87"/>
    <mergeCell ref="N86:P86"/>
    <mergeCell ref="Q86:S86"/>
    <mergeCell ref="T86:V86"/>
    <mergeCell ref="E85:G85"/>
    <mergeCell ref="H85:J85"/>
    <mergeCell ref="K85:M85"/>
    <mergeCell ref="N85:P85"/>
    <mergeCell ref="Q85:S85"/>
    <mergeCell ref="T85:V85"/>
    <mergeCell ref="E49:G49"/>
    <mergeCell ref="H49:J49"/>
    <mergeCell ref="K49:M49"/>
    <mergeCell ref="N49:P49"/>
    <mergeCell ref="Q49:S49"/>
    <mergeCell ref="T49:V49"/>
    <mergeCell ref="E48:G48"/>
    <mergeCell ref="H48:J48"/>
    <mergeCell ref="K48:M48"/>
    <mergeCell ref="W207:Y207"/>
    <mergeCell ref="Z207:AB207"/>
    <mergeCell ref="AC207:AE207"/>
    <mergeCell ref="W167:Y167"/>
    <mergeCell ref="Z167:AB167"/>
    <mergeCell ref="AC167:AE167"/>
    <mergeCell ref="W126:Y126"/>
    <mergeCell ref="Z126:AB126"/>
    <mergeCell ref="AC126:AE126"/>
    <mergeCell ref="W203:Y203"/>
    <mergeCell ref="Z203:AB203"/>
    <mergeCell ref="AC203:AE203"/>
    <mergeCell ref="W202:Y202"/>
    <mergeCell ref="Z202:AB202"/>
    <mergeCell ref="AC202:AE202"/>
    <mergeCell ref="W162:Y162"/>
    <mergeCell ref="Z162:AB162"/>
    <mergeCell ref="AC162:AE162"/>
    <mergeCell ref="W201:Y201"/>
    <mergeCell ref="Z201:AB201"/>
    <mergeCell ref="AC201:AE201"/>
    <mergeCell ref="W161:Y161"/>
    <mergeCell ref="Z161:AB161"/>
    <mergeCell ref="AC161:AE161"/>
    <mergeCell ref="W47:Y47"/>
    <mergeCell ref="W206:Y206"/>
    <mergeCell ref="Z206:AB206"/>
    <mergeCell ref="AC206:AE206"/>
    <mergeCell ref="W166:Y166"/>
    <mergeCell ref="Z166:AB166"/>
    <mergeCell ref="AC166:AE166"/>
    <mergeCell ref="U7:W7"/>
    <mergeCell ref="X7:Z7"/>
    <mergeCell ref="AA7:AC7"/>
    <mergeCell ref="W46:Y46"/>
    <mergeCell ref="Z46:AB46"/>
    <mergeCell ref="AC46:AE46"/>
    <mergeCell ref="W87:Y87"/>
    <mergeCell ref="Z87:AB87"/>
    <mergeCell ref="AC87:AE87"/>
    <mergeCell ref="X8:Z8"/>
    <mergeCell ref="AA8:AC8"/>
    <mergeCell ref="Z47:AB47"/>
    <mergeCell ref="AC47:AE47"/>
    <mergeCell ref="T88:V88"/>
    <mergeCell ref="W88:Y88"/>
    <mergeCell ref="Z88:AB88"/>
    <mergeCell ref="AC88:AE88"/>
    <mergeCell ref="W49:Y49"/>
    <mergeCell ref="E206:G206"/>
    <mergeCell ref="H206:J206"/>
    <mergeCell ref="K206:M206"/>
    <mergeCell ref="E126:G126"/>
    <mergeCell ref="H126:J126"/>
    <mergeCell ref="K126:M126"/>
    <mergeCell ref="E86:G86"/>
    <mergeCell ref="H86:J86"/>
    <mergeCell ref="K86:M86"/>
    <mergeCell ref="E165:G165"/>
    <mergeCell ref="H165:J165"/>
    <mergeCell ref="K165:M165"/>
    <mergeCell ref="E205:G205"/>
    <mergeCell ref="H205:J205"/>
    <mergeCell ref="K205:M205"/>
    <mergeCell ref="E125:G125"/>
    <mergeCell ref="H125:J125"/>
    <mergeCell ref="K125:M125"/>
    <mergeCell ref="E164:G164"/>
    <mergeCell ref="H164:J164"/>
    <mergeCell ref="K164:M164"/>
    <mergeCell ref="E204:G204"/>
    <mergeCell ref="H204:J204"/>
    <mergeCell ref="K204:M204"/>
    <mergeCell ref="E46:G46"/>
    <mergeCell ref="H46:J46"/>
    <mergeCell ref="K46:M46"/>
    <mergeCell ref="C6:E6"/>
    <mergeCell ref="F6:H6"/>
    <mergeCell ref="I6:K6"/>
    <mergeCell ref="L6:N6"/>
    <mergeCell ref="O6:Q6"/>
    <mergeCell ref="H43:J43"/>
    <mergeCell ref="K43:M43"/>
    <mergeCell ref="H87:J87"/>
    <mergeCell ref="K87:M87"/>
    <mergeCell ref="C7:E7"/>
    <mergeCell ref="F7:H7"/>
    <mergeCell ref="I7:K7"/>
    <mergeCell ref="L7:N7"/>
    <mergeCell ref="O7:Q7"/>
    <mergeCell ref="N46:P46"/>
    <mergeCell ref="Q46:S46"/>
    <mergeCell ref="C8:E8"/>
    <mergeCell ref="F8:H8"/>
    <mergeCell ref="I8:K8"/>
    <mergeCell ref="L8:N8"/>
    <mergeCell ref="N45:P45"/>
    <mergeCell ref="Q45:S45"/>
    <mergeCell ref="T45:V45"/>
    <mergeCell ref="N165:P165"/>
    <mergeCell ref="Q165:S165"/>
    <mergeCell ref="T165:V165"/>
    <mergeCell ref="N125:P125"/>
    <mergeCell ref="Q125:S125"/>
    <mergeCell ref="T125:V125"/>
    <mergeCell ref="Q161:S161"/>
    <mergeCell ref="T161:V161"/>
    <mergeCell ref="N84:P84"/>
    <mergeCell ref="Q84:S84"/>
    <mergeCell ref="T84:V84"/>
    <mergeCell ref="N83:P83"/>
    <mergeCell ref="Q83:S83"/>
    <mergeCell ref="T83:V83"/>
    <mergeCell ref="N82:P82"/>
    <mergeCell ref="Q82:S82"/>
    <mergeCell ref="T82:V82"/>
    <mergeCell ref="N87:P87"/>
    <mergeCell ref="T46:V46"/>
    <mergeCell ref="N47:P47"/>
    <mergeCell ref="Q47:S47"/>
    <mergeCell ref="W125:Y125"/>
    <mergeCell ref="Z125:AB125"/>
    <mergeCell ref="AC125:AE125"/>
    <mergeCell ref="N164:P164"/>
    <mergeCell ref="Q164:S164"/>
    <mergeCell ref="T164:V164"/>
    <mergeCell ref="Q126:S126"/>
    <mergeCell ref="T126:V126"/>
    <mergeCell ref="W205:Y205"/>
    <mergeCell ref="Z205:AB205"/>
    <mergeCell ref="AC205:AE205"/>
    <mergeCell ref="W165:Y165"/>
    <mergeCell ref="Z165:AB165"/>
    <mergeCell ref="AC165:AE165"/>
    <mergeCell ref="W204:Y204"/>
    <mergeCell ref="Z204:AB204"/>
    <mergeCell ref="AC204:AE204"/>
    <mergeCell ref="W164:Y164"/>
    <mergeCell ref="Z164:AB164"/>
    <mergeCell ref="AC164:AE164"/>
    <mergeCell ref="N162:P162"/>
    <mergeCell ref="Q162:S162"/>
    <mergeCell ref="T162:V162"/>
    <mergeCell ref="N161:P161"/>
    <mergeCell ref="W124:Y124"/>
    <mergeCell ref="Z124:AB124"/>
    <mergeCell ref="AC124:AE124"/>
    <mergeCell ref="X5:Z5"/>
    <mergeCell ref="AA5:AC5"/>
    <mergeCell ref="E45:G45"/>
    <mergeCell ref="H45:J45"/>
    <mergeCell ref="K45:M45"/>
    <mergeCell ref="C5:E5"/>
    <mergeCell ref="F5:H5"/>
    <mergeCell ref="I5:K5"/>
    <mergeCell ref="L5:N5"/>
    <mergeCell ref="O5:Q5"/>
    <mergeCell ref="R5:T5"/>
    <mergeCell ref="W44:Y44"/>
    <mergeCell ref="Z44:AB44"/>
    <mergeCell ref="AC44:AE44"/>
    <mergeCell ref="U6:W6"/>
    <mergeCell ref="X6:Z6"/>
    <mergeCell ref="AA6:AC6"/>
    <mergeCell ref="W45:Y45"/>
    <mergeCell ref="Z45:AB45"/>
    <mergeCell ref="AC45:AE45"/>
    <mergeCell ref="W123:Y123"/>
    <mergeCell ref="Z123:AB123"/>
    <mergeCell ref="AC123:AE123"/>
    <mergeCell ref="E44:G44"/>
    <mergeCell ref="H44:J44"/>
    <mergeCell ref="K44:M44"/>
    <mergeCell ref="C4:E4"/>
    <mergeCell ref="F4:H4"/>
    <mergeCell ref="I4:K4"/>
    <mergeCell ref="L4:N4"/>
    <mergeCell ref="O4:Q4"/>
    <mergeCell ref="R4:T4"/>
    <mergeCell ref="N43:P43"/>
    <mergeCell ref="Q43:S43"/>
    <mergeCell ref="T43:V43"/>
    <mergeCell ref="N44:P44"/>
    <mergeCell ref="Q44:S44"/>
    <mergeCell ref="T44:V44"/>
    <mergeCell ref="U5:W5"/>
    <mergeCell ref="U4:W4"/>
    <mergeCell ref="X4:Z4"/>
    <mergeCell ref="AA4:AC4"/>
    <mergeCell ref="W43:Y43"/>
    <mergeCell ref="Z43:AB43"/>
    <mergeCell ref="AC43:AE43"/>
    <mergeCell ref="W84:Y84"/>
    <mergeCell ref="Z84:AB84"/>
    <mergeCell ref="AC84:AE84"/>
    <mergeCell ref="E201:G201"/>
    <mergeCell ref="H201:J201"/>
    <mergeCell ref="K201:M201"/>
    <mergeCell ref="W83:Y83"/>
    <mergeCell ref="Z83:AB83"/>
    <mergeCell ref="AC83:AE83"/>
    <mergeCell ref="W163:Y163"/>
    <mergeCell ref="Z163:AB163"/>
    <mergeCell ref="AC163:AE163"/>
    <mergeCell ref="W122:Y122"/>
    <mergeCell ref="Z122:AB122"/>
    <mergeCell ref="AC122:AE122"/>
    <mergeCell ref="E163:G163"/>
    <mergeCell ref="H163:J163"/>
    <mergeCell ref="K163:M163"/>
    <mergeCell ref="N163:P163"/>
    <mergeCell ref="Q163:S163"/>
    <mergeCell ref="T163:V163"/>
    <mergeCell ref="N123:P123"/>
    <mergeCell ref="Q123:S123"/>
    <mergeCell ref="T123:V123"/>
    <mergeCell ref="Z42:AB42"/>
    <mergeCell ref="AC42:AE42"/>
    <mergeCell ref="E203:G203"/>
    <mergeCell ref="H203:J203"/>
    <mergeCell ref="K203:M203"/>
    <mergeCell ref="E123:G123"/>
    <mergeCell ref="H123:J123"/>
    <mergeCell ref="K123:M123"/>
    <mergeCell ref="E83:G83"/>
    <mergeCell ref="H83:J83"/>
    <mergeCell ref="K83:M83"/>
    <mergeCell ref="E162:G162"/>
    <mergeCell ref="H162:J162"/>
    <mergeCell ref="K162:M162"/>
    <mergeCell ref="E202:G202"/>
    <mergeCell ref="H202:J202"/>
    <mergeCell ref="K202:M202"/>
    <mergeCell ref="E122:G122"/>
    <mergeCell ref="H122:J122"/>
    <mergeCell ref="K122:M122"/>
    <mergeCell ref="E161:G161"/>
    <mergeCell ref="H161:J161"/>
    <mergeCell ref="K161:M161"/>
    <mergeCell ref="E43:G43"/>
    <mergeCell ref="C3:E3"/>
    <mergeCell ref="F3:H3"/>
    <mergeCell ref="I3:K3"/>
    <mergeCell ref="L3:N3"/>
    <mergeCell ref="O3:Q3"/>
    <mergeCell ref="R3:T3"/>
    <mergeCell ref="N42:P42"/>
    <mergeCell ref="Q42:S42"/>
    <mergeCell ref="T42:V42"/>
    <mergeCell ref="R6:T6"/>
    <mergeCell ref="R7:T7"/>
    <mergeCell ref="U8:W8"/>
    <mergeCell ref="W42:Y42"/>
    <mergeCell ref="O8:Q8"/>
    <mergeCell ref="R8:T8"/>
    <mergeCell ref="C9:E9"/>
    <mergeCell ref="F9:H9"/>
    <mergeCell ref="I9:K9"/>
    <mergeCell ref="L9:N9"/>
    <mergeCell ref="O9:Q9"/>
    <mergeCell ref="R9:T9"/>
    <mergeCell ref="W121:Y121"/>
    <mergeCell ref="Z121:AB121"/>
    <mergeCell ref="AC121:AE121"/>
    <mergeCell ref="E42:G42"/>
    <mergeCell ref="H42:J42"/>
    <mergeCell ref="K42:M42"/>
    <mergeCell ref="C2:E2"/>
    <mergeCell ref="F2:H2"/>
    <mergeCell ref="I2:K2"/>
    <mergeCell ref="L2:N2"/>
    <mergeCell ref="O2:Q2"/>
    <mergeCell ref="R2:T2"/>
    <mergeCell ref="W81:Y81"/>
    <mergeCell ref="Z81:AB81"/>
    <mergeCell ref="AC81:AE81"/>
    <mergeCell ref="W82:Y82"/>
    <mergeCell ref="Z82:AB82"/>
    <mergeCell ref="AC82:AE82"/>
    <mergeCell ref="W85:Y85"/>
    <mergeCell ref="Z85:AB85"/>
    <mergeCell ref="AC85:AE85"/>
    <mergeCell ref="W86:Y86"/>
    <mergeCell ref="Z86:AB86"/>
    <mergeCell ref="AC86:AE86"/>
    <mergeCell ref="W89:Y89"/>
    <mergeCell ref="Z89:AB89"/>
    <mergeCell ref="AC89:AE89"/>
    <mergeCell ref="E121:G121"/>
    <mergeCell ref="H121:J121"/>
    <mergeCell ref="K121:M121"/>
    <mergeCell ref="E81:G81"/>
    <mergeCell ref="H81:J81"/>
    <mergeCell ref="K81:M81"/>
    <mergeCell ref="N81:P81"/>
    <mergeCell ref="Q81:S81"/>
    <mergeCell ref="T81:V81"/>
    <mergeCell ref="E84:G84"/>
    <mergeCell ref="H84:J84"/>
    <mergeCell ref="K84:M84"/>
    <mergeCell ref="E82:G82"/>
    <mergeCell ref="H82:J82"/>
    <mergeCell ref="K82:M82"/>
    <mergeCell ref="E88:G88"/>
    <mergeCell ref="H88:J88"/>
    <mergeCell ref="K88:M88"/>
    <mergeCell ref="N88:P88"/>
    <mergeCell ref="Q88:S88"/>
    <mergeCell ref="E87:G87"/>
    <mergeCell ref="U1:W1"/>
    <mergeCell ref="X1:Z1"/>
    <mergeCell ref="AA1:AC1"/>
    <mergeCell ref="E41:G41"/>
    <mergeCell ref="H41:J41"/>
    <mergeCell ref="K41:M41"/>
    <mergeCell ref="C1:E1"/>
    <mergeCell ref="F1:H1"/>
    <mergeCell ref="I1:K1"/>
    <mergeCell ref="L1:N1"/>
    <mergeCell ref="O1:Q1"/>
    <mergeCell ref="R1:T1"/>
    <mergeCell ref="N41:P41"/>
    <mergeCell ref="Q41:S41"/>
    <mergeCell ref="T41:V41"/>
    <mergeCell ref="U2:W2"/>
    <mergeCell ref="X2:Z2"/>
    <mergeCell ref="AA2:AC2"/>
    <mergeCell ref="W41:Y41"/>
    <mergeCell ref="Z41:AB41"/>
    <mergeCell ref="AC41:AE41"/>
    <mergeCell ref="U3:W3"/>
    <mergeCell ref="X3:Z3"/>
    <mergeCell ref="AA3:AC3"/>
    <mergeCell ref="E241:G241"/>
    <mergeCell ref="H241:J241"/>
    <mergeCell ref="K241:M241"/>
    <mergeCell ref="N241:P241"/>
    <mergeCell ref="Q241:S241"/>
    <mergeCell ref="T241:V241"/>
    <mergeCell ref="W241:Y241"/>
    <mergeCell ref="E242:G242"/>
    <mergeCell ref="H242:J242"/>
    <mergeCell ref="K242:M242"/>
    <mergeCell ref="N242:P242"/>
    <mergeCell ref="Q242:S242"/>
    <mergeCell ref="T242:V242"/>
    <mergeCell ref="W242:Y242"/>
    <mergeCell ref="E243:G243"/>
    <mergeCell ref="H243:J243"/>
    <mergeCell ref="K243:M243"/>
    <mergeCell ref="N243:P243"/>
    <mergeCell ref="Q243:S243"/>
    <mergeCell ref="T243:V243"/>
    <mergeCell ref="W243:Y243"/>
    <mergeCell ref="E244:G244"/>
    <mergeCell ref="H244:J244"/>
    <mergeCell ref="K244:M244"/>
    <mergeCell ref="N244:P244"/>
    <mergeCell ref="Q244:S244"/>
    <mergeCell ref="T244:V244"/>
    <mergeCell ref="W244:Y244"/>
    <mergeCell ref="E245:G245"/>
    <mergeCell ref="H245:J245"/>
    <mergeCell ref="K245:M245"/>
    <mergeCell ref="N245:P245"/>
    <mergeCell ref="Q245:S245"/>
    <mergeCell ref="T245:V245"/>
    <mergeCell ref="W245:Y245"/>
    <mergeCell ref="E246:G246"/>
    <mergeCell ref="H246:J246"/>
    <mergeCell ref="K246:M246"/>
    <mergeCell ref="N246:P246"/>
    <mergeCell ref="Q246:S246"/>
    <mergeCell ref="T246:V246"/>
    <mergeCell ref="W246:Y246"/>
    <mergeCell ref="E247:G247"/>
    <mergeCell ref="H247:J247"/>
    <mergeCell ref="K247:M247"/>
    <mergeCell ref="N247:P247"/>
    <mergeCell ref="Q247:S247"/>
    <mergeCell ref="T247:V247"/>
    <mergeCell ref="W247:Y247"/>
    <mergeCell ref="E248:G248"/>
    <mergeCell ref="H248:J248"/>
    <mergeCell ref="K248:M248"/>
    <mergeCell ref="N248:P248"/>
    <mergeCell ref="Q248:S248"/>
    <mergeCell ref="T248:V248"/>
    <mergeCell ref="W248:Y248"/>
    <mergeCell ref="E249:G249"/>
    <mergeCell ref="H249:J249"/>
    <mergeCell ref="K249:M249"/>
    <mergeCell ref="N249:P249"/>
    <mergeCell ref="Q249:S249"/>
    <mergeCell ref="T249:V249"/>
    <mergeCell ref="W249:Y249"/>
    <mergeCell ref="E281:G281"/>
    <mergeCell ref="H281:J281"/>
    <mergeCell ref="K281:M281"/>
    <mergeCell ref="N281:P281"/>
    <mergeCell ref="Q281:S281"/>
    <mergeCell ref="T281:V281"/>
    <mergeCell ref="W281:Y281"/>
    <mergeCell ref="E282:G282"/>
    <mergeCell ref="H282:J282"/>
    <mergeCell ref="K282:M282"/>
    <mergeCell ref="N282:P282"/>
    <mergeCell ref="Q282:S282"/>
    <mergeCell ref="T282:V282"/>
    <mergeCell ref="W282:Y282"/>
    <mergeCell ref="E283:G283"/>
    <mergeCell ref="H283:J283"/>
    <mergeCell ref="K283:M283"/>
    <mergeCell ref="N283:P283"/>
    <mergeCell ref="Q283:S283"/>
    <mergeCell ref="T283:V283"/>
    <mergeCell ref="W283:Y283"/>
    <mergeCell ref="E284:G284"/>
    <mergeCell ref="H284:J284"/>
    <mergeCell ref="K284:M284"/>
    <mergeCell ref="N284:P284"/>
    <mergeCell ref="Q284:S284"/>
    <mergeCell ref="T284:V284"/>
    <mergeCell ref="W284:Y284"/>
    <mergeCell ref="E285:G285"/>
    <mergeCell ref="H285:J285"/>
    <mergeCell ref="K285:M285"/>
    <mergeCell ref="N285:P285"/>
    <mergeCell ref="Q285:S285"/>
    <mergeCell ref="T285:V285"/>
    <mergeCell ref="W285:Y285"/>
    <mergeCell ref="E286:G286"/>
    <mergeCell ref="H286:J286"/>
    <mergeCell ref="K286:M286"/>
    <mergeCell ref="N286:P286"/>
    <mergeCell ref="Q286:S286"/>
    <mergeCell ref="T286:V286"/>
    <mergeCell ref="W286:Y286"/>
    <mergeCell ref="E287:G287"/>
    <mergeCell ref="H287:J287"/>
    <mergeCell ref="K287:M287"/>
    <mergeCell ref="N287:P287"/>
    <mergeCell ref="Q287:S287"/>
    <mergeCell ref="T287:V287"/>
    <mergeCell ref="W287:Y287"/>
    <mergeCell ref="E288:G288"/>
    <mergeCell ref="H288:J288"/>
    <mergeCell ref="K288:M288"/>
    <mergeCell ref="N288:P288"/>
    <mergeCell ref="Q288:S288"/>
    <mergeCell ref="T288:V288"/>
    <mergeCell ref="W288:Y288"/>
    <mergeCell ref="E289:G289"/>
    <mergeCell ref="H289:J289"/>
    <mergeCell ref="K289:M289"/>
    <mergeCell ref="N289:P289"/>
    <mergeCell ref="Q289:S289"/>
    <mergeCell ref="T289:V289"/>
    <mergeCell ref="W289:Y289"/>
    <mergeCell ref="E321:G321"/>
    <mergeCell ref="H321:J321"/>
    <mergeCell ref="K321:M321"/>
    <mergeCell ref="N321:P321"/>
    <mergeCell ref="Q321:S321"/>
    <mergeCell ref="E322:G322"/>
    <mergeCell ref="H322:J322"/>
    <mergeCell ref="K322:M322"/>
    <mergeCell ref="N322:P322"/>
    <mergeCell ref="Q322:S322"/>
    <mergeCell ref="E323:G323"/>
    <mergeCell ref="H323:J323"/>
    <mergeCell ref="K323:M323"/>
    <mergeCell ref="N323:P323"/>
    <mergeCell ref="Q323:S323"/>
    <mergeCell ref="E324:G324"/>
    <mergeCell ref="H324:J324"/>
    <mergeCell ref="K324:M324"/>
    <mergeCell ref="N324:P324"/>
    <mergeCell ref="Q324:S324"/>
    <mergeCell ref="E325:G325"/>
    <mergeCell ref="H325:J325"/>
    <mergeCell ref="K325:M325"/>
    <mergeCell ref="N325:P325"/>
    <mergeCell ref="Q325:S325"/>
    <mergeCell ref="E326:G326"/>
    <mergeCell ref="H326:J326"/>
    <mergeCell ref="K326:M326"/>
    <mergeCell ref="N326:P326"/>
    <mergeCell ref="Q326:S326"/>
    <mergeCell ref="E327:G327"/>
    <mergeCell ref="H327:J327"/>
    <mergeCell ref="K327:M327"/>
    <mergeCell ref="N327:P327"/>
    <mergeCell ref="Q327:S327"/>
    <mergeCell ref="E328:G328"/>
    <mergeCell ref="H328:J328"/>
    <mergeCell ref="K328:M328"/>
    <mergeCell ref="N328:P328"/>
    <mergeCell ref="Q328:S328"/>
    <mergeCell ref="E329:G329"/>
    <mergeCell ref="H329:J329"/>
    <mergeCell ref="K329:M329"/>
    <mergeCell ref="N329:P329"/>
    <mergeCell ref="Q329:S329"/>
    <mergeCell ref="E361:G361"/>
    <mergeCell ref="H361:J361"/>
    <mergeCell ref="K361:M361"/>
    <mergeCell ref="N361:P361"/>
    <mergeCell ref="Q361:S361"/>
    <mergeCell ref="E362:G362"/>
    <mergeCell ref="H362:J362"/>
    <mergeCell ref="K362:M362"/>
    <mergeCell ref="N362:P362"/>
    <mergeCell ref="Q362:S362"/>
    <mergeCell ref="E363:G363"/>
    <mergeCell ref="H363:J363"/>
    <mergeCell ref="K363:M363"/>
    <mergeCell ref="N363:P363"/>
    <mergeCell ref="Q363:S363"/>
    <mergeCell ref="E364:G364"/>
    <mergeCell ref="H364:J364"/>
    <mergeCell ref="K364:M364"/>
    <mergeCell ref="N364:P364"/>
    <mergeCell ref="Q364:S364"/>
    <mergeCell ref="E365:G365"/>
    <mergeCell ref="H365:J365"/>
    <mergeCell ref="K365:M365"/>
    <mergeCell ref="N365:P365"/>
    <mergeCell ref="Q365:S365"/>
    <mergeCell ref="E366:G366"/>
    <mergeCell ref="H366:J366"/>
    <mergeCell ref="K366:M366"/>
    <mergeCell ref="N366:P366"/>
    <mergeCell ref="Q366:S366"/>
    <mergeCell ref="E367:G367"/>
    <mergeCell ref="H367:J367"/>
    <mergeCell ref="K367:M367"/>
    <mergeCell ref="N367:P367"/>
    <mergeCell ref="Q367:S367"/>
    <mergeCell ref="E368:G368"/>
    <mergeCell ref="H368:J368"/>
    <mergeCell ref="K368:M368"/>
    <mergeCell ref="N368:P368"/>
    <mergeCell ref="Q368:S368"/>
    <mergeCell ref="E369:G369"/>
    <mergeCell ref="H369:J369"/>
    <mergeCell ref="K369:M369"/>
    <mergeCell ref="N369:P369"/>
    <mergeCell ref="Q369:S369"/>
    <mergeCell ref="E401:G401"/>
    <mergeCell ref="H401:J401"/>
    <mergeCell ref="K401:M401"/>
    <mergeCell ref="N401:P401"/>
    <mergeCell ref="Q401:S401"/>
    <mergeCell ref="E402:G402"/>
    <mergeCell ref="H402:J402"/>
    <mergeCell ref="K402:M402"/>
    <mergeCell ref="N402:P402"/>
    <mergeCell ref="Q402:S402"/>
    <mergeCell ref="E403:G403"/>
    <mergeCell ref="H403:J403"/>
    <mergeCell ref="K403:M403"/>
    <mergeCell ref="N403:P403"/>
    <mergeCell ref="Q403:S403"/>
    <mergeCell ref="E404:G404"/>
    <mergeCell ref="H404:J404"/>
    <mergeCell ref="K404:M404"/>
    <mergeCell ref="N404:P404"/>
    <mergeCell ref="Q404:S404"/>
    <mergeCell ref="E405:G405"/>
    <mergeCell ref="H405:J405"/>
    <mergeCell ref="K405:M405"/>
    <mergeCell ref="N405:P405"/>
    <mergeCell ref="Q405:S405"/>
    <mergeCell ref="E406:G406"/>
    <mergeCell ref="H406:J406"/>
    <mergeCell ref="K406:M406"/>
    <mergeCell ref="N406:P406"/>
    <mergeCell ref="Q406:S406"/>
    <mergeCell ref="E407:G407"/>
    <mergeCell ref="H407:J407"/>
    <mergeCell ref="K407:M407"/>
    <mergeCell ref="N407:P407"/>
    <mergeCell ref="Q407:S407"/>
    <mergeCell ref="E408:G408"/>
    <mergeCell ref="H408:J408"/>
    <mergeCell ref="K408:M408"/>
    <mergeCell ref="N408:P408"/>
    <mergeCell ref="Q408:S408"/>
    <mergeCell ref="E409:G409"/>
    <mergeCell ref="H409:J409"/>
    <mergeCell ref="K409:M409"/>
    <mergeCell ref="N409:P409"/>
    <mergeCell ref="Q409:S409"/>
    <mergeCell ref="E441:G441"/>
    <mergeCell ref="H441:J441"/>
    <mergeCell ref="K441:M441"/>
    <mergeCell ref="N441:P441"/>
    <mergeCell ref="Q441:S441"/>
    <mergeCell ref="E442:G442"/>
    <mergeCell ref="H442:J442"/>
    <mergeCell ref="K442:M442"/>
    <mergeCell ref="N442:P442"/>
    <mergeCell ref="Q442:S442"/>
    <mergeCell ref="E443:G443"/>
    <mergeCell ref="H443:J443"/>
    <mergeCell ref="K443:M443"/>
    <mergeCell ref="N443:P443"/>
    <mergeCell ref="Q443:S443"/>
    <mergeCell ref="E444:G444"/>
    <mergeCell ref="H444:J444"/>
    <mergeCell ref="K444:M444"/>
    <mergeCell ref="N444:P444"/>
    <mergeCell ref="Q444:S444"/>
    <mergeCell ref="E445:G445"/>
    <mergeCell ref="H445:J445"/>
    <mergeCell ref="K445:M445"/>
    <mergeCell ref="N445:P445"/>
    <mergeCell ref="Q445:S445"/>
    <mergeCell ref="E446:G446"/>
    <mergeCell ref="H446:J446"/>
    <mergeCell ref="K446:M446"/>
    <mergeCell ref="N446:P446"/>
    <mergeCell ref="Q446:S446"/>
    <mergeCell ref="E447:G447"/>
    <mergeCell ref="H447:J447"/>
    <mergeCell ref="K447:M447"/>
    <mergeCell ref="N447:P447"/>
    <mergeCell ref="Q447:S447"/>
    <mergeCell ref="E448:G448"/>
    <mergeCell ref="H448:J448"/>
    <mergeCell ref="K448:M448"/>
    <mergeCell ref="N448:P448"/>
    <mergeCell ref="Q448:S448"/>
    <mergeCell ref="E449:G449"/>
    <mergeCell ref="H449:J449"/>
    <mergeCell ref="K449:M449"/>
    <mergeCell ref="N449:P449"/>
    <mergeCell ref="Q449:S449"/>
    <mergeCell ref="E481:G481"/>
    <mergeCell ref="H481:J481"/>
    <mergeCell ref="K481:M481"/>
    <mergeCell ref="N481:P481"/>
    <mergeCell ref="Q481:S481"/>
    <mergeCell ref="E482:G482"/>
    <mergeCell ref="H482:J482"/>
    <mergeCell ref="K482:M482"/>
    <mergeCell ref="N482:P482"/>
    <mergeCell ref="Q482:S482"/>
    <mergeCell ref="E483:G483"/>
    <mergeCell ref="H483:J483"/>
    <mergeCell ref="K483:M483"/>
    <mergeCell ref="N483:P483"/>
    <mergeCell ref="Q483:S483"/>
    <mergeCell ref="E484:G484"/>
    <mergeCell ref="H484:J484"/>
    <mergeCell ref="K484:M484"/>
    <mergeCell ref="N484:P484"/>
    <mergeCell ref="Q484:S484"/>
    <mergeCell ref="E485:G485"/>
    <mergeCell ref="H485:J485"/>
    <mergeCell ref="K485:M485"/>
    <mergeCell ref="N485:P485"/>
    <mergeCell ref="Q485:S485"/>
    <mergeCell ref="E486:G486"/>
    <mergeCell ref="H486:J486"/>
    <mergeCell ref="K486:M486"/>
    <mergeCell ref="N486:P486"/>
    <mergeCell ref="Q486:S486"/>
    <mergeCell ref="E487:G487"/>
    <mergeCell ref="H487:J487"/>
    <mergeCell ref="K487:M487"/>
    <mergeCell ref="N487:P487"/>
    <mergeCell ref="Q487:S487"/>
    <mergeCell ref="E488:G488"/>
    <mergeCell ref="H488:J488"/>
    <mergeCell ref="K488:M488"/>
    <mergeCell ref="N488:P488"/>
    <mergeCell ref="Q488:S488"/>
    <mergeCell ref="E489:G489"/>
    <mergeCell ref="H489:J489"/>
    <mergeCell ref="K489:M489"/>
    <mergeCell ref="N489:P489"/>
    <mergeCell ref="Q489:S489"/>
    <mergeCell ref="E521:G521"/>
    <mergeCell ref="H521:J521"/>
    <mergeCell ref="K521:M521"/>
    <mergeCell ref="N521:P521"/>
    <mergeCell ref="Q521:S521"/>
    <mergeCell ref="E522:G522"/>
    <mergeCell ref="H522:J522"/>
    <mergeCell ref="K522:M522"/>
    <mergeCell ref="N522:P522"/>
    <mergeCell ref="Q522:S522"/>
    <mergeCell ref="E523:G523"/>
    <mergeCell ref="H523:J523"/>
    <mergeCell ref="K523:M523"/>
    <mergeCell ref="N523:P523"/>
    <mergeCell ref="Q523:S523"/>
    <mergeCell ref="E524:G524"/>
    <mergeCell ref="H524:J524"/>
    <mergeCell ref="K524:M524"/>
    <mergeCell ref="N524:P524"/>
    <mergeCell ref="Q524:S524"/>
    <mergeCell ref="E525:G525"/>
    <mergeCell ref="H525:J525"/>
    <mergeCell ref="K525:M525"/>
    <mergeCell ref="N525:P525"/>
    <mergeCell ref="Q525:S525"/>
    <mergeCell ref="E526:G526"/>
    <mergeCell ref="H526:J526"/>
    <mergeCell ref="K526:M526"/>
    <mergeCell ref="N526:P526"/>
    <mergeCell ref="Q526:S526"/>
    <mergeCell ref="E527:G527"/>
    <mergeCell ref="H527:J527"/>
    <mergeCell ref="K527:M527"/>
    <mergeCell ref="N527:P527"/>
    <mergeCell ref="Q527:S527"/>
    <mergeCell ref="E528:G528"/>
    <mergeCell ref="H528:J528"/>
    <mergeCell ref="K528:M528"/>
    <mergeCell ref="N528:P528"/>
    <mergeCell ref="Q528:S528"/>
    <mergeCell ref="E529:G529"/>
    <mergeCell ref="H529:J529"/>
    <mergeCell ref="K529:M529"/>
    <mergeCell ref="N529:P529"/>
    <mergeCell ref="Q529:S529"/>
  </mergeCells>
  <printOptions horizontalCentered="1"/>
  <pageMargins left="0.5" right="0.5" top="1.6" bottom="0.85" header="0.8" footer="0.5"/>
  <pageSetup scale="35" orientation="landscape" r:id="rId1"/>
  <headerFooter alignWithMargins="0">
    <oddHeader>&amp;C&amp;"Times New Roman,Bold"&amp;12 Table X
Groundwater Analytical Data
&amp;10Remedial Action Plan
Bernard III Land Company, Inc. - Indiana Site, PADEP Facility ID #32-32708</oddHeader>
    <oddFooter>&amp;L&amp;"Times New Roman,Regular"&amp;8&amp;T&amp;  on &amp;D
&amp;C&amp;"Times New Roman,Regular"&amp;8&amp;P&amp;  of &amp;N
&amp;R&amp;"Times New Roman, Regular"&amp;8&amp;F
&amp;Z</oddFooter>
  </headerFooter>
  <rowBreaks count="13" manualBreakCount="13">
    <brk id="40" max="30" man="1"/>
    <brk id="80" max="30" man="1"/>
    <brk id="120" max="30" man="1"/>
    <brk id="160" max="30" man="1"/>
    <brk id="200" max="30" man="1"/>
    <brk id="240" max="30" man="1"/>
    <brk id="280" max="30" man="1"/>
    <brk id="320" max="30" man="1"/>
    <brk id="360" max="30" man="1"/>
    <brk id="400" max="30" man="1"/>
    <brk id="440" max="30" man="1"/>
    <brk id="480" max="30" man="1"/>
    <brk id="520" max="30" man="1"/>
  </rowBreaks>
  <colBreaks count="8" manualBreakCount="8">
    <brk id="31" max="244" man="1"/>
    <brk id="56" max="244" man="1"/>
    <brk id="83" max="244" man="1"/>
    <brk id="110" max="244" man="1"/>
    <brk id="137" max="244" man="1"/>
    <brk id="179" max="1048575" man="1"/>
    <brk id="206" max="1048575" man="1"/>
    <brk id="23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3:EF53"/>
  <sheetViews>
    <sheetView view="pageBreakPreview" topLeftCell="A7" zoomScaleNormal="100" zoomScaleSheetLayoutView="100" workbookViewId="0">
      <selection activeCell="T48" sqref="T48"/>
    </sheetView>
  </sheetViews>
  <sheetFormatPr defaultColWidth="8" defaultRowHeight="12.75"/>
  <cols>
    <col min="1" max="1" width="30.7109375" style="125" customWidth="1"/>
    <col min="2" max="2" width="9.7109375" style="125" customWidth="1"/>
    <col min="3" max="3" width="3.7109375" style="125" customWidth="1"/>
    <col min="4" max="4" width="9.7109375" style="125" customWidth="1"/>
    <col min="5" max="6" width="3.7109375" style="125" customWidth="1"/>
    <col min="7" max="7" width="9.7109375" style="125" customWidth="1"/>
    <col min="8" max="9" width="3.7109375" style="125" customWidth="1"/>
    <col min="10" max="10" width="9.7109375" style="125" customWidth="1"/>
    <col min="11" max="12" width="3.7109375" style="125" customWidth="1"/>
    <col min="13" max="13" width="9.7109375" style="125" customWidth="1"/>
    <col min="14" max="15" width="3.7109375" style="125" customWidth="1"/>
    <col min="16" max="16" width="9.7109375" style="125" customWidth="1"/>
    <col min="17" max="18" width="3.7109375" style="125" customWidth="1"/>
    <col min="19" max="19" width="9.7109375" style="125" customWidth="1"/>
    <col min="20" max="21" width="3.7109375" style="125" customWidth="1"/>
    <col min="22" max="22" width="9.7109375" style="125" customWidth="1"/>
    <col min="23" max="24" width="3.7109375" style="125" customWidth="1"/>
    <col min="25" max="25" width="9.7109375" style="125" customWidth="1"/>
    <col min="26" max="27" width="3.7109375" style="125" customWidth="1"/>
    <col min="28" max="28" width="9.7109375" style="125" customWidth="1"/>
    <col min="29" max="30" width="3.7109375" style="125" customWidth="1"/>
    <col min="31" max="31" width="9.7109375" style="125" customWidth="1"/>
    <col min="32" max="33" width="3.7109375" style="125" customWidth="1"/>
    <col min="34" max="34" width="9.7109375" style="125" customWidth="1"/>
    <col min="35" max="36" width="3.7109375" style="125" customWidth="1"/>
    <col min="37" max="37" width="9.7109375" style="125" customWidth="1"/>
    <col min="38" max="39" width="3.7109375" style="125" customWidth="1"/>
    <col min="40" max="40" width="9.7109375" style="125" customWidth="1"/>
    <col min="41" max="42" width="3.7109375" style="125" customWidth="1"/>
    <col min="43" max="43" width="9.7109375" style="125" customWidth="1"/>
    <col min="44" max="45" width="3.7109375" style="125" customWidth="1"/>
    <col min="46" max="46" width="9.7109375" style="125" customWidth="1"/>
    <col min="47" max="48" width="3.7109375" style="125" customWidth="1"/>
    <col min="49" max="49" width="9.7109375" style="125" customWidth="1"/>
    <col min="50" max="51" width="3.7109375" style="125" customWidth="1"/>
    <col min="52" max="52" width="9.7109375" style="125" customWidth="1"/>
    <col min="53" max="54" width="3.7109375" style="125" customWidth="1"/>
    <col min="55" max="55" width="9.7109375" style="125" customWidth="1"/>
    <col min="56" max="57" width="3.7109375" style="125" customWidth="1"/>
    <col min="58" max="58" width="9.7109375" style="125" customWidth="1"/>
    <col min="59" max="60" width="3.7109375" style="125" customWidth="1"/>
    <col min="61" max="61" width="9.7109375" style="125" customWidth="1"/>
    <col min="62" max="63" width="3.7109375" style="125" customWidth="1"/>
    <col min="64" max="64" width="9.7109375" style="125" customWidth="1"/>
    <col min="65" max="66" width="3.7109375" style="125" customWidth="1"/>
    <col min="67" max="67" width="9.7109375" style="125" customWidth="1"/>
    <col min="68" max="69" width="3.7109375" style="125" customWidth="1"/>
    <col min="70" max="70" width="9.7109375" style="125" customWidth="1"/>
    <col min="71" max="72" width="3.7109375" style="125" customWidth="1"/>
    <col min="73" max="73" width="9.7109375" style="125" customWidth="1"/>
    <col min="74" max="75" width="3.7109375" style="125" customWidth="1"/>
    <col min="76" max="76" width="9.7109375" style="125" customWidth="1"/>
    <col min="77" max="78" width="3.7109375" style="125" customWidth="1"/>
    <col min="79" max="79" width="9.7109375" style="125" customWidth="1"/>
    <col min="80" max="81" width="3.7109375" style="125" customWidth="1"/>
    <col min="82" max="82" width="9.7109375" style="125" customWidth="1"/>
    <col min="83" max="84" width="3.7109375" style="125" customWidth="1"/>
    <col min="85" max="85" width="9.7109375" style="125" customWidth="1"/>
    <col min="86" max="87" width="3.7109375" style="125" customWidth="1"/>
    <col min="88" max="88" width="9.7109375" style="125" customWidth="1"/>
    <col min="89" max="90" width="3.7109375" style="125" customWidth="1"/>
    <col min="91" max="91" width="9.7109375" style="125" customWidth="1"/>
    <col min="92" max="93" width="3.7109375" style="125" customWidth="1"/>
    <col min="94" max="94" width="9.7109375" style="125" customWidth="1"/>
    <col min="95" max="96" width="3.7109375" style="125" customWidth="1"/>
    <col min="97" max="97" width="9.7109375" style="125" customWidth="1"/>
    <col min="98" max="99" width="3.7109375" style="125" customWidth="1"/>
    <col min="100" max="100" width="9.7109375" style="125" customWidth="1"/>
    <col min="101" max="102" width="3.7109375" style="125" customWidth="1"/>
    <col min="103" max="103" width="9.7109375" style="125" customWidth="1"/>
    <col min="104" max="105" width="3.7109375" style="125" customWidth="1"/>
    <col min="106" max="106" width="9.7109375" style="125" customWidth="1"/>
    <col min="107" max="108" width="3.7109375" style="125" customWidth="1"/>
    <col min="109" max="109" width="9.7109375" style="125" customWidth="1"/>
    <col min="110" max="110" width="3.7109375" style="125" customWidth="1"/>
    <col min="111" max="111" width="5.7109375" style="125" bestFit="1" customWidth="1"/>
    <col min="112" max="112" width="9.7109375" style="125" customWidth="1"/>
    <col min="113" max="114" width="3.7109375" style="125" customWidth="1"/>
    <col min="115" max="115" width="9.7109375" style="125" customWidth="1"/>
    <col min="116" max="117" width="3.7109375" style="125" customWidth="1"/>
    <col min="118" max="118" width="9.7109375" style="125" customWidth="1"/>
    <col min="119" max="120" width="3.7109375" style="125" customWidth="1"/>
    <col min="121" max="121" width="9.7109375" style="125" customWidth="1"/>
    <col min="122" max="123" width="3.7109375" style="125" customWidth="1"/>
    <col min="124" max="124" width="9.7109375" style="125" customWidth="1"/>
    <col min="125" max="126" width="3.7109375" style="125" customWidth="1"/>
    <col min="127" max="127" width="9.7109375" style="125" customWidth="1"/>
    <col min="128" max="129" width="3.7109375" style="125" customWidth="1"/>
    <col min="130" max="130" width="9.7109375" style="125" customWidth="1"/>
    <col min="131" max="132" width="3.7109375" style="125" customWidth="1"/>
    <col min="133" max="133" width="9.7109375" style="125" customWidth="1"/>
    <col min="134" max="134" width="3.7109375" style="125" customWidth="1"/>
    <col min="135" max="135" width="5.7109375" style="125" bestFit="1" customWidth="1"/>
    <col min="136" max="136" width="9.7109375" style="125" customWidth="1"/>
    <col min="137" max="138" width="3.7109375" style="125" customWidth="1"/>
    <col min="139" max="139" width="9.7109375" style="125" customWidth="1"/>
    <col min="140" max="141" width="3.7109375" style="125" customWidth="1"/>
    <col min="142" max="142" width="9.7109375" style="125" customWidth="1"/>
    <col min="143" max="144" width="3.7109375" style="125" customWidth="1"/>
    <col min="145" max="145" width="9.7109375" style="125" customWidth="1"/>
    <col min="146" max="147" width="3.7109375" style="125" customWidth="1"/>
    <col min="148" max="148" width="9.7109375" style="125" customWidth="1"/>
    <col min="149" max="150" width="3.7109375" style="125" customWidth="1"/>
    <col min="151" max="151" width="9.7109375" style="125" customWidth="1"/>
    <col min="152" max="153" width="3.7109375" style="125" customWidth="1"/>
    <col min="154" max="154" width="9.7109375" style="125" customWidth="1"/>
    <col min="155" max="156" width="3.7109375" style="125" customWidth="1"/>
    <col min="157" max="157" width="9.7109375" style="125" customWidth="1"/>
    <col min="158" max="159" width="3.7109375" style="125" customWidth="1"/>
    <col min="160" max="160" width="9.7109375" style="125" customWidth="1"/>
    <col min="161" max="162" width="3.7109375" style="125" customWidth="1"/>
    <col min="163" max="163" width="9.7109375" style="125" customWidth="1"/>
    <col min="164" max="165" width="3.7109375" style="125" customWidth="1"/>
    <col min="166" max="166" width="9.7109375" style="125" customWidth="1"/>
    <col min="167" max="168" width="3.7109375" style="125" customWidth="1"/>
    <col min="169" max="169" width="9.7109375" style="125" customWidth="1"/>
    <col min="170" max="171" width="3.7109375" style="125" customWidth="1"/>
    <col min="172" max="172" width="9.7109375" style="125" customWidth="1"/>
    <col min="173" max="174" width="3.7109375" style="125" customWidth="1"/>
    <col min="175" max="175" width="9.7109375" style="125" customWidth="1"/>
    <col min="176" max="177" width="3.7109375" style="125" customWidth="1"/>
    <col min="178" max="178" width="9.7109375" style="125" customWidth="1"/>
    <col min="179" max="180" width="3.7109375" style="125" customWidth="1"/>
    <col min="181" max="181" width="9.7109375" style="125" customWidth="1"/>
    <col min="182" max="183" width="3.7109375" style="125" customWidth="1"/>
    <col min="184" max="184" width="9.7109375" style="125" customWidth="1"/>
    <col min="185" max="186" width="3.7109375" style="125" customWidth="1"/>
    <col min="187" max="187" width="9.7109375" style="125" customWidth="1"/>
    <col min="188" max="189" width="3.7109375" style="125" customWidth="1"/>
    <col min="190" max="190" width="9.7109375" style="125" customWidth="1"/>
    <col min="191" max="192" width="3.7109375" style="125" customWidth="1"/>
    <col min="193" max="193" width="9.7109375" style="125" customWidth="1"/>
    <col min="194" max="195" width="3.7109375" style="125" customWidth="1"/>
    <col min="196" max="196" width="9.7109375" style="125" customWidth="1"/>
    <col min="197" max="198" width="3.7109375" style="125" customWidth="1"/>
    <col min="199" max="199" width="9.7109375" style="125" customWidth="1"/>
    <col min="200" max="201" width="3.7109375" style="125" customWidth="1"/>
    <col min="202" max="202" width="9.7109375" style="125" customWidth="1"/>
    <col min="203" max="204" width="3.7109375" style="125" customWidth="1"/>
    <col min="205" max="205" width="9.7109375" style="125" customWidth="1"/>
    <col min="206" max="207" width="3.7109375" style="125" customWidth="1"/>
    <col min="208" max="208" width="9.7109375" style="125" customWidth="1"/>
    <col min="209" max="210" width="3.7109375" style="125" customWidth="1"/>
    <col min="211" max="211" width="9.7109375" style="125" customWidth="1"/>
    <col min="212" max="213" width="3.7109375" style="125" customWidth="1"/>
    <col min="214" max="214" width="9.7109375" style="125" customWidth="1"/>
    <col min="215" max="216" width="3.7109375" style="125" customWidth="1"/>
    <col min="217" max="217" width="9.7109375" style="125" customWidth="1"/>
    <col min="218" max="219" width="3.7109375" style="125" customWidth="1"/>
    <col min="220" max="220" width="9.7109375" style="125" customWidth="1"/>
    <col min="221" max="222" width="3.7109375" style="125" customWidth="1"/>
    <col min="223" max="223" width="9.7109375" style="125" customWidth="1"/>
    <col min="224" max="225" width="3.7109375" style="125" customWidth="1"/>
    <col min="226" max="226" width="9.7109375" style="125" customWidth="1"/>
    <col min="227" max="228" width="3.7109375" style="125" customWidth="1"/>
    <col min="229" max="229" width="9.7109375" style="125" customWidth="1"/>
    <col min="230" max="231" width="3.7109375" style="125" customWidth="1"/>
    <col min="232" max="232" width="9.7109375" style="125" customWidth="1"/>
    <col min="233" max="234" width="3.7109375" style="125" customWidth="1"/>
    <col min="235" max="235" width="9.7109375" style="125" customWidth="1"/>
    <col min="236" max="237" width="3.7109375" style="125" customWidth="1"/>
    <col min="238" max="238" width="9.7109375" style="125" customWidth="1"/>
    <col min="239" max="240" width="3.7109375" style="125" customWidth="1"/>
    <col min="241" max="241" width="9.7109375" style="125" customWidth="1"/>
    <col min="242" max="243" width="3.7109375" style="125" customWidth="1"/>
    <col min="244" max="244" width="9.7109375" style="125" customWidth="1"/>
    <col min="245" max="246" width="3.7109375" style="125" customWidth="1"/>
    <col min="247" max="247" width="9.7109375" style="125" customWidth="1"/>
    <col min="248" max="249" width="3.7109375" style="125" customWidth="1"/>
    <col min="250" max="250" width="9.7109375" style="125" customWidth="1"/>
    <col min="251" max="252" width="3.7109375" style="125" customWidth="1"/>
    <col min="253" max="253" width="9.7109375" style="125" customWidth="1"/>
    <col min="254" max="254" width="3.7109375" style="125" customWidth="1"/>
    <col min="255" max="256" width="8" style="125"/>
    <col min="257" max="257" width="30.7109375" style="125" customWidth="1"/>
    <col min="258" max="258" width="9.7109375" style="125" customWidth="1"/>
    <col min="259" max="259" width="3.7109375" style="125" customWidth="1"/>
    <col min="260" max="260" width="9.7109375" style="125" customWidth="1"/>
    <col min="261" max="262" width="3.7109375" style="125" customWidth="1"/>
    <col min="263" max="263" width="9.7109375" style="125" customWidth="1"/>
    <col min="264" max="265" width="3.7109375" style="125" customWidth="1"/>
    <col min="266" max="266" width="9.7109375" style="125" customWidth="1"/>
    <col min="267" max="268" width="3.7109375" style="125" customWidth="1"/>
    <col min="269" max="269" width="9.7109375" style="125" customWidth="1"/>
    <col min="270" max="271" width="3.7109375" style="125" customWidth="1"/>
    <col min="272" max="272" width="9.7109375" style="125" customWidth="1"/>
    <col min="273" max="274" width="3.7109375" style="125" customWidth="1"/>
    <col min="275" max="275" width="9.7109375" style="125" customWidth="1"/>
    <col min="276" max="277" width="3.7109375" style="125" customWidth="1"/>
    <col min="278" max="278" width="9.7109375" style="125" customWidth="1"/>
    <col min="279" max="280" width="3.7109375" style="125" customWidth="1"/>
    <col min="281" max="281" width="9.7109375" style="125" customWidth="1"/>
    <col min="282" max="283" width="3.7109375" style="125" customWidth="1"/>
    <col min="284" max="284" width="9.7109375" style="125" customWidth="1"/>
    <col min="285" max="286" width="3.7109375" style="125" customWidth="1"/>
    <col min="287" max="287" width="9.7109375" style="125" customWidth="1"/>
    <col min="288" max="289" width="3.7109375" style="125" customWidth="1"/>
    <col min="290" max="290" width="9.7109375" style="125" customWidth="1"/>
    <col min="291" max="292" width="3.7109375" style="125" customWidth="1"/>
    <col min="293" max="293" width="9.7109375" style="125" customWidth="1"/>
    <col min="294" max="295" width="3.7109375" style="125" customWidth="1"/>
    <col min="296" max="296" width="9.7109375" style="125" customWidth="1"/>
    <col min="297" max="298" width="3.7109375" style="125" customWidth="1"/>
    <col min="299" max="299" width="9.7109375" style="125" customWidth="1"/>
    <col min="300" max="301" width="3.7109375" style="125" customWidth="1"/>
    <col min="302" max="302" width="9.7109375" style="125" customWidth="1"/>
    <col min="303" max="304" width="3.7109375" style="125" customWidth="1"/>
    <col min="305" max="305" width="9.7109375" style="125" customWidth="1"/>
    <col min="306" max="307" width="3.7109375" style="125" customWidth="1"/>
    <col min="308" max="308" width="9.7109375" style="125" customWidth="1"/>
    <col min="309" max="310" width="3.7109375" style="125" customWidth="1"/>
    <col min="311" max="311" width="9.7109375" style="125" customWidth="1"/>
    <col min="312" max="313" width="3.7109375" style="125" customWidth="1"/>
    <col min="314" max="314" width="9.7109375" style="125" customWidth="1"/>
    <col min="315" max="316" width="3.7109375" style="125" customWidth="1"/>
    <col min="317" max="317" width="9.7109375" style="125" customWidth="1"/>
    <col min="318" max="319" width="3.7109375" style="125" customWidth="1"/>
    <col min="320" max="320" width="9.7109375" style="125" customWidth="1"/>
    <col min="321" max="322" width="3.7109375" style="125" customWidth="1"/>
    <col min="323" max="323" width="9.7109375" style="125" customWidth="1"/>
    <col min="324" max="325" width="3.7109375" style="125" customWidth="1"/>
    <col min="326" max="326" width="9.7109375" style="125" customWidth="1"/>
    <col min="327" max="328" width="3.7109375" style="125" customWidth="1"/>
    <col min="329" max="329" width="9.7109375" style="125" customWidth="1"/>
    <col min="330" max="331" width="3.7109375" style="125" customWidth="1"/>
    <col min="332" max="332" width="9.7109375" style="125" customWidth="1"/>
    <col min="333" max="334" width="3.7109375" style="125" customWidth="1"/>
    <col min="335" max="335" width="9.7109375" style="125" customWidth="1"/>
    <col min="336" max="337" width="3.7109375" style="125" customWidth="1"/>
    <col min="338" max="338" width="9.7109375" style="125" customWidth="1"/>
    <col min="339" max="340" width="3.7109375" style="125" customWidth="1"/>
    <col min="341" max="341" width="9.7109375" style="125" customWidth="1"/>
    <col min="342" max="343" width="3.7109375" style="125" customWidth="1"/>
    <col min="344" max="344" width="9.7109375" style="125" customWidth="1"/>
    <col min="345" max="346" width="3.7109375" style="125" customWidth="1"/>
    <col min="347" max="347" width="9.7109375" style="125" customWidth="1"/>
    <col min="348" max="349" width="3.7109375" style="125" customWidth="1"/>
    <col min="350" max="350" width="9.7109375" style="125" customWidth="1"/>
    <col min="351" max="352" width="3.7109375" style="125" customWidth="1"/>
    <col min="353" max="353" width="9.7109375" style="125" customWidth="1"/>
    <col min="354" max="355" width="3.7109375" style="125" customWidth="1"/>
    <col min="356" max="356" width="9.7109375" style="125" customWidth="1"/>
    <col min="357" max="358" width="3.7109375" style="125" customWidth="1"/>
    <col min="359" max="359" width="9.7109375" style="125" customWidth="1"/>
    <col min="360" max="361" width="3.7109375" style="125" customWidth="1"/>
    <col min="362" max="362" width="9.7109375" style="125" customWidth="1"/>
    <col min="363" max="364" width="3.7109375" style="125" customWidth="1"/>
    <col min="365" max="365" width="9.7109375" style="125" customWidth="1"/>
    <col min="366" max="366" width="3.7109375" style="125" customWidth="1"/>
    <col min="367" max="367" width="5.7109375" style="125" bestFit="1" customWidth="1"/>
    <col min="368" max="368" width="9.7109375" style="125" customWidth="1"/>
    <col min="369" max="370" width="3.7109375" style="125" customWidth="1"/>
    <col min="371" max="371" width="9.7109375" style="125" customWidth="1"/>
    <col min="372" max="373" width="3.7109375" style="125" customWidth="1"/>
    <col min="374" max="374" width="9.7109375" style="125" customWidth="1"/>
    <col min="375" max="376" width="3.7109375" style="125" customWidth="1"/>
    <col min="377" max="377" width="9.7109375" style="125" customWidth="1"/>
    <col min="378" max="379" width="3.7109375" style="125" customWidth="1"/>
    <col min="380" max="380" width="9.7109375" style="125" customWidth="1"/>
    <col min="381" max="382" width="3.7109375" style="125" customWidth="1"/>
    <col min="383" max="383" width="9.7109375" style="125" customWidth="1"/>
    <col min="384" max="385" width="3.7109375" style="125" customWidth="1"/>
    <col min="386" max="386" width="9.7109375" style="125" customWidth="1"/>
    <col min="387" max="388" width="3.7109375" style="125" customWidth="1"/>
    <col min="389" max="389" width="9.7109375" style="125" customWidth="1"/>
    <col min="390" max="390" width="3.7109375" style="125" customWidth="1"/>
    <col min="391" max="391" width="5.7109375" style="125" bestFit="1" customWidth="1"/>
    <col min="392" max="392" width="9.7109375" style="125" customWidth="1"/>
    <col min="393" max="394" width="3.7109375" style="125" customWidth="1"/>
    <col min="395" max="395" width="9.7109375" style="125" customWidth="1"/>
    <col min="396" max="397" width="3.7109375" style="125" customWidth="1"/>
    <col min="398" max="398" width="9.7109375" style="125" customWidth="1"/>
    <col min="399" max="400" width="3.7109375" style="125" customWidth="1"/>
    <col min="401" max="401" width="9.7109375" style="125" customWidth="1"/>
    <col min="402" max="403" width="3.7109375" style="125" customWidth="1"/>
    <col min="404" max="404" width="9.7109375" style="125" customWidth="1"/>
    <col min="405" max="406" width="3.7109375" style="125" customWidth="1"/>
    <col min="407" max="407" width="9.7109375" style="125" customWidth="1"/>
    <col min="408" max="409" width="3.7109375" style="125" customWidth="1"/>
    <col min="410" max="410" width="9.7109375" style="125" customWidth="1"/>
    <col min="411" max="412" width="3.7109375" style="125" customWidth="1"/>
    <col min="413" max="413" width="9.7109375" style="125" customWidth="1"/>
    <col min="414" max="415" width="3.7109375" style="125" customWidth="1"/>
    <col min="416" max="416" width="9.7109375" style="125" customWidth="1"/>
    <col min="417" max="418" width="3.7109375" style="125" customWidth="1"/>
    <col min="419" max="419" width="9.7109375" style="125" customWidth="1"/>
    <col min="420" max="421" width="3.7109375" style="125" customWidth="1"/>
    <col min="422" max="422" width="9.7109375" style="125" customWidth="1"/>
    <col min="423" max="424" width="3.7109375" style="125" customWidth="1"/>
    <col min="425" max="425" width="9.7109375" style="125" customWidth="1"/>
    <col min="426" max="427" width="3.7109375" style="125" customWidth="1"/>
    <col min="428" max="428" width="9.7109375" style="125" customWidth="1"/>
    <col min="429" max="430" width="3.7109375" style="125" customWidth="1"/>
    <col min="431" max="431" width="9.7109375" style="125" customWidth="1"/>
    <col min="432" max="433" width="3.7109375" style="125" customWidth="1"/>
    <col min="434" max="434" width="9.7109375" style="125" customWidth="1"/>
    <col min="435" max="436" width="3.7109375" style="125" customWidth="1"/>
    <col min="437" max="437" width="9.7109375" style="125" customWidth="1"/>
    <col min="438" max="439" width="3.7109375" style="125" customWidth="1"/>
    <col min="440" max="440" width="9.7109375" style="125" customWidth="1"/>
    <col min="441" max="442" width="3.7109375" style="125" customWidth="1"/>
    <col min="443" max="443" width="9.7109375" style="125" customWidth="1"/>
    <col min="444" max="445" width="3.7109375" style="125" customWidth="1"/>
    <col min="446" max="446" width="9.7109375" style="125" customWidth="1"/>
    <col min="447" max="448" width="3.7109375" style="125" customWidth="1"/>
    <col min="449" max="449" width="9.7109375" style="125" customWidth="1"/>
    <col min="450" max="451" width="3.7109375" style="125" customWidth="1"/>
    <col min="452" max="452" width="9.7109375" style="125" customWidth="1"/>
    <col min="453" max="454" width="3.7109375" style="125" customWidth="1"/>
    <col min="455" max="455" width="9.7109375" style="125" customWidth="1"/>
    <col min="456" max="457" width="3.7109375" style="125" customWidth="1"/>
    <col min="458" max="458" width="9.7109375" style="125" customWidth="1"/>
    <col min="459" max="460" width="3.7109375" style="125" customWidth="1"/>
    <col min="461" max="461" width="9.7109375" style="125" customWidth="1"/>
    <col min="462" max="463" width="3.7109375" style="125" customWidth="1"/>
    <col min="464" max="464" width="9.7109375" style="125" customWidth="1"/>
    <col min="465" max="466" width="3.7109375" style="125" customWidth="1"/>
    <col min="467" max="467" width="9.7109375" style="125" customWidth="1"/>
    <col min="468" max="469" width="3.7109375" style="125" customWidth="1"/>
    <col min="470" max="470" width="9.7109375" style="125" customWidth="1"/>
    <col min="471" max="472" width="3.7109375" style="125" customWidth="1"/>
    <col min="473" max="473" width="9.7109375" style="125" customWidth="1"/>
    <col min="474" max="475" width="3.7109375" style="125" customWidth="1"/>
    <col min="476" max="476" width="9.7109375" style="125" customWidth="1"/>
    <col min="477" max="478" width="3.7109375" style="125" customWidth="1"/>
    <col min="479" max="479" width="9.7109375" style="125" customWidth="1"/>
    <col min="480" max="481" width="3.7109375" style="125" customWidth="1"/>
    <col min="482" max="482" width="9.7109375" style="125" customWidth="1"/>
    <col min="483" max="484" width="3.7109375" style="125" customWidth="1"/>
    <col min="485" max="485" width="9.7109375" style="125" customWidth="1"/>
    <col min="486" max="487" width="3.7109375" style="125" customWidth="1"/>
    <col min="488" max="488" width="9.7109375" style="125" customWidth="1"/>
    <col min="489" max="490" width="3.7109375" style="125" customWidth="1"/>
    <col min="491" max="491" width="9.7109375" style="125" customWidth="1"/>
    <col min="492" max="493" width="3.7109375" style="125" customWidth="1"/>
    <col min="494" max="494" width="9.7109375" style="125" customWidth="1"/>
    <col min="495" max="496" width="3.7109375" style="125" customWidth="1"/>
    <col min="497" max="497" width="9.7109375" style="125" customWidth="1"/>
    <col min="498" max="499" width="3.7109375" style="125" customWidth="1"/>
    <col min="500" max="500" width="9.7109375" style="125" customWidth="1"/>
    <col min="501" max="502" width="3.7109375" style="125" customWidth="1"/>
    <col min="503" max="503" width="9.7109375" style="125" customWidth="1"/>
    <col min="504" max="505" width="3.7109375" style="125" customWidth="1"/>
    <col min="506" max="506" width="9.7109375" style="125" customWidth="1"/>
    <col min="507" max="508" width="3.7109375" style="125" customWidth="1"/>
    <col min="509" max="509" width="9.7109375" style="125" customWidth="1"/>
    <col min="510" max="510" width="3.7109375" style="125" customWidth="1"/>
    <col min="511" max="512" width="8" style="125"/>
    <col min="513" max="513" width="30.7109375" style="125" customWidth="1"/>
    <col min="514" max="514" width="9.7109375" style="125" customWidth="1"/>
    <col min="515" max="515" width="3.7109375" style="125" customWidth="1"/>
    <col min="516" max="516" width="9.7109375" style="125" customWidth="1"/>
    <col min="517" max="518" width="3.7109375" style="125" customWidth="1"/>
    <col min="519" max="519" width="9.7109375" style="125" customWidth="1"/>
    <col min="520" max="521" width="3.7109375" style="125" customWidth="1"/>
    <col min="522" max="522" width="9.7109375" style="125" customWidth="1"/>
    <col min="523" max="524" width="3.7109375" style="125" customWidth="1"/>
    <col min="525" max="525" width="9.7109375" style="125" customWidth="1"/>
    <col min="526" max="527" width="3.7109375" style="125" customWidth="1"/>
    <col min="528" max="528" width="9.7109375" style="125" customWidth="1"/>
    <col min="529" max="530" width="3.7109375" style="125" customWidth="1"/>
    <col min="531" max="531" width="9.7109375" style="125" customWidth="1"/>
    <col min="532" max="533" width="3.7109375" style="125" customWidth="1"/>
    <col min="534" max="534" width="9.7109375" style="125" customWidth="1"/>
    <col min="535" max="536" width="3.7109375" style="125" customWidth="1"/>
    <col min="537" max="537" width="9.7109375" style="125" customWidth="1"/>
    <col min="538" max="539" width="3.7109375" style="125" customWidth="1"/>
    <col min="540" max="540" width="9.7109375" style="125" customWidth="1"/>
    <col min="541" max="542" width="3.7109375" style="125" customWidth="1"/>
    <col min="543" max="543" width="9.7109375" style="125" customWidth="1"/>
    <col min="544" max="545" width="3.7109375" style="125" customWidth="1"/>
    <col min="546" max="546" width="9.7109375" style="125" customWidth="1"/>
    <col min="547" max="548" width="3.7109375" style="125" customWidth="1"/>
    <col min="549" max="549" width="9.7109375" style="125" customWidth="1"/>
    <col min="550" max="551" width="3.7109375" style="125" customWidth="1"/>
    <col min="552" max="552" width="9.7109375" style="125" customWidth="1"/>
    <col min="553" max="554" width="3.7109375" style="125" customWidth="1"/>
    <col min="555" max="555" width="9.7109375" style="125" customWidth="1"/>
    <col min="556" max="557" width="3.7109375" style="125" customWidth="1"/>
    <col min="558" max="558" width="9.7109375" style="125" customWidth="1"/>
    <col min="559" max="560" width="3.7109375" style="125" customWidth="1"/>
    <col min="561" max="561" width="9.7109375" style="125" customWidth="1"/>
    <col min="562" max="563" width="3.7109375" style="125" customWidth="1"/>
    <col min="564" max="564" width="9.7109375" style="125" customWidth="1"/>
    <col min="565" max="566" width="3.7109375" style="125" customWidth="1"/>
    <col min="567" max="567" width="9.7109375" style="125" customWidth="1"/>
    <col min="568" max="569" width="3.7109375" style="125" customWidth="1"/>
    <col min="570" max="570" width="9.7109375" style="125" customWidth="1"/>
    <col min="571" max="572" width="3.7109375" style="125" customWidth="1"/>
    <col min="573" max="573" width="9.7109375" style="125" customWidth="1"/>
    <col min="574" max="575" width="3.7109375" style="125" customWidth="1"/>
    <col min="576" max="576" width="9.7109375" style="125" customWidth="1"/>
    <col min="577" max="578" width="3.7109375" style="125" customWidth="1"/>
    <col min="579" max="579" width="9.7109375" style="125" customWidth="1"/>
    <col min="580" max="581" width="3.7109375" style="125" customWidth="1"/>
    <col min="582" max="582" width="9.7109375" style="125" customWidth="1"/>
    <col min="583" max="584" width="3.7109375" style="125" customWidth="1"/>
    <col min="585" max="585" width="9.7109375" style="125" customWidth="1"/>
    <col min="586" max="587" width="3.7109375" style="125" customWidth="1"/>
    <col min="588" max="588" width="9.7109375" style="125" customWidth="1"/>
    <col min="589" max="590" width="3.7109375" style="125" customWidth="1"/>
    <col min="591" max="591" width="9.7109375" style="125" customWidth="1"/>
    <col min="592" max="593" width="3.7109375" style="125" customWidth="1"/>
    <col min="594" max="594" width="9.7109375" style="125" customWidth="1"/>
    <col min="595" max="596" width="3.7109375" style="125" customWidth="1"/>
    <col min="597" max="597" width="9.7109375" style="125" customWidth="1"/>
    <col min="598" max="599" width="3.7109375" style="125" customWidth="1"/>
    <col min="600" max="600" width="9.7109375" style="125" customWidth="1"/>
    <col min="601" max="602" width="3.7109375" style="125" customWidth="1"/>
    <col min="603" max="603" width="9.7109375" style="125" customWidth="1"/>
    <col min="604" max="605" width="3.7109375" style="125" customWidth="1"/>
    <col min="606" max="606" width="9.7109375" style="125" customWidth="1"/>
    <col min="607" max="608" width="3.7109375" style="125" customWidth="1"/>
    <col min="609" max="609" width="9.7109375" style="125" customWidth="1"/>
    <col min="610" max="611" width="3.7109375" style="125" customWidth="1"/>
    <col min="612" max="612" width="9.7109375" style="125" customWidth="1"/>
    <col min="613" max="614" width="3.7109375" style="125" customWidth="1"/>
    <col min="615" max="615" width="9.7109375" style="125" customWidth="1"/>
    <col min="616" max="617" width="3.7109375" style="125" customWidth="1"/>
    <col min="618" max="618" width="9.7109375" style="125" customWidth="1"/>
    <col min="619" max="620" width="3.7109375" style="125" customWidth="1"/>
    <col min="621" max="621" width="9.7109375" style="125" customWidth="1"/>
    <col min="622" max="622" width="3.7109375" style="125" customWidth="1"/>
    <col min="623" max="623" width="5.7109375" style="125" bestFit="1" customWidth="1"/>
    <col min="624" max="624" width="9.7109375" style="125" customWidth="1"/>
    <col min="625" max="626" width="3.7109375" style="125" customWidth="1"/>
    <col min="627" max="627" width="9.7109375" style="125" customWidth="1"/>
    <col min="628" max="629" width="3.7109375" style="125" customWidth="1"/>
    <col min="630" max="630" width="9.7109375" style="125" customWidth="1"/>
    <col min="631" max="632" width="3.7109375" style="125" customWidth="1"/>
    <col min="633" max="633" width="9.7109375" style="125" customWidth="1"/>
    <col min="634" max="635" width="3.7109375" style="125" customWidth="1"/>
    <col min="636" max="636" width="9.7109375" style="125" customWidth="1"/>
    <col min="637" max="638" width="3.7109375" style="125" customWidth="1"/>
    <col min="639" max="639" width="9.7109375" style="125" customWidth="1"/>
    <col min="640" max="641" width="3.7109375" style="125" customWidth="1"/>
    <col min="642" max="642" width="9.7109375" style="125" customWidth="1"/>
    <col min="643" max="644" width="3.7109375" style="125" customWidth="1"/>
    <col min="645" max="645" width="9.7109375" style="125" customWidth="1"/>
    <col min="646" max="646" width="3.7109375" style="125" customWidth="1"/>
    <col min="647" max="647" width="5.7109375" style="125" bestFit="1" customWidth="1"/>
    <col min="648" max="648" width="9.7109375" style="125" customWidth="1"/>
    <col min="649" max="650" width="3.7109375" style="125" customWidth="1"/>
    <col min="651" max="651" width="9.7109375" style="125" customWidth="1"/>
    <col min="652" max="653" width="3.7109375" style="125" customWidth="1"/>
    <col min="654" max="654" width="9.7109375" style="125" customWidth="1"/>
    <col min="655" max="656" width="3.7109375" style="125" customWidth="1"/>
    <col min="657" max="657" width="9.7109375" style="125" customWidth="1"/>
    <col min="658" max="659" width="3.7109375" style="125" customWidth="1"/>
    <col min="660" max="660" width="9.7109375" style="125" customWidth="1"/>
    <col min="661" max="662" width="3.7109375" style="125" customWidth="1"/>
    <col min="663" max="663" width="9.7109375" style="125" customWidth="1"/>
    <col min="664" max="665" width="3.7109375" style="125" customWidth="1"/>
    <col min="666" max="666" width="9.7109375" style="125" customWidth="1"/>
    <col min="667" max="668" width="3.7109375" style="125" customWidth="1"/>
    <col min="669" max="669" width="9.7109375" style="125" customWidth="1"/>
    <col min="670" max="671" width="3.7109375" style="125" customWidth="1"/>
    <col min="672" max="672" width="9.7109375" style="125" customWidth="1"/>
    <col min="673" max="674" width="3.7109375" style="125" customWidth="1"/>
    <col min="675" max="675" width="9.7109375" style="125" customWidth="1"/>
    <col min="676" max="677" width="3.7109375" style="125" customWidth="1"/>
    <col min="678" max="678" width="9.7109375" style="125" customWidth="1"/>
    <col min="679" max="680" width="3.7109375" style="125" customWidth="1"/>
    <col min="681" max="681" width="9.7109375" style="125" customWidth="1"/>
    <col min="682" max="683" width="3.7109375" style="125" customWidth="1"/>
    <col min="684" max="684" width="9.7109375" style="125" customWidth="1"/>
    <col min="685" max="686" width="3.7109375" style="125" customWidth="1"/>
    <col min="687" max="687" width="9.7109375" style="125" customWidth="1"/>
    <col min="688" max="689" width="3.7109375" style="125" customWidth="1"/>
    <col min="690" max="690" width="9.7109375" style="125" customWidth="1"/>
    <col min="691" max="692" width="3.7109375" style="125" customWidth="1"/>
    <col min="693" max="693" width="9.7109375" style="125" customWidth="1"/>
    <col min="694" max="695" width="3.7109375" style="125" customWidth="1"/>
    <col min="696" max="696" width="9.7109375" style="125" customWidth="1"/>
    <col min="697" max="698" width="3.7109375" style="125" customWidth="1"/>
    <col min="699" max="699" width="9.7109375" style="125" customWidth="1"/>
    <col min="700" max="701" width="3.7109375" style="125" customWidth="1"/>
    <col min="702" max="702" width="9.7109375" style="125" customWidth="1"/>
    <col min="703" max="704" width="3.7109375" style="125" customWidth="1"/>
    <col min="705" max="705" width="9.7109375" style="125" customWidth="1"/>
    <col min="706" max="707" width="3.7109375" style="125" customWidth="1"/>
    <col min="708" max="708" width="9.7109375" style="125" customWidth="1"/>
    <col min="709" max="710" width="3.7109375" style="125" customWidth="1"/>
    <col min="711" max="711" width="9.7109375" style="125" customWidth="1"/>
    <col min="712" max="713" width="3.7109375" style="125" customWidth="1"/>
    <col min="714" max="714" width="9.7109375" style="125" customWidth="1"/>
    <col min="715" max="716" width="3.7109375" style="125" customWidth="1"/>
    <col min="717" max="717" width="9.7109375" style="125" customWidth="1"/>
    <col min="718" max="719" width="3.7109375" style="125" customWidth="1"/>
    <col min="720" max="720" width="9.7109375" style="125" customWidth="1"/>
    <col min="721" max="722" width="3.7109375" style="125" customWidth="1"/>
    <col min="723" max="723" width="9.7109375" style="125" customWidth="1"/>
    <col min="724" max="725" width="3.7109375" style="125" customWidth="1"/>
    <col min="726" max="726" width="9.7109375" style="125" customWidth="1"/>
    <col min="727" max="728" width="3.7109375" style="125" customWidth="1"/>
    <col min="729" max="729" width="9.7109375" style="125" customWidth="1"/>
    <col min="730" max="731" width="3.7109375" style="125" customWidth="1"/>
    <col min="732" max="732" width="9.7109375" style="125" customWidth="1"/>
    <col min="733" max="734" width="3.7109375" style="125" customWidth="1"/>
    <col min="735" max="735" width="9.7109375" style="125" customWidth="1"/>
    <col min="736" max="737" width="3.7109375" style="125" customWidth="1"/>
    <col min="738" max="738" width="9.7109375" style="125" customWidth="1"/>
    <col min="739" max="740" width="3.7109375" style="125" customWidth="1"/>
    <col min="741" max="741" width="9.7109375" style="125" customWidth="1"/>
    <col min="742" max="743" width="3.7109375" style="125" customWidth="1"/>
    <col min="744" max="744" width="9.7109375" style="125" customWidth="1"/>
    <col min="745" max="746" width="3.7109375" style="125" customWidth="1"/>
    <col min="747" max="747" width="9.7109375" style="125" customWidth="1"/>
    <col min="748" max="749" width="3.7109375" style="125" customWidth="1"/>
    <col min="750" max="750" width="9.7109375" style="125" customWidth="1"/>
    <col min="751" max="752" width="3.7109375" style="125" customWidth="1"/>
    <col min="753" max="753" width="9.7109375" style="125" customWidth="1"/>
    <col min="754" max="755" width="3.7109375" style="125" customWidth="1"/>
    <col min="756" max="756" width="9.7109375" style="125" customWidth="1"/>
    <col min="757" max="758" width="3.7109375" style="125" customWidth="1"/>
    <col min="759" max="759" width="9.7109375" style="125" customWidth="1"/>
    <col min="760" max="761" width="3.7109375" style="125" customWidth="1"/>
    <col min="762" max="762" width="9.7109375" style="125" customWidth="1"/>
    <col min="763" max="764" width="3.7109375" style="125" customWidth="1"/>
    <col min="765" max="765" width="9.7109375" style="125" customWidth="1"/>
    <col min="766" max="766" width="3.7109375" style="125" customWidth="1"/>
    <col min="767" max="768" width="8" style="125"/>
    <col min="769" max="769" width="30.7109375" style="125" customWidth="1"/>
    <col min="770" max="770" width="9.7109375" style="125" customWidth="1"/>
    <col min="771" max="771" width="3.7109375" style="125" customWidth="1"/>
    <col min="772" max="772" width="9.7109375" style="125" customWidth="1"/>
    <col min="773" max="774" width="3.7109375" style="125" customWidth="1"/>
    <col min="775" max="775" width="9.7109375" style="125" customWidth="1"/>
    <col min="776" max="777" width="3.7109375" style="125" customWidth="1"/>
    <col min="778" max="778" width="9.7109375" style="125" customWidth="1"/>
    <col min="779" max="780" width="3.7109375" style="125" customWidth="1"/>
    <col min="781" max="781" width="9.7109375" style="125" customWidth="1"/>
    <col min="782" max="783" width="3.7109375" style="125" customWidth="1"/>
    <col min="784" max="784" width="9.7109375" style="125" customWidth="1"/>
    <col min="785" max="786" width="3.7109375" style="125" customWidth="1"/>
    <col min="787" max="787" width="9.7109375" style="125" customWidth="1"/>
    <col min="788" max="789" width="3.7109375" style="125" customWidth="1"/>
    <col min="790" max="790" width="9.7109375" style="125" customWidth="1"/>
    <col min="791" max="792" width="3.7109375" style="125" customWidth="1"/>
    <col min="793" max="793" width="9.7109375" style="125" customWidth="1"/>
    <col min="794" max="795" width="3.7109375" style="125" customWidth="1"/>
    <col min="796" max="796" width="9.7109375" style="125" customWidth="1"/>
    <col min="797" max="798" width="3.7109375" style="125" customWidth="1"/>
    <col min="799" max="799" width="9.7109375" style="125" customWidth="1"/>
    <col min="800" max="801" width="3.7109375" style="125" customWidth="1"/>
    <col min="802" max="802" width="9.7109375" style="125" customWidth="1"/>
    <col min="803" max="804" width="3.7109375" style="125" customWidth="1"/>
    <col min="805" max="805" width="9.7109375" style="125" customWidth="1"/>
    <col min="806" max="807" width="3.7109375" style="125" customWidth="1"/>
    <col min="808" max="808" width="9.7109375" style="125" customWidth="1"/>
    <col min="809" max="810" width="3.7109375" style="125" customWidth="1"/>
    <col min="811" max="811" width="9.7109375" style="125" customWidth="1"/>
    <col min="812" max="813" width="3.7109375" style="125" customWidth="1"/>
    <col min="814" max="814" width="9.7109375" style="125" customWidth="1"/>
    <col min="815" max="816" width="3.7109375" style="125" customWidth="1"/>
    <col min="817" max="817" width="9.7109375" style="125" customWidth="1"/>
    <col min="818" max="819" width="3.7109375" style="125" customWidth="1"/>
    <col min="820" max="820" width="9.7109375" style="125" customWidth="1"/>
    <col min="821" max="822" width="3.7109375" style="125" customWidth="1"/>
    <col min="823" max="823" width="9.7109375" style="125" customWidth="1"/>
    <col min="824" max="825" width="3.7109375" style="125" customWidth="1"/>
    <col min="826" max="826" width="9.7109375" style="125" customWidth="1"/>
    <col min="827" max="828" width="3.7109375" style="125" customWidth="1"/>
    <col min="829" max="829" width="9.7109375" style="125" customWidth="1"/>
    <col min="830" max="831" width="3.7109375" style="125" customWidth="1"/>
    <col min="832" max="832" width="9.7109375" style="125" customWidth="1"/>
    <col min="833" max="834" width="3.7109375" style="125" customWidth="1"/>
    <col min="835" max="835" width="9.7109375" style="125" customWidth="1"/>
    <col min="836" max="837" width="3.7109375" style="125" customWidth="1"/>
    <col min="838" max="838" width="9.7109375" style="125" customWidth="1"/>
    <col min="839" max="840" width="3.7109375" style="125" customWidth="1"/>
    <col min="841" max="841" width="9.7109375" style="125" customWidth="1"/>
    <col min="842" max="843" width="3.7109375" style="125" customWidth="1"/>
    <col min="844" max="844" width="9.7109375" style="125" customWidth="1"/>
    <col min="845" max="846" width="3.7109375" style="125" customWidth="1"/>
    <col min="847" max="847" width="9.7109375" style="125" customWidth="1"/>
    <col min="848" max="849" width="3.7109375" style="125" customWidth="1"/>
    <col min="850" max="850" width="9.7109375" style="125" customWidth="1"/>
    <col min="851" max="852" width="3.7109375" style="125" customWidth="1"/>
    <col min="853" max="853" width="9.7109375" style="125" customWidth="1"/>
    <col min="854" max="855" width="3.7109375" style="125" customWidth="1"/>
    <col min="856" max="856" width="9.7109375" style="125" customWidth="1"/>
    <col min="857" max="858" width="3.7109375" style="125" customWidth="1"/>
    <col min="859" max="859" width="9.7109375" style="125" customWidth="1"/>
    <col min="860" max="861" width="3.7109375" style="125" customWidth="1"/>
    <col min="862" max="862" width="9.7109375" style="125" customWidth="1"/>
    <col min="863" max="864" width="3.7109375" style="125" customWidth="1"/>
    <col min="865" max="865" width="9.7109375" style="125" customWidth="1"/>
    <col min="866" max="867" width="3.7109375" style="125" customWidth="1"/>
    <col min="868" max="868" width="9.7109375" style="125" customWidth="1"/>
    <col min="869" max="870" width="3.7109375" style="125" customWidth="1"/>
    <col min="871" max="871" width="9.7109375" style="125" customWidth="1"/>
    <col min="872" max="873" width="3.7109375" style="125" customWidth="1"/>
    <col min="874" max="874" width="9.7109375" style="125" customWidth="1"/>
    <col min="875" max="876" width="3.7109375" style="125" customWidth="1"/>
    <col min="877" max="877" width="9.7109375" style="125" customWidth="1"/>
    <col min="878" max="878" width="3.7109375" style="125" customWidth="1"/>
    <col min="879" max="879" width="5.7109375" style="125" bestFit="1" customWidth="1"/>
    <col min="880" max="880" width="9.7109375" style="125" customWidth="1"/>
    <col min="881" max="882" width="3.7109375" style="125" customWidth="1"/>
    <col min="883" max="883" width="9.7109375" style="125" customWidth="1"/>
    <col min="884" max="885" width="3.7109375" style="125" customWidth="1"/>
    <col min="886" max="886" width="9.7109375" style="125" customWidth="1"/>
    <col min="887" max="888" width="3.7109375" style="125" customWidth="1"/>
    <col min="889" max="889" width="9.7109375" style="125" customWidth="1"/>
    <col min="890" max="891" width="3.7109375" style="125" customWidth="1"/>
    <col min="892" max="892" width="9.7109375" style="125" customWidth="1"/>
    <col min="893" max="894" width="3.7109375" style="125" customWidth="1"/>
    <col min="895" max="895" width="9.7109375" style="125" customWidth="1"/>
    <col min="896" max="897" width="3.7109375" style="125" customWidth="1"/>
    <col min="898" max="898" width="9.7109375" style="125" customWidth="1"/>
    <col min="899" max="900" width="3.7109375" style="125" customWidth="1"/>
    <col min="901" max="901" width="9.7109375" style="125" customWidth="1"/>
    <col min="902" max="902" width="3.7109375" style="125" customWidth="1"/>
    <col min="903" max="903" width="5.7109375" style="125" bestFit="1" customWidth="1"/>
    <col min="904" max="904" width="9.7109375" style="125" customWidth="1"/>
    <col min="905" max="906" width="3.7109375" style="125" customWidth="1"/>
    <col min="907" max="907" width="9.7109375" style="125" customWidth="1"/>
    <col min="908" max="909" width="3.7109375" style="125" customWidth="1"/>
    <col min="910" max="910" width="9.7109375" style="125" customWidth="1"/>
    <col min="911" max="912" width="3.7109375" style="125" customWidth="1"/>
    <col min="913" max="913" width="9.7109375" style="125" customWidth="1"/>
    <col min="914" max="915" width="3.7109375" style="125" customWidth="1"/>
    <col min="916" max="916" width="9.7109375" style="125" customWidth="1"/>
    <col min="917" max="918" width="3.7109375" style="125" customWidth="1"/>
    <col min="919" max="919" width="9.7109375" style="125" customWidth="1"/>
    <col min="920" max="921" width="3.7109375" style="125" customWidth="1"/>
    <col min="922" max="922" width="9.7109375" style="125" customWidth="1"/>
    <col min="923" max="924" width="3.7109375" style="125" customWidth="1"/>
    <col min="925" max="925" width="9.7109375" style="125" customWidth="1"/>
    <col min="926" max="927" width="3.7109375" style="125" customWidth="1"/>
    <col min="928" max="928" width="9.7109375" style="125" customWidth="1"/>
    <col min="929" max="930" width="3.7109375" style="125" customWidth="1"/>
    <col min="931" max="931" width="9.7109375" style="125" customWidth="1"/>
    <col min="932" max="933" width="3.7109375" style="125" customWidth="1"/>
    <col min="934" max="934" width="9.7109375" style="125" customWidth="1"/>
    <col min="935" max="936" width="3.7109375" style="125" customWidth="1"/>
    <col min="937" max="937" width="9.7109375" style="125" customWidth="1"/>
    <col min="938" max="939" width="3.7109375" style="125" customWidth="1"/>
    <col min="940" max="940" width="9.7109375" style="125" customWidth="1"/>
    <col min="941" max="942" width="3.7109375" style="125" customWidth="1"/>
    <col min="943" max="943" width="9.7109375" style="125" customWidth="1"/>
    <col min="944" max="945" width="3.7109375" style="125" customWidth="1"/>
    <col min="946" max="946" width="9.7109375" style="125" customWidth="1"/>
    <col min="947" max="948" width="3.7109375" style="125" customWidth="1"/>
    <col min="949" max="949" width="9.7109375" style="125" customWidth="1"/>
    <col min="950" max="951" width="3.7109375" style="125" customWidth="1"/>
    <col min="952" max="952" width="9.7109375" style="125" customWidth="1"/>
    <col min="953" max="954" width="3.7109375" style="125" customWidth="1"/>
    <col min="955" max="955" width="9.7109375" style="125" customWidth="1"/>
    <col min="956" max="957" width="3.7109375" style="125" customWidth="1"/>
    <col min="958" max="958" width="9.7109375" style="125" customWidth="1"/>
    <col min="959" max="960" width="3.7109375" style="125" customWidth="1"/>
    <col min="961" max="961" width="9.7109375" style="125" customWidth="1"/>
    <col min="962" max="963" width="3.7109375" style="125" customWidth="1"/>
    <col min="964" max="964" width="9.7109375" style="125" customWidth="1"/>
    <col min="965" max="966" width="3.7109375" style="125" customWidth="1"/>
    <col min="967" max="967" width="9.7109375" style="125" customWidth="1"/>
    <col min="968" max="969" width="3.7109375" style="125" customWidth="1"/>
    <col min="970" max="970" width="9.7109375" style="125" customWidth="1"/>
    <col min="971" max="972" width="3.7109375" style="125" customWidth="1"/>
    <col min="973" max="973" width="9.7109375" style="125" customWidth="1"/>
    <col min="974" max="975" width="3.7109375" style="125" customWidth="1"/>
    <col min="976" max="976" width="9.7109375" style="125" customWidth="1"/>
    <col min="977" max="978" width="3.7109375" style="125" customWidth="1"/>
    <col min="979" max="979" width="9.7109375" style="125" customWidth="1"/>
    <col min="980" max="981" width="3.7109375" style="125" customWidth="1"/>
    <col min="982" max="982" width="9.7109375" style="125" customWidth="1"/>
    <col min="983" max="984" width="3.7109375" style="125" customWidth="1"/>
    <col min="985" max="985" width="9.7109375" style="125" customWidth="1"/>
    <col min="986" max="987" width="3.7109375" style="125" customWidth="1"/>
    <col min="988" max="988" width="9.7109375" style="125" customWidth="1"/>
    <col min="989" max="990" width="3.7109375" style="125" customWidth="1"/>
    <col min="991" max="991" width="9.7109375" style="125" customWidth="1"/>
    <col min="992" max="993" width="3.7109375" style="125" customWidth="1"/>
    <col min="994" max="994" width="9.7109375" style="125" customWidth="1"/>
    <col min="995" max="996" width="3.7109375" style="125" customWidth="1"/>
    <col min="997" max="997" width="9.7109375" style="125" customWidth="1"/>
    <col min="998" max="999" width="3.7109375" style="125" customWidth="1"/>
    <col min="1000" max="1000" width="9.7109375" style="125" customWidth="1"/>
    <col min="1001" max="1002" width="3.7109375" style="125" customWidth="1"/>
    <col min="1003" max="1003" width="9.7109375" style="125" customWidth="1"/>
    <col min="1004" max="1005" width="3.7109375" style="125" customWidth="1"/>
    <col min="1006" max="1006" width="9.7109375" style="125" customWidth="1"/>
    <col min="1007" max="1008" width="3.7109375" style="125" customWidth="1"/>
    <col min="1009" max="1009" width="9.7109375" style="125" customWidth="1"/>
    <col min="1010" max="1011" width="3.7109375" style="125" customWidth="1"/>
    <col min="1012" max="1012" width="9.7109375" style="125" customWidth="1"/>
    <col min="1013" max="1014" width="3.7109375" style="125" customWidth="1"/>
    <col min="1015" max="1015" width="9.7109375" style="125" customWidth="1"/>
    <col min="1016" max="1017" width="3.7109375" style="125" customWidth="1"/>
    <col min="1018" max="1018" width="9.7109375" style="125" customWidth="1"/>
    <col min="1019" max="1020" width="3.7109375" style="125" customWidth="1"/>
    <col min="1021" max="1021" width="9.7109375" style="125" customWidth="1"/>
    <col min="1022" max="1022" width="3.7109375" style="125" customWidth="1"/>
    <col min="1023" max="1024" width="8" style="125"/>
    <col min="1025" max="1025" width="30.7109375" style="125" customWidth="1"/>
    <col min="1026" max="1026" width="9.7109375" style="125" customWidth="1"/>
    <col min="1027" max="1027" width="3.7109375" style="125" customWidth="1"/>
    <col min="1028" max="1028" width="9.7109375" style="125" customWidth="1"/>
    <col min="1029" max="1030" width="3.7109375" style="125" customWidth="1"/>
    <col min="1031" max="1031" width="9.7109375" style="125" customWidth="1"/>
    <col min="1032" max="1033" width="3.7109375" style="125" customWidth="1"/>
    <col min="1034" max="1034" width="9.7109375" style="125" customWidth="1"/>
    <col min="1035" max="1036" width="3.7109375" style="125" customWidth="1"/>
    <col min="1037" max="1037" width="9.7109375" style="125" customWidth="1"/>
    <col min="1038" max="1039" width="3.7109375" style="125" customWidth="1"/>
    <col min="1040" max="1040" width="9.7109375" style="125" customWidth="1"/>
    <col min="1041" max="1042" width="3.7109375" style="125" customWidth="1"/>
    <col min="1043" max="1043" width="9.7109375" style="125" customWidth="1"/>
    <col min="1044" max="1045" width="3.7109375" style="125" customWidth="1"/>
    <col min="1046" max="1046" width="9.7109375" style="125" customWidth="1"/>
    <col min="1047" max="1048" width="3.7109375" style="125" customWidth="1"/>
    <col min="1049" max="1049" width="9.7109375" style="125" customWidth="1"/>
    <col min="1050" max="1051" width="3.7109375" style="125" customWidth="1"/>
    <col min="1052" max="1052" width="9.7109375" style="125" customWidth="1"/>
    <col min="1053" max="1054" width="3.7109375" style="125" customWidth="1"/>
    <col min="1055" max="1055" width="9.7109375" style="125" customWidth="1"/>
    <col min="1056" max="1057" width="3.7109375" style="125" customWidth="1"/>
    <col min="1058" max="1058" width="9.7109375" style="125" customWidth="1"/>
    <col min="1059" max="1060" width="3.7109375" style="125" customWidth="1"/>
    <col min="1061" max="1061" width="9.7109375" style="125" customWidth="1"/>
    <col min="1062" max="1063" width="3.7109375" style="125" customWidth="1"/>
    <col min="1064" max="1064" width="9.7109375" style="125" customWidth="1"/>
    <col min="1065" max="1066" width="3.7109375" style="125" customWidth="1"/>
    <col min="1067" max="1067" width="9.7109375" style="125" customWidth="1"/>
    <col min="1068" max="1069" width="3.7109375" style="125" customWidth="1"/>
    <col min="1070" max="1070" width="9.7109375" style="125" customWidth="1"/>
    <col min="1071" max="1072" width="3.7109375" style="125" customWidth="1"/>
    <col min="1073" max="1073" width="9.7109375" style="125" customWidth="1"/>
    <col min="1074" max="1075" width="3.7109375" style="125" customWidth="1"/>
    <col min="1076" max="1076" width="9.7109375" style="125" customWidth="1"/>
    <col min="1077" max="1078" width="3.7109375" style="125" customWidth="1"/>
    <col min="1079" max="1079" width="9.7109375" style="125" customWidth="1"/>
    <col min="1080" max="1081" width="3.7109375" style="125" customWidth="1"/>
    <col min="1082" max="1082" width="9.7109375" style="125" customWidth="1"/>
    <col min="1083" max="1084" width="3.7109375" style="125" customWidth="1"/>
    <col min="1085" max="1085" width="9.7109375" style="125" customWidth="1"/>
    <col min="1086" max="1087" width="3.7109375" style="125" customWidth="1"/>
    <col min="1088" max="1088" width="9.7109375" style="125" customWidth="1"/>
    <col min="1089" max="1090" width="3.7109375" style="125" customWidth="1"/>
    <col min="1091" max="1091" width="9.7109375" style="125" customWidth="1"/>
    <col min="1092" max="1093" width="3.7109375" style="125" customWidth="1"/>
    <col min="1094" max="1094" width="9.7109375" style="125" customWidth="1"/>
    <col min="1095" max="1096" width="3.7109375" style="125" customWidth="1"/>
    <col min="1097" max="1097" width="9.7109375" style="125" customWidth="1"/>
    <col min="1098" max="1099" width="3.7109375" style="125" customWidth="1"/>
    <col min="1100" max="1100" width="9.7109375" style="125" customWidth="1"/>
    <col min="1101" max="1102" width="3.7109375" style="125" customWidth="1"/>
    <col min="1103" max="1103" width="9.7109375" style="125" customWidth="1"/>
    <col min="1104" max="1105" width="3.7109375" style="125" customWidth="1"/>
    <col min="1106" max="1106" width="9.7109375" style="125" customWidth="1"/>
    <col min="1107" max="1108" width="3.7109375" style="125" customWidth="1"/>
    <col min="1109" max="1109" width="9.7109375" style="125" customWidth="1"/>
    <col min="1110" max="1111" width="3.7109375" style="125" customWidth="1"/>
    <col min="1112" max="1112" width="9.7109375" style="125" customWidth="1"/>
    <col min="1113" max="1114" width="3.7109375" style="125" customWidth="1"/>
    <col min="1115" max="1115" width="9.7109375" style="125" customWidth="1"/>
    <col min="1116" max="1117" width="3.7109375" style="125" customWidth="1"/>
    <col min="1118" max="1118" width="9.7109375" style="125" customWidth="1"/>
    <col min="1119" max="1120" width="3.7109375" style="125" customWidth="1"/>
    <col min="1121" max="1121" width="9.7109375" style="125" customWidth="1"/>
    <col min="1122" max="1123" width="3.7109375" style="125" customWidth="1"/>
    <col min="1124" max="1124" width="9.7109375" style="125" customWidth="1"/>
    <col min="1125" max="1126" width="3.7109375" style="125" customWidth="1"/>
    <col min="1127" max="1127" width="9.7109375" style="125" customWidth="1"/>
    <col min="1128" max="1129" width="3.7109375" style="125" customWidth="1"/>
    <col min="1130" max="1130" width="9.7109375" style="125" customWidth="1"/>
    <col min="1131" max="1132" width="3.7109375" style="125" customWidth="1"/>
    <col min="1133" max="1133" width="9.7109375" style="125" customWidth="1"/>
    <col min="1134" max="1134" width="3.7109375" style="125" customWidth="1"/>
    <col min="1135" max="1135" width="5.7109375" style="125" bestFit="1" customWidth="1"/>
    <col min="1136" max="1136" width="9.7109375" style="125" customWidth="1"/>
    <col min="1137" max="1138" width="3.7109375" style="125" customWidth="1"/>
    <col min="1139" max="1139" width="9.7109375" style="125" customWidth="1"/>
    <col min="1140" max="1141" width="3.7109375" style="125" customWidth="1"/>
    <col min="1142" max="1142" width="9.7109375" style="125" customWidth="1"/>
    <col min="1143" max="1144" width="3.7109375" style="125" customWidth="1"/>
    <col min="1145" max="1145" width="9.7109375" style="125" customWidth="1"/>
    <col min="1146" max="1147" width="3.7109375" style="125" customWidth="1"/>
    <col min="1148" max="1148" width="9.7109375" style="125" customWidth="1"/>
    <col min="1149" max="1150" width="3.7109375" style="125" customWidth="1"/>
    <col min="1151" max="1151" width="9.7109375" style="125" customWidth="1"/>
    <col min="1152" max="1153" width="3.7109375" style="125" customWidth="1"/>
    <col min="1154" max="1154" width="9.7109375" style="125" customWidth="1"/>
    <col min="1155" max="1156" width="3.7109375" style="125" customWidth="1"/>
    <col min="1157" max="1157" width="9.7109375" style="125" customWidth="1"/>
    <col min="1158" max="1158" width="3.7109375" style="125" customWidth="1"/>
    <col min="1159" max="1159" width="5.7109375" style="125" bestFit="1" customWidth="1"/>
    <col min="1160" max="1160" width="9.7109375" style="125" customWidth="1"/>
    <col min="1161" max="1162" width="3.7109375" style="125" customWidth="1"/>
    <col min="1163" max="1163" width="9.7109375" style="125" customWidth="1"/>
    <col min="1164" max="1165" width="3.7109375" style="125" customWidth="1"/>
    <col min="1166" max="1166" width="9.7109375" style="125" customWidth="1"/>
    <col min="1167" max="1168" width="3.7109375" style="125" customWidth="1"/>
    <col min="1169" max="1169" width="9.7109375" style="125" customWidth="1"/>
    <col min="1170" max="1171" width="3.7109375" style="125" customWidth="1"/>
    <col min="1172" max="1172" width="9.7109375" style="125" customWidth="1"/>
    <col min="1173" max="1174" width="3.7109375" style="125" customWidth="1"/>
    <col min="1175" max="1175" width="9.7109375" style="125" customWidth="1"/>
    <col min="1176" max="1177" width="3.7109375" style="125" customWidth="1"/>
    <col min="1178" max="1178" width="9.7109375" style="125" customWidth="1"/>
    <col min="1179" max="1180" width="3.7109375" style="125" customWidth="1"/>
    <col min="1181" max="1181" width="9.7109375" style="125" customWidth="1"/>
    <col min="1182" max="1183" width="3.7109375" style="125" customWidth="1"/>
    <col min="1184" max="1184" width="9.7109375" style="125" customWidth="1"/>
    <col min="1185" max="1186" width="3.7109375" style="125" customWidth="1"/>
    <col min="1187" max="1187" width="9.7109375" style="125" customWidth="1"/>
    <col min="1188" max="1189" width="3.7109375" style="125" customWidth="1"/>
    <col min="1190" max="1190" width="9.7109375" style="125" customWidth="1"/>
    <col min="1191" max="1192" width="3.7109375" style="125" customWidth="1"/>
    <col min="1193" max="1193" width="9.7109375" style="125" customWidth="1"/>
    <col min="1194" max="1195" width="3.7109375" style="125" customWidth="1"/>
    <col min="1196" max="1196" width="9.7109375" style="125" customWidth="1"/>
    <col min="1197" max="1198" width="3.7109375" style="125" customWidth="1"/>
    <col min="1199" max="1199" width="9.7109375" style="125" customWidth="1"/>
    <col min="1200" max="1201" width="3.7109375" style="125" customWidth="1"/>
    <col min="1202" max="1202" width="9.7109375" style="125" customWidth="1"/>
    <col min="1203" max="1204" width="3.7109375" style="125" customWidth="1"/>
    <col min="1205" max="1205" width="9.7109375" style="125" customWidth="1"/>
    <col min="1206" max="1207" width="3.7109375" style="125" customWidth="1"/>
    <col min="1208" max="1208" width="9.7109375" style="125" customWidth="1"/>
    <col min="1209" max="1210" width="3.7109375" style="125" customWidth="1"/>
    <col min="1211" max="1211" width="9.7109375" style="125" customWidth="1"/>
    <col min="1212" max="1213" width="3.7109375" style="125" customWidth="1"/>
    <col min="1214" max="1214" width="9.7109375" style="125" customWidth="1"/>
    <col min="1215" max="1216" width="3.7109375" style="125" customWidth="1"/>
    <col min="1217" max="1217" width="9.7109375" style="125" customWidth="1"/>
    <col min="1218" max="1219" width="3.7109375" style="125" customWidth="1"/>
    <col min="1220" max="1220" width="9.7109375" style="125" customWidth="1"/>
    <col min="1221" max="1222" width="3.7109375" style="125" customWidth="1"/>
    <col min="1223" max="1223" width="9.7109375" style="125" customWidth="1"/>
    <col min="1224" max="1225" width="3.7109375" style="125" customWidth="1"/>
    <col min="1226" max="1226" width="9.7109375" style="125" customWidth="1"/>
    <col min="1227" max="1228" width="3.7109375" style="125" customWidth="1"/>
    <col min="1229" max="1229" width="9.7109375" style="125" customWidth="1"/>
    <col min="1230" max="1231" width="3.7109375" style="125" customWidth="1"/>
    <col min="1232" max="1232" width="9.7109375" style="125" customWidth="1"/>
    <col min="1233" max="1234" width="3.7109375" style="125" customWidth="1"/>
    <col min="1235" max="1235" width="9.7109375" style="125" customWidth="1"/>
    <col min="1236" max="1237" width="3.7109375" style="125" customWidth="1"/>
    <col min="1238" max="1238" width="9.7109375" style="125" customWidth="1"/>
    <col min="1239" max="1240" width="3.7109375" style="125" customWidth="1"/>
    <col min="1241" max="1241" width="9.7109375" style="125" customWidth="1"/>
    <col min="1242" max="1243" width="3.7109375" style="125" customWidth="1"/>
    <col min="1244" max="1244" width="9.7109375" style="125" customWidth="1"/>
    <col min="1245" max="1246" width="3.7109375" style="125" customWidth="1"/>
    <col min="1247" max="1247" width="9.7109375" style="125" customWidth="1"/>
    <col min="1248" max="1249" width="3.7109375" style="125" customWidth="1"/>
    <col min="1250" max="1250" width="9.7109375" style="125" customWidth="1"/>
    <col min="1251" max="1252" width="3.7109375" style="125" customWidth="1"/>
    <col min="1253" max="1253" width="9.7109375" style="125" customWidth="1"/>
    <col min="1254" max="1255" width="3.7109375" style="125" customWidth="1"/>
    <col min="1256" max="1256" width="9.7109375" style="125" customWidth="1"/>
    <col min="1257" max="1258" width="3.7109375" style="125" customWidth="1"/>
    <col min="1259" max="1259" width="9.7109375" style="125" customWidth="1"/>
    <col min="1260" max="1261" width="3.7109375" style="125" customWidth="1"/>
    <col min="1262" max="1262" width="9.7109375" style="125" customWidth="1"/>
    <col min="1263" max="1264" width="3.7109375" style="125" customWidth="1"/>
    <col min="1265" max="1265" width="9.7109375" style="125" customWidth="1"/>
    <col min="1266" max="1267" width="3.7109375" style="125" customWidth="1"/>
    <col min="1268" max="1268" width="9.7109375" style="125" customWidth="1"/>
    <col min="1269" max="1270" width="3.7109375" style="125" customWidth="1"/>
    <col min="1271" max="1271" width="9.7109375" style="125" customWidth="1"/>
    <col min="1272" max="1273" width="3.7109375" style="125" customWidth="1"/>
    <col min="1274" max="1274" width="9.7109375" style="125" customWidth="1"/>
    <col min="1275" max="1276" width="3.7109375" style="125" customWidth="1"/>
    <col min="1277" max="1277" width="9.7109375" style="125" customWidth="1"/>
    <col min="1278" max="1278" width="3.7109375" style="125" customWidth="1"/>
    <col min="1279" max="1280" width="8" style="125"/>
    <col min="1281" max="1281" width="30.7109375" style="125" customWidth="1"/>
    <col min="1282" max="1282" width="9.7109375" style="125" customWidth="1"/>
    <col min="1283" max="1283" width="3.7109375" style="125" customWidth="1"/>
    <col min="1284" max="1284" width="9.7109375" style="125" customWidth="1"/>
    <col min="1285" max="1286" width="3.7109375" style="125" customWidth="1"/>
    <col min="1287" max="1287" width="9.7109375" style="125" customWidth="1"/>
    <col min="1288" max="1289" width="3.7109375" style="125" customWidth="1"/>
    <col min="1290" max="1290" width="9.7109375" style="125" customWidth="1"/>
    <col min="1291" max="1292" width="3.7109375" style="125" customWidth="1"/>
    <col min="1293" max="1293" width="9.7109375" style="125" customWidth="1"/>
    <col min="1294" max="1295" width="3.7109375" style="125" customWidth="1"/>
    <col min="1296" max="1296" width="9.7109375" style="125" customWidth="1"/>
    <col min="1297" max="1298" width="3.7109375" style="125" customWidth="1"/>
    <col min="1299" max="1299" width="9.7109375" style="125" customWidth="1"/>
    <col min="1300" max="1301" width="3.7109375" style="125" customWidth="1"/>
    <col min="1302" max="1302" width="9.7109375" style="125" customWidth="1"/>
    <col min="1303" max="1304" width="3.7109375" style="125" customWidth="1"/>
    <col min="1305" max="1305" width="9.7109375" style="125" customWidth="1"/>
    <col min="1306" max="1307" width="3.7109375" style="125" customWidth="1"/>
    <col min="1308" max="1308" width="9.7109375" style="125" customWidth="1"/>
    <col min="1309" max="1310" width="3.7109375" style="125" customWidth="1"/>
    <col min="1311" max="1311" width="9.7109375" style="125" customWidth="1"/>
    <col min="1312" max="1313" width="3.7109375" style="125" customWidth="1"/>
    <col min="1314" max="1314" width="9.7109375" style="125" customWidth="1"/>
    <col min="1315" max="1316" width="3.7109375" style="125" customWidth="1"/>
    <col min="1317" max="1317" width="9.7109375" style="125" customWidth="1"/>
    <col min="1318" max="1319" width="3.7109375" style="125" customWidth="1"/>
    <col min="1320" max="1320" width="9.7109375" style="125" customWidth="1"/>
    <col min="1321" max="1322" width="3.7109375" style="125" customWidth="1"/>
    <col min="1323" max="1323" width="9.7109375" style="125" customWidth="1"/>
    <col min="1324" max="1325" width="3.7109375" style="125" customWidth="1"/>
    <col min="1326" max="1326" width="9.7109375" style="125" customWidth="1"/>
    <col min="1327" max="1328" width="3.7109375" style="125" customWidth="1"/>
    <col min="1329" max="1329" width="9.7109375" style="125" customWidth="1"/>
    <col min="1330" max="1331" width="3.7109375" style="125" customWidth="1"/>
    <col min="1332" max="1332" width="9.7109375" style="125" customWidth="1"/>
    <col min="1333" max="1334" width="3.7109375" style="125" customWidth="1"/>
    <col min="1335" max="1335" width="9.7109375" style="125" customWidth="1"/>
    <col min="1336" max="1337" width="3.7109375" style="125" customWidth="1"/>
    <col min="1338" max="1338" width="9.7109375" style="125" customWidth="1"/>
    <col min="1339" max="1340" width="3.7109375" style="125" customWidth="1"/>
    <col min="1341" max="1341" width="9.7109375" style="125" customWidth="1"/>
    <col min="1342" max="1343" width="3.7109375" style="125" customWidth="1"/>
    <col min="1344" max="1344" width="9.7109375" style="125" customWidth="1"/>
    <col min="1345" max="1346" width="3.7109375" style="125" customWidth="1"/>
    <col min="1347" max="1347" width="9.7109375" style="125" customWidth="1"/>
    <col min="1348" max="1349" width="3.7109375" style="125" customWidth="1"/>
    <col min="1350" max="1350" width="9.7109375" style="125" customWidth="1"/>
    <col min="1351" max="1352" width="3.7109375" style="125" customWidth="1"/>
    <col min="1353" max="1353" width="9.7109375" style="125" customWidth="1"/>
    <col min="1354" max="1355" width="3.7109375" style="125" customWidth="1"/>
    <col min="1356" max="1356" width="9.7109375" style="125" customWidth="1"/>
    <col min="1357" max="1358" width="3.7109375" style="125" customWidth="1"/>
    <col min="1359" max="1359" width="9.7109375" style="125" customWidth="1"/>
    <col min="1360" max="1361" width="3.7109375" style="125" customWidth="1"/>
    <col min="1362" max="1362" width="9.7109375" style="125" customWidth="1"/>
    <col min="1363" max="1364" width="3.7109375" style="125" customWidth="1"/>
    <col min="1365" max="1365" width="9.7109375" style="125" customWidth="1"/>
    <col min="1366" max="1367" width="3.7109375" style="125" customWidth="1"/>
    <col min="1368" max="1368" width="9.7109375" style="125" customWidth="1"/>
    <col min="1369" max="1370" width="3.7109375" style="125" customWidth="1"/>
    <col min="1371" max="1371" width="9.7109375" style="125" customWidth="1"/>
    <col min="1372" max="1373" width="3.7109375" style="125" customWidth="1"/>
    <col min="1374" max="1374" width="9.7109375" style="125" customWidth="1"/>
    <col min="1375" max="1376" width="3.7109375" style="125" customWidth="1"/>
    <col min="1377" max="1377" width="9.7109375" style="125" customWidth="1"/>
    <col min="1378" max="1379" width="3.7109375" style="125" customWidth="1"/>
    <col min="1380" max="1380" width="9.7109375" style="125" customWidth="1"/>
    <col min="1381" max="1382" width="3.7109375" style="125" customWidth="1"/>
    <col min="1383" max="1383" width="9.7109375" style="125" customWidth="1"/>
    <col min="1384" max="1385" width="3.7109375" style="125" customWidth="1"/>
    <col min="1386" max="1386" width="9.7109375" style="125" customWidth="1"/>
    <col min="1387" max="1388" width="3.7109375" style="125" customWidth="1"/>
    <col min="1389" max="1389" width="9.7109375" style="125" customWidth="1"/>
    <col min="1390" max="1390" width="3.7109375" style="125" customWidth="1"/>
    <col min="1391" max="1391" width="5.7109375" style="125" bestFit="1" customWidth="1"/>
    <col min="1392" max="1392" width="9.7109375" style="125" customWidth="1"/>
    <col min="1393" max="1394" width="3.7109375" style="125" customWidth="1"/>
    <col min="1395" max="1395" width="9.7109375" style="125" customWidth="1"/>
    <col min="1396" max="1397" width="3.7109375" style="125" customWidth="1"/>
    <col min="1398" max="1398" width="9.7109375" style="125" customWidth="1"/>
    <col min="1399" max="1400" width="3.7109375" style="125" customWidth="1"/>
    <col min="1401" max="1401" width="9.7109375" style="125" customWidth="1"/>
    <col min="1402" max="1403" width="3.7109375" style="125" customWidth="1"/>
    <col min="1404" max="1404" width="9.7109375" style="125" customWidth="1"/>
    <col min="1405" max="1406" width="3.7109375" style="125" customWidth="1"/>
    <col min="1407" max="1407" width="9.7109375" style="125" customWidth="1"/>
    <col min="1408" max="1409" width="3.7109375" style="125" customWidth="1"/>
    <col min="1410" max="1410" width="9.7109375" style="125" customWidth="1"/>
    <col min="1411" max="1412" width="3.7109375" style="125" customWidth="1"/>
    <col min="1413" max="1413" width="9.7109375" style="125" customWidth="1"/>
    <col min="1414" max="1414" width="3.7109375" style="125" customWidth="1"/>
    <col min="1415" max="1415" width="5.7109375" style="125" bestFit="1" customWidth="1"/>
    <col min="1416" max="1416" width="9.7109375" style="125" customWidth="1"/>
    <col min="1417" max="1418" width="3.7109375" style="125" customWidth="1"/>
    <col min="1419" max="1419" width="9.7109375" style="125" customWidth="1"/>
    <col min="1420" max="1421" width="3.7109375" style="125" customWidth="1"/>
    <col min="1422" max="1422" width="9.7109375" style="125" customWidth="1"/>
    <col min="1423" max="1424" width="3.7109375" style="125" customWidth="1"/>
    <col min="1425" max="1425" width="9.7109375" style="125" customWidth="1"/>
    <col min="1426" max="1427" width="3.7109375" style="125" customWidth="1"/>
    <col min="1428" max="1428" width="9.7109375" style="125" customWidth="1"/>
    <col min="1429" max="1430" width="3.7109375" style="125" customWidth="1"/>
    <col min="1431" max="1431" width="9.7109375" style="125" customWidth="1"/>
    <col min="1432" max="1433" width="3.7109375" style="125" customWidth="1"/>
    <col min="1434" max="1434" width="9.7109375" style="125" customWidth="1"/>
    <col min="1435" max="1436" width="3.7109375" style="125" customWidth="1"/>
    <col min="1437" max="1437" width="9.7109375" style="125" customWidth="1"/>
    <col min="1438" max="1439" width="3.7109375" style="125" customWidth="1"/>
    <col min="1440" max="1440" width="9.7109375" style="125" customWidth="1"/>
    <col min="1441" max="1442" width="3.7109375" style="125" customWidth="1"/>
    <col min="1443" max="1443" width="9.7109375" style="125" customWidth="1"/>
    <col min="1444" max="1445" width="3.7109375" style="125" customWidth="1"/>
    <col min="1446" max="1446" width="9.7109375" style="125" customWidth="1"/>
    <col min="1447" max="1448" width="3.7109375" style="125" customWidth="1"/>
    <col min="1449" max="1449" width="9.7109375" style="125" customWidth="1"/>
    <col min="1450" max="1451" width="3.7109375" style="125" customWidth="1"/>
    <col min="1452" max="1452" width="9.7109375" style="125" customWidth="1"/>
    <col min="1453" max="1454" width="3.7109375" style="125" customWidth="1"/>
    <col min="1455" max="1455" width="9.7109375" style="125" customWidth="1"/>
    <col min="1456" max="1457" width="3.7109375" style="125" customWidth="1"/>
    <col min="1458" max="1458" width="9.7109375" style="125" customWidth="1"/>
    <col min="1459" max="1460" width="3.7109375" style="125" customWidth="1"/>
    <col min="1461" max="1461" width="9.7109375" style="125" customWidth="1"/>
    <col min="1462" max="1463" width="3.7109375" style="125" customWidth="1"/>
    <col min="1464" max="1464" width="9.7109375" style="125" customWidth="1"/>
    <col min="1465" max="1466" width="3.7109375" style="125" customWidth="1"/>
    <col min="1467" max="1467" width="9.7109375" style="125" customWidth="1"/>
    <col min="1468" max="1469" width="3.7109375" style="125" customWidth="1"/>
    <col min="1470" max="1470" width="9.7109375" style="125" customWidth="1"/>
    <col min="1471" max="1472" width="3.7109375" style="125" customWidth="1"/>
    <col min="1473" max="1473" width="9.7109375" style="125" customWidth="1"/>
    <col min="1474" max="1475" width="3.7109375" style="125" customWidth="1"/>
    <col min="1476" max="1476" width="9.7109375" style="125" customWidth="1"/>
    <col min="1477" max="1478" width="3.7109375" style="125" customWidth="1"/>
    <col min="1479" max="1479" width="9.7109375" style="125" customWidth="1"/>
    <col min="1480" max="1481" width="3.7109375" style="125" customWidth="1"/>
    <col min="1482" max="1482" width="9.7109375" style="125" customWidth="1"/>
    <col min="1483" max="1484" width="3.7109375" style="125" customWidth="1"/>
    <col min="1485" max="1485" width="9.7109375" style="125" customWidth="1"/>
    <col min="1486" max="1487" width="3.7109375" style="125" customWidth="1"/>
    <col min="1488" max="1488" width="9.7109375" style="125" customWidth="1"/>
    <col min="1489" max="1490" width="3.7109375" style="125" customWidth="1"/>
    <col min="1491" max="1491" width="9.7109375" style="125" customWidth="1"/>
    <col min="1492" max="1493" width="3.7109375" style="125" customWidth="1"/>
    <col min="1494" max="1494" width="9.7109375" style="125" customWidth="1"/>
    <col min="1495" max="1496" width="3.7109375" style="125" customWidth="1"/>
    <col min="1497" max="1497" width="9.7109375" style="125" customWidth="1"/>
    <col min="1498" max="1499" width="3.7109375" style="125" customWidth="1"/>
    <col min="1500" max="1500" width="9.7109375" style="125" customWidth="1"/>
    <col min="1501" max="1502" width="3.7109375" style="125" customWidth="1"/>
    <col min="1503" max="1503" width="9.7109375" style="125" customWidth="1"/>
    <col min="1504" max="1505" width="3.7109375" style="125" customWidth="1"/>
    <col min="1506" max="1506" width="9.7109375" style="125" customWidth="1"/>
    <col min="1507" max="1508" width="3.7109375" style="125" customWidth="1"/>
    <col min="1509" max="1509" width="9.7109375" style="125" customWidth="1"/>
    <col min="1510" max="1511" width="3.7109375" style="125" customWidth="1"/>
    <col min="1512" max="1512" width="9.7109375" style="125" customWidth="1"/>
    <col min="1513" max="1514" width="3.7109375" style="125" customWidth="1"/>
    <col min="1515" max="1515" width="9.7109375" style="125" customWidth="1"/>
    <col min="1516" max="1517" width="3.7109375" style="125" customWidth="1"/>
    <col min="1518" max="1518" width="9.7109375" style="125" customWidth="1"/>
    <col min="1519" max="1520" width="3.7109375" style="125" customWidth="1"/>
    <col min="1521" max="1521" width="9.7109375" style="125" customWidth="1"/>
    <col min="1522" max="1523" width="3.7109375" style="125" customWidth="1"/>
    <col min="1524" max="1524" width="9.7109375" style="125" customWidth="1"/>
    <col min="1525" max="1526" width="3.7109375" style="125" customWidth="1"/>
    <col min="1527" max="1527" width="9.7109375" style="125" customWidth="1"/>
    <col min="1528" max="1529" width="3.7109375" style="125" customWidth="1"/>
    <col min="1530" max="1530" width="9.7109375" style="125" customWidth="1"/>
    <col min="1531" max="1532" width="3.7109375" style="125" customWidth="1"/>
    <col min="1533" max="1533" width="9.7109375" style="125" customWidth="1"/>
    <col min="1534" max="1534" width="3.7109375" style="125" customWidth="1"/>
    <col min="1535" max="1536" width="8" style="125"/>
    <col min="1537" max="1537" width="30.7109375" style="125" customWidth="1"/>
    <col min="1538" max="1538" width="9.7109375" style="125" customWidth="1"/>
    <col min="1539" max="1539" width="3.7109375" style="125" customWidth="1"/>
    <col min="1540" max="1540" width="9.7109375" style="125" customWidth="1"/>
    <col min="1541" max="1542" width="3.7109375" style="125" customWidth="1"/>
    <col min="1543" max="1543" width="9.7109375" style="125" customWidth="1"/>
    <col min="1544" max="1545" width="3.7109375" style="125" customWidth="1"/>
    <col min="1546" max="1546" width="9.7109375" style="125" customWidth="1"/>
    <col min="1547" max="1548" width="3.7109375" style="125" customWidth="1"/>
    <col min="1549" max="1549" width="9.7109375" style="125" customWidth="1"/>
    <col min="1550" max="1551" width="3.7109375" style="125" customWidth="1"/>
    <col min="1552" max="1552" width="9.7109375" style="125" customWidth="1"/>
    <col min="1553" max="1554" width="3.7109375" style="125" customWidth="1"/>
    <col min="1555" max="1555" width="9.7109375" style="125" customWidth="1"/>
    <col min="1556" max="1557" width="3.7109375" style="125" customWidth="1"/>
    <col min="1558" max="1558" width="9.7109375" style="125" customWidth="1"/>
    <col min="1559" max="1560" width="3.7109375" style="125" customWidth="1"/>
    <col min="1561" max="1561" width="9.7109375" style="125" customWidth="1"/>
    <col min="1562" max="1563" width="3.7109375" style="125" customWidth="1"/>
    <col min="1564" max="1564" width="9.7109375" style="125" customWidth="1"/>
    <col min="1565" max="1566" width="3.7109375" style="125" customWidth="1"/>
    <col min="1567" max="1567" width="9.7109375" style="125" customWidth="1"/>
    <col min="1568" max="1569" width="3.7109375" style="125" customWidth="1"/>
    <col min="1570" max="1570" width="9.7109375" style="125" customWidth="1"/>
    <col min="1571" max="1572" width="3.7109375" style="125" customWidth="1"/>
    <col min="1573" max="1573" width="9.7109375" style="125" customWidth="1"/>
    <col min="1574" max="1575" width="3.7109375" style="125" customWidth="1"/>
    <col min="1576" max="1576" width="9.7109375" style="125" customWidth="1"/>
    <col min="1577" max="1578" width="3.7109375" style="125" customWidth="1"/>
    <col min="1579" max="1579" width="9.7109375" style="125" customWidth="1"/>
    <col min="1580" max="1581" width="3.7109375" style="125" customWidth="1"/>
    <col min="1582" max="1582" width="9.7109375" style="125" customWidth="1"/>
    <col min="1583" max="1584" width="3.7109375" style="125" customWidth="1"/>
    <col min="1585" max="1585" width="9.7109375" style="125" customWidth="1"/>
    <col min="1586" max="1587" width="3.7109375" style="125" customWidth="1"/>
    <col min="1588" max="1588" width="9.7109375" style="125" customWidth="1"/>
    <col min="1589" max="1590" width="3.7109375" style="125" customWidth="1"/>
    <col min="1591" max="1591" width="9.7109375" style="125" customWidth="1"/>
    <col min="1592" max="1593" width="3.7109375" style="125" customWidth="1"/>
    <col min="1594" max="1594" width="9.7109375" style="125" customWidth="1"/>
    <col min="1595" max="1596" width="3.7109375" style="125" customWidth="1"/>
    <col min="1597" max="1597" width="9.7109375" style="125" customWidth="1"/>
    <col min="1598" max="1599" width="3.7109375" style="125" customWidth="1"/>
    <col min="1600" max="1600" width="9.7109375" style="125" customWidth="1"/>
    <col min="1601" max="1602" width="3.7109375" style="125" customWidth="1"/>
    <col min="1603" max="1603" width="9.7109375" style="125" customWidth="1"/>
    <col min="1604" max="1605" width="3.7109375" style="125" customWidth="1"/>
    <col min="1606" max="1606" width="9.7109375" style="125" customWidth="1"/>
    <col min="1607" max="1608" width="3.7109375" style="125" customWidth="1"/>
    <col min="1609" max="1609" width="9.7109375" style="125" customWidth="1"/>
    <col min="1610" max="1611" width="3.7109375" style="125" customWidth="1"/>
    <col min="1612" max="1612" width="9.7109375" style="125" customWidth="1"/>
    <col min="1613" max="1614" width="3.7109375" style="125" customWidth="1"/>
    <col min="1615" max="1615" width="9.7109375" style="125" customWidth="1"/>
    <col min="1616" max="1617" width="3.7109375" style="125" customWidth="1"/>
    <col min="1618" max="1618" width="9.7109375" style="125" customWidth="1"/>
    <col min="1619" max="1620" width="3.7109375" style="125" customWidth="1"/>
    <col min="1621" max="1621" width="9.7109375" style="125" customWidth="1"/>
    <col min="1622" max="1623" width="3.7109375" style="125" customWidth="1"/>
    <col min="1624" max="1624" width="9.7109375" style="125" customWidth="1"/>
    <col min="1625" max="1626" width="3.7109375" style="125" customWidth="1"/>
    <col min="1627" max="1627" width="9.7109375" style="125" customWidth="1"/>
    <col min="1628" max="1629" width="3.7109375" style="125" customWidth="1"/>
    <col min="1630" max="1630" width="9.7109375" style="125" customWidth="1"/>
    <col min="1631" max="1632" width="3.7109375" style="125" customWidth="1"/>
    <col min="1633" max="1633" width="9.7109375" style="125" customWidth="1"/>
    <col min="1634" max="1635" width="3.7109375" style="125" customWidth="1"/>
    <col min="1636" max="1636" width="9.7109375" style="125" customWidth="1"/>
    <col min="1637" max="1638" width="3.7109375" style="125" customWidth="1"/>
    <col min="1639" max="1639" width="9.7109375" style="125" customWidth="1"/>
    <col min="1640" max="1641" width="3.7109375" style="125" customWidth="1"/>
    <col min="1642" max="1642" width="9.7109375" style="125" customWidth="1"/>
    <col min="1643" max="1644" width="3.7109375" style="125" customWidth="1"/>
    <col min="1645" max="1645" width="9.7109375" style="125" customWidth="1"/>
    <col min="1646" max="1646" width="3.7109375" style="125" customWidth="1"/>
    <col min="1647" max="1647" width="5.7109375" style="125" bestFit="1" customWidth="1"/>
    <col min="1648" max="1648" width="9.7109375" style="125" customWidth="1"/>
    <col min="1649" max="1650" width="3.7109375" style="125" customWidth="1"/>
    <col min="1651" max="1651" width="9.7109375" style="125" customWidth="1"/>
    <col min="1652" max="1653" width="3.7109375" style="125" customWidth="1"/>
    <col min="1654" max="1654" width="9.7109375" style="125" customWidth="1"/>
    <col min="1655" max="1656" width="3.7109375" style="125" customWidth="1"/>
    <col min="1657" max="1657" width="9.7109375" style="125" customWidth="1"/>
    <col min="1658" max="1659" width="3.7109375" style="125" customWidth="1"/>
    <col min="1660" max="1660" width="9.7109375" style="125" customWidth="1"/>
    <col min="1661" max="1662" width="3.7109375" style="125" customWidth="1"/>
    <col min="1663" max="1663" width="9.7109375" style="125" customWidth="1"/>
    <col min="1664" max="1665" width="3.7109375" style="125" customWidth="1"/>
    <col min="1666" max="1666" width="9.7109375" style="125" customWidth="1"/>
    <col min="1667" max="1668" width="3.7109375" style="125" customWidth="1"/>
    <col min="1669" max="1669" width="9.7109375" style="125" customWidth="1"/>
    <col min="1670" max="1670" width="3.7109375" style="125" customWidth="1"/>
    <col min="1671" max="1671" width="5.7109375" style="125" bestFit="1" customWidth="1"/>
    <col min="1672" max="1672" width="9.7109375" style="125" customWidth="1"/>
    <col min="1673" max="1674" width="3.7109375" style="125" customWidth="1"/>
    <col min="1675" max="1675" width="9.7109375" style="125" customWidth="1"/>
    <col min="1676" max="1677" width="3.7109375" style="125" customWidth="1"/>
    <col min="1678" max="1678" width="9.7109375" style="125" customWidth="1"/>
    <col min="1679" max="1680" width="3.7109375" style="125" customWidth="1"/>
    <col min="1681" max="1681" width="9.7109375" style="125" customWidth="1"/>
    <col min="1682" max="1683" width="3.7109375" style="125" customWidth="1"/>
    <col min="1684" max="1684" width="9.7109375" style="125" customWidth="1"/>
    <col min="1685" max="1686" width="3.7109375" style="125" customWidth="1"/>
    <col min="1687" max="1687" width="9.7109375" style="125" customWidth="1"/>
    <col min="1688" max="1689" width="3.7109375" style="125" customWidth="1"/>
    <col min="1690" max="1690" width="9.7109375" style="125" customWidth="1"/>
    <col min="1691" max="1692" width="3.7109375" style="125" customWidth="1"/>
    <col min="1693" max="1693" width="9.7109375" style="125" customWidth="1"/>
    <col min="1694" max="1695" width="3.7109375" style="125" customWidth="1"/>
    <col min="1696" max="1696" width="9.7109375" style="125" customWidth="1"/>
    <col min="1697" max="1698" width="3.7109375" style="125" customWidth="1"/>
    <col min="1699" max="1699" width="9.7109375" style="125" customWidth="1"/>
    <col min="1700" max="1701" width="3.7109375" style="125" customWidth="1"/>
    <col min="1702" max="1702" width="9.7109375" style="125" customWidth="1"/>
    <col min="1703" max="1704" width="3.7109375" style="125" customWidth="1"/>
    <col min="1705" max="1705" width="9.7109375" style="125" customWidth="1"/>
    <col min="1706" max="1707" width="3.7109375" style="125" customWidth="1"/>
    <col min="1708" max="1708" width="9.7109375" style="125" customWidth="1"/>
    <col min="1709" max="1710" width="3.7109375" style="125" customWidth="1"/>
    <col min="1711" max="1711" width="9.7109375" style="125" customWidth="1"/>
    <col min="1712" max="1713" width="3.7109375" style="125" customWidth="1"/>
    <col min="1714" max="1714" width="9.7109375" style="125" customWidth="1"/>
    <col min="1715" max="1716" width="3.7109375" style="125" customWidth="1"/>
    <col min="1717" max="1717" width="9.7109375" style="125" customWidth="1"/>
    <col min="1718" max="1719" width="3.7109375" style="125" customWidth="1"/>
    <col min="1720" max="1720" width="9.7109375" style="125" customWidth="1"/>
    <col min="1721" max="1722" width="3.7109375" style="125" customWidth="1"/>
    <col min="1723" max="1723" width="9.7109375" style="125" customWidth="1"/>
    <col min="1724" max="1725" width="3.7109375" style="125" customWidth="1"/>
    <col min="1726" max="1726" width="9.7109375" style="125" customWidth="1"/>
    <col min="1727" max="1728" width="3.7109375" style="125" customWidth="1"/>
    <col min="1729" max="1729" width="9.7109375" style="125" customWidth="1"/>
    <col min="1730" max="1731" width="3.7109375" style="125" customWidth="1"/>
    <col min="1732" max="1732" width="9.7109375" style="125" customWidth="1"/>
    <col min="1733" max="1734" width="3.7109375" style="125" customWidth="1"/>
    <col min="1735" max="1735" width="9.7109375" style="125" customWidth="1"/>
    <col min="1736" max="1737" width="3.7109375" style="125" customWidth="1"/>
    <col min="1738" max="1738" width="9.7109375" style="125" customWidth="1"/>
    <col min="1739" max="1740" width="3.7109375" style="125" customWidth="1"/>
    <col min="1741" max="1741" width="9.7109375" style="125" customWidth="1"/>
    <col min="1742" max="1743" width="3.7109375" style="125" customWidth="1"/>
    <col min="1744" max="1744" width="9.7109375" style="125" customWidth="1"/>
    <col min="1745" max="1746" width="3.7109375" style="125" customWidth="1"/>
    <col min="1747" max="1747" width="9.7109375" style="125" customWidth="1"/>
    <col min="1748" max="1749" width="3.7109375" style="125" customWidth="1"/>
    <col min="1750" max="1750" width="9.7109375" style="125" customWidth="1"/>
    <col min="1751" max="1752" width="3.7109375" style="125" customWidth="1"/>
    <col min="1753" max="1753" width="9.7109375" style="125" customWidth="1"/>
    <col min="1754" max="1755" width="3.7109375" style="125" customWidth="1"/>
    <col min="1756" max="1756" width="9.7109375" style="125" customWidth="1"/>
    <col min="1757" max="1758" width="3.7109375" style="125" customWidth="1"/>
    <col min="1759" max="1759" width="9.7109375" style="125" customWidth="1"/>
    <col min="1760" max="1761" width="3.7109375" style="125" customWidth="1"/>
    <col min="1762" max="1762" width="9.7109375" style="125" customWidth="1"/>
    <col min="1763" max="1764" width="3.7109375" style="125" customWidth="1"/>
    <col min="1765" max="1765" width="9.7109375" style="125" customWidth="1"/>
    <col min="1766" max="1767" width="3.7109375" style="125" customWidth="1"/>
    <col min="1768" max="1768" width="9.7109375" style="125" customWidth="1"/>
    <col min="1769" max="1770" width="3.7109375" style="125" customWidth="1"/>
    <col min="1771" max="1771" width="9.7109375" style="125" customWidth="1"/>
    <col min="1772" max="1773" width="3.7109375" style="125" customWidth="1"/>
    <col min="1774" max="1774" width="9.7109375" style="125" customWidth="1"/>
    <col min="1775" max="1776" width="3.7109375" style="125" customWidth="1"/>
    <col min="1777" max="1777" width="9.7109375" style="125" customWidth="1"/>
    <col min="1778" max="1779" width="3.7109375" style="125" customWidth="1"/>
    <col min="1780" max="1780" width="9.7109375" style="125" customWidth="1"/>
    <col min="1781" max="1782" width="3.7109375" style="125" customWidth="1"/>
    <col min="1783" max="1783" width="9.7109375" style="125" customWidth="1"/>
    <col min="1784" max="1785" width="3.7109375" style="125" customWidth="1"/>
    <col min="1786" max="1786" width="9.7109375" style="125" customWidth="1"/>
    <col min="1787" max="1788" width="3.7109375" style="125" customWidth="1"/>
    <col min="1789" max="1789" width="9.7109375" style="125" customWidth="1"/>
    <col min="1790" max="1790" width="3.7109375" style="125" customWidth="1"/>
    <col min="1791" max="1792" width="8" style="125"/>
    <col min="1793" max="1793" width="30.7109375" style="125" customWidth="1"/>
    <col min="1794" max="1794" width="9.7109375" style="125" customWidth="1"/>
    <col min="1795" max="1795" width="3.7109375" style="125" customWidth="1"/>
    <col min="1796" max="1796" width="9.7109375" style="125" customWidth="1"/>
    <col min="1797" max="1798" width="3.7109375" style="125" customWidth="1"/>
    <col min="1799" max="1799" width="9.7109375" style="125" customWidth="1"/>
    <col min="1800" max="1801" width="3.7109375" style="125" customWidth="1"/>
    <col min="1802" max="1802" width="9.7109375" style="125" customWidth="1"/>
    <col min="1803" max="1804" width="3.7109375" style="125" customWidth="1"/>
    <col min="1805" max="1805" width="9.7109375" style="125" customWidth="1"/>
    <col min="1806" max="1807" width="3.7109375" style="125" customWidth="1"/>
    <col min="1808" max="1808" width="9.7109375" style="125" customWidth="1"/>
    <col min="1809" max="1810" width="3.7109375" style="125" customWidth="1"/>
    <col min="1811" max="1811" width="9.7109375" style="125" customWidth="1"/>
    <col min="1812" max="1813" width="3.7109375" style="125" customWidth="1"/>
    <col min="1814" max="1814" width="9.7109375" style="125" customWidth="1"/>
    <col min="1815" max="1816" width="3.7109375" style="125" customWidth="1"/>
    <col min="1817" max="1817" width="9.7109375" style="125" customWidth="1"/>
    <col min="1818" max="1819" width="3.7109375" style="125" customWidth="1"/>
    <col min="1820" max="1820" width="9.7109375" style="125" customWidth="1"/>
    <col min="1821" max="1822" width="3.7109375" style="125" customWidth="1"/>
    <col min="1823" max="1823" width="9.7109375" style="125" customWidth="1"/>
    <col min="1824" max="1825" width="3.7109375" style="125" customWidth="1"/>
    <col min="1826" max="1826" width="9.7109375" style="125" customWidth="1"/>
    <col min="1827" max="1828" width="3.7109375" style="125" customWidth="1"/>
    <col min="1829" max="1829" width="9.7109375" style="125" customWidth="1"/>
    <col min="1830" max="1831" width="3.7109375" style="125" customWidth="1"/>
    <col min="1832" max="1832" width="9.7109375" style="125" customWidth="1"/>
    <col min="1833" max="1834" width="3.7109375" style="125" customWidth="1"/>
    <col min="1835" max="1835" width="9.7109375" style="125" customWidth="1"/>
    <col min="1836" max="1837" width="3.7109375" style="125" customWidth="1"/>
    <col min="1838" max="1838" width="9.7109375" style="125" customWidth="1"/>
    <col min="1839" max="1840" width="3.7109375" style="125" customWidth="1"/>
    <col min="1841" max="1841" width="9.7109375" style="125" customWidth="1"/>
    <col min="1842" max="1843" width="3.7109375" style="125" customWidth="1"/>
    <col min="1844" max="1844" width="9.7109375" style="125" customWidth="1"/>
    <col min="1845" max="1846" width="3.7109375" style="125" customWidth="1"/>
    <col min="1847" max="1847" width="9.7109375" style="125" customWidth="1"/>
    <col min="1848" max="1849" width="3.7109375" style="125" customWidth="1"/>
    <col min="1850" max="1850" width="9.7109375" style="125" customWidth="1"/>
    <col min="1851" max="1852" width="3.7109375" style="125" customWidth="1"/>
    <col min="1853" max="1853" width="9.7109375" style="125" customWidth="1"/>
    <col min="1854" max="1855" width="3.7109375" style="125" customWidth="1"/>
    <col min="1856" max="1856" width="9.7109375" style="125" customWidth="1"/>
    <col min="1857" max="1858" width="3.7109375" style="125" customWidth="1"/>
    <col min="1859" max="1859" width="9.7109375" style="125" customWidth="1"/>
    <col min="1860" max="1861" width="3.7109375" style="125" customWidth="1"/>
    <col min="1862" max="1862" width="9.7109375" style="125" customWidth="1"/>
    <col min="1863" max="1864" width="3.7109375" style="125" customWidth="1"/>
    <col min="1865" max="1865" width="9.7109375" style="125" customWidth="1"/>
    <col min="1866" max="1867" width="3.7109375" style="125" customWidth="1"/>
    <col min="1868" max="1868" width="9.7109375" style="125" customWidth="1"/>
    <col min="1869" max="1870" width="3.7109375" style="125" customWidth="1"/>
    <col min="1871" max="1871" width="9.7109375" style="125" customWidth="1"/>
    <col min="1872" max="1873" width="3.7109375" style="125" customWidth="1"/>
    <col min="1874" max="1874" width="9.7109375" style="125" customWidth="1"/>
    <col min="1875" max="1876" width="3.7109375" style="125" customWidth="1"/>
    <col min="1877" max="1877" width="9.7109375" style="125" customWidth="1"/>
    <col min="1878" max="1879" width="3.7109375" style="125" customWidth="1"/>
    <col min="1880" max="1880" width="9.7109375" style="125" customWidth="1"/>
    <col min="1881" max="1882" width="3.7109375" style="125" customWidth="1"/>
    <col min="1883" max="1883" width="9.7109375" style="125" customWidth="1"/>
    <col min="1884" max="1885" width="3.7109375" style="125" customWidth="1"/>
    <col min="1886" max="1886" width="9.7109375" style="125" customWidth="1"/>
    <col min="1887" max="1888" width="3.7109375" style="125" customWidth="1"/>
    <col min="1889" max="1889" width="9.7109375" style="125" customWidth="1"/>
    <col min="1890" max="1891" width="3.7109375" style="125" customWidth="1"/>
    <col min="1892" max="1892" width="9.7109375" style="125" customWidth="1"/>
    <col min="1893" max="1894" width="3.7109375" style="125" customWidth="1"/>
    <col min="1895" max="1895" width="9.7109375" style="125" customWidth="1"/>
    <col min="1896" max="1897" width="3.7109375" style="125" customWidth="1"/>
    <col min="1898" max="1898" width="9.7109375" style="125" customWidth="1"/>
    <col min="1899" max="1900" width="3.7109375" style="125" customWidth="1"/>
    <col min="1901" max="1901" width="9.7109375" style="125" customWidth="1"/>
    <col min="1902" max="1902" width="3.7109375" style="125" customWidth="1"/>
    <col min="1903" max="1903" width="5.7109375" style="125" bestFit="1" customWidth="1"/>
    <col min="1904" max="1904" width="9.7109375" style="125" customWidth="1"/>
    <col min="1905" max="1906" width="3.7109375" style="125" customWidth="1"/>
    <col min="1907" max="1907" width="9.7109375" style="125" customWidth="1"/>
    <col min="1908" max="1909" width="3.7109375" style="125" customWidth="1"/>
    <col min="1910" max="1910" width="9.7109375" style="125" customWidth="1"/>
    <col min="1911" max="1912" width="3.7109375" style="125" customWidth="1"/>
    <col min="1913" max="1913" width="9.7109375" style="125" customWidth="1"/>
    <col min="1914" max="1915" width="3.7109375" style="125" customWidth="1"/>
    <col min="1916" max="1916" width="9.7109375" style="125" customWidth="1"/>
    <col min="1917" max="1918" width="3.7109375" style="125" customWidth="1"/>
    <col min="1919" max="1919" width="9.7109375" style="125" customWidth="1"/>
    <col min="1920" max="1921" width="3.7109375" style="125" customWidth="1"/>
    <col min="1922" max="1922" width="9.7109375" style="125" customWidth="1"/>
    <col min="1923" max="1924" width="3.7109375" style="125" customWidth="1"/>
    <col min="1925" max="1925" width="9.7109375" style="125" customWidth="1"/>
    <col min="1926" max="1926" width="3.7109375" style="125" customWidth="1"/>
    <col min="1927" max="1927" width="5.7109375" style="125" bestFit="1" customWidth="1"/>
    <col min="1928" max="1928" width="9.7109375" style="125" customWidth="1"/>
    <col min="1929" max="1930" width="3.7109375" style="125" customWidth="1"/>
    <col min="1931" max="1931" width="9.7109375" style="125" customWidth="1"/>
    <col min="1932" max="1933" width="3.7109375" style="125" customWidth="1"/>
    <col min="1934" max="1934" width="9.7109375" style="125" customWidth="1"/>
    <col min="1935" max="1936" width="3.7109375" style="125" customWidth="1"/>
    <col min="1937" max="1937" width="9.7109375" style="125" customWidth="1"/>
    <col min="1938" max="1939" width="3.7109375" style="125" customWidth="1"/>
    <col min="1940" max="1940" width="9.7109375" style="125" customWidth="1"/>
    <col min="1941" max="1942" width="3.7109375" style="125" customWidth="1"/>
    <col min="1943" max="1943" width="9.7109375" style="125" customWidth="1"/>
    <col min="1944" max="1945" width="3.7109375" style="125" customWidth="1"/>
    <col min="1946" max="1946" width="9.7109375" style="125" customWidth="1"/>
    <col min="1947" max="1948" width="3.7109375" style="125" customWidth="1"/>
    <col min="1949" max="1949" width="9.7109375" style="125" customWidth="1"/>
    <col min="1950" max="1951" width="3.7109375" style="125" customWidth="1"/>
    <col min="1952" max="1952" width="9.7109375" style="125" customWidth="1"/>
    <col min="1953" max="1954" width="3.7109375" style="125" customWidth="1"/>
    <col min="1955" max="1955" width="9.7109375" style="125" customWidth="1"/>
    <col min="1956" max="1957" width="3.7109375" style="125" customWidth="1"/>
    <col min="1958" max="1958" width="9.7109375" style="125" customWidth="1"/>
    <col min="1959" max="1960" width="3.7109375" style="125" customWidth="1"/>
    <col min="1961" max="1961" width="9.7109375" style="125" customWidth="1"/>
    <col min="1962" max="1963" width="3.7109375" style="125" customWidth="1"/>
    <col min="1964" max="1964" width="9.7109375" style="125" customWidth="1"/>
    <col min="1965" max="1966" width="3.7109375" style="125" customWidth="1"/>
    <col min="1967" max="1967" width="9.7109375" style="125" customWidth="1"/>
    <col min="1968" max="1969" width="3.7109375" style="125" customWidth="1"/>
    <col min="1970" max="1970" width="9.7109375" style="125" customWidth="1"/>
    <col min="1971" max="1972" width="3.7109375" style="125" customWidth="1"/>
    <col min="1973" max="1973" width="9.7109375" style="125" customWidth="1"/>
    <col min="1974" max="1975" width="3.7109375" style="125" customWidth="1"/>
    <col min="1976" max="1976" width="9.7109375" style="125" customWidth="1"/>
    <col min="1977" max="1978" width="3.7109375" style="125" customWidth="1"/>
    <col min="1979" max="1979" width="9.7109375" style="125" customWidth="1"/>
    <col min="1980" max="1981" width="3.7109375" style="125" customWidth="1"/>
    <col min="1982" max="1982" width="9.7109375" style="125" customWidth="1"/>
    <col min="1983" max="1984" width="3.7109375" style="125" customWidth="1"/>
    <col min="1985" max="1985" width="9.7109375" style="125" customWidth="1"/>
    <col min="1986" max="1987" width="3.7109375" style="125" customWidth="1"/>
    <col min="1988" max="1988" width="9.7109375" style="125" customWidth="1"/>
    <col min="1989" max="1990" width="3.7109375" style="125" customWidth="1"/>
    <col min="1991" max="1991" width="9.7109375" style="125" customWidth="1"/>
    <col min="1992" max="1993" width="3.7109375" style="125" customWidth="1"/>
    <col min="1994" max="1994" width="9.7109375" style="125" customWidth="1"/>
    <col min="1995" max="1996" width="3.7109375" style="125" customWidth="1"/>
    <col min="1997" max="1997" width="9.7109375" style="125" customWidth="1"/>
    <col min="1998" max="1999" width="3.7109375" style="125" customWidth="1"/>
    <col min="2000" max="2000" width="9.7109375" style="125" customWidth="1"/>
    <col min="2001" max="2002" width="3.7109375" style="125" customWidth="1"/>
    <col min="2003" max="2003" width="9.7109375" style="125" customWidth="1"/>
    <col min="2004" max="2005" width="3.7109375" style="125" customWidth="1"/>
    <col min="2006" max="2006" width="9.7109375" style="125" customWidth="1"/>
    <col min="2007" max="2008" width="3.7109375" style="125" customWidth="1"/>
    <col min="2009" max="2009" width="9.7109375" style="125" customWidth="1"/>
    <col min="2010" max="2011" width="3.7109375" style="125" customWidth="1"/>
    <col min="2012" max="2012" width="9.7109375" style="125" customWidth="1"/>
    <col min="2013" max="2014" width="3.7109375" style="125" customWidth="1"/>
    <col min="2015" max="2015" width="9.7109375" style="125" customWidth="1"/>
    <col min="2016" max="2017" width="3.7109375" style="125" customWidth="1"/>
    <col min="2018" max="2018" width="9.7109375" style="125" customWidth="1"/>
    <col min="2019" max="2020" width="3.7109375" style="125" customWidth="1"/>
    <col min="2021" max="2021" width="9.7109375" style="125" customWidth="1"/>
    <col min="2022" max="2023" width="3.7109375" style="125" customWidth="1"/>
    <col min="2024" max="2024" width="9.7109375" style="125" customWidth="1"/>
    <col min="2025" max="2026" width="3.7109375" style="125" customWidth="1"/>
    <col min="2027" max="2027" width="9.7109375" style="125" customWidth="1"/>
    <col min="2028" max="2029" width="3.7109375" style="125" customWidth="1"/>
    <col min="2030" max="2030" width="9.7109375" style="125" customWidth="1"/>
    <col min="2031" max="2032" width="3.7109375" style="125" customWidth="1"/>
    <col min="2033" max="2033" width="9.7109375" style="125" customWidth="1"/>
    <col min="2034" max="2035" width="3.7109375" style="125" customWidth="1"/>
    <col min="2036" max="2036" width="9.7109375" style="125" customWidth="1"/>
    <col min="2037" max="2038" width="3.7109375" style="125" customWidth="1"/>
    <col min="2039" max="2039" width="9.7109375" style="125" customWidth="1"/>
    <col min="2040" max="2041" width="3.7109375" style="125" customWidth="1"/>
    <col min="2042" max="2042" width="9.7109375" style="125" customWidth="1"/>
    <col min="2043" max="2044" width="3.7109375" style="125" customWidth="1"/>
    <col min="2045" max="2045" width="9.7109375" style="125" customWidth="1"/>
    <col min="2046" max="2046" width="3.7109375" style="125" customWidth="1"/>
    <col min="2047" max="2048" width="8" style="125"/>
    <col min="2049" max="2049" width="30.7109375" style="125" customWidth="1"/>
    <col min="2050" max="2050" width="9.7109375" style="125" customWidth="1"/>
    <col min="2051" max="2051" width="3.7109375" style="125" customWidth="1"/>
    <col min="2052" max="2052" width="9.7109375" style="125" customWidth="1"/>
    <col min="2053" max="2054" width="3.7109375" style="125" customWidth="1"/>
    <col min="2055" max="2055" width="9.7109375" style="125" customWidth="1"/>
    <col min="2056" max="2057" width="3.7109375" style="125" customWidth="1"/>
    <col min="2058" max="2058" width="9.7109375" style="125" customWidth="1"/>
    <col min="2059" max="2060" width="3.7109375" style="125" customWidth="1"/>
    <col min="2061" max="2061" width="9.7109375" style="125" customWidth="1"/>
    <col min="2062" max="2063" width="3.7109375" style="125" customWidth="1"/>
    <col min="2064" max="2064" width="9.7109375" style="125" customWidth="1"/>
    <col min="2065" max="2066" width="3.7109375" style="125" customWidth="1"/>
    <col min="2067" max="2067" width="9.7109375" style="125" customWidth="1"/>
    <col min="2068" max="2069" width="3.7109375" style="125" customWidth="1"/>
    <col min="2070" max="2070" width="9.7109375" style="125" customWidth="1"/>
    <col min="2071" max="2072" width="3.7109375" style="125" customWidth="1"/>
    <col min="2073" max="2073" width="9.7109375" style="125" customWidth="1"/>
    <col min="2074" max="2075" width="3.7109375" style="125" customWidth="1"/>
    <col min="2076" max="2076" width="9.7109375" style="125" customWidth="1"/>
    <col min="2077" max="2078" width="3.7109375" style="125" customWidth="1"/>
    <col min="2079" max="2079" width="9.7109375" style="125" customWidth="1"/>
    <col min="2080" max="2081" width="3.7109375" style="125" customWidth="1"/>
    <col min="2082" max="2082" width="9.7109375" style="125" customWidth="1"/>
    <col min="2083" max="2084" width="3.7109375" style="125" customWidth="1"/>
    <col min="2085" max="2085" width="9.7109375" style="125" customWidth="1"/>
    <col min="2086" max="2087" width="3.7109375" style="125" customWidth="1"/>
    <col min="2088" max="2088" width="9.7109375" style="125" customWidth="1"/>
    <col min="2089" max="2090" width="3.7109375" style="125" customWidth="1"/>
    <col min="2091" max="2091" width="9.7109375" style="125" customWidth="1"/>
    <col min="2092" max="2093" width="3.7109375" style="125" customWidth="1"/>
    <col min="2094" max="2094" width="9.7109375" style="125" customWidth="1"/>
    <col min="2095" max="2096" width="3.7109375" style="125" customWidth="1"/>
    <col min="2097" max="2097" width="9.7109375" style="125" customWidth="1"/>
    <col min="2098" max="2099" width="3.7109375" style="125" customWidth="1"/>
    <col min="2100" max="2100" width="9.7109375" style="125" customWidth="1"/>
    <col min="2101" max="2102" width="3.7109375" style="125" customWidth="1"/>
    <col min="2103" max="2103" width="9.7109375" style="125" customWidth="1"/>
    <col min="2104" max="2105" width="3.7109375" style="125" customWidth="1"/>
    <col min="2106" max="2106" width="9.7109375" style="125" customWidth="1"/>
    <col min="2107" max="2108" width="3.7109375" style="125" customWidth="1"/>
    <col min="2109" max="2109" width="9.7109375" style="125" customWidth="1"/>
    <col min="2110" max="2111" width="3.7109375" style="125" customWidth="1"/>
    <col min="2112" max="2112" width="9.7109375" style="125" customWidth="1"/>
    <col min="2113" max="2114" width="3.7109375" style="125" customWidth="1"/>
    <col min="2115" max="2115" width="9.7109375" style="125" customWidth="1"/>
    <col min="2116" max="2117" width="3.7109375" style="125" customWidth="1"/>
    <col min="2118" max="2118" width="9.7109375" style="125" customWidth="1"/>
    <col min="2119" max="2120" width="3.7109375" style="125" customWidth="1"/>
    <col min="2121" max="2121" width="9.7109375" style="125" customWidth="1"/>
    <col min="2122" max="2123" width="3.7109375" style="125" customWidth="1"/>
    <col min="2124" max="2124" width="9.7109375" style="125" customWidth="1"/>
    <col min="2125" max="2126" width="3.7109375" style="125" customWidth="1"/>
    <col min="2127" max="2127" width="9.7109375" style="125" customWidth="1"/>
    <col min="2128" max="2129" width="3.7109375" style="125" customWidth="1"/>
    <col min="2130" max="2130" width="9.7109375" style="125" customWidth="1"/>
    <col min="2131" max="2132" width="3.7109375" style="125" customWidth="1"/>
    <col min="2133" max="2133" width="9.7109375" style="125" customWidth="1"/>
    <col min="2134" max="2135" width="3.7109375" style="125" customWidth="1"/>
    <col min="2136" max="2136" width="9.7109375" style="125" customWidth="1"/>
    <col min="2137" max="2138" width="3.7109375" style="125" customWidth="1"/>
    <col min="2139" max="2139" width="9.7109375" style="125" customWidth="1"/>
    <col min="2140" max="2141" width="3.7109375" style="125" customWidth="1"/>
    <col min="2142" max="2142" width="9.7109375" style="125" customWidth="1"/>
    <col min="2143" max="2144" width="3.7109375" style="125" customWidth="1"/>
    <col min="2145" max="2145" width="9.7109375" style="125" customWidth="1"/>
    <col min="2146" max="2147" width="3.7109375" style="125" customWidth="1"/>
    <col min="2148" max="2148" width="9.7109375" style="125" customWidth="1"/>
    <col min="2149" max="2150" width="3.7109375" style="125" customWidth="1"/>
    <col min="2151" max="2151" width="9.7109375" style="125" customWidth="1"/>
    <col min="2152" max="2153" width="3.7109375" style="125" customWidth="1"/>
    <col min="2154" max="2154" width="9.7109375" style="125" customWidth="1"/>
    <col min="2155" max="2156" width="3.7109375" style="125" customWidth="1"/>
    <col min="2157" max="2157" width="9.7109375" style="125" customWidth="1"/>
    <col min="2158" max="2158" width="3.7109375" style="125" customWidth="1"/>
    <col min="2159" max="2159" width="5.7109375" style="125" bestFit="1" customWidth="1"/>
    <col min="2160" max="2160" width="9.7109375" style="125" customWidth="1"/>
    <col min="2161" max="2162" width="3.7109375" style="125" customWidth="1"/>
    <col min="2163" max="2163" width="9.7109375" style="125" customWidth="1"/>
    <col min="2164" max="2165" width="3.7109375" style="125" customWidth="1"/>
    <col min="2166" max="2166" width="9.7109375" style="125" customWidth="1"/>
    <col min="2167" max="2168" width="3.7109375" style="125" customWidth="1"/>
    <col min="2169" max="2169" width="9.7109375" style="125" customWidth="1"/>
    <col min="2170" max="2171" width="3.7109375" style="125" customWidth="1"/>
    <col min="2172" max="2172" width="9.7109375" style="125" customWidth="1"/>
    <col min="2173" max="2174" width="3.7109375" style="125" customWidth="1"/>
    <col min="2175" max="2175" width="9.7109375" style="125" customWidth="1"/>
    <col min="2176" max="2177" width="3.7109375" style="125" customWidth="1"/>
    <col min="2178" max="2178" width="9.7109375" style="125" customWidth="1"/>
    <col min="2179" max="2180" width="3.7109375" style="125" customWidth="1"/>
    <col min="2181" max="2181" width="9.7109375" style="125" customWidth="1"/>
    <col min="2182" max="2182" width="3.7109375" style="125" customWidth="1"/>
    <col min="2183" max="2183" width="5.7109375" style="125" bestFit="1" customWidth="1"/>
    <col min="2184" max="2184" width="9.7109375" style="125" customWidth="1"/>
    <col min="2185" max="2186" width="3.7109375" style="125" customWidth="1"/>
    <col min="2187" max="2187" width="9.7109375" style="125" customWidth="1"/>
    <col min="2188" max="2189" width="3.7109375" style="125" customWidth="1"/>
    <col min="2190" max="2190" width="9.7109375" style="125" customWidth="1"/>
    <col min="2191" max="2192" width="3.7109375" style="125" customWidth="1"/>
    <col min="2193" max="2193" width="9.7109375" style="125" customWidth="1"/>
    <col min="2194" max="2195" width="3.7109375" style="125" customWidth="1"/>
    <col min="2196" max="2196" width="9.7109375" style="125" customWidth="1"/>
    <col min="2197" max="2198" width="3.7109375" style="125" customWidth="1"/>
    <col min="2199" max="2199" width="9.7109375" style="125" customWidth="1"/>
    <col min="2200" max="2201" width="3.7109375" style="125" customWidth="1"/>
    <col min="2202" max="2202" width="9.7109375" style="125" customWidth="1"/>
    <col min="2203" max="2204" width="3.7109375" style="125" customWidth="1"/>
    <col min="2205" max="2205" width="9.7109375" style="125" customWidth="1"/>
    <col min="2206" max="2207" width="3.7109375" style="125" customWidth="1"/>
    <col min="2208" max="2208" width="9.7109375" style="125" customWidth="1"/>
    <col min="2209" max="2210" width="3.7109375" style="125" customWidth="1"/>
    <col min="2211" max="2211" width="9.7109375" style="125" customWidth="1"/>
    <col min="2212" max="2213" width="3.7109375" style="125" customWidth="1"/>
    <col min="2214" max="2214" width="9.7109375" style="125" customWidth="1"/>
    <col min="2215" max="2216" width="3.7109375" style="125" customWidth="1"/>
    <col min="2217" max="2217" width="9.7109375" style="125" customWidth="1"/>
    <col min="2218" max="2219" width="3.7109375" style="125" customWidth="1"/>
    <col min="2220" max="2220" width="9.7109375" style="125" customWidth="1"/>
    <col min="2221" max="2222" width="3.7109375" style="125" customWidth="1"/>
    <col min="2223" max="2223" width="9.7109375" style="125" customWidth="1"/>
    <col min="2224" max="2225" width="3.7109375" style="125" customWidth="1"/>
    <col min="2226" max="2226" width="9.7109375" style="125" customWidth="1"/>
    <col min="2227" max="2228" width="3.7109375" style="125" customWidth="1"/>
    <col min="2229" max="2229" width="9.7109375" style="125" customWidth="1"/>
    <col min="2230" max="2231" width="3.7109375" style="125" customWidth="1"/>
    <col min="2232" max="2232" width="9.7109375" style="125" customWidth="1"/>
    <col min="2233" max="2234" width="3.7109375" style="125" customWidth="1"/>
    <col min="2235" max="2235" width="9.7109375" style="125" customWidth="1"/>
    <col min="2236" max="2237" width="3.7109375" style="125" customWidth="1"/>
    <col min="2238" max="2238" width="9.7109375" style="125" customWidth="1"/>
    <col min="2239" max="2240" width="3.7109375" style="125" customWidth="1"/>
    <col min="2241" max="2241" width="9.7109375" style="125" customWidth="1"/>
    <col min="2242" max="2243" width="3.7109375" style="125" customWidth="1"/>
    <col min="2244" max="2244" width="9.7109375" style="125" customWidth="1"/>
    <col min="2245" max="2246" width="3.7109375" style="125" customWidth="1"/>
    <col min="2247" max="2247" width="9.7109375" style="125" customWidth="1"/>
    <col min="2248" max="2249" width="3.7109375" style="125" customWidth="1"/>
    <col min="2250" max="2250" width="9.7109375" style="125" customWidth="1"/>
    <col min="2251" max="2252" width="3.7109375" style="125" customWidth="1"/>
    <col min="2253" max="2253" width="9.7109375" style="125" customWidth="1"/>
    <col min="2254" max="2255" width="3.7109375" style="125" customWidth="1"/>
    <col min="2256" max="2256" width="9.7109375" style="125" customWidth="1"/>
    <col min="2257" max="2258" width="3.7109375" style="125" customWidth="1"/>
    <col min="2259" max="2259" width="9.7109375" style="125" customWidth="1"/>
    <col min="2260" max="2261" width="3.7109375" style="125" customWidth="1"/>
    <col min="2262" max="2262" width="9.7109375" style="125" customWidth="1"/>
    <col min="2263" max="2264" width="3.7109375" style="125" customWidth="1"/>
    <col min="2265" max="2265" width="9.7109375" style="125" customWidth="1"/>
    <col min="2266" max="2267" width="3.7109375" style="125" customWidth="1"/>
    <col min="2268" max="2268" width="9.7109375" style="125" customWidth="1"/>
    <col min="2269" max="2270" width="3.7109375" style="125" customWidth="1"/>
    <col min="2271" max="2271" width="9.7109375" style="125" customWidth="1"/>
    <col min="2272" max="2273" width="3.7109375" style="125" customWidth="1"/>
    <col min="2274" max="2274" width="9.7109375" style="125" customWidth="1"/>
    <col min="2275" max="2276" width="3.7109375" style="125" customWidth="1"/>
    <col min="2277" max="2277" width="9.7109375" style="125" customWidth="1"/>
    <col min="2278" max="2279" width="3.7109375" style="125" customWidth="1"/>
    <col min="2280" max="2280" width="9.7109375" style="125" customWidth="1"/>
    <col min="2281" max="2282" width="3.7109375" style="125" customWidth="1"/>
    <col min="2283" max="2283" width="9.7109375" style="125" customWidth="1"/>
    <col min="2284" max="2285" width="3.7109375" style="125" customWidth="1"/>
    <col min="2286" max="2286" width="9.7109375" style="125" customWidth="1"/>
    <col min="2287" max="2288" width="3.7109375" style="125" customWidth="1"/>
    <col min="2289" max="2289" width="9.7109375" style="125" customWidth="1"/>
    <col min="2290" max="2291" width="3.7109375" style="125" customWidth="1"/>
    <col min="2292" max="2292" width="9.7109375" style="125" customWidth="1"/>
    <col min="2293" max="2294" width="3.7109375" style="125" customWidth="1"/>
    <col min="2295" max="2295" width="9.7109375" style="125" customWidth="1"/>
    <col min="2296" max="2297" width="3.7109375" style="125" customWidth="1"/>
    <col min="2298" max="2298" width="9.7109375" style="125" customWidth="1"/>
    <col min="2299" max="2300" width="3.7109375" style="125" customWidth="1"/>
    <col min="2301" max="2301" width="9.7109375" style="125" customWidth="1"/>
    <col min="2302" max="2302" width="3.7109375" style="125" customWidth="1"/>
    <col min="2303" max="2304" width="8" style="125"/>
    <col min="2305" max="2305" width="30.7109375" style="125" customWidth="1"/>
    <col min="2306" max="2306" width="9.7109375" style="125" customWidth="1"/>
    <col min="2307" max="2307" width="3.7109375" style="125" customWidth="1"/>
    <col min="2308" max="2308" width="9.7109375" style="125" customWidth="1"/>
    <col min="2309" max="2310" width="3.7109375" style="125" customWidth="1"/>
    <col min="2311" max="2311" width="9.7109375" style="125" customWidth="1"/>
    <col min="2312" max="2313" width="3.7109375" style="125" customWidth="1"/>
    <col min="2314" max="2314" width="9.7109375" style="125" customWidth="1"/>
    <col min="2315" max="2316" width="3.7109375" style="125" customWidth="1"/>
    <col min="2317" max="2317" width="9.7109375" style="125" customWidth="1"/>
    <col min="2318" max="2319" width="3.7109375" style="125" customWidth="1"/>
    <col min="2320" max="2320" width="9.7109375" style="125" customWidth="1"/>
    <col min="2321" max="2322" width="3.7109375" style="125" customWidth="1"/>
    <col min="2323" max="2323" width="9.7109375" style="125" customWidth="1"/>
    <col min="2324" max="2325" width="3.7109375" style="125" customWidth="1"/>
    <col min="2326" max="2326" width="9.7109375" style="125" customWidth="1"/>
    <col min="2327" max="2328" width="3.7109375" style="125" customWidth="1"/>
    <col min="2329" max="2329" width="9.7109375" style="125" customWidth="1"/>
    <col min="2330" max="2331" width="3.7109375" style="125" customWidth="1"/>
    <col min="2332" max="2332" width="9.7109375" style="125" customWidth="1"/>
    <col min="2333" max="2334" width="3.7109375" style="125" customWidth="1"/>
    <col min="2335" max="2335" width="9.7109375" style="125" customWidth="1"/>
    <col min="2336" max="2337" width="3.7109375" style="125" customWidth="1"/>
    <col min="2338" max="2338" width="9.7109375" style="125" customWidth="1"/>
    <col min="2339" max="2340" width="3.7109375" style="125" customWidth="1"/>
    <col min="2341" max="2341" width="9.7109375" style="125" customWidth="1"/>
    <col min="2342" max="2343" width="3.7109375" style="125" customWidth="1"/>
    <col min="2344" max="2344" width="9.7109375" style="125" customWidth="1"/>
    <col min="2345" max="2346" width="3.7109375" style="125" customWidth="1"/>
    <col min="2347" max="2347" width="9.7109375" style="125" customWidth="1"/>
    <col min="2348" max="2349" width="3.7109375" style="125" customWidth="1"/>
    <col min="2350" max="2350" width="9.7109375" style="125" customWidth="1"/>
    <col min="2351" max="2352" width="3.7109375" style="125" customWidth="1"/>
    <col min="2353" max="2353" width="9.7109375" style="125" customWidth="1"/>
    <col min="2354" max="2355" width="3.7109375" style="125" customWidth="1"/>
    <col min="2356" max="2356" width="9.7109375" style="125" customWidth="1"/>
    <col min="2357" max="2358" width="3.7109375" style="125" customWidth="1"/>
    <col min="2359" max="2359" width="9.7109375" style="125" customWidth="1"/>
    <col min="2360" max="2361" width="3.7109375" style="125" customWidth="1"/>
    <col min="2362" max="2362" width="9.7109375" style="125" customWidth="1"/>
    <col min="2363" max="2364" width="3.7109375" style="125" customWidth="1"/>
    <col min="2365" max="2365" width="9.7109375" style="125" customWidth="1"/>
    <col min="2366" max="2367" width="3.7109375" style="125" customWidth="1"/>
    <col min="2368" max="2368" width="9.7109375" style="125" customWidth="1"/>
    <col min="2369" max="2370" width="3.7109375" style="125" customWidth="1"/>
    <col min="2371" max="2371" width="9.7109375" style="125" customWidth="1"/>
    <col min="2372" max="2373" width="3.7109375" style="125" customWidth="1"/>
    <col min="2374" max="2374" width="9.7109375" style="125" customWidth="1"/>
    <col min="2375" max="2376" width="3.7109375" style="125" customWidth="1"/>
    <col min="2377" max="2377" width="9.7109375" style="125" customWidth="1"/>
    <col min="2378" max="2379" width="3.7109375" style="125" customWidth="1"/>
    <col min="2380" max="2380" width="9.7109375" style="125" customWidth="1"/>
    <col min="2381" max="2382" width="3.7109375" style="125" customWidth="1"/>
    <col min="2383" max="2383" width="9.7109375" style="125" customWidth="1"/>
    <col min="2384" max="2385" width="3.7109375" style="125" customWidth="1"/>
    <col min="2386" max="2386" width="9.7109375" style="125" customWidth="1"/>
    <col min="2387" max="2388" width="3.7109375" style="125" customWidth="1"/>
    <col min="2389" max="2389" width="9.7109375" style="125" customWidth="1"/>
    <col min="2390" max="2391" width="3.7109375" style="125" customWidth="1"/>
    <col min="2392" max="2392" width="9.7109375" style="125" customWidth="1"/>
    <col min="2393" max="2394" width="3.7109375" style="125" customWidth="1"/>
    <col min="2395" max="2395" width="9.7109375" style="125" customWidth="1"/>
    <col min="2396" max="2397" width="3.7109375" style="125" customWidth="1"/>
    <col min="2398" max="2398" width="9.7109375" style="125" customWidth="1"/>
    <col min="2399" max="2400" width="3.7109375" style="125" customWidth="1"/>
    <col min="2401" max="2401" width="9.7109375" style="125" customWidth="1"/>
    <col min="2402" max="2403" width="3.7109375" style="125" customWidth="1"/>
    <col min="2404" max="2404" width="9.7109375" style="125" customWidth="1"/>
    <col min="2405" max="2406" width="3.7109375" style="125" customWidth="1"/>
    <col min="2407" max="2407" width="9.7109375" style="125" customWidth="1"/>
    <col min="2408" max="2409" width="3.7109375" style="125" customWidth="1"/>
    <col min="2410" max="2410" width="9.7109375" style="125" customWidth="1"/>
    <col min="2411" max="2412" width="3.7109375" style="125" customWidth="1"/>
    <col min="2413" max="2413" width="9.7109375" style="125" customWidth="1"/>
    <col min="2414" max="2414" width="3.7109375" style="125" customWidth="1"/>
    <col min="2415" max="2415" width="5.7109375" style="125" bestFit="1" customWidth="1"/>
    <col min="2416" max="2416" width="9.7109375" style="125" customWidth="1"/>
    <col min="2417" max="2418" width="3.7109375" style="125" customWidth="1"/>
    <col min="2419" max="2419" width="9.7109375" style="125" customWidth="1"/>
    <col min="2420" max="2421" width="3.7109375" style="125" customWidth="1"/>
    <col min="2422" max="2422" width="9.7109375" style="125" customWidth="1"/>
    <col min="2423" max="2424" width="3.7109375" style="125" customWidth="1"/>
    <col min="2425" max="2425" width="9.7109375" style="125" customWidth="1"/>
    <col min="2426" max="2427" width="3.7109375" style="125" customWidth="1"/>
    <col min="2428" max="2428" width="9.7109375" style="125" customWidth="1"/>
    <col min="2429" max="2430" width="3.7109375" style="125" customWidth="1"/>
    <col min="2431" max="2431" width="9.7109375" style="125" customWidth="1"/>
    <col min="2432" max="2433" width="3.7109375" style="125" customWidth="1"/>
    <col min="2434" max="2434" width="9.7109375" style="125" customWidth="1"/>
    <col min="2435" max="2436" width="3.7109375" style="125" customWidth="1"/>
    <col min="2437" max="2437" width="9.7109375" style="125" customWidth="1"/>
    <col min="2438" max="2438" width="3.7109375" style="125" customWidth="1"/>
    <col min="2439" max="2439" width="5.7109375" style="125" bestFit="1" customWidth="1"/>
    <col min="2440" max="2440" width="9.7109375" style="125" customWidth="1"/>
    <col min="2441" max="2442" width="3.7109375" style="125" customWidth="1"/>
    <col min="2443" max="2443" width="9.7109375" style="125" customWidth="1"/>
    <col min="2444" max="2445" width="3.7109375" style="125" customWidth="1"/>
    <col min="2446" max="2446" width="9.7109375" style="125" customWidth="1"/>
    <col min="2447" max="2448" width="3.7109375" style="125" customWidth="1"/>
    <col min="2449" max="2449" width="9.7109375" style="125" customWidth="1"/>
    <col min="2450" max="2451" width="3.7109375" style="125" customWidth="1"/>
    <col min="2452" max="2452" width="9.7109375" style="125" customWidth="1"/>
    <col min="2453" max="2454" width="3.7109375" style="125" customWidth="1"/>
    <col min="2455" max="2455" width="9.7109375" style="125" customWidth="1"/>
    <col min="2456" max="2457" width="3.7109375" style="125" customWidth="1"/>
    <col min="2458" max="2458" width="9.7109375" style="125" customWidth="1"/>
    <col min="2459" max="2460" width="3.7109375" style="125" customWidth="1"/>
    <col min="2461" max="2461" width="9.7109375" style="125" customWidth="1"/>
    <col min="2462" max="2463" width="3.7109375" style="125" customWidth="1"/>
    <col min="2464" max="2464" width="9.7109375" style="125" customWidth="1"/>
    <col min="2465" max="2466" width="3.7109375" style="125" customWidth="1"/>
    <col min="2467" max="2467" width="9.7109375" style="125" customWidth="1"/>
    <col min="2468" max="2469" width="3.7109375" style="125" customWidth="1"/>
    <col min="2470" max="2470" width="9.7109375" style="125" customWidth="1"/>
    <col min="2471" max="2472" width="3.7109375" style="125" customWidth="1"/>
    <col min="2473" max="2473" width="9.7109375" style="125" customWidth="1"/>
    <col min="2474" max="2475" width="3.7109375" style="125" customWidth="1"/>
    <col min="2476" max="2476" width="9.7109375" style="125" customWidth="1"/>
    <col min="2477" max="2478" width="3.7109375" style="125" customWidth="1"/>
    <col min="2479" max="2479" width="9.7109375" style="125" customWidth="1"/>
    <col min="2480" max="2481" width="3.7109375" style="125" customWidth="1"/>
    <col min="2482" max="2482" width="9.7109375" style="125" customWidth="1"/>
    <col min="2483" max="2484" width="3.7109375" style="125" customWidth="1"/>
    <col min="2485" max="2485" width="9.7109375" style="125" customWidth="1"/>
    <col min="2486" max="2487" width="3.7109375" style="125" customWidth="1"/>
    <col min="2488" max="2488" width="9.7109375" style="125" customWidth="1"/>
    <col min="2489" max="2490" width="3.7109375" style="125" customWidth="1"/>
    <col min="2491" max="2491" width="9.7109375" style="125" customWidth="1"/>
    <col min="2492" max="2493" width="3.7109375" style="125" customWidth="1"/>
    <col min="2494" max="2494" width="9.7109375" style="125" customWidth="1"/>
    <col min="2495" max="2496" width="3.7109375" style="125" customWidth="1"/>
    <col min="2497" max="2497" width="9.7109375" style="125" customWidth="1"/>
    <col min="2498" max="2499" width="3.7109375" style="125" customWidth="1"/>
    <col min="2500" max="2500" width="9.7109375" style="125" customWidth="1"/>
    <col min="2501" max="2502" width="3.7109375" style="125" customWidth="1"/>
    <col min="2503" max="2503" width="9.7109375" style="125" customWidth="1"/>
    <col min="2504" max="2505" width="3.7109375" style="125" customWidth="1"/>
    <col min="2506" max="2506" width="9.7109375" style="125" customWidth="1"/>
    <col min="2507" max="2508" width="3.7109375" style="125" customWidth="1"/>
    <col min="2509" max="2509" width="9.7109375" style="125" customWidth="1"/>
    <col min="2510" max="2511" width="3.7109375" style="125" customWidth="1"/>
    <col min="2512" max="2512" width="9.7109375" style="125" customWidth="1"/>
    <col min="2513" max="2514" width="3.7109375" style="125" customWidth="1"/>
    <col min="2515" max="2515" width="9.7109375" style="125" customWidth="1"/>
    <col min="2516" max="2517" width="3.7109375" style="125" customWidth="1"/>
    <col min="2518" max="2518" width="9.7109375" style="125" customWidth="1"/>
    <col min="2519" max="2520" width="3.7109375" style="125" customWidth="1"/>
    <col min="2521" max="2521" width="9.7109375" style="125" customWidth="1"/>
    <col min="2522" max="2523" width="3.7109375" style="125" customWidth="1"/>
    <col min="2524" max="2524" width="9.7109375" style="125" customWidth="1"/>
    <col min="2525" max="2526" width="3.7109375" style="125" customWidth="1"/>
    <col min="2527" max="2527" width="9.7109375" style="125" customWidth="1"/>
    <col min="2528" max="2529" width="3.7109375" style="125" customWidth="1"/>
    <col min="2530" max="2530" width="9.7109375" style="125" customWidth="1"/>
    <col min="2531" max="2532" width="3.7109375" style="125" customWidth="1"/>
    <col min="2533" max="2533" width="9.7109375" style="125" customWidth="1"/>
    <col min="2534" max="2535" width="3.7109375" style="125" customWidth="1"/>
    <col min="2536" max="2536" width="9.7109375" style="125" customWidth="1"/>
    <col min="2537" max="2538" width="3.7109375" style="125" customWidth="1"/>
    <col min="2539" max="2539" width="9.7109375" style="125" customWidth="1"/>
    <col min="2540" max="2541" width="3.7109375" style="125" customWidth="1"/>
    <col min="2542" max="2542" width="9.7109375" style="125" customWidth="1"/>
    <col min="2543" max="2544" width="3.7109375" style="125" customWidth="1"/>
    <col min="2545" max="2545" width="9.7109375" style="125" customWidth="1"/>
    <col min="2546" max="2547" width="3.7109375" style="125" customWidth="1"/>
    <col min="2548" max="2548" width="9.7109375" style="125" customWidth="1"/>
    <col min="2549" max="2550" width="3.7109375" style="125" customWidth="1"/>
    <col min="2551" max="2551" width="9.7109375" style="125" customWidth="1"/>
    <col min="2552" max="2553" width="3.7109375" style="125" customWidth="1"/>
    <col min="2554" max="2554" width="9.7109375" style="125" customWidth="1"/>
    <col min="2555" max="2556" width="3.7109375" style="125" customWidth="1"/>
    <col min="2557" max="2557" width="9.7109375" style="125" customWidth="1"/>
    <col min="2558" max="2558" width="3.7109375" style="125" customWidth="1"/>
    <col min="2559" max="2560" width="8" style="125"/>
    <col min="2561" max="2561" width="30.7109375" style="125" customWidth="1"/>
    <col min="2562" max="2562" width="9.7109375" style="125" customWidth="1"/>
    <col min="2563" max="2563" width="3.7109375" style="125" customWidth="1"/>
    <col min="2564" max="2564" width="9.7109375" style="125" customWidth="1"/>
    <col min="2565" max="2566" width="3.7109375" style="125" customWidth="1"/>
    <col min="2567" max="2567" width="9.7109375" style="125" customWidth="1"/>
    <col min="2568" max="2569" width="3.7109375" style="125" customWidth="1"/>
    <col min="2570" max="2570" width="9.7109375" style="125" customWidth="1"/>
    <col min="2571" max="2572" width="3.7109375" style="125" customWidth="1"/>
    <col min="2573" max="2573" width="9.7109375" style="125" customWidth="1"/>
    <col min="2574" max="2575" width="3.7109375" style="125" customWidth="1"/>
    <col min="2576" max="2576" width="9.7109375" style="125" customWidth="1"/>
    <col min="2577" max="2578" width="3.7109375" style="125" customWidth="1"/>
    <col min="2579" max="2579" width="9.7109375" style="125" customWidth="1"/>
    <col min="2580" max="2581" width="3.7109375" style="125" customWidth="1"/>
    <col min="2582" max="2582" width="9.7109375" style="125" customWidth="1"/>
    <col min="2583" max="2584" width="3.7109375" style="125" customWidth="1"/>
    <col min="2585" max="2585" width="9.7109375" style="125" customWidth="1"/>
    <col min="2586" max="2587" width="3.7109375" style="125" customWidth="1"/>
    <col min="2588" max="2588" width="9.7109375" style="125" customWidth="1"/>
    <col min="2589" max="2590" width="3.7109375" style="125" customWidth="1"/>
    <col min="2591" max="2591" width="9.7109375" style="125" customWidth="1"/>
    <col min="2592" max="2593" width="3.7109375" style="125" customWidth="1"/>
    <col min="2594" max="2594" width="9.7109375" style="125" customWidth="1"/>
    <col min="2595" max="2596" width="3.7109375" style="125" customWidth="1"/>
    <col min="2597" max="2597" width="9.7109375" style="125" customWidth="1"/>
    <col min="2598" max="2599" width="3.7109375" style="125" customWidth="1"/>
    <col min="2600" max="2600" width="9.7109375" style="125" customWidth="1"/>
    <col min="2601" max="2602" width="3.7109375" style="125" customWidth="1"/>
    <col min="2603" max="2603" width="9.7109375" style="125" customWidth="1"/>
    <col min="2604" max="2605" width="3.7109375" style="125" customWidth="1"/>
    <col min="2606" max="2606" width="9.7109375" style="125" customWidth="1"/>
    <col min="2607" max="2608" width="3.7109375" style="125" customWidth="1"/>
    <col min="2609" max="2609" width="9.7109375" style="125" customWidth="1"/>
    <col min="2610" max="2611" width="3.7109375" style="125" customWidth="1"/>
    <col min="2612" max="2612" width="9.7109375" style="125" customWidth="1"/>
    <col min="2613" max="2614" width="3.7109375" style="125" customWidth="1"/>
    <col min="2615" max="2615" width="9.7109375" style="125" customWidth="1"/>
    <col min="2616" max="2617" width="3.7109375" style="125" customWidth="1"/>
    <col min="2618" max="2618" width="9.7109375" style="125" customWidth="1"/>
    <col min="2619" max="2620" width="3.7109375" style="125" customWidth="1"/>
    <col min="2621" max="2621" width="9.7109375" style="125" customWidth="1"/>
    <col min="2622" max="2623" width="3.7109375" style="125" customWidth="1"/>
    <col min="2624" max="2624" width="9.7109375" style="125" customWidth="1"/>
    <col min="2625" max="2626" width="3.7109375" style="125" customWidth="1"/>
    <col min="2627" max="2627" width="9.7109375" style="125" customWidth="1"/>
    <col min="2628" max="2629" width="3.7109375" style="125" customWidth="1"/>
    <col min="2630" max="2630" width="9.7109375" style="125" customWidth="1"/>
    <col min="2631" max="2632" width="3.7109375" style="125" customWidth="1"/>
    <col min="2633" max="2633" width="9.7109375" style="125" customWidth="1"/>
    <col min="2634" max="2635" width="3.7109375" style="125" customWidth="1"/>
    <col min="2636" max="2636" width="9.7109375" style="125" customWidth="1"/>
    <col min="2637" max="2638" width="3.7109375" style="125" customWidth="1"/>
    <col min="2639" max="2639" width="9.7109375" style="125" customWidth="1"/>
    <col min="2640" max="2641" width="3.7109375" style="125" customWidth="1"/>
    <col min="2642" max="2642" width="9.7109375" style="125" customWidth="1"/>
    <col min="2643" max="2644" width="3.7109375" style="125" customWidth="1"/>
    <col min="2645" max="2645" width="9.7109375" style="125" customWidth="1"/>
    <col min="2646" max="2647" width="3.7109375" style="125" customWidth="1"/>
    <col min="2648" max="2648" width="9.7109375" style="125" customWidth="1"/>
    <col min="2649" max="2650" width="3.7109375" style="125" customWidth="1"/>
    <col min="2651" max="2651" width="9.7109375" style="125" customWidth="1"/>
    <col min="2652" max="2653" width="3.7109375" style="125" customWidth="1"/>
    <col min="2654" max="2654" width="9.7109375" style="125" customWidth="1"/>
    <col min="2655" max="2656" width="3.7109375" style="125" customWidth="1"/>
    <col min="2657" max="2657" width="9.7109375" style="125" customWidth="1"/>
    <col min="2658" max="2659" width="3.7109375" style="125" customWidth="1"/>
    <col min="2660" max="2660" width="9.7109375" style="125" customWidth="1"/>
    <col min="2661" max="2662" width="3.7109375" style="125" customWidth="1"/>
    <col min="2663" max="2663" width="9.7109375" style="125" customWidth="1"/>
    <col min="2664" max="2665" width="3.7109375" style="125" customWidth="1"/>
    <col min="2666" max="2666" width="9.7109375" style="125" customWidth="1"/>
    <col min="2667" max="2668" width="3.7109375" style="125" customWidth="1"/>
    <col min="2669" max="2669" width="9.7109375" style="125" customWidth="1"/>
    <col min="2670" max="2670" width="3.7109375" style="125" customWidth="1"/>
    <col min="2671" max="2671" width="5.7109375" style="125" bestFit="1" customWidth="1"/>
    <col min="2672" max="2672" width="9.7109375" style="125" customWidth="1"/>
    <col min="2673" max="2674" width="3.7109375" style="125" customWidth="1"/>
    <col min="2675" max="2675" width="9.7109375" style="125" customWidth="1"/>
    <col min="2676" max="2677" width="3.7109375" style="125" customWidth="1"/>
    <col min="2678" max="2678" width="9.7109375" style="125" customWidth="1"/>
    <col min="2679" max="2680" width="3.7109375" style="125" customWidth="1"/>
    <col min="2681" max="2681" width="9.7109375" style="125" customWidth="1"/>
    <col min="2682" max="2683" width="3.7109375" style="125" customWidth="1"/>
    <col min="2684" max="2684" width="9.7109375" style="125" customWidth="1"/>
    <col min="2685" max="2686" width="3.7109375" style="125" customWidth="1"/>
    <col min="2687" max="2687" width="9.7109375" style="125" customWidth="1"/>
    <col min="2688" max="2689" width="3.7109375" style="125" customWidth="1"/>
    <col min="2690" max="2690" width="9.7109375" style="125" customWidth="1"/>
    <col min="2691" max="2692" width="3.7109375" style="125" customWidth="1"/>
    <col min="2693" max="2693" width="9.7109375" style="125" customWidth="1"/>
    <col min="2694" max="2694" width="3.7109375" style="125" customWidth="1"/>
    <col min="2695" max="2695" width="5.7109375" style="125" bestFit="1" customWidth="1"/>
    <col min="2696" max="2696" width="9.7109375" style="125" customWidth="1"/>
    <col min="2697" max="2698" width="3.7109375" style="125" customWidth="1"/>
    <col min="2699" max="2699" width="9.7109375" style="125" customWidth="1"/>
    <col min="2700" max="2701" width="3.7109375" style="125" customWidth="1"/>
    <col min="2702" max="2702" width="9.7109375" style="125" customWidth="1"/>
    <col min="2703" max="2704" width="3.7109375" style="125" customWidth="1"/>
    <col min="2705" max="2705" width="9.7109375" style="125" customWidth="1"/>
    <col min="2706" max="2707" width="3.7109375" style="125" customWidth="1"/>
    <col min="2708" max="2708" width="9.7109375" style="125" customWidth="1"/>
    <col min="2709" max="2710" width="3.7109375" style="125" customWidth="1"/>
    <col min="2711" max="2711" width="9.7109375" style="125" customWidth="1"/>
    <col min="2712" max="2713" width="3.7109375" style="125" customWidth="1"/>
    <col min="2714" max="2714" width="9.7109375" style="125" customWidth="1"/>
    <col min="2715" max="2716" width="3.7109375" style="125" customWidth="1"/>
    <col min="2717" max="2717" width="9.7109375" style="125" customWidth="1"/>
    <col min="2718" max="2719" width="3.7109375" style="125" customWidth="1"/>
    <col min="2720" max="2720" width="9.7109375" style="125" customWidth="1"/>
    <col min="2721" max="2722" width="3.7109375" style="125" customWidth="1"/>
    <col min="2723" max="2723" width="9.7109375" style="125" customWidth="1"/>
    <col min="2724" max="2725" width="3.7109375" style="125" customWidth="1"/>
    <col min="2726" max="2726" width="9.7109375" style="125" customWidth="1"/>
    <col min="2727" max="2728" width="3.7109375" style="125" customWidth="1"/>
    <col min="2729" max="2729" width="9.7109375" style="125" customWidth="1"/>
    <col min="2730" max="2731" width="3.7109375" style="125" customWidth="1"/>
    <col min="2732" max="2732" width="9.7109375" style="125" customWidth="1"/>
    <col min="2733" max="2734" width="3.7109375" style="125" customWidth="1"/>
    <col min="2735" max="2735" width="9.7109375" style="125" customWidth="1"/>
    <col min="2736" max="2737" width="3.7109375" style="125" customWidth="1"/>
    <col min="2738" max="2738" width="9.7109375" style="125" customWidth="1"/>
    <col min="2739" max="2740" width="3.7109375" style="125" customWidth="1"/>
    <col min="2741" max="2741" width="9.7109375" style="125" customWidth="1"/>
    <col min="2742" max="2743" width="3.7109375" style="125" customWidth="1"/>
    <col min="2744" max="2744" width="9.7109375" style="125" customWidth="1"/>
    <col min="2745" max="2746" width="3.7109375" style="125" customWidth="1"/>
    <col min="2747" max="2747" width="9.7109375" style="125" customWidth="1"/>
    <col min="2748" max="2749" width="3.7109375" style="125" customWidth="1"/>
    <col min="2750" max="2750" width="9.7109375" style="125" customWidth="1"/>
    <col min="2751" max="2752" width="3.7109375" style="125" customWidth="1"/>
    <col min="2753" max="2753" width="9.7109375" style="125" customWidth="1"/>
    <col min="2754" max="2755" width="3.7109375" style="125" customWidth="1"/>
    <col min="2756" max="2756" width="9.7109375" style="125" customWidth="1"/>
    <col min="2757" max="2758" width="3.7109375" style="125" customWidth="1"/>
    <col min="2759" max="2759" width="9.7109375" style="125" customWidth="1"/>
    <col min="2760" max="2761" width="3.7109375" style="125" customWidth="1"/>
    <col min="2762" max="2762" width="9.7109375" style="125" customWidth="1"/>
    <col min="2763" max="2764" width="3.7109375" style="125" customWidth="1"/>
    <col min="2765" max="2765" width="9.7109375" style="125" customWidth="1"/>
    <col min="2766" max="2767" width="3.7109375" style="125" customWidth="1"/>
    <col min="2768" max="2768" width="9.7109375" style="125" customWidth="1"/>
    <col min="2769" max="2770" width="3.7109375" style="125" customWidth="1"/>
    <col min="2771" max="2771" width="9.7109375" style="125" customWidth="1"/>
    <col min="2772" max="2773" width="3.7109375" style="125" customWidth="1"/>
    <col min="2774" max="2774" width="9.7109375" style="125" customWidth="1"/>
    <col min="2775" max="2776" width="3.7109375" style="125" customWidth="1"/>
    <col min="2777" max="2777" width="9.7109375" style="125" customWidth="1"/>
    <col min="2778" max="2779" width="3.7109375" style="125" customWidth="1"/>
    <col min="2780" max="2780" width="9.7109375" style="125" customWidth="1"/>
    <col min="2781" max="2782" width="3.7109375" style="125" customWidth="1"/>
    <col min="2783" max="2783" width="9.7109375" style="125" customWidth="1"/>
    <col min="2784" max="2785" width="3.7109375" style="125" customWidth="1"/>
    <col min="2786" max="2786" width="9.7109375" style="125" customWidth="1"/>
    <col min="2787" max="2788" width="3.7109375" style="125" customWidth="1"/>
    <col min="2789" max="2789" width="9.7109375" style="125" customWidth="1"/>
    <col min="2790" max="2791" width="3.7109375" style="125" customWidth="1"/>
    <col min="2792" max="2792" width="9.7109375" style="125" customWidth="1"/>
    <col min="2793" max="2794" width="3.7109375" style="125" customWidth="1"/>
    <col min="2795" max="2795" width="9.7109375" style="125" customWidth="1"/>
    <col min="2796" max="2797" width="3.7109375" style="125" customWidth="1"/>
    <col min="2798" max="2798" width="9.7109375" style="125" customWidth="1"/>
    <col min="2799" max="2800" width="3.7109375" style="125" customWidth="1"/>
    <col min="2801" max="2801" width="9.7109375" style="125" customWidth="1"/>
    <col min="2802" max="2803" width="3.7109375" style="125" customWidth="1"/>
    <col min="2804" max="2804" width="9.7109375" style="125" customWidth="1"/>
    <col min="2805" max="2806" width="3.7109375" style="125" customWidth="1"/>
    <col min="2807" max="2807" width="9.7109375" style="125" customWidth="1"/>
    <col min="2808" max="2809" width="3.7109375" style="125" customWidth="1"/>
    <col min="2810" max="2810" width="9.7109375" style="125" customWidth="1"/>
    <col min="2811" max="2812" width="3.7109375" style="125" customWidth="1"/>
    <col min="2813" max="2813" width="9.7109375" style="125" customWidth="1"/>
    <col min="2814" max="2814" width="3.7109375" style="125" customWidth="1"/>
    <col min="2815" max="2816" width="8" style="125"/>
    <col min="2817" max="2817" width="30.7109375" style="125" customWidth="1"/>
    <col min="2818" max="2818" width="9.7109375" style="125" customWidth="1"/>
    <col min="2819" max="2819" width="3.7109375" style="125" customWidth="1"/>
    <col min="2820" max="2820" width="9.7109375" style="125" customWidth="1"/>
    <col min="2821" max="2822" width="3.7109375" style="125" customWidth="1"/>
    <col min="2823" max="2823" width="9.7109375" style="125" customWidth="1"/>
    <col min="2824" max="2825" width="3.7109375" style="125" customWidth="1"/>
    <col min="2826" max="2826" width="9.7109375" style="125" customWidth="1"/>
    <col min="2827" max="2828" width="3.7109375" style="125" customWidth="1"/>
    <col min="2829" max="2829" width="9.7109375" style="125" customWidth="1"/>
    <col min="2830" max="2831" width="3.7109375" style="125" customWidth="1"/>
    <col min="2832" max="2832" width="9.7109375" style="125" customWidth="1"/>
    <col min="2833" max="2834" width="3.7109375" style="125" customWidth="1"/>
    <col min="2835" max="2835" width="9.7109375" style="125" customWidth="1"/>
    <col min="2836" max="2837" width="3.7109375" style="125" customWidth="1"/>
    <col min="2838" max="2838" width="9.7109375" style="125" customWidth="1"/>
    <col min="2839" max="2840" width="3.7109375" style="125" customWidth="1"/>
    <col min="2841" max="2841" width="9.7109375" style="125" customWidth="1"/>
    <col min="2842" max="2843" width="3.7109375" style="125" customWidth="1"/>
    <col min="2844" max="2844" width="9.7109375" style="125" customWidth="1"/>
    <col min="2845" max="2846" width="3.7109375" style="125" customWidth="1"/>
    <col min="2847" max="2847" width="9.7109375" style="125" customWidth="1"/>
    <col min="2848" max="2849" width="3.7109375" style="125" customWidth="1"/>
    <col min="2850" max="2850" width="9.7109375" style="125" customWidth="1"/>
    <col min="2851" max="2852" width="3.7109375" style="125" customWidth="1"/>
    <col min="2853" max="2853" width="9.7109375" style="125" customWidth="1"/>
    <col min="2854" max="2855" width="3.7109375" style="125" customWidth="1"/>
    <col min="2856" max="2856" width="9.7109375" style="125" customWidth="1"/>
    <col min="2857" max="2858" width="3.7109375" style="125" customWidth="1"/>
    <col min="2859" max="2859" width="9.7109375" style="125" customWidth="1"/>
    <col min="2860" max="2861" width="3.7109375" style="125" customWidth="1"/>
    <col min="2862" max="2862" width="9.7109375" style="125" customWidth="1"/>
    <col min="2863" max="2864" width="3.7109375" style="125" customWidth="1"/>
    <col min="2865" max="2865" width="9.7109375" style="125" customWidth="1"/>
    <col min="2866" max="2867" width="3.7109375" style="125" customWidth="1"/>
    <col min="2868" max="2868" width="9.7109375" style="125" customWidth="1"/>
    <col min="2869" max="2870" width="3.7109375" style="125" customWidth="1"/>
    <col min="2871" max="2871" width="9.7109375" style="125" customWidth="1"/>
    <col min="2872" max="2873" width="3.7109375" style="125" customWidth="1"/>
    <col min="2874" max="2874" width="9.7109375" style="125" customWidth="1"/>
    <col min="2875" max="2876" width="3.7109375" style="125" customWidth="1"/>
    <col min="2877" max="2877" width="9.7109375" style="125" customWidth="1"/>
    <col min="2878" max="2879" width="3.7109375" style="125" customWidth="1"/>
    <col min="2880" max="2880" width="9.7109375" style="125" customWidth="1"/>
    <col min="2881" max="2882" width="3.7109375" style="125" customWidth="1"/>
    <col min="2883" max="2883" width="9.7109375" style="125" customWidth="1"/>
    <col min="2884" max="2885" width="3.7109375" style="125" customWidth="1"/>
    <col min="2886" max="2886" width="9.7109375" style="125" customWidth="1"/>
    <col min="2887" max="2888" width="3.7109375" style="125" customWidth="1"/>
    <col min="2889" max="2889" width="9.7109375" style="125" customWidth="1"/>
    <col min="2890" max="2891" width="3.7109375" style="125" customWidth="1"/>
    <col min="2892" max="2892" width="9.7109375" style="125" customWidth="1"/>
    <col min="2893" max="2894" width="3.7109375" style="125" customWidth="1"/>
    <col min="2895" max="2895" width="9.7109375" style="125" customWidth="1"/>
    <col min="2896" max="2897" width="3.7109375" style="125" customWidth="1"/>
    <col min="2898" max="2898" width="9.7109375" style="125" customWidth="1"/>
    <col min="2899" max="2900" width="3.7109375" style="125" customWidth="1"/>
    <col min="2901" max="2901" width="9.7109375" style="125" customWidth="1"/>
    <col min="2902" max="2903" width="3.7109375" style="125" customWidth="1"/>
    <col min="2904" max="2904" width="9.7109375" style="125" customWidth="1"/>
    <col min="2905" max="2906" width="3.7109375" style="125" customWidth="1"/>
    <col min="2907" max="2907" width="9.7109375" style="125" customWidth="1"/>
    <col min="2908" max="2909" width="3.7109375" style="125" customWidth="1"/>
    <col min="2910" max="2910" width="9.7109375" style="125" customWidth="1"/>
    <col min="2911" max="2912" width="3.7109375" style="125" customWidth="1"/>
    <col min="2913" max="2913" width="9.7109375" style="125" customWidth="1"/>
    <col min="2914" max="2915" width="3.7109375" style="125" customWidth="1"/>
    <col min="2916" max="2916" width="9.7109375" style="125" customWidth="1"/>
    <col min="2917" max="2918" width="3.7109375" style="125" customWidth="1"/>
    <col min="2919" max="2919" width="9.7109375" style="125" customWidth="1"/>
    <col min="2920" max="2921" width="3.7109375" style="125" customWidth="1"/>
    <col min="2922" max="2922" width="9.7109375" style="125" customWidth="1"/>
    <col min="2923" max="2924" width="3.7109375" style="125" customWidth="1"/>
    <col min="2925" max="2925" width="9.7109375" style="125" customWidth="1"/>
    <col min="2926" max="2926" width="3.7109375" style="125" customWidth="1"/>
    <col min="2927" max="2927" width="5.7109375" style="125" bestFit="1" customWidth="1"/>
    <col min="2928" max="2928" width="9.7109375" style="125" customWidth="1"/>
    <col min="2929" max="2930" width="3.7109375" style="125" customWidth="1"/>
    <col min="2931" max="2931" width="9.7109375" style="125" customWidth="1"/>
    <col min="2932" max="2933" width="3.7109375" style="125" customWidth="1"/>
    <col min="2934" max="2934" width="9.7109375" style="125" customWidth="1"/>
    <col min="2935" max="2936" width="3.7109375" style="125" customWidth="1"/>
    <col min="2937" max="2937" width="9.7109375" style="125" customWidth="1"/>
    <col min="2938" max="2939" width="3.7109375" style="125" customWidth="1"/>
    <col min="2940" max="2940" width="9.7109375" style="125" customWidth="1"/>
    <col min="2941" max="2942" width="3.7109375" style="125" customWidth="1"/>
    <col min="2943" max="2943" width="9.7109375" style="125" customWidth="1"/>
    <col min="2944" max="2945" width="3.7109375" style="125" customWidth="1"/>
    <col min="2946" max="2946" width="9.7109375" style="125" customWidth="1"/>
    <col min="2947" max="2948" width="3.7109375" style="125" customWidth="1"/>
    <col min="2949" max="2949" width="9.7109375" style="125" customWidth="1"/>
    <col min="2950" max="2950" width="3.7109375" style="125" customWidth="1"/>
    <col min="2951" max="2951" width="5.7109375" style="125" bestFit="1" customWidth="1"/>
    <col min="2952" max="2952" width="9.7109375" style="125" customWidth="1"/>
    <col min="2953" max="2954" width="3.7109375" style="125" customWidth="1"/>
    <col min="2955" max="2955" width="9.7109375" style="125" customWidth="1"/>
    <col min="2956" max="2957" width="3.7109375" style="125" customWidth="1"/>
    <col min="2958" max="2958" width="9.7109375" style="125" customWidth="1"/>
    <col min="2959" max="2960" width="3.7109375" style="125" customWidth="1"/>
    <col min="2961" max="2961" width="9.7109375" style="125" customWidth="1"/>
    <col min="2962" max="2963" width="3.7109375" style="125" customWidth="1"/>
    <col min="2964" max="2964" width="9.7109375" style="125" customWidth="1"/>
    <col min="2965" max="2966" width="3.7109375" style="125" customWidth="1"/>
    <col min="2967" max="2967" width="9.7109375" style="125" customWidth="1"/>
    <col min="2968" max="2969" width="3.7109375" style="125" customWidth="1"/>
    <col min="2970" max="2970" width="9.7109375" style="125" customWidth="1"/>
    <col min="2971" max="2972" width="3.7109375" style="125" customWidth="1"/>
    <col min="2973" max="2973" width="9.7109375" style="125" customWidth="1"/>
    <col min="2974" max="2975" width="3.7109375" style="125" customWidth="1"/>
    <col min="2976" max="2976" width="9.7109375" style="125" customWidth="1"/>
    <col min="2977" max="2978" width="3.7109375" style="125" customWidth="1"/>
    <col min="2979" max="2979" width="9.7109375" style="125" customWidth="1"/>
    <col min="2980" max="2981" width="3.7109375" style="125" customWidth="1"/>
    <col min="2982" max="2982" width="9.7109375" style="125" customWidth="1"/>
    <col min="2983" max="2984" width="3.7109375" style="125" customWidth="1"/>
    <col min="2985" max="2985" width="9.7109375" style="125" customWidth="1"/>
    <col min="2986" max="2987" width="3.7109375" style="125" customWidth="1"/>
    <col min="2988" max="2988" width="9.7109375" style="125" customWidth="1"/>
    <col min="2989" max="2990" width="3.7109375" style="125" customWidth="1"/>
    <col min="2991" max="2991" width="9.7109375" style="125" customWidth="1"/>
    <col min="2992" max="2993" width="3.7109375" style="125" customWidth="1"/>
    <col min="2994" max="2994" width="9.7109375" style="125" customWidth="1"/>
    <col min="2995" max="2996" width="3.7109375" style="125" customWidth="1"/>
    <col min="2997" max="2997" width="9.7109375" style="125" customWidth="1"/>
    <col min="2998" max="2999" width="3.7109375" style="125" customWidth="1"/>
    <col min="3000" max="3000" width="9.7109375" style="125" customWidth="1"/>
    <col min="3001" max="3002" width="3.7109375" style="125" customWidth="1"/>
    <col min="3003" max="3003" width="9.7109375" style="125" customWidth="1"/>
    <col min="3004" max="3005" width="3.7109375" style="125" customWidth="1"/>
    <col min="3006" max="3006" width="9.7109375" style="125" customWidth="1"/>
    <col min="3007" max="3008" width="3.7109375" style="125" customWidth="1"/>
    <col min="3009" max="3009" width="9.7109375" style="125" customWidth="1"/>
    <col min="3010" max="3011" width="3.7109375" style="125" customWidth="1"/>
    <col min="3012" max="3012" width="9.7109375" style="125" customWidth="1"/>
    <col min="3013" max="3014" width="3.7109375" style="125" customWidth="1"/>
    <col min="3015" max="3015" width="9.7109375" style="125" customWidth="1"/>
    <col min="3016" max="3017" width="3.7109375" style="125" customWidth="1"/>
    <col min="3018" max="3018" width="9.7109375" style="125" customWidth="1"/>
    <col min="3019" max="3020" width="3.7109375" style="125" customWidth="1"/>
    <col min="3021" max="3021" width="9.7109375" style="125" customWidth="1"/>
    <col min="3022" max="3023" width="3.7109375" style="125" customWidth="1"/>
    <col min="3024" max="3024" width="9.7109375" style="125" customWidth="1"/>
    <col min="3025" max="3026" width="3.7109375" style="125" customWidth="1"/>
    <col min="3027" max="3027" width="9.7109375" style="125" customWidth="1"/>
    <col min="3028" max="3029" width="3.7109375" style="125" customWidth="1"/>
    <col min="3030" max="3030" width="9.7109375" style="125" customWidth="1"/>
    <col min="3031" max="3032" width="3.7109375" style="125" customWidth="1"/>
    <col min="3033" max="3033" width="9.7109375" style="125" customWidth="1"/>
    <col min="3034" max="3035" width="3.7109375" style="125" customWidth="1"/>
    <col min="3036" max="3036" width="9.7109375" style="125" customWidth="1"/>
    <col min="3037" max="3038" width="3.7109375" style="125" customWidth="1"/>
    <col min="3039" max="3039" width="9.7109375" style="125" customWidth="1"/>
    <col min="3040" max="3041" width="3.7109375" style="125" customWidth="1"/>
    <col min="3042" max="3042" width="9.7109375" style="125" customWidth="1"/>
    <col min="3043" max="3044" width="3.7109375" style="125" customWidth="1"/>
    <col min="3045" max="3045" width="9.7109375" style="125" customWidth="1"/>
    <col min="3046" max="3047" width="3.7109375" style="125" customWidth="1"/>
    <col min="3048" max="3048" width="9.7109375" style="125" customWidth="1"/>
    <col min="3049" max="3050" width="3.7109375" style="125" customWidth="1"/>
    <col min="3051" max="3051" width="9.7109375" style="125" customWidth="1"/>
    <col min="3052" max="3053" width="3.7109375" style="125" customWidth="1"/>
    <col min="3054" max="3054" width="9.7109375" style="125" customWidth="1"/>
    <col min="3055" max="3056" width="3.7109375" style="125" customWidth="1"/>
    <col min="3057" max="3057" width="9.7109375" style="125" customWidth="1"/>
    <col min="3058" max="3059" width="3.7109375" style="125" customWidth="1"/>
    <col min="3060" max="3060" width="9.7109375" style="125" customWidth="1"/>
    <col min="3061" max="3062" width="3.7109375" style="125" customWidth="1"/>
    <col min="3063" max="3063" width="9.7109375" style="125" customWidth="1"/>
    <col min="3064" max="3065" width="3.7109375" style="125" customWidth="1"/>
    <col min="3066" max="3066" width="9.7109375" style="125" customWidth="1"/>
    <col min="3067" max="3068" width="3.7109375" style="125" customWidth="1"/>
    <col min="3069" max="3069" width="9.7109375" style="125" customWidth="1"/>
    <col min="3070" max="3070" width="3.7109375" style="125" customWidth="1"/>
    <col min="3071" max="3072" width="8" style="125"/>
    <col min="3073" max="3073" width="30.7109375" style="125" customWidth="1"/>
    <col min="3074" max="3074" width="9.7109375" style="125" customWidth="1"/>
    <col min="3075" max="3075" width="3.7109375" style="125" customWidth="1"/>
    <col min="3076" max="3076" width="9.7109375" style="125" customWidth="1"/>
    <col min="3077" max="3078" width="3.7109375" style="125" customWidth="1"/>
    <col min="3079" max="3079" width="9.7109375" style="125" customWidth="1"/>
    <col min="3080" max="3081" width="3.7109375" style="125" customWidth="1"/>
    <col min="3082" max="3082" width="9.7109375" style="125" customWidth="1"/>
    <col min="3083" max="3084" width="3.7109375" style="125" customWidth="1"/>
    <col min="3085" max="3085" width="9.7109375" style="125" customWidth="1"/>
    <col min="3086" max="3087" width="3.7109375" style="125" customWidth="1"/>
    <col min="3088" max="3088" width="9.7109375" style="125" customWidth="1"/>
    <col min="3089" max="3090" width="3.7109375" style="125" customWidth="1"/>
    <col min="3091" max="3091" width="9.7109375" style="125" customWidth="1"/>
    <col min="3092" max="3093" width="3.7109375" style="125" customWidth="1"/>
    <col min="3094" max="3094" width="9.7109375" style="125" customWidth="1"/>
    <col min="3095" max="3096" width="3.7109375" style="125" customWidth="1"/>
    <col min="3097" max="3097" width="9.7109375" style="125" customWidth="1"/>
    <col min="3098" max="3099" width="3.7109375" style="125" customWidth="1"/>
    <col min="3100" max="3100" width="9.7109375" style="125" customWidth="1"/>
    <col min="3101" max="3102" width="3.7109375" style="125" customWidth="1"/>
    <col min="3103" max="3103" width="9.7109375" style="125" customWidth="1"/>
    <col min="3104" max="3105" width="3.7109375" style="125" customWidth="1"/>
    <col min="3106" max="3106" width="9.7109375" style="125" customWidth="1"/>
    <col min="3107" max="3108" width="3.7109375" style="125" customWidth="1"/>
    <col min="3109" max="3109" width="9.7109375" style="125" customWidth="1"/>
    <col min="3110" max="3111" width="3.7109375" style="125" customWidth="1"/>
    <col min="3112" max="3112" width="9.7109375" style="125" customWidth="1"/>
    <col min="3113" max="3114" width="3.7109375" style="125" customWidth="1"/>
    <col min="3115" max="3115" width="9.7109375" style="125" customWidth="1"/>
    <col min="3116" max="3117" width="3.7109375" style="125" customWidth="1"/>
    <col min="3118" max="3118" width="9.7109375" style="125" customWidth="1"/>
    <col min="3119" max="3120" width="3.7109375" style="125" customWidth="1"/>
    <col min="3121" max="3121" width="9.7109375" style="125" customWidth="1"/>
    <col min="3122" max="3123" width="3.7109375" style="125" customWidth="1"/>
    <col min="3124" max="3124" width="9.7109375" style="125" customWidth="1"/>
    <col min="3125" max="3126" width="3.7109375" style="125" customWidth="1"/>
    <col min="3127" max="3127" width="9.7109375" style="125" customWidth="1"/>
    <col min="3128" max="3129" width="3.7109375" style="125" customWidth="1"/>
    <col min="3130" max="3130" width="9.7109375" style="125" customWidth="1"/>
    <col min="3131" max="3132" width="3.7109375" style="125" customWidth="1"/>
    <col min="3133" max="3133" width="9.7109375" style="125" customWidth="1"/>
    <col min="3134" max="3135" width="3.7109375" style="125" customWidth="1"/>
    <col min="3136" max="3136" width="9.7109375" style="125" customWidth="1"/>
    <col min="3137" max="3138" width="3.7109375" style="125" customWidth="1"/>
    <col min="3139" max="3139" width="9.7109375" style="125" customWidth="1"/>
    <col min="3140" max="3141" width="3.7109375" style="125" customWidth="1"/>
    <col min="3142" max="3142" width="9.7109375" style="125" customWidth="1"/>
    <col min="3143" max="3144" width="3.7109375" style="125" customWidth="1"/>
    <col min="3145" max="3145" width="9.7109375" style="125" customWidth="1"/>
    <col min="3146" max="3147" width="3.7109375" style="125" customWidth="1"/>
    <col min="3148" max="3148" width="9.7109375" style="125" customWidth="1"/>
    <col min="3149" max="3150" width="3.7109375" style="125" customWidth="1"/>
    <col min="3151" max="3151" width="9.7109375" style="125" customWidth="1"/>
    <col min="3152" max="3153" width="3.7109375" style="125" customWidth="1"/>
    <col min="3154" max="3154" width="9.7109375" style="125" customWidth="1"/>
    <col min="3155" max="3156" width="3.7109375" style="125" customWidth="1"/>
    <col min="3157" max="3157" width="9.7109375" style="125" customWidth="1"/>
    <col min="3158" max="3159" width="3.7109375" style="125" customWidth="1"/>
    <col min="3160" max="3160" width="9.7109375" style="125" customWidth="1"/>
    <col min="3161" max="3162" width="3.7109375" style="125" customWidth="1"/>
    <col min="3163" max="3163" width="9.7109375" style="125" customWidth="1"/>
    <col min="3164" max="3165" width="3.7109375" style="125" customWidth="1"/>
    <col min="3166" max="3166" width="9.7109375" style="125" customWidth="1"/>
    <col min="3167" max="3168" width="3.7109375" style="125" customWidth="1"/>
    <col min="3169" max="3169" width="9.7109375" style="125" customWidth="1"/>
    <col min="3170" max="3171" width="3.7109375" style="125" customWidth="1"/>
    <col min="3172" max="3172" width="9.7109375" style="125" customWidth="1"/>
    <col min="3173" max="3174" width="3.7109375" style="125" customWidth="1"/>
    <col min="3175" max="3175" width="9.7109375" style="125" customWidth="1"/>
    <col min="3176" max="3177" width="3.7109375" style="125" customWidth="1"/>
    <col min="3178" max="3178" width="9.7109375" style="125" customWidth="1"/>
    <col min="3179" max="3180" width="3.7109375" style="125" customWidth="1"/>
    <col min="3181" max="3181" width="9.7109375" style="125" customWidth="1"/>
    <col min="3182" max="3182" width="3.7109375" style="125" customWidth="1"/>
    <col min="3183" max="3183" width="5.7109375" style="125" bestFit="1" customWidth="1"/>
    <col min="3184" max="3184" width="9.7109375" style="125" customWidth="1"/>
    <col min="3185" max="3186" width="3.7109375" style="125" customWidth="1"/>
    <col min="3187" max="3187" width="9.7109375" style="125" customWidth="1"/>
    <col min="3188" max="3189" width="3.7109375" style="125" customWidth="1"/>
    <col min="3190" max="3190" width="9.7109375" style="125" customWidth="1"/>
    <col min="3191" max="3192" width="3.7109375" style="125" customWidth="1"/>
    <col min="3193" max="3193" width="9.7109375" style="125" customWidth="1"/>
    <col min="3194" max="3195" width="3.7109375" style="125" customWidth="1"/>
    <col min="3196" max="3196" width="9.7109375" style="125" customWidth="1"/>
    <col min="3197" max="3198" width="3.7109375" style="125" customWidth="1"/>
    <col min="3199" max="3199" width="9.7109375" style="125" customWidth="1"/>
    <col min="3200" max="3201" width="3.7109375" style="125" customWidth="1"/>
    <col min="3202" max="3202" width="9.7109375" style="125" customWidth="1"/>
    <col min="3203" max="3204" width="3.7109375" style="125" customWidth="1"/>
    <col min="3205" max="3205" width="9.7109375" style="125" customWidth="1"/>
    <col min="3206" max="3206" width="3.7109375" style="125" customWidth="1"/>
    <col min="3207" max="3207" width="5.7109375" style="125" bestFit="1" customWidth="1"/>
    <col min="3208" max="3208" width="9.7109375" style="125" customWidth="1"/>
    <col min="3209" max="3210" width="3.7109375" style="125" customWidth="1"/>
    <col min="3211" max="3211" width="9.7109375" style="125" customWidth="1"/>
    <col min="3212" max="3213" width="3.7109375" style="125" customWidth="1"/>
    <col min="3214" max="3214" width="9.7109375" style="125" customWidth="1"/>
    <col min="3215" max="3216" width="3.7109375" style="125" customWidth="1"/>
    <col min="3217" max="3217" width="9.7109375" style="125" customWidth="1"/>
    <col min="3218" max="3219" width="3.7109375" style="125" customWidth="1"/>
    <col min="3220" max="3220" width="9.7109375" style="125" customWidth="1"/>
    <col min="3221" max="3222" width="3.7109375" style="125" customWidth="1"/>
    <col min="3223" max="3223" width="9.7109375" style="125" customWidth="1"/>
    <col min="3224" max="3225" width="3.7109375" style="125" customWidth="1"/>
    <col min="3226" max="3226" width="9.7109375" style="125" customWidth="1"/>
    <col min="3227" max="3228" width="3.7109375" style="125" customWidth="1"/>
    <col min="3229" max="3229" width="9.7109375" style="125" customWidth="1"/>
    <col min="3230" max="3231" width="3.7109375" style="125" customWidth="1"/>
    <col min="3232" max="3232" width="9.7109375" style="125" customWidth="1"/>
    <col min="3233" max="3234" width="3.7109375" style="125" customWidth="1"/>
    <col min="3235" max="3235" width="9.7109375" style="125" customWidth="1"/>
    <col min="3236" max="3237" width="3.7109375" style="125" customWidth="1"/>
    <col min="3238" max="3238" width="9.7109375" style="125" customWidth="1"/>
    <col min="3239" max="3240" width="3.7109375" style="125" customWidth="1"/>
    <col min="3241" max="3241" width="9.7109375" style="125" customWidth="1"/>
    <col min="3242" max="3243" width="3.7109375" style="125" customWidth="1"/>
    <col min="3244" max="3244" width="9.7109375" style="125" customWidth="1"/>
    <col min="3245" max="3246" width="3.7109375" style="125" customWidth="1"/>
    <col min="3247" max="3247" width="9.7109375" style="125" customWidth="1"/>
    <col min="3248" max="3249" width="3.7109375" style="125" customWidth="1"/>
    <col min="3250" max="3250" width="9.7109375" style="125" customWidth="1"/>
    <col min="3251" max="3252" width="3.7109375" style="125" customWidth="1"/>
    <col min="3253" max="3253" width="9.7109375" style="125" customWidth="1"/>
    <col min="3254" max="3255" width="3.7109375" style="125" customWidth="1"/>
    <col min="3256" max="3256" width="9.7109375" style="125" customWidth="1"/>
    <col min="3257" max="3258" width="3.7109375" style="125" customWidth="1"/>
    <col min="3259" max="3259" width="9.7109375" style="125" customWidth="1"/>
    <col min="3260" max="3261" width="3.7109375" style="125" customWidth="1"/>
    <col min="3262" max="3262" width="9.7109375" style="125" customWidth="1"/>
    <col min="3263" max="3264" width="3.7109375" style="125" customWidth="1"/>
    <col min="3265" max="3265" width="9.7109375" style="125" customWidth="1"/>
    <col min="3266" max="3267" width="3.7109375" style="125" customWidth="1"/>
    <col min="3268" max="3268" width="9.7109375" style="125" customWidth="1"/>
    <col min="3269" max="3270" width="3.7109375" style="125" customWidth="1"/>
    <col min="3271" max="3271" width="9.7109375" style="125" customWidth="1"/>
    <col min="3272" max="3273" width="3.7109375" style="125" customWidth="1"/>
    <col min="3274" max="3274" width="9.7109375" style="125" customWidth="1"/>
    <col min="3275" max="3276" width="3.7109375" style="125" customWidth="1"/>
    <col min="3277" max="3277" width="9.7109375" style="125" customWidth="1"/>
    <col min="3278" max="3279" width="3.7109375" style="125" customWidth="1"/>
    <col min="3280" max="3280" width="9.7109375" style="125" customWidth="1"/>
    <col min="3281" max="3282" width="3.7109375" style="125" customWidth="1"/>
    <col min="3283" max="3283" width="9.7109375" style="125" customWidth="1"/>
    <col min="3284" max="3285" width="3.7109375" style="125" customWidth="1"/>
    <col min="3286" max="3286" width="9.7109375" style="125" customWidth="1"/>
    <col min="3287" max="3288" width="3.7109375" style="125" customWidth="1"/>
    <col min="3289" max="3289" width="9.7109375" style="125" customWidth="1"/>
    <col min="3290" max="3291" width="3.7109375" style="125" customWidth="1"/>
    <col min="3292" max="3292" width="9.7109375" style="125" customWidth="1"/>
    <col min="3293" max="3294" width="3.7109375" style="125" customWidth="1"/>
    <col min="3295" max="3295" width="9.7109375" style="125" customWidth="1"/>
    <col min="3296" max="3297" width="3.7109375" style="125" customWidth="1"/>
    <col min="3298" max="3298" width="9.7109375" style="125" customWidth="1"/>
    <col min="3299" max="3300" width="3.7109375" style="125" customWidth="1"/>
    <col min="3301" max="3301" width="9.7109375" style="125" customWidth="1"/>
    <col min="3302" max="3303" width="3.7109375" style="125" customWidth="1"/>
    <col min="3304" max="3304" width="9.7109375" style="125" customWidth="1"/>
    <col min="3305" max="3306" width="3.7109375" style="125" customWidth="1"/>
    <col min="3307" max="3307" width="9.7109375" style="125" customWidth="1"/>
    <col min="3308" max="3309" width="3.7109375" style="125" customWidth="1"/>
    <col min="3310" max="3310" width="9.7109375" style="125" customWidth="1"/>
    <col min="3311" max="3312" width="3.7109375" style="125" customWidth="1"/>
    <col min="3313" max="3313" width="9.7109375" style="125" customWidth="1"/>
    <col min="3314" max="3315" width="3.7109375" style="125" customWidth="1"/>
    <col min="3316" max="3316" width="9.7109375" style="125" customWidth="1"/>
    <col min="3317" max="3318" width="3.7109375" style="125" customWidth="1"/>
    <col min="3319" max="3319" width="9.7109375" style="125" customWidth="1"/>
    <col min="3320" max="3321" width="3.7109375" style="125" customWidth="1"/>
    <col min="3322" max="3322" width="9.7109375" style="125" customWidth="1"/>
    <col min="3323" max="3324" width="3.7109375" style="125" customWidth="1"/>
    <col min="3325" max="3325" width="9.7109375" style="125" customWidth="1"/>
    <col min="3326" max="3326" width="3.7109375" style="125" customWidth="1"/>
    <col min="3327" max="3328" width="8" style="125"/>
    <col min="3329" max="3329" width="30.7109375" style="125" customWidth="1"/>
    <col min="3330" max="3330" width="9.7109375" style="125" customWidth="1"/>
    <col min="3331" max="3331" width="3.7109375" style="125" customWidth="1"/>
    <col min="3332" max="3332" width="9.7109375" style="125" customWidth="1"/>
    <col min="3333" max="3334" width="3.7109375" style="125" customWidth="1"/>
    <col min="3335" max="3335" width="9.7109375" style="125" customWidth="1"/>
    <col min="3336" max="3337" width="3.7109375" style="125" customWidth="1"/>
    <col min="3338" max="3338" width="9.7109375" style="125" customWidth="1"/>
    <col min="3339" max="3340" width="3.7109375" style="125" customWidth="1"/>
    <col min="3341" max="3341" width="9.7109375" style="125" customWidth="1"/>
    <col min="3342" max="3343" width="3.7109375" style="125" customWidth="1"/>
    <col min="3344" max="3344" width="9.7109375" style="125" customWidth="1"/>
    <col min="3345" max="3346" width="3.7109375" style="125" customWidth="1"/>
    <col min="3347" max="3347" width="9.7109375" style="125" customWidth="1"/>
    <col min="3348" max="3349" width="3.7109375" style="125" customWidth="1"/>
    <col min="3350" max="3350" width="9.7109375" style="125" customWidth="1"/>
    <col min="3351" max="3352" width="3.7109375" style="125" customWidth="1"/>
    <col min="3353" max="3353" width="9.7109375" style="125" customWidth="1"/>
    <col min="3354" max="3355" width="3.7109375" style="125" customWidth="1"/>
    <col min="3356" max="3356" width="9.7109375" style="125" customWidth="1"/>
    <col min="3357" max="3358" width="3.7109375" style="125" customWidth="1"/>
    <col min="3359" max="3359" width="9.7109375" style="125" customWidth="1"/>
    <col min="3360" max="3361" width="3.7109375" style="125" customWidth="1"/>
    <col min="3362" max="3362" width="9.7109375" style="125" customWidth="1"/>
    <col min="3363" max="3364" width="3.7109375" style="125" customWidth="1"/>
    <col min="3365" max="3365" width="9.7109375" style="125" customWidth="1"/>
    <col min="3366" max="3367" width="3.7109375" style="125" customWidth="1"/>
    <col min="3368" max="3368" width="9.7109375" style="125" customWidth="1"/>
    <col min="3369" max="3370" width="3.7109375" style="125" customWidth="1"/>
    <col min="3371" max="3371" width="9.7109375" style="125" customWidth="1"/>
    <col min="3372" max="3373" width="3.7109375" style="125" customWidth="1"/>
    <col min="3374" max="3374" width="9.7109375" style="125" customWidth="1"/>
    <col min="3375" max="3376" width="3.7109375" style="125" customWidth="1"/>
    <col min="3377" max="3377" width="9.7109375" style="125" customWidth="1"/>
    <col min="3378" max="3379" width="3.7109375" style="125" customWidth="1"/>
    <col min="3380" max="3380" width="9.7109375" style="125" customWidth="1"/>
    <col min="3381" max="3382" width="3.7109375" style="125" customWidth="1"/>
    <col min="3383" max="3383" width="9.7109375" style="125" customWidth="1"/>
    <col min="3384" max="3385" width="3.7109375" style="125" customWidth="1"/>
    <col min="3386" max="3386" width="9.7109375" style="125" customWidth="1"/>
    <col min="3387" max="3388" width="3.7109375" style="125" customWidth="1"/>
    <col min="3389" max="3389" width="9.7109375" style="125" customWidth="1"/>
    <col min="3390" max="3391" width="3.7109375" style="125" customWidth="1"/>
    <col min="3392" max="3392" width="9.7109375" style="125" customWidth="1"/>
    <col min="3393" max="3394" width="3.7109375" style="125" customWidth="1"/>
    <col min="3395" max="3395" width="9.7109375" style="125" customWidth="1"/>
    <col min="3396" max="3397" width="3.7109375" style="125" customWidth="1"/>
    <col min="3398" max="3398" width="9.7109375" style="125" customWidth="1"/>
    <col min="3399" max="3400" width="3.7109375" style="125" customWidth="1"/>
    <col min="3401" max="3401" width="9.7109375" style="125" customWidth="1"/>
    <col min="3402" max="3403" width="3.7109375" style="125" customWidth="1"/>
    <col min="3404" max="3404" width="9.7109375" style="125" customWidth="1"/>
    <col min="3405" max="3406" width="3.7109375" style="125" customWidth="1"/>
    <col min="3407" max="3407" width="9.7109375" style="125" customWidth="1"/>
    <col min="3408" max="3409" width="3.7109375" style="125" customWidth="1"/>
    <col min="3410" max="3410" width="9.7109375" style="125" customWidth="1"/>
    <col min="3411" max="3412" width="3.7109375" style="125" customWidth="1"/>
    <col min="3413" max="3413" width="9.7109375" style="125" customWidth="1"/>
    <col min="3414" max="3415" width="3.7109375" style="125" customWidth="1"/>
    <col min="3416" max="3416" width="9.7109375" style="125" customWidth="1"/>
    <col min="3417" max="3418" width="3.7109375" style="125" customWidth="1"/>
    <col min="3419" max="3419" width="9.7109375" style="125" customWidth="1"/>
    <col min="3420" max="3421" width="3.7109375" style="125" customWidth="1"/>
    <col min="3422" max="3422" width="9.7109375" style="125" customWidth="1"/>
    <col min="3423" max="3424" width="3.7109375" style="125" customWidth="1"/>
    <col min="3425" max="3425" width="9.7109375" style="125" customWidth="1"/>
    <col min="3426" max="3427" width="3.7109375" style="125" customWidth="1"/>
    <col min="3428" max="3428" width="9.7109375" style="125" customWidth="1"/>
    <col min="3429" max="3430" width="3.7109375" style="125" customWidth="1"/>
    <col min="3431" max="3431" width="9.7109375" style="125" customWidth="1"/>
    <col min="3432" max="3433" width="3.7109375" style="125" customWidth="1"/>
    <col min="3434" max="3434" width="9.7109375" style="125" customWidth="1"/>
    <col min="3435" max="3436" width="3.7109375" style="125" customWidth="1"/>
    <col min="3437" max="3437" width="9.7109375" style="125" customWidth="1"/>
    <col min="3438" max="3438" width="3.7109375" style="125" customWidth="1"/>
    <col min="3439" max="3439" width="5.7109375" style="125" bestFit="1" customWidth="1"/>
    <col min="3440" max="3440" width="9.7109375" style="125" customWidth="1"/>
    <col min="3441" max="3442" width="3.7109375" style="125" customWidth="1"/>
    <col min="3443" max="3443" width="9.7109375" style="125" customWidth="1"/>
    <col min="3444" max="3445" width="3.7109375" style="125" customWidth="1"/>
    <col min="3446" max="3446" width="9.7109375" style="125" customWidth="1"/>
    <col min="3447" max="3448" width="3.7109375" style="125" customWidth="1"/>
    <col min="3449" max="3449" width="9.7109375" style="125" customWidth="1"/>
    <col min="3450" max="3451" width="3.7109375" style="125" customWidth="1"/>
    <col min="3452" max="3452" width="9.7109375" style="125" customWidth="1"/>
    <col min="3453" max="3454" width="3.7109375" style="125" customWidth="1"/>
    <col min="3455" max="3455" width="9.7109375" style="125" customWidth="1"/>
    <col min="3456" max="3457" width="3.7109375" style="125" customWidth="1"/>
    <col min="3458" max="3458" width="9.7109375" style="125" customWidth="1"/>
    <col min="3459" max="3460" width="3.7109375" style="125" customWidth="1"/>
    <col min="3461" max="3461" width="9.7109375" style="125" customWidth="1"/>
    <col min="3462" max="3462" width="3.7109375" style="125" customWidth="1"/>
    <col min="3463" max="3463" width="5.7109375" style="125" bestFit="1" customWidth="1"/>
    <col min="3464" max="3464" width="9.7109375" style="125" customWidth="1"/>
    <col min="3465" max="3466" width="3.7109375" style="125" customWidth="1"/>
    <col min="3467" max="3467" width="9.7109375" style="125" customWidth="1"/>
    <col min="3468" max="3469" width="3.7109375" style="125" customWidth="1"/>
    <col min="3470" max="3470" width="9.7109375" style="125" customWidth="1"/>
    <col min="3471" max="3472" width="3.7109375" style="125" customWidth="1"/>
    <col min="3473" max="3473" width="9.7109375" style="125" customWidth="1"/>
    <col min="3474" max="3475" width="3.7109375" style="125" customWidth="1"/>
    <col min="3476" max="3476" width="9.7109375" style="125" customWidth="1"/>
    <col min="3477" max="3478" width="3.7109375" style="125" customWidth="1"/>
    <col min="3479" max="3479" width="9.7109375" style="125" customWidth="1"/>
    <col min="3480" max="3481" width="3.7109375" style="125" customWidth="1"/>
    <col min="3482" max="3482" width="9.7109375" style="125" customWidth="1"/>
    <col min="3483" max="3484" width="3.7109375" style="125" customWidth="1"/>
    <col min="3485" max="3485" width="9.7109375" style="125" customWidth="1"/>
    <col min="3486" max="3487" width="3.7109375" style="125" customWidth="1"/>
    <col min="3488" max="3488" width="9.7109375" style="125" customWidth="1"/>
    <col min="3489" max="3490" width="3.7109375" style="125" customWidth="1"/>
    <col min="3491" max="3491" width="9.7109375" style="125" customWidth="1"/>
    <col min="3492" max="3493" width="3.7109375" style="125" customWidth="1"/>
    <col min="3494" max="3494" width="9.7109375" style="125" customWidth="1"/>
    <col min="3495" max="3496" width="3.7109375" style="125" customWidth="1"/>
    <col min="3497" max="3497" width="9.7109375" style="125" customWidth="1"/>
    <col min="3498" max="3499" width="3.7109375" style="125" customWidth="1"/>
    <col min="3500" max="3500" width="9.7109375" style="125" customWidth="1"/>
    <col min="3501" max="3502" width="3.7109375" style="125" customWidth="1"/>
    <col min="3503" max="3503" width="9.7109375" style="125" customWidth="1"/>
    <col min="3504" max="3505" width="3.7109375" style="125" customWidth="1"/>
    <col min="3506" max="3506" width="9.7109375" style="125" customWidth="1"/>
    <col min="3507" max="3508" width="3.7109375" style="125" customWidth="1"/>
    <col min="3509" max="3509" width="9.7109375" style="125" customWidth="1"/>
    <col min="3510" max="3511" width="3.7109375" style="125" customWidth="1"/>
    <col min="3512" max="3512" width="9.7109375" style="125" customWidth="1"/>
    <col min="3513" max="3514" width="3.7109375" style="125" customWidth="1"/>
    <col min="3515" max="3515" width="9.7109375" style="125" customWidth="1"/>
    <col min="3516" max="3517" width="3.7109375" style="125" customWidth="1"/>
    <col min="3518" max="3518" width="9.7109375" style="125" customWidth="1"/>
    <col min="3519" max="3520" width="3.7109375" style="125" customWidth="1"/>
    <col min="3521" max="3521" width="9.7109375" style="125" customWidth="1"/>
    <col min="3522" max="3523" width="3.7109375" style="125" customWidth="1"/>
    <col min="3524" max="3524" width="9.7109375" style="125" customWidth="1"/>
    <col min="3525" max="3526" width="3.7109375" style="125" customWidth="1"/>
    <col min="3527" max="3527" width="9.7109375" style="125" customWidth="1"/>
    <col min="3528" max="3529" width="3.7109375" style="125" customWidth="1"/>
    <col min="3530" max="3530" width="9.7109375" style="125" customWidth="1"/>
    <col min="3531" max="3532" width="3.7109375" style="125" customWidth="1"/>
    <col min="3533" max="3533" width="9.7109375" style="125" customWidth="1"/>
    <col min="3534" max="3535" width="3.7109375" style="125" customWidth="1"/>
    <col min="3536" max="3536" width="9.7109375" style="125" customWidth="1"/>
    <col min="3537" max="3538" width="3.7109375" style="125" customWidth="1"/>
    <col min="3539" max="3539" width="9.7109375" style="125" customWidth="1"/>
    <col min="3540" max="3541" width="3.7109375" style="125" customWidth="1"/>
    <col min="3542" max="3542" width="9.7109375" style="125" customWidth="1"/>
    <col min="3543" max="3544" width="3.7109375" style="125" customWidth="1"/>
    <col min="3545" max="3545" width="9.7109375" style="125" customWidth="1"/>
    <col min="3546" max="3547" width="3.7109375" style="125" customWidth="1"/>
    <col min="3548" max="3548" width="9.7109375" style="125" customWidth="1"/>
    <col min="3549" max="3550" width="3.7109375" style="125" customWidth="1"/>
    <col min="3551" max="3551" width="9.7109375" style="125" customWidth="1"/>
    <col min="3552" max="3553" width="3.7109375" style="125" customWidth="1"/>
    <col min="3554" max="3554" width="9.7109375" style="125" customWidth="1"/>
    <col min="3555" max="3556" width="3.7109375" style="125" customWidth="1"/>
    <col min="3557" max="3557" width="9.7109375" style="125" customWidth="1"/>
    <col min="3558" max="3559" width="3.7109375" style="125" customWidth="1"/>
    <col min="3560" max="3560" width="9.7109375" style="125" customWidth="1"/>
    <col min="3561" max="3562" width="3.7109375" style="125" customWidth="1"/>
    <col min="3563" max="3563" width="9.7109375" style="125" customWidth="1"/>
    <col min="3564" max="3565" width="3.7109375" style="125" customWidth="1"/>
    <col min="3566" max="3566" width="9.7109375" style="125" customWidth="1"/>
    <col min="3567" max="3568" width="3.7109375" style="125" customWidth="1"/>
    <col min="3569" max="3569" width="9.7109375" style="125" customWidth="1"/>
    <col min="3570" max="3571" width="3.7109375" style="125" customWidth="1"/>
    <col min="3572" max="3572" width="9.7109375" style="125" customWidth="1"/>
    <col min="3573" max="3574" width="3.7109375" style="125" customWidth="1"/>
    <col min="3575" max="3575" width="9.7109375" style="125" customWidth="1"/>
    <col min="3576" max="3577" width="3.7109375" style="125" customWidth="1"/>
    <col min="3578" max="3578" width="9.7109375" style="125" customWidth="1"/>
    <col min="3579" max="3580" width="3.7109375" style="125" customWidth="1"/>
    <col min="3581" max="3581" width="9.7109375" style="125" customWidth="1"/>
    <col min="3582" max="3582" width="3.7109375" style="125" customWidth="1"/>
    <col min="3583" max="3584" width="8" style="125"/>
    <col min="3585" max="3585" width="30.7109375" style="125" customWidth="1"/>
    <col min="3586" max="3586" width="9.7109375" style="125" customWidth="1"/>
    <col min="3587" max="3587" width="3.7109375" style="125" customWidth="1"/>
    <col min="3588" max="3588" width="9.7109375" style="125" customWidth="1"/>
    <col min="3589" max="3590" width="3.7109375" style="125" customWidth="1"/>
    <col min="3591" max="3591" width="9.7109375" style="125" customWidth="1"/>
    <col min="3592" max="3593" width="3.7109375" style="125" customWidth="1"/>
    <col min="3594" max="3594" width="9.7109375" style="125" customWidth="1"/>
    <col min="3595" max="3596" width="3.7109375" style="125" customWidth="1"/>
    <col min="3597" max="3597" width="9.7109375" style="125" customWidth="1"/>
    <col min="3598" max="3599" width="3.7109375" style="125" customWidth="1"/>
    <col min="3600" max="3600" width="9.7109375" style="125" customWidth="1"/>
    <col min="3601" max="3602" width="3.7109375" style="125" customWidth="1"/>
    <col min="3603" max="3603" width="9.7109375" style="125" customWidth="1"/>
    <col min="3604" max="3605" width="3.7109375" style="125" customWidth="1"/>
    <col min="3606" max="3606" width="9.7109375" style="125" customWidth="1"/>
    <col min="3607" max="3608" width="3.7109375" style="125" customWidth="1"/>
    <col min="3609" max="3609" width="9.7109375" style="125" customWidth="1"/>
    <col min="3610" max="3611" width="3.7109375" style="125" customWidth="1"/>
    <col min="3612" max="3612" width="9.7109375" style="125" customWidth="1"/>
    <col min="3613" max="3614" width="3.7109375" style="125" customWidth="1"/>
    <col min="3615" max="3615" width="9.7109375" style="125" customWidth="1"/>
    <col min="3616" max="3617" width="3.7109375" style="125" customWidth="1"/>
    <col min="3618" max="3618" width="9.7109375" style="125" customWidth="1"/>
    <col min="3619" max="3620" width="3.7109375" style="125" customWidth="1"/>
    <col min="3621" max="3621" width="9.7109375" style="125" customWidth="1"/>
    <col min="3622" max="3623" width="3.7109375" style="125" customWidth="1"/>
    <col min="3624" max="3624" width="9.7109375" style="125" customWidth="1"/>
    <col min="3625" max="3626" width="3.7109375" style="125" customWidth="1"/>
    <col min="3627" max="3627" width="9.7109375" style="125" customWidth="1"/>
    <col min="3628" max="3629" width="3.7109375" style="125" customWidth="1"/>
    <col min="3630" max="3630" width="9.7109375" style="125" customWidth="1"/>
    <col min="3631" max="3632" width="3.7109375" style="125" customWidth="1"/>
    <col min="3633" max="3633" width="9.7109375" style="125" customWidth="1"/>
    <col min="3634" max="3635" width="3.7109375" style="125" customWidth="1"/>
    <col min="3636" max="3636" width="9.7109375" style="125" customWidth="1"/>
    <col min="3637" max="3638" width="3.7109375" style="125" customWidth="1"/>
    <col min="3639" max="3639" width="9.7109375" style="125" customWidth="1"/>
    <col min="3640" max="3641" width="3.7109375" style="125" customWidth="1"/>
    <col min="3642" max="3642" width="9.7109375" style="125" customWidth="1"/>
    <col min="3643" max="3644" width="3.7109375" style="125" customWidth="1"/>
    <col min="3645" max="3645" width="9.7109375" style="125" customWidth="1"/>
    <col min="3646" max="3647" width="3.7109375" style="125" customWidth="1"/>
    <col min="3648" max="3648" width="9.7109375" style="125" customWidth="1"/>
    <col min="3649" max="3650" width="3.7109375" style="125" customWidth="1"/>
    <col min="3651" max="3651" width="9.7109375" style="125" customWidth="1"/>
    <col min="3652" max="3653" width="3.7109375" style="125" customWidth="1"/>
    <col min="3654" max="3654" width="9.7109375" style="125" customWidth="1"/>
    <col min="3655" max="3656" width="3.7109375" style="125" customWidth="1"/>
    <col min="3657" max="3657" width="9.7109375" style="125" customWidth="1"/>
    <col min="3658" max="3659" width="3.7109375" style="125" customWidth="1"/>
    <col min="3660" max="3660" width="9.7109375" style="125" customWidth="1"/>
    <col min="3661" max="3662" width="3.7109375" style="125" customWidth="1"/>
    <col min="3663" max="3663" width="9.7109375" style="125" customWidth="1"/>
    <col min="3664" max="3665" width="3.7109375" style="125" customWidth="1"/>
    <col min="3666" max="3666" width="9.7109375" style="125" customWidth="1"/>
    <col min="3667" max="3668" width="3.7109375" style="125" customWidth="1"/>
    <col min="3669" max="3669" width="9.7109375" style="125" customWidth="1"/>
    <col min="3670" max="3671" width="3.7109375" style="125" customWidth="1"/>
    <col min="3672" max="3672" width="9.7109375" style="125" customWidth="1"/>
    <col min="3673" max="3674" width="3.7109375" style="125" customWidth="1"/>
    <col min="3675" max="3675" width="9.7109375" style="125" customWidth="1"/>
    <col min="3676" max="3677" width="3.7109375" style="125" customWidth="1"/>
    <col min="3678" max="3678" width="9.7109375" style="125" customWidth="1"/>
    <col min="3679" max="3680" width="3.7109375" style="125" customWidth="1"/>
    <col min="3681" max="3681" width="9.7109375" style="125" customWidth="1"/>
    <col min="3682" max="3683" width="3.7109375" style="125" customWidth="1"/>
    <col min="3684" max="3684" width="9.7109375" style="125" customWidth="1"/>
    <col min="3685" max="3686" width="3.7109375" style="125" customWidth="1"/>
    <col min="3687" max="3687" width="9.7109375" style="125" customWidth="1"/>
    <col min="3688" max="3689" width="3.7109375" style="125" customWidth="1"/>
    <col min="3690" max="3690" width="9.7109375" style="125" customWidth="1"/>
    <col min="3691" max="3692" width="3.7109375" style="125" customWidth="1"/>
    <col min="3693" max="3693" width="9.7109375" style="125" customWidth="1"/>
    <col min="3694" max="3694" width="3.7109375" style="125" customWidth="1"/>
    <col min="3695" max="3695" width="5.7109375" style="125" bestFit="1" customWidth="1"/>
    <col min="3696" max="3696" width="9.7109375" style="125" customWidth="1"/>
    <col min="3697" max="3698" width="3.7109375" style="125" customWidth="1"/>
    <col min="3699" max="3699" width="9.7109375" style="125" customWidth="1"/>
    <col min="3700" max="3701" width="3.7109375" style="125" customWidth="1"/>
    <col min="3702" max="3702" width="9.7109375" style="125" customWidth="1"/>
    <col min="3703" max="3704" width="3.7109375" style="125" customWidth="1"/>
    <col min="3705" max="3705" width="9.7109375" style="125" customWidth="1"/>
    <col min="3706" max="3707" width="3.7109375" style="125" customWidth="1"/>
    <col min="3708" max="3708" width="9.7109375" style="125" customWidth="1"/>
    <col min="3709" max="3710" width="3.7109375" style="125" customWidth="1"/>
    <col min="3711" max="3711" width="9.7109375" style="125" customWidth="1"/>
    <col min="3712" max="3713" width="3.7109375" style="125" customWidth="1"/>
    <col min="3714" max="3714" width="9.7109375" style="125" customWidth="1"/>
    <col min="3715" max="3716" width="3.7109375" style="125" customWidth="1"/>
    <col min="3717" max="3717" width="9.7109375" style="125" customWidth="1"/>
    <col min="3718" max="3718" width="3.7109375" style="125" customWidth="1"/>
    <col min="3719" max="3719" width="5.7109375" style="125" bestFit="1" customWidth="1"/>
    <col min="3720" max="3720" width="9.7109375" style="125" customWidth="1"/>
    <col min="3721" max="3722" width="3.7109375" style="125" customWidth="1"/>
    <col min="3723" max="3723" width="9.7109375" style="125" customWidth="1"/>
    <col min="3724" max="3725" width="3.7109375" style="125" customWidth="1"/>
    <col min="3726" max="3726" width="9.7109375" style="125" customWidth="1"/>
    <col min="3727" max="3728" width="3.7109375" style="125" customWidth="1"/>
    <col min="3729" max="3729" width="9.7109375" style="125" customWidth="1"/>
    <col min="3730" max="3731" width="3.7109375" style="125" customWidth="1"/>
    <col min="3732" max="3732" width="9.7109375" style="125" customWidth="1"/>
    <col min="3733" max="3734" width="3.7109375" style="125" customWidth="1"/>
    <col min="3735" max="3735" width="9.7109375" style="125" customWidth="1"/>
    <col min="3736" max="3737" width="3.7109375" style="125" customWidth="1"/>
    <col min="3738" max="3738" width="9.7109375" style="125" customWidth="1"/>
    <col min="3739" max="3740" width="3.7109375" style="125" customWidth="1"/>
    <col min="3741" max="3741" width="9.7109375" style="125" customWidth="1"/>
    <col min="3742" max="3743" width="3.7109375" style="125" customWidth="1"/>
    <col min="3744" max="3744" width="9.7109375" style="125" customWidth="1"/>
    <col min="3745" max="3746" width="3.7109375" style="125" customWidth="1"/>
    <col min="3747" max="3747" width="9.7109375" style="125" customWidth="1"/>
    <col min="3748" max="3749" width="3.7109375" style="125" customWidth="1"/>
    <col min="3750" max="3750" width="9.7109375" style="125" customWidth="1"/>
    <col min="3751" max="3752" width="3.7109375" style="125" customWidth="1"/>
    <col min="3753" max="3753" width="9.7109375" style="125" customWidth="1"/>
    <col min="3754" max="3755" width="3.7109375" style="125" customWidth="1"/>
    <col min="3756" max="3756" width="9.7109375" style="125" customWidth="1"/>
    <col min="3757" max="3758" width="3.7109375" style="125" customWidth="1"/>
    <col min="3759" max="3759" width="9.7109375" style="125" customWidth="1"/>
    <col min="3760" max="3761" width="3.7109375" style="125" customWidth="1"/>
    <col min="3762" max="3762" width="9.7109375" style="125" customWidth="1"/>
    <col min="3763" max="3764" width="3.7109375" style="125" customWidth="1"/>
    <col min="3765" max="3765" width="9.7109375" style="125" customWidth="1"/>
    <col min="3766" max="3767" width="3.7109375" style="125" customWidth="1"/>
    <col min="3768" max="3768" width="9.7109375" style="125" customWidth="1"/>
    <col min="3769" max="3770" width="3.7109375" style="125" customWidth="1"/>
    <col min="3771" max="3771" width="9.7109375" style="125" customWidth="1"/>
    <col min="3772" max="3773" width="3.7109375" style="125" customWidth="1"/>
    <col min="3774" max="3774" width="9.7109375" style="125" customWidth="1"/>
    <col min="3775" max="3776" width="3.7109375" style="125" customWidth="1"/>
    <col min="3777" max="3777" width="9.7109375" style="125" customWidth="1"/>
    <col min="3778" max="3779" width="3.7109375" style="125" customWidth="1"/>
    <col min="3780" max="3780" width="9.7109375" style="125" customWidth="1"/>
    <col min="3781" max="3782" width="3.7109375" style="125" customWidth="1"/>
    <col min="3783" max="3783" width="9.7109375" style="125" customWidth="1"/>
    <col min="3784" max="3785" width="3.7109375" style="125" customWidth="1"/>
    <col min="3786" max="3786" width="9.7109375" style="125" customWidth="1"/>
    <col min="3787" max="3788" width="3.7109375" style="125" customWidth="1"/>
    <col min="3789" max="3789" width="9.7109375" style="125" customWidth="1"/>
    <col min="3790" max="3791" width="3.7109375" style="125" customWidth="1"/>
    <col min="3792" max="3792" width="9.7109375" style="125" customWidth="1"/>
    <col min="3793" max="3794" width="3.7109375" style="125" customWidth="1"/>
    <col min="3795" max="3795" width="9.7109375" style="125" customWidth="1"/>
    <col min="3796" max="3797" width="3.7109375" style="125" customWidth="1"/>
    <col min="3798" max="3798" width="9.7109375" style="125" customWidth="1"/>
    <col min="3799" max="3800" width="3.7109375" style="125" customWidth="1"/>
    <col min="3801" max="3801" width="9.7109375" style="125" customWidth="1"/>
    <col min="3802" max="3803" width="3.7109375" style="125" customWidth="1"/>
    <col min="3804" max="3804" width="9.7109375" style="125" customWidth="1"/>
    <col min="3805" max="3806" width="3.7109375" style="125" customWidth="1"/>
    <col min="3807" max="3807" width="9.7109375" style="125" customWidth="1"/>
    <col min="3808" max="3809" width="3.7109375" style="125" customWidth="1"/>
    <col min="3810" max="3810" width="9.7109375" style="125" customWidth="1"/>
    <col min="3811" max="3812" width="3.7109375" style="125" customWidth="1"/>
    <col min="3813" max="3813" width="9.7109375" style="125" customWidth="1"/>
    <col min="3814" max="3815" width="3.7109375" style="125" customWidth="1"/>
    <col min="3816" max="3816" width="9.7109375" style="125" customWidth="1"/>
    <col min="3817" max="3818" width="3.7109375" style="125" customWidth="1"/>
    <col min="3819" max="3819" width="9.7109375" style="125" customWidth="1"/>
    <col min="3820" max="3821" width="3.7109375" style="125" customWidth="1"/>
    <col min="3822" max="3822" width="9.7109375" style="125" customWidth="1"/>
    <col min="3823" max="3824" width="3.7109375" style="125" customWidth="1"/>
    <col min="3825" max="3825" width="9.7109375" style="125" customWidth="1"/>
    <col min="3826" max="3827" width="3.7109375" style="125" customWidth="1"/>
    <col min="3828" max="3828" width="9.7109375" style="125" customWidth="1"/>
    <col min="3829" max="3830" width="3.7109375" style="125" customWidth="1"/>
    <col min="3831" max="3831" width="9.7109375" style="125" customWidth="1"/>
    <col min="3832" max="3833" width="3.7109375" style="125" customWidth="1"/>
    <col min="3834" max="3834" width="9.7109375" style="125" customWidth="1"/>
    <col min="3835" max="3836" width="3.7109375" style="125" customWidth="1"/>
    <col min="3837" max="3837" width="9.7109375" style="125" customWidth="1"/>
    <col min="3838" max="3838" width="3.7109375" style="125" customWidth="1"/>
    <col min="3839" max="3840" width="8" style="125"/>
    <col min="3841" max="3841" width="30.7109375" style="125" customWidth="1"/>
    <col min="3842" max="3842" width="9.7109375" style="125" customWidth="1"/>
    <col min="3843" max="3843" width="3.7109375" style="125" customWidth="1"/>
    <col min="3844" max="3844" width="9.7109375" style="125" customWidth="1"/>
    <col min="3845" max="3846" width="3.7109375" style="125" customWidth="1"/>
    <col min="3847" max="3847" width="9.7109375" style="125" customWidth="1"/>
    <col min="3848" max="3849" width="3.7109375" style="125" customWidth="1"/>
    <col min="3850" max="3850" width="9.7109375" style="125" customWidth="1"/>
    <col min="3851" max="3852" width="3.7109375" style="125" customWidth="1"/>
    <col min="3853" max="3853" width="9.7109375" style="125" customWidth="1"/>
    <col min="3854" max="3855" width="3.7109375" style="125" customWidth="1"/>
    <col min="3856" max="3856" width="9.7109375" style="125" customWidth="1"/>
    <col min="3857" max="3858" width="3.7109375" style="125" customWidth="1"/>
    <col min="3859" max="3859" width="9.7109375" style="125" customWidth="1"/>
    <col min="3860" max="3861" width="3.7109375" style="125" customWidth="1"/>
    <col min="3862" max="3862" width="9.7109375" style="125" customWidth="1"/>
    <col min="3863" max="3864" width="3.7109375" style="125" customWidth="1"/>
    <col min="3865" max="3865" width="9.7109375" style="125" customWidth="1"/>
    <col min="3866" max="3867" width="3.7109375" style="125" customWidth="1"/>
    <col min="3868" max="3868" width="9.7109375" style="125" customWidth="1"/>
    <col min="3869" max="3870" width="3.7109375" style="125" customWidth="1"/>
    <col min="3871" max="3871" width="9.7109375" style="125" customWidth="1"/>
    <col min="3872" max="3873" width="3.7109375" style="125" customWidth="1"/>
    <col min="3874" max="3874" width="9.7109375" style="125" customWidth="1"/>
    <col min="3875" max="3876" width="3.7109375" style="125" customWidth="1"/>
    <col min="3877" max="3877" width="9.7109375" style="125" customWidth="1"/>
    <col min="3878" max="3879" width="3.7109375" style="125" customWidth="1"/>
    <col min="3880" max="3880" width="9.7109375" style="125" customWidth="1"/>
    <col min="3881" max="3882" width="3.7109375" style="125" customWidth="1"/>
    <col min="3883" max="3883" width="9.7109375" style="125" customWidth="1"/>
    <col min="3884" max="3885" width="3.7109375" style="125" customWidth="1"/>
    <col min="3886" max="3886" width="9.7109375" style="125" customWidth="1"/>
    <col min="3887" max="3888" width="3.7109375" style="125" customWidth="1"/>
    <col min="3889" max="3889" width="9.7109375" style="125" customWidth="1"/>
    <col min="3890" max="3891" width="3.7109375" style="125" customWidth="1"/>
    <col min="3892" max="3892" width="9.7109375" style="125" customWidth="1"/>
    <col min="3893" max="3894" width="3.7109375" style="125" customWidth="1"/>
    <col min="3895" max="3895" width="9.7109375" style="125" customWidth="1"/>
    <col min="3896" max="3897" width="3.7109375" style="125" customWidth="1"/>
    <col min="3898" max="3898" width="9.7109375" style="125" customWidth="1"/>
    <col min="3899" max="3900" width="3.7109375" style="125" customWidth="1"/>
    <col min="3901" max="3901" width="9.7109375" style="125" customWidth="1"/>
    <col min="3902" max="3903" width="3.7109375" style="125" customWidth="1"/>
    <col min="3904" max="3904" width="9.7109375" style="125" customWidth="1"/>
    <col min="3905" max="3906" width="3.7109375" style="125" customWidth="1"/>
    <col min="3907" max="3907" width="9.7109375" style="125" customWidth="1"/>
    <col min="3908" max="3909" width="3.7109375" style="125" customWidth="1"/>
    <col min="3910" max="3910" width="9.7109375" style="125" customWidth="1"/>
    <col min="3911" max="3912" width="3.7109375" style="125" customWidth="1"/>
    <col min="3913" max="3913" width="9.7109375" style="125" customWidth="1"/>
    <col min="3914" max="3915" width="3.7109375" style="125" customWidth="1"/>
    <col min="3916" max="3916" width="9.7109375" style="125" customWidth="1"/>
    <col min="3917" max="3918" width="3.7109375" style="125" customWidth="1"/>
    <col min="3919" max="3919" width="9.7109375" style="125" customWidth="1"/>
    <col min="3920" max="3921" width="3.7109375" style="125" customWidth="1"/>
    <col min="3922" max="3922" width="9.7109375" style="125" customWidth="1"/>
    <col min="3923" max="3924" width="3.7109375" style="125" customWidth="1"/>
    <col min="3925" max="3925" width="9.7109375" style="125" customWidth="1"/>
    <col min="3926" max="3927" width="3.7109375" style="125" customWidth="1"/>
    <col min="3928" max="3928" width="9.7109375" style="125" customWidth="1"/>
    <col min="3929" max="3930" width="3.7109375" style="125" customWidth="1"/>
    <col min="3931" max="3931" width="9.7109375" style="125" customWidth="1"/>
    <col min="3932" max="3933" width="3.7109375" style="125" customWidth="1"/>
    <col min="3934" max="3934" width="9.7109375" style="125" customWidth="1"/>
    <col min="3935" max="3936" width="3.7109375" style="125" customWidth="1"/>
    <col min="3937" max="3937" width="9.7109375" style="125" customWidth="1"/>
    <col min="3938" max="3939" width="3.7109375" style="125" customWidth="1"/>
    <col min="3940" max="3940" width="9.7109375" style="125" customWidth="1"/>
    <col min="3941" max="3942" width="3.7109375" style="125" customWidth="1"/>
    <col min="3943" max="3943" width="9.7109375" style="125" customWidth="1"/>
    <col min="3944" max="3945" width="3.7109375" style="125" customWidth="1"/>
    <col min="3946" max="3946" width="9.7109375" style="125" customWidth="1"/>
    <col min="3947" max="3948" width="3.7109375" style="125" customWidth="1"/>
    <col min="3949" max="3949" width="9.7109375" style="125" customWidth="1"/>
    <col min="3950" max="3950" width="3.7109375" style="125" customWidth="1"/>
    <col min="3951" max="3951" width="5.7109375" style="125" bestFit="1" customWidth="1"/>
    <col min="3952" max="3952" width="9.7109375" style="125" customWidth="1"/>
    <col min="3953" max="3954" width="3.7109375" style="125" customWidth="1"/>
    <col min="3955" max="3955" width="9.7109375" style="125" customWidth="1"/>
    <col min="3956" max="3957" width="3.7109375" style="125" customWidth="1"/>
    <col min="3958" max="3958" width="9.7109375" style="125" customWidth="1"/>
    <col min="3959" max="3960" width="3.7109375" style="125" customWidth="1"/>
    <col min="3961" max="3961" width="9.7109375" style="125" customWidth="1"/>
    <col min="3962" max="3963" width="3.7109375" style="125" customWidth="1"/>
    <col min="3964" max="3964" width="9.7109375" style="125" customWidth="1"/>
    <col min="3965" max="3966" width="3.7109375" style="125" customWidth="1"/>
    <col min="3967" max="3967" width="9.7109375" style="125" customWidth="1"/>
    <col min="3968" max="3969" width="3.7109375" style="125" customWidth="1"/>
    <col min="3970" max="3970" width="9.7109375" style="125" customWidth="1"/>
    <col min="3971" max="3972" width="3.7109375" style="125" customWidth="1"/>
    <col min="3973" max="3973" width="9.7109375" style="125" customWidth="1"/>
    <col min="3974" max="3974" width="3.7109375" style="125" customWidth="1"/>
    <col min="3975" max="3975" width="5.7109375" style="125" bestFit="1" customWidth="1"/>
    <col min="3976" max="3976" width="9.7109375" style="125" customWidth="1"/>
    <col min="3977" max="3978" width="3.7109375" style="125" customWidth="1"/>
    <col min="3979" max="3979" width="9.7109375" style="125" customWidth="1"/>
    <col min="3980" max="3981" width="3.7109375" style="125" customWidth="1"/>
    <col min="3982" max="3982" width="9.7109375" style="125" customWidth="1"/>
    <col min="3983" max="3984" width="3.7109375" style="125" customWidth="1"/>
    <col min="3985" max="3985" width="9.7109375" style="125" customWidth="1"/>
    <col min="3986" max="3987" width="3.7109375" style="125" customWidth="1"/>
    <col min="3988" max="3988" width="9.7109375" style="125" customWidth="1"/>
    <col min="3989" max="3990" width="3.7109375" style="125" customWidth="1"/>
    <col min="3991" max="3991" width="9.7109375" style="125" customWidth="1"/>
    <col min="3992" max="3993" width="3.7109375" style="125" customWidth="1"/>
    <col min="3994" max="3994" width="9.7109375" style="125" customWidth="1"/>
    <col min="3995" max="3996" width="3.7109375" style="125" customWidth="1"/>
    <col min="3997" max="3997" width="9.7109375" style="125" customWidth="1"/>
    <col min="3998" max="3999" width="3.7109375" style="125" customWidth="1"/>
    <col min="4000" max="4000" width="9.7109375" style="125" customWidth="1"/>
    <col min="4001" max="4002" width="3.7109375" style="125" customWidth="1"/>
    <col min="4003" max="4003" width="9.7109375" style="125" customWidth="1"/>
    <col min="4004" max="4005" width="3.7109375" style="125" customWidth="1"/>
    <col min="4006" max="4006" width="9.7109375" style="125" customWidth="1"/>
    <col min="4007" max="4008" width="3.7109375" style="125" customWidth="1"/>
    <col min="4009" max="4009" width="9.7109375" style="125" customWidth="1"/>
    <col min="4010" max="4011" width="3.7109375" style="125" customWidth="1"/>
    <col min="4012" max="4012" width="9.7109375" style="125" customWidth="1"/>
    <col min="4013" max="4014" width="3.7109375" style="125" customWidth="1"/>
    <col min="4015" max="4015" width="9.7109375" style="125" customWidth="1"/>
    <col min="4016" max="4017" width="3.7109375" style="125" customWidth="1"/>
    <col min="4018" max="4018" width="9.7109375" style="125" customWidth="1"/>
    <col min="4019" max="4020" width="3.7109375" style="125" customWidth="1"/>
    <col min="4021" max="4021" width="9.7109375" style="125" customWidth="1"/>
    <col min="4022" max="4023" width="3.7109375" style="125" customWidth="1"/>
    <col min="4024" max="4024" width="9.7109375" style="125" customWidth="1"/>
    <col min="4025" max="4026" width="3.7109375" style="125" customWidth="1"/>
    <col min="4027" max="4027" width="9.7109375" style="125" customWidth="1"/>
    <col min="4028" max="4029" width="3.7109375" style="125" customWidth="1"/>
    <col min="4030" max="4030" width="9.7109375" style="125" customWidth="1"/>
    <col min="4031" max="4032" width="3.7109375" style="125" customWidth="1"/>
    <col min="4033" max="4033" width="9.7109375" style="125" customWidth="1"/>
    <col min="4034" max="4035" width="3.7109375" style="125" customWidth="1"/>
    <col min="4036" max="4036" width="9.7109375" style="125" customWidth="1"/>
    <col min="4037" max="4038" width="3.7109375" style="125" customWidth="1"/>
    <col min="4039" max="4039" width="9.7109375" style="125" customWidth="1"/>
    <col min="4040" max="4041" width="3.7109375" style="125" customWidth="1"/>
    <col min="4042" max="4042" width="9.7109375" style="125" customWidth="1"/>
    <col min="4043" max="4044" width="3.7109375" style="125" customWidth="1"/>
    <col min="4045" max="4045" width="9.7109375" style="125" customWidth="1"/>
    <col min="4046" max="4047" width="3.7109375" style="125" customWidth="1"/>
    <col min="4048" max="4048" width="9.7109375" style="125" customWidth="1"/>
    <col min="4049" max="4050" width="3.7109375" style="125" customWidth="1"/>
    <col min="4051" max="4051" width="9.7109375" style="125" customWidth="1"/>
    <col min="4052" max="4053" width="3.7109375" style="125" customWidth="1"/>
    <col min="4054" max="4054" width="9.7109375" style="125" customWidth="1"/>
    <col min="4055" max="4056" width="3.7109375" style="125" customWidth="1"/>
    <col min="4057" max="4057" width="9.7109375" style="125" customWidth="1"/>
    <col min="4058" max="4059" width="3.7109375" style="125" customWidth="1"/>
    <col min="4060" max="4060" width="9.7109375" style="125" customWidth="1"/>
    <col min="4061" max="4062" width="3.7109375" style="125" customWidth="1"/>
    <col min="4063" max="4063" width="9.7109375" style="125" customWidth="1"/>
    <col min="4064" max="4065" width="3.7109375" style="125" customWidth="1"/>
    <col min="4066" max="4066" width="9.7109375" style="125" customWidth="1"/>
    <col min="4067" max="4068" width="3.7109375" style="125" customWidth="1"/>
    <col min="4069" max="4069" width="9.7109375" style="125" customWidth="1"/>
    <col min="4070" max="4071" width="3.7109375" style="125" customWidth="1"/>
    <col min="4072" max="4072" width="9.7109375" style="125" customWidth="1"/>
    <col min="4073" max="4074" width="3.7109375" style="125" customWidth="1"/>
    <col min="4075" max="4075" width="9.7109375" style="125" customWidth="1"/>
    <col min="4076" max="4077" width="3.7109375" style="125" customWidth="1"/>
    <col min="4078" max="4078" width="9.7109375" style="125" customWidth="1"/>
    <col min="4079" max="4080" width="3.7109375" style="125" customWidth="1"/>
    <col min="4081" max="4081" width="9.7109375" style="125" customWidth="1"/>
    <col min="4082" max="4083" width="3.7109375" style="125" customWidth="1"/>
    <col min="4084" max="4084" width="9.7109375" style="125" customWidth="1"/>
    <col min="4085" max="4086" width="3.7109375" style="125" customWidth="1"/>
    <col min="4087" max="4087" width="9.7109375" style="125" customWidth="1"/>
    <col min="4088" max="4089" width="3.7109375" style="125" customWidth="1"/>
    <col min="4090" max="4090" width="9.7109375" style="125" customWidth="1"/>
    <col min="4091" max="4092" width="3.7109375" style="125" customWidth="1"/>
    <col min="4093" max="4093" width="9.7109375" style="125" customWidth="1"/>
    <col min="4094" max="4094" width="3.7109375" style="125" customWidth="1"/>
    <col min="4095" max="4096" width="8" style="125"/>
    <col min="4097" max="4097" width="30.7109375" style="125" customWidth="1"/>
    <col min="4098" max="4098" width="9.7109375" style="125" customWidth="1"/>
    <col min="4099" max="4099" width="3.7109375" style="125" customWidth="1"/>
    <col min="4100" max="4100" width="9.7109375" style="125" customWidth="1"/>
    <col min="4101" max="4102" width="3.7109375" style="125" customWidth="1"/>
    <col min="4103" max="4103" width="9.7109375" style="125" customWidth="1"/>
    <col min="4104" max="4105" width="3.7109375" style="125" customWidth="1"/>
    <col min="4106" max="4106" width="9.7109375" style="125" customWidth="1"/>
    <col min="4107" max="4108" width="3.7109375" style="125" customWidth="1"/>
    <col min="4109" max="4109" width="9.7109375" style="125" customWidth="1"/>
    <col min="4110" max="4111" width="3.7109375" style="125" customWidth="1"/>
    <col min="4112" max="4112" width="9.7109375" style="125" customWidth="1"/>
    <col min="4113" max="4114" width="3.7109375" style="125" customWidth="1"/>
    <col min="4115" max="4115" width="9.7109375" style="125" customWidth="1"/>
    <col min="4116" max="4117" width="3.7109375" style="125" customWidth="1"/>
    <col min="4118" max="4118" width="9.7109375" style="125" customWidth="1"/>
    <col min="4119" max="4120" width="3.7109375" style="125" customWidth="1"/>
    <col min="4121" max="4121" width="9.7109375" style="125" customWidth="1"/>
    <col min="4122" max="4123" width="3.7109375" style="125" customWidth="1"/>
    <col min="4124" max="4124" width="9.7109375" style="125" customWidth="1"/>
    <col min="4125" max="4126" width="3.7109375" style="125" customWidth="1"/>
    <col min="4127" max="4127" width="9.7109375" style="125" customWidth="1"/>
    <col min="4128" max="4129" width="3.7109375" style="125" customWidth="1"/>
    <col min="4130" max="4130" width="9.7109375" style="125" customWidth="1"/>
    <col min="4131" max="4132" width="3.7109375" style="125" customWidth="1"/>
    <col min="4133" max="4133" width="9.7109375" style="125" customWidth="1"/>
    <col min="4134" max="4135" width="3.7109375" style="125" customWidth="1"/>
    <col min="4136" max="4136" width="9.7109375" style="125" customWidth="1"/>
    <col min="4137" max="4138" width="3.7109375" style="125" customWidth="1"/>
    <col min="4139" max="4139" width="9.7109375" style="125" customWidth="1"/>
    <col min="4140" max="4141" width="3.7109375" style="125" customWidth="1"/>
    <col min="4142" max="4142" width="9.7109375" style="125" customWidth="1"/>
    <col min="4143" max="4144" width="3.7109375" style="125" customWidth="1"/>
    <col min="4145" max="4145" width="9.7109375" style="125" customWidth="1"/>
    <col min="4146" max="4147" width="3.7109375" style="125" customWidth="1"/>
    <col min="4148" max="4148" width="9.7109375" style="125" customWidth="1"/>
    <col min="4149" max="4150" width="3.7109375" style="125" customWidth="1"/>
    <col min="4151" max="4151" width="9.7109375" style="125" customWidth="1"/>
    <col min="4152" max="4153" width="3.7109375" style="125" customWidth="1"/>
    <col min="4154" max="4154" width="9.7109375" style="125" customWidth="1"/>
    <col min="4155" max="4156" width="3.7109375" style="125" customWidth="1"/>
    <col min="4157" max="4157" width="9.7109375" style="125" customWidth="1"/>
    <col min="4158" max="4159" width="3.7109375" style="125" customWidth="1"/>
    <col min="4160" max="4160" width="9.7109375" style="125" customWidth="1"/>
    <col min="4161" max="4162" width="3.7109375" style="125" customWidth="1"/>
    <col min="4163" max="4163" width="9.7109375" style="125" customWidth="1"/>
    <col min="4164" max="4165" width="3.7109375" style="125" customWidth="1"/>
    <col min="4166" max="4166" width="9.7109375" style="125" customWidth="1"/>
    <col min="4167" max="4168" width="3.7109375" style="125" customWidth="1"/>
    <col min="4169" max="4169" width="9.7109375" style="125" customWidth="1"/>
    <col min="4170" max="4171" width="3.7109375" style="125" customWidth="1"/>
    <col min="4172" max="4172" width="9.7109375" style="125" customWidth="1"/>
    <col min="4173" max="4174" width="3.7109375" style="125" customWidth="1"/>
    <col min="4175" max="4175" width="9.7109375" style="125" customWidth="1"/>
    <col min="4176" max="4177" width="3.7109375" style="125" customWidth="1"/>
    <col min="4178" max="4178" width="9.7109375" style="125" customWidth="1"/>
    <col min="4179" max="4180" width="3.7109375" style="125" customWidth="1"/>
    <col min="4181" max="4181" width="9.7109375" style="125" customWidth="1"/>
    <col min="4182" max="4183" width="3.7109375" style="125" customWidth="1"/>
    <col min="4184" max="4184" width="9.7109375" style="125" customWidth="1"/>
    <col min="4185" max="4186" width="3.7109375" style="125" customWidth="1"/>
    <col min="4187" max="4187" width="9.7109375" style="125" customWidth="1"/>
    <col min="4188" max="4189" width="3.7109375" style="125" customWidth="1"/>
    <col min="4190" max="4190" width="9.7109375" style="125" customWidth="1"/>
    <col min="4191" max="4192" width="3.7109375" style="125" customWidth="1"/>
    <col min="4193" max="4193" width="9.7109375" style="125" customWidth="1"/>
    <col min="4194" max="4195" width="3.7109375" style="125" customWidth="1"/>
    <col min="4196" max="4196" width="9.7109375" style="125" customWidth="1"/>
    <col min="4197" max="4198" width="3.7109375" style="125" customWidth="1"/>
    <col min="4199" max="4199" width="9.7109375" style="125" customWidth="1"/>
    <col min="4200" max="4201" width="3.7109375" style="125" customWidth="1"/>
    <col min="4202" max="4202" width="9.7109375" style="125" customWidth="1"/>
    <col min="4203" max="4204" width="3.7109375" style="125" customWidth="1"/>
    <col min="4205" max="4205" width="9.7109375" style="125" customWidth="1"/>
    <col min="4206" max="4206" width="3.7109375" style="125" customWidth="1"/>
    <col min="4207" max="4207" width="5.7109375" style="125" bestFit="1" customWidth="1"/>
    <col min="4208" max="4208" width="9.7109375" style="125" customWidth="1"/>
    <col min="4209" max="4210" width="3.7109375" style="125" customWidth="1"/>
    <col min="4211" max="4211" width="9.7109375" style="125" customWidth="1"/>
    <col min="4212" max="4213" width="3.7109375" style="125" customWidth="1"/>
    <col min="4214" max="4214" width="9.7109375" style="125" customWidth="1"/>
    <col min="4215" max="4216" width="3.7109375" style="125" customWidth="1"/>
    <col min="4217" max="4217" width="9.7109375" style="125" customWidth="1"/>
    <col min="4218" max="4219" width="3.7109375" style="125" customWidth="1"/>
    <col min="4220" max="4220" width="9.7109375" style="125" customWidth="1"/>
    <col min="4221" max="4222" width="3.7109375" style="125" customWidth="1"/>
    <col min="4223" max="4223" width="9.7109375" style="125" customWidth="1"/>
    <col min="4224" max="4225" width="3.7109375" style="125" customWidth="1"/>
    <col min="4226" max="4226" width="9.7109375" style="125" customWidth="1"/>
    <col min="4227" max="4228" width="3.7109375" style="125" customWidth="1"/>
    <col min="4229" max="4229" width="9.7109375" style="125" customWidth="1"/>
    <col min="4230" max="4230" width="3.7109375" style="125" customWidth="1"/>
    <col min="4231" max="4231" width="5.7109375" style="125" bestFit="1" customWidth="1"/>
    <col min="4232" max="4232" width="9.7109375" style="125" customWidth="1"/>
    <col min="4233" max="4234" width="3.7109375" style="125" customWidth="1"/>
    <col min="4235" max="4235" width="9.7109375" style="125" customWidth="1"/>
    <col min="4236" max="4237" width="3.7109375" style="125" customWidth="1"/>
    <col min="4238" max="4238" width="9.7109375" style="125" customWidth="1"/>
    <col min="4239" max="4240" width="3.7109375" style="125" customWidth="1"/>
    <col min="4241" max="4241" width="9.7109375" style="125" customWidth="1"/>
    <col min="4242" max="4243" width="3.7109375" style="125" customWidth="1"/>
    <col min="4244" max="4244" width="9.7109375" style="125" customWidth="1"/>
    <col min="4245" max="4246" width="3.7109375" style="125" customWidth="1"/>
    <col min="4247" max="4247" width="9.7109375" style="125" customWidth="1"/>
    <col min="4248" max="4249" width="3.7109375" style="125" customWidth="1"/>
    <col min="4250" max="4250" width="9.7109375" style="125" customWidth="1"/>
    <col min="4251" max="4252" width="3.7109375" style="125" customWidth="1"/>
    <col min="4253" max="4253" width="9.7109375" style="125" customWidth="1"/>
    <col min="4254" max="4255" width="3.7109375" style="125" customWidth="1"/>
    <col min="4256" max="4256" width="9.7109375" style="125" customWidth="1"/>
    <col min="4257" max="4258" width="3.7109375" style="125" customWidth="1"/>
    <col min="4259" max="4259" width="9.7109375" style="125" customWidth="1"/>
    <col min="4260" max="4261" width="3.7109375" style="125" customWidth="1"/>
    <col min="4262" max="4262" width="9.7109375" style="125" customWidth="1"/>
    <col min="4263" max="4264" width="3.7109375" style="125" customWidth="1"/>
    <col min="4265" max="4265" width="9.7109375" style="125" customWidth="1"/>
    <col min="4266" max="4267" width="3.7109375" style="125" customWidth="1"/>
    <col min="4268" max="4268" width="9.7109375" style="125" customWidth="1"/>
    <col min="4269" max="4270" width="3.7109375" style="125" customWidth="1"/>
    <col min="4271" max="4271" width="9.7109375" style="125" customWidth="1"/>
    <col min="4272" max="4273" width="3.7109375" style="125" customWidth="1"/>
    <col min="4274" max="4274" width="9.7109375" style="125" customWidth="1"/>
    <col min="4275" max="4276" width="3.7109375" style="125" customWidth="1"/>
    <col min="4277" max="4277" width="9.7109375" style="125" customWidth="1"/>
    <col min="4278" max="4279" width="3.7109375" style="125" customWidth="1"/>
    <col min="4280" max="4280" width="9.7109375" style="125" customWidth="1"/>
    <col min="4281" max="4282" width="3.7109375" style="125" customWidth="1"/>
    <col min="4283" max="4283" width="9.7109375" style="125" customWidth="1"/>
    <col min="4284" max="4285" width="3.7109375" style="125" customWidth="1"/>
    <col min="4286" max="4286" width="9.7109375" style="125" customWidth="1"/>
    <col min="4287" max="4288" width="3.7109375" style="125" customWidth="1"/>
    <col min="4289" max="4289" width="9.7109375" style="125" customWidth="1"/>
    <col min="4290" max="4291" width="3.7109375" style="125" customWidth="1"/>
    <col min="4292" max="4292" width="9.7109375" style="125" customWidth="1"/>
    <col min="4293" max="4294" width="3.7109375" style="125" customWidth="1"/>
    <col min="4295" max="4295" width="9.7109375" style="125" customWidth="1"/>
    <col min="4296" max="4297" width="3.7109375" style="125" customWidth="1"/>
    <col min="4298" max="4298" width="9.7109375" style="125" customWidth="1"/>
    <col min="4299" max="4300" width="3.7109375" style="125" customWidth="1"/>
    <col min="4301" max="4301" width="9.7109375" style="125" customWidth="1"/>
    <col min="4302" max="4303" width="3.7109375" style="125" customWidth="1"/>
    <col min="4304" max="4304" width="9.7109375" style="125" customWidth="1"/>
    <col min="4305" max="4306" width="3.7109375" style="125" customWidth="1"/>
    <col min="4307" max="4307" width="9.7109375" style="125" customWidth="1"/>
    <col min="4308" max="4309" width="3.7109375" style="125" customWidth="1"/>
    <col min="4310" max="4310" width="9.7109375" style="125" customWidth="1"/>
    <col min="4311" max="4312" width="3.7109375" style="125" customWidth="1"/>
    <col min="4313" max="4313" width="9.7109375" style="125" customWidth="1"/>
    <col min="4314" max="4315" width="3.7109375" style="125" customWidth="1"/>
    <col min="4316" max="4316" width="9.7109375" style="125" customWidth="1"/>
    <col min="4317" max="4318" width="3.7109375" style="125" customWidth="1"/>
    <col min="4319" max="4319" width="9.7109375" style="125" customWidth="1"/>
    <col min="4320" max="4321" width="3.7109375" style="125" customWidth="1"/>
    <col min="4322" max="4322" width="9.7109375" style="125" customWidth="1"/>
    <col min="4323" max="4324" width="3.7109375" style="125" customWidth="1"/>
    <col min="4325" max="4325" width="9.7109375" style="125" customWidth="1"/>
    <col min="4326" max="4327" width="3.7109375" style="125" customWidth="1"/>
    <col min="4328" max="4328" width="9.7109375" style="125" customWidth="1"/>
    <col min="4329" max="4330" width="3.7109375" style="125" customWidth="1"/>
    <col min="4331" max="4331" width="9.7109375" style="125" customWidth="1"/>
    <col min="4332" max="4333" width="3.7109375" style="125" customWidth="1"/>
    <col min="4334" max="4334" width="9.7109375" style="125" customWidth="1"/>
    <col min="4335" max="4336" width="3.7109375" style="125" customWidth="1"/>
    <col min="4337" max="4337" width="9.7109375" style="125" customWidth="1"/>
    <col min="4338" max="4339" width="3.7109375" style="125" customWidth="1"/>
    <col min="4340" max="4340" width="9.7109375" style="125" customWidth="1"/>
    <col min="4341" max="4342" width="3.7109375" style="125" customWidth="1"/>
    <col min="4343" max="4343" width="9.7109375" style="125" customWidth="1"/>
    <col min="4344" max="4345" width="3.7109375" style="125" customWidth="1"/>
    <col min="4346" max="4346" width="9.7109375" style="125" customWidth="1"/>
    <col min="4347" max="4348" width="3.7109375" style="125" customWidth="1"/>
    <col min="4349" max="4349" width="9.7109375" style="125" customWidth="1"/>
    <col min="4350" max="4350" width="3.7109375" style="125" customWidth="1"/>
    <col min="4351" max="4352" width="8" style="125"/>
    <col min="4353" max="4353" width="30.7109375" style="125" customWidth="1"/>
    <col min="4354" max="4354" width="9.7109375" style="125" customWidth="1"/>
    <col min="4355" max="4355" width="3.7109375" style="125" customWidth="1"/>
    <col min="4356" max="4356" width="9.7109375" style="125" customWidth="1"/>
    <col min="4357" max="4358" width="3.7109375" style="125" customWidth="1"/>
    <col min="4359" max="4359" width="9.7109375" style="125" customWidth="1"/>
    <col min="4360" max="4361" width="3.7109375" style="125" customWidth="1"/>
    <col min="4362" max="4362" width="9.7109375" style="125" customWidth="1"/>
    <col min="4363" max="4364" width="3.7109375" style="125" customWidth="1"/>
    <col min="4365" max="4365" width="9.7109375" style="125" customWidth="1"/>
    <col min="4366" max="4367" width="3.7109375" style="125" customWidth="1"/>
    <col min="4368" max="4368" width="9.7109375" style="125" customWidth="1"/>
    <col min="4369" max="4370" width="3.7109375" style="125" customWidth="1"/>
    <col min="4371" max="4371" width="9.7109375" style="125" customWidth="1"/>
    <col min="4372" max="4373" width="3.7109375" style="125" customWidth="1"/>
    <col min="4374" max="4374" width="9.7109375" style="125" customWidth="1"/>
    <col min="4375" max="4376" width="3.7109375" style="125" customWidth="1"/>
    <col min="4377" max="4377" width="9.7109375" style="125" customWidth="1"/>
    <col min="4378" max="4379" width="3.7109375" style="125" customWidth="1"/>
    <col min="4380" max="4380" width="9.7109375" style="125" customWidth="1"/>
    <col min="4381" max="4382" width="3.7109375" style="125" customWidth="1"/>
    <col min="4383" max="4383" width="9.7109375" style="125" customWidth="1"/>
    <col min="4384" max="4385" width="3.7109375" style="125" customWidth="1"/>
    <col min="4386" max="4386" width="9.7109375" style="125" customWidth="1"/>
    <col min="4387" max="4388" width="3.7109375" style="125" customWidth="1"/>
    <col min="4389" max="4389" width="9.7109375" style="125" customWidth="1"/>
    <col min="4390" max="4391" width="3.7109375" style="125" customWidth="1"/>
    <col min="4392" max="4392" width="9.7109375" style="125" customWidth="1"/>
    <col min="4393" max="4394" width="3.7109375" style="125" customWidth="1"/>
    <col min="4395" max="4395" width="9.7109375" style="125" customWidth="1"/>
    <col min="4396" max="4397" width="3.7109375" style="125" customWidth="1"/>
    <col min="4398" max="4398" width="9.7109375" style="125" customWidth="1"/>
    <col min="4399" max="4400" width="3.7109375" style="125" customWidth="1"/>
    <col min="4401" max="4401" width="9.7109375" style="125" customWidth="1"/>
    <col min="4402" max="4403" width="3.7109375" style="125" customWidth="1"/>
    <col min="4404" max="4404" width="9.7109375" style="125" customWidth="1"/>
    <col min="4405" max="4406" width="3.7109375" style="125" customWidth="1"/>
    <col min="4407" max="4407" width="9.7109375" style="125" customWidth="1"/>
    <col min="4408" max="4409" width="3.7109375" style="125" customWidth="1"/>
    <col min="4410" max="4410" width="9.7109375" style="125" customWidth="1"/>
    <col min="4411" max="4412" width="3.7109375" style="125" customWidth="1"/>
    <col min="4413" max="4413" width="9.7109375" style="125" customWidth="1"/>
    <col min="4414" max="4415" width="3.7109375" style="125" customWidth="1"/>
    <col min="4416" max="4416" width="9.7109375" style="125" customWidth="1"/>
    <col min="4417" max="4418" width="3.7109375" style="125" customWidth="1"/>
    <col min="4419" max="4419" width="9.7109375" style="125" customWidth="1"/>
    <col min="4420" max="4421" width="3.7109375" style="125" customWidth="1"/>
    <col min="4422" max="4422" width="9.7109375" style="125" customWidth="1"/>
    <col min="4423" max="4424" width="3.7109375" style="125" customWidth="1"/>
    <col min="4425" max="4425" width="9.7109375" style="125" customWidth="1"/>
    <col min="4426" max="4427" width="3.7109375" style="125" customWidth="1"/>
    <col min="4428" max="4428" width="9.7109375" style="125" customWidth="1"/>
    <col min="4429" max="4430" width="3.7109375" style="125" customWidth="1"/>
    <col min="4431" max="4431" width="9.7109375" style="125" customWidth="1"/>
    <col min="4432" max="4433" width="3.7109375" style="125" customWidth="1"/>
    <col min="4434" max="4434" width="9.7109375" style="125" customWidth="1"/>
    <col min="4435" max="4436" width="3.7109375" style="125" customWidth="1"/>
    <col min="4437" max="4437" width="9.7109375" style="125" customWidth="1"/>
    <col min="4438" max="4439" width="3.7109375" style="125" customWidth="1"/>
    <col min="4440" max="4440" width="9.7109375" style="125" customWidth="1"/>
    <col min="4441" max="4442" width="3.7109375" style="125" customWidth="1"/>
    <col min="4443" max="4443" width="9.7109375" style="125" customWidth="1"/>
    <col min="4444" max="4445" width="3.7109375" style="125" customWidth="1"/>
    <col min="4446" max="4446" width="9.7109375" style="125" customWidth="1"/>
    <col min="4447" max="4448" width="3.7109375" style="125" customWidth="1"/>
    <col min="4449" max="4449" width="9.7109375" style="125" customWidth="1"/>
    <col min="4450" max="4451" width="3.7109375" style="125" customWidth="1"/>
    <col min="4452" max="4452" width="9.7109375" style="125" customWidth="1"/>
    <col min="4453" max="4454" width="3.7109375" style="125" customWidth="1"/>
    <col min="4455" max="4455" width="9.7109375" style="125" customWidth="1"/>
    <col min="4456" max="4457" width="3.7109375" style="125" customWidth="1"/>
    <col min="4458" max="4458" width="9.7109375" style="125" customWidth="1"/>
    <col min="4459" max="4460" width="3.7109375" style="125" customWidth="1"/>
    <col min="4461" max="4461" width="9.7109375" style="125" customWidth="1"/>
    <col min="4462" max="4462" width="3.7109375" style="125" customWidth="1"/>
    <col min="4463" max="4463" width="5.7109375" style="125" bestFit="1" customWidth="1"/>
    <col min="4464" max="4464" width="9.7109375" style="125" customWidth="1"/>
    <col min="4465" max="4466" width="3.7109375" style="125" customWidth="1"/>
    <col min="4467" max="4467" width="9.7109375" style="125" customWidth="1"/>
    <col min="4468" max="4469" width="3.7109375" style="125" customWidth="1"/>
    <col min="4470" max="4470" width="9.7109375" style="125" customWidth="1"/>
    <col min="4471" max="4472" width="3.7109375" style="125" customWidth="1"/>
    <col min="4473" max="4473" width="9.7109375" style="125" customWidth="1"/>
    <col min="4474" max="4475" width="3.7109375" style="125" customWidth="1"/>
    <col min="4476" max="4476" width="9.7109375" style="125" customWidth="1"/>
    <col min="4477" max="4478" width="3.7109375" style="125" customWidth="1"/>
    <col min="4479" max="4479" width="9.7109375" style="125" customWidth="1"/>
    <col min="4480" max="4481" width="3.7109375" style="125" customWidth="1"/>
    <col min="4482" max="4482" width="9.7109375" style="125" customWidth="1"/>
    <col min="4483" max="4484" width="3.7109375" style="125" customWidth="1"/>
    <col min="4485" max="4485" width="9.7109375" style="125" customWidth="1"/>
    <col min="4486" max="4486" width="3.7109375" style="125" customWidth="1"/>
    <col min="4487" max="4487" width="5.7109375" style="125" bestFit="1" customWidth="1"/>
    <col min="4488" max="4488" width="9.7109375" style="125" customWidth="1"/>
    <col min="4489" max="4490" width="3.7109375" style="125" customWidth="1"/>
    <col min="4491" max="4491" width="9.7109375" style="125" customWidth="1"/>
    <col min="4492" max="4493" width="3.7109375" style="125" customWidth="1"/>
    <col min="4494" max="4494" width="9.7109375" style="125" customWidth="1"/>
    <col min="4495" max="4496" width="3.7109375" style="125" customWidth="1"/>
    <col min="4497" max="4497" width="9.7109375" style="125" customWidth="1"/>
    <col min="4498" max="4499" width="3.7109375" style="125" customWidth="1"/>
    <col min="4500" max="4500" width="9.7109375" style="125" customWidth="1"/>
    <col min="4501" max="4502" width="3.7109375" style="125" customWidth="1"/>
    <col min="4503" max="4503" width="9.7109375" style="125" customWidth="1"/>
    <col min="4504" max="4505" width="3.7109375" style="125" customWidth="1"/>
    <col min="4506" max="4506" width="9.7109375" style="125" customWidth="1"/>
    <col min="4507" max="4508" width="3.7109375" style="125" customWidth="1"/>
    <col min="4509" max="4509" width="9.7109375" style="125" customWidth="1"/>
    <col min="4510" max="4511" width="3.7109375" style="125" customWidth="1"/>
    <col min="4512" max="4512" width="9.7109375" style="125" customWidth="1"/>
    <col min="4513" max="4514" width="3.7109375" style="125" customWidth="1"/>
    <col min="4515" max="4515" width="9.7109375" style="125" customWidth="1"/>
    <col min="4516" max="4517" width="3.7109375" style="125" customWidth="1"/>
    <col min="4518" max="4518" width="9.7109375" style="125" customWidth="1"/>
    <col min="4519" max="4520" width="3.7109375" style="125" customWidth="1"/>
    <col min="4521" max="4521" width="9.7109375" style="125" customWidth="1"/>
    <col min="4522" max="4523" width="3.7109375" style="125" customWidth="1"/>
    <col min="4524" max="4524" width="9.7109375" style="125" customWidth="1"/>
    <col min="4525" max="4526" width="3.7109375" style="125" customWidth="1"/>
    <col min="4527" max="4527" width="9.7109375" style="125" customWidth="1"/>
    <col min="4528" max="4529" width="3.7109375" style="125" customWidth="1"/>
    <col min="4530" max="4530" width="9.7109375" style="125" customWidth="1"/>
    <col min="4531" max="4532" width="3.7109375" style="125" customWidth="1"/>
    <col min="4533" max="4533" width="9.7109375" style="125" customWidth="1"/>
    <col min="4534" max="4535" width="3.7109375" style="125" customWidth="1"/>
    <col min="4536" max="4536" width="9.7109375" style="125" customWidth="1"/>
    <col min="4537" max="4538" width="3.7109375" style="125" customWidth="1"/>
    <col min="4539" max="4539" width="9.7109375" style="125" customWidth="1"/>
    <col min="4540" max="4541" width="3.7109375" style="125" customWidth="1"/>
    <col min="4542" max="4542" width="9.7109375" style="125" customWidth="1"/>
    <col min="4543" max="4544" width="3.7109375" style="125" customWidth="1"/>
    <col min="4545" max="4545" width="9.7109375" style="125" customWidth="1"/>
    <col min="4546" max="4547" width="3.7109375" style="125" customWidth="1"/>
    <col min="4548" max="4548" width="9.7109375" style="125" customWidth="1"/>
    <col min="4549" max="4550" width="3.7109375" style="125" customWidth="1"/>
    <col min="4551" max="4551" width="9.7109375" style="125" customWidth="1"/>
    <col min="4552" max="4553" width="3.7109375" style="125" customWidth="1"/>
    <col min="4554" max="4554" width="9.7109375" style="125" customWidth="1"/>
    <col min="4555" max="4556" width="3.7109375" style="125" customWidth="1"/>
    <col min="4557" max="4557" width="9.7109375" style="125" customWidth="1"/>
    <col min="4558" max="4559" width="3.7109375" style="125" customWidth="1"/>
    <col min="4560" max="4560" width="9.7109375" style="125" customWidth="1"/>
    <col min="4561" max="4562" width="3.7109375" style="125" customWidth="1"/>
    <col min="4563" max="4563" width="9.7109375" style="125" customWidth="1"/>
    <col min="4564" max="4565" width="3.7109375" style="125" customWidth="1"/>
    <col min="4566" max="4566" width="9.7109375" style="125" customWidth="1"/>
    <col min="4567" max="4568" width="3.7109375" style="125" customWidth="1"/>
    <col min="4569" max="4569" width="9.7109375" style="125" customWidth="1"/>
    <col min="4570" max="4571" width="3.7109375" style="125" customWidth="1"/>
    <col min="4572" max="4572" width="9.7109375" style="125" customWidth="1"/>
    <col min="4573" max="4574" width="3.7109375" style="125" customWidth="1"/>
    <col min="4575" max="4575" width="9.7109375" style="125" customWidth="1"/>
    <col min="4576" max="4577" width="3.7109375" style="125" customWidth="1"/>
    <col min="4578" max="4578" width="9.7109375" style="125" customWidth="1"/>
    <col min="4579" max="4580" width="3.7109375" style="125" customWidth="1"/>
    <col min="4581" max="4581" width="9.7109375" style="125" customWidth="1"/>
    <col min="4582" max="4583" width="3.7109375" style="125" customWidth="1"/>
    <col min="4584" max="4584" width="9.7109375" style="125" customWidth="1"/>
    <col min="4585" max="4586" width="3.7109375" style="125" customWidth="1"/>
    <col min="4587" max="4587" width="9.7109375" style="125" customWidth="1"/>
    <col min="4588" max="4589" width="3.7109375" style="125" customWidth="1"/>
    <col min="4590" max="4590" width="9.7109375" style="125" customWidth="1"/>
    <col min="4591" max="4592" width="3.7109375" style="125" customWidth="1"/>
    <col min="4593" max="4593" width="9.7109375" style="125" customWidth="1"/>
    <col min="4594" max="4595" width="3.7109375" style="125" customWidth="1"/>
    <col min="4596" max="4596" width="9.7109375" style="125" customWidth="1"/>
    <col min="4597" max="4598" width="3.7109375" style="125" customWidth="1"/>
    <col min="4599" max="4599" width="9.7109375" style="125" customWidth="1"/>
    <col min="4600" max="4601" width="3.7109375" style="125" customWidth="1"/>
    <col min="4602" max="4602" width="9.7109375" style="125" customWidth="1"/>
    <col min="4603" max="4604" width="3.7109375" style="125" customWidth="1"/>
    <col min="4605" max="4605" width="9.7109375" style="125" customWidth="1"/>
    <col min="4606" max="4606" width="3.7109375" style="125" customWidth="1"/>
    <col min="4607" max="4608" width="8" style="125"/>
    <col min="4609" max="4609" width="30.7109375" style="125" customWidth="1"/>
    <col min="4610" max="4610" width="9.7109375" style="125" customWidth="1"/>
    <col min="4611" max="4611" width="3.7109375" style="125" customWidth="1"/>
    <col min="4612" max="4612" width="9.7109375" style="125" customWidth="1"/>
    <col min="4613" max="4614" width="3.7109375" style="125" customWidth="1"/>
    <col min="4615" max="4615" width="9.7109375" style="125" customWidth="1"/>
    <col min="4616" max="4617" width="3.7109375" style="125" customWidth="1"/>
    <col min="4618" max="4618" width="9.7109375" style="125" customWidth="1"/>
    <col min="4619" max="4620" width="3.7109375" style="125" customWidth="1"/>
    <col min="4621" max="4621" width="9.7109375" style="125" customWidth="1"/>
    <col min="4622" max="4623" width="3.7109375" style="125" customWidth="1"/>
    <col min="4624" max="4624" width="9.7109375" style="125" customWidth="1"/>
    <col min="4625" max="4626" width="3.7109375" style="125" customWidth="1"/>
    <col min="4627" max="4627" width="9.7109375" style="125" customWidth="1"/>
    <col min="4628" max="4629" width="3.7109375" style="125" customWidth="1"/>
    <col min="4630" max="4630" width="9.7109375" style="125" customWidth="1"/>
    <col min="4631" max="4632" width="3.7109375" style="125" customWidth="1"/>
    <col min="4633" max="4633" width="9.7109375" style="125" customWidth="1"/>
    <col min="4634" max="4635" width="3.7109375" style="125" customWidth="1"/>
    <col min="4636" max="4636" width="9.7109375" style="125" customWidth="1"/>
    <col min="4637" max="4638" width="3.7109375" style="125" customWidth="1"/>
    <col min="4639" max="4639" width="9.7109375" style="125" customWidth="1"/>
    <col min="4640" max="4641" width="3.7109375" style="125" customWidth="1"/>
    <col min="4642" max="4642" width="9.7109375" style="125" customWidth="1"/>
    <col min="4643" max="4644" width="3.7109375" style="125" customWidth="1"/>
    <col min="4645" max="4645" width="9.7109375" style="125" customWidth="1"/>
    <col min="4646" max="4647" width="3.7109375" style="125" customWidth="1"/>
    <col min="4648" max="4648" width="9.7109375" style="125" customWidth="1"/>
    <col min="4649" max="4650" width="3.7109375" style="125" customWidth="1"/>
    <col min="4651" max="4651" width="9.7109375" style="125" customWidth="1"/>
    <col min="4652" max="4653" width="3.7109375" style="125" customWidth="1"/>
    <col min="4654" max="4654" width="9.7109375" style="125" customWidth="1"/>
    <col min="4655" max="4656" width="3.7109375" style="125" customWidth="1"/>
    <col min="4657" max="4657" width="9.7109375" style="125" customWidth="1"/>
    <col min="4658" max="4659" width="3.7109375" style="125" customWidth="1"/>
    <col min="4660" max="4660" width="9.7109375" style="125" customWidth="1"/>
    <col min="4661" max="4662" width="3.7109375" style="125" customWidth="1"/>
    <col min="4663" max="4663" width="9.7109375" style="125" customWidth="1"/>
    <col min="4664" max="4665" width="3.7109375" style="125" customWidth="1"/>
    <col min="4666" max="4666" width="9.7109375" style="125" customWidth="1"/>
    <col min="4667" max="4668" width="3.7109375" style="125" customWidth="1"/>
    <col min="4669" max="4669" width="9.7109375" style="125" customWidth="1"/>
    <col min="4670" max="4671" width="3.7109375" style="125" customWidth="1"/>
    <col min="4672" max="4672" width="9.7109375" style="125" customWidth="1"/>
    <col min="4673" max="4674" width="3.7109375" style="125" customWidth="1"/>
    <col min="4675" max="4675" width="9.7109375" style="125" customWidth="1"/>
    <col min="4676" max="4677" width="3.7109375" style="125" customWidth="1"/>
    <col min="4678" max="4678" width="9.7109375" style="125" customWidth="1"/>
    <col min="4679" max="4680" width="3.7109375" style="125" customWidth="1"/>
    <col min="4681" max="4681" width="9.7109375" style="125" customWidth="1"/>
    <col min="4682" max="4683" width="3.7109375" style="125" customWidth="1"/>
    <col min="4684" max="4684" width="9.7109375" style="125" customWidth="1"/>
    <col min="4685" max="4686" width="3.7109375" style="125" customWidth="1"/>
    <col min="4687" max="4687" width="9.7109375" style="125" customWidth="1"/>
    <col min="4688" max="4689" width="3.7109375" style="125" customWidth="1"/>
    <col min="4690" max="4690" width="9.7109375" style="125" customWidth="1"/>
    <col min="4691" max="4692" width="3.7109375" style="125" customWidth="1"/>
    <col min="4693" max="4693" width="9.7109375" style="125" customWidth="1"/>
    <col min="4694" max="4695" width="3.7109375" style="125" customWidth="1"/>
    <col min="4696" max="4696" width="9.7109375" style="125" customWidth="1"/>
    <col min="4697" max="4698" width="3.7109375" style="125" customWidth="1"/>
    <col min="4699" max="4699" width="9.7109375" style="125" customWidth="1"/>
    <col min="4700" max="4701" width="3.7109375" style="125" customWidth="1"/>
    <col min="4702" max="4702" width="9.7109375" style="125" customWidth="1"/>
    <col min="4703" max="4704" width="3.7109375" style="125" customWidth="1"/>
    <col min="4705" max="4705" width="9.7109375" style="125" customWidth="1"/>
    <col min="4706" max="4707" width="3.7109375" style="125" customWidth="1"/>
    <col min="4708" max="4708" width="9.7109375" style="125" customWidth="1"/>
    <col min="4709" max="4710" width="3.7109375" style="125" customWidth="1"/>
    <col min="4711" max="4711" width="9.7109375" style="125" customWidth="1"/>
    <col min="4712" max="4713" width="3.7109375" style="125" customWidth="1"/>
    <col min="4714" max="4714" width="9.7109375" style="125" customWidth="1"/>
    <col min="4715" max="4716" width="3.7109375" style="125" customWidth="1"/>
    <col min="4717" max="4717" width="9.7109375" style="125" customWidth="1"/>
    <col min="4718" max="4718" width="3.7109375" style="125" customWidth="1"/>
    <col min="4719" max="4719" width="5.7109375" style="125" bestFit="1" customWidth="1"/>
    <col min="4720" max="4720" width="9.7109375" style="125" customWidth="1"/>
    <col min="4721" max="4722" width="3.7109375" style="125" customWidth="1"/>
    <col min="4723" max="4723" width="9.7109375" style="125" customWidth="1"/>
    <col min="4724" max="4725" width="3.7109375" style="125" customWidth="1"/>
    <col min="4726" max="4726" width="9.7109375" style="125" customWidth="1"/>
    <col min="4727" max="4728" width="3.7109375" style="125" customWidth="1"/>
    <col min="4729" max="4729" width="9.7109375" style="125" customWidth="1"/>
    <col min="4730" max="4731" width="3.7109375" style="125" customWidth="1"/>
    <col min="4732" max="4732" width="9.7109375" style="125" customWidth="1"/>
    <col min="4733" max="4734" width="3.7109375" style="125" customWidth="1"/>
    <col min="4735" max="4735" width="9.7109375" style="125" customWidth="1"/>
    <col min="4736" max="4737" width="3.7109375" style="125" customWidth="1"/>
    <col min="4738" max="4738" width="9.7109375" style="125" customWidth="1"/>
    <col min="4739" max="4740" width="3.7109375" style="125" customWidth="1"/>
    <col min="4741" max="4741" width="9.7109375" style="125" customWidth="1"/>
    <col min="4742" max="4742" width="3.7109375" style="125" customWidth="1"/>
    <col min="4743" max="4743" width="5.7109375" style="125" bestFit="1" customWidth="1"/>
    <col min="4744" max="4744" width="9.7109375" style="125" customWidth="1"/>
    <col min="4745" max="4746" width="3.7109375" style="125" customWidth="1"/>
    <col min="4747" max="4747" width="9.7109375" style="125" customWidth="1"/>
    <col min="4748" max="4749" width="3.7109375" style="125" customWidth="1"/>
    <col min="4750" max="4750" width="9.7109375" style="125" customWidth="1"/>
    <col min="4751" max="4752" width="3.7109375" style="125" customWidth="1"/>
    <col min="4753" max="4753" width="9.7109375" style="125" customWidth="1"/>
    <col min="4754" max="4755" width="3.7109375" style="125" customWidth="1"/>
    <col min="4756" max="4756" width="9.7109375" style="125" customWidth="1"/>
    <col min="4757" max="4758" width="3.7109375" style="125" customWidth="1"/>
    <col min="4759" max="4759" width="9.7109375" style="125" customWidth="1"/>
    <col min="4760" max="4761" width="3.7109375" style="125" customWidth="1"/>
    <col min="4762" max="4762" width="9.7109375" style="125" customWidth="1"/>
    <col min="4763" max="4764" width="3.7109375" style="125" customWidth="1"/>
    <col min="4765" max="4765" width="9.7109375" style="125" customWidth="1"/>
    <col min="4766" max="4767" width="3.7109375" style="125" customWidth="1"/>
    <col min="4768" max="4768" width="9.7109375" style="125" customWidth="1"/>
    <col min="4769" max="4770" width="3.7109375" style="125" customWidth="1"/>
    <col min="4771" max="4771" width="9.7109375" style="125" customWidth="1"/>
    <col min="4772" max="4773" width="3.7109375" style="125" customWidth="1"/>
    <col min="4774" max="4774" width="9.7109375" style="125" customWidth="1"/>
    <col min="4775" max="4776" width="3.7109375" style="125" customWidth="1"/>
    <col min="4777" max="4777" width="9.7109375" style="125" customWidth="1"/>
    <col min="4778" max="4779" width="3.7109375" style="125" customWidth="1"/>
    <col min="4780" max="4780" width="9.7109375" style="125" customWidth="1"/>
    <col min="4781" max="4782" width="3.7109375" style="125" customWidth="1"/>
    <col min="4783" max="4783" width="9.7109375" style="125" customWidth="1"/>
    <col min="4784" max="4785" width="3.7109375" style="125" customWidth="1"/>
    <col min="4786" max="4786" width="9.7109375" style="125" customWidth="1"/>
    <col min="4787" max="4788" width="3.7109375" style="125" customWidth="1"/>
    <col min="4789" max="4789" width="9.7109375" style="125" customWidth="1"/>
    <col min="4790" max="4791" width="3.7109375" style="125" customWidth="1"/>
    <col min="4792" max="4792" width="9.7109375" style="125" customWidth="1"/>
    <col min="4793" max="4794" width="3.7109375" style="125" customWidth="1"/>
    <col min="4795" max="4795" width="9.7109375" style="125" customWidth="1"/>
    <col min="4796" max="4797" width="3.7109375" style="125" customWidth="1"/>
    <col min="4798" max="4798" width="9.7109375" style="125" customWidth="1"/>
    <col min="4799" max="4800" width="3.7109375" style="125" customWidth="1"/>
    <col min="4801" max="4801" width="9.7109375" style="125" customWidth="1"/>
    <col min="4802" max="4803" width="3.7109375" style="125" customWidth="1"/>
    <col min="4804" max="4804" width="9.7109375" style="125" customWidth="1"/>
    <col min="4805" max="4806" width="3.7109375" style="125" customWidth="1"/>
    <col min="4807" max="4807" width="9.7109375" style="125" customWidth="1"/>
    <col min="4808" max="4809" width="3.7109375" style="125" customWidth="1"/>
    <col min="4810" max="4810" width="9.7109375" style="125" customWidth="1"/>
    <col min="4811" max="4812" width="3.7109375" style="125" customWidth="1"/>
    <col min="4813" max="4813" width="9.7109375" style="125" customWidth="1"/>
    <col min="4814" max="4815" width="3.7109375" style="125" customWidth="1"/>
    <col min="4816" max="4816" width="9.7109375" style="125" customWidth="1"/>
    <col min="4817" max="4818" width="3.7109375" style="125" customWidth="1"/>
    <col min="4819" max="4819" width="9.7109375" style="125" customWidth="1"/>
    <col min="4820" max="4821" width="3.7109375" style="125" customWidth="1"/>
    <col min="4822" max="4822" width="9.7109375" style="125" customWidth="1"/>
    <col min="4823" max="4824" width="3.7109375" style="125" customWidth="1"/>
    <col min="4825" max="4825" width="9.7109375" style="125" customWidth="1"/>
    <col min="4826" max="4827" width="3.7109375" style="125" customWidth="1"/>
    <col min="4828" max="4828" width="9.7109375" style="125" customWidth="1"/>
    <col min="4829" max="4830" width="3.7109375" style="125" customWidth="1"/>
    <col min="4831" max="4831" width="9.7109375" style="125" customWidth="1"/>
    <col min="4832" max="4833" width="3.7109375" style="125" customWidth="1"/>
    <col min="4834" max="4834" width="9.7109375" style="125" customWidth="1"/>
    <col min="4835" max="4836" width="3.7109375" style="125" customWidth="1"/>
    <col min="4837" max="4837" width="9.7109375" style="125" customWidth="1"/>
    <col min="4838" max="4839" width="3.7109375" style="125" customWidth="1"/>
    <col min="4840" max="4840" width="9.7109375" style="125" customWidth="1"/>
    <col min="4841" max="4842" width="3.7109375" style="125" customWidth="1"/>
    <col min="4843" max="4843" width="9.7109375" style="125" customWidth="1"/>
    <col min="4844" max="4845" width="3.7109375" style="125" customWidth="1"/>
    <col min="4846" max="4846" width="9.7109375" style="125" customWidth="1"/>
    <col min="4847" max="4848" width="3.7109375" style="125" customWidth="1"/>
    <col min="4849" max="4849" width="9.7109375" style="125" customWidth="1"/>
    <col min="4850" max="4851" width="3.7109375" style="125" customWidth="1"/>
    <col min="4852" max="4852" width="9.7109375" style="125" customWidth="1"/>
    <col min="4853" max="4854" width="3.7109375" style="125" customWidth="1"/>
    <col min="4855" max="4855" width="9.7109375" style="125" customWidth="1"/>
    <col min="4856" max="4857" width="3.7109375" style="125" customWidth="1"/>
    <col min="4858" max="4858" width="9.7109375" style="125" customWidth="1"/>
    <col min="4859" max="4860" width="3.7109375" style="125" customWidth="1"/>
    <col min="4861" max="4861" width="9.7109375" style="125" customWidth="1"/>
    <col min="4862" max="4862" width="3.7109375" style="125" customWidth="1"/>
    <col min="4863" max="4864" width="8" style="125"/>
    <col min="4865" max="4865" width="30.7109375" style="125" customWidth="1"/>
    <col min="4866" max="4866" width="9.7109375" style="125" customWidth="1"/>
    <col min="4867" max="4867" width="3.7109375" style="125" customWidth="1"/>
    <col min="4868" max="4868" width="9.7109375" style="125" customWidth="1"/>
    <col min="4869" max="4870" width="3.7109375" style="125" customWidth="1"/>
    <col min="4871" max="4871" width="9.7109375" style="125" customWidth="1"/>
    <col min="4872" max="4873" width="3.7109375" style="125" customWidth="1"/>
    <col min="4874" max="4874" width="9.7109375" style="125" customWidth="1"/>
    <col min="4875" max="4876" width="3.7109375" style="125" customWidth="1"/>
    <col min="4877" max="4877" width="9.7109375" style="125" customWidth="1"/>
    <col min="4878" max="4879" width="3.7109375" style="125" customWidth="1"/>
    <col min="4880" max="4880" width="9.7109375" style="125" customWidth="1"/>
    <col min="4881" max="4882" width="3.7109375" style="125" customWidth="1"/>
    <col min="4883" max="4883" width="9.7109375" style="125" customWidth="1"/>
    <col min="4884" max="4885" width="3.7109375" style="125" customWidth="1"/>
    <col min="4886" max="4886" width="9.7109375" style="125" customWidth="1"/>
    <col min="4887" max="4888" width="3.7109375" style="125" customWidth="1"/>
    <col min="4889" max="4889" width="9.7109375" style="125" customWidth="1"/>
    <col min="4890" max="4891" width="3.7109375" style="125" customWidth="1"/>
    <col min="4892" max="4892" width="9.7109375" style="125" customWidth="1"/>
    <col min="4893" max="4894" width="3.7109375" style="125" customWidth="1"/>
    <col min="4895" max="4895" width="9.7109375" style="125" customWidth="1"/>
    <col min="4896" max="4897" width="3.7109375" style="125" customWidth="1"/>
    <col min="4898" max="4898" width="9.7109375" style="125" customWidth="1"/>
    <col min="4899" max="4900" width="3.7109375" style="125" customWidth="1"/>
    <col min="4901" max="4901" width="9.7109375" style="125" customWidth="1"/>
    <col min="4902" max="4903" width="3.7109375" style="125" customWidth="1"/>
    <col min="4904" max="4904" width="9.7109375" style="125" customWidth="1"/>
    <col min="4905" max="4906" width="3.7109375" style="125" customWidth="1"/>
    <col min="4907" max="4907" width="9.7109375" style="125" customWidth="1"/>
    <col min="4908" max="4909" width="3.7109375" style="125" customWidth="1"/>
    <col min="4910" max="4910" width="9.7109375" style="125" customWidth="1"/>
    <col min="4911" max="4912" width="3.7109375" style="125" customWidth="1"/>
    <col min="4913" max="4913" width="9.7109375" style="125" customWidth="1"/>
    <col min="4914" max="4915" width="3.7109375" style="125" customWidth="1"/>
    <col min="4916" max="4916" width="9.7109375" style="125" customWidth="1"/>
    <col min="4917" max="4918" width="3.7109375" style="125" customWidth="1"/>
    <col min="4919" max="4919" width="9.7109375" style="125" customWidth="1"/>
    <col min="4920" max="4921" width="3.7109375" style="125" customWidth="1"/>
    <col min="4922" max="4922" width="9.7109375" style="125" customWidth="1"/>
    <col min="4923" max="4924" width="3.7109375" style="125" customWidth="1"/>
    <col min="4925" max="4925" width="9.7109375" style="125" customWidth="1"/>
    <col min="4926" max="4927" width="3.7109375" style="125" customWidth="1"/>
    <col min="4928" max="4928" width="9.7109375" style="125" customWidth="1"/>
    <col min="4929" max="4930" width="3.7109375" style="125" customWidth="1"/>
    <col min="4931" max="4931" width="9.7109375" style="125" customWidth="1"/>
    <col min="4932" max="4933" width="3.7109375" style="125" customWidth="1"/>
    <col min="4934" max="4934" width="9.7109375" style="125" customWidth="1"/>
    <col min="4935" max="4936" width="3.7109375" style="125" customWidth="1"/>
    <col min="4937" max="4937" width="9.7109375" style="125" customWidth="1"/>
    <col min="4938" max="4939" width="3.7109375" style="125" customWidth="1"/>
    <col min="4940" max="4940" width="9.7109375" style="125" customWidth="1"/>
    <col min="4941" max="4942" width="3.7109375" style="125" customWidth="1"/>
    <col min="4943" max="4943" width="9.7109375" style="125" customWidth="1"/>
    <col min="4944" max="4945" width="3.7109375" style="125" customWidth="1"/>
    <col min="4946" max="4946" width="9.7109375" style="125" customWidth="1"/>
    <col min="4947" max="4948" width="3.7109375" style="125" customWidth="1"/>
    <col min="4949" max="4949" width="9.7109375" style="125" customWidth="1"/>
    <col min="4950" max="4951" width="3.7109375" style="125" customWidth="1"/>
    <col min="4952" max="4952" width="9.7109375" style="125" customWidth="1"/>
    <col min="4953" max="4954" width="3.7109375" style="125" customWidth="1"/>
    <col min="4955" max="4955" width="9.7109375" style="125" customWidth="1"/>
    <col min="4956" max="4957" width="3.7109375" style="125" customWidth="1"/>
    <col min="4958" max="4958" width="9.7109375" style="125" customWidth="1"/>
    <col min="4959" max="4960" width="3.7109375" style="125" customWidth="1"/>
    <col min="4961" max="4961" width="9.7109375" style="125" customWidth="1"/>
    <col min="4962" max="4963" width="3.7109375" style="125" customWidth="1"/>
    <col min="4964" max="4964" width="9.7109375" style="125" customWidth="1"/>
    <col min="4965" max="4966" width="3.7109375" style="125" customWidth="1"/>
    <col min="4967" max="4967" width="9.7109375" style="125" customWidth="1"/>
    <col min="4968" max="4969" width="3.7109375" style="125" customWidth="1"/>
    <col min="4970" max="4970" width="9.7109375" style="125" customWidth="1"/>
    <col min="4971" max="4972" width="3.7109375" style="125" customWidth="1"/>
    <col min="4973" max="4973" width="9.7109375" style="125" customWidth="1"/>
    <col min="4974" max="4974" width="3.7109375" style="125" customWidth="1"/>
    <col min="4975" max="4975" width="5.7109375" style="125" bestFit="1" customWidth="1"/>
    <col min="4976" max="4976" width="9.7109375" style="125" customWidth="1"/>
    <col min="4977" max="4978" width="3.7109375" style="125" customWidth="1"/>
    <col min="4979" max="4979" width="9.7109375" style="125" customWidth="1"/>
    <col min="4980" max="4981" width="3.7109375" style="125" customWidth="1"/>
    <col min="4982" max="4982" width="9.7109375" style="125" customWidth="1"/>
    <col min="4983" max="4984" width="3.7109375" style="125" customWidth="1"/>
    <col min="4985" max="4985" width="9.7109375" style="125" customWidth="1"/>
    <col min="4986" max="4987" width="3.7109375" style="125" customWidth="1"/>
    <col min="4988" max="4988" width="9.7109375" style="125" customWidth="1"/>
    <col min="4989" max="4990" width="3.7109375" style="125" customWidth="1"/>
    <col min="4991" max="4991" width="9.7109375" style="125" customWidth="1"/>
    <col min="4992" max="4993" width="3.7109375" style="125" customWidth="1"/>
    <col min="4994" max="4994" width="9.7109375" style="125" customWidth="1"/>
    <col min="4995" max="4996" width="3.7109375" style="125" customWidth="1"/>
    <col min="4997" max="4997" width="9.7109375" style="125" customWidth="1"/>
    <col min="4998" max="4998" width="3.7109375" style="125" customWidth="1"/>
    <col min="4999" max="4999" width="5.7109375" style="125" bestFit="1" customWidth="1"/>
    <col min="5000" max="5000" width="9.7109375" style="125" customWidth="1"/>
    <col min="5001" max="5002" width="3.7109375" style="125" customWidth="1"/>
    <col min="5003" max="5003" width="9.7109375" style="125" customWidth="1"/>
    <col min="5004" max="5005" width="3.7109375" style="125" customWidth="1"/>
    <col min="5006" max="5006" width="9.7109375" style="125" customWidth="1"/>
    <col min="5007" max="5008" width="3.7109375" style="125" customWidth="1"/>
    <col min="5009" max="5009" width="9.7109375" style="125" customWidth="1"/>
    <col min="5010" max="5011" width="3.7109375" style="125" customWidth="1"/>
    <col min="5012" max="5012" width="9.7109375" style="125" customWidth="1"/>
    <col min="5013" max="5014" width="3.7109375" style="125" customWidth="1"/>
    <col min="5015" max="5015" width="9.7109375" style="125" customWidth="1"/>
    <col min="5016" max="5017" width="3.7109375" style="125" customWidth="1"/>
    <col min="5018" max="5018" width="9.7109375" style="125" customWidth="1"/>
    <col min="5019" max="5020" width="3.7109375" style="125" customWidth="1"/>
    <col min="5021" max="5021" width="9.7109375" style="125" customWidth="1"/>
    <col min="5022" max="5023" width="3.7109375" style="125" customWidth="1"/>
    <col min="5024" max="5024" width="9.7109375" style="125" customWidth="1"/>
    <col min="5025" max="5026" width="3.7109375" style="125" customWidth="1"/>
    <col min="5027" max="5027" width="9.7109375" style="125" customWidth="1"/>
    <col min="5028" max="5029" width="3.7109375" style="125" customWidth="1"/>
    <col min="5030" max="5030" width="9.7109375" style="125" customWidth="1"/>
    <col min="5031" max="5032" width="3.7109375" style="125" customWidth="1"/>
    <col min="5033" max="5033" width="9.7109375" style="125" customWidth="1"/>
    <col min="5034" max="5035" width="3.7109375" style="125" customWidth="1"/>
    <col min="5036" max="5036" width="9.7109375" style="125" customWidth="1"/>
    <col min="5037" max="5038" width="3.7109375" style="125" customWidth="1"/>
    <col min="5039" max="5039" width="9.7109375" style="125" customWidth="1"/>
    <col min="5040" max="5041" width="3.7109375" style="125" customWidth="1"/>
    <col min="5042" max="5042" width="9.7109375" style="125" customWidth="1"/>
    <col min="5043" max="5044" width="3.7109375" style="125" customWidth="1"/>
    <col min="5045" max="5045" width="9.7109375" style="125" customWidth="1"/>
    <col min="5046" max="5047" width="3.7109375" style="125" customWidth="1"/>
    <col min="5048" max="5048" width="9.7109375" style="125" customWidth="1"/>
    <col min="5049" max="5050" width="3.7109375" style="125" customWidth="1"/>
    <col min="5051" max="5051" width="9.7109375" style="125" customWidth="1"/>
    <col min="5052" max="5053" width="3.7109375" style="125" customWidth="1"/>
    <col min="5054" max="5054" width="9.7109375" style="125" customWidth="1"/>
    <col min="5055" max="5056" width="3.7109375" style="125" customWidth="1"/>
    <col min="5057" max="5057" width="9.7109375" style="125" customWidth="1"/>
    <col min="5058" max="5059" width="3.7109375" style="125" customWidth="1"/>
    <col min="5060" max="5060" width="9.7109375" style="125" customWidth="1"/>
    <col min="5061" max="5062" width="3.7109375" style="125" customWidth="1"/>
    <col min="5063" max="5063" width="9.7109375" style="125" customWidth="1"/>
    <col min="5064" max="5065" width="3.7109375" style="125" customWidth="1"/>
    <col min="5066" max="5066" width="9.7109375" style="125" customWidth="1"/>
    <col min="5067" max="5068" width="3.7109375" style="125" customWidth="1"/>
    <col min="5069" max="5069" width="9.7109375" style="125" customWidth="1"/>
    <col min="5070" max="5071" width="3.7109375" style="125" customWidth="1"/>
    <col min="5072" max="5072" width="9.7109375" style="125" customWidth="1"/>
    <col min="5073" max="5074" width="3.7109375" style="125" customWidth="1"/>
    <col min="5075" max="5075" width="9.7109375" style="125" customWidth="1"/>
    <col min="5076" max="5077" width="3.7109375" style="125" customWidth="1"/>
    <col min="5078" max="5078" width="9.7109375" style="125" customWidth="1"/>
    <col min="5079" max="5080" width="3.7109375" style="125" customWidth="1"/>
    <col min="5081" max="5081" width="9.7109375" style="125" customWidth="1"/>
    <col min="5082" max="5083" width="3.7109375" style="125" customWidth="1"/>
    <col min="5084" max="5084" width="9.7109375" style="125" customWidth="1"/>
    <col min="5085" max="5086" width="3.7109375" style="125" customWidth="1"/>
    <col min="5087" max="5087" width="9.7109375" style="125" customWidth="1"/>
    <col min="5088" max="5089" width="3.7109375" style="125" customWidth="1"/>
    <col min="5090" max="5090" width="9.7109375" style="125" customWidth="1"/>
    <col min="5091" max="5092" width="3.7109375" style="125" customWidth="1"/>
    <col min="5093" max="5093" width="9.7109375" style="125" customWidth="1"/>
    <col min="5094" max="5095" width="3.7109375" style="125" customWidth="1"/>
    <col min="5096" max="5096" width="9.7109375" style="125" customWidth="1"/>
    <col min="5097" max="5098" width="3.7109375" style="125" customWidth="1"/>
    <col min="5099" max="5099" width="9.7109375" style="125" customWidth="1"/>
    <col min="5100" max="5101" width="3.7109375" style="125" customWidth="1"/>
    <col min="5102" max="5102" width="9.7109375" style="125" customWidth="1"/>
    <col min="5103" max="5104" width="3.7109375" style="125" customWidth="1"/>
    <col min="5105" max="5105" width="9.7109375" style="125" customWidth="1"/>
    <col min="5106" max="5107" width="3.7109375" style="125" customWidth="1"/>
    <col min="5108" max="5108" width="9.7109375" style="125" customWidth="1"/>
    <col min="5109" max="5110" width="3.7109375" style="125" customWidth="1"/>
    <col min="5111" max="5111" width="9.7109375" style="125" customWidth="1"/>
    <col min="5112" max="5113" width="3.7109375" style="125" customWidth="1"/>
    <col min="5114" max="5114" width="9.7109375" style="125" customWidth="1"/>
    <col min="5115" max="5116" width="3.7109375" style="125" customWidth="1"/>
    <col min="5117" max="5117" width="9.7109375" style="125" customWidth="1"/>
    <col min="5118" max="5118" width="3.7109375" style="125" customWidth="1"/>
    <col min="5119" max="5120" width="8" style="125"/>
    <col min="5121" max="5121" width="30.7109375" style="125" customWidth="1"/>
    <col min="5122" max="5122" width="9.7109375" style="125" customWidth="1"/>
    <col min="5123" max="5123" width="3.7109375" style="125" customWidth="1"/>
    <col min="5124" max="5124" width="9.7109375" style="125" customWidth="1"/>
    <col min="5125" max="5126" width="3.7109375" style="125" customWidth="1"/>
    <col min="5127" max="5127" width="9.7109375" style="125" customWidth="1"/>
    <col min="5128" max="5129" width="3.7109375" style="125" customWidth="1"/>
    <col min="5130" max="5130" width="9.7109375" style="125" customWidth="1"/>
    <col min="5131" max="5132" width="3.7109375" style="125" customWidth="1"/>
    <col min="5133" max="5133" width="9.7109375" style="125" customWidth="1"/>
    <col min="5134" max="5135" width="3.7109375" style="125" customWidth="1"/>
    <col min="5136" max="5136" width="9.7109375" style="125" customWidth="1"/>
    <col min="5137" max="5138" width="3.7109375" style="125" customWidth="1"/>
    <col min="5139" max="5139" width="9.7109375" style="125" customWidth="1"/>
    <col min="5140" max="5141" width="3.7109375" style="125" customWidth="1"/>
    <col min="5142" max="5142" width="9.7109375" style="125" customWidth="1"/>
    <col min="5143" max="5144" width="3.7109375" style="125" customWidth="1"/>
    <col min="5145" max="5145" width="9.7109375" style="125" customWidth="1"/>
    <col min="5146" max="5147" width="3.7109375" style="125" customWidth="1"/>
    <col min="5148" max="5148" width="9.7109375" style="125" customWidth="1"/>
    <col min="5149" max="5150" width="3.7109375" style="125" customWidth="1"/>
    <col min="5151" max="5151" width="9.7109375" style="125" customWidth="1"/>
    <col min="5152" max="5153" width="3.7109375" style="125" customWidth="1"/>
    <col min="5154" max="5154" width="9.7109375" style="125" customWidth="1"/>
    <col min="5155" max="5156" width="3.7109375" style="125" customWidth="1"/>
    <col min="5157" max="5157" width="9.7109375" style="125" customWidth="1"/>
    <col min="5158" max="5159" width="3.7109375" style="125" customWidth="1"/>
    <col min="5160" max="5160" width="9.7109375" style="125" customWidth="1"/>
    <col min="5161" max="5162" width="3.7109375" style="125" customWidth="1"/>
    <col min="5163" max="5163" width="9.7109375" style="125" customWidth="1"/>
    <col min="5164" max="5165" width="3.7109375" style="125" customWidth="1"/>
    <col min="5166" max="5166" width="9.7109375" style="125" customWidth="1"/>
    <col min="5167" max="5168" width="3.7109375" style="125" customWidth="1"/>
    <col min="5169" max="5169" width="9.7109375" style="125" customWidth="1"/>
    <col min="5170" max="5171" width="3.7109375" style="125" customWidth="1"/>
    <col min="5172" max="5172" width="9.7109375" style="125" customWidth="1"/>
    <col min="5173" max="5174" width="3.7109375" style="125" customWidth="1"/>
    <col min="5175" max="5175" width="9.7109375" style="125" customWidth="1"/>
    <col min="5176" max="5177" width="3.7109375" style="125" customWidth="1"/>
    <col min="5178" max="5178" width="9.7109375" style="125" customWidth="1"/>
    <col min="5179" max="5180" width="3.7109375" style="125" customWidth="1"/>
    <col min="5181" max="5181" width="9.7109375" style="125" customWidth="1"/>
    <col min="5182" max="5183" width="3.7109375" style="125" customWidth="1"/>
    <col min="5184" max="5184" width="9.7109375" style="125" customWidth="1"/>
    <col min="5185" max="5186" width="3.7109375" style="125" customWidth="1"/>
    <col min="5187" max="5187" width="9.7109375" style="125" customWidth="1"/>
    <col min="5188" max="5189" width="3.7109375" style="125" customWidth="1"/>
    <col min="5190" max="5190" width="9.7109375" style="125" customWidth="1"/>
    <col min="5191" max="5192" width="3.7109375" style="125" customWidth="1"/>
    <col min="5193" max="5193" width="9.7109375" style="125" customWidth="1"/>
    <col min="5194" max="5195" width="3.7109375" style="125" customWidth="1"/>
    <col min="5196" max="5196" width="9.7109375" style="125" customWidth="1"/>
    <col min="5197" max="5198" width="3.7109375" style="125" customWidth="1"/>
    <col min="5199" max="5199" width="9.7109375" style="125" customWidth="1"/>
    <col min="5200" max="5201" width="3.7109375" style="125" customWidth="1"/>
    <col min="5202" max="5202" width="9.7109375" style="125" customWidth="1"/>
    <col min="5203" max="5204" width="3.7109375" style="125" customWidth="1"/>
    <col min="5205" max="5205" width="9.7109375" style="125" customWidth="1"/>
    <col min="5206" max="5207" width="3.7109375" style="125" customWidth="1"/>
    <col min="5208" max="5208" width="9.7109375" style="125" customWidth="1"/>
    <col min="5209" max="5210" width="3.7109375" style="125" customWidth="1"/>
    <col min="5211" max="5211" width="9.7109375" style="125" customWidth="1"/>
    <col min="5212" max="5213" width="3.7109375" style="125" customWidth="1"/>
    <col min="5214" max="5214" width="9.7109375" style="125" customWidth="1"/>
    <col min="5215" max="5216" width="3.7109375" style="125" customWidth="1"/>
    <col min="5217" max="5217" width="9.7109375" style="125" customWidth="1"/>
    <col min="5218" max="5219" width="3.7109375" style="125" customWidth="1"/>
    <col min="5220" max="5220" width="9.7109375" style="125" customWidth="1"/>
    <col min="5221" max="5222" width="3.7109375" style="125" customWidth="1"/>
    <col min="5223" max="5223" width="9.7109375" style="125" customWidth="1"/>
    <col min="5224" max="5225" width="3.7109375" style="125" customWidth="1"/>
    <col min="5226" max="5226" width="9.7109375" style="125" customWidth="1"/>
    <col min="5227" max="5228" width="3.7109375" style="125" customWidth="1"/>
    <col min="5229" max="5229" width="9.7109375" style="125" customWidth="1"/>
    <col min="5230" max="5230" width="3.7109375" style="125" customWidth="1"/>
    <col min="5231" max="5231" width="5.7109375" style="125" bestFit="1" customWidth="1"/>
    <col min="5232" max="5232" width="9.7109375" style="125" customWidth="1"/>
    <col min="5233" max="5234" width="3.7109375" style="125" customWidth="1"/>
    <col min="5235" max="5235" width="9.7109375" style="125" customWidth="1"/>
    <col min="5236" max="5237" width="3.7109375" style="125" customWidth="1"/>
    <col min="5238" max="5238" width="9.7109375" style="125" customWidth="1"/>
    <col min="5239" max="5240" width="3.7109375" style="125" customWidth="1"/>
    <col min="5241" max="5241" width="9.7109375" style="125" customWidth="1"/>
    <col min="5242" max="5243" width="3.7109375" style="125" customWidth="1"/>
    <col min="5244" max="5244" width="9.7109375" style="125" customWidth="1"/>
    <col min="5245" max="5246" width="3.7109375" style="125" customWidth="1"/>
    <col min="5247" max="5247" width="9.7109375" style="125" customWidth="1"/>
    <col min="5248" max="5249" width="3.7109375" style="125" customWidth="1"/>
    <col min="5250" max="5250" width="9.7109375" style="125" customWidth="1"/>
    <col min="5251" max="5252" width="3.7109375" style="125" customWidth="1"/>
    <col min="5253" max="5253" width="9.7109375" style="125" customWidth="1"/>
    <col min="5254" max="5254" width="3.7109375" style="125" customWidth="1"/>
    <col min="5255" max="5255" width="5.7109375" style="125" bestFit="1" customWidth="1"/>
    <col min="5256" max="5256" width="9.7109375" style="125" customWidth="1"/>
    <col min="5257" max="5258" width="3.7109375" style="125" customWidth="1"/>
    <col min="5259" max="5259" width="9.7109375" style="125" customWidth="1"/>
    <col min="5260" max="5261" width="3.7109375" style="125" customWidth="1"/>
    <col min="5262" max="5262" width="9.7109375" style="125" customWidth="1"/>
    <col min="5263" max="5264" width="3.7109375" style="125" customWidth="1"/>
    <col min="5265" max="5265" width="9.7109375" style="125" customWidth="1"/>
    <col min="5266" max="5267" width="3.7109375" style="125" customWidth="1"/>
    <col min="5268" max="5268" width="9.7109375" style="125" customWidth="1"/>
    <col min="5269" max="5270" width="3.7109375" style="125" customWidth="1"/>
    <col min="5271" max="5271" width="9.7109375" style="125" customWidth="1"/>
    <col min="5272" max="5273" width="3.7109375" style="125" customWidth="1"/>
    <col min="5274" max="5274" width="9.7109375" style="125" customWidth="1"/>
    <col min="5275" max="5276" width="3.7109375" style="125" customWidth="1"/>
    <col min="5277" max="5277" width="9.7109375" style="125" customWidth="1"/>
    <col min="5278" max="5279" width="3.7109375" style="125" customWidth="1"/>
    <col min="5280" max="5280" width="9.7109375" style="125" customWidth="1"/>
    <col min="5281" max="5282" width="3.7109375" style="125" customWidth="1"/>
    <col min="5283" max="5283" width="9.7109375" style="125" customWidth="1"/>
    <col min="5284" max="5285" width="3.7109375" style="125" customWidth="1"/>
    <col min="5286" max="5286" width="9.7109375" style="125" customWidth="1"/>
    <col min="5287" max="5288" width="3.7109375" style="125" customWidth="1"/>
    <col min="5289" max="5289" width="9.7109375" style="125" customWidth="1"/>
    <col min="5290" max="5291" width="3.7109375" style="125" customWidth="1"/>
    <col min="5292" max="5292" width="9.7109375" style="125" customWidth="1"/>
    <col min="5293" max="5294" width="3.7109375" style="125" customWidth="1"/>
    <col min="5295" max="5295" width="9.7109375" style="125" customWidth="1"/>
    <col min="5296" max="5297" width="3.7109375" style="125" customWidth="1"/>
    <col min="5298" max="5298" width="9.7109375" style="125" customWidth="1"/>
    <col min="5299" max="5300" width="3.7109375" style="125" customWidth="1"/>
    <col min="5301" max="5301" width="9.7109375" style="125" customWidth="1"/>
    <col min="5302" max="5303" width="3.7109375" style="125" customWidth="1"/>
    <col min="5304" max="5304" width="9.7109375" style="125" customWidth="1"/>
    <col min="5305" max="5306" width="3.7109375" style="125" customWidth="1"/>
    <col min="5307" max="5307" width="9.7109375" style="125" customWidth="1"/>
    <col min="5308" max="5309" width="3.7109375" style="125" customWidth="1"/>
    <col min="5310" max="5310" width="9.7109375" style="125" customWidth="1"/>
    <col min="5311" max="5312" width="3.7109375" style="125" customWidth="1"/>
    <col min="5313" max="5313" width="9.7109375" style="125" customWidth="1"/>
    <col min="5314" max="5315" width="3.7109375" style="125" customWidth="1"/>
    <col min="5316" max="5316" width="9.7109375" style="125" customWidth="1"/>
    <col min="5317" max="5318" width="3.7109375" style="125" customWidth="1"/>
    <col min="5319" max="5319" width="9.7109375" style="125" customWidth="1"/>
    <col min="5320" max="5321" width="3.7109375" style="125" customWidth="1"/>
    <col min="5322" max="5322" width="9.7109375" style="125" customWidth="1"/>
    <col min="5323" max="5324" width="3.7109375" style="125" customWidth="1"/>
    <col min="5325" max="5325" width="9.7109375" style="125" customWidth="1"/>
    <col min="5326" max="5327" width="3.7109375" style="125" customWidth="1"/>
    <col min="5328" max="5328" width="9.7109375" style="125" customWidth="1"/>
    <col min="5329" max="5330" width="3.7109375" style="125" customWidth="1"/>
    <col min="5331" max="5331" width="9.7109375" style="125" customWidth="1"/>
    <col min="5332" max="5333" width="3.7109375" style="125" customWidth="1"/>
    <col min="5334" max="5334" width="9.7109375" style="125" customWidth="1"/>
    <col min="5335" max="5336" width="3.7109375" style="125" customWidth="1"/>
    <col min="5337" max="5337" width="9.7109375" style="125" customWidth="1"/>
    <col min="5338" max="5339" width="3.7109375" style="125" customWidth="1"/>
    <col min="5340" max="5340" width="9.7109375" style="125" customWidth="1"/>
    <col min="5341" max="5342" width="3.7109375" style="125" customWidth="1"/>
    <col min="5343" max="5343" width="9.7109375" style="125" customWidth="1"/>
    <col min="5344" max="5345" width="3.7109375" style="125" customWidth="1"/>
    <col min="5346" max="5346" width="9.7109375" style="125" customWidth="1"/>
    <col min="5347" max="5348" width="3.7109375" style="125" customWidth="1"/>
    <col min="5349" max="5349" width="9.7109375" style="125" customWidth="1"/>
    <col min="5350" max="5351" width="3.7109375" style="125" customWidth="1"/>
    <col min="5352" max="5352" width="9.7109375" style="125" customWidth="1"/>
    <col min="5353" max="5354" width="3.7109375" style="125" customWidth="1"/>
    <col min="5355" max="5355" width="9.7109375" style="125" customWidth="1"/>
    <col min="5356" max="5357" width="3.7109375" style="125" customWidth="1"/>
    <col min="5358" max="5358" width="9.7109375" style="125" customWidth="1"/>
    <col min="5359" max="5360" width="3.7109375" style="125" customWidth="1"/>
    <col min="5361" max="5361" width="9.7109375" style="125" customWidth="1"/>
    <col min="5362" max="5363" width="3.7109375" style="125" customWidth="1"/>
    <col min="5364" max="5364" width="9.7109375" style="125" customWidth="1"/>
    <col min="5365" max="5366" width="3.7109375" style="125" customWidth="1"/>
    <col min="5367" max="5367" width="9.7109375" style="125" customWidth="1"/>
    <col min="5368" max="5369" width="3.7109375" style="125" customWidth="1"/>
    <col min="5370" max="5370" width="9.7109375" style="125" customWidth="1"/>
    <col min="5371" max="5372" width="3.7109375" style="125" customWidth="1"/>
    <col min="5373" max="5373" width="9.7109375" style="125" customWidth="1"/>
    <col min="5374" max="5374" width="3.7109375" style="125" customWidth="1"/>
    <col min="5375" max="5376" width="8" style="125"/>
    <col min="5377" max="5377" width="30.7109375" style="125" customWidth="1"/>
    <col min="5378" max="5378" width="9.7109375" style="125" customWidth="1"/>
    <col min="5379" max="5379" width="3.7109375" style="125" customWidth="1"/>
    <col min="5380" max="5380" width="9.7109375" style="125" customWidth="1"/>
    <col min="5381" max="5382" width="3.7109375" style="125" customWidth="1"/>
    <col min="5383" max="5383" width="9.7109375" style="125" customWidth="1"/>
    <col min="5384" max="5385" width="3.7109375" style="125" customWidth="1"/>
    <col min="5386" max="5386" width="9.7109375" style="125" customWidth="1"/>
    <col min="5387" max="5388" width="3.7109375" style="125" customWidth="1"/>
    <col min="5389" max="5389" width="9.7109375" style="125" customWidth="1"/>
    <col min="5390" max="5391" width="3.7109375" style="125" customWidth="1"/>
    <col min="5392" max="5392" width="9.7109375" style="125" customWidth="1"/>
    <col min="5393" max="5394" width="3.7109375" style="125" customWidth="1"/>
    <col min="5395" max="5395" width="9.7109375" style="125" customWidth="1"/>
    <col min="5396" max="5397" width="3.7109375" style="125" customWidth="1"/>
    <col min="5398" max="5398" width="9.7109375" style="125" customWidth="1"/>
    <col min="5399" max="5400" width="3.7109375" style="125" customWidth="1"/>
    <col min="5401" max="5401" width="9.7109375" style="125" customWidth="1"/>
    <col min="5402" max="5403" width="3.7109375" style="125" customWidth="1"/>
    <col min="5404" max="5404" width="9.7109375" style="125" customWidth="1"/>
    <col min="5405" max="5406" width="3.7109375" style="125" customWidth="1"/>
    <col min="5407" max="5407" width="9.7109375" style="125" customWidth="1"/>
    <col min="5408" max="5409" width="3.7109375" style="125" customWidth="1"/>
    <col min="5410" max="5410" width="9.7109375" style="125" customWidth="1"/>
    <col min="5411" max="5412" width="3.7109375" style="125" customWidth="1"/>
    <col min="5413" max="5413" width="9.7109375" style="125" customWidth="1"/>
    <col min="5414" max="5415" width="3.7109375" style="125" customWidth="1"/>
    <col min="5416" max="5416" width="9.7109375" style="125" customWidth="1"/>
    <col min="5417" max="5418" width="3.7109375" style="125" customWidth="1"/>
    <col min="5419" max="5419" width="9.7109375" style="125" customWidth="1"/>
    <col min="5420" max="5421" width="3.7109375" style="125" customWidth="1"/>
    <col min="5422" max="5422" width="9.7109375" style="125" customWidth="1"/>
    <col min="5423" max="5424" width="3.7109375" style="125" customWidth="1"/>
    <col min="5425" max="5425" width="9.7109375" style="125" customWidth="1"/>
    <col min="5426" max="5427" width="3.7109375" style="125" customWidth="1"/>
    <col min="5428" max="5428" width="9.7109375" style="125" customWidth="1"/>
    <col min="5429" max="5430" width="3.7109375" style="125" customWidth="1"/>
    <col min="5431" max="5431" width="9.7109375" style="125" customWidth="1"/>
    <col min="5432" max="5433" width="3.7109375" style="125" customWidth="1"/>
    <col min="5434" max="5434" width="9.7109375" style="125" customWidth="1"/>
    <col min="5435" max="5436" width="3.7109375" style="125" customWidth="1"/>
    <col min="5437" max="5437" width="9.7109375" style="125" customWidth="1"/>
    <col min="5438" max="5439" width="3.7109375" style="125" customWidth="1"/>
    <col min="5440" max="5440" width="9.7109375" style="125" customWidth="1"/>
    <col min="5441" max="5442" width="3.7109375" style="125" customWidth="1"/>
    <col min="5443" max="5443" width="9.7109375" style="125" customWidth="1"/>
    <col min="5444" max="5445" width="3.7109375" style="125" customWidth="1"/>
    <col min="5446" max="5446" width="9.7109375" style="125" customWidth="1"/>
    <col min="5447" max="5448" width="3.7109375" style="125" customWidth="1"/>
    <col min="5449" max="5449" width="9.7109375" style="125" customWidth="1"/>
    <col min="5450" max="5451" width="3.7109375" style="125" customWidth="1"/>
    <col min="5452" max="5452" width="9.7109375" style="125" customWidth="1"/>
    <col min="5453" max="5454" width="3.7109375" style="125" customWidth="1"/>
    <col min="5455" max="5455" width="9.7109375" style="125" customWidth="1"/>
    <col min="5456" max="5457" width="3.7109375" style="125" customWidth="1"/>
    <col min="5458" max="5458" width="9.7109375" style="125" customWidth="1"/>
    <col min="5459" max="5460" width="3.7109375" style="125" customWidth="1"/>
    <col min="5461" max="5461" width="9.7109375" style="125" customWidth="1"/>
    <col min="5462" max="5463" width="3.7109375" style="125" customWidth="1"/>
    <col min="5464" max="5464" width="9.7109375" style="125" customWidth="1"/>
    <col min="5465" max="5466" width="3.7109375" style="125" customWidth="1"/>
    <col min="5467" max="5467" width="9.7109375" style="125" customWidth="1"/>
    <col min="5468" max="5469" width="3.7109375" style="125" customWidth="1"/>
    <col min="5470" max="5470" width="9.7109375" style="125" customWidth="1"/>
    <col min="5471" max="5472" width="3.7109375" style="125" customWidth="1"/>
    <col min="5473" max="5473" width="9.7109375" style="125" customWidth="1"/>
    <col min="5474" max="5475" width="3.7109375" style="125" customWidth="1"/>
    <col min="5476" max="5476" width="9.7109375" style="125" customWidth="1"/>
    <col min="5477" max="5478" width="3.7109375" style="125" customWidth="1"/>
    <col min="5479" max="5479" width="9.7109375" style="125" customWidth="1"/>
    <col min="5480" max="5481" width="3.7109375" style="125" customWidth="1"/>
    <col min="5482" max="5482" width="9.7109375" style="125" customWidth="1"/>
    <col min="5483" max="5484" width="3.7109375" style="125" customWidth="1"/>
    <col min="5485" max="5485" width="9.7109375" style="125" customWidth="1"/>
    <col min="5486" max="5486" width="3.7109375" style="125" customWidth="1"/>
    <col min="5487" max="5487" width="5.7109375" style="125" bestFit="1" customWidth="1"/>
    <col min="5488" max="5488" width="9.7109375" style="125" customWidth="1"/>
    <col min="5489" max="5490" width="3.7109375" style="125" customWidth="1"/>
    <col min="5491" max="5491" width="9.7109375" style="125" customWidth="1"/>
    <col min="5492" max="5493" width="3.7109375" style="125" customWidth="1"/>
    <col min="5494" max="5494" width="9.7109375" style="125" customWidth="1"/>
    <col min="5495" max="5496" width="3.7109375" style="125" customWidth="1"/>
    <col min="5497" max="5497" width="9.7109375" style="125" customWidth="1"/>
    <col min="5498" max="5499" width="3.7109375" style="125" customWidth="1"/>
    <col min="5500" max="5500" width="9.7109375" style="125" customWidth="1"/>
    <col min="5501" max="5502" width="3.7109375" style="125" customWidth="1"/>
    <col min="5503" max="5503" width="9.7109375" style="125" customWidth="1"/>
    <col min="5504" max="5505" width="3.7109375" style="125" customWidth="1"/>
    <col min="5506" max="5506" width="9.7109375" style="125" customWidth="1"/>
    <col min="5507" max="5508" width="3.7109375" style="125" customWidth="1"/>
    <col min="5509" max="5509" width="9.7109375" style="125" customWidth="1"/>
    <col min="5510" max="5510" width="3.7109375" style="125" customWidth="1"/>
    <col min="5511" max="5511" width="5.7109375" style="125" bestFit="1" customWidth="1"/>
    <col min="5512" max="5512" width="9.7109375" style="125" customWidth="1"/>
    <col min="5513" max="5514" width="3.7109375" style="125" customWidth="1"/>
    <col min="5515" max="5515" width="9.7109375" style="125" customWidth="1"/>
    <col min="5516" max="5517" width="3.7109375" style="125" customWidth="1"/>
    <col min="5518" max="5518" width="9.7109375" style="125" customWidth="1"/>
    <col min="5519" max="5520" width="3.7109375" style="125" customWidth="1"/>
    <col min="5521" max="5521" width="9.7109375" style="125" customWidth="1"/>
    <col min="5522" max="5523" width="3.7109375" style="125" customWidth="1"/>
    <col min="5524" max="5524" width="9.7109375" style="125" customWidth="1"/>
    <col min="5525" max="5526" width="3.7109375" style="125" customWidth="1"/>
    <col min="5527" max="5527" width="9.7109375" style="125" customWidth="1"/>
    <col min="5528" max="5529" width="3.7109375" style="125" customWidth="1"/>
    <col min="5530" max="5530" width="9.7109375" style="125" customWidth="1"/>
    <col min="5531" max="5532" width="3.7109375" style="125" customWidth="1"/>
    <col min="5533" max="5533" width="9.7109375" style="125" customWidth="1"/>
    <col min="5534" max="5535" width="3.7109375" style="125" customWidth="1"/>
    <col min="5536" max="5536" width="9.7109375" style="125" customWidth="1"/>
    <col min="5537" max="5538" width="3.7109375" style="125" customWidth="1"/>
    <col min="5539" max="5539" width="9.7109375" style="125" customWidth="1"/>
    <col min="5540" max="5541" width="3.7109375" style="125" customWidth="1"/>
    <col min="5542" max="5542" width="9.7109375" style="125" customWidth="1"/>
    <col min="5543" max="5544" width="3.7109375" style="125" customWidth="1"/>
    <col min="5545" max="5545" width="9.7109375" style="125" customWidth="1"/>
    <col min="5546" max="5547" width="3.7109375" style="125" customWidth="1"/>
    <col min="5548" max="5548" width="9.7109375" style="125" customWidth="1"/>
    <col min="5549" max="5550" width="3.7109375" style="125" customWidth="1"/>
    <col min="5551" max="5551" width="9.7109375" style="125" customWidth="1"/>
    <col min="5552" max="5553" width="3.7109375" style="125" customWidth="1"/>
    <col min="5554" max="5554" width="9.7109375" style="125" customWidth="1"/>
    <col min="5555" max="5556" width="3.7109375" style="125" customWidth="1"/>
    <col min="5557" max="5557" width="9.7109375" style="125" customWidth="1"/>
    <col min="5558" max="5559" width="3.7109375" style="125" customWidth="1"/>
    <col min="5560" max="5560" width="9.7109375" style="125" customWidth="1"/>
    <col min="5561" max="5562" width="3.7109375" style="125" customWidth="1"/>
    <col min="5563" max="5563" width="9.7109375" style="125" customWidth="1"/>
    <col min="5564" max="5565" width="3.7109375" style="125" customWidth="1"/>
    <col min="5566" max="5566" width="9.7109375" style="125" customWidth="1"/>
    <col min="5567" max="5568" width="3.7109375" style="125" customWidth="1"/>
    <col min="5569" max="5569" width="9.7109375" style="125" customWidth="1"/>
    <col min="5570" max="5571" width="3.7109375" style="125" customWidth="1"/>
    <col min="5572" max="5572" width="9.7109375" style="125" customWidth="1"/>
    <col min="5573" max="5574" width="3.7109375" style="125" customWidth="1"/>
    <col min="5575" max="5575" width="9.7109375" style="125" customWidth="1"/>
    <col min="5576" max="5577" width="3.7109375" style="125" customWidth="1"/>
    <col min="5578" max="5578" width="9.7109375" style="125" customWidth="1"/>
    <col min="5579" max="5580" width="3.7109375" style="125" customWidth="1"/>
    <col min="5581" max="5581" width="9.7109375" style="125" customWidth="1"/>
    <col min="5582" max="5583" width="3.7109375" style="125" customWidth="1"/>
    <col min="5584" max="5584" width="9.7109375" style="125" customWidth="1"/>
    <col min="5585" max="5586" width="3.7109375" style="125" customWidth="1"/>
    <col min="5587" max="5587" width="9.7109375" style="125" customWidth="1"/>
    <col min="5588" max="5589" width="3.7109375" style="125" customWidth="1"/>
    <col min="5590" max="5590" width="9.7109375" style="125" customWidth="1"/>
    <col min="5591" max="5592" width="3.7109375" style="125" customWidth="1"/>
    <col min="5593" max="5593" width="9.7109375" style="125" customWidth="1"/>
    <col min="5594" max="5595" width="3.7109375" style="125" customWidth="1"/>
    <col min="5596" max="5596" width="9.7109375" style="125" customWidth="1"/>
    <col min="5597" max="5598" width="3.7109375" style="125" customWidth="1"/>
    <col min="5599" max="5599" width="9.7109375" style="125" customWidth="1"/>
    <col min="5600" max="5601" width="3.7109375" style="125" customWidth="1"/>
    <col min="5602" max="5602" width="9.7109375" style="125" customWidth="1"/>
    <col min="5603" max="5604" width="3.7109375" style="125" customWidth="1"/>
    <col min="5605" max="5605" width="9.7109375" style="125" customWidth="1"/>
    <col min="5606" max="5607" width="3.7109375" style="125" customWidth="1"/>
    <col min="5608" max="5608" width="9.7109375" style="125" customWidth="1"/>
    <col min="5609" max="5610" width="3.7109375" style="125" customWidth="1"/>
    <col min="5611" max="5611" width="9.7109375" style="125" customWidth="1"/>
    <col min="5612" max="5613" width="3.7109375" style="125" customWidth="1"/>
    <col min="5614" max="5614" width="9.7109375" style="125" customWidth="1"/>
    <col min="5615" max="5616" width="3.7109375" style="125" customWidth="1"/>
    <col min="5617" max="5617" width="9.7109375" style="125" customWidth="1"/>
    <col min="5618" max="5619" width="3.7109375" style="125" customWidth="1"/>
    <col min="5620" max="5620" width="9.7109375" style="125" customWidth="1"/>
    <col min="5621" max="5622" width="3.7109375" style="125" customWidth="1"/>
    <col min="5623" max="5623" width="9.7109375" style="125" customWidth="1"/>
    <col min="5624" max="5625" width="3.7109375" style="125" customWidth="1"/>
    <col min="5626" max="5626" width="9.7109375" style="125" customWidth="1"/>
    <col min="5627" max="5628" width="3.7109375" style="125" customWidth="1"/>
    <col min="5629" max="5629" width="9.7109375" style="125" customWidth="1"/>
    <col min="5630" max="5630" width="3.7109375" style="125" customWidth="1"/>
    <col min="5631" max="5632" width="8" style="125"/>
    <col min="5633" max="5633" width="30.7109375" style="125" customWidth="1"/>
    <col min="5634" max="5634" width="9.7109375" style="125" customWidth="1"/>
    <col min="5635" max="5635" width="3.7109375" style="125" customWidth="1"/>
    <col min="5636" max="5636" width="9.7109375" style="125" customWidth="1"/>
    <col min="5637" max="5638" width="3.7109375" style="125" customWidth="1"/>
    <col min="5639" max="5639" width="9.7109375" style="125" customWidth="1"/>
    <col min="5640" max="5641" width="3.7109375" style="125" customWidth="1"/>
    <col min="5642" max="5642" width="9.7109375" style="125" customWidth="1"/>
    <col min="5643" max="5644" width="3.7109375" style="125" customWidth="1"/>
    <col min="5645" max="5645" width="9.7109375" style="125" customWidth="1"/>
    <col min="5646" max="5647" width="3.7109375" style="125" customWidth="1"/>
    <col min="5648" max="5648" width="9.7109375" style="125" customWidth="1"/>
    <col min="5649" max="5650" width="3.7109375" style="125" customWidth="1"/>
    <col min="5651" max="5651" width="9.7109375" style="125" customWidth="1"/>
    <col min="5652" max="5653" width="3.7109375" style="125" customWidth="1"/>
    <col min="5654" max="5654" width="9.7109375" style="125" customWidth="1"/>
    <col min="5655" max="5656" width="3.7109375" style="125" customWidth="1"/>
    <col min="5657" max="5657" width="9.7109375" style="125" customWidth="1"/>
    <col min="5658" max="5659" width="3.7109375" style="125" customWidth="1"/>
    <col min="5660" max="5660" width="9.7109375" style="125" customWidth="1"/>
    <col min="5661" max="5662" width="3.7109375" style="125" customWidth="1"/>
    <col min="5663" max="5663" width="9.7109375" style="125" customWidth="1"/>
    <col min="5664" max="5665" width="3.7109375" style="125" customWidth="1"/>
    <col min="5666" max="5666" width="9.7109375" style="125" customWidth="1"/>
    <col min="5667" max="5668" width="3.7109375" style="125" customWidth="1"/>
    <col min="5669" max="5669" width="9.7109375" style="125" customWidth="1"/>
    <col min="5670" max="5671" width="3.7109375" style="125" customWidth="1"/>
    <col min="5672" max="5672" width="9.7109375" style="125" customWidth="1"/>
    <col min="5673" max="5674" width="3.7109375" style="125" customWidth="1"/>
    <col min="5675" max="5675" width="9.7109375" style="125" customWidth="1"/>
    <col min="5676" max="5677" width="3.7109375" style="125" customWidth="1"/>
    <col min="5678" max="5678" width="9.7109375" style="125" customWidth="1"/>
    <col min="5679" max="5680" width="3.7109375" style="125" customWidth="1"/>
    <col min="5681" max="5681" width="9.7109375" style="125" customWidth="1"/>
    <col min="5682" max="5683" width="3.7109375" style="125" customWidth="1"/>
    <col min="5684" max="5684" width="9.7109375" style="125" customWidth="1"/>
    <col min="5685" max="5686" width="3.7109375" style="125" customWidth="1"/>
    <col min="5687" max="5687" width="9.7109375" style="125" customWidth="1"/>
    <col min="5688" max="5689" width="3.7109375" style="125" customWidth="1"/>
    <col min="5690" max="5690" width="9.7109375" style="125" customWidth="1"/>
    <col min="5691" max="5692" width="3.7109375" style="125" customWidth="1"/>
    <col min="5693" max="5693" width="9.7109375" style="125" customWidth="1"/>
    <col min="5694" max="5695" width="3.7109375" style="125" customWidth="1"/>
    <col min="5696" max="5696" width="9.7109375" style="125" customWidth="1"/>
    <col min="5697" max="5698" width="3.7109375" style="125" customWidth="1"/>
    <col min="5699" max="5699" width="9.7109375" style="125" customWidth="1"/>
    <col min="5700" max="5701" width="3.7109375" style="125" customWidth="1"/>
    <col min="5702" max="5702" width="9.7109375" style="125" customWidth="1"/>
    <col min="5703" max="5704" width="3.7109375" style="125" customWidth="1"/>
    <col min="5705" max="5705" width="9.7109375" style="125" customWidth="1"/>
    <col min="5706" max="5707" width="3.7109375" style="125" customWidth="1"/>
    <col min="5708" max="5708" width="9.7109375" style="125" customWidth="1"/>
    <col min="5709" max="5710" width="3.7109375" style="125" customWidth="1"/>
    <col min="5711" max="5711" width="9.7109375" style="125" customWidth="1"/>
    <col min="5712" max="5713" width="3.7109375" style="125" customWidth="1"/>
    <col min="5714" max="5714" width="9.7109375" style="125" customWidth="1"/>
    <col min="5715" max="5716" width="3.7109375" style="125" customWidth="1"/>
    <col min="5717" max="5717" width="9.7109375" style="125" customWidth="1"/>
    <col min="5718" max="5719" width="3.7109375" style="125" customWidth="1"/>
    <col min="5720" max="5720" width="9.7109375" style="125" customWidth="1"/>
    <col min="5721" max="5722" width="3.7109375" style="125" customWidth="1"/>
    <col min="5723" max="5723" width="9.7109375" style="125" customWidth="1"/>
    <col min="5724" max="5725" width="3.7109375" style="125" customWidth="1"/>
    <col min="5726" max="5726" width="9.7109375" style="125" customWidth="1"/>
    <col min="5727" max="5728" width="3.7109375" style="125" customWidth="1"/>
    <col min="5729" max="5729" width="9.7109375" style="125" customWidth="1"/>
    <col min="5730" max="5731" width="3.7109375" style="125" customWidth="1"/>
    <col min="5732" max="5732" width="9.7109375" style="125" customWidth="1"/>
    <col min="5733" max="5734" width="3.7109375" style="125" customWidth="1"/>
    <col min="5735" max="5735" width="9.7109375" style="125" customWidth="1"/>
    <col min="5736" max="5737" width="3.7109375" style="125" customWidth="1"/>
    <col min="5738" max="5738" width="9.7109375" style="125" customWidth="1"/>
    <col min="5739" max="5740" width="3.7109375" style="125" customWidth="1"/>
    <col min="5741" max="5741" width="9.7109375" style="125" customWidth="1"/>
    <col min="5742" max="5742" width="3.7109375" style="125" customWidth="1"/>
    <col min="5743" max="5743" width="5.7109375" style="125" bestFit="1" customWidth="1"/>
    <col min="5744" max="5744" width="9.7109375" style="125" customWidth="1"/>
    <col min="5745" max="5746" width="3.7109375" style="125" customWidth="1"/>
    <col min="5747" max="5747" width="9.7109375" style="125" customWidth="1"/>
    <col min="5748" max="5749" width="3.7109375" style="125" customWidth="1"/>
    <col min="5750" max="5750" width="9.7109375" style="125" customWidth="1"/>
    <col min="5751" max="5752" width="3.7109375" style="125" customWidth="1"/>
    <col min="5753" max="5753" width="9.7109375" style="125" customWidth="1"/>
    <col min="5754" max="5755" width="3.7109375" style="125" customWidth="1"/>
    <col min="5756" max="5756" width="9.7109375" style="125" customWidth="1"/>
    <col min="5757" max="5758" width="3.7109375" style="125" customWidth="1"/>
    <col min="5759" max="5759" width="9.7109375" style="125" customWidth="1"/>
    <col min="5760" max="5761" width="3.7109375" style="125" customWidth="1"/>
    <col min="5762" max="5762" width="9.7109375" style="125" customWidth="1"/>
    <col min="5763" max="5764" width="3.7109375" style="125" customWidth="1"/>
    <col min="5765" max="5765" width="9.7109375" style="125" customWidth="1"/>
    <col min="5766" max="5766" width="3.7109375" style="125" customWidth="1"/>
    <col min="5767" max="5767" width="5.7109375" style="125" bestFit="1" customWidth="1"/>
    <col min="5768" max="5768" width="9.7109375" style="125" customWidth="1"/>
    <col min="5769" max="5770" width="3.7109375" style="125" customWidth="1"/>
    <col min="5771" max="5771" width="9.7109375" style="125" customWidth="1"/>
    <col min="5772" max="5773" width="3.7109375" style="125" customWidth="1"/>
    <col min="5774" max="5774" width="9.7109375" style="125" customWidth="1"/>
    <col min="5775" max="5776" width="3.7109375" style="125" customWidth="1"/>
    <col min="5777" max="5777" width="9.7109375" style="125" customWidth="1"/>
    <col min="5778" max="5779" width="3.7109375" style="125" customWidth="1"/>
    <col min="5780" max="5780" width="9.7109375" style="125" customWidth="1"/>
    <col min="5781" max="5782" width="3.7109375" style="125" customWidth="1"/>
    <col min="5783" max="5783" width="9.7109375" style="125" customWidth="1"/>
    <col min="5784" max="5785" width="3.7109375" style="125" customWidth="1"/>
    <col min="5786" max="5786" width="9.7109375" style="125" customWidth="1"/>
    <col min="5787" max="5788" width="3.7109375" style="125" customWidth="1"/>
    <col min="5789" max="5789" width="9.7109375" style="125" customWidth="1"/>
    <col min="5790" max="5791" width="3.7109375" style="125" customWidth="1"/>
    <col min="5792" max="5792" width="9.7109375" style="125" customWidth="1"/>
    <col min="5793" max="5794" width="3.7109375" style="125" customWidth="1"/>
    <col min="5795" max="5795" width="9.7109375" style="125" customWidth="1"/>
    <col min="5796" max="5797" width="3.7109375" style="125" customWidth="1"/>
    <col min="5798" max="5798" width="9.7109375" style="125" customWidth="1"/>
    <col min="5799" max="5800" width="3.7109375" style="125" customWidth="1"/>
    <col min="5801" max="5801" width="9.7109375" style="125" customWidth="1"/>
    <col min="5802" max="5803" width="3.7109375" style="125" customWidth="1"/>
    <col min="5804" max="5804" width="9.7109375" style="125" customWidth="1"/>
    <col min="5805" max="5806" width="3.7109375" style="125" customWidth="1"/>
    <col min="5807" max="5807" width="9.7109375" style="125" customWidth="1"/>
    <col min="5808" max="5809" width="3.7109375" style="125" customWidth="1"/>
    <col min="5810" max="5810" width="9.7109375" style="125" customWidth="1"/>
    <col min="5811" max="5812" width="3.7109375" style="125" customWidth="1"/>
    <col min="5813" max="5813" width="9.7109375" style="125" customWidth="1"/>
    <col min="5814" max="5815" width="3.7109375" style="125" customWidth="1"/>
    <col min="5816" max="5816" width="9.7109375" style="125" customWidth="1"/>
    <col min="5817" max="5818" width="3.7109375" style="125" customWidth="1"/>
    <col min="5819" max="5819" width="9.7109375" style="125" customWidth="1"/>
    <col min="5820" max="5821" width="3.7109375" style="125" customWidth="1"/>
    <col min="5822" max="5822" width="9.7109375" style="125" customWidth="1"/>
    <col min="5823" max="5824" width="3.7109375" style="125" customWidth="1"/>
    <col min="5825" max="5825" width="9.7109375" style="125" customWidth="1"/>
    <col min="5826" max="5827" width="3.7109375" style="125" customWidth="1"/>
    <col min="5828" max="5828" width="9.7109375" style="125" customWidth="1"/>
    <col min="5829" max="5830" width="3.7109375" style="125" customWidth="1"/>
    <col min="5831" max="5831" width="9.7109375" style="125" customWidth="1"/>
    <col min="5832" max="5833" width="3.7109375" style="125" customWidth="1"/>
    <col min="5834" max="5834" width="9.7109375" style="125" customWidth="1"/>
    <col min="5835" max="5836" width="3.7109375" style="125" customWidth="1"/>
    <col min="5837" max="5837" width="9.7109375" style="125" customWidth="1"/>
    <col min="5838" max="5839" width="3.7109375" style="125" customWidth="1"/>
    <col min="5840" max="5840" width="9.7109375" style="125" customWidth="1"/>
    <col min="5841" max="5842" width="3.7109375" style="125" customWidth="1"/>
    <col min="5843" max="5843" width="9.7109375" style="125" customWidth="1"/>
    <col min="5844" max="5845" width="3.7109375" style="125" customWidth="1"/>
    <col min="5846" max="5846" width="9.7109375" style="125" customWidth="1"/>
    <col min="5847" max="5848" width="3.7109375" style="125" customWidth="1"/>
    <col min="5849" max="5849" width="9.7109375" style="125" customWidth="1"/>
    <col min="5850" max="5851" width="3.7109375" style="125" customWidth="1"/>
    <col min="5852" max="5852" width="9.7109375" style="125" customWidth="1"/>
    <col min="5853" max="5854" width="3.7109375" style="125" customWidth="1"/>
    <col min="5855" max="5855" width="9.7109375" style="125" customWidth="1"/>
    <col min="5856" max="5857" width="3.7109375" style="125" customWidth="1"/>
    <col min="5858" max="5858" width="9.7109375" style="125" customWidth="1"/>
    <col min="5859" max="5860" width="3.7109375" style="125" customWidth="1"/>
    <col min="5861" max="5861" width="9.7109375" style="125" customWidth="1"/>
    <col min="5862" max="5863" width="3.7109375" style="125" customWidth="1"/>
    <col min="5864" max="5864" width="9.7109375" style="125" customWidth="1"/>
    <col min="5865" max="5866" width="3.7109375" style="125" customWidth="1"/>
    <col min="5867" max="5867" width="9.7109375" style="125" customWidth="1"/>
    <col min="5868" max="5869" width="3.7109375" style="125" customWidth="1"/>
    <col min="5870" max="5870" width="9.7109375" style="125" customWidth="1"/>
    <col min="5871" max="5872" width="3.7109375" style="125" customWidth="1"/>
    <col min="5873" max="5873" width="9.7109375" style="125" customWidth="1"/>
    <col min="5874" max="5875" width="3.7109375" style="125" customWidth="1"/>
    <col min="5876" max="5876" width="9.7109375" style="125" customWidth="1"/>
    <col min="5877" max="5878" width="3.7109375" style="125" customWidth="1"/>
    <col min="5879" max="5879" width="9.7109375" style="125" customWidth="1"/>
    <col min="5880" max="5881" width="3.7109375" style="125" customWidth="1"/>
    <col min="5882" max="5882" width="9.7109375" style="125" customWidth="1"/>
    <col min="5883" max="5884" width="3.7109375" style="125" customWidth="1"/>
    <col min="5885" max="5885" width="9.7109375" style="125" customWidth="1"/>
    <col min="5886" max="5886" width="3.7109375" style="125" customWidth="1"/>
    <col min="5887" max="5888" width="8" style="125"/>
    <col min="5889" max="5889" width="30.7109375" style="125" customWidth="1"/>
    <col min="5890" max="5890" width="9.7109375" style="125" customWidth="1"/>
    <col min="5891" max="5891" width="3.7109375" style="125" customWidth="1"/>
    <col min="5892" max="5892" width="9.7109375" style="125" customWidth="1"/>
    <col min="5893" max="5894" width="3.7109375" style="125" customWidth="1"/>
    <col min="5895" max="5895" width="9.7109375" style="125" customWidth="1"/>
    <col min="5896" max="5897" width="3.7109375" style="125" customWidth="1"/>
    <col min="5898" max="5898" width="9.7109375" style="125" customWidth="1"/>
    <col min="5899" max="5900" width="3.7109375" style="125" customWidth="1"/>
    <col min="5901" max="5901" width="9.7109375" style="125" customWidth="1"/>
    <col min="5902" max="5903" width="3.7109375" style="125" customWidth="1"/>
    <col min="5904" max="5904" width="9.7109375" style="125" customWidth="1"/>
    <col min="5905" max="5906" width="3.7109375" style="125" customWidth="1"/>
    <col min="5907" max="5907" width="9.7109375" style="125" customWidth="1"/>
    <col min="5908" max="5909" width="3.7109375" style="125" customWidth="1"/>
    <col min="5910" max="5910" width="9.7109375" style="125" customWidth="1"/>
    <col min="5911" max="5912" width="3.7109375" style="125" customWidth="1"/>
    <col min="5913" max="5913" width="9.7109375" style="125" customWidth="1"/>
    <col min="5914" max="5915" width="3.7109375" style="125" customWidth="1"/>
    <col min="5916" max="5916" width="9.7109375" style="125" customWidth="1"/>
    <col min="5917" max="5918" width="3.7109375" style="125" customWidth="1"/>
    <col min="5919" max="5919" width="9.7109375" style="125" customWidth="1"/>
    <col min="5920" max="5921" width="3.7109375" style="125" customWidth="1"/>
    <col min="5922" max="5922" width="9.7109375" style="125" customWidth="1"/>
    <col min="5923" max="5924" width="3.7109375" style="125" customWidth="1"/>
    <col min="5925" max="5925" width="9.7109375" style="125" customWidth="1"/>
    <col min="5926" max="5927" width="3.7109375" style="125" customWidth="1"/>
    <col min="5928" max="5928" width="9.7109375" style="125" customWidth="1"/>
    <col min="5929" max="5930" width="3.7109375" style="125" customWidth="1"/>
    <col min="5931" max="5931" width="9.7109375" style="125" customWidth="1"/>
    <col min="5932" max="5933" width="3.7109375" style="125" customWidth="1"/>
    <col min="5934" max="5934" width="9.7109375" style="125" customWidth="1"/>
    <col min="5935" max="5936" width="3.7109375" style="125" customWidth="1"/>
    <col min="5937" max="5937" width="9.7109375" style="125" customWidth="1"/>
    <col min="5938" max="5939" width="3.7109375" style="125" customWidth="1"/>
    <col min="5940" max="5940" width="9.7109375" style="125" customWidth="1"/>
    <col min="5941" max="5942" width="3.7109375" style="125" customWidth="1"/>
    <col min="5943" max="5943" width="9.7109375" style="125" customWidth="1"/>
    <col min="5944" max="5945" width="3.7109375" style="125" customWidth="1"/>
    <col min="5946" max="5946" width="9.7109375" style="125" customWidth="1"/>
    <col min="5947" max="5948" width="3.7109375" style="125" customWidth="1"/>
    <col min="5949" max="5949" width="9.7109375" style="125" customWidth="1"/>
    <col min="5950" max="5951" width="3.7109375" style="125" customWidth="1"/>
    <col min="5952" max="5952" width="9.7109375" style="125" customWidth="1"/>
    <col min="5953" max="5954" width="3.7109375" style="125" customWidth="1"/>
    <col min="5955" max="5955" width="9.7109375" style="125" customWidth="1"/>
    <col min="5956" max="5957" width="3.7109375" style="125" customWidth="1"/>
    <col min="5958" max="5958" width="9.7109375" style="125" customWidth="1"/>
    <col min="5959" max="5960" width="3.7109375" style="125" customWidth="1"/>
    <col min="5961" max="5961" width="9.7109375" style="125" customWidth="1"/>
    <col min="5962" max="5963" width="3.7109375" style="125" customWidth="1"/>
    <col min="5964" max="5964" width="9.7109375" style="125" customWidth="1"/>
    <col min="5965" max="5966" width="3.7109375" style="125" customWidth="1"/>
    <col min="5967" max="5967" width="9.7109375" style="125" customWidth="1"/>
    <col min="5968" max="5969" width="3.7109375" style="125" customWidth="1"/>
    <col min="5970" max="5970" width="9.7109375" style="125" customWidth="1"/>
    <col min="5971" max="5972" width="3.7109375" style="125" customWidth="1"/>
    <col min="5973" max="5973" width="9.7109375" style="125" customWidth="1"/>
    <col min="5974" max="5975" width="3.7109375" style="125" customWidth="1"/>
    <col min="5976" max="5976" width="9.7109375" style="125" customWidth="1"/>
    <col min="5977" max="5978" width="3.7109375" style="125" customWidth="1"/>
    <col min="5979" max="5979" width="9.7109375" style="125" customWidth="1"/>
    <col min="5980" max="5981" width="3.7109375" style="125" customWidth="1"/>
    <col min="5982" max="5982" width="9.7109375" style="125" customWidth="1"/>
    <col min="5983" max="5984" width="3.7109375" style="125" customWidth="1"/>
    <col min="5985" max="5985" width="9.7109375" style="125" customWidth="1"/>
    <col min="5986" max="5987" width="3.7109375" style="125" customWidth="1"/>
    <col min="5988" max="5988" width="9.7109375" style="125" customWidth="1"/>
    <col min="5989" max="5990" width="3.7109375" style="125" customWidth="1"/>
    <col min="5991" max="5991" width="9.7109375" style="125" customWidth="1"/>
    <col min="5992" max="5993" width="3.7109375" style="125" customWidth="1"/>
    <col min="5994" max="5994" width="9.7109375" style="125" customWidth="1"/>
    <col min="5995" max="5996" width="3.7109375" style="125" customWidth="1"/>
    <col min="5997" max="5997" width="9.7109375" style="125" customWidth="1"/>
    <col min="5998" max="5998" width="3.7109375" style="125" customWidth="1"/>
    <col min="5999" max="5999" width="5.7109375" style="125" bestFit="1" customWidth="1"/>
    <col min="6000" max="6000" width="9.7109375" style="125" customWidth="1"/>
    <col min="6001" max="6002" width="3.7109375" style="125" customWidth="1"/>
    <col min="6003" max="6003" width="9.7109375" style="125" customWidth="1"/>
    <col min="6004" max="6005" width="3.7109375" style="125" customWidth="1"/>
    <col min="6006" max="6006" width="9.7109375" style="125" customWidth="1"/>
    <col min="6007" max="6008" width="3.7109375" style="125" customWidth="1"/>
    <col min="6009" max="6009" width="9.7109375" style="125" customWidth="1"/>
    <col min="6010" max="6011" width="3.7109375" style="125" customWidth="1"/>
    <col min="6012" max="6012" width="9.7109375" style="125" customWidth="1"/>
    <col min="6013" max="6014" width="3.7109375" style="125" customWidth="1"/>
    <col min="6015" max="6015" width="9.7109375" style="125" customWidth="1"/>
    <col min="6016" max="6017" width="3.7109375" style="125" customWidth="1"/>
    <col min="6018" max="6018" width="9.7109375" style="125" customWidth="1"/>
    <col min="6019" max="6020" width="3.7109375" style="125" customWidth="1"/>
    <col min="6021" max="6021" width="9.7109375" style="125" customWidth="1"/>
    <col min="6022" max="6022" width="3.7109375" style="125" customWidth="1"/>
    <col min="6023" max="6023" width="5.7109375" style="125" bestFit="1" customWidth="1"/>
    <col min="6024" max="6024" width="9.7109375" style="125" customWidth="1"/>
    <col min="6025" max="6026" width="3.7109375" style="125" customWidth="1"/>
    <col min="6027" max="6027" width="9.7109375" style="125" customWidth="1"/>
    <col min="6028" max="6029" width="3.7109375" style="125" customWidth="1"/>
    <col min="6030" max="6030" width="9.7109375" style="125" customWidth="1"/>
    <col min="6031" max="6032" width="3.7109375" style="125" customWidth="1"/>
    <col min="6033" max="6033" width="9.7109375" style="125" customWidth="1"/>
    <col min="6034" max="6035" width="3.7109375" style="125" customWidth="1"/>
    <col min="6036" max="6036" width="9.7109375" style="125" customWidth="1"/>
    <col min="6037" max="6038" width="3.7109375" style="125" customWidth="1"/>
    <col min="6039" max="6039" width="9.7109375" style="125" customWidth="1"/>
    <col min="6040" max="6041" width="3.7109375" style="125" customWidth="1"/>
    <col min="6042" max="6042" width="9.7109375" style="125" customWidth="1"/>
    <col min="6043" max="6044" width="3.7109375" style="125" customWidth="1"/>
    <col min="6045" max="6045" width="9.7109375" style="125" customWidth="1"/>
    <col min="6046" max="6047" width="3.7109375" style="125" customWidth="1"/>
    <col min="6048" max="6048" width="9.7109375" style="125" customWidth="1"/>
    <col min="6049" max="6050" width="3.7109375" style="125" customWidth="1"/>
    <col min="6051" max="6051" width="9.7109375" style="125" customWidth="1"/>
    <col min="6052" max="6053" width="3.7109375" style="125" customWidth="1"/>
    <col min="6054" max="6054" width="9.7109375" style="125" customWidth="1"/>
    <col min="6055" max="6056" width="3.7109375" style="125" customWidth="1"/>
    <col min="6057" max="6057" width="9.7109375" style="125" customWidth="1"/>
    <col min="6058" max="6059" width="3.7109375" style="125" customWidth="1"/>
    <col min="6060" max="6060" width="9.7109375" style="125" customWidth="1"/>
    <col min="6061" max="6062" width="3.7109375" style="125" customWidth="1"/>
    <col min="6063" max="6063" width="9.7109375" style="125" customWidth="1"/>
    <col min="6064" max="6065" width="3.7109375" style="125" customWidth="1"/>
    <col min="6066" max="6066" width="9.7109375" style="125" customWidth="1"/>
    <col min="6067" max="6068" width="3.7109375" style="125" customWidth="1"/>
    <col min="6069" max="6069" width="9.7109375" style="125" customWidth="1"/>
    <col min="6070" max="6071" width="3.7109375" style="125" customWidth="1"/>
    <col min="6072" max="6072" width="9.7109375" style="125" customWidth="1"/>
    <col min="6073" max="6074" width="3.7109375" style="125" customWidth="1"/>
    <col min="6075" max="6075" width="9.7109375" style="125" customWidth="1"/>
    <col min="6076" max="6077" width="3.7109375" style="125" customWidth="1"/>
    <col min="6078" max="6078" width="9.7109375" style="125" customWidth="1"/>
    <col min="6079" max="6080" width="3.7109375" style="125" customWidth="1"/>
    <col min="6081" max="6081" width="9.7109375" style="125" customWidth="1"/>
    <col min="6082" max="6083" width="3.7109375" style="125" customWidth="1"/>
    <col min="6084" max="6084" width="9.7109375" style="125" customWidth="1"/>
    <col min="6085" max="6086" width="3.7109375" style="125" customWidth="1"/>
    <col min="6087" max="6087" width="9.7109375" style="125" customWidth="1"/>
    <col min="6088" max="6089" width="3.7109375" style="125" customWidth="1"/>
    <col min="6090" max="6090" width="9.7109375" style="125" customWidth="1"/>
    <col min="6091" max="6092" width="3.7109375" style="125" customWidth="1"/>
    <col min="6093" max="6093" width="9.7109375" style="125" customWidth="1"/>
    <col min="6094" max="6095" width="3.7109375" style="125" customWidth="1"/>
    <col min="6096" max="6096" width="9.7109375" style="125" customWidth="1"/>
    <col min="6097" max="6098" width="3.7109375" style="125" customWidth="1"/>
    <col min="6099" max="6099" width="9.7109375" style="125" customWidth="1"/>
    <col min="6100" max="6101" width="3.7109375" style="125" customWidth="1"/>
    <col min="6102" max="6102" width="9.7109375" style="125" customWidth="1"/>
    <col min="6103" max="6104" width="3.7109375" style="125" customWidth="1"/>
    <col min="6105" max="6105" width="9.7109375" style="125" customWidth="1"/>
    <col min="6106" max="6107" width="3.7109375" style="125" customWidth="1"/>
    <col min="6108" max="6108" width="9.7109375" style="125" customWidth="1"/>
    <col min="6109" max="6110" width="3.7109375" style="125" customWidth="1"/>
    <col min="6111" max="6111" width="9.7109375" style="125" customWidth="1"/>
    <col min="6112" max="6113" width="3.7109375" style="125" customWidth="1"/>
    <col min="6114" max="6114" width="9.7109375" style="125" customWidth="1"/>
    <col min="6115" max="6116" width="3.7109375" style="125" customWidth="1"/>
    <col min="6117" max="6117" width="9.7109375" style="125" customWidth="1"/>
    <col min="6118" max="6119" width="3.7109375" style="125" customWidth="1"/>
    <col min="6120" max="6120" width="9.7109375" style="125" customWidth="1"/>
    <col min="6121" max="6122" width="3.7109375" style="125" customWidth="1"/>
    <col min="6123" max="6123" width="9.7109375" style="125" customWidth="1"/>
    <col min="6124" max="6125" width="3.7109375" style="125" customWidth="1"/>
    <col min="6126" max="6126" width="9.7109375" style="125" customWidth="1"/>
    <col min="6127" max="6128" width="3.7109375" style="125" customWidth="1"/>
    <col min="6129" max="6129" width="9.7109375" style="125" customWidth="1"/>
    <col min="6130" max="6131" width="3.7109375" style="125" customWidth="1"/>
    <col min="6132" max="6132" width="9.7109375" style="125" customWidth="1"/>
    <col min="6133" max="6134" width="3.7109375" style="125" customWidth="1"/>
    <col min="6135" max="6135" width="9.7109375" style="125" customWidth="1"/>
    <col min="6136" max="6137" width="3.7109375" style="125" customWidth="1"/>
    <col min="6138" max="6138" width="9.7109375" style="125" customWidth="1"/>
    <col min="6139" max="6140" width="3.7109375" style="125" customWidth="1"/>
    <col min="6141" max="6141" width="9.7109375" style="125" customWidth="1"/>
    <col min="6142" max="6142" width="3.7109375" style="125" customWidth="1"/>
    <col min="6143" max="6144" width="8" style="125"/>
    <col min="6145" max="6145" width="30.7109375" style="125" customWidth="1"/>
    <col min="6146" max="6146" width="9.7109375" style="125" customWidth="1"/>
    <col min="6147" max="6147" width="3.7109375" style="125" customWidth="1"/>
    <col min="6148" max="6148" width="9.7109375" style="125" customWidth="1"/>
    <col min="6149" max="6150" width="3.7109375" style="125" customWidth="1"/>
    <col min="6151" max="6151" width="9.7109375" style="125" customWidth="1"/>
    <col min="6152" max="6153" width="3.7109375" style="125" customWidth="1"/>
    <col min="6154" max="6154" width="9.7109375" style="125" customWidth="1"/>
    <col min="6155" max="6156" width="3.7109375" style="125" customWidth="1"/>
    <col min="6157" max="6157" width="9.7109375" style="125" customWidth="1"/>
    <col min="6158" max="6159" width="3.7109375" style="125" customWidth="1"/>
    <col min="6160" max="6160" width="9.7109375" style="125" customWidth="1"/>
    <col min="6161" max="6162" width="3.7109375" style="125" customWidth="1"/>
    <col min="6163" max="6163" width="9.7109375" style="125" customWidth="1"/>
    <col min="6164" max="6165" width="3.7109375" style="125" customWidth="1"/>
    <col min="6166" max="6166" width="9.7109375" style="125" customWidth="1"/>
    <col min="6167" max="6168" width="3.7109375" style="125" customWidth="1"/>
    <col min="6169" max="6169" width="9.7109375" style="125" customWidth="1"/>
    <col min="6170" max="6171" width="3.7109375" style="125" customWidth="1"/>
    <col min="6172" max="6172" width="9.7109375" style="125" customWidth="1"/>
    <col min="6173" max="6174" width="3.7109375" style="125" customWidth="1"/>
    <col min="6175" max="6175" width="9.7109375" style="125" customWidth="1"/>
    <col min="6176" max="6177" width="3.7109375" style="125" customWidth="1"/>
    <col min="6178" max="6178" width="9.7109375" style="125" customWidth="1"/>
    <col min="6179" max="6180" width="3.7109375" style="125" customWidth="1"/>
    <col min="6181" max="6181" width="9.7109375" style="125" customWidth="1"/>
    <col min="6182" max="6183" width="3.7109375" style="125" customWidth="1"/>
    <col min="6184" max="6184" width="9.7109375" style="125" customWidth="1"/>
    <col min="6185" max="6186" width="3.7109375" style="125" customWidth="1"/>
    <col min="6187" max="6187" width="9.7109375" style="125" customWidth="1"/>
    <col min="6188" max="6189" width="3.7109375" style="125" customWidth="1"/>
    <col min="6190" max="6190" width="9.7109375" style="125" customWidth="1"/>
    <col min="6191" max="6192" width="3.7109375" style="125" customWidth="1"/>
    <col min="6193" max="6193" width="9.7109375" style="125" customWidth="1"/>
    <col min="6194" max="6195" width="3.7109375" style="125" customWidth="1"/>
    <col min="6196" max="6196" width="9.7109375" style="125" customWidth="1"/>
    <col min="6197" max="6198" width="3.7109375" style="125" customWidth="1"/>
    <col min="6199" max="6199" width="9.7109375" style="125" customWidth="1"/>
    <col min="6200" max="6201" width="3.7109375" style="125" customWidth="1"/>
    <col min="6202" max="6202" width="9.7109375" style="125" customWidth="1"/>
    <col min="6203" max="6204" width="3.7109375" style="125" customWidth="1"/>
    <col min="6205" max="6205" width="9.7109375" style="125" customWidth="1"/>
    <col min="6206" max="6207" width="3.7109375" style="125" customWidth="1"/>
    <col min="6208" max="6208" width="9.7109375" style="125" customWidth="1"/>
    <col min="6209" max="6210" width="3.7109375" style="125" customWidth="1"/>
    <col min="6211" max="6211" width="9.7109375" style="125" customWidth="1"/>
    <col min="6212" max="6213" width="3.7109375" style="125" customWidth="1"/>
    <col min="6214" max="6214" width="9.7109375" style="125" customWidth="1"/>
    <col min="6215" max="6216" width="3.7109375" style="125" customWidth="1"/>
    <col min="6217" max="6217" width="9.7109375" style="125" customWidth="1"/>
    <col min="6218" max="6219" width="3.7109375" style="125" customWidth="1"/>
    <col min="6220" max="6220" width="9.7109375" style="125" customWidth="1"/>
    <col min="6221" max="6222" width="3.7109375" style="125" customWidth="1"/>
    <col min="6223" max="6223" width="9.7109375" style="125" customWidth="1"/>
    <col min="6224" max="6225" width="3.7109375" style="125" customWidth="1"/>
    <col min="6226" max="6226" width="9.7109375" style="125" customWidth="1"/>
    <col min="6227" max="6228" width="3.7109375" style="125" customWidth="1"/>
    <col min="6229" max="6229" width="9.7109375" style="125" customWidth="1"/>
    <col min="6230" max="6231" width="3.7109375" style="125" customWidth="1"/>
    <col min="6232" max="6232" width="9.7109375" style="125" customWidth="1"/>
    <col min="6233" max="6234" width="3.7109375" style="125" customWidth="1"/>
    <col min="6235" max="6235" width="9.7109375" style="125" customWidth="1"/>
    <col min="6236" max="6237" width="3.7109375" style="125" customWidth="1"/>
    <col min="6238" max="6238" width="9.7109375" style="125" customWidth="1"/>
    <col min="6239" max="6240" width="3.7109375" style="125" customWidth="1"/>
    <col min="6241" max="6241" width="9.7109375" style="125" customWidth="1"/>
    <col min="6242" max="6243" width="3.7109375" style="125" customWidth="1"/>
    <col min="6244" max="6244" width="9.7109375" style="125" customWidth="1"/>
    <col min="6245" max="6246" width="3.7109375" style="125" customWidth="1"/>
    <col min="6247" max="6247" width="9.7109375" style="125" customWidth="1"/>
    <col min="6248" max="6249" width="3.7109375" style="125" customWidth="1"/>
    <col min="6250" max="6250" width="9.7109375" style="125" customWidth="1"/>
    <col min="6251" max="6252" width="3.7109375" style="125" customWidth="1"/>
    <col min="6253" max="6253" width="9.7109375" style="125" customWidth="1"/>
    <col min="6254" max="6254" width="3.7109375" style="125" customWidth="1"/>
    <col min="6255" max="6255" width="5.7109375" style="125" bestFit="1" customWidth="1"/>
    <col min="6256" max="6256" width="9.7109375" style="125" customWidth="1"/>
    <col min="6257" max="6258" width="3.7109375" style="125" customWidth="1"/>
    <col min="6259" max="6259" width="9.7109375" style="125" customWidth="1"/>
    <col min="6260" max="6261" width="3.7109375" style="125" customWidth="1"/>
    <col min="6262" max="6262" width="9.7109375" style="125" customWidth="1"/>
    <col min="6263" max="6264" width="3.7109375" style="125" customWidth="1"/>
    <col min="6265" max="6265" width="9.7109375" style="125" customWidth="1"/>
    <col min="6266" max="6267" width="3.7109375" style="125" customWidth="1"/>
    <col min="6268" max="6268" width="9.7109375" style="125" customWidth="1"/>
    <col min="6269" max="6270" width="3.7109375" style="125" customWidth="1"/>
    <col min="6271" max="6271" width="9.7109375" style="125" customWidth="1"/>
    <col min="6272" max="6273" width="3.7109375" style="125" customWidth="1"/>
    <col min="6274" max="6274" width="9.7109375" style="125" customWidth="1"/>
    <col min="6275" max="6276" width="3.7109375" style="125" customWidth="1"/>
    <col min="6277" max="6277" width="9.7109375" style="125" customWidth="1"/>
    <col min="6278" max="6278" width="3.7109375" style="125" customWidth="1"/>
    <col min="6279" max="6279" width="5.7109375" style="125" bestFit="1" customWidth="1"/>
    <col min="6280" max="6280" width="9.7109375" style="125" customWidth="1"/>
    <col min="6281" max="6282" width="3.7109375" style="125" customWidth="1"/>
    <col min="6283" max="6283" width="9.7109375" style="125" customWidth="1"/>
    <col min="6284" max="6285" width="3.7109375" style="125" customWidth="1"/>
    <col min="6286" max="6286" width="9.7109375" style="125" customWidth="1"/>
    <col min="6287" max="6288" width="3.7109375" style="125" customWidth="1"/>
    <col min="6289" max="6289" width="9.7109375" style="125" customWidth="1"/>
    <col min="6290" max="6291" width="3.7109375" style="125" customWidth="1"/>
    <col min="6292" max="6292" width="9.7109375" style="125" customWidth="1"/>
    <col min="6293" max="6294" width="3.7109375" style="125" customWidth="1"/>
    <col min="6295" max="6295" width="9.7109375" style="125" customWidth="1"/>
    <col min="6296" max="6297" width="3.7109375" style="125" customWidth="1"/>
    <col min="6298" max="6298" width="9.7109375" style="125" customWidth="1"/>
    <col min="6299" max="6300" width="3.7109375" style="125" customWidth="1"/>
    <col min="6301" max="6301" width="9.7109375" style="125" customWidth="1"/>
    <col min="6302" max="6303" width="3.7109375" style="125" customWidth="1"/>
    <col min="6304" max="6304" width="9.7109375" style="125" customWidth="1"/>
    <col min="6305" max="6306" width="3.7109375" style="125" customWidth="1"/>
    <col min="6307" max="6307" width="9.7109375" style="125" customWidth="1"/>
    <col min="6308" max="6309" width="3.7109375" style="125" customWidth="1"/>
    <col min="6310" max="6310" width="9.7109375" style="125" customWidth="1"/>
    <col min="6311" max="6312" width="3.7109375" style="125" customWidth="1"/>
    <col min="6313" max="6313" width="9.7109375" style="125" customWidth="1"/>
    <col min="6314" max="6315" width="3.7109375" style="125" customWidth="1"/>
    <col min="6316" max="6316" width="9.7109375" style="125" customWidth="1"/>
    <col min="6317" max="6318" width="3.7109375" style="125" customWidth="1"/>
    <col min="6319" max="6319" width="9.7109375" style="125" customWidth="1"/>
    <col min="6320" max="6321" width="3.7109375" style="125" customWidth="1"/>
    <col min="6322" max="6322" width="9.7109375" style="125" customWidth="1"/>
    <col min="6323" max="6324" width="3.7109375" style="125" customWidth="1"/>
    <col min="6325" max="6325" width="9.7109375" style="125" customWidth="1"/>
    <col min="6326" max="6327" width="3.7109375" style="125" customWidth="1"/>
    <col min="6328" max="6328" width="9.7109375" style="125" customWidth="1"/>
    <col min="6329" max="6330" width="3.7109375" style="125" customWidth="1"/>
    <col min="6331" max="6331" width="9.7109375" style="125" customWidth="1"/>
    <col min="6332" max="6333" width="3.7109375" style="125" customWidth="1"/>
    <col min="6334" max="6334" width="9.7109375" style="125" customWidth="1"/>
    <col min="6335" max="6336" width="3.7109375" style="125" customWidth="1"/>
    <col min="6337" max="6337" width="9.7109375" style="125" customWidth="1"/>
    <col min="6338" max="6339" width="3.7109375" style="125" customWidth="1"/>
    <col min="6340" max="6340" width="9.7109375" style="125" customWidth="1"/>
    <col min="6341" max="6342" width="3.7109375" style="125" customWidth="1"/>
    <col min="6343" max="6343" width="9.7109375" style="125" customWidth="1"/>
    <col min="6344" max="6345" width="3.7109375" style="125" customWidth="1"/>
    <col min="6346" max="6346" width="9.7109375" style="125" customWidth="1"/>
    <col min="6347" max="6348" width="3.7109375" style="125" customWidth="1"/>
    <col min="6349" max="6349" width="9.7109375" style="125" customWidth="1"/>
    <col min="6350" max="6351" width="3.7109375" style="125" customWidth="1"/>
    <col min="6352" max="6352" width="9.7109375" style="125" customWidth="1"/>
    <col min="6353" max="6354" width="3.7109375" style="125" customWidth="1"/>
    <col min="6355" max="6355" width="9.7109375" style="125" customWidth="1"/>
    <col min="6356" max="6357" width="3.7109375" style="125" customWidth="1"/>
    <col min="6358" max="6358" width="9.7109375" style="125" customWidth="1"/>
    <col min="6359" max="6360" width="3.7109375" style="125" customWidth="1"/>
    <col min="6361" max="6361" width="9.7109375" style="125" customWidth="1"/>
    <col min="6362" max="6363" width="3.7109375" style="125" customWidth="1"/>
    <col min="6364" max="6364" width="9.7109375" style="125" customWidth="1"/>
    <col min="6365" max="6366" width="3.7109375" style="125" customWidth="1"/>
    <col min="6367" max="6367" width="9.7109375" style="125" customWidth="1"/>
    <col min="6368" max="6369" width="3.7109375" style="125" customWidth="1"/>
    <col min="6370" max="6370" width="9.7109375" style="125" customWidth="1"/>
    <col min="6371" max="6372" width="3.7109375" style="125" customWidth="1"/>
    <col min="6373" max="6373" width="9.7109375" style="125" customWidth="1"/>
    <col min="6374" max="6375" width="3.7109375" style="125" customWidth="1"/>
    <col min="6376" max="6376" width="9.7109375" style="125" customWidth="1"/>
    <col min="6377" max="6378" width="3.7109375" style="125" customWidth="1"/>
    <col min="6379" max="6379" width="9.7109375" style="125" customWidth="1"/>
    <col min="6380" max="6381" width="3.7109375" style="125" customWidth="1"/>
    <col min="6382" max="6382" width="9.7109375" style="125" customWidth="1"/>
    <col min="6383" max="6384" width="3.7109375" style="125" customWidth="1"/>
    <col min="6385" max="6385" width="9.7109375" style="125" customWidth="1"/>
    <col min="6386" max="6387" width="3.7109375" style="125" customWidth="1"/>
    <col min="6388" max="6388" width="9.7109375" style="125" customWidth="1"/>
    <col min="6389" max="6390" width="3.7109375" style="125" customWidth="1"/>
    <col min="6391" max="6391" width="9.7109375" style="125" customWidth="1"/>
    <col min="6392" max="6393" width="3.7109375" style="125" customWidth="1"/>
    <col min="6394" max="6394" width="9.7109375" style="125" customWidth="1"/>
    <col min="6395" max="6396" width="3.7109375" style="125" customWidth="1"/>
    <col min="6397" max="6397" width="9.7109375" style="125" customWidth="1"/>
    <col min="6398" max="6398" width="3.7109375" style="125" customWidth="1"/>
    <col min="6399" max="6400" width="8" style="125"/>
    <col min="6401" max="6401" width="30.7109375" style="125" customWidth="1"/>
    <col min="6402" max="6402" width="9.7109375" style="125" customWidth="1"/>
    <col min="6403" max="6403" width="3.7109375" style="125" customWidth="1"/>
    <col min="6404" max="6404" width="9.7109375" style="125" customWidth="1"/>
    <col min="6405" max="6406" width="3.7109375" style="125" customWidth="1"/>
    <col min="6407" max="6407" width="9.7109375" style="125" customWidth="1"/>
    <col min="6408" max="6409" width="3.7109375" style="125" customWidth="1"/>
    <col min="6410" max="6410" width="9.7109375" style="125" customWidth="1"/>
    <col min="6411" max="6412" width="3.7109375" style="125" customWidth="1"/>
    <col min="6413" max="6413" width="9.7109375" style="125" customWidth="1"/>
    <col min="6414" max="6415" width="3.7109375" style="125" customWidth="1"/>
    <col min="6416" max="6416" width="9.7109375" style="125" customWidth="1"/>
    <col min="6417" max="6418" width="3.7109375" style="125" customWidth="1"/>
    <col min="6419" max="6419" width="9.7109375" style="125" customWidth="1"/>
    <col min="6420" max="6421" width="3.7109375" style="125" customWidth="1"/>
    <col min="6422" max="6422" width="9.7109375" style="125" customWidth="1"/>
    <col min="6423" max="6424" width="3.7109375" style="125" customWidth="1"/>
    <col min="6425" max="6425" width="9.7109375" style="125" customWidth="1"/>
    <col min="6426" max="6427" width="3.7109375" style="125" customWidth="1"/>
    <col min="6428" max="6428" width="9.7109375" style="125" customWidth="1"/>
    <col min="6429" max="6430" width="3.7109375" style="125" customWidth="1"/>
    <col min="6431" max="6431" width="9.7109375" style="125" customWidth="1"/>
    <col min="6432" max="6433" width="3.7109375" style="125" customWidth="1"/>
    <col min="6434" max="6434" width="9.7109375" style="125" customWidth="1"/>
    <col min="6435" max="6436" width="3.7109375" style="125" customWidth="1"/>
    <col min="6437" max="6437" width="9.7109375" style="125" customWidth="1"/>
    <col min="6438" max="6439" width="3.7109375" style="125" customWidth="1"/>
    <col min="6440" max="6440" width="9.7109375" style="125" customWidth="1"/>
    <col min="6441" max="6442" width="3.7109375" style="125" customWidth="1"/>
    <col min="6443" max="6443" width="9.7109375" style="125" customWidth="1"/>
    <col min="6444" max="6445" width="3.7109375" style="125" customWidth="1"/>
    <col min="6446" max="6446" width="9.7109375" style="125" customWidth="1"/>
    <col min="6447" max="6448" width="3.7109375" style="125" customWidth="1"/>
    <col min="6449" max="6449" width="9.7109375" style="125" customWidth="1"/>
    <col min="6450" max="6451" width="3.7109375" style="125" customWidth="1"/>
    <col min="6452" max="6452" width="9.7109375" style="125" customWidth="1"/>
    <col min="6453" max="6454" width="3.7109375" style="125" customWidth="1"/>
    <col min="6455" max="6455" width="9.7109375" style="125" customWidth="1"/>
    <col min="6456" max="6457" width="3.7109375" style="125" customWidth="1"/>
    <col min="6458" max="6458" width="9.7109375" style="125" customWidth="1"/>
    <col min="6459" max="6460" width="3.7109375" style="125" customWidth="1"/>
    <col min="6461" max="6461" width="9.7109375" style="125" customWidth="1"/>
    <col min="6462" max="6463" width="3.7109375" style="125" customWidth="1"/>
    <col min="6464" max="6464" width="9.7109375" style="125" customWidth="1"/>
    <col min="6465" max="6466" width="3.7109375" style="125" customWidth="1"/>
    <col min="6467" max="6467" width="9.7109375" style="125" customWidth="1"/>
    <col min="6468" max="6469" width="3.7109375" style="125" customWidth="1"/>
    <col min="6470" max="6470" width="9.7109375" style="125" customWidth="1"/>
    <col min="6471" max="6472" width="3.7109375" style="125" customWidth="1"/>
    <col min="6473" max="6473" width="9.7109375" style="125" customWidth="1"/>
    <col min="6474" max="6475" width="3.7109375" style="125" customWidth="1"/>
    <col min="6476" max="6476" width="9.7109375" style="125" customWidth="1"/>
    <col min="6477" max="6478" width="3.7109375" style="125" customWidth="1"/>
    <col min="6479" max="6479" width="9.7109375" style="125" customWidth="1"/>
    <col min="6480" max="6481" width="3.7109375" style="125" customWidth="1"/>
    <col min="6482" max="6482" width="9.7109375" style="125" customWidth="1"/>
    <col min="6483" max="6484" width="3.7109375" style="125" customWidth="1"/>
    <col min="6485" max="6485" width="9.7109375" style="125" customWidth="1"/>
    <col min="6486" max="6487" width="3.7109375" style="125" customWidth="1"/>
    <col min="6488" max="6488" width="9.7109375" style="125" customWidth="1"/>
    <col min="6489" max="6490" width="3.7109375" style="125" customWidth="1"/>
    <col min="6491" max="6491" width="9.7109375" style="125" customWidth="1"/>
    <col min="6492" max="6493" width="3.7109375" style="125" customWidth="1"/>
    <col min="6494" max="6494" width="9.7109375" style="125" customWidth="1"/>
    <col min="6495" max="6496" width="3.7109375" style="125" customWidth="1"/>
    <col min="6497" max="6497" width="9.7109375" style="125" customWidth="1"/>
    <col min="6498" max="6499" width="3.7109375" style="125" customWidth="1"/>
    <col min="6500" max="6500" width="9.7109375" style="125" customWidth="1"/>
    <col min="6501" max="6502" width="3.7109375" style="125" customWidth="1"/>
    <col min="6503" max="6503" width="9.7109375" style="125" customWidth="1"/>
    <col min="6504" max="6505" width="3.7109375" style="125" customWidth="1"/>
    <col min="6506" max="6506" width="9.7109375" style="125" customWidth="1"/>
    <col min="6507" max="6508" width="3.7109375" style="125" customWidth="1"/>
    <col min="6509" max="6509" width="9.7109375" style="125" customWidth="1"/>
    <col min="6510" max="6510" width="3.7109375" style="125" customWidth="1"/>
    <col min="6511" max="6511" width="5.7109375" style="125" bestFit="1" customWidth="1"/>
    <col min="6512" max="6512" width="9.7109375" style="125" customWidth="1"/>
    <col min="6513" max="6514" width="3.7109375" style="125" customWidth="1"/>
    <col min="6515" max="6515" width="9.7109375" style="125" customWidth="1"/>
    <col min="6516" max="6517" width="3.7109375" style="125" customWidth="1"/>
    <col min="6518" max="6518" width="9.7109375" style="125" customWidth="1"/>
    <col min="6519" max="6520" width="3.7109375" style="125" customWidth="1"/>
    <col min="6521" max="6521" width="9.7109375" style="125" customWidth="1"/>
    <col min="6522" max="6523" width="3.7109375" style="125" customWidth="1"/>
    <col min="6524" max="6524" width="9.7109375" style="125" customWidth="1"/>
    <col min="6525" max="6526" width="3.7109375" style="125" customWidth="1"/>
    <col min="6527" max="6527" width="9.7109375" style="125" customWidth="1"/>
    <col min="6528" max="6529" width="3.7109375" style="125" customWidth="1"/>
    <col min="6530" max="6530" width="9.7109375" style="125" customWidth="1"/>
    <col min="6531" max="6532" width="3.7109375" style="125" customWidth="1"/>
    <col min="6533" max="6533" width="9.7109375" style="125" customWidth="1"/>
    <col min="6534" max="6534" width="3.7109375" style="125" customWidth="1"/>
    <col min="6535" max="6535" width="5.7109375" style="125" bestFit="1" customWidth="1"/>
    <col min="6536" max="6536" width="9.7109375" style="125" customWidth="1"/>
    <col min="6537" max="6538" width="3.7109375" style="125" customWidth="1"/>
    <col min="6539" max="6539" width="9.7109375" style="125" customWidth="1"/>
    <col min="6540" max="6541" width="3.7109375" style="125" customWidth="1"/>
    <col min="6542" max="6542" width="9.7109375" style="125" customWidth="1"/>
    <col min="6543" max="6544" width="3.7109375" style="125" customWidth="1"/>
    <col min="6545" max="6545" width="9.7109375" style="125" customWidth="1"/>
    <col min="6546" max="6547" width="3.7109375" style="125" customWidth="1"/>
    <col min="6548" max="6548" width="9.7109375" style="125" customWidth="1"/>
    <col min="6549" max="6550" width="3.7109375" style="125" customWidth="1"/>
    <col min="6551" max="6551" width="9.7109375" style="125" customWidth="1"/>
    <col min="6552" max="6553" width="3.7109375" style="125" customWidth="1"/>
    <col min="6554" max="6554" width="9.7109375" style="125" customWidth="1"/>
    <col min="6555" max="6556" width="3.7109375" style="125" customWidth="1"/>
    <col min="6557" max="6557" width="9.7109375" style="125" customWidth="1"/>
    <col min="6558" max="6559" width="3.7109375" style="125" customWidth="1"/>
    <col min="6560" max="6560" width="9.7109375" style="125" customWidth="1"/>
    <col min="6561" max="6562" width="3.7109375" style="125" customWidth="1"/>
    <col min="6563" max="6563" width="9.7109375" style="125" customWidth="1"/>
    <col min="6564" max="6565" width="3.7109375" style="125" customWidth="1"/>
    <col min="6566" max="6566" width="9.7109375" style="125" customWidth="1"/>
    <col min="6567" max="6568" width="3.7109375" style="125" customWidth="1"/>
    <col min="6569" max="6569" width="9.7109375" style="125" customWidth="1"/>
    <col min="6570" max="6571" width="3.7109375" style="125" customWidth="1"/>
    <col min="6572" max="6572" width="9.7109375" style="125" customWidth="1"/>
    <col min="6573" max="6574" width="3.7109375" style="125" customWidth="1"/>
    <col min="6575" max="6575" width="9.7109375" style="125" customWidth="1"/>
    <col min="6576" max="6577" width="3.7109375" style="125" customWidth="1"/>
    <col min="6578" max="6578" width="9.7109375" style="125" customWidth="1"/>
    <col min="6579" max="6580" width="3.7109375" style="125" customWidth="1"/>
    <col min="6581" max="6581" width="9.7109375" style="125" customWidth="1"/>
    <col min="6582" max="6583" width="3.7109375" style="125" customWidth="1"/>
    <col min="6584" max="6584" width="9.7109375" style="125" customWidth="1"/>
    <col min="6585" max="6586" width="3.7109375" style="125" customWidth="1"/>
    <col min="6587" max="6587" width="9.7109375" style="125" customWidth="1"/>
    <col min="6588" max="6589" width="3.7109375" style="125" customWidth="1"/>
    <col min="6590" max="6590" width="9.7109375" style="125" customWidth="1"/>
    <col min="6591" max="6592" width="3.7109375" style="125" customWidth="1"/>
    <col min="6593" max="6593" width="9.7109375" style="125" customWidth="1"/>
    <col min="6594" max="6595" width="3.7109375" style="125" customWidth="1"/>
    <col min="6596" max="6596" width="9.7109375" style="125" customWidth="1"/>
    <col min="6597" max="6598" width="3.7109375" style="125" customWidth="1"/>
    <col min="6599" max="6599" width="9.7109375" style="125" customWidth="1"/>
    <col min="6600" max="6601" width="3.7109375" style="125" customWidth="1"/>
    <col min="6602" max="6602" width="9.7109375" style="125" customWidth="1"/>
    <col min="6603" max="6604" width="3.7109375" style="125" customWidth="1"/>
    <col min="6605" max="6605" width="9.7109375" style="125" customWidth="1"/>
    <col min="6606" max="6607" width="3.7109375" style="125" customWidth="1"/>
    <col min="6608" max="6608" width="9.7109375" style="125" customWidth="1"/>
    <col min="6609" max="6610" width="3.7109375" style="125" customWidth="1"/>
    <col min="6611" max="6611" width="9.7109375" style="125" customWidth="1"/>
    <col min="6612" max="6613" width="3.7109375" style="125" customWidth="1"/>
    <col min="6614" max="6614" width="9.7109375" style="125" customWidth="1"/>
    <col min="6615" max="6616" width="3.7109375" style="125" customWidth="1"/>
    <col min="6617" max="6617" width="9.7109375" style="125" customWidth="1"/>
    <col min="6618" max="6619" width="3.7109375" style="125" customWidth="1"/>
    <col min="6620" max="6620" width="9.7109375" style="125" customWidth="1"/>
    <col min="6621" max="6622" width="3.7109375" style="125" customWidth="1"/>
    <col min="6623" max="6623" width="9.7109375" style="125" customWidth="1"/>
    <col min="6624" max="6625" width="3.7109375" style="125" customWidth="1"/>
    <col min="6626" max="6626" width="9.7109375" style="125" customWidth="1"/>
    <col min="6627" max="6628" width="3.7109375" style="125" customWidth="1"/>
    <col min="6629" max="6629" width="9.7109375" style="125" customWidth="1"/>
    <col min="6630" max="6631" width="3.7109375" style="125" customWidth="1"/>
    <col min="6632" max="6632" width="9.7109375" style="125" customWidth="1"/>
    <col min="6633" max="6634" width="3.7109375" style="125" customWidth="1"/>
    <col min="6635" max="6635" width="9.7109375" style="125" customWidth="1"/>
    <col min="6636" max="6637" width="3.7109375" style="125" customWidth="1"/>
    <col min="6638" max="6638" width="9.7109375" style="125" customWidth="1"/>
    <col min="6639" max="6640" width="3.7109375" style="125" customWidth="1"/>
    <col min="6641" max="6641" width="9.7109375" style="125" customWidth="1"/>
    <col min="6642" max="6643" width="3.7109375" style="125" customWidth="1"/>
    <col min="6644" max="6644" width="9.7109375" style="125" customWidth="1"/>
    <col min="6645" max="6646" width="3.7109375" style="125" customWidth="1"/>
    <col min="6647" max="6647" width="9.7109375" style="125" customWidth="1"/>
    <col min="6648" max="6649" width="3.7109375" style="125" customWidth="1"/>
    <col min="6650" max="6650" width="9.7109375" style="125" customWidth="1"/>
    <col min="6651" max="6652" width="3.7109375" style="125" customWidth="1"/>
    <col min="6653" max="6653" width="9.7109375" style="125" customWidth="1"/>
    <col min="6654" max="6654" width="3.7109375" style="125" customWidth="1"/>
    <col min="6655" max="6656" width="8" style="125"/>
    <col min="6657" max="6657" width="30.7109375" style="125" customWidth="1"/>
    <col min="6658" max="6658" width="9.7109375" style="125" customWidth="1"/>
    <col min="6659" max="6659" width="3.7109375" style="125" customWidth="1"/>
    <col min="6660" max="6660" width="9.7109375" style="125" customWidth="1"/>
    <col min="6661" max="6662" width="3.7109375" style="125" customWidth="1"/>
    <col min="6663" max="6663" width="9.7109375" style="125" customWidth="1"/>
    <col min="6664" max="6665" width="3.7109375" style="125" customWidth="1"/>
    <col min="6666" max="6666" width="9.7109375" style="125" customWidth="1"/>
    <col min="6667" max="6668" width="3.7109375" style="125" customWidth="1"/>
    <col min="6669" max="6669" width="9.7109375" style="125" customWidth="1"/>
    <col min="6670" max="6671" width="3.7109375" style="125" customWidth="1"/>
    <col min="6672" max="6672" width="9.7109375" style="125" customWidth="1"/>
    <col min="6673" max="6674" width="3.7109375" style="125" customWidth="1"/>
    <col min="6675" max="6675" width="9.7109375" style="125" customWidth="1"/>
    <col min="6676" max="6677" width="3.7109375" style="125" customWidth="1"/>
    <col min="6678" max="6678" width="9.7109375" style="125" customWidth="1"/>
    <col min="6679" max="6680" width="3.7109375" style="125" customWidth="1"/>
    <col min="6681" max="6681" width="9.7109375" style="125" customWidth="1"/>
    <col min="6682" max="6683" width="3.7109375" style="125" customWidth="1"/>
    <col min="6684" max="6684" width="9.7109375" style="125" customWidth="1"/>
    <col min="6685" max="6686" width="3.7109375" style="125" customWidth="1"/>
    <col min="6687" max="6687" width="9.7109375" style="125" customWidth="1"/>
    <col min="6688" max="6689" width="3.7109375" style="125" customWidth="1"/>
    <col min="6690" max="6690" width="9.7109375" style="125" customWidth="1"/>
    <col min="6691" max="6692" width="3.7109375" style="125" customWidth="1"/>
    <col min="6693" max="6693" width="9.7109375" style="125" customWidth="1"/>
    <col min="6694" max="6695" width="3.7109375" style="125" customWidth="1"/>
    <col min="6696" max="6696" width="9.7109375" style="125" customWidth="1"/>
    <col min="6697" max="6698" width="3.7109375" style="125" customWidth="1"/>
    <col min="6699" max="6699" width="9.7109375" style="125" customWidth="1"/>
    <col min="6700" max="6701" width="3.7109375" style="125" customWidth="1"/>
    <col min="6702" max="6702" width="9.7109375" style="125" customWidth="1"/>
    <col min="6703" max="6704" width="3.7109375" style="125" customWidth="1"/>
    <col min="6705" max="6705" width="9.7109375" style="125" customWidth="1"/>
    <col min="6706" max="6707" width="3.7109375" style="125" customWidth="1"/>
    <col min="6708" max="6708" width="9.7109375" style="125" customWidth="1"/>
    <col min="6709" max="6710" width="3.7109375" style="125" customWidth="1"/>
    <col min="6711" max="6711" width="9.7109375" style="125" customWidth="1"/>
    <col min="6712" max="6713" width="3.7109375" style="125" customWidth="1"/>
    <col min="6714" max="6714" width="9.7109375" style="125" customWidth="1"/>
    <col min="6715" max="6716" width="3.7109375" style="125" customWidth="1"/>
    <col min="6717" max="6717" width="9.7109375" style="125" customWidth="1"/>
    <col min="6718" max="6719" width="3.7109375" style="125" customWidth="1"/>
    <col min="6720" max="6720" width="9.7109375" style="125" customWidth="1"/>
    <col min="6721" max="6722" width="3.7109375" style="125" customWidth="1"/>
    <col min="6723" max="6723" width="9.7109375" style="125" customWidth="1"/>
    <col min="6724" max="6725" width="3.7109375" style="125" customWidth="1"/>
    <col min="6726" max="6726" width="9.7109375" style="125" customWidth="1"/>
    <col min="6727" max="6728" width="3.7109375" style="125" customWidth="1"/>
    <col min="6729" max="6729" width="9.7109375" style="125" customWidth="1"/>
    <col min="6730" max="6731" width="3.7109375" style="125" customWidth="1"/>
    <col min="6732" max="6732" width="9.7109375" style="125" customWidth="1"/>
    <col min="6733" max="6734" width="3.7109375" style="125" customWidth="1"/>
    <col min="6735" max="6735" width="9.7109375" style="125" customWidth="1"/>
    <col min="6736" max="6737" width="3.7109375" style="125" customWidth="1"/>
    <col min="6738" max="6738" width="9.7109375" style="125" customWidth="1"/>
    <col min="6739" max="6740" width="3.7109375" style="125" customWidth="1"/>
    <col min="6741" max="6741" width="9.7109375" style="125" customWidth="1"/>
    <col min="6742" max="6743" width="3.7109375" style="125" customWidth="1"/>
    <col min="6744" max="6744" width="9.7109375" style="125" customWidth="1"/>
    <col min="6745" max="6746" width="3.7109375" style="125" customWidth="1"/>
    <col min="6747" max="6747" width="9.7109375" style="125" customWidth="1"/>
    <col min="6748" max="6749" width="3.7109375" style="125" customWidth="1"/>
    <col min="6750" max="6750" width="9.7109375" style="125" customWidth="1"/>
    <col min="6751" max="6752" width="3.7109375" style="125" customWidth="1"/>
    <col min="6753" max="6753" width="9.7109375" style="125" customWidth="1"/>
    <col min="6754" max="6755" width="3.7109375" style="125" customWidth="1"/>
    <col min="6756" max="6756" width="9.7109375" style="125" customWidth="1"/>
    <col min="6757" max="6758" width="3.7109375" style="125" customWidth="1"/>
    <col min="6759" max="6759" width="9.7109375" style="125" customWidth="1"/>
    <col min="6760" max="6761" width="3.7109375" style="125" customWidth="1"/>
    <col min="6762" max="6762" width="9.7109375" style="125" customWidth="1"/>
    <col min="6763" max="6764" width="3.7109375" style="125" customWidth="1"/>
    <col min="6765" max="6765" width="9.7109375" style="125" customWidth="1"/>
    <col min="6766" max="6766" width="3.7109375" style="125" customWidth="1"/>
    <col min="6767" max="6767" width="5.7109375" style="125" bestFit="1" customWidth="1"/>
    <col min="6768" max="6768" width="9.7109375" style="125" customWidth="1"/>
    <col min="6769" max="6770" width="3.7109375" style="125" customWidth="1"/>
    <col min="6771" max="6771" width="9.7109375" style="125" customWidth="1"/>
    <col min="6772" max="6773" width="3.7109375" style="125" customWidth="1"/>
    <col min="6774" max="6774" width="9.7109375" style="125" customWidth="1"/>
    <col min="6775" max="6776" width="3.7109375" style="125" customWidth="1"/>
    <col min="6777" max="6777" width="9.7109375" style="125" customWidth="1"/>
    <col min="6778" max="6779" width="3.7109375" style="125" customWidth="1"/>
    <col min="6780" max="6780" width="9.7109375" style="125" customWidth="1"/>
    <col min="6781" max="6782" width="3.7109375" style="125" customWidth="1"/>
    <col min="6783" max="6783" width="9.7109375" style="125" customWidth="1"/>
    <col min="6784" max="6785" width="3.7109375" style="125" customWidth="1"/>
    <col min="6786" max="6786" width="9.7109375" style="125" customWidth="1"/>
    <col min="6787" max="6788" width="3.7109375" style="125" customWidth="1"/>
    <col min="6789" max="6789" width="9.7109375" style="125" customWidth="1"/>
    <col min="6790" max="6790" width="3.7109375" style="125" customWidth="1"/>
    <col min="6791" max="6791" width="5.7109375" style="125" bestFit="1" customWidth="1"/>
    <col min="6792" max="6792" width="9.7109375" style="125" customWidth="1"/>
    <col min="6793" max="6794" width="3.7109375" style="125" customWidth="1"/>
    <col min="6795" max="6795" width="9.7109375" style="125" customWidth="1"/>
    <col min="6796" max="6797" width="3.7109375" style="125" customWidth="1"/>
    <col min="6798" max="6798" width="9.7109375" style="125" customWidth="1"/>
    <col min="6799" max="6800" width="3.7109375" style="125" customWidth="1"/>
    <col min="6801" max="6801" width="9.7109375" style="125" customWidth="1"/>
    <col min="6802" max="6803" width="3.7109375" style="125" customWidth="1"/>
    <col min="6804" max="6804" width="9.7109375" style="125" customWidth="1"/>
    <col min="6805" max="6806" width="3.7109375" style="125" customWidth="1"/>
    <col min="6807" max="6807" width="9.7109375" style="125" customWidth="1"/>
    <col min="6808" max="6809" width="3.7109375" style="125" customWidth="1"/>
    <col min="6810" max="6810" width="9.7109375" style="125" customWidth="1"/>
    <col min="6811" max="6812" width="3.7109375" style="125" customWidth="1"/>
    <col min="6813" max="6813" width="9.7109375" style="125" customWidth="1"/>
    <col min="6814" max="6815" width="3.7109375" style="125" customWidth="1"/>
    <col min="6816" max="6816" width="9.7109375" style="125" customWidth="1"/>
    <col min="6817" max="6818" width="3.7109375" style="125" customWidth="1"/>
    <col min="6819" max="6819" width="9.7109375" style="125" customWidth="1"/>
    <col min="6820" max="6821" width="3.7109375" style="125" customWidth="1"/>
    <col min="6822" max="6822" width="9.7109375" style="125" customWidth="1"/>
    <col min="6823" max="6824" width="3.7109375" style="125" customWidth="1"/>
    <col min="6825" max="6825" width="9.7109375" style="125" customWidth="1"/>
    <col min="6826" max="6827" width="3.7109375" style="125" customWidth="1"/>
    <col min="6828" max="6828" width="9.7109375" style="125" customWidth="1"/>
    <col min="6829" max="6830" width="3.7109375" style="125" customWidth="1"/>
    <col min="6831" max="6831" width="9.7109375" style="125" customWidth="1"/>
    <col min="6832" max="6833" width="3.7109375" style="125" customWidth="1"/>
    <col min="6834" max="6834" width="9.7109375" style="125" customWidth="1"/>
    <col min="6835" max="6836" width="3.7109375" style="125" customWidth="1"/>
    <col min="6837" max="6837" width="9.7109375" style="125" customWidth="1"/>
    <col min="6838" max="6839" width="3.7109375" style="125" customWidth="1"/>
    <col min="6840" max="6840" width="9.7109375" style="125" customWidth="1"/>
    <col min="6841" max="6842" width="3.7109375" style="125" customWidth="1"/>
    <col min="6843" max="6843" width="9.7109375" style="125" customWidth="1"/>
    <col min="6844" max="6845" width="3.7109375" style="125" customWidth="1"/>
    <col min="6846" max="6846" width="9.7109375" style="125" customWidth="1"/>
    <col min="6847" max="6848" width="3.7109375" style="125" customWidth="1"/>
    <col min="6849" max="6849" width="9.7109375" style="125" customWidth="1"/>
    <col min="6850" max="6851" width="3.7109375" style="125" customWidth="1"/>
    <col min="6852" max="6852" width="9.7109375" style="125" customWidth="1"/>
    <col min="6853" max="6854" width="3.7109375" style="125" customWidth="1"/>
    <col min="6855" max="6855" width="9.7109375" style="125" customWidth="1"/>
    <col min="6856" max="6857" width="3.7109375" style="125" customWidth="1"/>
    <col min="6858" max="6858" width="9.7109375" style="125" customWidth="1"/>
    <col min="6859" max="6860" width="3.7109375" style="125" customWidth="1"/>
    <col min="6861" max="6861" width="9.7109375" style="125" customWidth="1"/>
    <col min="6862" max="6863" width="3.7109375" style="125" customWidth="1"/>
    <col min="6864" max="6864" width="9.7109375" style="125" customWidth="1"/>
    <col min="6865" max="6866" width="3.7109375" style="125" customWidth="1"/>
    <col min="6867" max="6867" width="9.7109375" style="125" customWidth="1"/>
    <col min="6868" max="6869" width="3.7109375" style="125" customWidth="1"/>
    <col min="6870" max="6870" width="9.7109375" style="125" customWidth="1"/>
    <col min="6871" max="6872" width="3.7109375" style="125" customWidth="1"/>
    <col min="6873" max="6873" width="9.7109375" style="125" customWidth="1"/>
    <col min="6874" max="6875" width="3.7109375" style="125" customWidth="1"/>
    <col min="6876" max="6876" width="9.7109375" style="125" customWidth="1"/>
    <col min="6877" max="6878" width="3.7109375" style="125" customWidth="1"/>
    <col min="6879" max="6879" width="9.7109375" style="125" customWidth="1"/>
    <col min="6880" max="6881" width="3.7109375" style="125" customWidth="1"/>
    <col min="6882" max="6882" width="9.7109375" style="125" customWidth="1"/>
    <col min="6883" max="6884" width="3.7109375" style="125" customWidth="1"/>
    <col min="6885" max="6885" width="9.7109375" style="125" customWidth="1"/>
    <col min="6886" max="6887" width="3.7109375" style="125" customWidth="1"/>
    <col min="6888" max="6888" width="9.7109375" style="125" customWidth="1"/>
    <col min="6889" max="6890" width="3.7109375" style="125" customWidth="1"/>
    <col min="6891" max="6891" width="9.7109375" style="125" customWidth="1"/>
    <col min="6892" max="6893" width="3.7109375" style="125" customWidth="1"/>
    <col min="6894" max="6894" width="9.7109375" style="125" customWidth="1"/>
    <col min="6895" max="6896" width="3.7109375" style="125" customWidth="1"/>
    <col min="6897" max="6897" width="9.7109375" style="125" customWidth="1"/>
    <col min="6898" max="6899" width="3.7109375" style="125" customWidth="1"/>
    <col min="6900" max="6900" width="9.7109375" style="125" customWidth="1"/>
    <col min="6901" max="6902" width="3.7109375" style="125" customWidth="1"/>
    <col min="6903" max="6903" width="9.7109375" style="125" customWidth="1"/>
    <col min="6904" max="6905" width="3.7109375" style="125" customWidth="1"/>
    <col min="6906" max="6906" width="9.7109375" style="125" customWidth="1"/>
    <col min="6907" max="6908" width="3.7109375" style="125" customWidth="1"/>
    <col min="6909" max="6909" width="9.7109375" style="125" customWidth="1"/>
    <col min="6910" max="6910" width="3.7109375" style="125" customWidth="1"/>
    <col min="6911" max="6912" width="8" style="125"/>
    <col min="6913" max="6913" width="30.7109375" style="125" customWidth="1"/>
    <col min="6914" max="6914" width="9.7109375" style="125" customWidth="1"/>
    <col min="6915" max="6915" width="3.7109375" style="125" customWidth="1"/>
    <col min="6916" max="6916" width="9.7109375" style="125" customWidth="1"/>
    <col min="6917" max="6918" width="3.7109375" style="125" customWidth="1"/>
    <col min="6919" max="6919" width="9.7109375" style="125" customWidth="1"/>
    <col min="6920" max="6921" width="3.7109375" style="125" customWidth="1"/>
    <col min="6922" max="6922" width="9.7109375" style="125" customWidth="1"/>
    <col min="6923" max="6924" width="3.7109375" style="125" customWidth="1"/>
    <col min="6925" max="6925" width="9.7109375" style="125" customWidth="1"/>
    <col min="6926" max="6927" width="3.7109375" style="125" customWidth="1"/>
    <col min="6928" max="6928" width="9.7109375" style="125" customWidth="1"/>
    <col min="6929" max="6930" width="3.7109375" style="125" customWidth="1"/>
    <col min="6931" max="6931" width="9.7109375" style="125" customWidth="1"/>
    <col min="6932" max="6933" width="3.7109375" style="125" customWidth="1"/>
    <col min="6934" max="6934" width="9.7109375" style="125" customWidth="1"/>
    <col min="6935" max="6936" width="3.7109375" style="125" customWidth="1"/>
    <col min="6937" max="6937" width="9.7109375" style="125" customWidth="1"/>
    <col min="6938" max="6939" width="3.7109375" style="125" customWidth="1"/>
    <col min="6940" max="6940" width="9.7109375" style="125" customWidth="1"/>
    <col min="6941" max="6942" width="3.7109375" style="125" customWidth="1"/>
    <col min="6943" max="6943" width="9.7109375" style="125" customWidth="1"/>
    <col min="6944" max="6945" width="3.7109375" style="125" customWidth="1"/>
    <col min="6946" max="6946" width="9.7109375" style="125" customWidth="1"/>
    <col min="6947" max="6948" width="3.7109375" style="125" customWidth="1"/>
    <col min="6949" max="6949" width="9.7109375" style="125" customWidth="1"/>
    <col min="6950" max="6951" width="3.7109375" style="125" customWidth="1"/>
    <col min="6952" max="6952" width="9.7109375" style="125" customWidth="1"/>
    <col min="6953" max="6954" width="3.7109375" style="125" customWidth="1"/>
    <col min="6955" max="6955" width="9.7109375" style="125" customWidth="1"/>
    <col min="6956" max="6957" width="3.7109375" style="125" customWidth="1"/>
    <col min="6958" max="6958" width="9.7109375" style="125" customWidth="1"/>
    <col min="6959" max="6960" width="3.7109375" style="125" customWidth="1"/>
    <col min="6961" max="6961" width="9.7109375" style="125" customWidth="1"/>
    <col min="6962" max="6963" width="3.7109375" style="125" customWidth="1"/>
    <col min="6964" max="6964" width="9.7109375" style="125" customWidth="1"/>
    <col min="6965" max="6966" width="3.7109375" style="125" customWidth="1"/>
    <col min="6967" max="6967" width="9.7109375" style="125" customWidth="1"/>
    <col min="6968" max="6969" width="3.7109375" style="125" customWidth="1"/>
    <col min="6970" max="6970" width="9.7109375" style="125" customWidth="1"/>
    <col min="6971" max="6972" width="3.7109375" style="125" customWidth="1"/>
    <col min="6973" max="6973" width="9.7109375" style="125" customWidth="1"/>
    <col min="6974" max="6975" width="3.7109375" style="125" customWidth="1"/>
    <col min="6976" max="6976" width="9.7109375" style="125" customWidth="1"/>
    <col min="6977" max="6978" width="3.7109375" style="125" customWidth="1"/>
    <col min="6979" max="6979" width="9.7109375" style="125" customWidth="1"/>
    <col min="6980" max="6981" width="3.7109375" style="125" customWidth="1"/>
    <col min="6982" max="6982" width="9.7109375" style="125" customWidth="1"/>
    <col min="6983" max="6984" width="3.7109375" style="125" customWidth="1"/>
    <col min="6985" max="6985" width="9.7109375" style="125" customWidth="1"/>
    <col min="6986" max="6987" width="3.7109375" style="125" customWidth="1"/>
    <col min="6988" max="6988" width="9.7109375" style="125" customWidth="1"/>
    <col min="6989" max="6990" width="3.7109375" style="125" customWidth="1"/>
    <col min="6991" max="6991" width="9.7109375" style="125" customWidth="1"/>
    <col min="6992" max="6993" width="3.7109375" style="125" customWidth="1"/>
    <col min="6994" max="6994" width="9.7109375" style="125" customWidth="1"/>
    <col min="6995" max="6996" width="3.7109375" style="125" customWidth="1"/>
    <col min="6997" max="6997" width="9.7109375" style="125" customWidth="1"/>
    <col min="6998" max="6999" width="3.7109375" style="125" customWidth="1"/>
    <col min="7000" max="7000" width="9.7109375" style="125" customWidth="1"/>
    <col min="7001" max="7002" width="3.7109375" style="125" customWidth="1"/>
    <col min="7003" max="7003" width="9.7109375" style="125" customWidth="1"/>
    <col min="7004" max="7005" width="3.7109375" style="125" customWidth="1"/>
    <col min="7006" max="7006" width="9.7109375" style="125" customWidth="1"/>
    <col min="7007" max="7008" width="3.7109375" style="125" customWidth="1"/>
    <col min="7009" max="7009" width="9.7109375" style="125" customWidth="1"/>
    <col min="7010" max="7011" width="3.7109375" style="125" customWidth="1"/>
    <col min="7012" max="7012" width="9.7109375" style="125" customWidth="1"/>
    <col min="7013" max="7014" width="3.7109375" style="125" customWidth="1"/>
    <col min="7015" max="7015" width="9.7109375" style="125" customWidth="1"/>
    <col min="7016" max="7017" width="3.7109375" style="125" customWidth="1"/>
    <col min="7018" max="7018" width="9.7109375" style="125" customWidth="1"/>
    <col min="7019" max="7020" width="3.7109375" style="125" customWidth="1"/>
    <col min="7021" max="7021" width="9.7109375" style="125" customWidth="1"/>
    <col min="7022" max="7022" width="3.7109375" style="125" customWidth="1"/>
    <col min="7023" max="7023" width="5.7109375" style="125" bestFit="1" customWidth="1"/>
    <col min="7024" max="7024" width="9.7109375" style="125" customWidth="1"/>
    <col min="7025" max="7026" width="3.7109375" style="125" customWidth="1"/>
    <col min="7027" max="7027" width="9.7109375" style="125" customWidth="1"/>
    <col min="7028" max="7029" width="3.7109375" style="125" customWidth="1"/>
    <col min="7030" max="7030" width="9.7109375" style="125" customWidth="1"/>
    <col min="7031" max="7032" width="3.7109375" style="125" customWidth="1"/>
    <col min="7033" max="7033" width="9.7109375" style="125" customWidth="1"/>
    <col min="7034" max="7035" width="3.7109375" style="125" customWidth="1"/>
    <col min="7036" max="7036" width="9.7109375" style="125" customWidth="1"/>
    <col min="7037" max="7038" width="3.7109375" style="125" customWidth="1"/>
    <col min="7039" max="7039" width="9.7109375" style="125" customWidth="1"/>
    <col min="7040" max="7041" width="3.7109375" style="125" customWidth="1"/>
    <col min="7042" max="7042" width="9.7109375" style="125" customWidth="1"/>
    <col min="7043" max="7044" width="3.7109375" style="125" customWidth="1"/>
    <col min="7045" max="7045" width="9.7109375" style="125" customWidth="1"/>
    <col min="7046" max="7046" width="3.7109375" style="125" customWidth="1"/>
    <col min="7047" max="7047" width="5.7109375" style="125" bestFit="1" customWidth="1"/>
    <col min="7048" max="7048" width="9.7109375" style="125" customWidth="1"/>
    <col min="7049" max="7050" width="3.7109375" style="125" customWidth="1"/>
    <col min="7051" max="7051" width="9.7109375" style="125" customWidth="1"/>
    <col min="7052" max="7053" width="3.7109375" style="125" customWidth="1"/>
    <col min="7054" max="7054" width="9.7109375" style="125" customWidth="1"/>
    <col min="7055" max="7056" width="3.7109375" style="125" customWidth="1"/>
    <col min="7057" max="7057" width="9.7109375" style="125" customWidth="1"/>
    <col min="7058" max="7059" width="3.7109375" style="125" customWidth="1"/>
    <col min="7060" max="7060" width="9.7109375" style="125" customWidth="1"/>
    <col min="7061" max="7062" width="3.7109375" style="125" customWidth="1"/>
    <col min="7063" max="7063" width="9.7109375" style="125" customWidth="1"/>
    <col min="7064" max="7065" width="3.7109375" style="125" customWidth="1"/>
    <col min="7066" max="7066" width="9.7109375" style="125" customWidth="1"/>
    <col min="7067" max="7068" width="3.7109375" style="125" customWidth="1"/>
    <col min="7069" max="7069" width="9.7109375" style="125" customWidth="1"/>
    <col min="7070" max="7071" width="3.7109375" style="125" customWidth="1"/>
    <col min="7072" max="7072" width="9.7109375" style="125" customWidth="1"/>
    <col min="7073" max="7074" width="3.7109375" style="125" customWidth="1"/>
    <col min="7075" max="7075" width="9.7109375" style="125" customWidth="1"/>
    <col min="7076" max="7077" width="3.7109375" style="125" customWidth="1"/>
    <col min="7078" max="7078" width="9.7109375" style="125" customWidth="1"/>
    <col min="7079" max="7080" width="3.7109375" style="125" customWidth="1"/>
    <col min="7081" max="7081" width="9.7109375" style="125" customWidth="1"/>
    <col min="7082" max="7083" width="3.7109375" style="125" customWidth="1"/>
    <col min="7084" max="7084" width="9.7109375" style="125" customWidth="1"/>
    <col min="7085" max="7086" width="3.7109375" style="125" customWidth="1"/>
    <col min="7087" max="7087" width="9.7109375" style="125" customWidth="1"/>
    <col min="7088" max="7089" width="3.7109375" style="125" customWidth="1"/>
    <col min="7090" max="7090" width="9.7109375" style="125" customWidth="1"/>
    <col min="7091" max="7092" width="3.7109375" style="125" customWidth="1"/>
    <col min="7093" max="7093" width="9.7109375" style="125" customWidth="1"/>
    <col min="7094" max="7095" width="3.7109375" style="125" customWidth="1"/>
    <col min="7096" max="7096" width="9.7109375" style="125" customWidth="1"/>
    <col min="7097" max="7098" width="3.7109375" style="125" customWidth="1"/>
    <col min="7099" max="7099" width="9.7109375" style="125" customWidth="1"/>
    <col min="7100" max="7101" width="3.7109375" style="125" customWidth="1"/>
    <col min="7102" max="7102" width="9.7109375" style="125" customWidth="1"/>
    <col min="7103" max="7104" width="3.7109375" style="125" customWidth="1"/>
    <col min="7105" max="7105" width="9.7109375" style="125" customWidth="1"/>
    <col min="7106" max="7107" width="3.7109375" style="125" customWidth="1"/>
    <col min="7108" max="7108" width="9.7109375" style="125" customWidth="1"/>
    <col min="7109" max="7110" width="3.7109375" style="125" customWidth="1"/>
    <col min="7111" max="7111" width="9.7109375" style="125" customWidth="1"/>
    <col min="7112" max="7113" width="3.7109375" style="125" customWidth="1"/>
    <col min="7114" max="7114" width="9.7109375" style="125" customWidth="1"/>
    <col min="7115" max="7116" width="3.7109375" style="125" customWidth="1"/>
    <col min="7117" max="7117" width="9.7109375" style="125" customWidth="1"/>
    <col min="7118" max="7119" width="3.7109375" style="125" customWidth="1"/>
    <col min="7120" max="7120" width="9.7109375" style="125" customWidth="1"/>
    <col min="7121" max="7122" width="3.7109375" style="125" customWidth="1"/>
    <col min="7123" max="7123" width="9.7109375" style="125" customWidth="1"/>
    <col min="7124" max="7125" width="3.7109375" style="125" customWidth="1"/>
    <col min="7126" max="7126" width="9.7109375" style="125" customWidth="1"/>
    <col min="7127" max="7128" width="3.7109375" style="125" customWidth="1"/>
    <col min="7129" max="7129" width="9.7109375" style="125" customWidth="1"/>
    <col min="7130" max="7131" width="3.7109375" style="125" customWidth="1"/>
    <col min="7132" max="7132" width="9.7109375" style="125" customWidth="1"/>
    <col min="7133" max="7134" width="3.7109375" style="125" customWidth="1"/>
    <col min="7135" max="7135" width="9.7109375" style="125" customWidth="1"/>
    <col min="7136" max="7137" width="3.7109375" style="125" customWidth="1"/>
    <col min="7138" max="7138" width="9.7109375" style="125" customWidth="1"/>
    <col min="7139" max="7140" width="3.7109375" style="125" customWidth="1"/>
    <col min="7141" max="7141" width="9.7109375" style="125" customWidth="1"/>
    <col min="7142" max="7143" width="3.7109375" style="125" customWidth="1"/>
    <col min="7144" max="7144" width="9.7109375" style="125" customWidth="1"/>
    <col min="7145" max="7146" width="3.7109375" style="125" customWidth="1"/>
    <col min="7147" max="7147" width="9.7109375" style="125" customWidth="1"/>
    <col min="7148" max="7149" width="3.7109375" style="125" customWidth="1"/>
    <col min="7150" max="7150" width="9.7109375" style="125" customWidth="1"/>
    <col min="7151" max="7152" width="3.7109375" style="125" customWidth="1"/>
    <col min="7153" max="7153" width="9.7109375" style="125" customWidth="1"/>
    <col min="7154" max="7155" width="3.7109375" style="125" customWidth="1"/>
    <col min="7156" max="7156" width="9.7109375" style="125" customWidth="1"/>
    <col min="7157" max="7158" width="3.7109375" style="125" customWidth="1"/>
    <col min="7159" max="7159" width="9.7109375" style="125" customWidth="1"/>
    <col min="7160" max="7161" width="3.7109375" style="125" customWidth="1"/>
    <col min="7162" max="7162" width="9.7109375" style="125" customWidth="1"/>
    <col min="7163" max="7164" width="3.7109375" style="125" customWidth="1"/>
    <col min="7165" max="7165" width="9.7109375" style="125" customWidth="1"/>
    <col min="7166" max="7166" width="3.7109375" style="125" customWidth="1"/>
    <col min="7167" max="7168" width="8" style="125"/>
    <col min="7169" max="7169" width="30.7109375" style="125" customWidth="1"/>
    <col min="7170" max="7170" width="9.7109375" style="125" customWidth="1"/>
    <col min="7171" max="7171" width="3.7109375" style="125" customWidth="1"/>
    <col min="7172" max="7172" width="9.7109375" style="125" customWidth="1"/>
    <col min="7173" max="7174" width="3.7109375" style="125" customWidth="1"/>
    <col min="7175" max="7175" width="9.7109375" style="125" customWidth="1"/>
    <col min="7176" max="7177" width="3.7109375" style="125" customWidth="1"/>
    <col min="7178" max="7178" width="9.7109375" style="125" customWidth="1"/>
    <col min="7179" max="7180" width="3.7109375" style="125" customWidth="1"/>
    <col min="7181" max="7181" width="9.7109375" style="125" customWidth="1"/>
    <col min="7182" max="7183" width="3.7109375" style="125" customWidth="1"/>
    <col min="7184" max="7184" width="9.7109375" style="125" customWidth="1"/>
    <col min="7185" max="7186" width="3.7109375" style="125" customWidth="1"/>
    <col min="7187" max="7187" width="9.7109375" style="125" customWidth="1"/>
    <col min="7188" max="7189" width="3.7109375" style="125" customWidth="1"/>
    <col min="7190" max="7190" width="9.7109375" style="125" customWidth="1"/>
    <col min="7191" max="7192" width="3.7109375" style="125" customWidth="1"/>
    <col min="7193" max="7193" width="9.7109375" style="125" customWidth="1"/>
    <col min="7194" max="7195" width="3.7109375" style="125" customWidth="1"/>
    <col min="7196" max="7196" width="9.7109375" style="125" customWidth="1"/>
    <col min="7197" max="7198" width="3.7109375" style="125" customWidth="1"/>
    <col min="7199" max="7199" width="9.7109375" style="125" customWidth="1"/>
    <col min="7200" max="7201" width="3.7109375" style="125" customWidth="1"/>
    <col min="7202" max="7202" width="9.7109375" style="125" customWidth="1"/>
    <col min="7203" max="7204" width="3.7109375" style="125" customWidth="1"/>
    <col min="7205" max="7205" width="9.7109375" style="125" customWidth="1"/>
    <col min="7206" max="7207" width="3.7109375" style="125" customWidth="1"/>
    <col min="7208" max="7208" width="9.7109375" style="125" customWidth="1"/>
    <col min="7209" max="7210" width="3.7109375" style="125" customWidth="1"/>
    <col min="7211" max="7211" width="9.7109375" style="125" customWidth="1"/>
    <col min="7212" max="7213" width="3.7109375" style="125" customWidth="1"/>
    <col min="7214" max="7214" width="9.7109375" style="125" customWidth="1"/>
    <col min="7215" max="7216" width="3.7109375" style="125" customWidth="1"/>
    <col min="7217" max="7217" width="9.7109375" style="125" customWidth="1"/>
    <col min="7218" max="7219" width="3.7109375" style="125" customWidth="1"/>
    <col min="7220" max="7220" width="9.7109375" style="125" customWidth="1"/>
    <col min="7221" max="7222" width="3.7109375" style="125" customWidth="1"/>
    <col min="7223" max="7223" width="9.7109375" style="125" customWidth="1"/>
    <col min="7224" max="7225" width="3.7109375" style="125" customWidth="1"/>
    <col min="7226" max="7226" width="9.7109375" style="125" customWidth="1"/>
    <col min="7227" max="7228" width="3.7109375" style="125" customWidth="1"/>
    <col min="7229" max="7229" width="9.7109375" style="125" customWidth="1"/>
    <col min="7230" max="7231" width="3.7109375" style="125" customWidth="1"/>
    <col min="7232" max="7232" width="9.7109375" style="125" customWidth="1"/>
    <col min="7233" max="7234" width="3.7109375" style="125" customWidth="1"/>
    <col min="7235" max="7235" width="9.7109375" style="125" customWidth="1"/>
    <col min="7236" max="7237" width="3.7109375" style="125" customWidth="1"/>
    <col min="7238" max="7238" width="9.7109375" style="125" customWidth="1"/>
    <col min="7239" max="7240" width="3.7109375" style="125" customWidth="1"/>
    <col min="7241" max="7241" width="9.7109375" style="125" customWidth="1"/>
    <col min="7242" max="7243" width="3.7109375" style="125" customWidth="1"/>
    <col min="7244" max="7244" width="9.7109375" style="125" customWidth="1"/>
    <col min="7245" max="7246" width="3.7109375" style="125" customWidth="1"/>
    <col min="7247" max="7247" width="9.7109375" style="125" customWidth="1"/>
    <col min="7248" max="7249" width="3.7109375" style="125" customWidth="1"/>
    <col min="7250" max="7250" width="9.7109375" style="125" customWidth="1"/>
    <col min="7251" max="7252" width="3.7109375" style="125" customWidth="1"/>
    <col min="7253" max="7253" width="9.7109375" style="125" customWidth="1"/>
    <col min="7254" max="7255" width="3.7109375" style="125" customWidth="1"/>
    <col min="7256" max="7256" width="9.7109375" style="125" customWidth="1"/>
    <col min="7257" max="7258" width="3.7109375" style="125" customWidth="1"/>
    <col min="7259" max="7259" width="9.7109375" style="125" customWidth="1"/>
    <col min="7260" max="7261" width="3.7109375" style="125" customWidth="1"/>
    <col min="7262" max="7262" width="9.7109375" style="125" customWidth="1"/>
    <col min="7263" max="7264" width="3.7109375" style="125" customWidth="1"/>
    <col min="7265" max="7265" width="9.7109375" style="125" customWidth="1"/>
    <col min="7266" max="7267" width="3.7109375" style="125" customWidth="1"/>
    <col min="7268" max="7268" width="9.7109375" style="125" customWidth="1"/>
    <col min="7269" max="7270" width="3.7109375" style="125" customWidth="1"/>
    <col min="7271" max="7271" width="9.7109375" style="125" customWidth="1"/>
    <col min="7272" max="7273" width="3.7109375" style="125" customWidth="1"/>
    <col min="7274" max="7274" width="9.7109375" style="125" customWidth="1"/>
    <col min="7275" max="7276" width="3.7109375" style="125" customWidth="1"/>
    <col min="7277" max="7277" width="9.7109375" style="125" customWidth="1"/>
    <col min="7278" max="7278" width="3.7109375" style="125" customWidth="1"/>
    <col min="7279" max="7279" width="5.7109375" style="125" bestFit="1" customWidth="1"/>
    <col min="7280" max="7280" width="9.7109375" style="125" customWidth="1"/>
    <col min="7281" max="7282" width="3.7109375" style="125" customWidth="1"/>
    <col min="7283" max="7283" width="9.7109375" style="125" customWidth="1"/>
    <col min="7284" max="7285" width="3.7109375" style="125" customWidth="1"/>
    <col min="7286" max="7286" width="9.7109375" style="125" customWidth="1"/>
    <col min="7287" max="7288" width="3.7109375" style="125" customWidth="1"/>
    <col min="7289" max="7289" width="9.7109375" style="125" customWidth="1"/>
    <col min="7290" max="7291" width="3.7109375" style="125" customWidth="1"/>
    <col min="7292" max="7292" width="9.7109375" style="125" customWidth="1"/>
    <col min="7293" max="7294" width="3.7109375" style="125" customWidth="1"/>
    <col min="7295" max="7295" width="9.7109375" style="125" customWidth="1"/>
    <col min="7296" max="7297" width="3.7109375" style="125" customWidth="1"/>
    <col min="7298" max="7298" width="9.7109375" style="125" customWidth="1"/>
    <col min="7299" max="7300" width="3.7109375" style="125" customWidth="1"/>
    <col min="7301" max="7301" width="9.7109375" style="125" customWidth="1"/>
    <col min="7302" max="7302" width="3.7109375" style="125" customWidth="1"/>
    <col min="7303" max="7303" width="5.7109375" style="125" bestFit="1" customWidth="1"/>
    <col min="7304" max="7304" width="9.7109375" style="125" customWidth="1"/>
    <col min="7305" max="7306" width="3.7109375" style="125" customWidth="1"/>
    <col min="7307" max="7307" width="9.7109375" style="125" customWidth="1"/>
    <col min="7308" max="7309" width="3.7109375" style="125" customWidth="1"/>
    <col min="7310" max="7310" width="9.7109375" style="125" customWidth="1"/>
    <col min="7311" max="7312" width="3.7109375" style="125" customWidth="1"/>
    <col min="7313" max="7313" width="9.7109375" style="125" customWidth="1"/>
    <col min="7314" max="7315" width="3.7109375" style="125" customWidth="1"/>
    <col min="7316" max="7316" width="9.7109375" style="125" customWidth="1"/>
    <col min="7317" max="7318" width="3.7109375" style="125" customWidth="1"/>
    <col min="7319" max="7319" width="9.7109375" style="125" customWidth="1"/>
    <col min="7320" max="7321" width="3.7109375" style="125" customWidth="1"/>
    <col min="7322" max="7322" width="9.7109375" style="125" customWidth="1"/>
    <col min="7323" max="7324" width="3.7109375" style="125" customWidth="1"/>
    <col min="7325" max="7325" width="9.7109375" style="125" customWidth="1"/>
    <col min="7326" max="7327" width="3.7109375" style="125" customWidth="1"/>
    <col min="7328" max="7328" width="9.7109375" style="125" customWidth="1"/>
    <col min="7329" max="7330" width="3.7109375" style="125" customWidth="1"/>
    <col min="7331" max="7331" width="9.7109375" style="125" customWidth="1"/>
    <col min="7332" max="7333" width="3.7109375" style="125" customWidth="1"/>
    <col min="7334" max="7334" width="9.7109375" style="125" customWidth="1"/>
    <col min="7335" max="7336" width="3.7109375" style="125" customWidth="1"/>
    <col min="7337" max="7337" width="9.7109375" style="125" customWidth="1"/>
    <col min="7338" max="7339" width="3.7109375" style="125" customWidth="1"/>
    <col min="7340" max="7340" width="9.7109375" style="125" customWidth="1"/>
    <col min="7341" max="7342" width="3.7109375" style="125" customWidth="1"/>
    <col min="7343" max="7343" width="9.7109375" style="125" customWidth="1"/>
    <col min="7344" max="7345" width="3.7109375" style="125" customWidth="1"/>
    <col min="7346" max="7346" width="9.7109375" style="125" customWidth="1"/>
    <col min="7347" max="7348" width="3.7109375" style="125" customWidth="1"/>
    <col min="7349" max="7349" width="9.7109375" style="125" customWidth="1"/>
    <col min="7350" max="7351" width="3.7109375" style="125" customWidth="1"/>
    <col min="7352" max="7352" width="9.7109375" style="125" customWidth="1"/>
    <col min="7353" max="7354" width="3.7109375" style="125" customWidth="1"/>
    <col min="7355" max="7355" width="9.7109375" style="125" customWidth="1"/>
    <col min="7356" max="7357" width="3.7109375" style="125" customWidth="1"/>
    <col min="7358" max="7358" width="9.7109375" style="125" customWidth="1"/>
    <col min="7359" max="7360" width="3.7109375" style="125" customWidth="1"/>
    <col min="7361" max="7361" width="9.7109375" style="125" customWidth="1"/>
    <col min="7362" max="7363" width="3.7109375" style="125" customWidth="1"/>
    <col min="7364" max="7364" width="9.7109375" style="125" customWidth="1"/>
    <col min="7365" max="7366" width="3.7109375" style="125" customWidth="1"/>
    <col min="7367" max="7367" width="9.7109375" style="125" customWidth="1"/>
    <col min="7368" max="7369" width="3.7109375" style="125" customWidth="1"/>
    <col min="7370" max="7370" width="9.7109375" style="125" customWidth="1"/>
    <col min="7371" max="7372" width="3.7109375" style="125" customWidth="1"/>
    <col min="7373" max="7373" width="9.7109375" style="125" customWidth="1"/>
    <col min="7374" max="7375" width="3.7109375" style="125" customWidth="1"/>
    <col min="7376" max="7376" width="9.7109375" style="125" customWidth="1"/>
    <col min="7377" max="7378" width="3.7109375" style="125" customWidth="1"/>
    <col min="7379" max="7379" width="9.7109375" style="125" customWidth="1"/>
    <col min="7380" max="7381" width="3.7109375" style="125" customWidth="1"/>
    <col min="7382" max="7382" width="9.7109375" style="125" customWidth="1"/>
    <col min="7383" max="7384" width="3.7109375" style="125" customWidth="1"/>
    <col min="7385" max="7385" width="9.7109375" style="125" customWidth="1"/>
    <col min="7386" max="7387" width="3.7109375" style="125" customWidth="1"/>
    <col min="7388" max="7388" width="9.7109375" style="125" customWidth="1"/>
    <col min="7389" max="7390" width="3.7109375" style="125" customWidth="1"/>
    <col min="7391" max="7391" width="9.7109375" style="125" customWidth="1"/>
    <col min="7392" max="7393" width="3.7109375" style="125" customWidth="1"/>
    <col min="7394" max="7394" width="9.7109375" style="125" customWidth="1"/>
    <col min="7395" max="7396" width="3.7109375" style="125" customWidth="1"/>
    <col min="7397" max="7397" width="9.7109375" style="125" customWidth="1"/>
    <col min="7398" max="7399" width="3.7109375" style="125" customWidth="1"/>
    <col min="7400" max="7400" width="9.7109375" style="125" customWidth="1"/>
    <col min="7401" max="7402" width="3.7109375" style="125" customWidth="1"/>
    <col min="7403" max="7403" width="9.7109375" style="125" customWidth="1"/>
    <col min="7404" max="7405" width="3.7109375" style="125" customWidth="1"/>
    <col min="7406" max="7406" width="9.7109375" style="125" customWidth="1"/>
    <col min="7407" max="7408" width="3.7109375" style="125" customWidth="1"/>
    <col min="7409" max="7409" width="9.7109375" style="125" customWidth="1"/>
    <col min="7410" max="7411" width="3.7109375" style="125" customWidth="1"/>
    <col min="7412" max="7412" width="9.7109375" style="125" customWidth="1"/>
    <col min="7413" max="7414" width="3.7109375" style="125" customWidth="1"/>
    <col min="7415" max="7415" width="9.7109375" style="125" customWidth="1"/>
    <col min="7416" max="7417" width="3.7109375" style="125" customWidth="1"/>
    <col min="7418" max="7418" width="9.7109375" style="125" customWidth="1"/>
    <col min="7419" max="7420" width="3.7109375" style="125" customWidth="1"/>
    <col min="7421" max="7421" width="9.7109375" style="125" customWidth="1"/>
    <col min="7422" max="7422" width="3.7109375" style="125" customWidth="1"/>
    <col min="7423" max="7424" width="8" style="125"/>
    <col min="7425" max="7425" width="30.7109375" style="125" customWidth="1"/>
    <col min="7426" max="7426" width="9.7109375" style="125" customWidth="1"/>
    <col min="7427" max="7427" width="3.7109375" style="125" customWidth="1"/>
    <col min="7428" max="7428" width="9.7109375" style="125" customWidth="1"/>
    <col min="7429" max="7430" width="3.7109375" style="125" customWidth="1"/>
    <col min="7431" max="7431" width="9.7109375" style="125" customWidth="1"/>
    <col min="7432" max="7433" width="3.7109375" style="125" customWidth="1"/>
    <col min="7434" max="7434" width="9.7109375" style="125" customWidth="1"/>
    <col min="7435" max="7436" width="3.7109375" style="125" customWidth="1"/>
    <col min="7437" max="7437" width="9.7109375" style="125" customWidth="1"/>
    <col min="7438" max="7439" width="3.7109375" style="125" customWidth="1"/>
    <col min="7440" max="7440" width="9.7109375" style="125" customWidth="1"/>
    <col min="7441" max="7442" width="3.7109375" style="125" customWidth="1"/>
    <col min="7443" max="7443" width="9.7109375" style="125" customWidth="1"/>
    <col min="7444" max="7445" width="3.7109375" style="125" customWidth="1"/>
    <col min="7446" max="7446" width="9.7109375" style="125" customWidth="1"/>
    <col min="7447" max="7448" width="3.7109375" style="125" customWidth="1"/>
    <col min="7449" max="7449" width="9.7109375" style="125" customWidth="1"/>
    <col min="7450" max="7451" width="3.7109375" style="125" customWidth="1"/>
    <col min="7452" max="7452" width="9.7109375" style="125" customWidth="1"/>
    <col min="7453" max="7454" width="3.7109375" style="125" customWidth="1"/>
    <col min="7455" max="7455" width="9.7109375" style="125" customWidth="1"/>
    <col min="7456" max="7457" width="3.7109375" style="125" customWidth="1"/>
    <col min="7458" max="7458" width="9.7109375" style="125" customWidth="1"/>
    <col min="7459" max="7460" width="3.7109375" style="125" customWidth="1"/>
    <col min="7461" max="7461" width="9.7109375" style="125" customWidth="1"/>
    <col min="7462" max="7463" width="3.7109375" style="125" customWidth="1"/>
    <col min="7464" max="7464" width="9.7109375" style="125" customWidth="1"/>
    <col min="7465" max="7466" width="3.7109375" style="125" customWidth="1"/>
    <col min="7467" max="7467" width="9.7109375" style="125" customWidth="1"/>
    <col min="7468" max="7469" width="3.7109375" style="125" customWidth="1"/>
    <col min="7470" max="7470" width="9.7109375" style="125" customWidth="1"/>
    <col min="7471" max="7472" width="3.7109375" style="125" customWidth="1"/>
    <col min="7473" max="7473" width="9.7109375" style="125" customWidth="1"/>
    <col min="7474" max="7475" width="3.7109375" style="125" customWidth="1"/>
    <col min="7476" max="7476" width="9.7109375" style="125" customWidth="1"/>
    <col min="7477" max="7478" width="3.7109375" style="125" customWidth="1"/>
    <col min="7479" max="7479" width="9.7109375" style="125" customWidth="1"/>
    <col min="7480" max="7481" width="3.7109375" style="125" customWidth="1"/>
    <col min="7482" max="7482" width="9.7109375" style="125" customWidth="1"/>
    <col min="7483" max="7484" width="3.7109375" style="125" customWidth="1"/>
    <col min="7485" max="7485" width="9.7109375" style="125" customWidth="1"/>
    <col min="7486" max="7487" width="3.7109375" style="125" customWidth="1"/>
    <col min="7488" max="7488" width="9.7109375" style="125" customWidth="1"/>
    <col min="7489" max="7490" width="3.7109375" style="125" customWidth="1"/>
    <col min="7491" max="7491" width="9.7109375" style="125" customWidth="1"/>
    <col min="7492" max="7493" width="3.7109375" style="125" customWidth="1"/>
    <col min="7494" max="7494" width="9.7109375" style="125" customWidth="1"/>
    <col min="7495" max="7496" width="3.7109375" style="125" customWidth="1"/>
    <col min="7497" max="7497" width="9.7109375" style="125" customWidth="1"/>
    <col min="7498" max="7499" width="3.7109375" style="125" customWidth="1"/>
    <col min="7500" max="7500" width="9.7109375" style="125" customWidth="1"/>
    <col min="7501" max="7502" width="3.7109375" style="125" customWidth="1"/>
    <col min="7503" max="7503" width="9.7109375" style="125" customWidth="1"/>
    <col min="7504" max="7505" width="3.7109375" style="125" customWidth="1"/>
    <col min="7506" max="7506" width="9.7109375" style="125" customWidth="1"/>
    <col min="7507" max="7508" width="3.7109375" style="125" customWidth="1"/>
    <col min="7509" max="7509" width="9.7109375" style="125" customWidth="1"/>
    <col min="7510" max="7511" width="3.7109375" style="125" customWidth="1"/>
    <col min="7512" max="7512" width="9.7109375" style="125" customWidth="1"/>
    <col min="7513" max="7514" width="3.7109375" style="125" customWidth="1"/>
    <col min="7515" max="7515" width="9.7109375" style="125" customWidth="1"/>
    <col min="7516" max="7517" width="3.7109375" style="125" customWidth="1"/>
    <col min="7518" max="7518" width="9.7109375" style="125" customWidth="1"/>
    <col min="7519" max="7520" width="3.7109375" style="125" customWidth="1"/>
    <col min="7521" max="7521" width="9.7109375" style="125" customWidth="1"/>
    <col min="7522" max="7523" width="3.7109375" style="125" customWidth="1"/>
    <col min="7524" max="7524" width="9.7109375" style="125" customWidth="1"/>
    <col min="7525" max="7526" width="3.7109375" style="125" customWidth="1"/>
    <col min="7527" max="7527" width="9.7109375" style="125" customWidth="1"/>
    <col min="7528" max="7529" width="3.7109375" style="125" customWidth="1"/>
    <col min="7530" max="7530" width="9.7109375" style="125" customWidth="1"/>
    <col min="7531" max="7532" width="3.7109375" style="125" customWidth="1"/>
    <col min="7533" max="7533" width="9.7109375" style="125" customWidth="1"/>
    <col min="7534" max="7534" width="3.7109375" style="125" customWidth="1"/>
    <col min="7535" max="7535" width="5.7109375" style="125" bestFit="1" customWidth="1"/>
    <col min="7536" max="7536" width="9.7109375" style="125" customWidth="1"/>
    <col min="7537" max="7538" width="3.7109375" style="125" customWidth="1"/>
    <col min="7539" max="7539" width="9.7109375" style="125" customWidth="1"/>
    <col min="7540" max="7541" width="3.7109375" style="125" customWidth="1"/>
    <col min="7542" max="7542" width="9.7109375" style="125" customWidth="1"/>
    <col min="7543" max="7544" width="3.7109375" style="125" customWidth="1"/>
    <col min="7545" max="7545" width="9.7109375" style="125" customWidth="1"/>
    <col min="7546" max="7547" width="3.7109375" style="125" customWidth="1"/>
    <col min="7548" max="7548" width="9.7109375" style="125" customWidth="1"/>
    <col min="7549" max="7550" width="3.7109375" style="125" customWidth="1"/>
    <col min="7551" max="7551" width="9.7109375" style="125" customWidth="1"/>
    <col min="7552" max="7553" width="3.7109375" style="125" customWidth="1"/>
    <col min="7554" max="7554" width="9.7109375" style="125" customWidth="1"/>
    <col min="7555" max="7556" width="3.7109375" style="125" customWidth="1"/>
    <col min="7557" max="7557" width="9.7109375" style="125" customWidth="1"/>
    <col min="7558" max="7558" width="3.7109375" style="125" customWidth="1"/>
    <col min="7559" max="7559" width="5.7109375" style="125" bestFit="1" customWidth="1"/>
    <col min="7560" max="7560" width="9.7109375" style="125" customWidth="1"/>
    <col min="7561" max="7562" width="3.7109375" style="125" customWidth="1"/>
    <col min="7563" max="7563" width="9.7109375" style="125" customWidth="1"/>
    <col min="7564" max="7565" width="3.7109375" style="125" customWidth="1"/>
    <col min="7566" max="7566" width="9.7109375" style="125" customWidth="1"/>
    <col min="7567" max="7568" width="3.7109375" style="125" customWidth="1"/>
    <col min="7569" max="7569" width="9.7109375" style="125" customWidth="1"/>
    <col min="7570" max="7571" width="3.7109375" style="125" customWidth="1"/>
    <col min="7572" max="7572" width="9.7109375" style="125" customWidth="1"/>
    <col min="7573" max="7574" width="3.7109375" style="125" customWidth="1"/>
    <col min="7575" max="7575" width="9.7109375" style="125" customWidth="1"/>
    <col min="7576" max="7577" width="3.7109375" style="125" customWidth="1"/>
    <col min="7578" max="7578" width="9.7109375" style="125" customWidth="1"/>
    <col min="7579" max="7580" width="3.7109375" style="125" customWidth="1"/>
    <col min="7581" max="7581" width="9.7109375" style="125" customWidth="1"/>
    <col min="7582" max="7583" width="3.7109375" style="125" customWidth="1"/>
    <col min="7584" max="7584" width="9.7109375" style="125" customWidth="1"/>
    <col min="7585" max="7586" width="3.7109375" style="125" customWidth="1"/>
    <col min="7587" max="7587" width="9.7109375" style="125" customWidth="1"/>
    <col min="7588" max="7589" width="3.7109375" style="125" customWidth="1"/>
    <col min="7590" max="7590" width="9.7109375" style="125" customWidth="1"/>
    <col min="7591" max="7592" width="3.7109375" style="125" customWidth="1"/>
    <col min="7593" max="7593" width="9.7109375" style="125" customWidth="1"/>
    <col min="7594" max="7595" width="3.7109375" style="125" customWidth="1"/>
    <col min="7596" max="7596" width="9.7109375" style="125" customWidth="1"/>
    <col min="7597" max="7598" width="3.7109375" style="125" customWidth="1"/>
    <col min="7599" max="7599" width="9.7109375" style="125" customWidth="1"/>
    <col min="7600" max="7601" width="3.7109375" style="125" customWidth="1"/>
    <col min="7602" max="7602" width="9.7109375" style="125" customWidth="1"/>
    <col min="7603" max="7604" width="3.7109375" style="125" customWidth="1"/>
    <col min="7605" max="7605" width="9.7109375" style="125" customWidth="1"/>
    <col min="7606" max="7607" width="3.7109375" style="125" customWidth="1"/>
    <col min="7608" max="7608" width="9.7109375" style="125" customWidth="1"/>
    <col min="7609" max="7610" width="3.7109375" style="125" customWidth="1"/>
    <col min="7611" max="7611" width="9.7109375" style="125" customWidth="1"/>
    <col min="7612" max="7613" width="3.7109375" style="125" customWidth="1"/>
    <col min="7614" max="7614" width="9.7109375" style="125" customWidth="1"/>
    <col min="7615" max="7616" width="3.7109375" style="125" customWidth="1"/>
    <col min="7617" max="7617" width="9.7109375" style="125" customWidth="1"/>
    <col min="7618" max="7619" width="3.7109375" style="125" customWidth="1"/>
    <col min="7620" max="7620" width="9.7109375" style="125" customWidth="1"/>
    <col min="7621" max="7622" width="3.7109375" style="125" customWidth="1"/>
    <col min="7623" max="7623" width="9.7109375" style="125" customWidth="1"/>
    <col min="7624" max="7625" width="3.7109375" style="125" customWidth="1"/>
    <col min="7626" max="7626" width="9.7109375" style="125" customWidth="1"/>
    <col min="7627" max="7628" width="3.7109375" style="125" customWidth="1"/>
    <col min="7629" max="7629" width="9.7109375" style="125" customWidth="1"/>
    <col min="7630" max="7631" width="3.7109375" style="125" customWidth="1"/>
    <col min="7632" max="7632" width="9.7109375" style="125" customWidth="1"/>
    <col min="7633" max="7634" width="3.7109375" style="125" customWidth="1"/>
    <col min="7635" max="7635" width="9.7109375" style="125" customWidth="1"/>
    <col min="7636" max="7637" width="3.7109375" style="125" customWidth="1"/>
    <col min="7638" max="7638" width="9.7109375" style="125" customWidth="1"/>
    <col min="7639" max="7640" width="3.7109375" style="125" customWidth="1"/>
    <col min="7641" max="7641" width="9.7109375" style="125" customWidth="1"/>
    <col min="7642" max="7643" width="3.7109375" style="125" customWidth="1"/>
    <col min="7644" max="7644" width="9.7109375" style="125" customWidth="1"/>
    <col min="7645" max="7646" width="3.7109375" style="125" customWidth="1"/>
    <col min="7647" max="7647" width="9.7109375" style="125" customWidth="1"/>
    <col min="7648" max="7649" width="3.7109375" style="125" customWidth="1"/>
    <col min="7650" max="7650" width="9.7109375" style="125" customWidth="1"/>
    <col min="7651" max="7652" width="3.7109375" style="125" customWidth="1"/>
    <col min="7653" max="7653" width="9.7109375" style="125" customWidth="1"/>
    <col min="7654" max="7655" width="3.7109375" style="125" customWidth="1"/>
    <col min="7656" max="7656" width="9.7109375" style="125" customWidth="1"/>
    <col min="7657" max="7658" width="3.7109375" style="125" customWidth="1"/>
    <col min="7659" max="7659" width="9.7109375" style="125" customWidth="1"/>
    <col min="7660" max="7661" width="3.7109375" style="125" customWidth="1"/>
    <col min="7662" max="7662" width="9.7109375" style="125" customWidth="1"/>
    <col min="7663" max="7664" width="3.7109375" style="125" customWidth="1"/>
    <col min="7665" max="7665" width="9.7109375" style="125" customWidth="1"/>
    <col min="7666" max="7667" width="3.7109375" style="125" customWidth="1"/>
    <col min="7668" max="7668" width="9.7109375" style="125" customWidth="1"/>
    <col min="7669" max="7670" width="3.7109375" style="125" customWidth="1"/>
    <col min="7671" max="7671" width="9.7109375" style="125" customWidth="1"/>
    <col min="7672" max="7673" width="3.7109375" style="125" customWidth="1"/>
    <col min="7674" max="7674" width="9.7109375" style="125" customWidth="1"/>
    <col min="7675" max="7676" width="3.7109375" style="125" customWidth="1"/>
    <col min="7677" max="7677" width="9.7109375" style="125" customWidth="1"/>
    <col min="7678" max="7678" width="3.7109375" style="125" customWidth="1"/>
    <col min="7679" max="7680" width="8" style="125"/>
    <col min="7681" max="7681" width="30.7109375" style="125" customWidth="1"/>
    <col min="7682" max="7682" width="9.7109375" style="125" customWidth="1"/>
    <col min="7683" max="7683" width="3.7109375" style="125" customWidth="1"/>
    <col min="7684" max="7684" width="9.7109375" style="125" customWidth="1"/>
    <col min="7685" max="7686" width="3.7109375" style="125" customWidth="1"/>
    <col min="7687" max="7687" width="9.7109375" style="125" customWidth="1"/>
    <col min="7688" max="7689" width="3.7109375" style="125" customWidth="1"/>
    <col min="7690" max="7690" width="9.7109375" style="125" customWidth="1"/>
    <col min="7691" max="7692" width="3.7109375" style="125" customWidth="1"/>
    <col min="7693" max="7693" width="9.7109375" style="125" customWidth="1"/>
    <col min="7694" max="7695" width="3.7109375" style="125" customWidth="1"/>
    <col min="7696" max="7696" width="9.7109375" style="125" customWidth="1"/>
    <col min="7697" max="7698" width="3.7109375" style="125" customWidth="1"/>
    <col min="7699" max="7699" width="9.7109375" style="125" customWidth="1"/>
    <col min="7700" max="7701" width="3.7109375" style="125" customWidth="1"/>
    <col min="7702" max="7702" width="9.7109375" style="125" customWidth="1"/>
    <col min="7703" max="7704" width="3.7109375" style="125" customWidth="1"/>
    <col min="7705" max="7705" width="9.7109375" style="125" customWidth="1"/>
    <col min="7706" max="7707" width="3.7109375" style="125" customWidth="1"/>
    <col min="7708" max="7708" width="9.7109375" style="125" customWidth="1"/>
    <col min="7709" max="7710" width="3.7109375" style="125" customWidth="1"/>
    <col min="7711" max="7711" width="9.7109375" style="125" customWidth="1"/>
    <col min="7712" max="7713" width="3.7109375" style="125" customWidth="1"/>
    <col min="7714" max="7714" width="9.7109375" style="125" customWidth="1"/>
    <col min="7715" max="7716" width="3.7109375" style="125" customWidth="1"/>
    <col min="7717" max="7717" width="9.7109375" style="125" customWidth="1"/>
    <col min="7718" max="7719" width="3.7109375" style="125" customWidth="1"/>
    <col min="7720" max="7720" width="9.7109375" style="125" customWidth="1"/>
    <col min="7721" max="7722" width="3.7109375" style="125" customWidth="1"/>
    <col min="7723" max="7723" width="9.7109375" style="125" customWidth="1"/>
    <col min="7724" max="7725" width="3.7109375" style="125" customWidth="1"/>
    <col min="7726" max="7726" width="9.7109375" style="125" customWidth="1"/>
    <col min="7727" max="7728" width="3.7109375" style="125" customWidth="1"/>
    <col min="7729" max="7729" width="9.7109375" style="125" customWidth="1"/>
    <col min="7730" max="7731" width="3.7109375" style="125" customWidth="1"/>
    <col min="7732" max="7732" width="9.7109375" style="125" customWidth="1"/>
    <col min="7733" max="7734" width="3.7109375" style="125" customWidth="1"/>
    <col min="7735" max="7735" width="9.7109375" style="125" customWidth="1"/>
    <col min="7736" max="7737" width="3.7109375" style="125" customWidth="1"/>
    <col min="7738" max="7738" width="9.7109375" style="125" customWidth="1"/>
    <col min="7739" max="7740" width="3.7109375" style="125" customWidth="1"/>
    <col min="7741" max="7741" width="9.7109375" style="125" customWidth="1"/>
    <col min="7742" max="7743" width="3.7109375" style="125" customWidth="1"/>
    <col min="7744" max="7744" width="9.7109375" style="125" customWidth="1"/>
    <col min="7745" max="7746" width="3.7109375" style="125" customWidth="1"/>
    <col min="7747" max="7747" width="9.7109375" style="125" customWidth="1"/>
    <col min="7748" max="7749" width="3.7109375" style="125" customWidth="1"/>
    <col min="7750" max="7750" width="9.7109375" style="125" customWidth="1"/>
    <col min="7751" max="7752" width="3.7109375" style="125" customWidth="1"/>
    <col min="7753" max="7753" width="9.7109375" style="125" customWidth="1"/>
    <col min="7754" max="7755" width="3.7109375" style="125" customWidth="1"/>
    <col min="7756" max="7756" width="9.7109375" style="125" customWidth="1"/>
    <col min="7757" max="7758" width="3.7109375" style="125" customWidth="1"/>
    <col min="7759" max="7759" width="9.7109375" style="125" customWidth="1"/>
    <col min="7760" max="7761" width="3.7109375" style="125" customWidth="1"/>
    <col min="7762" max="7762" width="9.7109375" style="125" customWidth="1"/>
    <col min="7763" max="7764" width="3.7109375" style="125" customWidth="1"/>
    <col min="7765" max="7765" width="9.7109375" style="125" customWidth="1"/>
    <col min="7766" max="7767" width="3.7109375" style="125" customWidth="1"/>
    <col min="7768" max="7768" width="9.7109375" style="125" customWidth="1"/>
    <col min="7769" max="7770" width="3.7109375" style="125" customWidth="1"/>
    <col min="7771" max="7771" width="9.7109375" style="125" customWidth="1"/>
    <col min="7772" max="7773" width="3.7109375" style="125" customWidth="1"/>
    <col min="7774" max="7774" width="9.7109375" style="125" customWidth="1"/>
    <col min="7775" max="7776" width="3.7109375" style="125" customWidth="1"/>
    <col min="7777" max="7777" width="9.7109375" style="125" customWidth="1"/>
    <col min="7778" max="7779" width="3.7109375" style="125" customWidth="1"/>
    <col min="7780" max="7780" width="9.7109375" style="125" customWidth="1"/>
    <col min="7781" max="7782" width="3.7109375" style="125" customWidth="1"/>
    <col min="7783" max="7783" width="9.7109375" style="125" customWidth="1"/>
    <col min="7784" max="7785" width="3.7109375" style="125" customWidth="1"/>
    <col min="7786" max="7786" width="9.7109375" style="125" customWidth="1"/>
    <col min="7787" max="7788" width="3.7109375" style="125" customWidth="1"/>
    <col min="7789" max="7789" width="9.7109375" style="125" customWidth="1"/>
    <col min="7790" max="7790" width="3.7109375" style="125" customWidth="1"/>
    <col min="7791" max="7791" width="5.7109375" style="125" bestFit="1" customWidth="1"/>
    <col min="7792" max="7792" width="9.7109375" style="125" customWidth="1"/>
    <col min="7793" max="7794" width="3.7109375" style="125" customWidth="1"/>
    <col min="7795" max="7795" width="9.7109375" style="125" customWidth="1"/>
    <col min="7796" max="7797" width="3.7109375" style="125" customWidth="1"/>
    <col min="7798" max="7798" width="9.7109375" style="125" customWidth="1"/>
    <col min="7799" max="7800" width="3.7109375" style="125" customWidth="1"/>
    <col min="7801" max="7801" width="9.7109375" style="125" customWidth="1"/>
    <col min="7802" max="7803" width="3.7109375" style="125" customWidth="1"/>
    <col min="7804" max="7804" width="9.7109375" style="125" customWidth="1"/>
    <col min="7805" max="7806" width="3.7109375" style="125" customWidth="1"/>
    <col min="7807" max="7807" width="9.7109375" style="125" customWidth="1"/>
    <col min="7808" max="7809" width="3.7109375" style="125" customWidth="1"/>
    <col min="7810" max="7810" width="9.7109375" style="125" customWidth="1"/>
    <col min="7811" max="7812" width="3.7109375" style="125" customWidth="1"/>
    <col min="7813" max="7813" width="9.7109375" style="125" customWidth="1"/>
    <col min="7814" max="7814" width="3.7109375" style="125" customWidth="1"/>
    <col min="7815" max="7815" width="5.7109375" style="125" bestFit="1" customWidth="1"/>
    <col min="7816" max="7816" width="9.7109375" style="125" customWidth="1"/>
    <col min="7817" max="7818" width="3.7109375" style="125" customWidth="1"/>
    <col min="7819" max="7819" width="9.7109375" style="125" customWidth="1"/>
    <col min="7820" max="7821" width="3.7109375" style="125" customWidth="1"/>
    <col min="7822" max="7822" width="9.7109375" style="125" customWidth="1"/>
    <col min="7823" max="7824" width="3.7109375" style="125" customWidth="1"/>
    <col min="7825" max="7825" width="9.7109375" style="125" customWidth="1"/>
    <col min="7826" max="7827" width="3.7109375" style="125" customWidth="1"/>
    <col min="7828" max="7828" width="9.7109375" style="125" customWidth="1"/>
    <col min="7829" max="7830" width="3.7109375" style="125" customWidth="1"/>
    <col min="7831" max="7831" width="9.7109375" style="125" customWidth="1"/>
    <col min="7832" max="7833" width="3.7109375" style="125" customWidth="1"/>
    <col min="7834" max="7834" width="9.7109375" style="125" customWidth="1"/>
    <col min="7835" max="7836" width="3.7109375" style="125" customWidth="1"/>
    <col min="7837" max="7837" width="9.7109375" style="125" customWidth="1"/>
    <col min="7838" max="7839" width="3.7109375" style="125" customWidth="1"/>
    <col min="7840" max="7840" width="9.7109375" style="125" customWidth="1"/>
    <col min="7841" max="7842" width="3.7109375" style="125" customWidth="1"/>
    <col min="7843" max="7843" width="9.7109375" style="125" customWidth="1"/>
    <col min="7844" max="7845" width="3.7109375" style="125" customWidth="1"/>
    <col min="7846" max="7846" width="9.7109375" style="125" customWidth="1"/>
    <col min="7847" max="7848" width="3.7109375" style="125" customWidth="1"/>
    <col min="7849" max="7849" width="9.7109375" style="125" customWidth="1"/>
    <col min="7850" max="7851" width="3.7109375" style="125" customWidth="1"/>
    <col min="7852" max="7852" width="9.7109375" style="125" customWidth="1"/>
    <col min="7853" max="7854" width="3.7109375" style="125" customWidth="1"/>
    <col min="7855" max="7855" width="9.7109375" style="125" customWidth="1"/>
    <col min="7856" max="7857" width="3.7109375" style="125" customWidth="1"/>
    <col min="7858" max="7858" width="9.7109375" style="125" customWidth="1"/>
    <col min="7859" max="7860" width="3.7109375" style="125" customWidth="1"/>
    <col min="7861" max="7861" width="9.7109375" style="125" customWidth="1"/>
    <col min="7862" max="7863" width="3.7109375" style="125" customWidth="1"/>
    <col min="7864" max="7864" width="9.7109375" style="125" customWidth="1"/>
    <col min="7865" max="7866" width="3.7109375" style="125" customWidth="1"/>
    <col min="7867" max="7867" width="9.7109375" style="125" customWidth="1"/>
    <col min="7868" max="7869" width="3.7109375" style="125" customWidth="1"/>
    <col min="7870" max="7870" width="9.7109375" style="125" customWidth="1"/>
    <col min="7871" max="7872" width="3.7109375" style="125" customWidth="1"/>
    <col min="7873" max="7873" width="9.7109375" style="125" customWidth="1"/>
    <col min="7874" max="7875" width="3.7109375" style="125" customWidth="1"/>
    <col min="7876" max="7876" width="9.7109375" style="125" customWidth="1"/>
    <col min="7877" max="7878" width="3.7109375" style="125" customWidth="1"/>
    <col min="7879" max="7879" width="9.7109375" style="125" customWidth="1"/>
    <col min="7880" max="7881" width="3.7109375" style="125" customWidth="1"/>
    <col min="7882" max="7882" width="9.7109375" style="125" customWidth="1"/>
    <col min="7883" max="7884" width="3.7109375" style="125" customWidth="1"/>
    <col min="7885" max="7885" width="9.7109375" style="125" customWidth="1"/>
    <col min="7886" max="7887" width="3.7109375" style="125" customWidth="1"/>
    <col min="7888" max="7888" width="9.7109375" style="125" customWidth="1"/>
    <col min="7889" max="7890" width="3.7109375" style="125" customWidth="1"/>
    <col min="7891" max="7891" width="9.7109375" style="125" customWidth="1"/>
    <col min="7892" max="7893" width="3.7109375" style="125" customWidth="1"/>
    <col min="7894" max="7894" width="9.7109375" style="125" customWidth="1"/>
    <col min="7895" max="7896" width="3.7109375" style="125" customWidth="1"/>
    <col min="7897" max="7897" width="9.7109375" style="125" customWidth="1"/>
    <col min="7898" max="7899" width="3.7109375" style="125" customWidth="1"/>
    <col min="7900" max="7900" width="9.7109375" style="125" customWidth="1"/>
    <col min="7901" max="7902" width="3.7109375" style="125" customWidth="1"/>
    <col min="7903" max="7903" width="9.7109375" style="125" customWidth="1"/>
    <col min="7904" max="7905" width="3.7109375" style="125" customWidth="1"/>
    <col min="7906" max="7906" width="9.7109375" style="125" customWidth="1"/>
    <col min="7907" max="7908" width="3.7109375" style="125" customWidth="1"/>
    <col min="7909" max="7909" width="9.7109375" style="125" customWidth="1"/>
    <col min="7910" max="7911" width="3.7109375" style="125" customWidth="1"/>
    <col min="7912" max="7912" width="9.7109375" style="125" customWidth="1"/>
    <col min="7913" max="7914" width="3.7109375" style="125" customWidth="1"/>
    <col min="7915" max="7915" width="9.7109375" style="125" customWidth="1"/>
    <col min="7916" max="7917" width="3.7109375" style="125" customWidth="1"/>
    <col min="7918" max="7918" width="9.7109375" style="125" customWidth="1"/>
    <col min="7919" max="7920" width="3.7109375" style="125" customWidth="1"/>
    <col min="7921" max="7921" width="9.7109375" style="125" customWidth="1"/>
    <col min="7922" max="7923" width="3.7109375" style="125" customWidth="1"/>
    <col min="7924" max="7924" width="9.7109375" style="125" customWidth="1"/>
    <col min="7925" max="7926" width="3.7109375" style="125" customWidth="1"/>
    <col min="7927" max="7927" width="9.7109375" style="125" customWidth="1"/>
    <col min="7928" max="7929" width="3.7109375" style="125" customWidth="1"/>
    <col min="7930" max="7930" width="9.7109375" style="125" customWidth="1"/>
    <col min="7931" max="7932" width="3.7109375" style="125" customWidth="1"/>
    <col min="7933" max="7933" width="9.7109375" style="125" customWidth="1"/>
    <col min="7934" max="7934" width="3.7109375" style="125" customWidth="1"/>
    <col min="7935" max="7936" width="8" style="125"/>
    <col min="7937" max="7937" width="30.7109375" style="125" customWidth="1"/>
    <col min="7938" max="7938" width="9.7109375" style="125" customWidth="1"/>
    <col min="7939" max="7939" width="3.7109375" style="125" customWidth="1"/>
    <col min="7940" max="7940" width="9.7109375" style="125" customWidth="1"/>
    <col min="7941" max="7942" width="3.7109375" style="125" customWidth="1"/>
    <col min="7943" max="7943" width="9.7109375" style="125" customWidth="1"/>
    <col min="7944" max="7945" width="3.7109375" style="125" customWidth="1"/>
    <col min="7946" max="7946" width="9.7109375" style="125" customWidth="1"/>
    <col min="7947" max="7948" width="3.7109375" style="125" customWidth="1"/>
    <col min="7949" max="7949" width="9.7109375" style="125" customWidth="1"/>
    <col min="7950" max="7951" width="3.7109375" style="125" customWidth="1"/>
    <col min="7952" max="7952" width="9.7109375" style="125" customWidth="1"/>
    <col min="7953" max="7954" width="3.7109375" style="125" customWidth="1"/>
    <col min="7955" max="7955" width="9.7109375" style="125" customWidth="1"/>
    <col min="7956" max="7957" width="3.7109375" style="125" customWidth="1"/>
    <col min="7958" max="7958" width="9.7109375" style="125" customWidth="1"/>
    <col min="7959" max="7960" width="3.7109375" style="125" customWidth="1"/>
    <col min="7961" max="7961" width="9.7109375" style="125" customWidth="1"/>
    <col min="7962" max="7963" width="3.7109375" style="125" customWidth="1"/>
    <col min="7964" max="7964" width="9.7109375" style="125" customWidth="1"/>
    <col min="7965" max="7966" width="3.7109375" style="125" customWidth="1"/>
    <col min="7967" max="7967" width="9.7109375" style="125" customWidth="1"/>
    <col min="7968" max="7969" width="3.7109375" style="125" customWidth="1"/>
    <col min="7970" max="7970" width="9.7109375" style="125" customWidth="1"/>
    <col min="7971" max="7972" width="3.7109375" style="125" customWidth="1"/>
    <col min="7973" max="7973" width="9.7109375" style="125" customWidth="1"/>
    <col min="7974" max="7975" width="3.7109375" style="125" customWidth="1"/>
    <col min="7976" max="7976" width="9.7109375" style="125" customWidth="1"/>
    <col min="7977" max="7978" width="3.7109375" style="125" customWidth="1"/>
    <col min="7979" max="7979" width="9.7109375" style="125" customWidth="1"/>
    <col min="7980" max="7981" width="3.7109375" style="125" customWidth="1"/>
    <col min="7982" max="7982" width="9.7109375" style="125" customWidth="1"/>
    <col min="7983" max="7984" width="3.7109375" style="125" customWidth="1"/>
    <col min="7985" max="7985" width="9.7109375" style="125" customWidth="1"/>
    <col min="7986" max="7987" width="3.7109375" style="125" customWidth="1"/>
    <col min="7988" max="7988" width="9.7109375" style="125" customWidth="1"/>
    <col min="7989" max="7990" width="3.7109375" style="125" customWidth="1"/>
    <col min="7991" max="7991" width="9.7109375" style="125" customWidth="1"/>
    <col min="7992" max="7993" width="3.7109375" style="125" customWidth="1"/>
    <col min="7994" max="7994" width="9.7109375" style="125" customWidth="1"/>
    <col min="7995" max="7996" width="3.7109375" style="125" customWidth="1"/>
    <col min="7997" max="7997" width="9.7109375" style="125" customWidth="1"/>
    <col min="7998" max="7999" width="3.7109375" style="125" customWidth="1"/>
    <col min="8000" max="8000" width="9.7109375" style="125" customWidth="1"/>
    <col min="8001" max="8002" width="3.7109375" style="125" customWidth="1"/>
    <col min="8003" max="8003" width="9.7109375" style="125" customWidth="1"/>
    <col min="8004" max="8005" width="3.7109375" style="125" customWidth="1"/>
    <col min="8006" max="8006" width="9.7109375" style="125" customWidth="1"/>
    <col min="8007" max="8008" width="3.7109375" style="125" customWidth="1"/>
    <col min="8009" max="8009" width="9.7109375" style="125" customWidth="1"/>
    <col min="8010" max="8011" width="3.7109375" style="125" customWidth="1"/>
    <col min="8012" max="8012" width="9.7109375" style="125" customWidth="1"/>
    <col min="8013" max="8014" width="3.7109375" style="125" customWidth="1"/>
    <col min="8015" max="8015" width="9.7109375" style="125" customWidth="1"/>
    <col min="8016" max="8017" width="3.7109375" style="125" customWidth="1"/>
    <col min="8018" max="8018" width="9.7109375" style="125" customWidth="1"/>
    <col min="8019" max="8020" width="3.7109375" style="125" customWidth="1"/>
    <col min="8021" max="8021" width="9.7109375" style="125" customWidth="1"/>
    <col min="8022" max="8023" width="3.7109375" style="125" customWidth="1"/>
    <col min="8024" max="8024" width="9.7109375" style="125" customWidth="1"/>
    <col min="8025" max="8026" width="3.7109375" style="125" customWidth="1"/>
    <col min="8027" max="8027" width="9.7109375" style="125" customWidth="1"/>
    <col min="8028" max="8029" width="3.7109375" style="125" customWidth="1"/>
    <col min="8030" max="8030" width="9.7109375" style="125" customWidth="1"/>
    <col min="8031" max="8032" width="3.7109375" style="125" customWidth="1"/>
    <col min="8033" max="8033" width="9.7109375" style="125" customWidth="1"/>
    <col min="8034" max="8035" width="3.7109375" style="125" customWidth="1"/>
    <col min="8036" max="8036" width="9.7109375" style="125" customWidth="1"/>
    <col min="8037" max="8038" width="3.7109375" style="125" customWidth="1"/>
    <col min="8039" max="8039" width="9.7109375" style="125" customWidth="1"/>
    <col min="8040" max="8041" width="3.7109375" style="125" customWidth="1"/>
    <col min="8042" max="8042" width="9.7109375" style="125" customWidth="1"/>
    <col min="8043" max="8044" width="3.7109375" style="125" customWidth="1"/>
    <col min="8045" max="8045" width="9.7109375" style="125" customWidth="1"/>
    <col min="8046" max="8046" width="3.7109375" style="125" customWidth="1"/>
    <col min="8047" max="8047" width="5.7109375" style="125" bestFit="1" customWidth="1"/>
    <col min="8048" max="8048" width="9.7109375" style="125" customWidth="1"/>
    <col min="8049" max="8050" width="3.7109375" style="125" customWidth="1"/>
    <col min="8051" max="8051" width="9.7109375" style="125" customWidth="1"/>
    <col min="8052" max="8053" width="3.7109375" style="125" customWidth="1"/>
    <col min="8054" max="8054" width="9.7109375" style="125" customWidth="1"/>
    <col min="8055" max="8056" width="3.7109375" style="125" customWidth="1"/>
    <col min="8057" max="8057" width="9.7109375" style="125" customWidth="1"/>
    <col min="8058" max="8059" width="3.7109375" style="125" customWidth="1"/>
    <col min="8060" max="8060" width="9.7109375" style="125" customWidth="1"/>
    <col min="8061" max="8062" width="3.7109375" style="125" customWidth="1"/>
    <col min="8063" max="8063" width="9.7109375" style="125" customWidth="1"/>
    <col min="8064" max="8065" width="3.7109375" style="125" customWidth="1"/>
    <col min="8066" max="8066" width="9.7109375" style="125" customWidth="1"/>
    <col min="8067" max="8068" width="3.7109375" style="125" customWidth="1"/>
    <col min="8069" max="8069" width="9.7109375" style="125" customWidth="1"/>
    <col min="8070" max="8070" width="3.7109375" style="125" customWidth="1"/>
    <col min="8071" max="8071" width="5.7109375" style="125" bestFit="1" customWidth="1"/>
    <col min="8072" max="8072" width="9.7109375" style="125" customWidth="1"/>
    <col min="8073" max="8074" width="3.7109375" style="125" customWidth="1"/>
    <col min="8075" max="8075" width="9.7109375" style="125" customWidth="1"/>
    <col min="8076" max="8077" width="3.7109375" style="125" customWidth="1"/>
    <col min="8078" max="8078" width="9.7109375" style="125" customWidth="1"/>
    <col min="8079" max="8080" width="3.7109375" style="125" customWidth="1"/>
    <col min="8081" max="8081" width="9.7109375" style="125" customWidth="1"/>
    <col min="8082" max="8083" width="3.7109375" style="125" customWidth="1"/>
    <col min="8084" max="8084" width="9.7109375" style="125" customWidth="1"/>
    <col min="8085" max="8086" width="3.7109375" style="125" customWidth="1"/>
    <col min="8087" max="8087" width="9.7109375" style="125" customWidth="1"/>
    <col min="8088" max="8089" width="3.7109375" style="125" customWidth="1"/>
    <col min="8090" max="8090" width="9.7109375" style="125" customWidth="1"/>
    <col min="8091" max="8092" width="3.7109375" style="125" customWidth="1"/>
    <col min="8093" max="8093" width="9.7109375" style="125" customWidth="1"/>
    <col min="8094" max="8095" width="3.7109375" style="125" customWidth="1"/>
    <col min="8096" max="8096" width="9.7109375" style="125" customWidth="1"/>
    <col min="8097" max="8098" width="3.7109375" style="125" customWidth="1"/>
    <col min="8099" max="8099" width="9.7109375" style="125" customWidth="1"/>
    <col min="8100" max="8101" width="3.7109375" style="125" customWidth="1"/>
    <col min="8102" max="8102" width="9.7109375" style="125" customWidth="1"/>
    <col min="8103" max="8104" width="3.7109375" style="125" customWidth="1"/>
    <col min="8105" max="8105" width="9.7109375" style="125" customWidth="1"/>
    <col min="8106" max="8107" width="3.7109375" style="125" customWidth="1"/>
    <col min="8108" max="8108" width="9.7109375" style="125" customWidth="1"/>
    <col min="8109" max="8110" width="3.7109375" style="125" customWidth="1"/>
    <col min="8111" max="8111" width="9.7109375" style="125" customWidth="1"/>
    <col min="8112" max="8113" width="3.7109375" style="125" customWidth="1"/>
    <col min="8114" max="8114" width="9.7109375" style="125" customWidth="1"/>
    <col min="8115" max="8116" width="3.7109375" style="125" customWidth="1"/>
    <col min="8117" max="8117" width="9.7109375" style="125" customWidth="1"/>
    <col min="8118" max="8119" width="3.7109375" style="125" customWidth="1"/>
    <col min="8120" max="8120" width="9.7109375" style="125" customWidth="1"/>
    <col min="8121" max="8122" width="3.7109375" style="125" customWidth="1"/>
    <col min="8123" max="8123" width="9.7109375" style="125" customWidth="1"/>
    <col min="8124" max="8125" width="3.7109375" style="125" customWidth="1"/>
    <col min="8126" max="8126" width="9.7109375" style="125" customWidth="1"/>
    <col min="8127" max="8128" width="3.7109375" style="125" customWidth="1"/>
    <col min="8129" max="8129" width="9.7109375" style="125" customWidth="1"/>
    <col min="8130" max="8131" width="3.7109375" style="125" customWidth="1"/>
    <col min="8132" max="8132" width="9.7109375" style="125" customWidth="1"/>
    <col min="8133" max="8134" width="3.7109375" style="125" customWidth="1"/>
    <col min="8135" max="8135" width="9.7109375" style="125" customWidth="1"/>
    <col min="8136" max="8137" width="3.7109375" style="125" customWidth="1"/>
    <col min="8138" max="8138" width="9.7109375" style="125" customWidth="1"/>
    <col min="8139" max="8140" width="3.7109375" style="125" customWidth="1"/>
    <col min="8141" max="8141" width="9.7109375" style="125" customWidth="1"/>
    <col min="8142" max="8143" width="3.7109375" style="125" customWidth="1"/>
    <col min="8144" max="8144" width="9.7109375" style="125" customWidth="1"/>
    <col min="8145" max="8146" width="3.7109375" style="125" customWidth="1"/>
    <col min="8147" max="8147" width="9.7109375" style="125" customWidth="1"/>
    <col min="8148" max="8149" width="3.7109375" style="125" customWidth="1"/>
    <col min="8150" max="8150" width="9.7109375" style="125" customWidth="1"/>
    <col min="8151" max="8152" width="3.7109375" style="125" customWidth="1"/>
    <col min="8153" max="8153" width="9.7109375" style="125" customWidth="1"/>
    <col min="8154" max="8155" width="3.7109375" style="125" customWidth="1"/>
    <col min="8156" max="8156" width="9.7109375" style="125" customWidth="1"/>
    <col min="8157" max="8158" width="3.7109375" style="125" customWidth="1"/>
    <col min="8159" max="8159" width="9.7109375" style="125" customWidth="1"/>
    <col min="8160" max="8161" width="3.7109375" style="125" customWidth="1"/>
    <col min="8162" max="8162" width="9.7109375" style="125" customWidth="1"/>
    <col min="8163" max="8164" width="3.7109375" style="125" customWidth="1"/>
    <col min="8165" max="8165" width="9.7109375" style="125" customWidth="1"/>
    <col min="8166" max="8167" width="3.7109375" style="125" customWidth="1"/>
    <col min="8168" max="8168" width="9.7109375" style="125" customWidth="1"/>
    <col min="8169" max="8170" width="3.7109375" style="125" customWidth="1"/>
    <col min="8171" max="8171" width="9.7109375" style="125" customWidth="1"/>
    <col min="8172" max="8173" width="3.7109375" style="125" customWidth="1"/>
    <col min="8174" max="8174" width="9.7109375" style="125" customWidth="1"/>
    <col min="8175" max="8176" width="3.7109375" style="125" customWidth="1"/>
    <col min="8177" max="8177" width="9.7109375" style="125" customWidth="1"/>
    <col min="8178" max="8179" width="3.7109375" style="125" customWidth="1"/>
    <col min="8180" max="8180" width="9.7109375" style="125" customWidth="1"/>
    <col min="8181" max="8182" width="3.7109375" style="125" customWidth="1"/>
    <col min="8183" max="8183" width="9.7109375" style="125" customWidth="1"/>
    <col min="8184" max="8185" width="3.7109375" style="125" customWidth="1"/>
    <col min="8186" max="8186" width="9.7109375" style="125" customWidth="1"/>
    <col min="8187" max="8188" width="3.7109375" style="125" customWidth="1"/>
    <col min="8189" max="8189" width="9.7109375" style="125" customWidth="1"/>
    <col min="8190" max="8190" width="3.7109375" style="125" customWidth="1"/>
    <col min="8191" max="8192" width="8" style="125"/>
    <col min="8193" max="8193" width="30.7109375" style="125" customWidth="1"/>
    <col min="8194" max="8194" width="9.7109375" style="125" customWidth="1"/>
    <col min="8195" max="8195" width="3.7109375" style="125" customWidth="1"/>
    <col min="8196" max="8196" width="9.7109375" style="125" customWidth="1"/>
    <col min="8197" max="8198" width="3.7109375" style="125" customWidth="1"/>
    <col min="8199" max="8199" width="9.7109375" style="125" customWidth="1"/>
    <col min="8200" max="8201" width="3.7109375" style="125" customWidth="1"/>
    <col min="8202" max="8202" width="9.7109375" style="125" customWidth="1"/>
    <col min="8203" max="8204" width="3.7109375" style="125" customWidth="1"/>
    <col min="8205" max="8205" width="9.7109375" style="125" customWidth="1"/>
    <col min="8206" max="8207" width="3.7109375" style="125" customWidth="1"/>
    <col min="8208" max="8208" width="9.7109375" style="125" customWidth="1"/>
    <col min="8209" max="8210" width="3.7109375" style="125" customWidth="1"/>
    <col min="8211" max="8211" width="9.7109375" style="125" customWidth="1"/>
    <col min="8212" max="8213" width="3.7109375" style="125" customWidth="1"/>
    <col min="8214" max="8214" width="9.7109375" style="125" customWidth="1"/>
    <col min="8215" max="8216" width="3.7109375" style="125" customWidth="1"/>
    <col min="8217" max="8217" width="9.7109375" style="125" customWidth="1"/>
    <col min="8218" max="8219" width="3.7109375" style="125" customWidth="1"/>
    <col min="8220" max="8220" width="9.7109375" style="125" customWidth="1"/>
    <col min="8221" max="8222" width="3.7109375" style="125" customWidth="1"/>
    <col min="8223" max="8223" width="9.7109375" style="125" customWidth="1"/>
    <col min="8224" max="8225" width="3.7109375" style="125" customWidth="1"/>
    <col min="8226" max="8226" width="9.7109375" style="125" customWidth="1"/>
    <col min="8227" max="8228" width="3.7109375" style="125" customWidth="1"/>
    <col min="8229" max="8229" width="9.7109375" style="125" customWidth="1"/>
    <col min="8230" max="8231" width="3.7109375" style="125" customWidth="1"/>
    <col min="8232" max="8232" width="9.7109375" style="125" customWidth="1"/>
    <col min="8233" max="8234" width="3.7109375" style="125" customWidth="1"/>
    <col min="8235" max="8235" width="9.7109375" style="125" customWidth="1"/>
    <col min="8236" max="8237" width="3.7109375" style="125" customWidth="1"/>
    <col min="8238" max="8238" width="9.7109375" style="125" customWidth="1"/>
    <col min="8239" max="8240" width="3.7109375" style="125" customWidth="1"/>
    <col min="8241" max="8241" width="9.7109375" style="125" customWidth="1"/>
    <col min="8242" max="8243" width="3.7109375" style="125" customWidth="1"/>
    <col min="8244" max="8244" width="9.7109375" style="125" customWidth="1"/>
    <col min="8245" max="8246" width="3.7109375" style="125" customWidth="1"/>
    <col min="8247" max="8247" width="9.7109375" style="125" customWidth="1"/>
    <col min="8248" max="8249" width="3.7109375" style="125" customWidth="1"/>
    <col min="8250" max="8250" width="9.7109375" style="125" customWidth="1"/>
    <col min="8251" max="8252" width="3.7109375" style="125" customWidth="1"/>
    <col min="8253" max="8253" width="9.7109375" style="125" customWidth="1"/>
    <col min="8254" max="8255" width="3.7109375" style="125" customWidth="1"/>
    <col min="8256" max="8256" width="9.7109375" style="125" customWidth="1"/>
    <col min="8257" max="8258" width="3.7109375" style="125" customWidth="1"/>
    <col min="8259" max="8259" width="9.7109375" style="125" customWidth="1"/>
    <col min="8260" max="8261" width="3.7109375" style="125" customWidth="1"/>
    <col min="8262" max="8262" width="9.7109375" style="125" customWidth="1"/>
    <col min="8263" max="8264" width="3.7109375" style="125" customWidth="1"/>
    <col min="8265" max="8265" width="9.7109375" style="125" customWidth="1"/>
    <col min="8266" max="8267" width="3.7109375" style="125" customWidth="1"/>
    <col min="8268" max="8268" width="9.7109375" style="125" customWidth="1"/>
    <col min="8269" max="8270" width="3.7109375" style="125" customWidth="1"/>
    <col min="8271" max="8271" width="9.7109375" style="125" customWidth="1"/>
    <col min="8272" max="8273" width="3.7109375" style="125" customWidth="1"/>
    <col min="8274" max="8274" width="9.7109375" style="125" customWidth="1"/>
    <col min="8275" max="8276" width="3.7109375" style="125" customWidth="1"/>
    <col min="8277" max="8277" width="9.7109375" style="125" customWidth="1"/>
    <col min="8278" max="8279" width="3.7109375" style="125" customWidth="1"/>
    <col min="8280" max="8280" width="9.7109375" style="125" customWidth="1"/>
    <col min="8281" max="8282" width="3.7109375" style="125" customWidth="1"/>
    <col min="8283" max="8283" width="9.7109375" style="125" customWidth="1"/>
    <col min="8284" max="8285" width="3.7109375" style="125" customWidth="1"/>
    <col min="8286" max="8286" width="9.7109375" style="125" customWidth="1"/>
    <col min="8287" max="8288" width="3.7109375" style="125" customWidth="1"/>
    <col min="8289" max="8289" width="9.7109375" style="125" customWidth="1"/>
    <col min="8290" max="8291" width="3.7109375" style="125" customWidth="1"/>
    <col min="8292" max="8292" width="9.7109375" style="125" customWidth="1"/>
    <col min="8293" max="8294" width="3.7109375" style="125" customWidth="1"/>
    <col min="8295" max="8295" width="9.7109375" style="125" customWidth="1"/>
    <col min="8296" max="8297" width="3.7109375" style="125" customWidth="1"/>
    <col min="8298" max="8298" width="9.7109375" style="125" customWidth="1"/>
    <col min="8299" max="8300" width="3.7109375" style="125" customWidth="1"/>
    <col min="8301" max="8301" width="9.7109375" style="125" customWidth="1"/>
    <col min="8302" max="8302" width="3.7109375" style="125" customWidth="1"/>
    <col min="8303" max="8303" width="5.7109375" style="125" bestFit="1" customWidth="1"/>
    <col min="8304" max="8304" width="9.7109375" style="125" customWidth="1"/>
    <col min="8305" max="8306" width="3.7109375" style="125" customWidth="1"/>
    <col min="8307" max="8307" width="9.7109375" style="125" customWidth="1"/>
    <col min="8308" max="8309" width="3.7109375" style="125" customWidth="1"/>
    <col min="8310" max="8310" width="9.7109375" style="125" customWidth="1"/>
    <col min="8311" max="8312" width="3.7109375" style="125" customWidth="1"/>
    <col min="8313" max="8313" width="9.7109375" style="125" customWidth="1"/>
    <col min="8314" max="8315" width="3.7109375" style="125" customWidth="1"/>
    <col min="8316" max="8316" width="9.7109375" style="125" customWidth="1"/>
    <col min="8317" max="8318" width="3.7109375" style="125" customWidth="1"/>
    <col min="8319" max="8319" width="9.7109375" style="125" customWidth="1"/>
    <col min="8320" max="8321" width="3.7109375" style="125" customWidth="1"/>
    <col min="8322" max="8322" width="9.7109375" style="125" customWidth="1"/>
    <col min="8323" max="8324" width="3.7109375" style="125" customWidth="1"/>
    <col min="8325" max="8325" width="9.7109375" style="125" customWidth="1"/>
    <col min="8326" max="8326" width="3.7109375" style="125" customWidth="1"/>
    <col min="8327" max="8327" width="5.7109375" style="125" bestFit="1" customWidth="1"/>
    <col min="8328" max="8328" width="9.7109375" style="125" customWidth="1"/>
    <col min="8329" max="8330" width="3.7109375" style="125" customWidth="1"/>
    <col min="8331" max="8331" width="9.7109375" style="125" customWidth="1"/>
    <col min="8332" max="8333" width="3.7109375" style="125" customWidth="1"/>
    <col min="8334" max="8334" width="9.7109375" style="125" customWidth="1"/>
    <col min="8335" max="8336" width="3.7109375" style="125" customWidth="1"/>
    <col min="8337" max="8337" width="9.7109375" style="125" customWidth="1"/>
    <col min="8338" max="8339" width="3.7109375" style="125" customWidth="1"/>
    <col min="8340" max="8340" width="9.7109375" style="125" customWidth="1"/>
    <col min="8341" max="8342" width="3.7109375" style="125" customWidth="1"/>
    <col min="8343" max="8343" width="9.7109375" style="125" customWidth="1"/>
    <col min="8344" max="8345" width="3.7109375" style="125" customWidth="1"/>
    <col min="8346" max="8346" width="9.7109375" style="125" customWidth="1"/>
    <col min="8347" max="8348" width="3.7109375" style="125" customWidth="1"/>
    <col min="8349" max="8349" width="9.7109375" style="125" customWidth="1"/>
    <col min="8350" max="8351" width="3.7109375" style="125" customWidth="1"/>
    <col min="8352" max="8352" width="9.7109375" style="125" customWidth="1"/>
    <col min="8353" max="8354" width="3.7109375" style="125" customWidth="1"/>
    <col min="8355" max="8355" width="9.7109375" style="125" customWidth="1"/>
    <col min="8356" max="8357" width="3.7109375" style="125" customWidth="1"/>
    <col min="8358" max="8358" width="9.7109375" style="125" customWidth="1"/>
    <col min="8359" max="8360" width="3.7109375" style="125" customWidth="1"/>
    <col min="8361" max="8361" width="9.7109375" style="125" customWidth="1"/>
    <col min="8362" max="8363" width="3.7109375" style="125" customWidth="1"/>
    <col min="8364" max="8364" width="9.7109375" style="125" customWidth="1"/>
    <col min="8365" max="8366" width="3.7109375" style="125" customWidth="1"/>
    <col min="8367" max="8367" width="9.7109375" style="125" customWidth="1"/>
    <col min="8368" max="8369" width="3.7109375" style="125" customWidth="1"/>
    <col min="8370" max="8370" width="9.7109375" style="125" customWidth="1"/>
    <col min="8371" max="8372" width="3.7109375" style="125" customWidth="1"/>
    <col min="8373" max="8373" width="9.7109375" style="125" customWidth="1"/>
    <col min="8374" max="8375" width="3.7109375" style="125" customWidth="1"/>
    <col min="8376" max="8376" width="9.7109375" style="125" customWidth="1"/>
    <col min="8377" max="8378" width="3.7109375" style="125" customWidth="1"/>
    <col min="8379" max="8379" width="9.7109375" style="125" customWidth="1"/>
    <col min="8380" max="8381" width="3.7109375" style="125" customWidth="1"/>
    <col min="8382" max="8382" width="9.7109375" style="125" customWidth="1"/>
    <col min="8383" max="8384" width="3.7109375" style="125" customWidth="1"/>
    <col min="8385" max="8385" width="9.7109375" style="125" customWidth="1"/>
    <col min="8386" max="8387" width="3.7109375" style="125" customWidth="1"/>
    <col min="8388" max="8388" width="9.7109375" style="125" customWidth="1"/>
    <col min="8389" max="8390" width="3.7109375" style="125" customWidth="1"/>
    <col min="8391" max="8391" width="9.7109375" style="125" customWidth="1"/>
    <col min="8392" max="8393" width="3.7109375" style="125" customWidth="1"/>
    <col min="8394" max="8394" width="9.7109375" style="125" customWidth="1"/>
    <col min="8395" max="8396" width="3.7109375" style="125" customWidth="1"/>
    <col min="8397" max="8397" width="9.7109375" style="125" customWidth="1"/>
    <col min="8398" max="8399" width="3.7109375" style="125" customWidth="1"/>
    <col min="8400" max="8400" width="9.7109375" style="125" customWidth="1"/>
    <col min="8401" max="8402" width="3.7109375" style="125" customWidth="1"/>
    <col min="8403" max="8403" width="9.7109375" style="125" customWidth="1"/>
    <col min="8404" max="8405" width="3.7109375" style="125" customWidth="1"/>
    <col min="8406" max="8406" width="9.7109375" style="125" customWidth="1"/>
    <col min="8407" max="8408" width="3.7109375" style="125" customWidth="1"/>
    <col min="8409" max="8409" width="9.7109375" style="125" customWidth="1"/>
    <col min="8410" max="8411" width="3.7109375" style="125" customWidth="1"/>
    <col min="8412" max="8412" width="9.7109375" style="125" customWidth="1"/>
    <col min="8413" max="8414" width="3.7109375" style="125" customWidth="1"/>
    <col min="8415" max="8415" width="9.7109375" style="125" customWidth="1"/>
    <col min="8416" max="8417" width="3.7109375" style="125" customWidth="1"/>
    <col min="8418" max="8418" width="9.7109375" style="125" customWidth="1"/>
    <col min="8419" max="8420" width="3.7109375" style="125" customWidth="1"/>
    <col min="8421" max="8421" width="9.7109375" style="125" customWidth="1"/>
    <col min="8422" max="8423" width="3.7109375" style="125" customWidth="1"/>
    <col min="8424" max="8424" width="9.7109375" style="125" customWidth="1"/>
    <col min="8425" max="8426" width="3.7109375" style="125" customWidth="1"/>
    <col min="8427" max="8427" width="9.7109375" style="125" customWidth="1"/>
    <col min="8428" max="8429" width="3.7109375" style="125" customWidth="1"/>
    <col min="8430" max="8430" width="9.7109375" style="125" customWidth="1"/>
    <col min="8431" max="8432" width="3.7109375" style="125" customWidth="1"/>
    <col min="8433" max="8433" width="9.7109375" style="125" customWidth="1"/>
    <col min="8434" max="8435" width="3.7109375" style="125" customWidth="1"/>
    <col min="8436" max="8436" width="9.7109375" style="125" customWidth="1"/>
    <col min="8437" max="8438" width="3.7109375" style="125" customWidth="1"/>
    <col min="8439" max="8439" width="9.7109375" style="125" customWidth="1"/>
    <col min="8440" max="8441" width="3.7109375" style="125" customWidth="1"/>
    <col min="8442" max="8442" width="9.7109375" style="125" customWidth="1"/>
    <col min="8443" max="8444" width="3.7109375" style="125" customWidth="1"/>
    <col min="8445" max="8445" width="9.7109375" style="125" customWidth="1"/>
    <col min="8446" max="8446" width="3.7109375" style="125" customWidth="1"/>
    <col min="8447" max="8448" width="8" style="125"/>
    <col min="8449" max="8449" width="30.7109375" style="125" customWidth="1"/>
    <col min="8450" max="8450" width="9.7109375" style="125" customWidth="1"/>
    <col min="8451" max="8451" width="3.7109375" style="125" customWidth="1"/>
    <col min="8452" max="8452" width="9.7109375" style="125" customWidth="1"/>
    <col min="8453" max="8454" width="3.7109375" style="125" customWidth="1"/>
    <col min="8455" max="8455" width="9.7109375" style="125" customWidth="1"/>
    <col min="8456" max="8457" width="3.7109375" style="125" customWidth="1"/>
    <col min="8458" max="8458" width="9.7109375" style="125" customWidth="1"/>
    <col min="8459" max="8460" width="3.7109375" style="125" customWidth="1"/>
    <col min="8461" max="8461" width="9.7109375" style="125" customWidth="1"/>
    <col min="8462" max="8463" width="3.7109375" style="125" customWidth="1"/>
    <col min="8464" max="8464" width="9.7109375" style="125" customWidth="1"/>
    <col min="8465" max="8466" width="3.7109375" style="125" customWidth="1"/>
    <col min="8467" max="8467" width="9.7109375" style="125" customWidth="1"/>
    <col min="8468" max="8469" width="3.7109375" style="125" customWidth="1"/>
    <col min="8470" max="8470" width="9.7109375" style="125" customWidth="1"/>
    <col min="8471" max="8472" width="3.7109375" style="125" customWidth="1"/>
    <col min="8473" max="8473" width="9.7109375" style="125" customWidth="1"/>
    <col min="8474" max="8475" width="3.7109375" style="125" customWidth="1"/>
    <col min="8476" max="8476" width="9.7109375" style="125" customWidth="1"/>
    <col min="8477" max="8478" width="3.7109375" style="125" customWidth="1"/>
    <col min="8479" max="8479" width="9.7109375" style="125" customWidth="1"/>
    <col min="8480" max="8481" width="3.7109375" style="125" customWidth="1"/>
    <col min="8482" max="8482" width="9.7109375" style="125" customWidth="1"/>
    <col min="8483" max="8484" width="3.7109375" style="125" customWidth="1"/>
    <col min="8485" max="8485" width="9.7109375" style="125" customWidth="1"/>
    <col min="8486" max="8487" width="3.7109375" style="125" customWidth="1"/>
    <col min="8488" max="8488" width="9.7109375" style="125" customWidth="1"/>
    <col min="8489" max="8490" width="3.7109375" style="125" customWidth="1"/>
    <col min="8491" max="8491" width="9.7109375" style="125" customWidth="1"/>
    <col min="8492" max="8493" width="3.7109375" style="125" customWidth="1"/>
    <col min="8494" max="8494" width="9.7109375" style="125" customWidth="1"/>
    <col min="8495" max="8496" width="3.7109375" style="125" customWidth="1"/>
    <col min="8497" max="8497" width="9.7109375" style="125" customWidth="1"/>
    <col min="8498" max="8499" width="3.7109375" style="125" customWidth="1"/>
    <col min="8500" max="8500" width="9.7109375" style="125" customWidth="1"/>
    <col min="8501" max="8502" width="3.7109375" style="125" customWidth="1"/>
    <col min="8503" max="8503" width="9.7109375" style="125" customWidth="1"/>
    <col min="8504" max="8505" width="3.7109375" style="125" customWidth="1"/>
    <col min="8506" max="8506" width="9.7109375" style="125" customWidth="1"/>
    <col min="8507" max="8508" width="3.7109375" style="125" customWidth="1"/>
    <col min="8509" max="8509" width="9.7109375" style="125" customWidth="1"/>
    <col min="8510" max="8511" width="3.7109375" style="125" customWidth="1"/>
    <col min="8512" max="8512" width="9.7109375" style="125" customWidth="1"/>
    <col min="8513" max="8514" width="3.7109375" style="125" customWidth="1"/>
    <col min="8515" max="8515" width="9.7109375" style="125" customWidth="1"/>
    <col min="8516" max="8517" width="3.7109375" style="125" customWidth="1"/>
    <col min="8518" max="8518" width="9.7109375" style="125" customWidth="1"/>
    <col min="8519" max="8520" width="3.7109375" style="125" customWidth="1"/>
    <col min="8521" max="8521" width="9.7109375" style="125" customWidth="1"/>
    <col min="8522" max="8523" width="3.7109375" style="125" customWidth="1"/>
    <col min="8524" max="8524" width="9.7109375" style="125" customWidth="1"/>
    <col min="8525" max="8526" width="3.7109375" style="125" customWidth="1"/>
    <col min="8527" max="8527" width="9.7109375" style="125" customWidth="1"/>
    <col min="8528" max="8529" width="3.7109375" style="125" customWidth="1"/>
    <col min="8530" max="8530" width="9.7109375" style="125" customWidth="1"/>
    <col min="8531" max="8532" width="3.7109375" style="125" customWidth="1"/>
    <col min="8533" max="8533" width="9.7109375" style="125" customWidth="1"/>
    <col min="8534" max="8535" width="3.7109375" style="125" customWidth="1"/>
    <col min="8536" max="8536" width="9.7109375" style="125" customWidth="1"/>
    <col min="8537" max="8538" width="3.7109375" style="125" customWidth="1"/>
    <col min="8539" max="8539" width="9.7109375" style="125" customWidth="1"/>
    <col min="8540" max="8541" width="3.7109375" style="125" customWidth="1"/>
    <col min="8542" max="8542" width="9.7109375" style="125" customWidth="1"/>
    <col min="8543" max="8544" width="3.7109375" style="125" customWidth="1"/>
    <col min="8545" max="8545" width="9.7109375" style="125" customWidth="1"/>
    <col min="8546" max="8547" width="3.7109375" style="125" customWidth="1"/>
    <col min="8548" max="8548" width="9.7109375" style="125" customWidth="1"/>
    <col min="8549" max="8550" width="3.7109375" style="125" customWidth="1"/>
    <col min="8551" max="8551" width="9.7109375" style="125" customWidth="1"/>
    <col min="8552" max="8553" width="3.7109375" style="125" customWidth="1"/>
    <col min="8554" max="8554" width="9.7109375" style="125" customWidth="1"/>
    <col min="8555" max="8556" width="3.7109375" style="125" customWidth="1"/>
    <col min="8557" max="8557" width="9.7109375" style="125" customWidth="1"/>
    <col min="8558" max="8558" width="3.7109375" style="125" customWidth="1"/>
    <col min="8559" max="8559" width="5.7109375" style="125" bestFit="1" customWidth="1"/>
    <col min="8560" max="8560" width="9.7109375" style="125" customWidth="1"/>
    <col min="8561" max="8562" width="3.7109375" style="125" customWidth="1"/>
    <col min="8563" max="8563" width="9.7109375" style="125" customWidth="1"/>
    <col min="8564" max="8565" width="3.7109375" style="125" customWidth="1"/>
    <col min="8566" max="8566" width="9.7109375" style="125" customWidth="1"/>
    <col min="8567" max="8568" width="3.7109375" style="125" customWidth="1"/>
    <col min="8569" max="8569" width="9.7109375" style="125" customWidth="1"/>
    <col min="8570" max="8571" width="3.7109375" style="125" customWidth="1"/>
    <col min="8572" max="8572" width="9.7109375" style="125" customWidth="1"/>
    <col min="8573" max="8574" width="3.7109375" style="125" customWidth="1"/>
    <col min="8575" max="8575" width="9.7109375" style="125" customWidth="1"/>
    <col min="8576" max="8577" width="3.7109375" style="125" customWidth="1"/>
    <col min="8578" max="8578" width="9.7109375" style="125" customWidth="1"/>
    <col min="8579" max="8580" width="3.7109375" style="125" customWidth="1"/>
    <col min="8581" max="8581" width="9.7109375" style="125" customWidth="1"/>
    <col min="8582" max="8582" width="3.7109375" style="125" customWidth="1"/>
    <col min="8583" max="8583" width="5.7109375" style="125" bestFit="1" customWidth="1"/>
    <col min="8584" max="8584" width="9.7109375" style="125" customWidth="1"/>
    <col min="8585" max="8586" width="3.7109375" style="125" customWidth="1"/>
    <col min="8587" max="8587" width="9.7109375" style="125" customWidth="1"/>
    <col min="8588" max="8589" width="3.7109375" style="125" customWidth="1"/>
    <col min="8590" max="8590" width="9.7109375" style="125" customWidth="1"/>
    <col min="8591" max="8592" width="3.7109375" style="125" customWidth="1"/>
    <col min="8593" max="8593" width="9.7109375" style="125" customWidth="1"/>
    <col min="8594" max="8595" width="3.7109375" style="125" customWidth="1"/>
    <col min="8596" max="8596" width="9.7109375" style="125" customWidth="1"/>
    <col min="8597" max="8598" width="3.7109375" style="125" customWidth="1"/>
    <col min="8599" max="8599" width="9.7109375" style="125" customWidth="1"/>
    <col min="8600" max="8601" width="3.7109375" style="125" customWidth="1"/>
    <col min="8602" max="8602" width="9.7109375" style="125" customWidth="1"/>
    <col min="8603" max="8604" width="3.7109375" style="125" customWidth="1"/>
    <col min="8605" max="8605" width="9.7109375" style="125" customWidth="1"/>
    <col min="8606" max="8607" width="3.7109375" style="125" customWidth="1"/>
    <col min="8608" max="8608" width="9.7109375" style="125" customWidth="1"/>
    <col min="8609" max="8610" width="3.7109375" style="125" customWidth="1"/>
    <col min="8611" max="8611" width="9.7109375" style="125" customWidth="1"/>
    <col min="8612" max="8613" width="3.7109375" style="125" customWidth="1"/>
    <col min="8614" max="8614" width="9.7109375" style="125" customWidth="1"/>
    <col min="8615" max="8616" width="3.7109375" style="125" customWidth="1"/>
    <col min="8617" max="8617" width="9.7109375" style="125" customWidth="1"/>
    <col min="8618" max="8619" width="3.7109375" style="125" customWidth="1"/>
    <col min="8620" max="8620" width="9.7109375" style="125" customWidth="1"/>
    <col min="8621" max="8622" width="3.7109375" style="125" customWidth="1"/>
    <col min="8623" max="8623" width="9.7109375" style="125" customWidth="1"/>
    <col min="8624" max="8625" width="3.7109375" style="125" customWidth="1"/>
    <col min="8626" max="8626" width="9.7109375" style="125" customWidth="1"/>
    <col min="8627" max="8628" width="3.7109375" style="125" customWidth="1"/>
    <col min="8629" max="8629" width="9.7109375" style="125" customWidth="1"/>
    <col min="8630" max="8631" width="3.7109375" style="125" customWidth="1"/>
    <col min="8632" max="8632" width="9.7109375" style="125" customWidth="1"/>
    <col min="8633" max="8634" width="3.7109375" style="125" customWidth="1"/>
    <col min="8635" max="8635" width="9.7109375" style="125" customWidth="1"/>
    <col min="8636" max="8637" width="3.7109375" style="125" customWidth="1"/>
    <col min="8638" max="8638" width="9.7109375" style="125" customWidth="1"/>
    <col min="8639" max="8640" width="3.7109375" style="125" customWidth="1"/>
    <col min="8641" max="8641" width="9.7109375" style="125" customWidth="1"/>
    <col min="8642" max="8643" width="3.7109375" style="125" customWidth="1"/>
    <col min="8644" max="8644" width="9.7109375" style="125" customWidth="1"/>
    <col min="8645" max="8646" width="3.7109375" style="125" customWidth="1"/>
    <col min="8647" max="8647" width="9.7109375" style="125" customWidth="1"/>
    <col min="8648" max="8649" width="3.7109375" style="125" customWidth="1"/>
    <col min="8650" max="8650" width="9.7109375" style="125" customWidth="1"/>
    <col min="8651" max="8652" width="3.7109375" style="125" customWidth="1"/>
    <col min="8653" max="8653" width="9.7109375" style="125" customWidth="1"/>
    <col min="8654" max="8655" width="3.7109375" style="125" customWidth="1"/>
    <col min="8656" max="8656" width="9.7109375" style="125" customWidth="1"/>
    <col min="8657" max="8658" width="3.7109375" style="125" customWidth="1"/>
    <col min="8659" max="8659" width="9.7109375" style="125" customWidth="1"/>
    <col min="8660" max="8661" width="3.7109375" style="125" customWidth="1"/>
    <col min="8662" max="8662" width="9.7109375" style="125" customWidth="1"/>
    <col min="8663" max="8664" width="3.7109375" style="125" customWidth="1"/>
    <col min="8665" max="8665" width="9.7109375" style="125" customWidth="1"/>
    <col min="8666" max="8667" width="3.7109375" style="125" customWidth="1"/>
    <col min="8668" max="8668" width="9.7109375" style="125" customWidth="1"/>
    <col min="8669" max="8670" width="3.7109375" style="125" customWidth="1"/>
    <col min="8671" max="8671" width="9.7109375" style="125" customWidth="1"/>
    <col min="8672" max="8673" width="3.7109375" style="125" customWidth="1"/>
    <col min="8674" max="8674" width="9.7109375" style="125" customWidth="1"/>
    <col min="8675" max="8676" width="3.7109375" style="125" customWidth="1"/>
    <col min="8677" max="8677" width="9.7109375" style="125" customWidth="1"/>
    <col min="8678" max="8679" width="3.7109375" style="125" customWidth="1"/>
    <col min="8680" max="8680" width="9.7109375" style="125" customWidth="1"/>
    <col min="8681" max="8682" width="3.7109375" style="125" customWidth="1"/>
    <col min="8683" max="8683" width="9.7109375" style="125" customWidth="1"/>
    <col min="8684" max="8685" width="3.7109375" style="125" customWidth="1"/>
    <col min="8686" max="8686" width="9.7109375" style="125" customWidth="1"/>
    <col min="8687" max="8688" width="3.7109375" style="125" customWidth="1"/>
    <col min="8689" max="8689" width="9.7109375" style="125" customWidth="1"/>
    <col min="8690" max="8691" width="3.7109375" style="125" customWidth="1"/>
    <col min="8692" max="8692" width="9.7109375" style="125" customWidth="1"/>
    <col min="8693" max="8694" width="3.7109375" style="125" customWidth="1"/>
    <col min="8695" max="8695" width="9.7109375" style="125" customWidth="1"/>
    <col min="8696" max="8697" width="3.7109375" style="125" customWidth="1"/>
    <col min="8698" max="8698" width="9.7109375" style="125" customWidth="1"/>
    <col min="8699" max="8700" width="3.7109375" style="125" customWidth="1"/>
    <col min="8701" max="8701" width="9.7109375" style="125" customWidth="1"/>
    <col min="8702" max="8702" width="3.7109375" style="125" customWidth="1"/>
    <col min="8703" max="8704" width="8" style="125"/>
    <col min="8705" max="8705" width="30.7109375" style="125" customWidth="1"/>
    <col min="8706" max="8706" width="9.7109375" style="125" customWidth="1"/>
    <col min="8707" max="8707" width="3.7109375" style="125" customWidth="1"/>
    <col min="8708" max="8708" width="9.7109375" style="125" customWidth="1"/>
    <col min="8709" max="8710" width="3.7109375" style="125" customWidth="1"/>
    <col min="8711" max="8711" width="9.7109375" style="125" customWidth="1"/>
    <col min="8712" max="8713" width="3.7109375" style="125" customWidth="1"/>
    <col min="8714" max="8714" width="9.7109375" style="125" customWidth="1"/>
    <col min="8715" max="8716" width="3.7109375" style="125" customWidth="1"/>
    <col min="8717" max="8717" width="9.7109375" style="125" customWidth="1"/>
    <col min="8718" max="8719" width="3.7109375" style="125" customWidth="1"/>
    <col min="8720" max="8720" width="9.7109375" style="125" customWidth="1"/>
    <col min="8721" max="8722" width="3.7109375" style="125" customWidth="1"/>
    <col min="8723" max="8723" width="9.7109375" style="125" customWidth="1"/>
    <col min="8724" max="8725" width="3.7109375" style="125" customWidth="1"/>
    <col min="8726" max="8726" width="9.7109375" style="125" customWidth="1"/>
    <col min="8727" max="8728" width="3.7109375" style="125" customWidth="1"/>
    <col min="8729" max="8729" width="9.7109375" style="125" customWidth="1"/>
    <col min="8730" max="8731" width="3.7109375" style="125" customWidth="1"/>
    <col min="8732" max="8732" width="9.7109375" style="125" customWidth="1"/>
    <col min="8733" max="8734" width="3.7109375" style="125" customWidth="1"/>
    <col min="8735" max="8735" width="9.7109375" style="125" customWidth="1"/>
    <col min="8736" max="8737" width="3.7109375" style="125" customWidth="1"/>
    <col min="8738" max="8738" width="9.7109375" style="125" customWidth="1"/>
    <col min="8739" max="8740" width="3.7109375" style="125" customWidth="1"/>
    <col min="8741" max="8741" width="9.7109375" style="125" customWidth="1"/>
    <col min="8742" max="8743" width="3.7109375" style="125" customWidth="1"/>
    <col min="8744" max="8744" width="9.7109375" style="125" customWidth="1"/>
    <col min="8745" max="8746" width="3.7109375" style="125" customWidth="1"/>
    <col min="8747" max="8747" width="9.7109375" style="125" customWidth="1"/>
    <col min="8748" max="8749" width="3.7109375" style="125" customWidth="1"/>
    <col min="8750" max="8750" width="9.7109375" style="125" customWidth="1"/>
    <col min="8751" max="8752" width="3.7109375" style="125" customWidth="1"/>
    <col min="8753" max="8753" width="9.7109375" style="125" customWidth="1"/>
    <col min="8754" max="8755" width="3.7109375" style="125" customWidth="1"/>
    <col min="8756" max="8756" width="9.7109375" style="125" customWidth="1"/>
    <col min="8757" max="8758" width="3.7109375" style="125" customWidth="1"/>
    <col min="8759" max="8759" width="9.7109375" style="125" customWidth="1"/>
    <col min="8760" max="8761" width="3.7109375" style="125" customWidth="1"/>
    <col min="8762" max="8762" width="9.7109375" style="125" customWidth="1"/>
    <col min="8763" max="8764" width="3.7109375" style="125" customWidth="1"/>
    <col min="8765" max="8765" width="9.7109375" style="125" customWidth="1"/>
    <col min="8766" max="8767" width="3.7109375" style="125" customWidth="1"/>
    <col min="8768" max="8768" width="9.7109375" style="125" customWidth="1"/>
    <col min="8769" max="8770" width="3.7109375" style="125" customWidth="1"/>
    <col min="8771" max="8771" width="9.7109375" style="125" customWidth="1"/>
    <col min="8772" max="8773" width="3.7109375" style="125" customWidth="1"/>
    <col min="8774" max="8774" width="9.7109375" style="125" customWidth="1"/>
    <col min="8775" max="8776" width="3.7109375" style="125" customWidth="1"/>
    <col min="8777" max="8777" width="9.7109375" style="125" customWidth="1"/>
    <col min="8778" max="8779" width="3.7109375" style="125" customWidth="1"/>
    <col min="8780" max="8780" width="9.7109375" style="125" customWidth="1"/>
    <col min="8781" max="8782" width="3.7109375" style="125" customWidth="1"/>
    <col min="8783" max="8783" width="9.7109375" style="125" customWidth="1"/>
    <col min="8784" max="8785" width="3.7109375" style="125" customWidth="1"/>
    <col min="8786" max="8786" width="9.7109375" style="125" customWidth="1"/>
    <col min="8787" max="8788" width="3.7109375" style="125" customWidth="1"/>
    <col min="8789" max="8789" width="9.7109375" style="125" customWidth="1"/>
    <col min="8790" max="8791" width="3.7109375" style="125" customWidth="1"/>
    <col min="8792" max="8792" width="9.7109375" style="125" customWidth="1"/>
    <col min="8793" max="8794" width="3.7109375" style="125" customWidth="1"/>
    <col min="8795" max="8795" width="9.7109375" style="125" customWidth="1"/>
    <col min="8796" max="8797" width="3.7109375" style="125" customWidth="1"/>
    <col min="8798" max="8798" width="9.7109375" style="125" customWidth="1"/>
    <col min="8799" max="8800" width="3.7109375" style="125" customWidth="1"/>
    <col min="8801" max="8801" width="9.7109375" style="125" customWidth="1"/>
    <col min="8802" max="8803" width="3.7109375" style="125" customWidth="1"/>
    <col min="8804" max="8804" width="9.7109375" style="125" customWidth="1"/>
    <col min="8805" max="8806" width="3.7109375" style="125" customWidth="1"/>
    <col min="8807" max="8807" width="9.7109375" style="125" customWidth="1"/>
    <col min="8808" max="8809" width="3.7109375" style="125" customWidth="1"/>
    <col min="8810" max="8810" width="9.7109375" style="125" customWidth="1"/>
    <col min="8811" max="8812" width="3.7109375" style="125" customWidth="1"/>
    <col min="8813" max="8813" width="9.7109375" style="125" customWidth="1"/>
    <col min="8814" max="8814" width="3.7109375" style="125" customWidth="1"/>
    <col min="8815" max="8815" width="5.7109375" style="125" bestFit="1" customWidth="1"/>
    <col min="8816" max="8816" width="9.7109375" style="125" customWidth="1"/>
    <col min="8817" max="8818" width="3.7109375" style="125" customWidth="1"/>
    <col min="8819" max="8819" width="9.7109375" style="125" customWidth="1"/>
    <col min="8820" max="8821" width="3.7109375" style="125" customWidth="1"/>
    <col min="8822" max="8822" width="9.7109375" style="125" customWidth="1"/>
    <col min="8823" max="8824" width="3.7109375" style="125" customWidth="1"/>
    <col min="8825" max="8825" width="9.7109375" style="125" customWidth="1"/>
    <col min="8826" max="8827" width="3.7109375" style="125" customWidth="1"/>
    <col min="8828" max="8828" width="9.7109375" style="125" customWidth="1"/>
    <col min="8829" max="8830" width="3.7109375" style="125" customWidth="1"/>
    <col min="8831" max="8831" width="9.7109375" style="125" customWidth="1"/>
    <col min="8832" max="8833" width="3.7109375" style="125" customWidth="1"/>
    <col min="8834" max="8834" width="9.7109375" style="125" customWidth="1"/>
    <col min="8835" max="8836" width="3.7109375" style="125" customWidth="1"/>
    <col min="8837" max="8837" width="9.7109375" style="125" customWidth="1"/>
    <col min="8838" max="8838" width="3.7109375" style="125" customWidth="1"/>
    <col min="8839" max="8839" width="5.7109375" style="125" bestFit="1" customWidth="1"/>
    <col min="8840" max="8840" width="9.7109375" style="125" customWidth="1"/>
    <col min="8841" max="8842" width="3.7109375" style="125" customWidth="1"/>
    <col min="8843" max="8843" width="9.7109375" style="125" customWidth="1"/>
    <col min="8844" max="8845" width="3.7109375" style="125" customWidth="1"/>
    <col min="8846" max="8846" width="9.7109375" style="125" customWidth="1"/>
    <col min="8847" max="8848" width="3.7109375" style="125" customWidth="1"/>
    <col min="8849" max="8849" width="9.7109375" style="125" customWidth="1"/>
    <col min="8850" max="8851" width="3.7109375" style="125" customWidth="1"/>
    <col min="8852" max="8852" width="9.7109375" style="125" customWidth="1"/>
    <col min="8853" max="8854" width="3.7109375" style="125" customWidth="1"/>
    <col min="8855" max="8855" width="9.7109375" style="125" customWidth="1"/>
    <col min="8856" max="8857" width="3.7109375" style="125" customWidth="1"/>
    <col min="8858" max="8858" width="9.7109375" style="125" customWidth="1"/>
    <col min="8859" max="8860" width="3.7109375" style="125" customWidth="1"/>
    <col min="8861" max="8861" width="9.7109375" style="125" customWidth="1"/>
    <col min="8862" max="8863" width="3.7109375" style="125" customWidth="1"/>
    <col min="8864" max="8864" width="9.7109375" style="125" customWidth="1"/>
    <col min="8865" max="8866" width="3.7109375" style="125" customWidth="1"/>
    <col min="8867" max="8867" width="9.7109375" style="125" customWidth="1"/>
    <col min="8868" max="8869" width="3.7109375" style="125" customWidth="1"/>
    <col min="8870" max="8870" width="9.7109375" style="125" customWidth="1"/>
    <col min="8871" max="8872" width="3.7109375" style="125" customWidth="1"/>
    <col min="8873" max="8873" width="9.7109375" style="125" customWidth="1"/>
    <col min="8874" max="8875" width="3.7109375" style="125" customWidth="1"/>
    <col min="8876" max="8876" width="9.7109375" style="125" customWidth="1"/>
    <col min="8877" max="8878" width="3.7109375" style="125" customWidth="1"/>
    <col min="8879" max="8879" width="9.7109375" style="125" customWidth="1"/>
    <col min="8880" max="8881" width="3.7109375" style="125" customWidth="1"/>
    <col min="8882" max="8882" width="9.7109375" style="125" customWidth="1"/>
    <col min="8883" max="8884" width="3.7109375" style="125" customWidth="1"/>
    <col min="8885" max="8885" width="9.7109375" style="125" customWidth="1"/>
    <col min="8886" max="8887" width="3.7109375" style="125" customWidth="1"/>
    <col min="8888" max="8888" width="9.7109375" style="125" customWidth="1"/>
    <col min="8889" max="8890" width="3.7109375" style="125" customWidth="1"/>
    <col min="8891" max="8891" width="9.7109375" style="125" customWidth="1"/>
    <col min="8892" max="8893" width="3.7109375" style="125" customWidth="1"/>
    <col min="8894" max="8894" width="9.7109375" style="125" customWidth="1"/>
    <col min="8895" max="8896" width="3.7109375" style="125" customWidth="1"/>
    <col min="8897" max="8897" width="9.7109375" style="125" customWidth="1"/>
    <col min="8898" max="8899" width="3.7109375" style="125" customWidth="1"/>
    <col min="8900" max="8900" width="9.7109375" style="125" customWidth="1"/>
    <col min="8901" max="8902" width="3.7109375" style="125" customWidth="1"/>
    <col min="8903" max="8903" width="9.7109375" style="125" customWidth="1"/>
    <col min="8904" max="8905" width="3.7109375" style="125" customWidth="1"/>
    <col min="8906" max="8906" width="9.7109375" style="125" customWidth="1"/>
    <col min="8907" max="8908" width="3.7109375" style="125" customWidth="1"/>
    <col min="8909" max="8909" width="9.7109375" style="125" customWidth="1"/>
    <col min="8910" max="8911" width="3.7109375" style="125" customWidth="1"/>
    <col min="8912" max="8912" width="9.7109375" style="125" customWidth="1"/>
    <col min="8913" max="8914" width="3.7109375" style="125" customWidth="1"/>
    <col min="8915" max="8915" width="9.7109375" style="125" customWidth="1"/>
    <col min="8916" max="8917" width="3.7109375" style="125" customWidth="1"/>
    <col min="8918" max="8918" width="9.7109375" style="125" customWidth="1"/>
    <col min="8919" max="8920" width="3.7109375" style="125" customWidth="1"/>
    <col min="8921" max="8921" width="9.7109375" style="125" customWidth="1"/>
    <col min="8922" max="8923" width="3.7109375" style="125" customWidth="1"/>
    <col min="8924" max="8924" width="9.7109375" style="125" customWidth="1"/>
    <col min="8925" max="8926" width="3.7109375" style="125" customWidth="1"/>
    <col min="8927" max="8927" width="9.7109375" style="125" customWidth="1"/>
    <col min="8928" max="8929" width="3.7109375" style="125" customWidth="1"/>
    <col min="8930" max="8930" width="9.7109375" style="125" customWidth="1"/>
    <col min="8931" max="8932" width="3.7109375" style="125" customWidth="1"/>
    <col min="8933" max="8933" width="9.7109375" style="125" customWidth="1"/>
    <col min="8934" max="8935" width="3.7109375" style="125" customWidth="1"/>
    <col min="8936" max="8936" width="9.7109375" style="125" customWidth="1"/>
    <col min="8937" max="8938" width="3.7109375" style="125" customWidth="1"/>
    <col min="8939" max="8939" width="9.7109375" style="125" customWidth="1"/>
    <col min="8940" max="8941" width="3.7109375" style="125" customWidth="1"/>
    <col min="8942" max="8942" width="9.7109375" style="125" customWidth="1"/>
    <col min="8943" max="8944" width="3.7109375" style="125" customWidth="1"/>
    <col min="8945" max="8945" width="9.7109375" style="125" customWidth="1"/>
    <col min="8946" max="8947" width="3.7109375" style="125" customWidth="1"/>
    <col min="8948" max="8948" width="9.7109375" style="125" customWidth="1"/>
    <col min="8949" max="8950" width="3.7109375" style="125" customWidth="1"/>
    <col min="8951" max="8951" width="9.7109375" style="125" customWidth="1"/>
    <col min="8952" max="8953" width="3.7109375" style="125" customWidth="1"/>
    <col min="8954" max="8954" width="9.7109375" style="125" customWidth="1"/>
    <col min="8955" max="8956" width="3.7109375" style="125" customWidth="1"/>
    <col min="8957" max="8957" width="9.7109375" style="125" customWidth="1"/>
    <col min="8958" max="8958" width="3.7109375" style="125" customWidth="1"/>
    <col min="8959" max="8960" width="8" style="125"/>
    <col min="8961" max="8961" width="30.7109375" style="125" customWidth="1"/>
    <col min="8962" max="8962" width="9.7109375" style="125" customWidth="1"/>
    <col min="8963" max="8963" width="3.7109375" style="125" customWidth="1"/>
    <col min="8964" max="8964" width="9.7109375" style="125" customWidth="1"/>
    <col min="8965" max="8966" width="3.7109375" style="125" customWidth="1"/>
    <col min="8967" max="8967" width="9.7109375" style="125" customWidth="1"/>
    <col min="8968" max="8969" width="3.7109375" style="125" customWidth="1"/>
    <col min="8970" max="8970" width="9.7109375" style="125" customWidth="1"/>
    <col min="8971" max="8972" width="3.7109375" style="125" customWidth="1"/>
    <col min="8973" max="8973" width="9.7109375" style="125" customWidth="1"/>
    <col min="8974" max="8975" width="3.7109375" style="125" customWidth="1"/>
    <col min="8976" max="8976" width="9.7109375" style="125" customWidth="1"/>
    <col min="8977" max="8978" width="3.7109375" style="125" customWidth="1"/>
    <col min="8979" max="8979" width="9.7109375" style="125" customWidth="1"/>
    <col min="8980" max="8981" width="3.7109375" style="125" customWidth="1"/>
    <col min="8982" max="8982" width="9.7109375" style="125" customWidth="1"/>
    <col min="8983" max="8984" width="3.7109375" style="125" customWidth="1"/>
    <col min="8985" max="8985" width="9.7109375" style="125" customWidth="1"/>
    <col min="8986" max="8987" width="3.7109375" style="125" customWidth="1"/>
    <col min="8988" max="8988" width="9.7109375" style="125" customWidth="1"/>
    <col min="8989" max="8990" width="3.7109375" style="125" customWidth="1"/>
    <col min="8991" max="8991" width="9.7109375" style="125" customWidth="1"/>
    <col min="8992" max="8993" width="3.7109375" style="125" customWidth="1"/>
    <col min="8994" max="8994" width="9.7109375" style="125" customWidth="1"/>
    <col min="8995" max="8996" width="3.7109375" style="125" customWidth="1"/>
    <col min="8997" max="8997" width="9.7109375" style="125" customWidth="1"/>
    <col min="8998" max="8999" width="3.7109375" style="125" customWidth="1"/>
    <col min="9000" max="9000" width="9.7109375" style="125" customWidth="1"/>
    <col min="9001" max="9002" width="3.7109375" style="125" customWidth="1"/>
    <col min="9003" max="9003" width="9.7109375" style="125" customWidth="1"/>
    <col min="9004" max="9005" width="3.7109375" style="125" customWidth="1"/>
    <col min="9006" max="9006" width="9.7109375" style="125" customWidth="1"/>
    <col min="9007" max="9008" width="3.7109375" style="125" customWidth="1"/>
    <col min="9009" max="9009" width="9.7109375" style="125" customWidth="1"/>
    <col min="9010" max="9011" width="3.7109375" style="125" customWidth="1"/>
    <col min="9012" max="9012" width="9.7109375" style="125" customWidth="1"/>
    <col min="9013" max="9014" width="3.7109375" style="125" customWidth="1"/>
    <col min="9015" max="9015" width="9.7109375" style="125" customWidth="1"/>
    <col min="9016" max="9017" width="3.7109375" style="125" customWidth="1"/>
    <col min="9018" max="9018" width="9.7109375" style="125" customWidth="1"/>
    <col min="9019" max="9020" width="3.7109375" style="125" customWidth="1"/>
    <col min="9021" max="9021" width="9.7109375" style="125" customWidth="1"/>
    <col min="9022" max="9023" width="3.7109375" style="125" customWidth="1"/>
    <col min="9024" max="9024" width="9.7109375" style="125" customWidth="1"/>
    <col min="9025" max="9026" width="3.7109375" style="125" customWidth="1"/>
    <col min="9027" max="9027" width="9.7109375" style="125" customWidth="1"/>
    <col min="9028" max="9029" width="3.7109375" style="125" customWidth="1"/>
    <col min="9030" max="9030" width="9.7109375" style="125" customWidth="1"/>
    <col min="9031" max="9032" width="3.7109375" style="125" customWidth="1"/>
    <col min="9033" max="9033" width="9.7109375" style="125" customWidth="1"/>
    <col min="9034" max="9035" width="3.7109375" style="125" customWidth="1"/>
    <col min="9036" max="9036" width="9.7109375" style="125" customWidth="1"/>
    <col min="9037" max="9038" width="3.7109375" style="125" customWidth="1"/>
    <col min="9039" max="9039" width="9.7109375" style="125" customWidth="1"/>
    <col min="9040" max="9041" width="3.7109375" style="125" customWidth="1"/>
    <col min="9042" max="9042" width="9.7109375" style="125" customWidth="1"/>
    <col min="9043" max="9044" width="3.7109375" style="125" customWidth="1"/>
    <col min="9045" max="9045" width="9.7109375" style="125" customWidth="1"/>
    <col min="9046" max="9047" width="3.7109375" style="125" customWidth="1"/>
    <col min="9048" max="9048" width="9.7109375" style="125" customWidth="1"/>
    <col min="9049" max="9050" width="3.7109375" style="125" customWidth="1"/>
    <col min="9051" max="9051" width="9.7109375" style="125" customWidth="1"/>
    <col min="9052" max="9053" width="3.7109375" style="125" customWidth="1"/>
    <col min="9054" max="9054" width="9.7109375" style="125" customWidth="1"/>
    <col min="9055" max="9056" width="3.7109375" style="125" customWidth="1"/>
    <col min="9057" max="9057" width="9.7109375" style="125" customWidth="1"/>
    <col min="9058" max="9059" width="3.7109375" style="125" customWidth="1"/>
    <col min="9060" max="9060" width="9.7109375" style="125" customWidth="1"/>
    <col min="9061" max="9062" width="3.7109375" style="125" customWidth="1"/>
    <col min="9063" max="9063" width="9.7109375" style="125" customWidth="1"/>
    <col min="9064" max="9065" width="3.7109375" style="125" customWidth="1"/>
    <col min="9066" max="9066" width="9.7109375" style="125" customWidth="1"/>
    <col min="9067" max="9068" width="3.7109375" style="125" customWidth="1"/>
    <col min="9069" max="9069" width="9.7109375" style="125" customWidth="1"/>
    <col min="9070" max="9070" width="3.7109375" style="125" customWidth="1"/>
    <col min="9071" max="9071" width="5.7109375" style="125" bestFit="1" customWidth="1"/>
    <col min="9072" max="9072" width="9.7109375" style="125" customWidth="1"/>
    <col min="9073" max="9074" width="3.7109375" style="125" customWidth="1"/>
    <col min="9075" max="9075" width="9.7109375" style="125" customWidth="1"/>
    <col min="9076" max="9077" width="3.7109375" style="125" customWidth="1"/>
    <col min="9078" max="9078" width="9.7109375" style="125" customWidth="1"/>
    <col min="9079" max="9080" width="3.7109375" style="125" customWidth="1"/>
    <col min="9081" max="9081" width="9.7109375" style="125" customWidth="1"/>
    <col min="9082" max="9083" width="3.7109375" style="125" customWidth="1"/>
    <col min="9084" max="9084" width="9.7109375" style="125" customWidth="1"/>
    <col min="9085" max="9086" width="3.7109375" style="125" customWidth="1"/>
    <col min="9087" max="9087" width="9.7109375" style="125" customWidth="1"/>
    <col min="9088" max="9089" width="3.7109375" style="125" customWidth="1"/>
    <col min="9090" max="9090" width="9.7109375" style="125" customWidth="1"/>
    <col min="9091" max="9092" width="3.7109375" style="125" customWidth="1"/>
    <col min="9093" max="9093" width="9.7109375" style="125" customWidth="1"/>
    <col min="9094" max="9094" width="3.7109375" style="125" customWidth="1"/>
    <col min="9095" max="9095" width="5.7109375" style="125" bestFit="1" customWidth="1"/>
    <col min="9096" max="9096" width="9.7109375" style="125" customWidth="1"/>
    <col min="9097" max="9098" width="3.7109375" style="125" customWidth="1"/>
    <col min="9099" max="9099" width="9.7109375" style="125" customWidth="1"/>
    <col min="9100" max="9101" width="3.7109375" style="125" customWidth="1"/>
    <col min="9102" max="9102" width="9.7109375" style="125" customWidth="1"/>
    <col min="9103" max="9104" width="3.7109375" style="125" customWidth="1"/>
    <col min="9105" max="9105" width="9.7109375" style="125" customWidth="1"/>
    <col min="9106" max="9107" width="3.7109375" style="125" customWidth="1"/>
    <col min="9108" max="9108" width="9.7109375" style="125" customWidth="1"/>
    <col min="9109" max="9110" width="3.7109375" style="125" customWidth="1"/>
    <col min="9111" max="9111" width="9.7109375" style="125" customWidth="1"/>
    <col min="9112" max="9113" width="3.7109375" style="125" customWidth="1"/>
    <col min="9114" max="9114" width="9.7109375" style="125" customWidth="1"/>
    <col min="9115" max="9116" width="3.7109375" style="125" customWidth="1"/>
    <col min="9117" max="9117" width="9.7109375" style="125" customWidth="1"/>
    <col min="9118" max="9119" width="3.7109375" style="125" customWidth="1"/>
    <col min="9120" max="9120" width="9.7109375" style="125" customWidth="1"/>
    <col min="9121" max="9122" width="3.7109375" style="125" customWidth="1"/>
    <col min="9123" max="9123" width="9.7109375" style="125" customWidth="1"/>
    <col min="9124" max="9125" width="3.7109375" style="125" customWidth="1"/>
    <col min="9126" max="9126" width="9.7109375" style="125" customWidth="1"/>
    <col min="9127" max="9128" width="3.7109375" style="125" customWidth="1"/>
    <col min="9129" max="9129" width="9.7109375" style="125" customWidth="1"/>
    <col min="9130" max="9131" width="3.7109375" style="125" customWidth="1"/>
    <col min="9132" max="9132" width="9.7109375" style="125" customWidth="1"/>
    <col min="9133" max="9134" width="3.7109375" style="125" customWidth="1"/>
    <col min="9135" max="9135" width="9.7109375" style="125" customWidth="1"/>
    <col min="9136" max="9137" width="3.7109375" style="125" customWidth="1"/>
    <col min="9138" max="9138" width="9.7109375" style="125" customWidth="1"/>
    <col min="9139" max="9140" width="3.7109375" style="125" customWidth="1"/>
    <col min="9141" max="9141" width="9.7109375" style="125" customWidth="1"/>
    <col min="9142" max="9143" width="3.7109375" style="125" customWidth="1"/>
    <col min="9144" max="9144" width="9.7109375" style="125" customWidth="1"/>
    <col min="9145" max="9146" width="3.7109375" style="125" customWidth="1"/>
    <col min="9147" max="9147" width="9.7109375" style="125" customWidth="1"/>
    <col min="9148" max="9149" width="3.7109375" style="125" customWidth="1"/>
    <col min="9150" max="9150" width="9.7109375" style="125" customWidth="1"/>
    <col min="9151" max="9152" width="3.7109375" style="125" customWidth="1"/>
    <col min="9153" max="9153" width="9.7109375" style="125" customWidth="1"/>
    <col min="9154" max="9155" width="3.7109375" style="125" customWidth="1"/>
    <col min="9156" max="9156" width="9.7109375" style="125" customWidth="1"/>
    <col min="9157" max="9158" width="3.7109375" style="125" customWidth="1"/>
    <col min="9159" max="9159" width="9.7109375" style="125" customWidth="1"/>
    <col min="9160" max="9161" width="3.7109375" style="125" customWidth="1"/>
    <col min="9162" max="9162" width="9.7109375" style="125" customWidth="1"/>
    <col min="9163" max="9164" width="3.7109375" style="125" customWidth="1"/>
    <col min="9165" max="9165" width="9.7109375" style="125" customWidth="1"/>
    <col min="9166" max="9167" width="3.7109375" style="125" customWidth="1"/>
    <col min="9168" max="9168" width="9.7109375" style="125" customWidth="1"/>
    <col min="9169" max="9170" width="3.7109375" style="125" customWidth="1"/>
    <col min="9171" max="9171" width="9.7109375" style="125" customWidth="1"/>
    <col min="9172" max="9173" width="3.7109375" style="125" customWidth="1"/>
    <col min="9174" max="9174" width="9.7109375" style="125" customWidth="1"/>
    <col min="9175" max="9176" width="3.7109375" style="125" customWidth="1"/>
    <col min="9177" max="9177" width="9.7109375" style="125" customWidth="1"/>
    <col min="9178" max="9179" width="3.7109375" style="125" customWidth="1"/>
    <col min="9180" max="9180" width="9.7109375" style="125" customWidth="1"/>
    <col min="9181" max="9182" width="3.7109375" style="125" customWidth="1"/>
    <col min="9183" max="9183" width="9.7109375" style="125" customWidth="1"/>
    <col min="9184" max="9185" width="3.7109375" style="125" customWidth="1"/>
    <col min="9186" max="9186" width="9.7109375" style="125" customWidth="1"/>
    <col min="9187" max="9188" width="3.7109375" style="125" customWidth="1"/>
    <col min="9189" max="9189" width="9.7109375" style="125" customWidth="1"/>
    <col min="9190" max="9191" width="3.7109375" style="125" customWidth="1"/>
    <col min="9192" max="9192" width="9.7109375" style="125" customWidth="1"/>
    <col min="9193" max="9194" width="3.7109375" style="125" customWidth="1"/>
    <col min="9195" max="9195" width="9.7109375" style="125" customWidth="1"/>
    <col min="9196" max="9197" width="3.7109375" style="125" customWidth="1"/>
    <col min="9198" max="9198" width="9.7109375" style="125" customWidth="1"/>
    <col min="9199" max="9200" width="3.7109375" style="125" customWidth="1"/>
    <col min="9201" max="9201" width="9.7109375" style="125" customWidth="1"/>
    <col min="9202" max="9203" width="3.7109375" style="125" customWidth="1"/>
    <col min="9204" max="9204" width="9.7109375" style="125" customWidth="1"/>
    <col min="9205" max="9206" width="3.7109375" style="125" customWidth="1"/>
    <col min="9207" max="9207" width="9.7109375" style="125" customWidth="1"/>
    <col min="9208" max="9209" width="3.7109375" style="125" customWidth="1"/>
    <col min="9210" max="9210" width="9.7109375" style="125" customWidth="1"/>
    <col min="9211" max="9212" width="3.7109375" style="125" customWidth="1"/>
    <col min="9213" max="9213" width="9.7109375" style="125" customWidth="1"/>
    <col min="9214" max="9214" width="3.7109375" style="125" customWidth="1"/>
    <col min="9215" max="9216" width="8" style="125"/>
    <col min="9217" max="9217" width="30.7109375" style="125" customWidth="1"/>
    <col min="9218" max="9218" width="9.7109375" style="125" customWidth="1"/>
    <col min="9219" max="9219" width="3.7109375" style="125" customWidth="1"/>
    <col min="9220" max="9220" width="9.7109375" style="125" customWidth="1"/>
    <col min="9221" max="9222" width="3.7109375" style="125" customWidth="1"/>
    <col min="9223" max="9223" width="9.7109375" style="125" customWidth="1"/>
    <col min="9224" max="9225" width="3.7109375" style="125" customWidth="1"/>
    <col min="9226" max="9226" width="9.7109375" style="125" customWidth="1"/>
    <col min="9227" max="9228" width="3.7109375" style="125" customWidth="1"/>
    <col min="9229" max="9229" width="9.7109375" style="125" customWidth="1"/>
    <col min="9230" max="9231" width="3.7109375" style="125" customWidth="1"/>
    <col min="9232" max="9232" width="9.7109375" style="125" customWidth="1"/>
    <col min="9233" max="9234" width="3.7109375" style="125" customWidth="1"/>
    <col min="9235" max="9235" width="9.7109375" style="125" customWidth="1"/>
    <col min="9236" max="9237" width="3.7109375" style="125" customWidth="1"/>
    <col min="9238" max="9238" width="9.7109375" style="125" customWidth="1"/>
    <col min="9239" max="9240" width="3.7109375" style="125" customWidth="1"/>
    <col min="9241" max="9241" width="9.7109375" style="125" customWidth="1"/>
    <col min="9242" max="9243" width="3.7109375" style="125" customWidth="1"/>
    <col min="9244" max="9244" width="9.7109375" style="125" customWidth="1"/>
    <col min="9245" max="9246" width="3.7109375" style="125" customWidth="1"/>
    <col min="9247" max="9247" width="9.7109375" style="125" customWidth="1"/>
    <col min="9248" max="9249" width="3.7109375" style="125" customWidth="1"/>
    <col min="9250" max="9250" width="9.7109375" style="125" customWidth="1"/>
    <col min="9251" max="9252" width="3.7109375" style="125" customWidth="1"/>
    <col min="9253" max="9253" width="9.7109375" style="125" customWidth="1"/>
    <col min="9254" max="9255" width="3.7109375" style="125" customWidth="1"/>
    <col min="9256" max="9256" width="9.7109375" style="125" customWidth="1"/>
    <col min="9257" max="9258" width="3.7109375" style="125" customWidth="1"/>
    <col min="9259" max="9259" width="9.7109375" style="125" customWidth="1"/>
    <col min="9260" max="9261" width="3.7109375" style="125" customWidth="1"/>
    <col min="9262" max="9262" width="9.7109375" style="125" customWidth="1"/>
    <col min="9263" max="9264" width="3.7109375" style="125" customWidth="1"/>
    <col min="9265" max="9265" width="9.7109375" style="125" customWidth="1"/>
    <col min="9266" max="9267" width="3.7109375" style="125" customWidth="1"/>
    <col min="9268" max="9268" width="9.7109375" style="125" customWidth="1"/>
    <col min="9269" max="9270" width="3.7109375" style="125" customWidth="1"/>
    <col min="9271" max="9271" width="9.7109375" style="125" customWidth="1"/>
    <col min="9272" max="9273" width="3.7109375" style="125" customWidth="1"/>
    <col min="9274" max="9274" width="9.7109375" style="125" customWidth="1"/>
    <col min="9275" max="9276" width="3.7109375" style="125" customWidth="1"/>
    <col min="9277" max="9277" width="9.7109375" style="125" customWidth="1"/>
    <col min="9278" max="9279" width="3.7109375" style="125" customWidth="1"/>
    <col min="9280" max="9280" width="9.7109375" style="125" customWidth="1"/>
    <col min="9281" max="9282" width="3.7109375" style="125" customWidth="1"/>
    <col min="9283" max="9283" width="9.7109375" style="125" customWidth="1"/>
    <col min="9284" max="9285" width="3.7109375" style="125" customWidth="1"/>
    <col min="9286" max="9286" width="9.7109375" style="125" customWidth="1"/>
    <col min="9287" max="9288" width="3.7109375" style="125" customWidth="1"/>
    <col min="9289" max="9289" width="9.7109375" style="125" customWidth="1"/>
    <col min="9290" max="9291" width="3.7109375" style="125" customWidth="1"/>
    <col min="9292" max="9292" width="9.7109375" style="125" customWidth="1"/>
    <col min="9293" max="9294" width="3.7109375" style="125" customWidth="1"/>
    <col min="9295" max="9295" width="9.7109375" style="125" customWidth="1"/>
    <col min="9296" max="9297" width="3.7109375" style="125" customWidth="1"/>
    <col min="9298" max="9298" width="9.7109375" style="125" customWidth="1"/>
    <col min="9299" max="9300" width="3.7109375" style="125" customWidth="1"/>
    <col min="9301" max="9301" width="9.7109375" style="125" customWidth="1"/>
    <col min="9302" max="9303" width="3.7109375" style="125" customWidth="1"/>
    <col min="9304" max="9304" width="9.7109375" style="125" customWidth="1"/>
    <col min="9305" max="9306" width="3.7109375" style="125" customWidth="1"/>
    <col min="9307" max="9307" width="9.7109375" style="125" customWidth="1"/>
    <col min="9308" max="9309" width="3.7109375" style="125" customWidth="1"/>
    <col min="9310" max="9310" width="9.7109375" style="125" customWidth="1"/>
    <col min="9311" max="9312" width="3.7109375" style="125" customWidth="1"/>
    <col min="9313" max="9313" width="9.7109375" style="125" customWidth="1"/>
    <col min="9314" max="9315" width="3.7109375" style="125" customWidth="1"/>
    <col min="9316" max="9316" width="9.7109375" style="125" customWidth="1"/>
    <col min="9317" max="9318" width="3.7109375" style="125" customWidth="1"/>
    <col min="9319" max="9319" width="9.7109375" style="125" customWidth="1"/>
    <col min="9320" max="9321" width="3.7109375" style="125" customWidth="1"/>
    <col min="9322" max="9322" width="9.7109375" style="125" customWidth="1"/>
    <col min="9323" max="9324" width="3.7109375" style="125" customWidth="1"/>
    <col min="9325" max="9325" width="9.7109375" style="125" customWidth="1"/>
    <col min="9326" max="9326" width="3.7109375" style="125" customWidth="1"/>
    <col min="9327" max="9327" width="5.7109375" style="125" bestFit="1" customWidth="1"/>
    <col min="9328" max="9328" width="9.7109375" style="125" customWidth="1"/>
    <col min="9329" max="9330" width="3.7109375" style="125" customWidth="1"/>
    <col min="9331" max="9331" width="9.7109375" style="125" customWidth="1"/>
    <col min="9332" max="9333" width="3.7109375" style="125" customWidth="1"/>
    <col min="9334" max="9334" width="9.7109375" style="125" customWidth="1"/>
    <col min="9335" max="9336" width="3.7109375" style="125" customWidth="1"/>
    <col min="9337" max="9337" width="9.7109375" style="125" customWidth="1"/>
    <col min="9338" max="9339" width="3.7109375" style="125" customWidth="1"/>
    <col min="9340" max="9340" width="9.7109375" style="125" customWidth="1"/>
    <col min="9341" max="9342" width="3.7109375" style="125" customWidth="1"/>
    <col min="9343" max="9343" width="9.7109375" style="125" customWidth="1"/>
    <col min="9344" max="9345" width="3.7109375" style="125" customWidth="1"/>
    <col min="9346" max="9346" width="9.7109375" style="125" customWidth="1"/>
    <col min="9347" max="9348" width="3.7109375" style="125" customWidth="1"/>
    <col min="9349" max="9349" width="9.7109375" style="125" customWidth="1"/>
    <col min="9350" max="9350" width="3.7109375" style="125" customWidth="1"/>
    <col min="9351" max="9351" width="5.7109375" style="125" bestFit="1" customWidth="1"/>
    <col min="9352" max="9352" width="9.7109375" style="125" customWidth="1"/>
    <col min="9353" max="9354" width="3.7109375" style="125" customWidth="1"/>
    <col min="9355" max="9355" width="9.7109375" style="125" customWidth="1"/>
    <col min="9356" max="9357" width="3.7109375" style="125" customWidth="1"/>
    <col min="9358" max="9358" width="9.7109375" style="125" customWidth="1"/>
    <col min="9359" max="9360" width="3.7109375" style="125" customWidth="1"/>
    <col min="9361" max="9361" width="9.7109375" style="125" customWidth="1"/>
    <col min="9362" max="9363" width="3.7109375" style="125" customWidth="1"/>
    <col min="9364" max="9364" width="9.7109375" style="125" customWidth="1"/>
    <col min="9365" max="9366" width="3.7109375" style="125" customWidth="1"/>
    <col min="9367" max="9367" width="9.7109375" style="125" customWidth="1"/>
    <col min="9368" max="9369" width="3.7109375" style="125" customWidth="1"/>
    <col min="9370" max="9370" width="9.7109375" style="125" customWidth="1"/>
    <col min="9371" max="9372" width="3.7109375" style="125" customWidth="1"/>
    <col min="9373" max="9373" width="9.7109375" style="125" customWidth="1"/>
    <col min="9374" max="9375" width="3.7109375" style="125" customWidth="1"/>
    <col min="9376" max="9376" width="9.7109375" style="125" customWidth="1"/>
    <col min="9377" max="9378" width="3.7109375" style="125" customWidth="1"/>
    <col min="9379" max="9379" width="9.7109375" style="125" customWidth="1"/>
    <col min="9380" max="9381" width="3.7109375" style="125" customWidth="1"/>
    <col min="9382" max="9382" width="9.7109375" style="125" customWidth="1"/>
    <col min="9383" max="9384" width="3.7109375" style="125" customWidth="1"/>
    <col min="9385" max="9385" width="9.7109375" style="125" customWidth="1"/>
    <col min="9386" max="9387" width="3.7109375" style="125" customWidth="1"/>
    <col min="9388" max="9388" width="9.7109375" style="125" customWidth="1"/>
    <col min="9389" max="9390" width="3.7109375" style="125" customWidth="1"/>
    <col min="9391" max="9391" width="9.7109375" style="125" customWidth="1"/>
    <col min="9392" max="9393" width="3.7109375" style="125" customWidth="1"/>
    <col min="9394" max="9394" width="9.7109375" style="125" customWidth="1"/>
    <col min="9395" max="9396" width="3.7109375" style="125" customWidth="1"/>
    <col min="9397" max="9397" width="9.7109375" style="125" customWidth="1"/>
    <col min="9398" max="9399" width="3.7109375" style="125" customWidth="1"/>
    <col min="9400" max="9400" width="9.7109375" style="125" customWidth="1"/>
    <col min="9401" max="9402" width="3.7109375" style="125" customWidth="1"/>
    <col min="9403" max="9403" width="9.7109375" style="125" customWidth="1"/>
    <col min="9404" max="9405" width="3.7109375" style="125" customWidth="1"/>
    <col min="9406" max="9406" width="9.7109375" style="125" customWidth="1"/>
    <col min="9407" max="9408" width="3.7109375" style="125" customWidth="1"/>
    <col min="9409" max="9409" width="9.7109375" style="125" customWidth="1"/>
    <col min="9410" max="9411" width="3.7109375" style="125" customWidth="1"/>
    <col min="9412" max="9412" width="9.7109375" style="125" customWidth="1"/>
    <col min="9413" max="9414" width="3.7109375" style="125" customWidth="1"/>
    <col min="9415" max="9415" width="9.7109375" style="125" customWidth="1"/>
    <col min="9416" max="9417" width="3.7109375" style="125" customWidth="1"/>
    <col min="9418" max="9418" width="9.7109375" style="125" customWidth="1"/>
    <col min="9419" max="9420" width="3.7109375" style="125" customWidth="1"/>
    <col min="9421" max="9421" width="9.7109375" style="125" customWidth="1"/>
    <col min="9422" max="9423" width="3.7109375" style="125" customWidth="1"/>
    <col min="9424" max="9424" width="9.7109375" style="125" customWidth="1"/>
    <col min="9425" max="9426" width="3.7109375" style="125" customWidth="1"/>
    <col min="9427" max="9427" width="9.7109375" style="125" customWidth="1"/>
    <col min="9428" max="9429" width="3.7109375" style="125" customWidth="1"/>
    <col min="9430" max="9430" width="9.7109375" style="125" customWidth="1"/>
    <col min="9431" max="9432" width="3.7109375" style="125" customWidth="1"/>
    <col min="9433" max="9433" width="9.7109375" style="125" customWidth="1"/>
    <col min="9434" max="9435" width="3.7109375" style="125" customWidth="1"/>
    <col min="9436" max="9436" width="9.7109375" style="125" customWidth="1"/>
    <col min="9437" max="9438" width="3.7109375" style="125" customWidth="1"/>
    <col min="9439" max="9439" width="9.7109375" style="125" customWidth="1"/>
    <col min="9440" max="9441" width="3.7109375" style="125" customWidth="1"/>
    <col min="9442" max="9442" width="9.7109375" style="125" customWidth="1"/>
    <col min="9443" max="9444" width="3.7109375" style="125" customWidth="1"/>
    <col min="9445" max="9445" width="9.7109375" style="125" customWidth="1"/>
    <col min="9446" max="9447" width="3.7109375" style="125" customWidth="1"/>
    <col min="9448" max="9448" width="9.7109375" style="125" customWidth="1"/>
    <col min="9449" max="9450" width="3.7109375" style="125" customWidth="1"/>
    <col min="9451" max="9451" width="9.7109375" style="125" customWidth="1"/>
    <col min="9452" max="9453" width="3.7109375" style="125" customWidth="1"/>
    <col min="9454" max="9454" width="9.7109375" style="125" customWidth="1"/>
    <col min="9455" max="9456" width="3.7109375" style="125" customWidth="1"/>
    <col min="9457" max="9457" width="9.7109375" style="125" customWidth="1"/>
    <col min="9458" max="9459" width="3.7109375" style="125" customWidth="1"/>
    <col min="9460" max="9460" width="9.7109375" style="125" customWidth="1"/>
    <col min="9461" max="9462" width="3.7109375" style="125" customWidth="1"/>
    <col min="9463" max="9463" width="9.7109375" style="125" customWidth="1"/>
    <col min="9464" max="9465" width="3.7109375" style="125" customWidth="1"/>
    <col min="9466" max="9466" width="9.7109375" style="125" customWidth="1"/>
    <col min="9467" max="9468" width="3.7109375" style="125" customWidth="1"/>
    <col min="9469" max="9469" width="9.7109375" style="125" customWidth="1"/>
    <col min="9470" max="9470" width="3.7109375" style="125" customWidth="1"/>
    <col min="9471" max="9472" width="8" style="125"/>
    <col min="9473" max="9473" width="30.7109375" style="125" customWidth="1"/>
    <col min="9474" max="9474" width="9.7109375" style="125" customWidth="1"/>
    <col min="9475" max="9475" width="3.7109375" style="125" customWidth="1"/>
    <col min="9476" max="9476" width="9.7109375" style="125" customWidth="1"/>
    <col min="9477" max="9478" width="3.7109375" style="125" customWidth="1"/>
    <col min="9479" max="9479" width="9.7109375" style="125" customWidth="1"/>
    <col min="9480" max="9481" width="3.7109375" style="125" customWidth="1"/>
    <col min="9482" max="9482" width="9.7109375" style="125" customWidth="1"/>
    <col min="9483" max="9484" width="3.7109375" style="125" customWidth="1"/>
    <col min="9485" max="9485" width="9.7109375" style="125" customWidth="1"/>
    <col min="9486" max="9487" width="3.7109375" style="125" customWidth="1"/>
    <col min="9488" max="9488" width="9.7109375" style="125" customWidth="1"/>
    <col min="9489" max="9490" width="3.7109375" style="125" customWidth="1"/>
    <col min="9491" max="9491" width="9.7109375" style="125" customWidth="1"/>
    <col min="9492" max="9493" width="3.7109375" style="125" customWidth="1"/>
    <col min="9494" max="9494" width="9.7109375" style="125" customWidth="1"/>
    <col min="9495" max="9496" width="3.7109375" style="125" customWidth="1"/>
    <col min="9497" max="9497" width="9.7109375" style="125" customWidth="1"/>
    <col min="9498" max="9499" width="3.7109375" style="125" customWidth="1"/>
    <col min="9500" max="9500" width="9.7109375" style="125" customWidth="1"/>
    <col min="9501" max="9502" width="3.7109375" style="125" customWidth="1"/>
    <col min="9503" max="9503" width="9.7109375" style="125" customWidth="1"/>
    <col min="9504" max="9505" width="3.7109375" style="125" customWidth="1"/>
    <col min="9506" max="9506" width="9.7109375" style="125" customWidth="1"/>
    <col min="9507" max="9508" width="3.7109375" style="125" customWidth="1"/>
    <col min="9509" max="9509" width="9.7109375" style="125" customWidth="1"/>
    <col min="9510" max="9511" width="3.7109375" style="125" customWidth="1"/>
    <col min="9512" max="9512" width="9.7109375" style="125" customWidth="1"/>
    <col min="9513" max="9514" width="3.7109375" style="125" customWidth="1"/>
    <col min="9515" max="9515" width="9.7109375" style="125" customWidth="1"/>
    <col min="9516" max="9517" width="3.7109375" style="125" customWidth="1"/>
    <col min="9518" max="9518" width="9.7109375" style="125" customWidth="1"/>
    <col min="9519" max="9520" width="3.7109375" style="125" customWidth="1"/>
    <col min="9521" max="9521" width="9.7109375" style="125" customWidth="1"/>
    <col min="9522" max="9523" width="3.7109375" style="125" customWidth="1"/>
    <col min="9524" max="9524" width="9.7109375" style="125" customWidth="1"/>
    <col min="9525" max="9526" width="3.7109375" style="125" customWidth="1"/>
    <col min="9527" max="9527" width="9.7109375" style="125" customWidth="1"/>
    <col min="9528" max="9529" width="3.7109375" style="125" customWidth="1"/>
    <col min="9530" max="9530" width="9.7109375" style="125" customWidth="1"/>
    <col min="9531" max="9532" width="3.7109375" style="125" customWidth="1"/>
    <col min="9533" max="9533" width="9.7109375" style="125" customWidth="1"/>
    <col min="9534" max="9535" width="3.7109375" style="125" customWidth="1"/>
    <col min="9536" max="9536" width="9.7109375" style="125" customWidth="1"/>
    <col min="9537" max="9538" width="3.7109375" style="125" customWidth="1"/>
    <col min="9539" max="9539" width="9.7109375" style="125" customWidth="1"/>
    <col min="9540" max="9541" width="3.7109375" style="125" customWidth="1"/>
    <col min="9542" max="9542" width="9.7109375" style="125" customWidth="1"/>
    <col min="9543" max="9544" width="3.7109375" style="125" customWidth="1"/>
    <col min="9545" max="9545" width="9.7109375" style="125" customWidth="1"/>
    <col min="9546" max="9547" width="3.7109375" style="125" customWidth="1"/>
    <col min="9548" max="9548" width="9.7109375" style="125" customWidth="1"/>
    <col min="9549" max="9550" width="3.7109375" style="125" customWidth="1"/>
    <col min="9551" max="9551" width="9.7109375" style="125" customWidth="1"/>
    <col min="9552" max="9553" width="3.7109375" style="125" customWidth="1"/>
    <col min="9554" max="9554" width="9.7109375" style="125" customWidth="1"/>
    <col min="9555" max="9556" width="3.7109375" style="125" customWidth="1"/>
    <col min="9557" max="9557" width="9.7109375" style="125" customWidth="1"/>
    <col min="9558" max="9559" width="3.7109375" style="125" customWidth="1"/>
    <col min="9560" max="9560" width="9.7109375" style="125" customWidth="1"/>
    <col min="9561" max="9562" width="3.7109375" style="125" customWidth="1"/>
    <col min="9563" max="9563" width="9.7109375" style="125" customWidth="1"/>
    <col min="9564" max="9565" width="3.7109375" style="125" customWidth="1"/>
    <col min="9566" max="9566" width="9.7109375" style="125" customWidth="1"/>
    <col min="9567" max="9568" width="3.7109375" style="125" customWidth="1"/>
    <col min="9569" max="9569" width="9.7109375" style="125" customWidth="1"/>
    <col min="9570" max="9571" width="3.7109375" style="125" customWidth="1"/>
    <col min="9572" max="9572" width="9.7109375" style="125" customWidth="1"/>
    <col min="9573" max="9574" width="3.7109375" style="125" customWidth="1"/>
    <col min="9575" max="9575" width="9.7109375" style="125" customWidth="1"/>
    <col min="9576" max="9577" width="3.7109375" style="125" customWidth="1"/>
    <col min="9578" max="9578" width="9.7109375" style="125" customWidth="1"/>
    <col min="9579" max="9580" width="3.7109375" style="125" customWidth="1"/>
    <col min="9581" max="9581" width="9.7109375" style="125" customWidth="1"/>
    <col min="9582" max="9582" width="3.7109375" style="125" customWidth="1"/>
    <col min="9583" max="9583" width="5.7109375" style="125" bestFit="1" customWidth="1"/>
    <col min="9584" max="9584" width="9.7109375" style="125" customWidth="1"/>
    <col min="9585" max="9586" width="3.7109375" style="125" customWidth="1"/>
    <col min="9587" max="9587" width="9.7109375" style="125" customWidth="1"/>
    <col min="9588" max="9589" width="3.7109375" style="125" customWidth="1"/>
    <col min="9590" max="9590" width="9.7109375" style="125" customWidth="1"/>
    <col min="9591" max="9592" width="3.7109375" style="125" customWidth="1"/>
    <col min="9593" max="9593" width="9.7109375" style="125" customWidth="1"/>
    <col min="9594" max="9595" width="3.7109375" style="125" customWidth="1"/>
    <col min="9596" max="9596" width="9.7109375" style="125" customWidth="1"/>
    <col min="9597" max="9598" width="3.7109375" style="125" customWidth="1"/>
    <col min="9599" max="9599" width="9.7109375" style="125" customWidth="1"/>
    <col min="9600" max="9601" width="3.7109375" style="125" customWidth="1"/>
    <col min="9602" max="9602" width="9.7109375" style="125" customWidth="1"/>
    <col min="9603" max="9604" width="3.7109375" style="125" customWidth="1"/>
    <col min="9605" max="9605" width="9.7109375" style="125" customWidth="1"/>
    <col min="9606" max="9606" width="3.7109375" style="125" customWidth="1"/>
    <col min="9607" max="9607" width="5.7109375" style="125" bestFit="1" customWidth="1"/>
    <col min="9608" max="9608" width="9.7109375" style="125" customWidth="1"/>
    <col min="9609" max="9610" width="3.7109375" style="125" customWidth="1"/>
    <col min="9611" max="9611" width="9.7109375" style="125" customWidth="1"/>
    <col min="9612" max="9613" width="3.7109375" style="125" customWidth="1"/>
    <col min="9614" max="9614" width="9.7109375" style="125" customWidth="1"/>
    <col min="9615" max="9616" width="3.7109375" style="125" customWidth="1"/>
    <col min="9617" max="9617" width="9.7109375" style="125" customWidth="1"/>
    <col min="9618" max="9619" width="3.7109375" style="125" customWidth="1"/>
    <col min="9620" max="9620" width="9.7109375" style="125" customWidth="1"/>
    <col min="9621" max="9622" width="3.7109375" style="125" customWidth="1"/>
    <col min="9623" max="9623" width="9.7109375" style="125" customWidth="1"/>
    <col min="9624" max="9625" width="3.7109375" style="125" customWidth="1"/>
    <col min="9626" max="9626" width="9.7109375" style="125" customWidth="1"/>
    <col min="9627" max="9628" width="3.7109375" style="125" customWidth="1"/>
    <col min="9629" max="9629" width="9.7109375" style="125" customWidth="1"/>
    <col min="9630" max="9631" width="3.7109375" style="125" customWidth="1"/>
    <col min="9632" max="9632" width="9.7109375" style="125" customWidth="1"/>
    <col min="9633" max="9634" width="3.7109375" style="125" customWidth="1"/>
    <col min="9635" max="9635" width="9.7109375" style="125" customWidth="1"/>
    <col min="9636" max="9637" width="3.7109375" style="125" customWidth="1"/>
    <col min="9638" max="9638" width="9.7109375" style="125" customWidth="1"/>
    <col min="9639" max="9640" width="3.7109375" style="125" customWidth="1"/>
    <col min="9641" max="9641" width="9.7109375" style="125" customWidth="1"/>
    <col min="9642" max="9643" width="3.7109375" style="125" customWidth="1"/>
    <col min="9644" max="9644" width="9.7109375" style="125" customWidth="1"/>
    <col min="9645" max="9646" width="3.7109375" style="125" customWidth="1"/>
    <col min="9647" max="9647" width="9.7109375" style="125" customWidth="1"/>
    <col min="9648" max="9649" width="3.7109375" style="125" customWidth="1"/>
    <col min="9650" max="9650" width="9.7109375" style="125" customWidth="1"/>
    <col min="9651" max="9652" width="3.7109375" style="125" customWidth="1"/>
    <col min="9653" max="9653" width="9.7109375" style="125" customWidth="1"/>
    <col min="9654" max="9655" width="3.7109375" style="125" customWidth="1"/>
    <col min="9656" max="9656" width="9.7109375" style="125" customWidth="1"/>
    <col min="9657" max="9658" width="3.7109375" style="125" customWidth="1"/>
    <col min="9659" max="9659" width="9.7109375" style="125" customWidth="1"/>
    <col min="9660" max="9661" width="3.7109375" style="125" customWidth="1"/>
    <col min="9662" max="9662" width="9.7109375" style="125" customWidth="1"/>
    <col min="9663" max="9664" width="3.7109375" style="125" customWidth="1"/>
    <col min="9665" max="9665" width="9.7109375" style="125" customWidth="1"/>
    <col min="9666" max="9667" width="3.7109375" style="125" customWidth="1"/>
    <col min="9668" max="9668" width="9.7109375" style="125" customWidth="1"/>
    <col min="9669" max="9670" width="3.7109375" style="125" customWidth="1"/>
    <col min="9671" max="9671" width="9.7109375" style="125" customWidth="1"/>
    <col min="9672" max="9673" width="3.7109375" style="125" customWidth="1"/>
    <col min="9674" max="9674" width="9.7109375" style="125" customWidth="1"/>
    <col min="9675" max="9676" width="3.7109375" style="125" customWidth="1"/>
    <col min="9677" max="9677" width="9.7109375" style="125" customWidth="1"/>
    <col min="9678" max="9679" width="3.7109375" style="125" customWidth="1"/>
    <col min="9680" max="9680" width="9.7109375" style="125" customWidth="1"/>
    <col min="9681" max="9682" width="3.7109375" style="125" customWidth="1"/>
    <col min="9683" max="9683" width="9.7109375" style="125" customWidth="1"/>
    <col min="9684" max="9685" width="3.7109375" style="125" customWidth="1"/>
    <col min="9686" max="9686" width="9.7109375" style="125" customWidth="1"/>
    <col min="9687" max="9688" width="3.7109375" style="125" customWidth="1"/>
    <col min="9689" max="9689" width="9.7109375" style="125" customWidth="1"/>
    <col min="9690" max="9691" width="3.7109375" style="125" customWidth="1"/>
    <col min="9692" max="9692" width="9.7109375" style="125" customWidth="1"/>
    <col min="9693" max="9694" width="3.7109375" style="125" customWidth="1"/>
    <col min="9695" max="9695" width="9.7109375" style="125" customWidth="1"/>
    <col min="9696" max="9697" width="3.7109375" style="125" customWidth="1"/>
    <col min="9698" max="9698" width="9.7109375" style="125" customWidth="1"/>
    <col min="9699" max="9700" width="3.7109375" style="125" customWidth="1"/>
    <col min="9701" max="9701" width="9.7109375" style="125" customWidth="1"/>
    <col min="9702" max="9703" width="3.7109375" style="125" customWidth="1"/>
    <col min="9704" max="9704" width="9.7109375" style="125" customWidth="1"/>
    <col min="9705" max="9706" width="3.7109375" style="125" customWidth="1"/>
    <col min="9707" max="9707" width="9.7109375" style="125" customWidth="1"/>
    <col min="9708" max="9709" width="3.7109375" style="125" customWidth="1"/>
    <col min="9710" max="9710" width="9.7109375" style="125" customWidth="1"/>
    <col min="9711" max="9712" width="3.7109375" style="125" customWidth="1"/>
    <col min="9713" max="9713" width="9.7109375" style="125" customWidth="1"/>
    <col min="9714" max="9715" width="3.7109375" style="125" customWidth="1"/>
    <col min="9716" max="9716" width="9.7109375" style="125" customWidth="1"/>
    <col min="9717" max="9718" width="3.7109375" style="125" customWidth="1"/>
    <col min="9719" max="9719" width="9.7109375" style="125" customWidth="1"/>
    <col min="9720" max="9721" width="3.7109375" style="125" customWidth="1"/>
    <col min="9722" max="9722" width="9.7109375" style="125" customWidth="1"/>
    <col min="9723" max="9724" width="3.7109375" style="125" customWidth="1"/>
    <col min="9725" max="9725" width="9.7109375" style="125" customWidth="1"/>
    <col min="9726" max="9726" width="3.7109375" style="125" customWidth="1"/>
    <col min="9727" max="9728" width="8" style="125"/>
    <col min="9729" max="9729" width="30.7109375" style="125" customWidth="1"/>
    <col min="9730" max="9730" width="9.7109375" style="125" customWidth="1"/>
    <col min="9731" max="9731" width="3.7109375" style="125" customWidth="1"/>
    <col min="9732" max="9732" width="9.7109375" style="125" customWidth="1"/>
    <col min="9733" max="9734" width="3.7109375" style="125" customWidth="1"/>
    <col min="9735" max="9735" width="9.7109375" style="125" customWidth="1"/>
    <col min="9736" max="9737" width="3.7109375" style="125" customWidth="1"/>
    <col min="9738" max="9738" width="9.7109375" style="125" customWidth="1"/>
    <col min="9739" max="9740" width="3.7109375" style="125" customWidth="1"/>
    <col min="9741" max="9741" width="9.7109375" style="125" customWidth="1"/>
    <col min="9742" max="9743" width="3.7109375" style="125" customWidth="1"/>
    <col min="9744" max="9744" width="9.7109375" style="125" customWidth="1"/>
    <col min="9745" max="9746" width="3.7109375" style="125" customWidth="1"/>
    <col min="9747" max="9747" width="9.7109375" style="125" customWidth="1"/>
    <col min="9748" max="9749" width="3.7109375" style="125" customWidth="1"/>
    <col min="9750" max="9750" width="9.7109375" style="125" customWidth="1"/>
    <col min="9751" max="9752" width="3.7109375" style="125" customWidth="1"/>
    <col min="9753" max="9753" width="9.7109375" style="125" customWidth="1"/>
    <col min="9754" max="9755" width="3.7109375" style="125" customWidth="1"/>
    <col min="9756" max="9756" width="9.7109375" style="125" customWidth="1"/>
    <col min="9757" max="9758" width="3.7109375" style="125" customWidth="1"/>
    <col min="9759" max="9759" width="9.7109375" style="125" customWidth="1"/>
    <col min="9760" max="9761" width="3.7109375" style="125" customWidth="1"/>
    <col min="9762" max="9762" width="9.7109375" style="125" customWidth="1"/>
    <col min="9763" max="9764" width="3.7109375" style="125" customWidth="1"/>
    <col min="9765" max="9765" width="9.7109375" style="125" customWidth="1"/>
    <col min="9766" max="9767" width="3.7109375" style="125" customWidth="1"/>
    <col min="9768" max="9768" width="9.7109375" style="125" customWidth="1"/>
    <col min="9769" max="9770" width="3.7109375" style="125" customWidth="1"/>
    <col min="9771" max="9771" width="9.7109375" style="125" customWidth="1"/>
    <col min="9772" max="9773" width="3.7109375" style="125" customWidth="1"/>
    <col min="9774" max="9774" width="9.7109375" style="125" customWidth="1"/>
    <col min="9775" max="9776" width="3.7109375" style="125" customWidth="1"/>
    <col min="9777" max="9777" width="9.7109375" style="125" customWidth="1"/>
    <col min="9778" max="9779" width="3.7109375" style="125" customWidth="1"/>
    <col min="9780" max="9780" width="9.7109375" style="125" customWidth="1"/>
    <col min="9781" max="9782" width="3.7109375" style="125" customWidth="1"/>
    <col min="9783" max="9783" width="9.7109375" style="125" customWidth="1"/>
    <col min="9784" max="9785" width="3.7109375" style="125" customWidth="1"/>
    <col min="9786" max="9786" width="9.7109375" style="125" customWidth="1"/>
    <col min="9787" max="9788" width="3.7109375" style="125" customWidth="1"/>
    <col min="9789" max="9789" width="9.7109375" style="125" customWidth="1"/>
    <col min="9790" max="9791" width="3.7109375" style="125" customWidth="1"/>
    <col min="9792" max="9792" width="9.7109375" style="125" customWidth="1"/>
    <col min="9793" max="9794" width="3.7109375" style="125" customWidth="1"/>
    <col min="9795" max="9795" width="9.7109375" style="125" customWidth="1"/>
    <col min="9796" max="9797" width="3.7109375" style="125" customWidth="1"/>
    <col min="9798" max="9798" width="9.7109375" style="125" customWidth="1"/>
    <col min="9799" max="9800" width="3.7109375" style="125" customWidth="1"/>
    <col min="9801" max="9801" width="9.7109375" style="125" customWidth="1"/>
    <col min="9802" max="9803" width="3.7109375" style="125" customWidth="1"/>
    <col min="9804" max="9804" width="9.7109375" style="125" customWidth="1"/>
    <col min="9805" max="9806" width="3.7109375" style="125" customWidth="1"/>
    <col min="9807" max="9807" width="9.7109375" style="125" customWidth="1"/>
    <col min="9808" max="9809" width="3.7109375" style="125" customWidth="1"/>
    <col min="9810" max="9810" width="9.7109375" style="125" customWidth="1"/>
    <col min="9811" max="9812" width="3.7109375" style="125" customWidth="1"/>
    <col min="9813" max="9813" width="9.7109375" style="125" customWidth="1"/>
    <col min="9814" max="9815" width="3.7109375" style="125" customWidth="1"/>
    <col min="9816" max="9816" width="9.7109375" style="125" customWidth="1"/>
    <col min="9817" max="9818" width="3.7109375" style="125" customWidth="1"/>
    <col min="9819" max="9819" width="9.7109375" style="125" customWidth="1"/>
    <col min="9820" max="9821" width="3.7109375" style="125" customWidth="1"/>
    <col min="9822" max="9822" width="9.7109375" style="125" customWidth="1"/>
    <col min="9823" max="9824" width="3.7109375" style="125" customWidth="1"/>
    <col min="9825" max="9825" width="9.7109375" style="125" customWidth="1"/>
    <col min="9826" max="9827" width="3.7109375" style="125" customWidth="1"/>
    <col min="9828" max="9828" width="9.7109375" style="125" customWidth="1"/>
    <col min="9829" max="9830" width="3.7109375" style="125" customWidth="1"/>
    <col min="9831" max="9831" width="9.7109375" style="125" customWidth="1"/>
    <col min="9832" max="9833" width="3.7109375" style="125" customWidth="1"/>
    <col min="9834" max="9834" width="9.7109375" style="125" customWidth="1"/>
    <col min="9835" max="9836" width="3.7109375" style="125" customWidth="1"/>
    <col min="9837" max="9837" width="9.7109375" style="125" customWidth="1"/>
    <col min="9838" max="9838" width="3.7109375" style="125" customWidth="1"/>
    <col min="9839" max="9839" width="5.7109375" style="125" bestFit="1" customWidth="1"/>
    <col min="9840" max="9840" width="9.7109375" style="125" customWidth="1"/>
    <col min="9841" max="9842" width="3.7109375" style="125" customWidth="1"/>
    <col min="9843" max="9843" width="9.7109375" style="125" customWidth="1"/>
    <col min="9844" max="9845" width="3.7109375" style="125" customWidth="1"/>
    <col min="9846" max="9846" width="9.7109375" style="125" customWidth="1"/>
    <col min="9847" max="9848" width="3.7109375" style="125" customWidth="1"/>
    <col min="9849" max="9849" width="9.7109375" style="125" customWidth="1"/>
    <col min="9850" max="9851" width="3.7109375" style="125" customWidth="1"/>
    <col min="9852" max="9852" width="9.7109375" style="125" customWidth="1"/>
    <col min="9853" max="9854" width="3.7109375" style="125" customWidth="1"/>
    <col min="9855" max="9855" width="9.7109375" style="125" customWidth="1"/>
    <col min="9856" max="9857" width="3.7109375" style="125" customWidth="1"/>
    <col min="9858" max="9858" width="9.7109375" style="125" customWidth="1"/>
    <col min="9859" max="9860" width="3.7109375" style="125" customWidth="1"/>
    <col min="9861" max="9861" width="9.7109375" style="125" customWidth="1"/>
    <col min="9862" max="9862" width="3.7109375" style="125" customWidth="1"/>
    <col min="9863" max="9863" width="5.7109375" style="125" bestFit="1" customWidth="1"/>
    <col min="9864" max="9864" width="9.7109375" style="125" customWidth="1"/>
    <col min="9865" max="9866" width="3.7109375" style="125" customWidth="1"/>
    <col min="9867" max="9867" width="9.7109375" style="125" customWidth="1"/>
    <col min="9868" max="9869" width="3.7109375" style="125" customWidth="1"/>
    <col min="9870" max="9870" width="9.7109375" style="125" customWidth="1"/>
    <col min="9871" max="9872" width="3.7109375" style="125" customWidth="1"/>
    <col min="9873" max="9873" width="9.7109375" style="125" customWidth="1"/>
    <col min="9874" max="9875" width="3.7109375" style="125" customWidth="1"/>
    <col min="9876" max="9876" width="9.7109375" style="125" customWidth="1"/>
    <col min="9877" max="9878" width="3.7109375" style="125" customWidth="1"/>
    <col min="9879" max="9879" width="9.7109375" style="125" customWidth="1"/>
    <col min="9880" max="9881" width="3.7109375" style="125" customWidth="1"/>
    <col min="9882" max="9882" width="9.7109375" style="125" customWidth="1"/>
    <col min="9883" max="9884" width="3.7109375" style="125" customWidth="1"/>
    <col min="9885" max="9885" width="9.7109375" style="125" customWidth="1"/>
    <col min="9886" max="9887" width="3.7109375" style="125" customWidth="1"/>
    <col min="9888" max="9888" width="9.7109375" style="125" customWidth="1"/>
    <col min="9889" max="9890" width="3.7109375" style="125" customWidth="1"/>
    <col min="9891" max="9891" width="9.7109375" style="125" customWidth="1"/>
    <col min="9892" max="9893" width="3.7109375" style="125" customWidth="1"/>
    <col min="9894" max="9894" width="9.7109375" style="125" customWidth="1"/>
    <col min="9895" max="9896" width="3.7109375" style="125" customWidth="1"/>
    <col min="9897" max="9897" width="9.7109375" style="125" customWidth="1"/>
    <col min="9898" max="9899" width="3.7109375" style="125" customWidth="1"/>
    <col min="9900" max="9900" width="9.7109375" style="125" customWidth="1"/>
    <col min="9901" max="9902" width="3.7109375" style="125" customWidth="1"/>
    <col min="9903" max="9903" width="9.7109375" style="125" customWidth="1"/>
    <col min="9904" max="9905" width="3.7109375" style="125" customWidth="1"/>
    <col min="9906" max="9906" width="9.7109375" style="125" customWidth="1"/>
    <col min="9907" max="9908" width="3.7109375" style="125" customWidth="1"/>
    <col min="9909" max="9909" width="9.7109375" style="125" customWidth="1"/>
    <col min="9910" max="9911" width="3.7109375" style="125" customWidth="1"/>
    <col min="9912" max="9912" width="9.7109375" style="125" customWidth="1"/>
    <col min="9913" max="9914" width="3.7109375" style="125" customWidth="1"/>
    <col min="9915" max="9915" width="9.7109375" style="125" customWidth="1"/>
    <col min="9916" max="9917" width="3.7109375" style="125" customWidth="1"/>
    <col min="9918" max="9918" width="9.7109375" style="125" customWidth="1"/>
    <col min="9919" max="9920" width="3.7109375" style="125" customWidth="1"/>
    <col min="9921" max="9921" width="9.7109375" style="125" customWidth="1"/>
    <col min="9922" max="9923" width="3.7109375" style="125" customWidth="1"/>
    <col min="9924" max="9924" width="9.7109375" style="125" customWidth="1"/>
    <col min="9925" max="9926" width="3.7109375" style="125" customWidth="1"/>
    <col min="9927" max="9927" width="9.7109375" style="125" customWidth="1"/>
    <col min="9928" max="9929" width="3.7109375" style="125" customWidth="1"/>
    <col min="9930" max="9930" width="9.7109375" style="125" customWidth="1"/>
    <col min="9931" max="9932" width="3.7109375" style="125" customWidth="1"/>
    <col min="9933" max="9933" width="9.7109375" style="125" customWidth="1"/>
    <col min="9934" max="9935" width="3.7109375" style="125" customWidth="1"/>
    <col min="9936" max="9936" width="9.7109375" style="125" customWidth="1"/>
    <col min="9937" max="9938" width="3.7109375" style="125" customWidth="1"/>
    <col min="9939" max="9939" width="9.7109375" style="125" customWidth="1"/>
    <col min="9940" max="9941" width="3.7109375" style="125" customWidth="1"/>
    <col min="9942" max="9942" width="9.7109375" style="125" customWidth="1"/>
    <col min="9943" max="9944" width="3.7109375" style="125" customWidth="1"/>
    <col min="9945" max="9945" width="9.7109375" style="125" customWidth="1"/>
    <col min="9946" max="9947" width="3.7109375" style="125" customWidth="1"/>
    <col min="9948" max="9948" width="9.7109375" style="125" customWidth="1"/>
    <col min="9949" max="9950" width="3.7109375" style="125" customWidth="1"/>
    <col min="9951" max="9951" width="9.7109375" style="125" customWidth="1"/>
    <col min="9952" max="9953" width="3.7109375" style="125" customWidth="1"/>
    <col min="9954" max="9954" width="9.7109375" style="125" customWidth="1"/>
    <col min="9955" max="9956" width="3.7109375" style="125" customWidth="1"/>
    <col min="9957" max="9957" width="9.7109375" style="125" customWidth="1"/>
    <col min="9958" max="9959" width="3.7109375" style="125" customWidth="1"/>
    <col min="9960" max="9960" width="9.7109375" style="125" customWidth="1"/>
    <col min="9961" max="9962" width="3.7109375" style="125" customWidth="1"/>
    <col min="9963" max="9963" width="9.7109375" style="125" customWidth="1"/>
    <col min="9964" max="9965" width="3.7109375" style="125" customWidth="1"/>
    <col min="9966" max="9966" width="9.7109375" style="125" customWidth="1"/>
    <col min="9967" max="9968" width="3.7109375" style="125" customWidth="1"/>
    <col min="9969" max="9969" width="9.7109375" style="125" customWidth="1"/>
    <col min="9970" max="9971" width="3.7109375" style="125" customWidth="1"/>
    <col min="9972" max="9972" width="9.7109375" style="125" customWidth="1"/>
    <col min="9973" max="9974" width="3.7109375" style="125" customWidth="1"/>
    <col min="9975" max="9975" width="9.7109375" style="125" customWidth="1"/>
    <col min="9976" max="9977" width="3.7109375" style="125" customWidth="1"/>
    <col min="9978" max="9978" width="9.7109375" style="125" customWidth="1"/>
    <col min="9979" max="9980" width="3.7109375" style="125" customWidth="1"/>
    <col min="9981" max="9981" width="9.7109375" style="125" customWidth="1"/>
    <col min="9982" max="9982" width="3.7109375" style="125" customWidth="1"/>
    <col min="9983" max="9984" width="8" style="125"/>
    <col min="9985" max="9985" width="30.7109375" style="125" customWidth="1"/>
    <col min="9986" max="9986" width="9.7109375" style="125" customWidth="1"/>
    <col min="9987" max="9987" width="3.7109375" style="125" customWidth="1"/>
    <col min="9988" max="9988" width="9.7109375" style="125" customWidth="1"/>
    <col min="9989" max="9990" width="3.7109375" style="125" customWidth="1"/>
    <col min="9991" max="9991" width="9.7109375" style="125" customWidth="1"/>
    <col min="9992" max="9993" width="3.7109375" style="125" customWidth="1"/>
    <col min="9994" max="9994" width="9.7109375" style="125" customWidth="1"/>
    <col min="9995" max="9996" width="3.7109375" style="125" customWidth="1"/>
    <col min="9997" max="9997" width="9.7109375" style="125" customWidth="1"/>
    <col min="9998" max="9999" width="3.7109375" style="125" customWidth="1"/>
    <col min="10000" max="10000" width="9.7109375" style="125" customWidth="1"/>
    <col min="10001" max="10002" width="3.7109375" style="125" customWidth="1"/>
    <col min="10003" max="10003" width="9.7109375" style="125" customWidth="1"/>
    <col min="10004" max="10005" width="3.7109375" style="125" customWidth="1"/>
    <col min="10006" max="10006" width="9.7109375" style="125" customWidth="1"/>
    <col min="10007" max="10008" width="3.7109375" style="125" customWidth="1"/>
    <col min="10009" max="10009" width="9.7109375" style="125" customWidth="1"/>
    <col min="10010" max="10011" width="3.7109375" style="125" customWidth="1"/>
    <col min="10012" max="10012" width="9.7109375" style="125" customWidth="1"/>
    <col min="10013" max="10014" width="3.7109375" style="125" customWidth="1"/>
    <col min="10015" max="10015" width="9.7109375" style="125" customWidth="1"/>
    <col min="10016" max="10017" width="3.7109375" style="125" customWidth="1"/>
    <col min="10018" max="10018" width="9.7109375" style="125" customWidth="1"/>
    <col min="10019" max="10020" width="3.7109375" style="125" customWidth="1"/>
    <col min="10021" max="10021" width="9.7109375" style="125" customWidth="1"/>
    <col min="10022" max="10023" width="3.7109375" style="125" customWidth="1"/>
    <col min="10024" max="10024" width="9.7109375" style="125" customWidth="1"/>
    <col min="10025" max="10026" width="3.7109375" style="125" customWidth="1"/>
    <col min="10027" max="10027" width="9.7109375" style="125" customWidth="1"/>
    <col min="10028" max="10029" width="3.7109375" style="125" customWidth="1"/>
    <col min="10030" max="10030" width="9.7109375" style="125" customWidth="1"/>
    <col min="10031" max="10032" width="3.7109375" style="125" customWidth="1"/>
    <col min="10033" max="10033" width="9.7109375" style="125" customWidth="1"/>
    <col min="10034" max="10035" width="3.7109375" style="125" customWidth="1"/>
    <col min="10036" max="10036" width="9.7109375" style="125" customWidth="1"/>
    <col min="10037" max="10038" width="3.7109375" style="125" customWidth="1"/>
    <col min="10039" max="10039" width="9.7109375" style="125" customWidth="1"/>
    <col min="10040" max="10041" width="3.7109375" style="125" customWidth="1"/>
    <col min="10042" max="10042" width="9.7109375" style="125" customWidth="1"/>
    <col min="10043" max="10044" width="3.7109375" style="125" customWidth="1"/>
    <col min="10045" max="10045" width="9.7109375" style="125" customWidth="1"/>
    <col min="10046" max="10047" width="3.7109375" style="125" customWidth="1"/>
    <col min="10048" max="10048" width="9.7109375" style="125" customWidth="1"/>
    <col min="10049" max="10050" width="3.7109375" style="125" customWidth="1"/>
    <col min="10051" max="10051" width="9.7109375" style="125" customWidth="1"/>
    <col min="10052" max="10053" width="3.7109375" style="125" customWidth="1"/>
    <col min="10054" max="10054" width="9.7109375" style="125" customWidth="1"/>
    <col min="10055" max="10056" width="3.7109375" style="125" customWidth="1"/>
    <col min="10057" max="10057" width="9.7109375" style="125" customWidth="1"/>
    <col min="10058" max="10059" width="3.7109375" style="125" customWidth="1"/>
    <col min="10060" max="10060" width="9.7109375" style="125" customWidth="1"/>
    <col min="10061" max="10062" width="3.7109375" style="125" customWidth="1"/>
    <col min="10063" max="10063" width="9.7109375" style="125" customWidth="1"/>
    <col min="10064" max="10065" width="3.7109375" style="125" customWidth="1"/>
    <col min="10066" max="10066" width="9.7109375" style="125" customWidth="1"/>
    <col min="10067" max="10068" width="3.7109375" style="125" customWidth="1"/>
    <col min="10069" max="10069" width="9.7109375" style="125" customWidth="1"/>
    <col min="10070" max="10071" width="3.7109375" style="125" customWidth="1"/>
    <col min="10072" max="10072" width="9.7109375" style="125" customWidth="1"/>
    <col min="10073" max="10074" width="3.7109375" style="125" customWidth="1"/>
    <col min="10075" max="10075" width="9.7109375" style="125" customWidth="1"/>
    <col min="10076" max="10077" width="3.7109375" style="125" customWidth="1"/>
    <col min="10078" max="10078" width="9.7109375" style="125" customWidth="1"/>
    <col min="10079" max="10080" width="3.7109375" style="125" customWidth="1"/>
    <col min="10081" max="10081" width="9.7109375" style="125" customWidth="1"/>
    <col min="10082" max="10083" width="3.7109375" style="125" customWidth="1"/>
    <col min="10084" max="10084" width="9.7109375" style="125" customWidth="1"/>
    <col min="10085" max="10086" width="3.7109375" style="125" customWidth="1"/>
    <col min="10087" max="10087" width="9.7109375" style="125" customWidth="1"/>
    <col min="10088" max="10089" width="3.7109375" style="125" customWidth="1"/>
    <col min="10090" max="10090" width="9.7109375" style="125" customWidth="1"/>
    <col min="10091" max="10092" width="3.7109375" style="125" customWidth="1"/>
    <col min="10093" max="10093" width="9.7109375" style="125" customWidth="1"/>
    <col min="10094" max="10094" width="3.7109375" style="125" customWidth="1"/>
    <col min="10095" max="10095" width="5.7109375" style="125" bestFit="1" customWidth="1"/>
    <col min="10096" max="10096" width="9.7109375" style="125" customWidth="1"/>
    <col min="10097" max="10098" width="3.7109375" style="125" customWidth="1"/>
    <col min="10099" max="10099" width="9.7109375" style="125" customWidth="1"/>
    <col min="10100" max="10101" width="3.7109375" style="125" customWidth="1"/>
    <col min="10102" max="10102" width="9.7109375" style="125" customWidth="1"/>
    <col min="10103" max="10104" width="3.7109375" style="125" customWidth="1"/>
    <col min="10105" max="10105" width="9.7109375" style="125" customWidth="1"/>
    <col min="10106" max="10107" width="3.7109375" style="125" customWidth="1"/>
    <col min="10108" max="10108" width="9.7109375" style="125" customWidth="1"/>
    <col min="10109" max="10110" width="3.7109375" style="125" customWidth="1"/>
    <col min="10111" max="10111" width="9.7109375" style="125" customWidth="1"/>
    <col min="10112" max="10113" width="3.7109375" style="125" customWidth="1"/>
    <col min="10114" max="10114" width="9.7109375" style="125" customWidth="1"/>
    <col min="10115" max="10116" width="3.7109375" style="125" customWidth="1"/>
    <col min="10117" max="10117" width="9.7109375" style="125" customWidth="1"/>
    <col min="10118" max="10118" width="3.7109375" style="125" customWidth="1"/>
    <col min="10119" max="10119" width="5.7109375" style="125" bestFit="1" customWidth="1"/>
    <col min="10120" max="10120" width="9.7109375" style="125" customWidth="1"/>
    <col min="10121" max="10122" width="3.7109375" style="125" customWidth="1"/>
    <col min="10123" max="10123" width="9.7109375" style="125" customWidth="1"/>
    <col min="10124" max="10125" width="3.7109375" style="125" customWidth="1"/>
    <col min="10126" max="10126" width="9.7109375" style="125" customWidth="1"/>
    <col min="10127" max="10128" width="3.7109375" style="125" customWidth="1"/>
    <col min="10129" max="10129" width="9.7109375" style="125" customWidth="1"/>
    <col min="10130" max="10131" width="3.7109375" style="125" customWidth="1"/>
    <col min="10132" max="10132" width="9.7109375" style="125" customWidth="1"/>
    <col min="10133" max="10134" width="3.7109375" style="125" customWidth="1"/>
    <col min="10135" max="10135" width="9.7109375" style="125" customWidth="1"/>
    <col min="10136" max="10137" width="3.7109375" style="125" customWidth="1"/>
    <col min="10138" max="10138" width="9.7109375" style="125" customWidth="1"/>
    <col min="10139" max="10140" width="3.7109375" style="125" customWidth="1"/>
    <col min="10141" max="10141" width="9.7109375" style="125" customWidth="1"/>
    <col min="10142" max="10143" width="3.7109375" style="125" customWidth="1"/>
    <col min="10144" max="10144" width="9.7109375" style="125" customWidth="1"/>
    <col min="10145" max="10146" width="3.7109375" style="125" customWidth="1"/>
    <col min="10147" max="10147" width="9.7109375" style="125" customWidth="1"/>
    <col min="10148" max="10149" width="3.7109375" style="125" customWidth="1"/>
    <col min="10150" max="10150" width="9.7109375" style="125" customWidth="1"/>
    <col min="10151" max="10152" width="3.7109375" style="125" customWidth="1"/>
    <col min="10153" max="10153" width="9.7109375" style="125" customWidth="1"/>
    <col min="10154" max="10155" width="3.7109375" style="125" customWidth="1"/>
    <col min="10156" max="10156" width="9.7109375" style="125" customWidth="1"/>
    <col min="10157" max="10158" width="3.7109375" style="125" customWidth="1"/>
    <col min="10159" max="10159" width="9.7109375" style="125" customWidth="1"/>
    <col min="10160" max="10161" width="3.7109375" style="125" customWidth="1"/>
    <col min="10162" max="10162" width="9.7109375" style="125" customWidth="1"/>
    <col min="10163" max="10164" width="3.7109375" style="125" customWidth="1"/>
    <col min="10165" max="10165" width="9.7109375" style="125" customWidth="1"/>
    <col min="10166" max="10167" width="3.7109375" style="125" customWidth="1"/>
    <col min="10168" max="10168" width="9.7109375" style="125" customWidth="1"/>
    <col min="10169" max="10170" width="3.7109375" style="125" customWidth="1"/>
    <col min="10171" max="10171" width="9.7109375" style="125" customWidth="1"/>
    <col min="10172" max="10173" width="3.7109375" style="125" customWidth="1"/>
    <col min="10174" max="10174" width="9.7109375" style="125" customWidth="1"/>
    <col min="10175" max="10176" width="3.7109375" style="125" customWidth="1"/>
    <col min="10177" max="10177" width="9.7109375" style="125" customWidth="1"/>
    <col min="10178" max="10179" width="3.7109375" style="125" customWidth="1"/>
    <col min="10180" max="10180" width="9.7109375" style="125" customWidth="1"/>
    <col min="10181" max="10182" width="3.7109375" style="125" customWidth="1"/>
    <col min="10183" max="10183" width="9.7109375" style="125" customWidth="1"/>
    <col min="10184" max="10185" width="3.7109375" style="125" customWidth="1"/>
    <col min="10186" max="10186" width="9.7109375" style="125" customWidth="1"/>
    <col min="10187" max="10188" width="3.7109375" style="125" customWidth="1"/>
    <col min="10189" max="10189" width="9.7109375" style="125" customWidth="1"/>
    <col min="10190" max="10191" width="3.7109375" style="125" customWidth="1"/>
    <col min="10192" max="10192" width="9.7109375" style="125" customWidth="1"/>
    <col min="10193" max="10194" width="3.7109375" style="125" customWidth="1"/>
    <col min="10195" max="10195" width="9.7109375" style="125" customWidth="1"/>
    <col min="10196" max="10197" width="3.7109375" style="125" customWidth="1"/>
    <col min="10198" max="10198" width="9.7109375" style="125" customWidth="1"/>
    <col min="10199" max="10200" width="3.7109375" style="125" customWidth="1"/>
    <col min="10201" max="10201" width="9.7109375" style="125" customWidth="1"/>
    <col min="10202" max="10203" width="3.7109375" style="125" customWidth="1"/>
    <col min="10204" max="10204" width="9.7109375" style="125" customWidth="1"/>
    <col min="10205" max="10206" width="3.7109375" style="125" customWidth="1"/>
    <col min="10207" max="10207" width="9.7109375" style="125" customWidth="1"/>
    <col min="10208" max="10209" width="3.7109375" style="125" customWidth="1"/>
    <col min="10210" max="10210" width="9.7109375" style="125" customWidth="1"/>
    <col min="10211" max="10212" width="3.7109375" style="125" customWidth="1"/>
    <col min="10213" max="10213" width="9.7109375" style="125" customWidth="1"/>
    <col min="10214" max="10215" width="3.7109375" style="125" customWidth="1"/>
    <col min="10216" max="10216" width="9.7109375" style="125" customWidth="1"/>
    <col min="10217" max="10218" width="3.7109375" style="125" customWidth="1"/>
    <col min="10219" max="10219" width="9.7109375" style="125" customWidth="1"/>
    <col min="10220" max="10221" width="3.7109375" style="125" customWidth="1"/>
    <col min="10222" max="10222" width="9.7109375" style="125" customWidth="1"/>
    <col min="10223" max="10224" width="3.7109375" style="125" customWidth="1"/>
    <col min="10225" max="10225" width="9.7109375" style="125" customWidth="1"/>
    <col min="10226" max="10227" width="3.7109375" style="125" customWidth="1"/>
    <col min="10228" max="10228" width="9.7109375" style="125" customWidth="1"/>
    <col min="10229" max="10230" width="3.7109375" style="125" customWidth="1"/>
    <col min="10231" max="10231" width="9.7109375" style="125" customWidth="1"/>
    <col min="10232" max="10233" width="3.7109375" style="125" customWidth="1"/>
    <col min="10234" max="10234" width="9.7109375" style="125" customWidth="1"/>
    <col min="10235" max="10236" width="3.7109375" style="125" customWidth="1"/>
    <col min="10237" max="10237" width="9.7109375" style="125" customWidth="1"/>
    <col min="10238" max="10238" width="3.7109375" style="125" customWidth="1"/>
    <col min="10239" max="10240" width="8" style="125"/>
    <col min="10241" max="10241" width="30.7109375" style="125" customWidth="1"/>
    <col min="10242" max="10242" width="9.7109375" style="125" customWidth="1"/>
    <col min="10243" max="10243" width="3.7109375" style="125" customWidth="1"/>
    <col min="10244" max="10244" width="9.7109375" style="125" customWidth="1"/>
    <col min="10245" max="10246" width="3.7109375" style="125" customWidth="1"/>
    <col min="10247" max="10247" width="9.7109375" style="125" customWidth="1"/>
    <col min="10248" max="10249" width="3.7109375" style="125" customWidth="1"/>
    <col min="10250" max="10250" width="9.7109375" style="125" customWidth="1"/>
    <col min="10251" max="10252" width="3.7109375" style="125" customWidth="1"/>
    <col min="10253" max="10253" width="9.7109375" style="125" customWidth="1"/>
    <col min="10254" max="10255" width="3.7109375" style="125" customWidth="1"/>
    <col min="10256" max="10256" width="9.7109375" style="125" customWidth="1"/>
    <col min="10257" max="10258" width="3.7109375" style="125" customWidth="1"/>
    <col min="10259" max="10259" width="9.7109375" style="125" customWidth="1"/>
    <col min="10260" max="10261" width="3.7109375" style="125" customWidth="1"/>
    <col min="10262" max="10262" width="9.7109375" style="125" customWidth="1"/>
    <col min="10263" max="10264" width="3.7109375" style="125" customWidth="1"/>
    <col min="10265" max="10265" width="9.7109375" style="125" customWidth="1"/>
    <col min="10266" max="10267" width="3.7109375" style="125" customWidth="1"/>
    <col min="10268" max="10268" width="9.7109375" style="125" customWidth="1"/>
    <col min="10269" max="10270" width="3.7109375" style="125" customWidth="1"/>
    <col min="10271" max="10271" width="9.7109375" style="125" customWidth="1"/>
    <col min="10272" max="10273" width="3.7109375" style="125" customWidth="1"/>
    <col min="10274" max="10274" width="9.7109375" style="125" customWidth="1"/>
    <col min="10275" max="10276" width="3.7109375" style="125" customWidth="1"/>
    <col min="10277" max="10277" width="9.7109375" style="125" customWidth="1"/>
    <col min="10278" max="10279" width="3.7109375" style="125" customWidth="1"/>
    <col min="10280" max="10280" width="9.7109375" style="125" customWidth="1"/>
    <col min="10281" max="10282" width="3.7109375" style="125" customWidth="1"/>
    <col min="10283" max="10283" width="9.7109375" style="125" customWidth="1"/>
    <col min="10284" max="10285" width="3.7109375" style="125" customWidth="1"/>
    <col min="10286" max="10286" width="9.7109375" style="125" customWidth="1"/>
    <col min="10287" max="10288" width="3.7109375" style="125" customWidth="1"/>
    <col min="10289" max="10289" width="9.7109375" style="125" customWidth="1"/>
    <col min="10290" max="10291" width="3.7109375" style="125" customWidth="1"/>
    <col min="10292" max="10292" width="9.7109375" style="125" customWidth="1"/>
    <col min="10293" max="10294" width="3.7109375" style="125" customWidth="1"/>
    <col min="10295" max="10295" width="9.7109375" style="125" customWidth="1"/>
    <col min="10296" max="10297" width="3.7109375" style="125" customWidth="1"/>
    <col min="10298" max="10298" width="9.7109375" style="125" customWidth="1"/>
    <col min="10299" max="10300" width="3.7109375" style="125" customWidth="1"/>
    <col min="10301" max="10301" width="9.7109375" style="125" customWidth="1"/>
    <col min="10302" max="10303" width="3.7109375" style="125" customWidth="1"/>
    <col min="10304" max="10304" width="9.7109375" style="125" customWidth="1"/>
    <col min="10305" max="10306" width="3.7109375" style="125" customWidth="1"/>
    <col min="10307" max="10307" width="9.7109375" style="125" customWidth="1"/>
    <col min="10308" max="10309" width="3.7109375" style="125" customWidth="1"/>
    <col min="10310" max="10310" width="9.7109375" style="125" customWidth="1"/>
    <col min="10311" max="10312" width="3.7109375" style="125" customWidth="1"/>
    <col min="10313" max="10313" width="9.7109375" style="125" customWidth="1"/>
    <col min="10314" max="10315" width="3.7109375" style="125" customWidth="1"/>
    <col min="10316" max="10316" width="9.7109375" style="125" customWidth="1"/>
    <col min="10317" max="10318" width="3.7109375" style="125" customWidth="1"/>
    <col min="10319" max="10319" width="9.7109375" style="125" customWidth="1"/>
    <col min="10320" max="10321" width="3.7109375" style="125" customWidth="1"/>
    <col min="10322" max="10322" width="9.7109375" style="125" customWidth="1"/>
    <col min="10323" max="10324" width="3.7109375" style="125" customWidth="1"/>
    <col min="10325" max="10325" width="9.7109375" style="125" customWidth="1"/>
    <col min="10326" max="10327" width="3.7109375" style="125" customWidth="1"/>
    <col min="10328" max="10328" width="9.7109375" style="125" customWidth="1"/>
    <col min="10329" max="10330" width="3.7109375" style="125" customWidth="1"/>
    <col min="10331" max="10331" width="9.7109375" style="125" customWidth="1"/>
    <col min="10332" max="10333" width="3.7109375" style="125" customWidth="1"/>
    <col min="10334" max="10334" width="9.7109375" style="125" customWidth="1"/>
    <col min="10335" max="10336" width="3.7109375" style="125" customWidth="1"/>
    <col min="10337" max="10337" width="9.7109375" style="125" customWidth="1"/>
    <col min="10338" max="10339" width="3.7109375" style="125" customWidth="1"/>
    <col min="10340" max="10340" width="9.7109375" style="125" customWidth="1"/>
    <col min="10341" max="10342" width="3.7109375" style="125" customWidth="1"/>
    <col min="10343" max="10343" width="9.7109375" style="125" customWidth="1"/>
    <col min="10344" max="10345" width="3.7109375" style="125" customWidth="1"/>
    <col min="10346" max="10346" width="9.7109375" style="125" customWidth="1"/>
    <col min="10347" max="10348" width="3.7109375" style="125" customWidth="1"/>
    <col min="10349" max="10349" width="9.7109375" style="125" customWidth="1"/>
    <col min="10350" max="10350" width="3.7109375" style="125" customWidth="1"/>
    <col min="10351" max="10351" width="5.7109375" style="125" bestFit="1" customWidth="1"/>
    <col min="10352" max="10352" width="9.7109375" style="125" customWidth="1"/>
    <col min="10353" max="10354" width="3.7109375" style="125" customWidth="1"/>
    <col min="10355" max="10355" width="9.7109375" style="125" customWidth="1"/>
    <col min="10356" max="10357" width="3.7109375" style="125" customWidth="1"/>
    <col min="10358" max="10358" width="9.7109375" style="125" customWidth="1"/>
    <col min="10359" max="10360" width="3.7109375" style="125" customWidth="1"/>
    <col min="10361" max="10361" width="9.7109375" style="125" customWidth="1"/>
    <col min="10362" max="10363" width="3.7109375" style="125" customWidth="1"/>
    <col min="10364" max="10364" width="9.7109375" style="125" customWidth="1"/>
    <col min="10365" max="10366" width="3.7109375" style="125" customWidth="1"/>
    <col min="10367" max="10367" width="9.7109375" style="125" customWidth="1"/>
    <col min="10368" max="10369" width="3.7109375" style="125" customWidth="1"/>
    <col min="10370" max="10370" width="9.7109375" style="125" customWidth="1"/>
    <col min="10371" max="10372" width="3.7109375" style="125" customWidth="1"/>
    <col min="10373" max="10373" width="9.7109375" style="125" customWidth="1"/>
    <col min="10374" max="10374" width="3.7109375" style="125" customWidth="1"/>
    <col min="10375" max="10375" width="5.7109375" style="125" bestFit="1" customWidth="1"/>
    <col min="10376" max="10376" width="9.7109375" style="125" customWidth="1"/>
    <col min="10377" max="10378" width="3.7109375" style="125" customWidth="1"/>
    <col min="10379" max="10379" width="9.7109375" style="125" customWidth="1"/>
    <col min="10380" max="10381" width="3.7109375" style="125" customWidth="1"/>
    <col min="10382" max="10382" width="9.7109375" style="125" customWidth="1"/>
    <col min="10383" max="10384" width="3.7109375" style="125" customWidth="1"/>
    <col min="10385" max="10385" width="9.7109375" style="125" customWidth="1"/>
    <col min="10386" max="10387" width="3.7109375" style="125" customWidth="1"/>
    <col min="10388" max="10388" width="9.7109375" style="125" customWidth="1"/>
    <col min="10389" max="10390" width="3.7109375" style="125" customWidth="1"/>
    <col min="10391" max="10391" width="9.7109375" style="125" customWidth="1"/>
    <col min="10392" max="10393" width="3.7109375" style="125" customWidth="1"/>
    <col min="10394" max="10394" width="9.7109375" style="125" customWidth="1"/>
    <col min="10395" max="10396" width="3.7109375" style="125" customWidth="1"/>
    <col min="10397" max="10397" width="9.7109375" style="125" customWidth="1"/>
    <col min="10398" max="10399" width="3.7109375" style="125" customWidth="1"/>
    <col min="10400" max="10400" width="9.7109375" style="125" customWidth="1"/>
    <col min="10401" max="10402" width="3.7109375" style="125" customWidth="1"/>
    <col min="10403" max="10403" width="9.7109375" style="125" customWidth="1"/>
    <col min="10404" max="10405" width="3.7109375" style="125" customWidth="1"/>
    <col min="10406" max="10406" width="9.7109375" style="125" customWidth="1"/>
    <col min="10407" max="10408" width="3.7109375" style="125" customWidth="1"/>
    <col min="10409" max="10409" width="9.7109375" style="125" customWidth="1"/>
    <col min="10410" max="10411" width="3.7109375" style="125" customWidth="1"/>
    <col min="10412" max="10412" width="9.7109375" style="125" customWidth="1"/>
    <col min="10413" max="10414" width="3.7109375" style="125" customWidth="1"/>
    <col min="10415" max="10415" width="9.7109375" style="125" customWidth="1"/>
    <col min="10416" max="10417" width="3.7109375" style="125" customWidth="1"/>
    <col min="10418" max="10418" width="9.7109375" style="125" customWidth="1"/>
    <col min="10419" max="10420" width="3.7109375" style="125" customWidth="1"/>
    <col min="10421" max="10421" width="9.7109375" style="125" customWidth="1"/>
    <col min="10422" max="10423" width="3.7109375" style="125" customWidth="1"/>
    <col min="10424" max="10424" width="9.7109375" style="125" customWidth="1"/>
    <col min="10425" max="10426" width="3.7109375" style="125" customWidth="1"/>
    <col min="10427" max="10427" width="9.7109375" style="125" customWidth="1"/>
    <col min="10428" max="10429" width="3.7109375" style="125" customWidth="1"/>
    <col min="10430" max="10430" width="9.7109375" style="125" customWidth="1"/>
    <col min="10431" max="10432" width="3.7109375" style="125" customWidth="1"/>
    <col min="10433" max="10433" width="9.7109375" style="125" customWidth="1"/>
    <col min="10434" max="10435" width="3.7109375" style="125" customWidth="1"/>
    <col min="10436" max="10436" width="9.7109375" style="125" customWidth="1"/>
    <col min="10437" max="10438" width="3.7109375" style="125" customWidth="1"/>
    <col min="10439" max="10439" width="9.7109375" style="125" customWidth="1"/>
    <col min="10440" max="10441" width="3.7109375" style="125" customWidth="1"/>
    <col min="10442" max="10442" width="9.7109375" style="125" customWidth="1"/>
    <col min="10443" max="10444" width="3.7109375" style="125" customWidth="1"/>
    <col min="10445" max="10445" width="9.7109375" style="125" customWidth="1"/>
    <col min="10446" max="10447" width="3.7109375" style="125" customWidth="1"/>
    <col min="10448" max="10448" width="9.7109375" style="125" customWidth="1"/>
    <col min="10449" max="10450" width="3.7109375" style="125" customWidth="1"/>
    <col min="10451" max="10451" width="9.7109375" style="125" customWidth="1"/>
    <col min="10452" max="10453" width="3.7109375" style="125" customWidth="1"/>
    <col min="10454" max="10454" width="9.7109375" style="125" customWidth="1"/>
    <col min="10455" max="10456" width="3.7109375" style="125" customWidth="1"/>
    <col min="10457" max="10457" width="9.7109375" style="125" customWidth="1"/>
    <col min="10458" max="10459" width="3.7109375" style="125" customWidth="1"/>
    <col min="10460" max="10460" width="9.7109375" style="125" customWidth="1"/>
    <col min="10461" max="10462" width="3.7109375" style="125" customWidth="1"/>
    <col min="10463" max="10463" width="9.7109375" style="125" customWidth="1"/>
    <col min="10464" max="10465" width="3.7109375" style="125" customWidth="1"/>
    <col min="10466" max="10466" width="9.7109375" style="125" customWidth="1"/>
    <col min="10467" max="10468" width="3.7109375" style="125" customWidth="1"/>
    <col min="10469" max="10469" width="9.7109375" style="125" customWidth="1"/>
    <col min="10470" max="10471" width="3.7109375" style="125" customWidth="1"/>
    <col min="10472" max="10472" width="9.7109375" style="125" customWidth="1"/>
    <col min="10473" max="10474" width="3.7109375" style="125" customWidth="1"/>
    <col min="10475" max="10475" width="9.7109375" style="125" customWidth="1"/>
    <col min="10476" max="10477" width="3.7109375" style="125" customWidth="1"/>
    <col min="10478" max="10478" width="9.7109375" style="125" customWidth="1"/>
    <col min="10479" max="10480" width="3.7109375" style="125" customWidth="1"/>
    <col min="10481" max="10481" width="9.7109375" style="125" customWidth="1"/>
    <col min="10482" max="10483" width="3.7109375" style="125" customWidth="1"/>
    <col min="10484" max="10484" width="9.7109375" style="125" customWidth="1"/>
    <col min="10485" max="10486" width="3.7109375" style="125" customWidth="1"/>
    <col min="10487" max="10487" width="9.7109375" style="125" customWidth="1"/>
    <col min="10488" max="10489" width="3.7109375" style="125" customWidth="1"/>
    <col min="10490" max="10490" width="9.7109375" style="125" customWidth="1"/>
    <col min="10491" max="10492" width="3.7109375" style="125" customWidth="1"/>
    <col min="10493" max="10493" width="9.7109375" style="125" customWidth="1"/>
    <col min="10494" max="10494" width="3.7109375" style="125" customWidth="1"/>
    <col min="10495" max="10496" width="8" style="125"/>
    <col min="10497" max="10497" width="30.7109375" style="125" customWidth="1"/>
    <col min="10498" max="10498" width="9.7109375" style="125" customWidth="1"/>
    <col min="10499" max="10499" width="3.7109375" style="125" customWidth="1"/>
    <col min="10500" max="10500" width="9.7109375" style="125" customWidth="1"/>
    <col min="10501" max="10502" width="3.7109375" style="125" customWidth="1"/>
    <col min="10503" max="10503" width="9.7109375" style="125" customWidth="1"/>
    <col min="10504" max="10505" width="3.7109375" style="125" customWidth="1"/>
    <col min="10506" max="10506" width="9.7109375" style="125" customWidth="1"/>
    <col min="10507" max="10508" width="3.7109375" style="125" customWidth="1"/>
    <col min="10509" max="10509" width="9.7109375" style="125" customWidth="1"/>
    <col min="10510" max="10511" width="3.7109375" style="125" customWidth="1"/>
    <col min="10512" max="10512" width="9.7109375" style="125" customWidth="1"/>
    <col min="10513" max="10514" width="3.7109375" style="125" customWidth="1"/>
    <col min="10515" max="10515" width="9.7109375" style="125" customWidth="1"/>
    <col min="10516" max="10517" width="3.7109375" style="125" customWidth="1"/>
    <col min="10518" max="10518" width="9.7109375" style="125" customWidth="1"/>
    <col min="10519" max="10520" width="3.7109375" style="125" customWidth="1"/>
    <col min="10521" max="10521" width="9.7109375" style="125" customWidth="1"/>
    <col min="10522" max="10523" width="3.7109375" style="125" customWidth="1"/>
    <col min="10524" max="10524" width="9.7109375" style="125" customWidth="1"/>
    <col min="10525" max="10526" width="3.7109375" style="125" customWidth="1"/>
    <col min="10527" max="10527" width="9.7109375" style="125" customWidth="1"/>
    <col min="10528" max="10529" width="3.7109375" style="125" customWidth="1"/>
    <col min="10530" max="10530" width="9.7109375" style="125" customWidth="1"/>
    <col min="10531" max="10532" width="3.7109375" style="125" customWidth="1"/>
    <col min="10533" max="10533" width="9.7109375" style="125" customWidth="1"/>
    <col min="10534" max="10535" width="3.7109375" style="125" customWidth="1"/>
    <col min="10536" max="10536" width="9.7109375" style="125" customWidth="1"/>
    <col min="10537" max="10538" width="3.7109375" style="125" customWidth="1"/>
    <col min="10539" max="10539" width="9.7109375" style="125" customWidth="1"/>
    <col min="10540" max="10541" width="3.7109375" style="125" customWidth="1"/>
    <col min="10542" max="10542" width="9.7109375" style="125" customWidth="1"/>
    <col min="10543" max="10544" width="3.7109375" style="125" customWidth="1"/>
    <col min="10545" max="10545" width="9.7109375" style="125" customWidth="1"/>
    <col min="10546" max="10547" width="3.7109375" style="125" customWidth="1"/>
    <col min="10548" max="10548" width="9.7109375" style="125" customWidth="1"/>
    <col min="10549" max="10550" width="3.7109375" style="125" customWidth="1"/>
    <col min="10551" max="10551" width="9.7109375" style="125" customWidth="1"/>
    <col min="10552" max="10553" width="3.7109375" style="125" customWidth="1"/>
    <col min="10554" max="10554" width="9.7109375" style="125" customWidth="1"/>
    <col min="10555" max="10556" width="3.7109375" style="125" customWidth="1"/>
    <col min="10557" max="10557" width="9.7109375" style="125" customWidth="1"/>
    <col min="10558" max="10559" width="3.7109375" style="125" customWidth="1"/>
    <col min="10560" max="10560" width="9.7109375" style="125" customWidth="1"/>
    <col min="10561" max="10562" width="3.7109375" style="125" customWidth="1"/>
    <col min="10563" max="10563" width="9.7109375" style="125" customWidth="1"/>
    <col min="10564" max="10565" width="3.7109375" style="125" customWidth="1"/>
    <col min="10566" max="10566" width="9.7109375" style="125" customWidth="1"/>
    <col min="10567" max="10568" width="3.7109375" style="125" customWidth="1"/>
    <col min="10569" max="10569" width="9.7109375" style="125" customWidth="1"/>
    <col min="10570" max="10571" width="3.7109375" style="125" customWidth="1"/>
    <col min="10572" max="10572" width="9.7109375" style="125" customWidth="1"/>
    <col min="10573" max="10574" width="3.7109375" style="125" customWidth="1"/>
    <col min="10575" max="10575" width="9.7109375" style="125" customWidth="1"/>
    <col min="10576" max="10577" width="3.7109375" style="125" customWidth="1"/>
    <col min="10578" max="10578" width="9.7109375" style="125" customWidth="1"/>
    <col min="10579" max="10580" width="3.7109375" style="125" customWidth="1"/>
    <col min="10581" max="10581" width="9.7109375" style="125" customWidth="1"/>
    <col min="10582" max="10583" width="3.7109375" style="125" customWidth="1"/>
    <col min="10584" max="10584" width="9.7109375" style="125" customWidth="1"/>
    <col min="10585" max="10586" width="3.7109375" style="125" customWidth="1"/>
    <col min="10587" max="10587" width="9.7109375" style="125" customWidth="1"/>
    <col min="10588" max="10589" width="3.7109375" style="125" customWidth="1"/>
    <col min="10590" max="10590" width="9.7109375" style="125" customWidth="1"/>
    <col min="10591" max="10592" width="3.7109375" style="125" customWidth="1"/>
    <col min="10593" max="10593" width="9.7109375" style="125" customWidth="1"/>
    <col min="10594" max="10595" width="3.7109375" style="125" customWidth="1"/>
    <col min="10596" max="10596" width="9.7109375" style="125" customWidth="1"/>
    <col min="10597" max="10598" width="3.7109375" style="125" customWidth="1"/>
    <col min="10599" max="10599" width="9.7109375" style="125" customWidth="1"/>
    <col min="10600" max="10601" width="3.7109375" style="125" customWidth="1"/>
    <col min="10602" max="10602" width="9.7109375" style="125" customWidth="1"/>
    <col min="10603" max="10604" width="3.7109375" style="125" customWidth="1"/>
    <col min="10605" max="10605" width="9.7109375" style="125" customWidth="1"/>
    <col min="10606" max="10606" width="3.7109375" style="125" customWidth="1"/>
    <col min="10607" max="10607" width="5.7109375" style="125" bestFit="1" customWidth="1"/>
    <col min="10608" max="10608" width="9.7109375" style="125" customWidth="1"/>
    <col min="10609" max="10610" width="3.7109375" style="125" customWidth="1"/>
    <col min="10611" max="10611" width="9.7109375" style="125" customWidth="1"/>
    <col min="10612" max="10613" width="3.7109375" style="125" customWidth="1"/>
    <col min="10614" max="10614" width="9.7109375" style="125" customWidth="1"/>
    <col min="10615" max="10616" width="3.7109375" style="125" customWidth="1"/>
    <col min="10617" max="10617" width="9.7109375" style="125" customWidth="1"/>
    <col min="10618" max="10619" width="3.7109375" style="125" customWidth="1"/>
    <col min="10620" max="10620" width="9.7109375" style="125" customWidth="1"/>
    <col min="10621" max="10622" width="3.7109375" style="125" customWidth="1"/>
    <col min="10623" max="10623" width="9.7109375" style="125" customWidth="1"/>
    <col min="10624" max="10625" width="3.7109375" style="125" customWidth="1"/>
    <col min="10626" max="10626" width="9.7109375" style="125" customWidth="1"/>
    <col min="10627" max="10628" width="3.7109375" style="125" customWidth="1"/>
    <col min="10629" max="10629" width="9.7109375" style="125" customWidth="1"/>
    <col min="10630" max="10630" width="3.7109375" style="125" customWidth="1"/>
    <col min="10631" max="10631" width="5.7109375" style="125" bestFit="1" customWidth="1"/>
    <col min="10632" max="10632" width="9.7109375" style="125" customWidth="1"/>
    <col min="10633" max="10634" width="3.7109375" style="125" customWidth="1"/>
    <col min="10635" max="10635" width="9.7109375" style="125" customWidth="1"/>
    <col min="10636" max="10637" width="3.7109375" style="125" customWidth="1"/>
    <col min="10638" max="10638" width="9.7109375" style="125" customWidth="1"/>
    <col min="10639" max="10640" width="3.7109375" style="125" customWidth="1"/>
    <col min="10641" max="10641" width="9.7109375" style="125" customWidth="1"/>
    <col min="10642" max="10643" width="3.7109375" style="125" customWidth="1"/>
    <col min="10644" max="10644" width="9.7109375" style="125" customWidth="1"/>
    <col min="10645" max="10646" width="3.7109375" style="125" customWidth="1"/>
    <col min="10647" max="10647" width="9.7109375" style="125" customWidth="1"/>
    <col min="10648" max="10649" width="3.7109375" style="125" customWidth="1"/>
    <col min="10650" max="10650" width="9.7109375" style="125" customWidth="1"/>
    <col min="10651" max="10652" width="3.7109375" style="125" customWidth="1"/>
    <col min="10653" max="10653" width="9.7109375" style="125" customWidth="1"/>
    <col min="10654" max="10655" width="3.7109375" style="125" customWidth="1"/>
    <col min="10656" max="10656" width="9.7109375" style="125" customWidth="1"/>
    <col min="10657" max="10658" width="3.7109375" style="125" customWidth="1"/>
    <col min="10659" max="10659" width="9.7109375" style="125" customWidth="1"/>
    <col min="10660" max="10661" width="3.7109375" style="125" customWidth="1"/>
    <col min="10662" max="10662" width="9.7109375" style="125" customWidth="1"/>
    <col min="10663" max="10664" width="3.7109375" style="125" customWidth="1"/>
    <col min="10665" max="10665" width="9.7109375" style="125" customWidth="1"/>
    <col min="10666" max="10667" width="3.7109375" style="125" customWidth="1"/>
    <col min="10668" max="10668" width="9.7109375" style="125" customWidth="1"/>
    <col min="10669" max="10670" width="3.7109375" style="125" customWidth="1"/>
    <col min="10671" max="10671" width="9.7109375" style="125" customWidth="1"/>
    <col min="10672" max="10673" width="3.7109375" style="125" customWidth="1"/>
    <col min="10674" max="10674" width="9.7109375" style="125" customWidth="1"/>
    <col min="10675" max="10676" width="3.7109375" style="125" customWidth="1"/>
    <col min="10677" max="10677" width="9.7109375" style="125" customWidth="1"/>
    <col min="10678" max="10679" width="3.7109375" style="125" customWidth="1"/>
    <col min="10680" max="10680" width="9.7109375" style="125" customWidth="1"/>
    <col min="10681" max="10682" width="3.7109375" style="125" customWidth="1"/>
    <col min="10683" max="10683" width="9.7109375" style="125" customWidth="1"/>
    <col min="10684" max="10685" width="3.7109375" style="125" customWidth="1"/>
    <col min="10686" max="10686" width="9.7109375" style="125" customWidth="1"/>
    <col min="10687" max="10688" width="3.7109375" style="125" customWidth="1"/>
    <col min="10689" max="10689" width="9.7109375" style="125" customWidth="1"/>
    <col min="10690" max="10691" width="3.7109375" style="125" customWidth="1"/>
    <col min="10692" max="10692" width="9.7109375" style="125" customWidth="1"/>
    <col min="10693" max="10694" width="3.7109375" style="125" customWidth="1"/>
    <col min="10695" max="10695" width="9.7109375" style="125" customWidth="1"/>
    <col min="10696" max="10697" width="3.7109375" style="125" customWidth="1"/>
    <col min="10698" max="10698" width="9.7109375" style="125" customWidth="1"/>
    <col min="10699" max="10700" width="3.7109375" style="125" customWidth="1"/>
    <col min="10701" max="10701" width="9.7109375" style="125" customWidth="1"/>
    <col min="10702" max="10703" width="3.7109375" style="125" customWidth="1"/>
    <col min="10704" max="10704" width="9.7109375" style="125" customWidth="1"/>
    <col min="10705" max="10706" width="3.7109375" style="125" customWidth="1"/>
    <col min="10707" max="10707" width="9.7109375" style="125" customWidth="1"/>
    <col min="10708" max="10709" width="3.7109375" style="125" customWidth="1"/>
    <col min="10710" max="10710" width="9.7109375" style="125" customWidth="1"/>
    <col min="10711" max="10712" width="3.7109375" style="125" customWidth="1"/>
    <col min="10713" max="10713" width="9.7109375" style="125" customWidth="1"/>
    <col min="10714" max="10715" width="3.7109375" style="125" customWidth="1"/>
    <col min="10716" max="10716" width="9.7109375" style="125" customWidth="1"/>
    <col min="10717" max="10718" width="3.7109375" style="125" customWidth="1"/>
    <col min="10719" max="10719" width="9.7109375" style="125" customWidth="1"/>
    <col min="10720" max="10721" width="3.7109375" style="125" customWidth="1"/>
    <col min="10722" max="10722" width="9.7109375" style="125" customWidth="1"/>
    <col min="10723" max="10724" width="3.7109375" style="125" customWidth="1"/>
    <col min="10725" max="10725" width="9.7109375" style="125" customWidth="1"/>
    <col min="10726" max="10727" width="3.7109375" style="125" customWidth="1"/>
    <col min="10728" max="10728" width="9.7109375" style="125" customWidth="1"/>
    <col min="10729" max="10730" width="3.7109375" style="125" customWidth="1"/>
    <col min="10731" max="10731" width="9.7109375" style="125" customWidth="1"/>
    <col min="10732" max="10733" width="3.7109375" style="125" customWidth="1"/>
    <col min="10734" max="10734" width="9.7109375" style="125" customWidth="1"/>
    <col min="10735" max="10736" width="3.7109375" style="125" customWidth="1"/>
    <col min="10737" max="10737" width="9.7109375" style="125" customWidth="1"/>
    <col min="10738" max="10739" width="3.7109375" style="125" customWidth="1"/>
    <col min="10740" max="10740" width="9.7109375" style="125" customWidth="1"/>
    <col min="10741" max="10742" width="3.7109375" style="125" customWidth="1"/>
    <col min="10743" max="10743" width="9.7109375" style="125" customWidth="1"/>
    <col min="10744" max="10745" width="3.7109375" style="125" customWidth="1"/>
    <col min="10746" max="10746" width="9.7109375" style="125" customWidth="1"/>
    <col min="10747" max="10748" width="3.7109375" style="125" customWidth="1"/>
    <col min="10749" max="10749" width="9.7109375" style="125" customWidth="1"/>
    <col min="10750" max="10750" width="3.7109375" style="125" customWidth="1"/>
    <col min="10751" max="10752" width="8" style="125"/>
    <col min="10753" max="10753" width="30.7109375" style="125" customWidth="1"/>
    <col min="10754" max="10754" width="9.7109375" style="125" customWidth="1"/>
    <col min="10755" max="10755" width="3.7109375" style="125" customWidth="1"/>
    <col min="10756" max="10756" width="9.7109375" style="125" customWidth="1"/>
    <col min="10757" max="10758" width="3.7109375" style="125" customWidth="1"/>
    <col min="10759" max="10759" width="9.7109375" style="125" customWidth="1"/>
    <col min="10760" max="10761" width="3.7109375" style="125" customWidth="1"/>
    <col min="10762" max="10762" width="9.7109375" style="125" customWidth="1"/>
    <col min="10763" max="10764" width="3.7109375" style="125" customWidth="1"/>
    <col min="10765" max="10765" width="9.7109375" style="125" customWidth="1"/>
    <col min="10766" max="10767" width="3.7109375" style="125" customWidth="1"/>
    <col min="10768" max="10768" width="9.7109375" style="125" customWidth="1"/>
    <col min="10769" max="10770" width="3.7109375" style="125" customWidth="1"/>
    <col min="10771" max="10771" width="9.7109375" style="125" customWidth="1"/>
    <col min="10772" max="10773" width="3.7109375" style="125" customWidth="1"/>
    <col min="10774" max="10774" width="9.7109375" style="125" customWidth="1"/>
    <col min="10775" max="10776" width="3.7109375" style="125" customWidth="1"/>
    <col min="10777" max="10777" width="9.7109375" style="125" customWidth="1"/>
    <col min="10778" max="10779" width="3.7109375" style="125" customWidth="1"/>
    <col min="10780" max="10780" width="9.7109375" style="125" customWidth="1"/>
    <col min="10781" max="10782" width="3.7109375" style="125" customWidth="1"/>
    <col min="10783" max="10783" width="9.7109375" style="125" customWidth="1"/>
    <col min="10784" max="10785" width="3.7109375" style="125" customWidth="1"/>
    <col min="10786" max="10786" width="9.7109375" style="125" customWidth="1"/>
    <col min="10787" max="10788" width="3.7109375" style="125" customWidth="1"/>
    <col min="10789" max="10789" width="9.7109375" style="125" customWidth="1"/>
    <col min="10790" max="10791" width="3.7109375" style="125" customWidth="1"/>
    <col min="10792" max="10792" width="9.7109375" style="125" customWidth="1"/>
    <col min="10793" max="10794" width="3.7109375" style="125" customWidth="1"/>
    <col min="10795" max="10795" width="9.7109375" style="125" customWidth="1"/>
    <col min="10796" max="10797" width="3.7109375" style="125" customWidth="1"/>
    <col min="10798" max="10798" width="9.7109375" style="125" customWidth="1"/>
    <col min="10799" max="10800" width="3.7109375" style="125" customWidth="1"/>
    <col min="10801" max="10801" width="9.7109375" style="125" customWidth="1"/>
    <col min="10802" max="10803" width="3.7109375" style="125" customWidth="1"/>
    <col min="10804" max="10804" width="9.7109375" style="125" customWidth="1"/>
    <col min="10805" max="10806" width="3.7109375" style="125" customWidth="1"/>
    <col min="10807" max="10807" width="9.7109375" style="125" customWidth="1"/>
    <col min="10808" max="10809" width="3.7109375" style="125" customWidth="1"/>
    <col min="10810" max="10810" width="9.7109375" style="125" customWidth="1"/>
    <col min="10811" max="10812" width="3.7109375" style="125" customWidth="1"/>
    <col min="10813" max="10813" width="9.7109375" style="125" customWidth="1"/>
    <col min="10814" max="10815" width="3.7109375" style="125" customWidth="1"/>
    <col min="10816" max="10816" width="9.7109375" style="125" customWidth="1"/>
    <col min="10817" max="10818" width="3.7109375" style="125" customWidth="1"/>
    <col min="10819" max="10819" width="9.7109375" style="125" customWidth="1"/>
    <col min="10820" max="10821" width="3.7109375" style="125" customWidth="1"/>
    <col min="10822" max="10822" width="9.7109375" style="125" customWidth="1"/>
    <col min="10823" max="10824" width="3.7109375" style="125" customWidth="1"/>
    <col min="10825" max="10825" width="9.7109375" style="125" customWidth="1"/>
    <col min="10826" max="10827" width="3.7109375" style="125" customWidth="1"/>
    <col min="10828" max="10828" width="9.7109375" style="125" customWidth="1"/>
    <col min="10829" max="10830" width="3.7109375" style="125" customWidth="1"/>
    <col min="10831" max="10831" width="9.7109375" style="125" customWidth="1"/>
    <col min="10832" max="10833" width="3.7109375" style="125" customWidth="1"/>
    <col min="10834" max="10834" width="9.7109375" style="125" customWidth="1"/>
    <col min="10835" max="10836" width="3.7109375" style="125" customWidth="1"/>
    <col min="10837" max="10837" width="9.7109375" style="125" customWidth="1"/>
    <col min="10838" max="10839" width="3.7109375" style="125" customWidth="1"/>
    <col min="10840" max="10840" width="9.7109375" style="125" customWidth="1"/>
    <col min="10841" max="10842" width="3.7109375" style="125" customWidth="1"/>
    <col min="10843" max="10843" width="9.7109375" style="125" customWidth="1"/>
    <col min="10844" max="10845" width="3.7109375" style="125" customWidth="1"/>
    <col min="10846" max="10846" width="9.7109375" style="125" customWidth="1"/>
    <col min="10847" max="10848" width="3.7109375" style="125" customWidth="1"/>
    <col min="10849" max="10849" width="9.7109375" style="125" customWidth="1"/>
    <col min="10850" max="10851" width="3.7109375" style="125" customWidth="1"/>
    <col min="10852" max="10852" width="9.7109375" style="125" customWidth="1"/>
    <col min="10853" max="10854" width="3.7109375" style="125" customWidth="1"/>
    <col min="10855" max="10855" width="9.7109375" style="125" customWidth="1"/>
    <col min="10856" max="10857" width="3.7109375" style="125" customWidth="1"/>
    <col min="10858" max="10858" width="9.7109375" style="125" customWidth="1"/>
    <col min="10859" max="10860" width="3.7109375" style="125" customWidth="1"/>
    <col min="10861" max="10861" width="9.7109375" style="125" customWidth="1"/>
    <col min="10862" max="10862" width="3.7109375" style="125" customWidth="1"/>
    <col min="10863" max="10863" width="5.7109375" style="125" bestFit="1" customWidth="1"/>
    <col min="10864" max="10864" width="9.7109375" style="125" customWidth="1"/>
    <col min="10865" max="10866" width="3.7109375" style="125" customWidth="1"/>
    <col min="10867" max="10867" width="9.7109375" style="125" customWidth="1"/>
    <col min="10868" max="10869" width="3.7109375" style="125" customWidth="1"/>
    <col min="10870" max="10870" width="9.7109375" style="125" customWidth="1"/>
    <col min="10871" max="10872" width="3.7109375" style="125" customWidth="1"/>
    <col min="10873" max="10873" width="9.7109375" style="125" customWidth="1"/>
    <col min="10874" max="10875" width="3.7109375" style="125" customWidth="1"/>
    <col min="10876" max="10876" width="9.7109375" style="125" customWidth="1"/>
    <col min="10877" max="10878" width="3.7109375" style="125" customWidth="1"/>
    <col min="10879" max="10879" width="9.7109375" style="125" customWidth="1"/>
    <col min="10880" max="10881" width="3.7109375" style="125" customWidth="1"/>
    <col min="10882" max="10882" width="9.7109375" style="125" customWidth="1"/>
    <col min="10883" max="10884" width="3.7109375" style="125" customWidth="1"/>
    <col min="10885" max="10885" width="9.7109375" style="125" customWidth="1"/>
    <col min="10886" max="10886" width="3.7109375" style="125" customWidth="1"/>
    <col min="10887" max="10887" width="5.7109375" style="125" bestFit="1" customWidth="1"/>
    <col min="10888" max="10888" width="9.7109375" style="125" customWidth="1"/>
    <col min="10889" max="10890" width="3.7109375" style="125" customWidth="1"/>
    <col min="10891" max="10891" width="9.7109375" style="125" customWidth="1"/>
    <col min="10892" max="10893" width="3.7109375" style="125" customWidth="1"/>
    <col min="10894" max="10894" width="9.7109375" style="125" customWidth="1"/>
    <col min="10895" max="10896" width="3.7109375" style="125" customWidth="1"/>
    <col min="10897" max="10897" width="9.7109375" style="125" customWidth="1"/>
    <col min="10898" max="10899" width="3.7109375" style="125" customWidth="1"/>
    <col min="10900" max="10900" width="9.7109375" style="125" customWidth="1"/>
    <col min="10901" max="10902" width="3.7109375" style="125" customWidth="1"/>
    <col min="10903" max="10903" width="9.7109375" style="125" customWidth="1"/>
    <col min="10904" max="10905" width="3.7109375" style="125" customWidth="1"/>
    <col min="10906" max="10906" width="9.7109375" style="125" customWidth="1"/>
    <col min="10907" max="10908" width="3.7109375" style="125" customWidth="1"/>
    <col min="10909" max="10909" width="9.7109375" style="125" customWidth="1"/>
    <col min="10910" max="10911" width="3.7109375" style="125" customWidth="1"/>
    <col min="10912" max="10912" width="9.7109375" style="125" customWidth="1"/>
    <col min="10913" max="10914" width="3.7109375" style="125" customWidth="1"/>
    <col min="10915" max="10915" width="9.7109375" style="125" customWidth="1"/>
    <col min="10916" max="10917" width="3.7109375" style="125" customWidth="1"/>
    <col min="10918" max="10918" width="9.7109375" style="125" customWidth="1"/>
    <col min="10919" max="10920" width="3.7109375" style="125" customWidth="1"/>
    <col min="10921" max="10921" width="9.7109375" style="125" customWidth="1"/>
    <col min="10922" max="10923" width="3.7109375" style="125" customWidth="1"/>
    <col min="10924" max="10924" width="9.7109375" style="125" customWidth="1"/>
    <col min="10925" max="10926" width="3.7109375" style="125" customWidth="1"/>
    <col min="10927" max="10927" width="9.7109375" style="125" customWidth="1"/>
    <col min="10928" max="10929" width="3.7109375" style="125" customWidth="1"/>
    <col min="10930" max="10930" width="9.7109375" style="125" customWidth="1"/>
    <col min="10931" max="10932" width="3.7109375" style="125" customWidth="1"/>
    <col min="10933" max="10933" width="9.7109375" style="125" customWidth="1"/>
    <col min="10934" max="10935" width="3.7109375" style="125" customWidth="1"/>
    <col min="10936" max="10936" width="9.7109375" style="125" customWidth="1"/>
    <col min="10937" max="10938" width="3.7109375" style="125" customWidth="1"/>
    <col min="10939" max="10939" width="9.7109375" style="125" customWidth="1"/>
    <col min="10940" max="10941" width="3.7109375" style="125" customWidth="1"/>
    <col min="10942" max="10942" width="9.7109375" style="125" customWidth="1"/>
    <col min="10943" max="10944" width="3.7109375" style="125" customWidth="1"/>
    <col min="10945" max="10945" width="9.7109375" style="125" customWidth="1"/>
    <col min="10946" max="10947" width="3.7109375" style="125" customWidth="1"/>
    <col min="10948" max="10948" width="9.7109375" style="125" customWidth="1"/>
    <col min="10949" max="10950" width="3.7109375" style="125" customWidth="1"/>
    <col min="10951" max="10951" width="9.7109375" style="125" customWidth="1"/>
    <col min="10952" max="10953" width="3.7109375" style="125" customWidth="1"/>
    <col min="10954" max="10954" width="9.7109375" style="125" customWidth="1"/>
    <col min="10955" max="10956" width="3.7109375" style="125" customWidth="1"/>
    <col min="10957" max="10957" width="9.7109375" style="125" customWidth="1"/>
    <col min="10958" max="10959" width="3.7109375" style="125" customWidth="1"/>
    <col min="10960" max="10960" width="9.7109375" style="125" customWidth="1"/>
    <col min="10961" max="10962" width="3.7109375" style="125" customWidth="1"/>
    <col min="10963" max="10963" width="9.7109375" style="125" customWidth="1"/>
    <col min="10964" max="10965" width="3.7109375" style="125" customWidth="1"/>
    <col min="10966" max="10966" width="9.7109375" style="125" customWidth="1"/>
    <col min="10967" max="10968" width="3.7109375" style="125" customWidth="1"/>
    <col min="10969" max="10969" width="9.7109375" style="125" customWidth="1"/>
    <col min="10970" max="10971" width="3.7109375" style="125" customWidth="1"/>
    <col min="10972" max="10972" width="9.7109375" style="125" customWidth="1"/>
    <col min="10973" max="10974" width="3.7109375" style="125" customWidth="1"/>
    <col min="10975" max="10975" width="9.7109375" style="125" customWidth="1"/>
    <col min="10976" max="10977" width="3.7109375" style="125" customWidth="1"/>
    <col min="10978" max="10978" width="9.7109375" style="125" customWidth="1"/>
    <col min="10979" max="10980" width="3.7109375" style="125" customWidth="1"/>
    <col min="10981" max="10981" width="9.7109375" style="125" customWidth="1"/>
    <col min="10982" max="10983" width="3.7109375" style="125" customWidth="1"/>
    <col min="10984" max="10984" width="9.7109375" style="125" customWidth="1"/>
    <col min="10985" max="10986" width="3.7109375" style="125" customWidth="1"/>
    <col min="10987" max="10987" width="9.7109375" style="125" customWidth="1"/>
    <col min="10988" max="10989" width="3.7109375" style="125" customWidth="1"/>
    <col min="10990" max="10990" width="9.7109375" style="125" customWidth="1"/>
    <col min="10991" max="10992" width="3.7109375" style="125" customWidth="1"/>
    <col min="10993" max="10993" width="9.7109375" style="125" customWidth="1"/>
    <col min="10994" max="10995" width="3.7109375" style="125" customWidth="1"/>
    <col min="10996" max="10996" width="9.7109375" style="125" customWidth="1"/>
    <col min="10997" max="10998" width="3.7109375" style="125" customWidth="1"/>
    <col min="10999" max="10999" width="9.7109375" style="125" customWidth="1"/>
    <col min="11000" max="11001" width="3.7109375" style="125" customWidth="1"/>
    <col min="11002" max="11002" width="9.7109375" style="125" customWidth="1"/>
    <col min="11003" max="11004" width="3.7109375" style="125" customWidth="1"/>
    <col min="11005" max="11005" width="9.7109375" style="125" customWidth="1"/>
    <col min="11006" max="11006" width="3.7109375" style="125" customWidth="1"/>
    <col min="11007" max="11008" width="8" style="125"/>
    <col min="11009" max="11009" width="30.7109375" style="125" customWidth="1"/>
    <col min="11010" max="11010" width="9.7109375" style="125" customWidth="1"/>
    <col min="11011" max="11011" width="3.7109375" style="125" customWidth="1"/>
    <col min="11012" max="11012" width="9.7109375" style="125" customWidth="1"/>
    <col min="11013" max="11014" width="3.7109375" style="125" customWidth="1"/>
    <col min="11015" max="11015" width="9.7109375" style="125" customWidth="1"/>
    <col min="11016" max="11017" width="3.7109375" style="125" customWidth="1"/>
    <col min="11018" max="11018" width="9.7109375" style="125" customWidth="1"/>
    <col min="11019" max="11020" width="3.7109375" style="125" customWidth="1"/>
    <col min="11021" max="11021" width="9.7109375" style="125" customWidth="1"/>
    <col min="11022" max="11023" width="3.7109375" style="125" customWidth="1"/>
    <col min="11024" max="11024" width="9.7109375" style="125" customWidth="1"/>
    <col min="11025" max="11026" width="3.7109375" style="125" customWidth="1"/>
    <col min="11027" max="11027" width="9.7109375" style="125" customWidth="1"/>
    <col min="11028" max="11029" width="3.7109375" style="125" customWidth="1"/>
    <col min="11030" max="11030" width="9.7109375" style="125" customWidth="1"/>
    <col min="11031" max="11032" width="3.7109375" style="125" customWidth="1"/>
    <col min="11033" max="11033" width="9.7109375" style="125" customWidth="1"/>
    <col min="11034" max="11035" width="3.7109375" style="125" customWidth="1"/>
    <col min="11036" max="11036" width="9.7109375" style="125" customWidth="1"/>
    <col min="11037" max="11038" width="3.7109375" style="125" customWidth="1"/>
    <col min="11039" max="11039" width="9.7109375" style="125" customWidth="1"/>
    <col min="11040" max="11041" width="3.7109375" style="125" customWidth="1"/>
    <col min="11042" max="11042" width="9.7109375" style="125" customWidth="1"/>
    <col min="11043" max="11044" width="3.7109375" style="125" customWidth="1"/>
    <col min="11045" max="11045" width="9.7109375" style="125" customWidth="1"/>
    <col min="11046" max="11047" width="3.7109375" style="125" customWidth="1"/>
    <col min="11048" max="11048" width="9.7109375" style="125" customWidth="1"/>
    <col min="11049" max="11050" width="3.7109375" style="125" customWidth="1"/>
    <col min="11051" max="11051" width="9.7109375" style="125" customWidth="1"/>
    <col min="11052" max="11053" width="3.7109375" style="125" customWidth="1"/>
    <col min="11054" max="11054" width="9.7109375" style="125" customWidth="1"/>
    <col min="11055" max="11056" width="3.7109375" style="125" customWidth="1"/>
    <col min="11057" max="11057" width="9.7109375" style="125" customWidth="1"/>
    <col min="11058" max="11059" width="3.7109375" style="125" customWidth="1"/>
    <col min="11060" max="11060" width="9.7109375" style="125" customWidth="1"/>
    <col min="11061" max="11062" width="3.7109375" style="125" customWidth="1"/>
    <col min="11063" max="11063" width="9.7109375" style="125" customWidth="1"/>
    <col min="11064" max="11065" width="3.7109375" style="125" customWidth="1"/>
    <col min="11066" max="11066" width="9.7109375" style="125" customWidth="1"/>
    <col min="11067" max="11068" width="3.7109375" style="125" customWidth="1"/>
    <col min="11069" max="11069" width="9.7109375" style="125" customWidth="1"/>
    <col min="11070" max="11071" width="3.7109375" style="125" customWidth="1"/>
    <col min="11072" max="11072" width="9.7109375" style="125" customWidth="1"/>
    <col min="11073" max="11074" width="3.7109375" style="125" customWidth="1"/>
    <col min="11075" max="11075" width="9.7109375" style="125" customWidth="1"/>
    <col min="11076" max="11077" width="3.7109375" style="125" customWidth="1"/>
    <col min="11078" max="11078" width="9.7109375" style="125" customWidth="1"/>
    <col min="11079" max="11080" width="3.7109375" style="125" customWidth="1"/>
    <col min="11081" max="11081" width="9.7109375" style="125" customWidth="1"/>
    <col min="11082" max="11083" width="3.7109375" style="125" customWidth="1"/>
    <col min="11084" max="11084" width="9.7109375" style="125" customWidth="1"/>
    <col min="11085" max="11086" width="3.7109375" style="125" customWidth="1"/>
    <col min="11087" max="11087" width="9.7109375" style="125" customWidth="1"/>
    <col min="11088" max="11089" width="3.7109375" style="125" customWidth="1"/>
    <col min="11090" max="11090" width="9.7109375" style="125" customWidth="1"/>
    <col min="11091" max="11092" width="3.7109375" style="125" customWidth="1"/>
    <col min="11093" max="11093" width="9.7109375" style="125" customWidth="1"/>
    <col min="11094" max="11095" width="3.7109375" style="125" customWidth="1"/>
    <col min="11096" max="11096" width="9.7109375" style="125" customWidth="1"/>
    <col min="11097" max="11098" width="3.7109375" style="125" customWidth="1"/>
    <col min="11099" max="11099" width="9.7109375" style="125" customWidth="1"/>
    <col min="11100" max="11101" width="3.7109375" style="125" customWidth="1"/>
    <col min="11102" max="11102" width="9.7109375" style="125" customWidth="1"/>
    <col min="11103" max="11104" width="3.7109375" style="125" customWidth="1"/>
    <col min="11105" max="11105" width="9.7109375" style="125" customWidth="1"/>
    <col min="11106" max="11107" width="3.7109375" style="125" customWidth="1"/>
    <col min="11108" max="11108" width="9.7109375" style="125" customWidth="1"/>
    <col min="11109" max="11110" width="3.7109375" style="125" customWidth="1"/>
    <col min="11111" max="11111" width="9.7109375" style="125" customWidth="1"/>
    <col min="11112" max="11113" width="3.7109375" style="125" customWidth="1"/>
    <col min="11114" max="11114" width="9.7109375" style="125" customWidth="1"/>
    <col min="11115" max="11116" width="3.7109375" style="125" customWidth="1"/>
    <col min="11117" max="11117" width="9.7109375" style="125" customWidth="1"/>
    <col min="11118" max="11118" width="3.7109375" style="125" customWidth="1"/>
    <col min="11119" max="11119" width="5.7109375" style="125" bestFit="1" customWidth="1"/>
    <col min="11120" max="11120" width="9.7109375" style="125" customWidth="1"/>
    <col min="11121" max="11122" width="3.7109375" style="125" customWidth="1"/>
    <col min="11123" max="11123" width="9.7109375" style="125" customWidth="1"/>
    <col min="11124" max="11125" width="3.7109375" style="125" customWidth="1"/>
    <col min="11126" max="11126" width="9.7109375" style="125" customWidth="1"/>
    <col min="11127" max="11128" width="3.7109375" style="125" customWidth="1"/>
    <col min="11129" max="11129" width="9.7109375" style="125" customWidth="1"/>
    <col min="11130" max="11131" width="3.7109375" style="125" customWidth="1"/>
    <col min="11132" max="11132" width="9.7109375" style="125" customWidth="1"/>
    <col min="11133" max="11134" width="3.7109375" style="125" customWidth="1"/>
    <col min="11135" max="11135" width="9.7109375" style="125" customWidth="1"/>
    <col min="11136" max="11137" width="3.7109375" style="125" customWidth="1"/>
    <col min="11138" max="11138" width="9.7109375" style="125" customWidth="1"/>
    <col min="11139" max="11140" width="3.7109375" style="125" customWidth="1"/>
    <col min="11141" max="11141" width="9.7109375" style="125" customWidth="1"/>
    <col min="11142" max="11142" width="3.7109375" style="125" customWidth="1"/>
    <col min="11143" max="11143" width="5.7109375" style="125" bestFit="1" customWidth="1"/>
    <col min="11144" max="11144" width="9.7109375" style="125" customWidth="1"/>
    <col min="11145" max="11146" width="3.7109375" style="125" customWidth="1"/>
    <col min="11147" max="11147" width="9.7109375" style="125" customWidth="1"/>
    <col min="11148" max="11149" width="3.7109375" style="125" customWidth="1"/>
    <col min="11150" max="11150" width="9.7109375" style="125" customWidth="1"/>
    <col min="11151" max="11152" width="3.7109375" style="125" customWidth="1"/>
    <col min="11153" max="11153" width="9.7109375" style="125" customWidth="1"/>
    <col min="11154" max="11155" width="3.7109375" style="125" customWidth="1"/>
    <col min="11156" max="11156" width="9.7109375" style="125" customWidth="1"/>
    <col min="11157" max="11158" width="3.7109375" style="125" customWidth="1"/>
    <col min="11159" max="11159" width="9.7109375" style="125" customWidth="1"/>
    <col min="11160" max="11161" width="3.7109375" style="125" customWidth="1"/>
    <col min="11162" max="11162" width="9.7109375" style="125" customWidth="1"/>
    <col min="11163" max="11164" width="3.7109375" style="125" customWidth="1"/>
    <col min="11165" max="11165" width="9.7109375" style="125" customWidth="1"/>
    <col min="11166" max="11167" width="3.7109375" style="125" customWidth="1"/>
    <col min="11168" max="11168" width="9.7109375" style="125" customWidth="1"/>
    <col min="11169" max="11170" width="3.7109375" style="125" customWidth="1"/>
    <col min="11171" max="11171" width="9.7109375" style="125" customWidth="1"/>
    <col min="11172" max="11173" width="3.7109375" style="125" customWidth="1"/>
    <col min="11174" max="11174" width="9.7109375" style="125" customWidth="1"/>
    <col min="11175" max="11176" width="3.7109375" style="125" customWidth="1"/>
    <col min="11177" max="11177" width="9.7109375" style="125" customWidth="1"/>
    <col min="11178" max="11179" width="3.7109375" style="125" customWidth="1"/>
    <col min="11180" max="11180" width="9.7109375" style="125" customWidth="1"/>
    <col min="11181" max="11182" width="3.7109375" style="125" customWidth="1"/>
    <col min="11183" max="11183" width="9.7109375" style="125" customWidth="1"/>
    <col min="11184" max="11185" width="3.7109375" style="125" customWidth="1"/>
    <col min="11186" max="11186" width="9.7109375" style="125" customWidth="1"/>
    <col min="11187" max="11188" width="3.7109375" style="125" customWidth="1"/>
    <col min="11189" max="11189" width="9.7109375" style="125" customWidth="1"/>
    <col min="11190" max="11191" width="3.7109375" style="125" customWidth="1"/>
    <col min="11192" max="11192" width="9.7109375" style="125" customWidth="1"/>
    <col min="11193" max="11194" width="3.7109375" style="125" customWidth="1"/>
    <col min="11195" max="11195" width="9.7109375" style="125" customWidth="1"/>
    <col min="11196" max="11197" width="3.7109375" style="125" customWidth="1"/>
    <col min="11198" max="11198" width="9.7109375" style="125" customWidth="1"/>
    <col min="11199" max="11200" width="3.7109375" style="125" customWidth="1"/>
    <col min="11201" max="11201" width="9.7109375" style="125" customWidth="1"/>
    <col min="11202" max="11203" width="3.7109375" style="125" customWidth="1"/>
    <col min="11204" max="11204" width="9.7109375" style="125" customWidth="1"/>
    <col min="11205" max="11206" width="3.7109375" style="125" customWidth="1"/>
    <col min="11207" max="11207" width="9.7109375" style="125" customWidth="1"/>
    <col min="11208" max="11209" width="3.7109375" style="125" customWidth="1"/>
    <col min="11210" max="11210" width="9.7109375" style="125" customWidth="1"/>
    <col min="11211" max="11212" width="3.7109375" style="125" customWidth="1"/>
    <col min="11213" max="11213" width="9.7109375" style="125" customWidth="1"/>
    <col min="11214" max="11215" width="3.7109375" style="125" customWidth="1"/>
    <col min="11216" max="11216" width="9.7109375" style="125" customWidth="1"/>
    <col min="11217" max="11218" width="3.7109375" style="125" customWidth="1"/>
    <col min="11219" max="11219" width="9.7109375" style="125" customWidth="1"/>
    <col min="11220" max="11221" width="3.7109375" style="125" customWidth="1"/>
    <col min="11222" max="11222" width="9.7109375" style="125" customWidth="1"/>
    <col min="11223" max="11224" width="3.7109375" style="125" customWidth="1"/>
    <col min="11225" max="11225" width="9.7109375" style="125" customWidth="1"/>
    <col min="11226" max="11227" width="3.7109375" style="125" customWidth="1"/>
    <col min="11228" max="11228" width="9.7109375" style="125" customWidth="1"/>
    <col min="11229" max="11230" width="3.7109375" style="125" customWidth="1"/>
    <col min="11231" max="11231" width="9.7109375" style="125" customWidth="1"/>
    <col min="11232" max="11233" width="3.7109375" style="125" customWidth="1"/>
    <col min="11234" max="11234" width="9.7109375" style="125" customWidth="1"/>
    <col min="11235" max="11236" width="3.7109375" style="125" customWidth="1"/>
    <col min="11237" max="11237" width="9.7109375" style="125" customWidth="1"/>
    <col min="11238" max="11239" width="3.7109375" style="125" customWidth="1"/>
    <col min="11240" max="11240" width="9.7109375" style="125" customWidth="1"/>
    <col min="11241" max="11242" width="3.7109375" style="125" customWidth="1"/>
    <col min="11243" max="11243" width="9.7109375" style="125" customWidth="1"/>
    <col min="11244" max="11245" width="3.7109375" style="125" customWidth="1"/>
    <col min="11246" max="11246" width="9.7109375" style="125" customWidth="1"/>
    <col min="11247" max="11248" width="3.7109375" style="125" customWidth="1"/>
    <col min="11249" max="11249" width="9.7109375" style="125" customWidth="1"/>
    <col min="11250" max="11251" width="3.7109375" style="125" customWidth="1"/>
    <col min="11252" max="11252" width="9.7109375" style="125" customWidth="1"/>
    <col min="11253" max="11254" width="3.7109375" style="125" customWidth="1"/>
    <col min="11255" max="11255" width="9.7109375" style="125" customWidth="1"/>
    <col min="11256" max="11257" width="3.7109375" style="125" customWidth="1"/>
    <col min="11258" max="11258" width="9.7109375" style="125" customWidth="1"/>
    <col min="11259" max="11260" width="3.7109375" style="125" customWidth="1"/>
    <col min="11261" max="11261" width="9.7109375" style="125" customWidth="1"/>
    <col min="11262" max="11262" width="3.7109375" style="125" customWidth="1"/>
    <col min="11263" max="11264" width="8" style="125"/>
    <col min="11265" max="11265" width="30.7109375" style="125" customWidth="1"/>
    <col min="11266" max="11266" width="9.7109375" style="125" customWidth="1"/>
    <col min="11267" max="11267" width="3.7109375" style="125" customWidth="1"/>
    <col min="11268" max="11268" width="9.7109375" style="125" customWidth="1"/>
    <col min="11269" max="11270" width="3.7109375" style="125" customWidth="1"/>
    <col min="11271" max="11271" width="9.7109375" style="125" customWidth="1"/>
    <col min="11272" max="11273" width="3.7109375" style="125" customWidth="1"/>
    <col min="11274" max="11274" width="9.7109375" style="125" customWidth="1"/>
    <col min="11275" max="11276" width="3.7109375" style="125" customWidth="1"/>
    <col min="11277" max="11277" width="9.7109375" style="125" customWidth="1"/>
    <col min="11278" max="11279" width="3.7109375" style="125" customWidth="1"/>
    <col min="11280" max="11280" width="9.7109375" style="125" customWidth="1"/>
    <col min="11281" max="11282" width="3.7109375" style="125" customWidth="1"/>
    <col min="11283" max="11283" width="9.7109375" style="125" customWidth="1"/>
    <col min="11284" max="11285" width="3.7109375" style="125" customWidth="1"/>
    <col min="11286" max="11286" width="9.7109375" style="125" customWidth="1"/>
    <col min="11287" max="11288" width="3.7109375" style="125" customWidth="1"/>
    <col min="11289" max="11289" width="9.7109375" style="125" customWidth="1"/>
    <col min="11290" max="11291" width="3.7109375" style="125" customWidth="1"/>
    <col min="11292" max="11292" width="9.7109375" style="125" customWidth="1"/>
    <col min="11293" max="11294" width="3.7109375" style="125" customWidth="1"/>
    <col min="11295" max="11295" width="9.7109375" style="125" customWidth="1"/>
    <col min="11296" max="11297" width="3.7109375" style="125" customWidth="1"/>
    <col min="11298" max="11298" width="9.7109375" style="125" customWidth="1"/>
    <col min="11299" max="11300" width="3.7109375" style="125" customWidth="1"/>
    <col min="11301" max="11301" width="9.7109375" style="125" customWidth="1"/>
    <col min="11302" max="11303" width="3.7109375" style="125" customWidth="1"/>
    <col min="11304" max="11304" width="9.7109375" style="125" customWidth="1"/>
    <col min="11305" max="11306" width="3.7109375" style="125" customWidth="1"/>
    <col min="11307" max="11307" width="9.7109375" style="125" customWidth="1"/>
    <col min="11308" max="11309" width="3.7109375" style="125" customWidth="1"/>
    <col min="11310" max="11310" width="9.7109375" style="125" customWidth="1"/>
    <col min="11311" max="11312" width="3.7109375" style="125" customWidth="1"/>
    <col min="11313" max="11313" width="9.7109375" style="125" customWidth="1"/>
    <col min="11314" max="11315" width="3.7109375" style="125" customWidth="1"/>
    <col min="11316" max="11316" width="9.7109375" style="125" customWidth="1"/>
    <col min="11317" max="11318" width="3.7109375" style="125" customWidth="1"/>
    <col min="11319" max="11319" width="9.7109375" style="125" customWidth="1"/>
    <col min="11320" max="11321" width="3.7109375" style="125" customWidth="1"/>
    <col min="11322" max="11322" width="9.7109375" style="125" customWidth="1"/>
    <col min="11323" max="11324" width="3.7109375" style="125" customWidth="1"/>
    <col min="11325" max="11325" width="9.7109375" style="125" customWidth="1"/>
    <col min="11326" max="11327" width="3.7109375" style="125" customWidth="1"/>
    <col min="11328" max="11328" width="9.7109375" style="125" customWidth="1"/>
    <col min="11329" max="11330" width="3.7109375" style="125" customWidth="1"/>
    <col min="11331" max="11331" width="9.7109375" style="125" customWidth="1"/>
    <col min="11332" max="11333" width="3.7109375" style="125" customWidth="1"/>
    <col min="11334" max="11334" width="9.7109375" style="125" customWidth="1"/>
    <col min="11335" max="11336" width="3.7109375" style="125" customWidth="1"/>
    <col min="11337" max="11337" width="9.7109375" style="125" customWidth="1"/>
    <col min="11338" max="11339" width="3.7109375" style="125" customWidth="1"/>
    <col min="11340" max="11340" width="9.7109375" style="125" customWidth="1"/>
    <col min="11341" max="11342" width="3.7109375" style="125" customWidth="1"/>
    <col min="11343" max="11343" width="9.7109375" style="125" customWidth="1"/>
    <col min="11344" max="11345" width="3.7109375" style="125" customWidth="1"/>
    <col min="11346" max="11346" width="9.7109375" style="125" customWidth="1"/>
    <col min="11347" max="11348" width="3.7109375" style="125" customWidth="1"/>
    <col min="11349" max="11349" width="9.7109375" style="125" customWidth="1"/>
    <col min="11350" max="11351" width="3.7109375" style="125" customWidth="1"/>
    <col min="11352" max="11352" width="9.7109375" style="125" customWidth="1"/>
    <col min="11353" max="11354" width="3.7109375" style="125" customWidth="1"/>
    <col min="11355" max="11355" width="9.7109375" style="125" customWidth="1"/>
    <col min="11356" max="11357" width="3.7109375" style="125" customWidth="1"/>
    <col min="11358" max="11358" width="9.7109375" style="125" customWidth="1"/>
    <col min="11359" max="11360" width="3.7109375" style="125" customWidth="1"/>
    <col min="11361" max="11361" width="9.7109375" style="125" customWidth="1"/>
    <col min="11362" max="11363" width="3.7109375" style="125" customWidth="1"/>
    <col min="11364" max="11364" width="9.7109375" style="125" customWidth="1"/>
    <col min="11365" max="11366" width="3.7109375" style="125" customWidth="1"/>
    <col min="11367" max="11367" width="9.7109375" style="125" customWidth="1"/>
    <col min="11368" max="11369" width="3.7109375" style="125" customWidth="1"/>
    <col min="11370" max="11370" width="9.7109375" style="125" customWidth="1"/>
    <col min="11371" max="11372" width="3.7109375" style="125" customWidth="1"/>
    <col min="11373" max="11373" width="9.7109375" style="125" customWidth="1"/>
    <col min="11374" max="11374" width="3.7109375" style="125" customWidth="1"/>
    <col min="11375" max="11375" width="5.7109375" style="125" bestFit="1" customWidth="1"/>
    <col min="11376" max="11376" width="9.7109375" style="125" customWidth="1"/>
    <col min="11377" max="11378" width="3.7109375" style="125" customWidth="1"/>
    <col min="11379" max="11379" width="9.7109375" style="125" customWidth="1"/>
    <col min="11380" max="11381" width="3.7109375" style="125" customWidth="1"/>
    <col min="11382" max="11382" width="9.7109375" style="125" customWidth="1"/>
    <col min="11383" max="11384" width="3.7109375" style="125" customWidth="1"/>
    <col min="11385" max="11385" width="9.7109375" style="125" customWidth="1"/>
    <col min="11386" max="11387" width="3.7109375" style="125" customWidth="1"/>
    <col min="11388" max="11388" width="9.7109375" style="125" customWidth="1"/>
    <col min="11389" max="11390" width="3.7109375" style="125" customWidth="1"/>
    <col min="11391" max="11391" width="9.7109375" style="125" customWidth="1"/>
    <col min="11392" max="11393" width="3.7109375" style="125" customWidth="1"/>
    <col min="11394" max="11394" width="9.7109375" style="125" customWidth="1"/>
    <col min="11395" max="11396" width="3.7109375" style="125" customWidth="1"/>
    <col min="11397" max="11397" width="9.7109375" style="125" customWidth="1"/>
    <col min="11398" max="11398" width="3.7109375" style="125" customWidth="1"/>
    <col min="11399" max="11399" width="5.7109375" style="125" bestFit="1" customWidth="1"/>
    <col min="11400" max="11400" width="9.7109375" style="125" customWidth="1"/>
    <col min="11401" max="11402" width="3.7109375" style="125" customWidth="1"/>
    <col min="11403" max="11403" width="9.7109375" style="125" customWidth="1"/>
    <col min="11404" max="11405" width="3.7109375" style="125" customWidth="1"/>
    <col min="11406" max="11406" width="9.7109375" style="125" customWidth="1"/>
    <col min="11407" max="11408" width="3.7109375" style="125" customWidth="1"/>
    <col min="11409" max="11409" width="9.7109375" style="125" customWidth="1"/>
    <col min="11410" max="11411" width="3.7109375" style="125" customWidth="1"/>
    <col min="11412" max="11412" width="9.7109375" style="125" customWidth="1"/>
    <col min="11413" max="11414" width="3.7109375" style="125" customWidth="1"/>
    <col min="11415" max="11415" width="9.7109375" style="125" customWidth="1"/>
    <col min="11416" max="11417" width="3.7109375" style="125" customWidth="1"/>
    <col min="11418" max="11418" width="9.7109375" style="125" customWidth="1"/>
    <col min="11419" max="11420" width="3.7109375" style="125" customWidth="1"/>
    <col min="11421" max="11421" width="9.7109375" style="125" customWidth="1"/>
    <col min="11422" max="11423" width="3.7109375" style="125" customWidth="1"/>
    <col min="11424" max="11424" width="9.7109375" style="125" customWidth="1"/>
    <col min="11425" max="11426" width="3.7109375" style="125" customWidth="1"/>
    <col min="11427" max="11427" width="9.7109375" style="125" customWidth="1"/>
    <col min="11428" max="11429" width="3.7109375" style="125" customWidth="1"/>
    <col min="11430" max="11430" width="9.7109375" style="125" customWidth="1"/>
    <col min="11431" max="11432" width="3.7109375" style="125" customWidth="1"/>
    <col min="11433" max="11433" width="9.7109375" style="125" customWidth="1"/>
    <col min="11434" max="11435" width="3.7109375" style="125" customWidth="1"/>
    <col min="11436" max="11436" width="9.7109375" style="125" customWidth="1"/>
    <col min="11437" max="11438" width="3.7109375" style="125" customWidth="1"/>
    <col min="11439" max="11439" width="9.7109375" style="125" customWidth="1"/>
    <col min="11440" max="11441" width="3.7109375" style="125" customWidth="1"/>
    <col min="11442" max="11442" width="9.7109375" style="125" customWidth="1"/>
    <col min="11443" max="11444" width="3.7109375" style="125" customWidth="1"/>
    <col min="11445" max="11445" width="9.7109375" style="125" customWidth="1"/>
    <col min="11446" max="11447" width="3.7109375" style="125" customWidth="1"/>
    <col min="11448" max="11448" width="9.7109375" style="125" customWidth="1"/>
    <col min="11449" max="11450" width="3.7109375" style="125" customWidth="1"/>
    <col min="11451" max="11451" width="9.7109375" style="125" customWidth="1"/>
    <col min="11452" max="11453" width="3.7109375" style="125" customWidth="1"/>
    <col min="11454" max="11454" width="9.7109375" style="125" customWidth="1"/>
    <col min="11455" max="11456" width="3.7109375" style="125" customWidth="1"/>
    <col min="11457" max="11457" width="9.7109375" style="125" customWidth="1"/>
    <col min="11458" max="11459" width="3.7109375" style="125" customWidth="1"/>
    <col min="11460" max="11460" width="9.7109375" style="125" customWidth="1"/>
    <col min="11461" max="11462" width="3.7109375" style="125" customWidth="1"/>
    <col min="11463" max="11463" width="9.7109375" style="125" customWidth="1"/>
    <col min="11464" max="11465" width="3.7109375" style="125" customWidth="1"/>
    <col min="11466" max="11466" width="9.7109375" style="125" customWidth="1"/>
    <col min="11467" max="11468" width="3.7109375" style="125" customWidth="1"/>
    <col min="11469" max="11469" width="9.7109375" style="125" customWidth="1"/>
    <col min="11470" max="11471" width="3.7109375" style="125" customWidth="1"/>
    <col min="11472" max="11472" width="9.7109375" style="125" customWidth="1"/>
    <col min="11473" max="11474" width="3.7109375" style="125" customWidth="1"/>
    <col min="11475" max="11475" width="9.7109375" style="125" customWidth="1"/>
    <col min="11476" max="11477" width="3.7109375" style="125" customWidth="1"/>
    <col min="11478" max="11478" width="9.7109375" style="125" customWidth="1"/>
    <col min="11479" max="11480" width="3.7109375" style="125" customWidth="1"/>
    <col min="11481" max="11481" width="9.7109375" style="125" customWidth="1"/>
    <col min="11482" max="11483" width="3.7109375" style="125" customWidth="1"/>
    <col min="11484" max="11484" width="9.7109375" style="125" customWidth="1"/>
    <col min="11485" max="11486" width="3.7109375" style="125" customWidth="1"/>
    <col min="11487" max="11487" width="9.7109375" style="125" customWidth="1"/>
    <col min="11488" max="11489" width="3.7109375" style="125" customWidth="1"/>
    <col min="11490" max="11490" width="9.7109375" style="125" customWidth="1"/>
    <col min="11491" max="11492" width="3.7109375" style="125" customWidth="1"/>
    <col min="11493" max="11493" width="9.7109375" style="125" customWidth="1"/>
    <col min="11494" max="11495" width="3.7109375" style="125" customWidth="1"/>
    <col min="11496" max="11496" width="9.7109375" style="125" customWidth="1"/>
    <col min="11497" max="11498" width="3.7109375" style="125" customWidth="1"/>
    <col min="11499" max="11499" width="9.7109375" style="125" customWidth="1"/>
    <col min="11500" max="11501" width="3.7109375" style="125" customWidth="1"/>
    <col min="11502" max="11502" width="9.7109375" style="125" customWidth="1"/>
    <col min="11503" max="11504" width="3.7109375" style="125" customWidth="1"/>
    <col min="11505" max="11505" width="9.7109375" style="125" customWidth="1"/>
    <col min="11506" max="11507" width="3.7109375" style="125" customWidth="1"/>
    <col min="11508" max="11508" width="9.7109375" style="125" customWidth="1"/>
    <col min="11509" max="11510" width="3.7109375" style="125" customWidth="1"/>
    <col min="11511" max="11511" width="9.7109375" style="125" customWidth="1"/>
    <col min="11512" max="11513" width="3.7109375" style="125" customWidth="1"/>
    <col min="11514" max="11514" width="9.7109375" style="125" customWidth="1"/>
    <col min="11515" max="11516" width="3.7109375" style="125" customWidth="1"/>
    <col min="11517" max="11517" width="9.7109375" style="125" customWidth="1"/>
    <col min="11518" max="11518" width="3.7109375" style="125" customWidth="1"/>
    <col min="11519" max="11520" width="8" style="125"/>
    <col min="11521" max="11521" width="30.7109375" style="125" customWidth="1"/>
    <col min="11522" max="11522" width="9.7109375" style="125" customWidth="1"/>
    <col min="11523" max="11523" width="3.7109375" style="125" customWidth="1"/>
    <col min="11524" max="11524" width="9.7109375" style="125" customWidth="1"/>
    <col min="11525" max="11526" width="3.7109375" style="125" customWidth="1"/>
    <col min="11527" max="11527" width="9.7109375" style="125" customWidth="1"/>
    <col min="11528" max="11529" width="3.7109375" style="125" customWidth="1"/>
    <col min="11530" max="11530" width="9.7109375" style="125" customWidth="1"/>
    <col min="11531" max="11532" width="3.7109375" style="125" customWidth="1"/>
    <col min="11533" max="11533" width="9.7109375" style="125" customWidth="1"/>
    <col min="11534" max="11535" width="3.7109375" style="125" customWidth="1"/>
    <col min="11536" max="11536" width="9.7109375" style="125" customWidth="1"/>
    <col min="11537" max="11538" width="3.7109375" style="125" customWidth="1"/>
    <col min="11539" max="11539" width="9.7109375" style="125" customWidth="1"/>
    <col min="11540" max="11541" width="3.7109375" style="125" customWidth="1"/>
    <col min="11542" max="11542" width="9.7109375" style="125" customWidth="1"/>
    <col min="11543" max="11544" width="3.7109375" style="125" customWidth="1"/>
    <col min="11545" max="11545" width="9.7109375" style="125" customWidth="1"/>
    <col min="11546" max="11547" width="3.7109375" style="125" customWidth="1"/>
    <col min="11548" max="11548" width="9.7109375" style="125" customWidth="1"/>
    <col min="11549" max="11550" width="3.7109375" style="125" customWidth="1"/>
    <col min="11551" max="11551" width="9.7109375" style="125" customWidth="1"/>
    <col min="11552" max="11553" width="3.7109375" style="125" customWidth="1"/>
    <col min="11554" max="11554" width="9.7109375" style="125" customWidth="1"/>
    <col min="11555" max="11556" width="3.7109375" style="125" customWidth="1"/>
    <col min="11557" max="11557" width="9.7109375" style="125" customWidth="1"/>
    <col min="11558" max="11559" width="3.7109375" style="125" customWidth="1"/>
    <col min="11560" max="11560" width="9.7109375" style="125" customWidth="1"/>
    <col min="11561" max="11562" width="3.7109375" style="125" customWidth="1"/>
    <col min="11563" max="11563" width="9.7109375" style="125" customWidth="1"/>
    <col min="11564" max="11565" width="3.7109375" style="125" customWidth="1"/>
    <col min="11566" max="11566" width="9.7109375" style="125" customWidth="1"/>
    <col min="11567" max="11568" width="3.7109375" style="125" customWidth="1"/>
    <col min="11569" max="11569" width="9.7109375" style="125" customWidth="1"/>
    <col min="11570" max="11571" width="3.7109375" style="125" customWidth="1"/>
    <col min="11572" max="11572" width="9.7109375" style="125" customWidth="1"/>
    <col min="11573" max="11574" width="3.7109375" style="125" customWidth="1"/>
    <col min="11575" max="11575" width="9.7109375" style="125" customWidth="1"/>
    <col min="11576" max="11577" width="3.7109375" style="125" customWidth="1"/>
    <col min="11578" max="11578" width="9.7109375" style="125" customWidth="1"/>
    <col min="11579" max="11580" width="3.7109375" style="125" customWidth="1"/>
    <col min="11581" max="11581" width="9.7109375" style="125" customWidth="1"/>
    <col min="11582" max="11583" width="3.7109375" style="125" customWidth="1"/>
    <col min="11584" max="11584" width="9.7109375" style="125" customWidth="1"/>
    <col min="11585" max="11586" width="3.7109375" style="125" customWidth="1"/>
    <col min="11587" max="11587" width="9.7109375" style="125" customWidth="1"/>
    <col min="11588" max="11589" width="3.7109375" style="125" customWidth="1"/>
    <col min="11590" max="11590" width="9.7109375" style="125" customWidth="1"/>
    <col min="11591" max="11592" width="3.7109375" style="125" customWidth="1"/>
    <col min="11593" max="11593" width="9.7109375" style="125" customWidth="1"/>
    <col min="11594" max="11595" width="3.7109375" style="125" customWidth="1"/>
    <col min="11596" max="11596" width="9.7109375" style="125" customWidth="1"/>
    <col min="11597" max="11598" width="3.7109375" style="125" customWidth="1"/>
    <col min="11599" max="11599" width="9.7109375" style="125" customWidth="1"/>
    <col min="11600" max="11601" width="3.7109375" style="125" customWidth="1"/>
    <col min="11602" max="11602" width="9.7109375" style="125" customWidth="1"/>
    <col min="11603" max="11604" width="3.7109375" style="125" customWidth="1"/>
    <col min="11605" max="11605" width="9.7109375" style="125" customWidth="1"/>
    <col min="11606" max="11607" width="3.7109375" style="125" customWidth="1"/>
    <col min="11608" max="11608" width="9.7109375" style="125" customWidth="1"/>
    <col min="11609" max="11610" width="3.7109375" style="125" customWidth="1"/>
    <col min="11611" max="11611" width="9.7109375" style="125" customWidth="1"/>
    <col min="11612" max="11613" width="3.7109375" style="125" customWidth="1"/>
    <col min="11614" max="11614" width="9.7109375" style="125" customWidth="1"/>
    <col min="11615" max="11616" width="3.7109375" style="125" customWidth="1"/>
    <col min="11617" max="11617" width="9.7109375" style="125" customWidth="1"/>
    <col min="11618" max="11619" width="3.7109375" style="125" customWidth="1"/>
    <col min="11620" max="11620" width="9.7109375" style="125" customWidth="1"/>
    <col min="11621" max="11622" width="3.7109375" style="125" customWidth="1"/>
    <col min="11623" max="11623" width="9.7109375" style="125" customWidth="1"/>
    <col min="11624" max="11625" width="3.7109375" style="125" customWidth="1"/>
    <col min="11626" max="11626" width="9.7109375" style="125" customWidth="1"/>
    <col min="11627" max="11628" width="3.7109375" style="125" customWidth="1"/>
    <col min="11629" max="11629" width="9.7109375" style="125" customWidth="1"/>
    <col min="11630" max="11630" width="3.7109375" style="125" customWidth="1"/>
    <col min="11631" max="11631" width="5.7109375" style="125" bestFit="1" customWidth="1"/>
    <col min="11632" max="11632" width="9.7109375" style="125" customWidth="1"/>
    <col min="11633" max="11634" width="3.7109375" style="125" customWidth="1"/>
    <col min="11635" max="11635" width="9.7109375" style="125" customWidth="1"/>
    <col min="11636" max="11637" width="3.7109375" style="125" customWidth="1"/>
    <col min="11638" max="11638" width="9.7109375" style="125" customWidth="1"/>
    <col min="11639" max="11640" width="3.7109375" style="125" customWidth="1"/>
    <col min="11641" max="11641" width="9.7109375" style="125" customWidth="1"/>
    <col min="11642" max="11643" width="3.7109375" style="125" customWidth="1"/>
    <col min="11644" max="11644" width="9.7109375" style="125" customWidth="1"/>
    <col min="11645" max="11646" width="3.7109375" style="125" customWidth="1"/>
    <col min="11647" max="11647" width="9.7109375" style="125" customWidth="1"/>
    <col min="11648" max="11649" width="3.7109375" style="125" customWidth="1"/>
    <col min="11650" max="11650" width="9.7109375" style="125" customWidth="1"/>
    <col min="11651" max="11652" width="3.7109375" style="125" customWidth="1"/>
    <col min="11653" max="11653" width="9.7109375" style="125" customWidth="1"/>
    <col min="11654" max="11654" width="3.7109375" style="125" customWidth="1"/>
    <col min="11655" max="11655" width="5.7109375" style="125" bestFit="1" customWidth="1"/>
    <col min="11656" max="11656" width="9.7109375" style="125" customWidth="1"/>
    <col min="11657" max="11658" width="3.7109375" style="125" customWidth="1"/>
    <col min="11659" max="11659" width="9.7109375" style="125" customWidth="1"/>
    <col min="11660" max="11661" width="3.7109375" style="125" customWidth="1"/>
    <col min="11662" max="11662" width="9.7109375" style="125" customWidth="1"/>
    <col min="11663" max="11664" width="3.7109375" style="125" customWidth="1"/>
    <col min="11665" max="11665" width="9.7109375" style="125" customWidth="1"/>
    <col min="11666" max="11667" width="3.7109375" style="125" customWidth="1"/>
    <col min="11668" max="11668" width="9.7109375" style="125" customWidth="1"/>
    <col min="11669" max="11670" width="3.7109375" style="125" customWidth="1"/>
    <col min="11671" max="11671" width="9.7109375" style="125" customWidth="1"/>
    <col min="11672" max="11673" width="3.7109375" style="125" customWidth="1"/>
    <col min="11674" max="11674" width="9.7109375" style="125" customWidth="1"/>
    <col min="11675" max="11676" width="3.7109375" style="125" customWidth="1"/>
    <col min="11677" max="11677" width="9.7109375" style="125" customWidth="1"/>
    <col min="11678" max="11679" width="3.7109375" style="125" customWidth="1"/>
    <col min="11680" max="11680" width="9.7109375" style="125" customWidth="1"/>
    <col min="11681" max="11682" width="3.7109375" style="125" customWidth="1"/>
    <col min="11683" max="11683" width="9.7109375" style="125" customWidth="1"/>
    <col min="11684" max="11685" width="3.7109375" style="125" customWidth="1"/>
    <col min="11686" max="11686" width="9.7109375" style="125" customWidth="1"/>
    <col min="11687" max="11688" width="3.7109375" style="125" customWidth="1"/>
    <col min="11689" max="11689" width="9.7109375" style="125" customWidth="1"/>
    <col min="11690" max="11691" width="3.7109375" style="125" customWidth="1"/>
    <col min="11692" max="11692" width="9.7109375" style="125" customWidth="1"/>
    <col min="11693" max="11694" width="3.7109375" style="125" customWidth="1"/>
    <col min="11695" max="11695" width="9.7109375" style="125" customWidth="1"/>
    <col min="11696" max="11697" width="3.7109375" style="125" customWidth="1"/>
    <col min="11698" max="11698" width="9.7109375" style="125" customWidth="1"/>
    <col min="11699" max="11700" width="3.7109375" style="125" customWidth="1"/>
    <col min="11701" max="11701" width="9.7109375" style="125" customWidth="1"/>
    <col min="11702" max="11703" width="3.7109375" style="125" customWidth="1"/>
    <col min="11704" max="11704" width="9.7109375" style="125" customWidth="1"/>
    <col min="11705" max="11706" width="3.7109375" style="125" customWidth="1"/>
    <col min="11707" max="11707" width="9.7109375" style="125" customWidth="1"/>
    <col min="11708" max="11709" width="3.7109375" style="125" customWidth="1"/>
    <col min="11710" max="11710" width="9.7109375" style="125" customWidth="1"/>
    <col min="11711" max="11712" width="3.7109375" style="125" customWidth="1"/>
    <col min="11713" max="11713" width="9.7109375" style="125" customWidth="1"/>
    <col min="11714" max="11715" width="3.7109375" style="125" customWidth="1"/>
    <col min="11716" max="11716" width="9.7109375" style="125" customWidth="1"/>
    <col min="11717" max="11718" width="3.7109375" style="125" customWidth="1"/>
    <col min="11719" max="11719" width="9.7109375" style="125" customWidth="1"/>
    <col min="11720" max="11721" width="3.7109375" style="125" customWidth="1"/>
    <col min="11722" max="11722" width="9.7109375" style="125" customWidth="1"/>
    <col min="11723" max="11724" width="3.7109375" style="125" customWidth="1"/>
    <col min="11725" max="11725" width="9.7109375" style="125" customWidth="1"/>
    <col min="11726" max="11727" width="3.7109375" style="125" customWidth="1"/>
    <col min="11728" max="11728" width="9.7109375" style="125" customWidth="1"/>
    <col min="11729" max="11730" width="3.7109375" style="125" customWidth="1"/>
    <col min="11731" max="11731" width="9.7109375" style="125" customWidth="1"/>
    <col min="11732" max="11733" width="3.7109375" style="125" customWidth="1"/>
    <col min="11734" max="11734" width="9.7109375" style="125" customWidth="1"/>
    <col min="11735" max="11736" width="3.7109375" style="125" customWidth="1"/>
    <col min="11737" max="11737" width="9.7109375" style="125" customWidth="1"/>
    <col min="11738" max="11739" width="3.7109375" style="125" customWidth="1"/>
    <col min="11740" max="11740" width="9.7109375" style="125" customWidth="1"/>
    <col min="11741" max="11742" width="3.7109375" style="125" customWidth="1"/>
    <col min="11743" max="11743" width="9.7109375" style="125" customWidth="1"/>
    <col min="11744" max="11745" width="3.7109375" style="125" customWidth="1"/>
    <col min="11746" max="11746" width="9.7109375" style="125" customWidth="1"/>
    <col min="11747" max="11748" width="3.7109375" style="125" customWidth="1"/>
    <col min="11749" max="11749" width="9.7109375" style="125" customWidth="1"/>
    <col min="11750" max="11751" width="3.7109375" style="125" customWidth="1"/>
    <col min="11752" max="11752" width="9.7109375" style="125" customWidth="1"/>
    <col min="11753" max="11754" width="3.7109375" style="125" customWidth="1"/>
    <col min="11755" max="11755" width="9.7109375" style="125" customWidth="1"/>
    <col min="11756" max="11757" width="3.7109375" style="125" customWidth="1"/>
    <col min="11758" max="11758" width="9.7109375" style="125" customWidth="1"/>
    <col min="11759" max="11760" width="3.7109375" style="125" customWidth="1"/>
    <col min="11761" max="11761" width="9.7109375" style="125" customWidth="1"/>
    <col min="11762" max="11763" width="3.7109375" style="125" customWidth="1"/>
    <col min="11764" max="11764" width="9.7109375" style="125" customWidth="1"/>
    <col min="11765" max="11766" width="3.7109375" style="125" customWidth="1"/>
    <col min="11767" max="11767" width="9.7109375" style="125" customWidth="1"/>
    <col min="11768" max="11769" width="3.7109375" style="125" customWidth="1"/>
    <col min="11770" max="11770" width="9.7109375" style="125" customWidth="1"/>
    <col min="11771" max="11772" width="3.7109375" style="125" customWidth="1"/>
    <col min="11773" max="11773" width="9.7109375" style="125" customWidth="1"/>
    <col min="11774" max="11774" width="3.7109375" style="125" customWidth="1"/>
    <col min="11775" max="11776" width="8" style="125"/>
    <col min="11777" max="11777" width="30.7109375" style="125" customWidth="1"/>
    <col min="11778" max="11778" width="9.7109375" style="125" customWidth="1"/>
    <col min="11779" max="11779" width="3.7109375" style="125" customWidth="1"/>
    <col min="11780" max="11780" width="9.7109375" style="125" customWidth="1"/>
    <col min="11781" max="11782" width="3.7109375" style="125" customWidth="1"/>
    <col min="11783" max="11783" width="9.7109375" style="125" customWidth="1"/>
    <col min="11784" max="11785" width="3.7109375" style="125" customWidth="1"/>
    <col min="11786" max="11786" width="9.7109375" style="125" customWidth="1"/>
    <col min="11787" max="11788" width="3.7109375" style="125" customWidth="1"/>
    <col min="11789" max="11789" width="9.7109375" style="125" customWidth="1"/>
    <col min="11790" max="11791" width="3.7109375" style="125" customWidth="1"/>
    <col min="11792" max="11792" width="9.7109375" style="125" customWidth="1"/>
    <col min="11793" max="11794" width="3.7109375" style="125" customWidth="1"/>
    <col min="11795" max="11795" width="9.7109375" style="125" customWidth="1"/>
    <col min="11796" max="11797" width="3.7109375" style="125" customWidth="1"/>
    <col min="11798" max="11798" width="9.7109375" style="125" customWidth="1"/>
    <col min="11799" max="11800" width="3.7109375" style="125" customWidth="1"/>
    <col min="11801" max="11801" width="9.7109375" style="125" customWidth="1"/>
    <col min="11802" max="11803" width="3.7109375" style="125" customWidth="1"/>
    <col min="11804" max="11804" width="9.7109375" style="125" customWidth="1"/>
    <col min="11805" max="11806" width="3.7109375" style="125" customWidth="1"/>
    <col min="11807" max="11807" width="9.7109375" style="125" customWidth="1"/>
    <col min="11808" max="11809" width="3.7109375" style="125" customWidth="1"/>
    <col min="11810" max="11810" width="9.7109375" style="125" customWidth="1"/>
    <col min="11811" max="11812" width="3.7109375" style="125" customWidth="1"/>
    <col min="11813" max="11813" width="9.7109375" style="125" customWidth="1"/>
    <col min="11814" max="11815" width="3.7109375" style="125" customWidth="1"/>
    <col min="11816" max="11816" width="9.7109375" style="125" customWidth="1"/>
    <col min="11817" max="11818" width="3.7109375" style="125" customWidth="1"/>
    <col min="11819" max="11819" width="9.7109375" style="125" customWidth="1"/>
    <col min="11820" max="11821" width="3.7109375" style="125" customWidth="1"/>
    <col min="11822" max="11822" width="9.7109375" style="125" customWidth="1"/>
    <col min="11823" max="11824" width="3.7109375" style="125" customWidth="1"/>
    <col min="11825" max="11825" width="9.7109375" style="125" customWidth="1"/>
    <col min="11826" max="11827" width="3.7109375" style="125" customWidth="1"/>
    <col min="11828" max="11828" width="9.7109375" style="125" customWidth="1"/>
    <col min="11829" max="11830" width="3.7109375" style="125" customWidth="1"/>
    <col min="11831" max="11831" width="9.7109375" style="125" customWidth="1"/>
    <col min="11832" max="11833" width="3.7109375" style="125" customWidth="1"/>
    <col min="11834" max="11834" width="9.7109375" style="125" customWidth="1"/>
    <col min="11835" max="11836" width="3.7109375" style="125" customWidth="1"/>
    <col min="11837" max="11837" width="9.7109375" style="125" customWidth="1"/>
    <col min="11838" max="11839" width="3.7109375" style="125" customWidth="1"/>
    <col min="11840" max="11840" width="9.7109375" style="125" customWidth="1"/>
    <col min="11841" max="11842" width="3.7109375" style="125" customWidth="1"/>
    <col min="11843" max="11843" width="9.7109375" style="125" customWidth="1"/>
    <col min="11844" max="11845" width="3.7109375" style="125" customWidth="1"/>
    <col min="11846" max="11846" width="9.7109375" style="125" customWidth="1"/>
    <col min="11847" max="11848" width="3.7109375" style="125" customWidth="1"/>
    <col min="11849" max="11849" width="9.7109375" style="125" customWidth="1"/>
    <col min="11850" max="11851" width="3.7109375" style="125" customWidth="1"/>
    <col min="11852" max="11852" width="9.7109375" style="125" customWidth="1"/>
    <col min="11853" max="11854" width="3.7109375" style="125" customWidth="1"/>
    <col min="11855" max="11855" width="9.7109375" style="125" customWidth="1"/>
    <col min="11856" max="11857" width="3.7109375" style="125" customWidth="1"/>
    <col min="11858" max="11858" width="9.7109375" style="125" customWidth="1"/>
    <col min="11859" max="11860" width="3.7109375" style="125" customWidth="1"/>
    <col min="11861" max="11861" width="9.7109375" style="125" customWidth="1"/>
    <col min="11862" max="11863" width="3.7109375" style="125" customWidth="1"/>
    <col min="11864" max="11864" width="9.7109375" style="125" customWidth="1"/>
    <col min="11865" max="11866" width="3.7109375" style="125" customWidth="1"/>
    <col min="11867" max="11867" width="9.7109375" style="125" customWidth="1"/>
    <col min="11868" max="11869" width="3.7109375" style="125" customWidth="1"/>
    <col min="11870" max="11870" width="9.7109375" style="125" customWidth="1"/>
    <col min="11871" max="11872" width="3.7109375" style="125" customWidth="1"/>
    <col min="11873" max="11873" width="9.7109375" style="125" customWidth="1"/>
    <col min="11874" max="11875" width="3.7109375" style="125" customWidth="1"/>
    <col min="11876" max="11876" width="9.7109375" style="125" customWidth="1"/>
    <col min="11877" max="11878" width="3.7109375" style="125" customWidth="1"/>
    <col min="11879" max="11879" width="9.7109375" style="125" customWidth="1"/>
    <col min="11880" max="11881" width="3.7109375" style="125" customWidth="1"/>
    <col min="11882" max="11882" width="9.7109375" style="125" customWidth="1"/>
    <col min="11883" max="11884" width="3.7109375" style="125" customWidth="1"/>
    <col min="11885" max="11885" width="9.7109375" style="125" customWidth="1"/>
    <col min="11886" max="11886" width="3.7109375" style="125" customWidth="1"/>
    <col min="11887" max="11887" width="5.7109375" style="125" bestFit="1" customWidth="1"/>
    <col min="11888" max="11888" width="9.7109375" style="125" customWidth="1"/>
    <col min="11889" max="11890" width="3.7109375" style="125" customWidth="1"/>
    <col min="11891" max="11891" width="9.7109375" style="125" customWidth="1"/>
    <col min="11892" max="11893" width="3.7109375" style="125" customWidth="1"/>
    <col min="11894" max="11894" width="9.7109375" style="125" customWidth="1"/>
    <col min="11895" max="11896" width="3.7109375" style="125" customWidth="1"/>
    <col min="11897" max="11897" width="9.7109375" style="125" customWidth="1"/>
    <col min="11898" max="11899" width="3.7109375" style="125" customWidth="1"/>
    <col min="11900" max="11900" width="9.7109375" style="125" customWidth="1"/>
    <col min="11901" max="11902" width="3.7109375" style="125" customWidth="1"/>
    <col min="11903" max="11903" width="9.7109375" style="125" customWidth="1"/>
    <col min="11904" max="11905" width="3.7109375" style="125" customWidth="1"/>
    <col min="11906" max="11906" width="9.7109375" style="125" customWidth="1"/>
    <col min="11907" max="11908" width="3.7109375" style="125" customWidth="1"/>
    <col min="11909" max="11909" width="9.7109375" style="125" customWidth="1"/>
    <col min="11910" max="11910" width="3.7109375" style="125" customWidth="1"/>
    <col min="11911" max="11911" width="5.7109375" style="125" bestFit="1" customWidth="1"/>
    <col min="11912" max="11912" width="9.7109375" style="125" customWidth="1"/>
    <col min="11913" max="11914" width="3.7109375" style="125" customWidth="1"/>
    <col min="11915" max="11915" width="9.7109375" style="125" customWidth="1"/>
    <col min="11916" max="11917" width="3.7109375" style="125" customWidth="1"/>
    <col min="11918" max="11918" width="9.7109375" style="125" customWidth="1"/>
    <col min="11919" max="11920" width="3.7109375" style="125" customWidth="1"/>
    <col min="11921" max="11921" width="9.7109375" style="125" customWidth="1"/>
    <col min="11922" max="11923" width="3.7109375" style="125" customWidth="1"/>
    <col min="11924" max="11924" width="9.7109375" style="125" customWidth="1"/>
    <col min="11925" max="11926" width="3.7109375" style="125" customWidth="1"/>
    <col min="11927" max="11927" width="9.7109375" style="125" customWidth="1"/>
    <col min="11928" max="11929" width="3.7109375" style="125" customWidth="1"/>
    <col min="11930" max="11930" width="9.7109375" style="125" customWidth="1"/>
    <col min="11931" max="11932" width="3.7109375" style="125" customWidth="1"/>
    <col min="11933" max="11933" width="9.7109375" style="125" customWidth="1"/>
    <col min="11934" max="11935" width="3.7109375" style="125" customWidth="1"/>
    <col min="11936" max="11936" width="9.7109375" style="125" customWidth="1"/>
    <col min="11937" max="11938" width="3.7109375" style="125" customWidth="1"/>
    <col min="11939" max="11939" width="9.7109375" style="125" customWidth="1"/>
    <col min="11940" max="11941" width="3.7109375" style="125" customWidth="1"/>
    <col min="11942" max="11942" width="9.7109375" style="125" customWidth="1"/>
    <col min="11943" max="11944" width="3.7109375" style="125" customWidth="1"/>
    <col min="11945" max="11945" width="9.7109375" style="125" customWidth="1"/>
    <col min="11946" max="11947" width="3.7109375" style="125" customWidth="1"/>
    <col min="11948" max="11948" width="9.7109375" style="125" customWidth="1"/>
    <col min="11949" max="11950" width="3.7109375" style="125" customWidth="1"/>
    <col min="11951" max="11951" width="9.7109375" style="125" customWidth="1"/>
    <col min="11952" max="11953" width="3.7109375" style="125" customWidth="1"/>
    <col min="11954" max="11954" width="9.7109375" style="125" customWidth="1"/>
    <col min="11955" max="11956" width="3.7109375" style="125" customWidth="1"/>
    <col min="11957" max="11957" width="9.7109375" style="125" customWidth="1"/>
    <col min="11958" max="11959" width="3.7109375" style="125" customWidth="1"/>
    <col min="11960" max="11960" width="9.7109375" style="125" customWidth="1"/>
    <col min="11961" max="11962" width="3.7109375" style="125" customWidth="1"/>
    <col min="11963" max="11963" width="9.7109375" style="125" customWidth="1"/>
    <col min="11964" max="11965" width="3.7109375" style="125" customWidth="1"/>
    <col min="11966" max="11966" width="9.7109375" style="125" customWidth="1"/>
    <col min="11967" max="11968" width="3.7109375" style="125" customWidth="1"/>
    <col min="11969" max="11969" width="9.7109375" style="125" customWidth="1"/>
    <col min="11970" max="11971" width="3.7109375" style="125" customWidth="1"/>
    <col min="11972" max="11972" width="9.7109375" style="125" customWidth="1"/>
    <col min="11973" max="11974" width="3.7109375" style="125" customWidth="1"/>
    <col min="11975" max="11975" width="9.7109375" style="125" customWidth="1"/>
    <col min="11976" max="11977" width="3.7109375" style="125" customWidth="1"/>
    <col min="11978" max="11978" width="9.7109375" style="125" customWidth="1"/>
    <col min="11979" max="11980" width="3.7109375" style="125" customWidth="1"/>
    <col min="11981" max="11981" width="9.7109375" style="125" customWidth="1"/>
    <col min="11982" max="11983" width="3.7109375" style="125" customWidth="1"/>
    <col min="11984" max="11984" width="9.7109375" style="125" customWidth="1"/>
    <col min="11985" max="11986" width="3.7109375" style="125" customWidth="1"/>
    <col min="11987" max="11987" width="9.7109375" style="125" customWidth="1"/>
    <col min="11988" max="11989" width="3.7109375" style="125" customWidth="1"/>
    <col min="11990" max="11990" width="9.7109375" style="125" customWidth="1"/>
    <col min="11991" max="11992" width="3.7109375" style="125" customWidth="1"/>
    <col min="11993" max="11993" width="9.7109375" style="125" customWidth="1"/>
    <col min="11994" max="11995" width="3.7109375" style="125" customWidth="1"/>
    <col min="11996" max="11996" width="9.7109375" style="125" customWidth="1"/>
    <col min="11997" max="11998" width="3.7109375" style="125" customWidth="1"/>
    <col min="11999" max="11999" width="9.7109375" style="125" customWidth="1"/>
    <col min="12000" max="12001" width="3.7109375" style="125" customWidth="1"/>
    <col min="12002" max="12002" width="9.7109375" style="125" customWidth="1"/>
    <col min="12003" max="12004" width="3.7109375" style="125" customWidth="1"/>
    <col min="12005" max="12005" width="9.7109375" style="125" customWidth="1"/>
    <col min="12006" max="12007" width="3.7109375" style="125" customWidth="1"/>
    <col min="12008" max="12008" width="9.7109375" style="125" customWidth="1"/>
    <col min="12009" max="12010" width="3.7109375" style="125" customWidth="1"/>
    <col min="12011" max="12011" width="9.7109375" style="125" customWidth="1"/>
    <col min="12012" max="12013" width="3.7109375" style="125" customWidth="1"/>
    <col min="12014" max="12014" width="9.7109375" style="125" customWidth="1"/>
    <col min="12015" max="12016" width="3.7109375" style="125" customWidth="1"/>
    <col min="12017" max="12017" width="9.7109375" style="125" customWidth="1"/>
    <col min="12018" max="12019" width="3.7109375" style="125" customWidth="1"/>
    <col min="12020" max="12020" width="9.7109375" style="125" customWidth="1"/>
    <col min="12021" max="12022" width="3.7109375" style="125" customWidth="1"/>
    <col min="12023" max="12023" width="9.7109375" style="125" customWidth="1"/>
    <col min="12024" max="12025" width="3.7109375" style="125" customWidth="1"/>
    <col min="12026" max="12026" width="9.7109375" style="125" customWidth="1"/>
    <col min="12027" max="12028" width="3.7109375" style="125" customWidth="1"/>
    <col min="12029" max="12029" width="9.7109375" style="125" customWidth="1"/>
    <col min="12030" max="12030" width="3.7109375" style="125" customWidth="1"/>
    <col min="12031" max="12032" width="8" style="125"/>
    <col min="12033" max="12033" width="30.7109375" style="125" customWidth="1"/>
    <col min="12034" max="12034" width="9.7109375" style="125" customWidth="1"/>
    <col min="12035" max="12035" width="3.7109375" style="125" customWidth="1"/>
    <col min="12036" max="12036" width="9.7109375" style="125" customWidth="1"/>
    <col min="12037" max="12038" width="3.7109375" style="125" customWidth="1"/>
    <col min="12039" max="12039" width="9.7109375" style="125" customWidth="1"/>
    <col min="12040" max="12041" width="3.7109375" style="125" customWidth="1"/>
    <col min="12042" max="12042" width="9.7109375" style="125" customWidth="1"/>
    <col min="12043" max="12044" width="3.7109375" style="125" customWidth="1"/>
    <col min="12045" max="12045" width="9.7109375" style="125" customWidth="1"/>
    <col min="12046" max="12047" width="3.7109375" style="125" customWidth="1"/>
    <col min="12048" max="12048" width="9.7109375" style="125" customWidth="1"/>
    <col min="12049" max="12050" width="3.7109375" style="125" customWidth="1"/>
    <col min="12051" max="12051" width="9.7109375" style="125" customWidth="1"/>
    <col min="12052" max="12053" width="3.7109375" style="125" customWidth="1"/>
    <col min="12054" max="12054" width="9.7109375" style="125" customWidth="1"/>
    <col min="12055" max="12056" width="3.7109375" style="125" customWidth="1"/>
    <col min="12057" max="12057" width="9.7109375" style="125" customWidth="1"/>
    <col min="12058" max="12059" width="3.7109375" style="125" customWidth="1"/>
    <col min="12060" max="12060" width="9.7109375" style="125" customWidth="1"/>
    <col min="12061" max="12062" width="3.7109375" style="125" customWidth="1"/>
    <col min="12063" max="12063" width="9.7109375" style="125" customWidth="1"/>
    <col min="12064" max="12065" width="3.7109375" style="125" customWidth="1"/>
    <col min="12066" max="12066" width="9.7109375" style="125" customWidth="1"/>
    <col min="12067" max="12068" width="3.7109375" style="125" customWidth="1"/>
    <col min="12069" max="12069" width="9.7109375" style="125" customWidth="1"/>
    <col min="12070" max="12071" width="3.7109375" style="125" customWidth="1"/>
    <col min="12072" max="12072" width="9.7109375" style="125" customWidth="1"/>
    <col min="12073" max="12074" width="3.7109375" style="125" customWidth="1"/>
    <col min="12075" max="12075" width="9.7109375" style="125" customWidth="1"/>
    <col min="12076" max="12077" width="3.7109375" style="125" customWidth="1"/>
    <col min="12078" max="12078" width="9.7109375" style="125" customWidth="1"/>
    <col min="12079" max="12080" width="3.7109375" style="125" customWidth="1"/>
    <col min="12081" max="12081" width="9.7109375" style="125" customWidth="1"/>
    <col min="12082" max="12083" width="3.7109375" style="125" customWidth="1"/>
    <col min="12084" max="12084" width="9.7109375" style="125" customWidth="1"/>
    <col min="12085" max="12086" width="3.7109375" style="125" customWidth="1"/>
    <col min="12087" max="12087" width="9.7109375" style="125" customWidth="1"/>
    <col min="12088" max="12089" width="3.7109375" style="125" customWidth="1"/>
    <col min="12090" max="12090" width="9.7109375" style="125" customWidth="1"/>
    <col min="12091" max="12092" width="3.7109375" style="125" customWidth="1"/>
    <col min="12093" max="12093" width="9.7109375" style="125" customWidth="1"/>
    <col min="12094" max="12095" width="3.7109375" style="125" customWidth="1"/>
    <col min="12096" max="12096" width="9.7109375" style="125" customWidth="1"/>
    <col min="12097" max="12098" width="3.7109375" style="125" customWidth="1"/>
    <col min="12099" max="12099" width="9.7109375" style="125" customWidth="1"/>
    <col min="12100" max="12101" width="3.7109375" style="125" customWidth="1"/>
    <col min="12102" max="12102" width="9.7109375" style="125" customWidth="1"/>
    <col min="12103" max="12104" width="3.7109375" style="125" customWidth="1"/>
    <col min="12105" max="12105" width="9.7109375" style="125" customWidth="1"/>
    <col min="12106" max="12107" width="3.7109375" style="125" customWidth="1"/>
    <col min="12108" max="12108" width="9.7109375" style="125" customWidth="1"/>
    <col min="12109" max="12110" width="3.7109375" style="125" customWidth="1"/>
    <col min="12111" max="12111" width="9.7109375" style="125" customWidth="1"/>
    <col min="12112" max="12113" width="3.7109375" style="125" customWidth="1"/>
    <col min="12114" max="12114" width="9.7109375" style="125" customWidth="1"/>
    <col min="12115" max="12116" width="3.7109375" style="125" customWidth="1"/>
    <col min="12117" max="12117" width="9.7109375" style="125" customWidth="1"/>
    <col min="12118" max="12119" width="3.7109375" style="125" customWidth="1"/>
    <col min="12120" max="12120" width="9.7109375" style="125" customWidth="1"/>
    <col min="12121" max="12122" width="3.7109375" style="125" customWidth="1"/>
    <col min="12123" max="12123" width="9.7109375" style="125" customWidth="1"/>
    <col min="12124" max="12125" width="3.7109375" style="125" customWidth="1"/>
    <col min="12126" max="12126" width="9.7109375" style="125" customWidth="1"/>
    <col min="12127" max="12128" width="3.7109375" style="125" customWidth="1"/>
    <col min="12129" max="12129" width="9.7109375" style="125" customWidth="1"/>
    <col min="12130" max="12131" width="3.7109375" style="125" customWidth="1"/>
    <col min="12132" max="12132" width="9.7109375" style="125" customWidth="1"/>
    <col min="12133" max="12134" width="3.7109375" style="125" customWidth="1"/>
    <col min="12135" max="12135" width="9.7109375" style="125" customWidth="1"/>
    <col min="12136" max="12137" width="3.7109375" style="125" customWidth="1"/>
    <col min="12138" max="12138" width="9.7109375" style="125" customWidth="1"/>
    <col min="12139" max="12140" width="3.7109375" style="125" customWidth="1"/>
    <col min="12141" max="12141" width="9.7109375" style="125" customWidth="1"/>
    <col min="12142" max="12142" width="3.7109375" style="125" customWidth="1"/>
    <col min="12143" max="12143" width="5.7109375" style="125" bestFit="1" customWidth="1"/>
    <col min="12144" max="12144" width="9.7109375" style="125" customWidth="1"/>
    <col min="12145" max="12146" width="3.7109375" style="125" customWidth="1"/>
    <col min="12147" max="12147" width="9.7109375" style="125" customWidth="1"/>
    <col min="12148" max="12149" width="3.7109375" style="125" customWidth="1"/>
    <col min="12150" max="12150" width="9.7109375" style="125" customWidth="1"/>
    <col min="12151" max="12152" width="3.7109375" style="125" customWidth="1"/>
    <col min="12153" max="12153" width="9.7109375" style="125" customWidth="1"/>
    <col min="12154" max="12155" width="3.7109375" style="125" customWidth="1"/>
    <col min="12156" max="12156" width="9.7109375" style="125" customWidth="1"/>
    <col min="12157" max="12158" width="3.7109375" style="125" customWidth="1"/>
    <col min="12159" max="12159" width="9.7109375" style="125" customWidth="1"/>
    <col min="12160" max="12161" width="3.7109375" style="125" customWidth="1"/>
    <col min="12162" max="12162" width="9.7109375" style="125" customWidth="1"/>
    <col min="12163" max="12164" width="3.7109375" style="125" customWidth="1"/>
    <col min="12165" max="12165" width="9.7109375" style="125" customWidth="1"/>
    <col min="12166" max="12166" width="3.7109375" style="125" customWidth="1"/>
    <col min="12167" max="12167" width="5.7109375" style="125" bestFit="1" customWidth="1"/>
    <col min="12168" max="12168" width="9.7109375" style="125" customWidth="1"/>
    <col min="12169" max="12170" width="3.7109375" style="125" customWidth="1"/>
    <col min="12171" max="12171" width="9.7109375" style="125" customWidth="1"/>
    <col min="12172" max="12173" width="3.7109375" style="125" customWidth="1"/>
    <col min="12174" max="12174" width="9.7109375" style="125" customWidth="1"/>
    <col min="12175" max="12176" width="3.7109375" style="125" customWidth="1"/>
    <col min="12177" max="12177" width="9.7109375" style="125" customWidth="1"/>
    <col min="12178" max="12179" width="3.7109375" style="125" customWidth="1"/>
    <col min="12180" max="12180" width="9.7109375" style="125" customWidth="1"/>
    <col min="12181" max="12182" width="3.7109375" style="125" customWidth="1"/>
    <col min="12183" max="12183" width="9.7109375" style="125" customWidth="1"/>
    <col min="12184" max="12185" width="3.7109375" style="125" customWidth="1"/>
    <col min="12186" max="12186" width="9.7109375" style="125" customWidth="1"/>
    <col min="12187" max="12188" width="3.7109375" style="125" customWidth="1"/>
    <col min="12189" max="12189" width="9.7109375" style="125" customWidth="1"/>
    <col min="12190" max="12191" width="3.7109375" style="125" customWidth="1"/>
    <col min="12192" max="12192" width="9.7109375" style="125" customWidth="1"/>
    <col min="12193" max="12194" width="3.7109375" style="125" customWidth="1"/>
    <col min="12195" max="12195" width="9.7109375" style="125" customWidth="1"/>
    <col min="12196" max="12197" width="3.7109375" style="125" customWidth="1"/>
    <col min="12198" max="12198" width="9.7109375" style="125" customWidth="1"/>
    <col min="12199" max="12200" width="3.7109375" style="125" customWidth="1"/>
    <col min="12201" max="12201" width="9.7109375" style="125" customWidth="1"/>
    <col min="12202" max="12203" width="3.7109375" style="125" customWidth="1"/>
    <col min="12204" max="12204" width="9.7109375" style="125" customWidth="1"/>
    <col min="12205" max="12206" width="3.7109375" style="125" customWidth="1"/>
    <col min="12207" max="12207" width="9.7109375" style="125" customWidth="1"/>
    <col min="12208" max="12209" width="3.7109375" style="125" customWidth="1"/>
    <col min="12210" max="12210" width="9.7109375" style="125" customWidth="1"/>
    <col min="12211" max="12212" width="3.7109375" style="125" customWidth="1"/>
    <col min="12213" max="12213" width="9.7109375" style="125" customWidth="1"/>
    <col min="12214" max="12215" width="3.7109375" style="125" customWidth="1"/>
    <col min="12216" max="12216" width="9.7109375" style="125" customWidth="1"/>
    <col min="12217" max="12218" width="3.7109375" style="125" customWidth="1"/>
    <col min="12219" max="12219" width="9.7109375" style="125" customWidth="1"/>
    <col min="12220" max="12221" width="3.7109375" style="125" customWidth="1"/>
    <col min="12222" max="12222" width="9.7109375" style="125" customWidth="1"/>
    <col min="12223" max="12224" width="3.7109375" style="125" customWidth="1"/>
    <col min="12225" max="12225" width="9.7109375" style="125" customWidth="1"/>
    <col min="12226" max="12227" width="3.7109375" style="125" customWidth="1"/>
    <col min="12228" max="12228" width="9.7109375" style="125" customWidth="1"/>
    <col min="12229" max="12230" width="3.7109375" style="125" customWidth="1"/>
    <col min="12231" max="12231" width="9.7109375" style="125" customWidth="1"/>
    <col min="12232" max="12233" width="3.7109375" style="125" customWidth="1"/>
    <col min="12234" max="12234" width="9.7109375" style="125" customWidth="1"/>
    <col min="12235" max="12236" width="3.7109375" style="125" customWidth="1"/>
    <col min="12237" max="12237" width="9.7109375" style="125" customWidth="1"/>
    <col min="12238" max="12239" width="3.7109375" style="125" customWidth="1"/>
    <col min="12240" max="12240" width="9.7109375" style="125" customWidth="1"/>
    <col min="12241" max="12242" width="3.7109375" style="125" customWidth="1"/>
    <col min="12243" max="12243" width="9.7109375" style="125" customWidth="1"/>
    <col min="12244" max="12245" width="3.7109375" style="125" customWidth="1"/>
    <col min="12246" max="12246" width="9.7109375" style="125" customWidth="1"/>
    <col min="12247" max="12248" width="3.7109375" style="125" customWidth="1"/>
    <col min="12249" max="12249" width="9.7109375" style="125" customWidth="1"/>
    <col min="12250" max="12251" width="3.7109375" style="125" customWidth="1"/>
    <col min="12252" max="12252" width="9.7109375" style="125" customWidth="1"/>
    <col min="12253" max="12254" width="3.7109375" style="125" customWidth="1"/>
    <col min="12255" max="12255" width="9.7109375" style="125" customWidth="1"/>
    <col min="12256" max="12257" width="3.7109375" style="125" customWidth="1"/>
    <col min="12258" max="12258" width="9.7109375" style="125" customWidth="1"/>
    <col min="12259" max="12260" width="3.7109375" style="125" customWidth="1"/>
    <col min="12261" max="12261" width="9.7109375" style="125" customWidth="1"/>
    <col min="12262" max="12263" width="3.7109375" style="125" customWidth="1"/>
    <col min="12264" max="12264" width="9.7109375" style="125" customWidth="1"/>
    <col min="12265" max="12266" width="3.7109375" style="125" customWidth="1"/>
    <col min="12267" max="12267" width="9.7109375" style="125" customWidth="1"/>
    <col min="12268" max="12269" width="3.7109375" style="125" customWidth="1"/>
    <col min="12270" max="12270" width="9.7109375" style="125" customWidth="1"/>
    <col min="12271" max="12272" width="3.7109375" style="125" customWidth="1"/>
    <col min="12273" max="12273" width="9.7109375" style="125" customWidth="1"/>
    <col min="12274" max="12275" width="3.7109375" style="125" customWidth="1"/>
    <col min="12276" max="12276" width="9.7109375" style="125" customWidth="1"/>
    <col min="12277" max="12278" width="3.7109375" style="125" customWidth="1"/>
    <col min="12279" max="12279" width="9.7109375" style="125" customWidth="1"/>
    <col min="12280" max="12281" width="3.7109375" style="125" customWidth="1"/>
    <col min="12282" max="12282" width="9.7109375" style="125" customWidth="1"/>
    <col min="12283" max="12284" width="3.7109375" style="125" customWidth="1"/>
    <col min="12285" max="12285" width="9.7109375" style="125" customWidth="1"/>
    <col min="12286" max="12286" width="3.7109375" style="125" customWidth="1"/>
    <col min="12287" max="12288" width="8" style="125"/>
    <col min="12289" max="12289" width="30.7109375" style="125" customWidth="1"/>
    <col min="12290" max="12290" width="9.7109375" style="125" customWidth="1"/>
    <col min="12291" max="12291" width="3.7109375" style="125" customWidth="1"/>
    <col min="12292" max="12292" width="9.7109375" style="125" customWidth="1"/>
    <col min="12293" max="12294" width="3.7109375" style="125" customWidth="1"/>
    <col min="12295" max="12295" width="9.7109375" style="125" customWidth="1"/>
    <col min="12296" max="12297" width="3.7109375" style="125" customWidth="1"/>
    <col min="12298" max="12298" width="9.7109375" style="125" customWidth="1"/>
    <col min="12299" max="12300" width="3.7109375" style="125" customWidth="1"/>
    <col min="12301" max="12301" width="9.7109375" style="125" customWidth="1"/>
    <col min="12302" max="12303" width="3.7109375" style="125" customWidth="1"/>
    <col min="12304" max="12304" width="9.7109375" style="125" customWidth="1"/>
    <col min="12305" max="12306" width="3.7109375" style="125" customWidth="1"/>
    <col min="12307" max="12307" width="9.7109375" style="125" customWidth="1"/>
    <col min="12308" max="12309" width="3.7109375" style="125" customWidth="1"/>
    <col min="12310" max="12310" width="9.7109375" style="125" customWidth="1"/>
    <col min="12311" max="12312" width="3.7109375" style="125" customWidth="1"/>
    <col min="12313" max="12313" width="9.7109375" style="125" customWidth="1"/>
    <col min="12314" max="12315" width="3.7109375" style="125" customWidth="1"/>
    <col min="12316" max="12316" width="9.7109375" style="125" customWidth="1"/>
    <col min="12317" max="12318" width="3.7109375" style="125" customWidth="1"/>
    <col min="12319" max="12319" width="9.7109375" style="125" customWidth="1"/>
    <col min="12320" max="12321" width="3.7109375" style="125" customWidth="1"/>
    <col min="12322" max="12322" width="9.7109375" style="125" customWidth="1"/>
    <col min="12323" max="12324" width="3.7109375" style="125" customWidth="1"/>
    <col min="12325" max="12325" width="9.7109375" style="125" customWidth="1"/>
    <col min="12326" max="12327" width="3.7109375" style="125" customWidth="1"/>
    <col min="12328" max="12328" width="9.7109375" style="125" customWidth="1"/>
    <col min="12329" max="12330" width="3.7109375" style="125" customWidth="1"/>
    <col min="12331" max="12331" width="9.7109375" style="125" customWidth="1"/>
    <col min="12332" max="12333" width="3.7109375" style="125" customWidth="1"/>
    <col min="12334" max="12334" width="9.7109375" style="125" customWidth="1"/>
    <col min="12335" max="12336" width="3.7109375" style="125" customWidth="1"/>
    <col min="12337" max="12337" width="9.7109375" style="125" customWidth="1"/>
    <col min="12338" max="12339" width="3.7109375" style="125" customWidth="1"/>
    <col min="12340" max="12340" width="9.7109375" style="125" customWidth="1"/>
    <col min="12341" max="12342" width="3.7109375" style="125" customWidth="1"/>
    <col min="12343" max="12343" width="9.7109375" style="125" customWidth="1"/>
    <col min="12344" max="12345" width="3.7109375" style="125" customWidth="1"/>
    <col min="12346" max="12346" width="9.7109375" style="125" customWidth="1"/>
    <col min="12347" max="12348" width="3.7109375" style="125" customWidth="1"/>
    <col min="12349" max="12349" width="9.7109375" style="125" customWidth="1"/>
    <col min="12350" max="12351" width="3.7109375" style="125" customWidth="1"/>
    <col min="12352" max="12352" width="9.7109375" style="125" customWidth="1"/>
    <col min="12353" max="12354" width="3.7109375" style="125" customWidth="1"/>
    <col min="12355" max="12355" width="9.7109375" style="125" customWidth="1"/>
    <col min="12356" max="12357" width="3.7109375" style="125" customWidth="1"/>
    <col min="12358" max="12358" width="9.7109375" style="125" customWidth="1"/>
    <col min="12359" max="12360" width="3.7109375" style="125" customWidth="1"/>
    <col min="12361" max="12361" width="9.7109375" style="125" customWidth="1"/>
    <col min="12362" max="12363" width="3.7109375" style="125" customWidth="1"/>
    <col min="12364" max="12364" width="9.7109375" style="125" customWidth="1"/>
    <col min="12365" max="12366" width="3.7109375" style="125" customWidth="1"/>
    <col min="12367" max="12367" width="9.7109375" style="125" customWidth="1"/>
    <col min="12368" max="12369" width="3.7109375" style="125" customWidth="1"/>
    <col min="12370" max="12370" width="9.7109375" style="125" customWidth="1"/>
    <col min="12371" max="12372" width="3.7109375" style="125" customWidth="1"/>
    <col min="12373" max="12373" width="9.7109375" style="125" customWidth="1"/>
    <col min="12374" max="12375" width="3.7109375" style="125" customWidth="1"/>
    <col min="12376" max="12376" width="9.7109375" style="125" customWidth="1"/>
    <col min="12377" max="12378" width="3.7109375" style="125" customWidth="1"/>
    <col min="12379" max="12379" width="9.7109375" style="125" customWidth="1"/>
    <col min="12380" max="12381" width="3.7109375" style="125" customWidth="1"/>
    <col min="12382" max="12382" width="9.7109375" style="125" customWidth="1"/>
    <col min="12383" max="12384" width="3.7109375" style="125" customWidth="1"/>
    <col min="12385" max="12385" width="9.7109375" style="125" customWidth="1"/>
    <col min="12386" max="12387" width="3.7109375" style="125" customWidth="1"/>
    <col min="12388" max="12388" width="9.7109375" style="125" customWidth="1"/>
    <col min="12389" max="12390" width="3.7109375" style="125" customWidth="1"/>
    <col min="12391" max="12391" width="9.7109375" style="125" customWidth="1"/>
    <col min="12392" max="12393" width="3.7109375" style="125" customWidth="1"/>
    <col min="12394" max="12394" width="9.7109375" style="125" customWidth="1"/>
    <col min="12395" max="12396" width="3.7109375" style="125" customWidth="1"/>
    <col min="12397" max="12397" width="9.7109375" style="125" customWidth="1"/>
    <col min="12398" max="12398" width="3.7109375" style="125" customWidth="1"/>
    <col min="12399" max="12399" width="5.7109375" style="125" bestFit="1" customWidth="1"/>
    <col min="12400" max="12400" width="9.7109375" style="125" customWidth="1"/>
    <col min="12401" max="12402" width="3.7109375" style="125" customWidth="1"/>
    <col min="12403" max="12403" width="9.7109375" style="125" customWidth="1"/>
    <col min="12404" max="12405" width="3.7109375" style="125" customWidth="1"/>
    <col min="12406" max="12406" width="9.7109375" style="125" customWidth="1"/>
    <col min="12407" max="12408" width="3.7109375" style="125" customWidth="1"/>
    <col min="12409" max="12409" width="9.7109375" style="125" customWidth="1"/>
    <col min="12410" max="12411" width="3.7109375" style="125" customWidth="1"/>
    <col min="12412" max="12412" width="9.7109375" style="125" customWidth="1"/>
    <col min="12413" max="12414" width="3.7109375" style="125" customWidth="1"/>
    <col min="12415" max="12415" width="9.7109375" style="125" customWidth="1"/>
    <col min="12416" max="12417" width="3.7109375" style="125" customWidth="1"/>
    <col min="12418" max="12418" width="9.7109375" style="125" customWidth="1"/>
    <col min="12419" max="12420" width="3.7109375" style="125" customWidth="1"/>
    <col min="12421" max="12421" width="9.7109375" style="125" customWidth="1"/>
    <col min="12422" max="12422" width="3.7109375" style="125" customWidth="1"/>
    <col min="12423" max="12423" width="5.7109375" style="125" bestFit="1" customWidth="1"/>
    <col min="12424" max="12424" width="9.7109375" style="125" customWidth="1"/>
    <col min="12425" max="12426" width="3.7109375" style="125" customWidth="1"/>
    <col min="12427" max="12427" width="9.7109375" style="125" customWidth="1"/>
    <col min="12428" max="12429" width="3.7109375" style="125" customWidth="1"/>
    <col min="12430" max="12430" width="9.7109375" style="125" customWidth="1"/>
    <col min="12431" max="12432" width="3.7109375" style="125" customWidth="1"/>
    <col min="12433" max="12433" width="9.7109375" style="125" customWidth="1"/>
    <col min="12434" max="12435" width="3.7109375" style="125" customWidth="1"/>
    <col min="12436" max="12436" width="9.7109375" style="125" customWidth="1"/>
    <col min="12437" max="12438" width="3.7109375" style="125" customWidth="1"/>
    <col min="12439" max="12439" width="9.7109375" style="125" customWidth="1"/>
    <col min="12440" max="12441" width="3.7109375" style="125" customWidth="1"/>
    <col min="12442" max="12442" width="9.7109375" style="125" customWidth="1"/>
    <col min="12443" max="12444" width="3.7109375" style="125" customWidth="1"/>
    <col min="12445" max="12445" width="9.7109375" style="125" customWidth="1"/>
    <col min="12446" max="12447" width="3.7109375" style="125" customWidth="1"/>
    <col min="12448" max="12448" width="9.7109375" style="125" customWidth="1"/>
    <col min="12449" max="12450" width="3.7109375" style="125" customWidth="1"/>
    <col min="12451" max="12451" width="9.7109375" style="125" customWidth="1"/>
    <col min="12452" max="12453" width="3.7109375" style="125" customWidth="1"/>
    <col min="12454" max="12454" width="9.7109375" style="125" customWidth="1"/>
    <col min="12455" max="12456" width="3.7109375" style="125" customWidth="1"/>
    <col min="12457" max="12457" width="9.7109375" style="125" customWidth="1"/>
    <col min="12458" max="12459" width="3.7109375" style="125" customWidth="1"/>
    <col min="12460" max="12460" width="9.7109375" style="125" customWidth="1"/>
    <col min="12461" max="12462" width="3.7109375" style="125" customWidth="1"/>
    <col min="12463" max="12463" width="9.7109375" style="125" customWidth="1"/>
    <col min="12464" max="12465" width="3.7109375" style="125" customWidth="1"/>
    <col min="12466" max="12466" width="9.7109375" style="125" customWidth="1"/>
    <col min="12467" max="12468" width="3.7109375" style="125" customWidth="1"/>
    <col min="12469" max="12469" width="9.7109375" style="125" customWidth="1"/>
    <col min="12470" max="12471" width="3.7109375" style="125" customWidth="1"/>
    <col min="12472" max="12472" width="9.7109375" style="125" customWidth="1"/>
    <col min="12473" max="12474" width="3.7109375" style="125" customWidth="1"/>
    <col min="12475" max="12475" width="9.7109375" style="125" customWidth="1"/>
    <col min="12476" max="12477" width="3.7109375" style="125" customWidth="1"/>
    <col min="12478" max="12478" width="9.7109375" style="125" customWidth="1"/>
    <col min="12479" max="12480" width="3.7109375" style="125" customWidth="1"/>
    <col min="12481" max="12481" width="9.7109375" style="125" customWidth="1"/>
    <col min="12482" max="12483" width="3.7109375" style="125" customWidth="1"/>
    <col min="12484" max="12484" width="9.7109375" style="125" customWidth="1"/>
    <col min="12485" max="12486" width="3.7109375" style="125" customWidth="1"/>
    <col min="12487" max="12487" width="9.7109375" style="125" customWidth="1"/>
    <col min="12488" max="12489" width="3.7109375" style="125" customWidth="1"/>
    <col min="12490" max="12490" width="9.7109375" style="125" customWidth="1"/>
    <col min="12491" max="12492" width="3.7109375" style="125" customWidth="1"/>
    <col min="12493" max="12493" width="9.7109375" style="125" customWidth="1"/>
    <col min="12494" max="12495" width="3.7109375" style="125" customWidth="1"/>
    <col min="12496" max="12496" width="9.7109375" style="125" customWidth="1"/>
    <col min="12497" max="12498" width="3.7109375" style="125" customWidth="1"/>
    <col min="12499" max="12499" width="9.7109375" style="125" customWidth="1"/>
    <col min="12500" max="12501" width="3.7109375" style="125" customWidth="1"/>
    <col min="12502" max="12502" width="9.7109375" style="125" customWidth="1"/>
    <col min="12503" max="12504" width="3.7109375" style="125" customWidth="1"/>
    <col min="12505" max="12505" width="9.7109375" style="125" customWidth="1"/>
    <col min="12506" max="12507" width="3.7109375" style="125" customWidth="1"/>
    <col min="12508" max="12508" width="9.7109375" style="125" customWidth="1"/>
    <col min="12509" max="12510" width="3.7109375" style="125" customWidth="1"/>
    <col min="12511" max="12511" width="9.7109375" style="125" customWidth="1"/>
    <col min="12512" max="12513" width="3.7109375" style="125" customWidth="1"/>
    <col min="12514" max="12514" width="9.7109375" style="125" customWidth="1"/>
    <col min="12515" max="12516" width="3.7109375" style="125" customWidth="1"/>
    <col min="12517" max="12517" width="9.7109375" style="125" customWidth="1"/>
    <col min="12518" max="12519" width="3.7109375" style="125" customWidth="1"/>
    <col min="12520" max="12520" width="9.7109375" style="125" customWidth="1"/>
    <col min="12521" max="12522" width="3.7109375" style="125" customWidth="1"/>
    <col min="12523" max="12523" width="9.7109375" style="125" customWidth="1"/>
    <col min="12524" max="12525" width="3.7109375" style="125" customWidth="1"/>
    <col min="12526" max="12526" width="9.7109375" style="125" customWidth="1"/>
    <col min="12527" max="12528" width="3.7109375" style="125" customWidth="1"/>
    <col min="12529" max="12529" width="9.7109375" style="125" customWidth="1"/>
    <col min="12530" max="12531" width="3.7109375" style="125" customWidth="1"/>
    <col min="12532" max="12532" width="9.7109375" style="125" customWidth="1"/>
    <col min="12533" max="12534" width="3.7109375" style="125" customWidth="1"/>
    <col min="12535" max="12535" width="9.7109375" style="125" customWidth="1"/>
    <col min="12536" max="12537" width="3.7109375" style="125" customWidth="1"/>
    <col min="12538" max="12538" width="9.7109375" style="125" customWidth="1"/>
    <col min="12539" max="12540" width="3.7109375" style="125" customWidth="1"/>
    <col min="12541" max="12541" width="9.7109375" style="125" customWidth="1"/>
    <col min="12542" max="12542" width="3.7109375" style="125" customWidth="1"/>
    <col min="12543" max="12544" width="8" style="125"/>
    <col min="12545" max="12545" width="30.7109375" style="125" customWidth="1"/>
    <col min="12546" max="12546" width="9.7109375" style="125" customWidth="1"/>
    <col min="12547" max="12547" width="3.7109375" style="125" customWidth="1"/>
    <col min="12548" max="12548" width="9.7109375" style="125" customWidth="1"/>
    <col min="12549" max="12550" width="3.7109375" style="125" customWidth="1"/>
    <col min="12551" max="12551" width="9.7109375" style="125" customWidth="1"/>
    <col min="12552" max="12553" width="3.7109375" style="125" customWidth="1"/>
    <col min="12554" max="12554" width="9.7109375" style="125" customWidth="1"/>
    <col min="12555" max="12556" width="3.7109375" style="125" customWidth="1"/>
    <col min="12557" max="12557" width="9.7109375" style="125" customWidth="1"/>
    <col min="12558" max="12559" width="3.7109375" style="125" customWidth="1"/>
    <col min="12560" max="12560" width="9.7109375" style="125" customWidth="1"/>
    <col min="12561" max="12562" width="3.7109375" style="125" customWidth="1"/>
    <col min="12563" max="12563" width="9.7109375" style="125" customWidth="1"/>
    <col min="12564" max="12565" width="3.7109375" style="125" customWidth="1"/>
    <col min="12566" max="12566" width="9.7109375" style="125" customWidth="1"/>
    <col min="12567" max="12568" width="3.7109375" style="125" customWidth="1"/>
    <col min="12569" max="12569" width="9.7109375" style="125" customWidth="1"/>
    <col min="12570" max="12571" width="3.7109375" style="125" customWidth="1"/>
    <col min="12572" max="12572" width="9.7109375" style="125" customWidth="1"/>
    <col min="12573" max="12574" width="3.7109375" style="125" customWidth="1"/>
    <col min="12575" max="12575" width="9.7109375" style="125" customWidth="1"/>
    <col min="12576" max="12577" width="3.7109375" style="125" customWidth="1"/>
    <col min="12578" max="12578" width="9.7109375" style="125" customWidth="1"/>
    <col min="12579" max="12580" width="3.7109375" style="125" customWidth="1"/>
    <col min="12581" max="12581" width="9.7109375" style="125" customWidth="1"/>
    <col min="12582" max="12583" width="3.7109375" style="125" customWidth="1"/>
    <col min="12584" max="12584" width="9.7109375" style="125" customWidth="1"/>
    <col min="12585" max="12586" width="3.7109375" style="125" customWidth="1"/>
    <col min="12587" max="12587" width="9.7109375" style="125" customWidth="1"/>
    <col min="12588" max="12589" width="3.7109375" style="125" customWidth="1"/>
    <col min="12590" max="12590" width="9.7109375" style="125" customWidth="1"/>
    <col min="12591" max="12592" width="3.7109375" style="125" customWidth="1"/>
    <col min="12593" max="12593" width="9.7109375" style="125" customWidth="1"/>
    <col min="12594" max="12595" width="3.7109375" style="125" customWidth="1"/>
    <col min="12596" max="12596" width="9.7109375" style="125" customWidth="1"/>
    <col min="12597" max="12598" width="3.7109375" style="125" customWidth="1"/>
    <col min="12599" max="12599" width="9.7109375" style="125" customWidth="1"/>
    <col min="12600" max="12601" width="3.7109375" style="125" customWidth="1"/>
    <col min="12602" max="12602" width="9.7109375" style="125" customWidth="1"/>
    <col min="12603" max="12604" width="3.7109375" style="125" customWidth="1"/>
    <col min="12605" max="12605" width="9.7109375" style="125" customWidth="1"/>
    <col min="12606" max="12607" width="3.7109375" style="125" customWidth="1"/>
    <col min="12608" max="12608" width="9.7109375" style="125" customWidth="1"/>
    <col min="12609" max="12610" width="3.7109375" style="125" customWidth="1"/>
    <col min="12611" max="12611" width="9.7109375" style="125" customWidth="1"/>
    <col min="12612" max="12613" width="3.7109375" style="125" customWidth="1"/>
    <col min="12614" max="12614" width="9.7109375" style="125" customWidth="1"/>
    <col min="12615" max="12616" width="3.7109375" style="125" customWidth="1"/>
    <col min="12617" max="12617" width="9.7109375" style="125" customWidth="1"/>
    <col min="12618" max="12619" width="3.7109375" style="125" customWidth="1"/>
    <col min="12620" max="12620" width="9.7109375" style="125" customWidth="1"/>
    <col min="12621" max="12622" width="3.7109375" style="125" customWidth="1"/>
    <col min="12623" max="12623" width="9.7109375" style="125" customWidth="1"/>
    <col min="12624" max="12625" width="3.7109375" style="125" customWidth="1"/>
    <col min="12626" max="12626" width="9.7109375" style="125" customWidth="1"/>
    <col min="12627" max="12628" width="3.7109375" style="125" customWidth="1"/>
    <col min="12629" max="12629" width="9.7109375" style="125" customWidth="1"/>
    <col min="12630" max="12631" width="3.7109375" style="125" customWidth="1"/>
    <col min="12632" max="12632" width="9.7109375" style="125" customWidth="1"/>
    <col min="12633" max="12634" width="3.7109375" style="125" customWidth="1"/>
    <col min="12635" max="12635" width="9.7109375" style="125" customWidth="1"/>
    <col min="12636" max="12637" width="3.7109375" style="125" customWidth="1"/>
    <col min="12638" max="12638" width="9.7109375" style="125" customWidth="1"/>
    <col min="12639" max="12640" width="3.7109375" style="125" customWidth="1"/>
    <col min="12641" max="12641" width="9.7109375" style="125" customWidth="1"/>
    <col min="12642" max="12643" width="3.7109375" style="125" customWidth="1"/>
    <col min="12644" max="12644" width="9.7109375" style="125" customWidth="1"/>
    <col min="12645" max="12646" width="3.7109375" style="125" customWidth="1"/>
    <col min="12647" max="12647" width="9.7109375" style="125" customWidth="1"/>
    <col min="12648" max="12649" width="3.7109375" style="125" customWidth="1"/>
    <col min="12650" max="12650" width="9.7109375" style="125" customWidth="1"/>
    <col min="12651" max="12652" width="3.7109375" style="125" customWidth="1"/>
    <col min="12653" max="12653" width="9.7109375" style="125" customWidth="1"/>
    <col min="12654" max="12654" width="3.7109375" style="125" customWidth="1"/>
    <col min="12655" max="12655" width="5.7109375" style="125" bestFit="1" customWidth="1"/>
    <col min="12656" max="12656" width="9.7109375" style="125" customWidth="1"/>
    <col min="12657" max="12658" width="3.7109375" style="125" customWidth="1"/>
    <col min="12659" max="12659" width="9.7109375" style="125" customWidth="1"/>
    <col min="12660" max="12661" width="3.7109375" style="125" customWidth="1"/>
    <col min="12662" max="12662" width="9.7109375" style="125" customWidth="1"/>
    <col min="12663" max="12664" width="3.7109375" style="125" customWidth="1"/>
    <col min="12665" max="12665" width="9.7109375" style="125" customWidth="1"/>
    <col min="12666" max="12667" width="3.7109375" style="125" customWidth="1"/>
    <col min="12668" max="12668" width="9.7109375" style="125" customWidth="1"/>
    <col min="12669" max="12670" width="3.7109375" style="125" customWidth="1"/>
    <col min="12671" max="12671" width="9.7109375" style="125" customWidth="1"/>
    <col min="12672" max="12673" width="3.7109375" style="125" customWidth="1"/>
    <col min="12674" max="12674" width="9.7109375" style="125" customWidth="1"/>
    <col min="12675" max="12676" width="3.7109375" style="125" customWidth="1"/>
    <col min="12677" max="12677" width="9.7109375" style="125" customWidth="1"/>
    <col min="12678" max="12678" width="3.7109375" style="125" customWidth="1"/>
    <col min="12679" max="12679" width="5.7109375" style="125" bestFit="1" customWidth="1"/>
    <col min="12680" max="12680" width="9.7109375" style="125" customWidth="1"/>
    <col min="12681" max="12682" width="3.7109375" style="125" customWidth="1"/>
    <col min="12683" max="12683" width="9.7109375" style="125" customWidth="1"/>
    <col min="12684" max="12685" width="3.7109375" style="125" customWidth="1"/>
    <col min="12686" max="12686" width="9.7109375" style="125" customWidth="1"/>
    <col min="12687" max="12688" width="3.7109375" style="125" customWidth="1"/>
    <col min="12689" max="12689" width="9.7109375" style="125" customWidth="1"/>
    <col min="12690" max="12691" width="3.7109375" style="125" customWidth="1"/>
    <col min="12692" max="12692" width="9.7109375" style="125" customWidth="1"/>
    <col min="12693" max="12694" width="3.7109375" style="125" customWidth="1"/>
    <col min="12695" max="12695" width="9.7109375" style="125" customWidth="1"/>
    <col min="12696" max="12697" width="3.7109375" style="125" customWidth="1"/>
    <col min="12698" max="12698" width="9.7109375" style="125" customWidth="1"/>
    <col min="12699" max="12700" width="3.7109375" style="125" customWidth="1"/>
    <col min="12701" max="12701" width="9.7109375" style="125" customWidth="1"/>
    <col min="12702" max="12703" width="3.7109375" style="125" customWidth="1"/>
    <col min="12704" max="12704" width="9.7109375" style="125" customWidth="1"/>
    <col min="12705" max="12706" width="3.7109375" style="125" customWidth="1"/>
    <col min="12707" max="12707" width="9.7109375" style="125" customWidth="1"/>
    <col min="12708" max="12709" width="3.7109375" style="125" customWidth="1"/>
    <col min="12710" max="12710" width="9.7109375" style="125" customWidth="1"/>
    <col min="12711" max="12712" width="3.7109375" style="125" customWidth="1"/>
    <col min="12713" max="12713" width="9.7109375" style="125" customWidth="1"/>
    <col min="12714" max="12715" width="3.7109375" style="125" customWidth="1"/>
    <col min="12716" max="12716" width="9.7109375" style="125" customWidth="1"/>
    <col min="12717" max="12718" width="3.7109375" style="125" customWidth="1"/>
    <col min="12719" max="12719" width="9.7109375" style="125" customWidth="1"/>
    <col min="12720" max="12721" width="3.7109375" style="125" customWidth="1"/>
    <col min="12722" max="12722" width="9.7109375" style="125" customWidth="1"/>
    <col min="12723" max="12724" width="3.7109375" style="125" customWidth="1"/>
    <col min="12725" max="12725" width="9.7109375" style="125" customWidth="1"/>
    <col min="12726" max="12727" width="3.7109375" style="125" customWidth="1"/>
    <col min="12728" max="12728" width="9.7109375" style="125" customWidth="1"/>
    <col min="12729" max="12730" width="3.7109375" style="125" customWidth="1"/>
    <col min="12731" max="12731" width="9.7109375" style="125" customWidth="1"/>
    <col min="12732" max="12733" width="3.7109375" style="125" customWidth="1"/>
    <col min="12734" max="12734" width="9.7109375" style="125" customWidth="1"/>
    <col min="12735" max="12736" width="3.7109375" style="125" customWidth="1"/>
    <col min="12737" max="12737" width="9.7109375" style="125" customWidth="1"/>
    <col min="12738" max="12739" width="3.7109375" style="125" customWidth="1"/>
    <col min="12740" max="12740" width="9.7109375" style="125" customWidth="1"/>
    <col min="12741" max="12742" width="3.7109375" style="125" customWidth="1"/>
    <col min="12743" max="12743" width="9.7109375" style="125" customWidth="1"/>
    <col min="12744" max="12745" width="3.7109375" style="125" customWidth="1"/>
    <col min="12746" max="12746" width="9.7109375" style="125" customWidth="1"/>
    <col min="12747" max="12748" width="3.7109375" style="125" customWidth="1"/>
    <col min="12749" max="12749" width="9.7109375" style="125" customWidth="1"/>
    <col min="12750" max="12751" width="3.7109375" style="125" customWidth="1"/>
    <col min="12752" max="12752" width="9.7109375" style="125" customWidth="1"/>
    <col min="12753" max="12754" width="3.7109375" style="125" customWidth="1"/>
    <col min="12755" max="12755" width="9.7109375" style="125" customWidth="1"/>
    <col min="12756" max="12757" width="3.7109375" style="125" customWidth="1"/>
    <col min="12758" max="12758" width="9.7109375" style="125" customWidth="1"/>
    <col min="12759" max="12760" width="3.7109375" style="125" customWidth="1"/>
    <col min="12761" max="12761" width="9.7109375" style="125" customWidth="1"/>
    <col min="12762" max="12763" width="3.7109375" style="125" customWidth="1"/>
    <col min="12764" max="12764" width="9.7109375" style="125" customWidth="1"/>
    <col min="12765" max="12766" width="3.7109375" style="125" customWidth="1"/>
    <col min="12767" max="12767" width="9.7109375" style="125" customWidth="1"/>
    <col min="12768" max="12769" width="3.7109375" style="125" customWidth="1"/>
    <col min="12770" max="12770" width="9.7109375" style="125" customWidth="1"/>
    <col min="12771" max="12772" width="3.7109375" style="125" customWidth="1"/>
    <col min="12773" max="12773" width="9.7109375" style="125" customWidth="1"/>
    <col min="12774" max="12775" width="3.7109375" style="125" customWidth="1"/>
    <col min="12776" max="12776" width="9.7109375" style="125" customWidth="1"/>
    <col min="12777" max="12778" width="3.7109375" style="125" customWidth="1"/>
    <col min="12779" max="12779" width="9.7109375" style="125" customWidth="1"/>
    <col min="12780" max="12781" width="3.7109375" style="125" customWidth="1"/>
    <col min="12782" max="12782" width="9.7109375" style="125" customWidth="1"/>
    <col min="12783" max="12784" width="3.7109375" style="125" customWidth="1"/>
    <col min="12785" max="12785" width="9.7109375" style="125" customWidth="1"/>
    <col min="12786" max="12787" width="3.7109375" style="125" customWidth="1"/>
    <col min="12788" max="12788" width="9.7109375" style="125" customWidth="1"/>
    <col min="12789" max="12790" width="3.7109375" style="125" customWidth="1"/>
    <col min="12791" max="12791" width="9.7109375" style="125" customWidth="1"/>
    <col min="12792" max="12793" width="3.7109375" style="125" customWidth="1"/>
    <col min="12794" max="12794" width="9.7109375" style="125" customWidth="1"/>
    <col min="12795" max="12796" width="3.7109375" style="125" customWidth="1"/>
    <col min="12797" max="12797" width="9.7109375" style="125" customWidth="1"/>
    <col min="12798" max="12798" width="3.7109375" style="125" customWidth="1"/>
    <col min="12799" max="12800" width="8" style="125"/>
    <col min="12801" max="12801" width="30.7109375" style="125" customWidth="1"/>
    <col min="12802" max="12802" width="9.7109375" style="125" customWidth="1"/>
    <col min="12803" max="12803" width="3.7109375" style="125" customWidth="1"/>
    <col min="12804" max="12804" width="9.7109375" style="125" customWidth="1"/>
    <col min="12805" max="12806" width="3.7109375" style="125" customWidth="1"/>
    <col min="12807" max="12807" width="9.7109375" style="125" customWidth="1"/>
    <col min="12808" max="12809" width="3.7109375" style="125" customWidth="1"/>
    <col min="12810" max="12810" width="9.7109375" style="125" customWidth="1"/>
    <col min="12811" max="12812" width="3.7109375" style="125" customWidth="1"/>
    <col min="12813" max="12813" width="9.7109375" style="125" customWidth="1"/>
    <col min="12814" max="12815" width="3.7109375" style="125" customWidth="1"/>
    <col min="12816" max="12816" width="9.7109375" style="125" customWidth="1"/>
    <col min="12817" max="12818" width="3.7109375" style="125" customWidth="1"/>
    <col min="12819" max="12819" width="9.7109375" style="125" customWidth="1"/>
    <col min="12820" max="12821" width="3.7109375" style="125" customWidth="1"/>
    <col min="12822" max="12822" width="9.7109375" style="125" customWidth="1"/>
    <col min="12823" max="12824" width="3.7109375" style="125" customWidth="1"/>
    <col min="12825" max="12825" width="9.7109375" style="125" customWidth="1"/>
    <col min="12826" max="12827" width="3.7109375" style="125" customWidth="1"/>
    <col min="12828" max="12828" width="9.7109375" style="125" customWidth="1"/>
    <col min="12829" max="12830" width="3.7109375" style="125" customWidth="1"/>
    <col min="12831" max="12831" width="9.7109375" style="125" customWidth="1"/>
    <col min="12832" max="12833" width="3.7109375" style="125" customWidth="1"/>
    <col min="12834" max="12834" width="9.7109375" style="125" customWidth="1"/>
    <col min="12835" max="12836" width="3.7109375" style="125" customWidth="1"/>
    <col min="12837" max="12837" width="9.7109375" style="125" customWidth="1"/>
    <col min="12838" max="12839" width="3.7109375" style="125" customWidth="1"/>
    <col min="12840" max="12840" width="9.7109375" style="125" customWidth="1"/>
    <col min="12841" max="12842" width="3.7109375" style="125" customWidth="1"/>
    <col min="12843" max="12843" width="9.7109375" style="125" customWidth="1"/>
    <col min="12844" max="12845" width="3.7109375" style="125" customWidth="1"/>
    <col min="12846" max="12846" width="9.7109375" style="125" customWidth="1"/>
    <col min="12847" max="12848" width="3.7109375" style="125" customWidth="1"/>
    <col min="12849" max="12849" width="9.7109375" style="125" customWidth="1"/>
    <col min="12850" max="12851" width="3.7109375" style="125" customWidth="1"/>
    <col min="12852" max="12852" width="9.7109375" style="125" customWidth="1"/>
    <col min="12853" max="12854" width="3.7109375" style="125" customWidth="1"/>
    <col min="12855" max="12855" width="9.7109375" style="125" customWidth="1"/>
    <col min="12856" max="12857" width="3.7109375" style="125" customWidth="1"/>
    <col min="12858" max="12858" width="9.7109375" style="125" customWidth="1"/>
    <col min="12859" max="12860" width="3.7109375" style="125" customWidth="1"/>
    <col min="12861" max="12861" width="9.7109375" style="125" customWidth="1"/>
    <col min="12862" max="12863" width="3.7109375" style="125" customWidth="1"/>
    <col min="12864" max="12864" width="9.7109375" style="125" customWidth="1"/>
    <col min="12865" max="12866" width="3.7109375" style="125" customWidth="1"/>
    <col min="12867" max="12867" width="9.7109375" style="125" customWidth="1"/>
    <col min="12868" max="12869" width="3.7109375" style="125" customWidth="1"/>
    <col min="12870" max="12870" width="9.7109375" style="125" customWidth="1"/>
    <col min="12871" max="12872" width="3.7109375" style="125" customWidth="1"/>
    <col min="12873" max="12873" width="9.7109375" style="125" customWidth="1"/>
    <col min="12874" max="12875" width="3.7109375" style="125" customWidth="1"/>
    <col min="12876" max="12876" width="9.7109375" style="125" customWidth="1"/>
    <col min="12877" max="12878" width="3.7109375" style="125" customWidth="1"/>
    <col min="12879" max="12879" width="9.7109375" style="125" customWidth="1"/>
    <col min="12880" max="12881" width="3.7109375" style="125" customWidth="1"/>
    <col min="12882" max="12882" width="9.7109375" style="125" customWidth="1"/>
    <col min="12883" max="12884" width="3.7109375" style="125" customWidth="1"/>
    <col min="12885" max="12885" width="9.7109375" style="125" customWidth="1"/>
    <col min="12886" max="12887" width="3.7109375" style="125" customWidth="1"/>
    <col min="12888" max="12888" width="9.7109375" style="125" customWidth="1"/>
    <col min="12889" max="12890" width="3.7109375" style="125" customWidth="1"/>
    <col min="12891" max="12891" width="9.7109375" style="125" customWidth="1"/>
    <col min="12892" max="12893" width="3.7109375" style="125" customWidth="1"/>
    <col min="12894" max="12894" width="9.7109375" style="125" customWidth="1"/>
    <col min="12895" max="12896" width="3.7109375" style="125" customWidth="1"/>
    <col min="12897" max="12897" width="9.7109375" style="125" customWidth="1"/>
    <col min="12898" max="12899" width="3.7109375" style="125" customWidth="1"/>
    <col min="12900" max="12900" width="9.7109375" style="125" customWidth="1"/>
    <col min="12901" max="12902" width="3.7109375" style="125" customWidth="1"/>
    <col min="12903" max="12903" width="9.7109375" style="125" customWidth="1"/>
    <col min="12904" max="12905" width="3.7109375" style="125" customWidth="1"/>
    <col min="12906" max="12906" width="9.7109375" style="125" customWidth="1"/>
    <col min="12907" max="12908" width="3.7109375" style="125" customWidth="1"/>
    <col min="12909" max="12909" width="9.7109375" style="125" customWidth="1"/>
    <col min="12910" max="12910" width="3.7109375" style="125" customWidth="1"/>
    <col min="12911" max="12911" width="5.7109375" style="125" bestFit="1" customWidth="1"/>
    <col min="12912" max="12912" width="9.7109375" style="125" customWidth="1"/>
    <col min="12913" max="12914" width="3.7109375" style="125" customWidth="1"/>
    <col min="12915" max="12915" width="9.7109375" style="125" customWidth="1"/>
    <col min="12916" max="12917" width="3.7109375" style="125" customWidth="1"/>
    <col min="12918" max="12918" width="9.7109375" style="125" customWidth="1"/>
    <col min="12919" max="12920" width="3.7109375" style="125" customWidth="1"/>
    <col min="12921" max="12921" width="9.7109375" style="125" customWidth="1"/>
    <col min="12922" max="12923" width="3.7109375" style="125" customWidth="1"/>
    <col min="12924" max="12924" width="9.7109375" style="125" customWidth="1"/>
    <col min="12925" max="12926" width="3.7109375" style="125" customWidth="1"/>
    <col min="12927" max="12927" width="9.7109375" style="125" customWidth="1"/>
    <col min="12928" max="12929" width="3.7109375" style="125" customWidth="1"/>
    <col min="12930" max="12930" width="9.7109375" style="125" customWidth="1"/>
    <col min="12931" max="12932" width="3.7109375" style="125" customWidth="1"/>
    <col min="12933" max="12933" width="9.7109375" style="125" customWidth="1"/>
    <col min="12934" max="12934" width="3.7109375" style="125" customWidth="1"/>
    <col min="12935" max="12935" width="5.7109375" style="125" bestFit="1" customWidth="1"/>
    <col min="12936" max="12936" width="9.7109375" style="125" customWidth="1"/>
    <col min="12937" max="12938" width="3.7109375" style="125" customWidth="1"/>
    <col min="12939" max="12939" width="9.7109375" style="125" customWidth="1"/>
    <col min="12940" max="12941" width="3.7109375" style="125" customWidth="1"/>
    <col min="12942" max="12942" width="9.7109375" style="125" customWidth="1"/>
    <col min="12943" max="12944" width="3.7109375" style="125" customWidth="1"/>
    <col min="12945" max="12945" width="9.7109375" style="125" customWidth="1"/>
    <col min="12946" max="12947" width="3.7109375" style="125" customWidth="1"/>
    <col min="12948" max="12948" width="9.7109375" style="125" customWidth="1"/>
    <col min="12949" max="12950" width="3.7109375" style="125" customWidth="1"/>
    <col min="12951" max="12951" width="9.7109375" style="125" customWidth="1"/>
    <col min="12952" max="12953" width="3.7109375" style="125" customWidth="1"/>
    <col min="12954" max="12954" width="9.7109375" style="125" customWidth="1"/>
    <col min="12955" max="12956" width="3.7109375" style="125" customWidth="1"/>
    <col min="12957" max="12957" width="9.7109375" style="125" customWidth="1"/>
    <col min="12958" max="12959" width="3.7109375" style="125" customWidth="1"/>
    <col min="12960" max="12960" width="9.7109375" style="125" customWidth="1"/>
    <col min="12961" max="12962" width="3.7109375" style="125" customWidth="1"/>
    <col min="12963" max="12963" width="9.7109375" style="125" customWidth="1"/>
    <col min="12964" max="12965" width="3.7109375" style="125" customWidth="1"/>
    <col min="12966" max="12966" width="9.7109375" style="125" customWidth="1"/>
    <col min="12967" max="12968" width="3.7109375" style="125" customWidth="1"/>
    <col min="12969" max="12969" width="9.7109375" style="125" customWidth="1"/>
    <col min="12970" max="12971" width="3.7109375" style="125" customWidth="1"/>
    <col min="12972" max="12972" width="9.7109375" style="125" customWidth="1"/>
    <col min="12973" max="12974" width="3.7109375" style="125" customWidth="1"/>
    <col min="12975" max="12975" width="9.7109375" style="125" customWidth="1"/>
    <col min="12976" max="12977" width="3.7109375" style="125" customWidth="1"/>
    <col min="12978" max="12978" width="9.7109375" style="125" customWidth="1"/>
    <col min="12979" max="12980" width="3.7109375" style="125" customWidth="1"/>
    <col min="12981" max="12981" width="9.7109375" style="125" customWidth="1"/>
    <col min="12982" max="12983" width="3.7109375" style="125" customWidth="1"/>
    <col min="12984" max="12984" width="9.7109375" style="125" customWidth="1"/>
    <col min="12985" max="12986" width="3.7109375" style="125" customWidth="1"/>
    <col min="12987" max="12987" width="9.7109375" style="125" customWidth="1"/>
    <col min="12988" max="12989" width="3.7109375" style="125" customWidth="1"/>
    <col min="12990" max="12990" width="9.7109375" style="125" customWidth="1"/>
    <col min="12991" max="12992" width="3.7109375" style="125" customWidth="1"/>
    <col min="12993" max="12993" width="9.7109375" style="125" customWidth="1"/>
    <col min="12994" max="12995" width="3.7109375" style="125" customWidth="1"/>
    <col min="12996" max="12996" width="9.7109375" style="125" customWidth="1"/>
    <col min="12997" max="12998" width="3.7109375" style="125" customWidth="1"/>
    <col min="12999" max="12999" width="9.7109375" style="125" customWidth="1"/>
    <col min="13000" max="13001" width="3.7109375" style="125" customWidth="1"/>
    <col min="13002" max="13002" width="9.7109375" style="125" customWidth="1"/>
    <col min="13003" max="13004" width="3.7109375" style="125" customWidth="1"/>
    <col min="13005" max="13005" width="9.7109375" style="125" customWidth="1"/>
    <col min="13006" max="13007" width="3.7109375" style="125" customWidth="1"/>
    <col min="13008" max="13008" width="9.7109375" style="125" customWidth="1"/>
    <col min="13009" max="13010" width="3.7109375" style="125" customWidth="1"/>
    <col min="13011" max="13011" width="9.7109375" style="125" customWidth="1"/>
    <col min="13012" max="13013" width="3.7109375" style="125" customWidth="1"/>
    <col min="13014" max="13014" width="9.7109375" style="125" customWidth="1"/>
    <col min="13015" max="13016" width="3.7109375" style="125" customWidth="1"/>
    <col min="13017" max="13017" width="9.7109375" style="125" customWidth="1"/>
    <col min="13018" max="13019" width="3.7109375" style="125" customWidth="1"/>
    <col min="13020" max="13020" width="9.7109375" style="125" customWidth="1"/>
    <col min="13021" max="13022" width="3.7109375" style="125" customWidth="1"/>
    <col min="13023" max="13023" width="9.7109375" style="125" customWidth="1"/>
    <col min="13024" max="13025" width="3.7109375" style="125" customWidth="1"/>
    <col min="13026" max="13026" width="9.7109375" style="125" customWidth="1"/>
    <col min="13027" max="13028" width="3.7109375" style="125" customWidth="1"/>
    <col min="13029" max="13029" width="9.7109375" style="125" customWidth="1"/>
    <col min="13030" max="13031" width="3.7109375" style="125" customWidth="1"/>
    <col min="13032" max="13032" width="9.7109375" style="125" customWidth="1"/>
    <col min="13033" max="13034" width="3.7109375" style="125" customWidth="1"/>
    <col min="13035" max="13035" width="9.7109375" style="125" customWidth="1"/>
    <col min="13036" max="13037" width="3.7109375" style="125" customWidth="1"/>
    <col min="13038" max="13038" width="9.7109375" style="125" customWidth="1"/>
    <col min="13039" max="13040" width="3.7109375" style="125" customWidth="1"/>
    <col min="13041" max="13041" width="9.7109375" style="125" customWidth="1"/>
    <col min="13042" max="13043" width="3.7109375" style="125" customWidth="1"/>
    <col min="13044" max="13044" width="9.7109375" style="125" customWidth="1"/>
    <col min="13045" max="13046" width="3.7109375" style="125" customWidth="1"/>
    <col min="13047" max="13047" width="9.7109375" style="125" customWidth="1"/>
    <col min="13048" max="13049" width="3.7109375" style="125" customWidth="1"/>
    <col min="13050" max="13050" width="9.7109375" style="125" customWidth="1"/>
    <col min="13051" max="13052" width="3.7109375" style="125" customWidth="1"/>
    <col min="13053" max="13053" width="9.7109375" style="125" customWidth="1"/>
    <col min="13054" max="13054" width="3.7109375" style="125" customWidth="1"/>
    <col min="13055" max="13056" width="8" style="125"/>
    <col min="13057" max="13057" width="30.7109375" style="125" customWidth="1"/>
    <col min="13058" max="13058" width="9.7109375" style="125" customWidth="1"/>
    <col min="13059" max="13059" width="3.7109375" style="125" customWidth="1"/>
    <col min="13060" max="13060" width="9.7109375" style="125" customWidth="1"/>
    <col min="13061" max="13062" width="3.7109375" style="125" customWidth="1"/>
    <col min="13063" max="13063" width="9.7109375" style="125" customWidth="1"/>
    <col min="13064" max="13065" width="3.7109375" style="125" customWidth="1"/>
    <col min="13066" max="13066" width="9.7109375" style="125" customWidth="1"/>
    <col min="13067" max="13068" width="3.7109375" style="125" customWidth="1"/>
    <col min="13069" max="13069" width="9.7109375" style="125" customWidth="1"/>
    <col min="13070" max="13071" width="3.7109375" style="125" customWidth="1"/>
    <col min="13072" max="13072" width="9.7109375" style="125" customWidth="1"/>
    <col min="13073" max="13074" width="3.7109375" style="125" customWidth="1"/>
    <col min="13075" max="13075" width="9.7109375" style="125" customWidth="1"/>
    <col min="13076" max="13077" width="3.7109375" style="125" customWidth="1"/>
    <col min="13078" max="13078" width="9.7109375" style="125" customWidth="1"/>
    <col min="13079" max="13080" width="3.7109375" style="125" customWidth="1"/>
    <col min="13081" max="13081" width="9.7109375" style="125" customWidth="1"/>
    <col min="13082" max="13083" width="3.7109375" style="125" customWidth="1"/>
    <col min="13084" max="13084" width="9.7109375" style="125" customWidth="1"/>
    <col min="13085" max="13086" width="3.7109375" style="125" customWidth="1"/>
    <col min="13087" max="13087" width="9.7109375" style="125" customWidth="1"/>
    <col min="13088" max="13089" width="3.7109375" style="125" customWidth="1"/>
    <col min="13090" max="13090" width="9.7109375" style="125" customWidth="1"/>
    <col min="13091" max="13092" width="3.7109375" style="125" customWidth="1"/>
    <col min="13093" max="13093" width="9.7109375" style="125" customWidth="1"/>
    <col min="13094" max="13095" width="3.7109375" style="125" customWidth="1"/>
    <col min="13096" max="13096" width="9.7109375" style="125" customWidth="1"/>
    <col min="13097" max="13098" width="3.7109375" style="125" customWidth="1"/>
    <col min="13099" max="13099" width="9.7109375" style="125" customWidth="1"/>
    <col min="13100" max="13101" width="3.7109375" style="125" customWidth="1"/>
    <col min="13102" max="13102" width="9.7109375" style="125" customWidth="1"/>
    <col min="13103" max="13104" width="3.7109375" style="125" customWidth="1"/>
    <col min="13105" max="13105" width="9.7109375" style="125" customWidth="1"/>
    <col min="13106" max="13107" width="3.7109375" style="125" customWidth="1"/>
    <col min="13108" max="13108" width="9.7109375" style="125" customWidth="1"/>
    <col min="13109" max="13110" width="3.7109375" style="125" customWidth="1"/>
    <col min="13111" max="13111" width="9.7109375" style="125" customWidth="1"/>
    <col min="13112" max="13113" width="3.7109375" style="125" customWidth="1"/>
    <col min="13114" max="13114" width="9.7109375" style="125" customWidth="1"/>
    <col min="13115" max="13116" width="3.7109375" style="125" customWidth="1"/>
    <col min="13117" max="13117" width="9.7109375" style="125" customWidth="1"/>
    <col min="13118" max="13119" width="3.7109375" style="125" customWidth="1"/>
    <col min="13120" max="13120" width="9.7109375" style="125" customWidth="1"/>
    <col min="13121" max="13122" width="3.7109375" style="125" customWidth="1"/>
    <col min="13123" max="13123" width="9.7109375" style="125" customWidth="1"/>
    <col min="13124" max="13125" width="3.7109375" style="125" customWidth="1"/>
    <col min="13126" max="13126" width="9.7109375" style="125" customWidth="1"/>
    <col min="13127" max="13128" width="3.7109375" style="125" customWidth="1"/>
    <col min="13129" max="13129" width="9.7109375" style="125" customWidth="1"/>
    <col min="13130" max="13131" width="3.7109375" style="125" customWidth="1"/>
    <col min="13132" max="13132" width="9.7109375" style="125" customWidth="1"/>
    <col min="13133" max="13134" width="3.7109375" style="125" customWidth="1"/>
    <col min="13135" max="13135" width="9.7109375" style="125" customWidth="1"/>
    <col min="13136" max="13137" width="3.7109375" style="125" customWidth="1"/>
    <col min="13138" max="13138" width="9.7109375" style="125" customWidth="1"/>
    <col min="13139" max="13140" width="3.7109375" style="125" customWidth="1"/>
    <col min="13141" max="13141" width="9.7109375" style="125" customWidth="1"/>
    <col min="13142" max="13143" width="3.7109375" style="125" customWidth="1"/>
    <col min="13144" max="13144" width="9.7109375" style="125" customWidth="1"/>
    <col min="13145" max="13146" width="3.7109375" style="125" customWidth="1"/>
    <col min="13147" max="13147" width="9.7109375" style="125" customWidth="1"/>
    <col min="13148" max="13149" width="3.7109375" style="125" customWidth="1"/>
    <col min="13150" max="13150" width="9.7109375" style="125" customWidth="1"/>
    <col min="13151" max="13152" width="3.7109375" style="125" customWidth="1"/>
    <col min="13153" max="13153" width="9.7109375" style="125" customWidth="1"/>
    <col min="13154" max="13155" width="3.7109375" style="125" customWidth="1"/>
    <col min="13156" max="13156" width="9.7109375" style="125" customWidth="1"/>
    <col min="13157" max="13158" width="3.7109375" style="125" customWidth="1"/>
    <col min="13159" max="13159" width="9.7109375" style="125" customWidth="1"/>
    <col min="13160" max="13161" width="3.7109375" style="125" customWidth="1"/>
    <col min="13162" max="13162" width="9.7109375" style="125" customWidth="1"/>
    <col min="13163" max="13164" width="3.7109375" style="125" customWidth="1"/>
    <col min="13165" max="13165" width="9.7109375" style="125" customWidth="1"/>
    <col min="13166" max="13166" width="3.7109375" style="125" customWidth="1"/>
    <col min="13167" max="13167" width="5.7109375" style="125" bestFit="1" customWidth="1"/>
    <col min="13168" max="13168" width="9.7109375" style="125" customWidth="1"/>
    <col min="13169" max="13170" width="3.7109375" style="125" customWidth="1"/>
    <col min="13171" max="13171" width="9.7109375" style="125" customWidth="1"/>
    <col min="13172" max="13173" width="3.7109375" style="125" customWidth="1"/>
    <col min="13174" max="13174" width="9.7109375" style="125" customWidth="1"/>
    <col min="13175" max="13176" width="3.7109375" style="125" customWidth="1"/>
    <col min="13177" max="13177" width="9.7109375" style="125" customWidth="1"/>
    <col min="13178" max="13179" width="3.7109375" style="125" customWidth="1"/>
    <col min="13180" max="13180" width="9.7109375" style="125" customWidth="1"/>
    <col min="13181" max="13182" width="3.7109375" style="125" customWidth="1"/>
    <col min="13183" max="13183" width="9.7109375" style="125" customWidth="1"/>
    <col min="13184" max="13185" width="3.7109375" style="125" customWidth="1"/>
    <col min="13186" max="13186" width="9.7109375" style="125" customWidth="1"/>
    <col min="13187" max="13188" width="3.7109375" style="125" customWidth="1"/>
    <col min="13189" max="13189" width="9.7109375" style="125" customWidth="1"/>
    <col min="13190" max="13190" width="3.7109375" style="125" customWidth="1"/>
    <col min="13191" max="13191" width="5.7109375" style="125" bestFit="1" customWidth="1"/>
    <col min="13192" max="13192" width="9.7109375" style="125" customWidth="1"/>
    <col min="13193" max="13194" width="3.7109375" style="125" customWidth="1"/>
    <col min="13195" max="13195" width="9.7109375" style="125" customWidth="1"/>
    <col min="13196" max="13197" width="3.7109375" style="125" customWidth="1"/>
    <col min="13198" max="13198" width="9.7109375" style="125" customWidth="1"/>
    <col min="13199" max="13200" width="3.7109375" style="125" customWidth="1"/>
    <col min="13201" max="13201" width="9.7109375" style="125" customWidth="1"/>
    <col min="13202" max="13203" width="3.7109375" style="125" customWidth="1"/>
    <col min="13204" max="13204" width="9.7109375" style="125" customWidth="1"/>
    <col min="13205" max="13206" width="3.7109375" style="125" customWidth="1"/>
    <col min="13207" max="13207" width="9.7109375" style="125" customWidth="1"/>
    <col min="13208" max="13209" width="3.7109375" style="125" customWidth="1"/>
    <col min="13210" max="13210" width="9.7109375" style="125" customWidth="1"/>
    <col min="13211" max="13212" width="3.7109375" style="125" customWidth="1"/>
    <col min="13213" max="13213" width="9.7109375" style="125" customWidth="1"/>
    <col min="13214" max="13215" width="3.7109375" style="125" customWidth="1"/>
    <col min="13216" max="13216" width="9.7109375" style="125" customWidth="1"/>
    <col min="13217" max="13218" width="3.7109375" style="125" customWidth="1"/>
    <col min="13219" max="13219" width="9.7109375" style="125" customWidth="1"/>
    <col min="13220" max="13221" width="3.7109375" style="125" customWidth="1"/>
    <col min="13222" max="13222" width="9.7109375" style="125" customWidth="1"/>
    <col min="13223" max="13224" width="3.7109375" style="125" customWidth="1"/>
    <col min="13225" max="13225" width="9.7109375" style="125" customWidth="1"/>
    <col min="13226" max="13227" width="3.7109375" style="125" customWidth="1"/>
    <col min="13228" max="13228" width="9.7109375" style="125" customWidth="1"/>
    <col min="13229" max="13230" width="3.7109375" style="125" customWidth="1"/>
    <col min="13231" max="13231" width="9.7109375" style="125" customWidth="1"/>
    <col min="13232" max="13233" width="3.7109375" style="125" customWidth="1"/>
    <col min="13234" max="13234" width="9.7109375" style="125" customWidth="1"/>
    <col min="13235" max="13236" width="3.7109375" style="125" customWidth="1"/>
    <col min="13237" max="13237" width="9.7109375" style="125" customWidth="1"/>
    <col min="13238" max="13239" width="3.7109375" style="125" customWidth="1"/>
    <col min="13240" max="13240" width="9.7109375" style="125" customWidth="1"/>
    <col min="13241" max="13242" width="3.7109375" style="125" customWidth="1"/>
    <col min="13243" max="13243" width="9.7109375" style="125" customWidth="1"/>
    <col min="13244" max="13245" width="3.7109375" style="125" customWidth="1"/>
    <col min="13246" max="13246" width="9.7109375" style="125" customWidth="1"/>
    <col min="13247" max="13248" width="3.7109375" style="125" customWidth="1"/>
    <col min="13249" max="13249" width="9.7109375" style="125" customWidth="1"/>
    <col min="13250" max="13251" width="3.7109375" style="125" customWidth="1"/>
    <col min="13252" max="13252" width="9.7109375" style="125" customWidth="1"/>
    <col min="13253" max="13254" width="3.7109375" style="125" customWidth="1"/>
    <col min="13255" max="13255" width="9.7109375" style="125" customWidth="1"/>
    <col min="13256" max="13257" width="3.7109375" style="125" customWidth="1"/>
    <col min="13258" max="13258" width="9.7109375" style="125" customWidth="1"/>
    <col min="13259" max="13260" width="3.7109375" style="125" customWidth="1"/>
    <col min="13261" max="13261" width="9.7109375" style="125" customWidth="1"/>
    <col min="13262" max="13263" width="3.7109375" style="125" customWidth="1"/>
    <col min="13264" max="13264" width="9.7109375" style="125" customWidth="1"/>
    <col min="13265" max="13266" width="3.7109375" style="125" customWidth="1"/>
    <col min="13267" max="13267" width="9.7109375" style="125" customWidth="1"/>
    <col min="13268" max="13269" width="3.7109375" style="125" customWidth="1"/>
    <col min="13270" max="13270" width="9.7109375" style="125" customWidth="1"/>
    <col min="13271" max="13272" width="3.7109375" style="125" customWidth="1"/>
    <col min="13273" max="13273" width="9.7109375" style="125" customWidth="1"/>
    <col min="13274" max="13275" width="3.7109375" style="125" customWidth="1"/>
    <col min="13276" max="13276" width="9.7109375" style="125" customWidth="1"/>
    <col min="13277" max="13278" width="3.7109375" style="125" customWidth="1"/>
    <col min="13279" max="13279" width="9.7109375" style="125" customWidth="1"/>
    <col min="13280" max="13281" width="3.7109375" style="125" customWidth="1"/>
    <col min="13282" max="13282" width="9.7109375" style="125" customWidth="1"/>
    <col min="13283" max="13284" width="3.7109375" style="125" customWidth="1"/>
    <col min="13285" max="13285" width="9.7109375" style="125" customWidth="1"/>
    <col min="13286" max="13287" width="3.7109375" style="125" customWidth="1"/>
    <col min="13288" max="13288" width="9.7109375" style="125" customWidth="1"/>
    <col min="13289" max="13290" width="3.7109375" style="125" customWidth="1"/>
    <col min="13291" max="13291" width="9.7109375" style="125" customWidth="1"/>
    <col min="13292" max="13293" width="3.7109375" style="125" customWidth="1"/>
    <col min="13294" max="13294" width="9.7109375" style="125" customWidth="1"/>
    <col min="13295" max="13296" width="3.7109375" style="125" customWidth="1"/>
    <col min="13297" max="13297" width="9.7109375" style="125" customWidth="1"/>
    <col min="13298" max="13299" width="3.7109375" style="125" customWidth="1"/>
    <col min="13300" max="13300" width="9.7109375" style="125" customWidth="1"/>
    <col min="13301" max="13302" width="3.7109375" style="125" customWidth="1"/>
    <col min="13303" max="13303" width="9.7109375" style="125" customWidth="1"/>
    <col min="13304" max="13305" width="3.7109375" style="125" customWidth="1"/>
    <col min="13306" max="13306" width="9.7109375" style="125" customWidth="1"/>
    <col min="13307" max="13308" width="3.7109375" style="125" customWidth="1"/>
    <col min="13309" max="13309" width="9.7109375" style="125" customWidth="1"/>
    <col min="13310" max="13310" width="3.7109375" style="125" customWidth="1"/>
    <col min="13311" max="13312" width="8" style="125"/>
    <col min="13313" max="13313" width="30.7109375" style="125" customWidth="1"/>
    <col min="13314" max="13314" width="9.7109375" style="125" customWidth="1"/>
    <col min="13315" max="13315" width="3.7109375" style="125" customWidth="1"/>
    <col min="13316" max="13316" width="9.7109375" style="125" customWidth="1"/>
    <col min="13317" max="13318" width="3.7109375" style="125" customWidth="1"/>
    <col min="13319" max="13319" width="9.7109375" style="125" customWidth="1"/>
    <col min="13320" max="13321" width="3.7109375" style="125" customWidth="1"/>
    <col min="13322" max="13322" width="9.7109375" style="125" customWidth="1"/>
    <col min="13323" max="13324" width="3.7109375" style="125" customWidth="1"/>
    <col min="13325" max="13325" width="9.7109375" style="125" customWidth="1"/>
    <col min="13326" max="13327" width="3.7109375" style="125" customWidth="1"/>
    <col min="13328" max="13328" width="9.7109375" style="125" customWidth="1"/>
    <col min="13329" max="13330" width="3.7109375" style="125" customWidth="1"/>
    <col min="13331" max="13331" width="9.7109375" style="125" customWidth="1"/>
    <col min="13332" max="13333" width="3.7109375" style="125" customWidth="1"/>
    <col min="13334" max="13334" width="9.7109375" style="125" customWidth="1"/>
    <col min="13335" max="13336" width="3.7109375" style="125" customWidth="1"/>
    <col min="13337" max="13337" width="9.7109375" style="125" customWidth="1"/>
    <col min="13338" max="13339" width="3.7109375" style="125" customWidth="1"/>
    <col min="13340" max="13340" width="9.7109375" style="125" customWidth="1"/>
    <col min="13341" max="13342" width="3.7109375" style="125" customWidth="1"/>
    <col min="13343" max="13343" width="9.7109375" style="125" customWidth="1"/>
    <col min="13344" max="13345" width="3.7109375" style="125" customWidth="1"/>
    <col min="13346" max="13346" width="9.7109375" style="125" customWidth="1"/>
    <col min="13347" max="13348" width="3.7109375" style="125" customWidth="1"/>
    <col min="13349" max="13349" width="9.7109375" style="125" customWidth="1"/>
    <col min="13350" max="13351" width="3.7109375" style="125" customWidth="1"/>
    <col min="13352" max="13352" width="9.7109375" style="125" customWidth="1"/>
    <col min="13353" max="13354" width="3.7109375" style="125" customWidth="1"/>
    <col min="13355" max="13355" width="9.7109375" style="125" customWidth="1"/>
    <col min="13356" max="13357" width="3.7109375" style="125" customWidth="1"/>
    <col min="13358" max="13358" width="9.7109375" style="125" customWidth="1"/>
    <col min="13359" max="13360" width="3.7109375" style="125" customWidth="1"/>
    <col min="13361" max="13361" width="9.7109375" style="125" customWidth="1"/>
    <col min="13362" max="13363" width="3.7109375" style="125" customWidth="1"/>
    <col min="13364" max="13364" width="9.7109375" style="125" customWidth="1"/>
    <col min="13365" max="13366" width="3.7109375" style="125" customWidth="1"/>
    <col min="13367" max="13367" width="9.7109375" style="125" customWidth="1"/>
    <col min="13368" max="13369" width="3.7109375" style="125" customWidth="1"/>
    <col min="13370" max="13370" width="9.7109375" style="125" customWidth="1"/>
    <col min="13371" max="13372" width="3.7109375" style="125" customWidth="1"/>
    <col min="13373" max="13373" width="9.7109375" style="125" customWidth="1"/>
    <col min="13374" max="13375" width="3.7109375" style="125" customWidth="1"/>
    <col min="13376" max="13376" width="9.7109375" style="125" customWidth="1"/>
    <col min="13377" max="13378" width="3.7109375" style="125" customWidth="1"/>
    <col min="13379" max="13379" width="9.7109375" style="125" customWidth="1"/>
    <col min="13380" max="13381" width="3.7109375" style="125" customWidth="1"/>
    <col min="13382" max="13382" width="9.7109375" style="125" customWidth="1"/>
    <col min="13383" max="13384" width="3.7109375" style="125" customWidth="1"/>
    <col min="13385" max="13385" width="9.7109375" style="125" customWidth="1"/>
    <col min="13386" max="13387" width="3.7109375" style="125" customWidth="1"/>
    <col min="13388" max="13388" width="9.7109375" style="125" customWidth="1"/>
    <col min="13389" max="13390" width="3.7109375" style="125" customWidth="1"/>
    <col min="13391" max="13391" width="9.7109375" style="125" customWidth="1"/>
    <col min="13392" max="13393" width="3.7109375" style="125" customWidth="1"/>
    <col min="13394" max="13394" width="9.7109375" style="125" customWidth="1"/>
    <col min="13395" max="13396" width="3.7109375" style="125" customWidth="1"/>
    <col min="13397" max="13397" width="9.7109375" style="125" customWidth="1"/>
    <col min="13398" max="13399" width="3.7109375" style="125" customWidth="1"/>
    <col min="13400" max="13400" width="9.7109375" style="125" customWidth="1"/>
    <col min="13401" max="13402" width="3.7109375" style="125" customWidth="1"/>
    <col min="13403" max="13403" width="9.7109375" style="125" customWidth="1"/>
    <col min="13404" max="13405" width="3.7109375" style="125" customWidth="1"/>
    <col min="13406" max="13406" width="9.7109375" style="125" customWidth="1"/>
    <col min="13407" max="13408" width="3.7109375" style="125" customWidth="1"/>
    <col min="13409" max="13409" width="9.7109375" style="125" customWidth="1"/>
    <col min="13410" max="13411" width="3.7109375" style="125" customWidth="1"/>
    <col min="13412" max="13412" width="9.7109375" style="125" customWidth="1"/>
    <col min="13413" max="13414" width="3.7109375" style="125" customWidth="1"/>
    <col min="13415" max="13415" width="9.7109375" style="125" customWidth="1"/>
    <col min="13416" max="13417" width="3.7109375" style="125" customWidth="1"/>
    <col min="13418" max="13418" width="9.7109375" style="125" customWidth="1"/>
    <col min="13419" max="13420" width="3.7109375" style="125" customWidth="1"/>
    <col min="13421" max="13421" width="9.7109375" style="125" customWidth="1"/>
    <col min="13422" max="13422" width="3.7109375" style="125" customWidth="1"/>
    <col min="13423" max="13423" width="5.7109375" style="125" bestFit="1" customWidth="1"/>
    <col min="13424" max="13424" width="9.7109375" style="125" customWidth="1"/>
    <col min="13425" max="13426" width="3.7109375" style="125" customWidth="1"/>
    <col min="13427" max="13427" width="9.7109375" style="125" customWidth="1"/>
    <col min="13428" max="13429" width="3.7109375" style="125" customWidth="1"/>
    <col min="13430" max="13430" width="9.7109375" style="125" customWidth="1"/>
    <col min="13431" max="13432" width="3.7109375" style="125" customWidth="1"/>
    <col min="13433" max="13433" width="9.7109375" style="125" customWidth="1"/>
    <col min="13434" max="13435" width="3.7109375" style="125" customWidth="1"/>
    <col min="13436" max="13436" width="9.7109375" style="125" customWidth="1"/>
    <col min="13437" max="13438" width="3.7109375" style="125" customWidth="1"/>
    <col min="13439" max="13439" width="9.7109375" style="125" customWidth="1"/>
    <col min="13440" max="13441" width="3.7109375" style="125" customWidth="1"/>
    <col min="13442" max="13442" width="9.7109375" style="125" customWidth="1"/>
    <col min="13443" max="13444" width="3.7109375" style="125" customWidth="1"/>
    <col min="13445" max="13445" width="9.7109375" style="125" customWidth="1"/>
    <col min="13446" max="13446" width="3.7109375" style="125" customWidth="1"/>
    <col min="13447" max="13447" width="5.7109375" style="125" bestFit="1" customWidth="1"/>
    <col min="13448" max="13448" width="9.7109375" style="125" customWidth="1"/>
    <col min="13449" max="13450" width="3.7109375" style="125" customWidth="1"/>
    <col min="13451" max="13451" width="9.7109375" style="125" customWidth="1"/>
    <col min="13452" max="13453" width="3.7109375" style="125" customWidth="1"/>
    <col min="13454" max="13454" width="9.7109375" style="125" customWidth="1"/>
    <col min="13455" max="13456" width="3.7109375" style="125" customWidth="1"/>
    <col min="13457" max="13457" width="9.7109375" style="125" customWidth="1"/>
    <col min="13458" max="13459" width="3.7109375" style="125" customWidth="1"/>
    <col min="13460" max="13460" width="9.7109375" style="125" customWidth="1"/>
    <col min="13461" max="13462" width="3.7109375" style="125" customWidth="1"/>
    <col min="13463" max="13463" width="9.7109375" style="125" customWidth="1"/>
    <col min="13464" max="13465" width="3.7109375" style="125" customWidth="1"/>
    <col min="13466" max="13466" width="9.7109375" style="125" customWidth="1"/>
    <col min="13467" max="13468" width="3.7109375" style="125" customWidth="1"/>
    <col min="13469" max="13469" width="9.7109375" style="125" customWidth="1"/>
    <col min="13470" max="13471" width="3.7109375" style="125" customWidth="1"/>
    <col min="13472" max="13472" width="9.7109375" style="125" customWidth="1"/>
    <col min="13473" max="13474" width="3.7109375" style="125" customWidth="1"/>
    <col min="13475" max="13475" width="9.7109375" style="125" customWidth="1"/>
    <col min="13476" max="13477" width="3.7109375" style="125" customWidth="1"/>
    <col min="13478" max="13478" width="9.7109375" style="125" customWidth="1"/>
    <col min="13479" max="13480" width="3.7109375" style="125" customWidth="1"/>
    <col min="13481" max="13481" width="9.7109375" style="125" customWidth="1"/>
    <col min="13482" max="13483" width="3.7109375" style="125" customWidth="1"/>
    <col min="13484" max="13484" width="9.7109375" style="125" customWidth="1"/>
    <col min="13485" max="13486" width="3.7109375" style="125" customWidth="1"/>
    <col min="13487" max="13487" width="9.7109375" style="125" customWidth="1"/>
    <col min="13488" max="13489" width="3.7109375" style="125" customWidth="1"/>
    <col min="13490" max="13490" width="9.7109375" style="125" customWidth="1"/>
    <col min="13491" max="13492" width="3.7109375" style="125" customWidth="1"/>
    <col min="13493" max="13493" width="9.7109375" style="125" customWidth="1"/>
    <col min="13494" max="13495" width="3.7109375" style="125" customWidth="1"/>
    <col min="13496" max="13496" width="9.7109375" style="125" customWidth="1"/>
    <col min="13497" max="13498" width="3.7109375" style="125" customWidth="1"/>
    <col min="13499" max="13499" width="9.7109375" style="125" customWidth="1"/>
    <col min="13500" max="13501" width="3.7109375" style="125" customWidth="1"/>
    <col min="13502" max="13502" width="9.7109375" style="125" customWidth="1"/>
    <col min="13503" max="13504" width="3.7109375" style="125" customWidth="1"/>
    <col min="13505" max="13505" width="9.7109375" style="125" customWidth="1"/>
    <col min="13506" max="13507" width="3.7109375" style="125" customWidth="1"/>
    <col min="13508" max="13508" width="9.7109375" style="125" customWidth="1"/>
    <col min="13509" max="13510" width="3.7109375" style="125" customWidth="1"/>
    <col min="13511" max="13511" width="9.7109375" style="125" customWidth="1"/>
    <col min="13512" max="13513" width="3.7109375" style="125" customWidth="1"/>
    <col min="13514" max="13514" width="9.7109375" style="125" customWidth="1"/>
    <col min="13515" max="13516" width="3.7109375" style="125" customWidth="1"/>
    <col min="13517" max="13517" width="9.7109375" style="125" customWidth="1"/>
    <col min="13518" max="13519" width="3.7109375" style="125" customWidth="1"/>
    <col min="13520" max="13520" width="9.7109375" style="125" customWidth="1"/>
    <col min="13521" max="13522" width="3.7109375" style="125" customWidth="1"/>
    <col min="13523" max="13523" width="9.7109375" style="125" customWidth="1"/>
    <col min="13524" max="13525" width="3.7109375" style="125" customWidth="1"/>
    <col min="13526" max="13526" width="9.7109375" style="125" customWidth="1"/>
    <col min="13527" max="13528" width="3.7109375" style="125" customWidth="1"/>
    <col min="13529" max="13529" width="9.7109375" style="125" customWidth="1"/>
    <col min="13530" max="13531" width="3.7109375" style="125" customWidth="1"/>
    <col min="13532" max="13532" width="9.7109375" style="125" customWidth="1"/>
    <col min="13533" max="13534" width="3.7109375" style="125" customWidth="1"/>
    <col min="13535" max="13535" width="9.7109375" style="125" customWidth="1"/>
    <col min="13536" max="13537" width="3.7109375" style="125" customWidth="1"/>
    <col min="13538" max="13538" width="9.7109375" style="125" customWidth="1"/>
    <col min="13539" max="13540" width="3.7109375" style="125" customWidth="1"/>
    <col min="13541" max="13541" width="9.7109375" style="125" customWidth="1"/>
    <col min="13542" max="13543" width="3.7109375" style="125" customWidth="1"/>
    <col min="13544" max="13544" width="9.7109375" style="125" customWidth="1"/>
    <col min="13545" max="13546" width="3.7109375" style="125" customWidth="1"/>
    <col min="13547" max="13547" width="9.7109375" style="125" customWidth="1"/>
    <col min="13548" max="13549" width="3.7109375" style="125" customWidth="1"/>
    <col min="13550" max="13550" width="9.7109375" style="125" customWidth="1"/>
    <col min="13551" max="13552" width="3.7109375" style="125" customWidth="1"/>
    <col min="13553" max="13553" width="9.7109375" style="125" customWidth="1"/>
    <col min="13554" max="13555" width="3.7109375" style="125" customWidth="1"/>
    <col min="13556" max="13556" width="9.7109375" style="125" customWidth="1"/>
    <col min="13557" max="13558" width="3.7109375" style="125" customWidth="1"/>
    <col min="13559" max="13559" width="9.7109375" style="125" customWidth="1"/>
    <col min="13560" max="13561" width="3.7109375" style="125" customWidth="1"/>
    <col min="13562" max="13562" width="9.7109375" style="125" customWidth="1"/>
    <col min="13563" max="13564" width="3.7109375" style="125" customWidth="1"/>
    <col min="13565" max="13565" width="9.7109375" style="125" customWidth="1"/>
    <col min="13566" max="13566" width="3.7109375" style="125" customWidth="1"/>
    <col min="13567" max="13568" width="8" style="125"/>
    <col min="13569" max="13569" width="30.7109375" style="125" customWidth="1"/>
    <col min="13570" max="13570" width="9.7109375" style="125" customWidth="1"/>
    <col min="13571" max="13571" width="3.7109375" style="125" customWidth="1"/>
    <col min="13572" max="13572" width="9.7109375" style="125" customWidth="1"/>
    <col min="13573" max="13574" width="3.7109375" style="125" customWidth="1"/>
    <col min="13575" max="13575" width="9.7109375" style="125" customWidth="1"/>
    <col min="13576" max="13577" width="3.7109375" style="125" customWidth="1"/>
    <col min="13578" max="13578" width="9.7109375" style="125" customWidth="1"/>
    <col min="13579" max="13580" width="3.7109375" style="125" customWidth="1"/>
    <col min="13581" max="13581" width="9.7109375" style="125" customWidth="1"/>
    <col min="13582" max="13583" width="3.7109375" style="125" customWidth="1"/>
    <col min="13584" max="13584" width="9.7109375" style="125" customWidth="1"/>
    <col min="13585" max="13586" width="3.7109375" style="125" customWidth="1"/>
    <col min="13587" max="13587" width="9.7109375" style="125" customWidth="1"/>
    <col min="13588" max="13589" width="3.7109375" style="125" customWidth="1"/>
    <col min="13590" max="13590" width="9.7109375" style="125" customWidth="1"/>
    <col min="13591" max="13592" width="3.7109375" style="125" customWidth="1"/>
    <col min="13593" max="13593" width="9.7109375" style="125" customWidth="1"/>
    <col min="13594" max="13595" width="3.7109375" style="125" customWidth="1"/>
    <col min="13596" max="13596" width="9.7109375" style="125" customWidth="1"/>
    <col min="13597" max="13598" width="3.7109375" style="125" customWidth="1"/>
    <col min="13599" max="13599" width="9.7109375" style="125" customWidth="1"/>
    <col min="13600" max="13601" width="3.7109375" style="125" customWidth="1"/>
    <col min="13602" max="13602" width="9.7109375" style="125" customWidth="1"/>
    <col min="13603" max="13604" width="3.7109375" style="125" customWidth="1"/>
    <col min="13605" max="13605" width="9.7109375" style="125" customWidth="1"/>
    <col min="13606" max="13607" width="3.7109375" style="125" customWidth="1"/>
    <col min="13608" max="13608" width="9.7109375" style="125" customWidth="1"/>
    <col min="13609" max="13610" width="3.7109375" style="125" customWidth="1"/>
    <col min="13611" max="13611" width="9.7109375" style="125" customWidth="1"/>
    <col min="13612" max="13613" width="3.7109375" style="125" customWidth="1"/>
    <col min="13614" max="13614" width="9.7109375" style="125" customWidth="1"/>
    <col min="13615" max="13616" width="3.7109375" style="125" customWidth="1"/>
    <col min="13617" max="13617" width="9.7109375" style="125" customWidth="1"/>
    <col min="13618" max="13619" width="3.7109375" style="125" customWidth="1"/>
    <col min="13620" max="13620" width="9.7109375" style="125" customWidth="1"/>
    <col min="13621" max="13622" width="3.7109375" style="125" customWidth="1"/>
    <col min="13623" max="13623" width="9.7109375" style="125" customWidth="1"/>
    <col min="13624" max="13625" width="3.7109375" style="125" customWidth="1"/>
    <col min="13626" max="13626" width="9.7109375" style="125" customWidth="1"/>
    <col min="13627" max="13628" width="3.7109375" style="125" customWidth="1"/>
    <col min="13629" max="13629" width="9.7109375" style="125" customWidth="1"/>
    <col min="13630" max="13631" width="3.7109375" style="125" customWidth="1"/>
    <col min="13632" max="13632" width="9.7109375" style="125" customWidth="1"/>
    <col min="13633" max="13634" width="3.7109375" style="125" customWidth="1"/>
    <col min="13635" max="13635" width="9.7109375" style="125" customWidth="1"/>
    <col min="13636" max="13637" width="3.7109375" style="125" customWidth="1"/>
    <col min="13638" max="13638" width="9.7109375" style="125" customWidth="1"/>
    <col min="13639" max="13640" width="3.7109375" style="125" customWidth="1"/>
    <col min="13641" max="13641" width="9.7109375" style="125" customWidth="1"/>
    <col min="13642" max="13643" width="3.7109375" style="125" customWidth="1"/>
    <col min="13644" max="13644" width="9.7109375" style="125" customWidth="1"/>
    <col min="13645" max="13646" width="3.7109375" style="125" customWidth="1"/>
    <col min="13647" max="13647" width="9.7109375" style="125" customWidth="1"/>
    <col min="13648" max="13649" width="3.7109375" style="125" customWidth="1"/>
    <col min="13650" max="13650" width="9.7109375" style="125" customWidth="1"/>
    <col min="13651" max="13652" width="3.7109375" style="125" customWidth="1"/>
    <col min="13653" max="13653" width="9.7109375" style="125" customWidth="1"/>
    <col min="13654" max="13655" width="3.7109375" style="125" customWidth="1"/>
    <col min="13656" max="13656" width="9.7109375" style="125" customWidth="1"/>
    <col min="13657" max="13658" width="3.7109375" style="125" customWidth="1"/>
    <col min="13659" max="13659" width="9.7109375" style="125" customWidth="1"/>
    <col min="13660" max="13661" width="3.7109375" style="125" customWidth="1"/>
    <col min="13662" max="13662" width="9.7109375" style="125" customWidth="1"/>
    <col min="13663" max="13664" width="3.7109375" style="125" customWidth="1"/>
    <col min="13665" max="13665" width="9.7109375" style="125" customWidth="1"/>
    <col min="13666" max="13667" width="3.7109375" style="125" customWidth="1"/>
    <col min="13668" max="13668" width="9.7109375" style="125" customWidth="1"/>
    <col min="13669" max="13670" width="3.7109375" style="125" customWidth="1"/>
    <col min="13671" max="13671" width="9.7109375" style="125" customWidth="1"/>
    <col min="13672" max="13673" width="3.7109375" style="125" customWidth="1"/>
    <col min="13674" max="13674" width="9.7109375" style="125" customWidth="1"/>
    <col min="13675" max="13676" width="3.7109375" style="125" customWidth="1"/>
    <col min="13677" max="13677" width="9.7109375" style="125" customWidth="1"/>
    <col min="13678" max="13678" width="3.7109375" style="125" customWidth="1"/>
    <col min="13679" max="13679" width="5.7109375" style="125" bestFit="1" customWidth="1"/>
    <col min="13680" max="13680" width="9.7109375" style="125" customWidth="1"/>
    <col min="13681" max="13682" width="3.7109375" style="125" customWidth="1"/>
    <col min="13683" max="13683" width="9.7109375" style="125" customWidth="1"/>
    <col min="13684" max="13685" width="3.7109375" style="125" customWidth="1"/>
    <col min="13686" max="13686" width="9.7109375" style="125" customWidth="1"/>
    <col min="13687" max="13688" width="3.7109375" style="125" customWidth="1"/>
    <col min="13689" max="13689" width="9.7109375" style="125" customWidth="1"/>
    <col min="13690" max="13691" width="3.7109375" style="125" customWidth="1"/>
    <col min="13692" max="13692" width="9.7109375" style="125" customWidth="1"/>
    <col min="13693" max="13694" width="3.7109375" style="125" customWidth="1"/>
    <col min="13695" max="13695" width="9.7109375" style="125" customWidth="1"/>
    <col min="13696" max="13697" width="3.7109375" style="125" customWidth="1"/>
    <col min="13698" max="13698" width="9.7109375" style="125" customWidth="1"/>
    <col min="13699" max="13700" width="3.7109375" style="125" customWidth="1"/>
    <col min="13701" max="13701" width="9.7109375" style="125" customWidth="1"/>
    <col min="13702" max="13702" width="3.7109375" style="125" customWidth="1"/>
    <col min="13703" max="13703" width="5.7109375" style="125" bestFit="1" customWidth="1"/>
    <col min="13704" max="13704" width="9.7109375" style="125" customWidth="1"/>
    <col min="13705" max="13706" width="3.7109375" style="125" customWidth="1"/>
    <col min="13707" max="13707" width="9.7109375" style="125" customWidth="1"/>
    <col min="13708" max="13709" width="3.7109375" style="125" customWidth="1"/>
    <col min="13710" max="13710" width="9.7109375" style="125" customWidth="1"/>
    <col min="13711" max="13712" width="3.7109375" style="125" customWidth="1"/>
    <col min="13713" max="13713" width="9.7109375" style="125" customWidth="1"/>
    <col min="13714" max="13715" width="3.7109375" style="125" customWidth="1"/>
    <col min="13716" max="13716" width="9.7109375" style="125" customWidth="1"/>
    <col min="13717" max="13718" width="3.7109375" style="125" customWidth="1"/>
    <col min="13719" max="13719" width="9.7109375" style="125" customWidth="1"/>
    <col min="13720" max="13721" width="3.7109375" style="125" customWidth="1"/>
    <col min="13722" max="13722" width="9.7109375" style="125" customWidth="1"/>
    <col min="13723" max="13724" width="3.7109375" style="125" customWidth="1"/>
    <col min="13725" max="13725" width="9.7109375" style="125" customWidth="1"/>
    <col min="13726" max="13727" width="3.7109375" style="125" customWidth="1"/>
    <col min="13728" max="13728" width="9.7109375" style="125" customWidth="1"/>
    <col min="13729" max="13730" width="3.7109375" style="125" customWidth="1"/>
    <col min="13731" max="13731" width="9.7109375" style="125" customWidth="1"/>
    <col min="13732" max="13733" width="3.7109375" style="125" customWidth="1"/>
    <col min="13734" max="13734" width="9.7109375" style="125" customWidth="1"/>
    <col min="13735" max="13736" width="3.7109375" style="125" customWidth="1"/>
    <col min="13737" max="13737" width="9.7109375" style="125" customWidth="1"/>
    <col min="13738" max="13739" width="3.7109375" style="125" customWidth="1"/>
    <col min="13740" max="13740" width="9.7109375" style="125" customWidth="1"/>
    <col min="13741" max="13742" width="3.7109375" style="125" customWidth="1"/>
    <col min="13743" max="13743" width="9.7109375" style="125" customWidth="1"/>
    <col min="13744" max="13745" width="3.7109375" style="125" customWidth="1"/>
    <col min="13746" max="13746" width="9.7109375" style="125" customWidth="1"/>
    <col min="13747" max="13748" width="3.7109375" style="125" customWidth="1"/>
    <col min="13749" max="13749" width="9.7109375" style="125" customWidth="1"/>
    <col min="13750" max="13751" width="3.7109375" style="125" customWidth="1"/>
    <col min="13752" max="13752" width="9.7109375" style="125" customWidth="1"/>
    <col min="13753" max="13754" width="3.7109375" style="125" customWidth="1"/>
    <col min="13755" max="13755" width="9.7109375" style="125" customWidth="1"/>
    <col min="13756" max="13757" width="3.7109375" style="125" customWidth="1"/>
    <col min="13758" max="13758" width="9.7109375" style="125" customWidth="1"/>
    <col min="13759" max="13760" width="3.7109375" style="125" customWidth="1"/>
    <col min="13761" max="13761" width="9.7109375" style="125" customWidth="1"/>
    <col min="13762" max="13763" width="3.7109375" style="125" customWidth="1"/>
    <col min="13764" max="13764" width="9.7109375" style="125" customWidth="1"/>
    <col min="13765" max="13766" width="3.7109375" style="125" customWidth="1"/>
    <col min="13767" max="13767" width="9.7109375" style="125" customWidth="1"/>
    <col min="13768" max="13769" width="3.7109375" style="125" customWidth="1"/>
    <col min="13770" max="13770" width="9.7109375" style="125" customWidth="1"/>
    <col min="13771" max="13772" width="3.7109375" style="125" customWidth="1"/>
    <col min="13773" max="13773" width="9.7109375" style="125" customWidth="1"/>
    <col min="13774" max="13775" width="3.7109375" style="125" customWidth="1"/>
    <col min="13776" max="13776" width="9.7109375" style="125" customWidth="1"/>
    <col min="13777" max="13778" width="3.7109375" style="125" customWidth="1"/>
    <col min="13779" max="13779" width="9.7109375" style="125" customWidth="1"/>
    <col min="13780" max="13781" width="3.7109375" style="125" customWidth="1"/>
    <col min="13782" max="13782" width="9.7109375" style="125" customWidth="1"/>
    <col min="13783" max="13784" width="3.7109375" style="125" customWidth="1"/>
    <col min="13785" max="13785" width="9.7109375" style="125" customWidth="1"/>
    <col min="13786" max="13787" width="3.7109375" style="125" customWidth="1"/>
    <col min="13788" max="13788" width="9.7109375" style="125" customWidth="1"/>
    <col min="13789" max="13790" width="3.7109375" style="125" customWidth="1"/>
    <col min="13791" max="13791" width="9.7109375" style="125" customWidth="1"/>
    <col min="13792" max="13793" width="3.7109375" style="125" customWidth="1"/>
    <col min="13794" max="13794" width="9.7109375" style="125" customWidth="1"/>
    <col min="13795" max="13796" width="3.7109375" style="125" customWidth="1"/>
    <col min="13797" max="13797" width="9.7109375" style="125" customWidth="1"/>
    <col min="13798" max="13799" width="3.7109375" style="125" customWidth="1"/>
    <col min="13800" max="13800" width="9.7109375" style="125" customWidth="1"/>
    <col min="13801" max="13802" width="3.7109375" style="125" customWidth="1"/>
    <col min="13803" max="13803" width="9.7109375" style="125" customWidth="1"/>
    <col min="13804" max="13805" width="3.7109375" style="125" customWidth="1"/>
    <col min="13806" max="13806" width="9.7109375" style="125" customWidth="1"/>
    <col min="13807" max="13808" width="3.7109375" style="125" customWidth="1"/>
    <col min="13809" max="13809" width="9.7109375" style="125" customWidth="1"/>
    <col min="13810" max="13811" width="3.7109375" style="125" customWidth="1"/>
    <col min="13812" max="13812" width="9.7109375" style="125" customWidth="1"/>
    <col min="13813" max="13814" width="3.7109375" style="125" customWidth="1"/>
    <col min="13815" max="13815" width="9.7109375" style="125" customWidth="1"/>
    <col min="13816" max="13817" width="3.7109375" style="125" customWidth="1"/>
    <col min="13818" max="13818" width="9.7109375" style="125" customWidth="1"/>
    <col min="13819" max="13820" width="3.7109375" style="125" customWidth="1"/>
    <col min="13821" max="13821" width="9.7109375" style="125" customWidth="1"/>
    <col min="13822" max="13822" width="3.7109375" style="125" customWidth="1"/>
    <col min="13823" max="13824" width="8" style="125"/>
    <col min="13825" max="13825" width="30.7109375" style="125" customWidth="1"/>
    <col min="13826" max="13826" width="9.7109375" style="125" customWidth="1"/>
    <col min="13827" max="13827" width="3.7109375" style="125" customWidth="1"/>
    <col min="13828" max="13828" width="9.7109375" style="125" customWidth="1"/>
    <col min="13829" max="13830" width="3.7109375" style="125" customWidth="1"/>
    <col min="13831" max="13831" width="9.7109375" style="125" customWidth="1"/>
    <col min="13832" max="13833" width="3.7109375" style="125" customWidth="1"/>
    <col min="13834" max="13834" width="9.7109375" style="125" customWidth="1"/>
    <col min="13835" max="13836" width="3.7109375" style="125" customWidth="1"/>
    <col min="13837" max="13837" width="9.7109375" style="125" customWidth="1"/>
    <col min="13838" max="13839" width="3.7109375" style="125" customWidth="1"/>
    <col min="13840" max="13840" width="9.7109375" style="125" customWidth="1"/>
    <col min="13841" max="13842" width="3.7109375" style="125" customWidth="1"/>
    <col min="13843" max="13843" width="9.7109375" style="125" customWidth="1"/>
    <col min="13844" max="13845" width="3.7109375" style="125" customWidth="1"/>
    <col min="13846" max="13846" width="9.7109375" style="125" customWidth="1"/>
    <col min="13847" max="13848" width="3.7109375" style="125" customWidth="1"/>
    <col min="13849" max="13849" width="9.7109375" style="125" customWidth="1"/>
    <col min="13850" max="13851" width="3.7109375" style="125" customWidth="1"/>
    <col min="13852" max="13852" width="9.7109375" style="125" customWidth="1"/>
    <col min="13853" max="13854" width="3.7109375" style="125" customWidth="1"/>
    <col min="13855" max="13855" width="9.7109375" style="125" customWidth="1"/>
    <col min="13856" max="13857" width="3.7109375" style="125" customWidth="1"/>
    <col min="13858" max="13858" width="9.7109375" style="125" customWidth="1"/>
    <col min="13859" max="13860" width="3.7109375" style="125" customWidth="1"/>
    <col min="13861" max="13861" width="9.7109375" style="125" customWidth="1"/>
    <col min="13862" max="13863" width="3.7109375" style="125" customWidth="1"/>
    <col min="13864" max="13864" width="9.7109375" style="125" customWidth="1"/>
    <col min="13865" max="13866" width="3.7109375" style="125" customWidth="1"/>
    <col min="13867" max="13867" width="9.7109375" style="125" customWidth="1"/>
    <col min="13868" max="13869" width="3.7109375" style="125" customWidth="1"/>
    <col min="13870" max="13870" width="9.7109375" style="125" customWidth="1"/>
    <col min="13871" max="13872" width="3.7109375" style="125" customWidth="1"/>
    <col min="13873" max="13873" width="9.7109375" style="125" customWidth="1"/>
    <col min="13874" max="13875" width="3.7109375" style="125" customWidth="1"/>
    <col min="13876" max="13876" width="9.7109375" style="125" customWidth="1"/>
    <col min="13877" max="13878" width="3.7109375" style="125" customWidth="1"/>
    <col min="13879" max="13879" width="9.7109375" style="125" customWidth="1"/>
    <col min="13880" max="13881" width="3.7109375" style="125" customWidth="1"/>
    <col min="13882" max="13882" width="9.7109375" style="125" customWidth="1"/>
    <col min="13883" max="13884" width="3.7109375" style="125" customWidth="1"/>
    <col min="13885" max="13885" width="9.7109375" style="125" customWidth="1"/>
    <col min="13886" max="13887" width="3.7109375" style="125" customWidth="1"/>
    <col min="13888" max="13888" width="9.7109375" style="125" customWidth="1"/>
    <col min="13889" max="13890" width="3.7109375" style="125" customWidth="1"/>
    <col min="13891" max="13891" width="9.7109375" style="125" customWidth="1"/>
    <col min="13892" max="13893" width="3.7109375" style="125" customWidth="1"/>
    <col min="13894" max="13894" width="9.7109375" style="125" customWidth="1"/>
    <col min="13895" max="13896" width="3.7109375" style="125" customWidth="1"/>
    <col min="13897" max="13897" width="9.7109375" style="125" customWidth="1"/>
    <col min="13898" max="13899" width="3.7109375" style="125" customWidth="1"/>
    <col min="13900" max="13900" width="9.7109375" style="125" customWidth="1"/>
    <col min="13901" max="13902" width="3.7109375" style="125" customWidth="1"/>
    <col min="13903" max="13903" width="9.7109375" style="125" customWidth="1"/>
    <col min="13904" max="13905" width="3.7109375" style="125" customWidth="1"/>
    <col min="13906" max="13906" width="9.7109375" style="125" customWidth="1"/>
    <col min="13907" max="13908" width="3.7109375" style="125" customWidth="1"/>
    <col min="13909" max="13909" width="9.7109375" style="125" customWidth="1"/>
    <col min="13910" max="13911" width="3.7109375" style="125" customWidth="1"/>
    <col min="13912" max="13912" width="9.7109375" style="125" customWidth="1"/>
    <col min="13913" max="13914" width="3.7109375" style="125" customWidth="1"/>
    <col min="13915" max="13915" width="9.7109375" style="125" customWidth="1"/>
    <col min="13916" max="13917" width="3.7109375" style="125" customWidth="1"/>
    <col min="13918" max="13918" width="9.7109375" style="125" customWidth="1"/>
    <col min="13919" max="13920" width="3.7109375" style="125" customWidth="1"/>
    <col min="13921" max="13921" width="9.7109375" style="125" customWidth="1"/>
    <col min="13922" max="13923" width="3.7109375" style="125" customWidth="1"/>
    <col min="13924" max="13924" width="9.7109375" style="125" customWidth="1"/>
    <col min="13925" max="13926" width="3.7109375" style="125" customWidth="1"/>
    <col min="13927" max="13927" width="9.7109375" style="125" customWidth="1"/>
    <col min="13928" max="13929" width="3.7109375" style="125" customWidth="1"/>
    <col min="13930" max="13930" width="9.7109375" style="125" customWidth="1"/>
    <col min="13931" max="13932" width="3.7109375" style="125" customWidth="1"/>
    <col min="13933" max="13933" width="9.7109375" style="125" customWidth="1"/>
    <col min="13934" max="13934" width="3.7109375" style="125" customWidth="1"/>
    <col min="13935" max="13935" width="5.7109375" style="125" bestFit="1" customWidth="1"/>
    <col min="13936" max="13936" width="9.7109375" style="125" customWidth="1"/>
    <col min="13937" max="13938" width="3.7109375" style="125" customWidth="1"/>
    <col min="13939" max="13939" width="9.7109375" style="125" customWidth="1"/>
    <col min="13940" max="13941" width="3.7109375" style="125" customWidth="1"/>
    <col min="13942" max="13942" width="9.7109375" style="125" customWidth="1"/>
    <col min="13943" max="13944" width="3.7109375" style="125" customWidth="1"/>
    <col min="13945" max="13945" width="9.7109375" style="125" customWidth="1"/>
    <col min="13946" max="13947" width="3.7109375" style="125" customWidth="1"/>
    <col min="13948" max="13948" width="9.7109375" style="125" customWidth="1"/>
    <col min="13949" max="13950" width="3.7109375" style="125" customWidth="1"/>
    <col min="13951" max="13951" width="9.7109375" style="125" customWidth="1"/>
    <col min="13952" max="13953" width="3.7109375" style="125" customWidth="1"/>
    <col min="13954" max="13954" width="9.7109375" style="125" customWidth="1"/>
    <col min="13955" max="13956" width="3.7109375" style="125" customWidth="1"/>
    <col min="13957" max="13957" width="9.7109375" style="125" customWidth="1"/>
    <col min="13958" max="13958" width="3.7109375" style="125" customWidth="1"/>
    <col min="13959" max="13959" width="5.7109375" style="125" bestFit="1" customWidth="1"/>
    <col min="13960" max="13960" width="9.7109375" style="125" customWidth="1"/>
    <col min="13961" max="13962" width="3.7109375" style="125" customWidth="1"/>
    <col min="13963" max="13963" width="9.7109375" style="125" customWidth="1"/>
    <col min="13964" max="13965" width="3.7109375" style="125" customWidth="1"/>
    <col min="13966" max="13966" width="9.7109375" style="125" customWidth="1"/>
    <col min="13967" max="13968" width="3.7109375" style="125" customWidth="1"/>
    <col min="13969" max="13969" width="9.7109375" style="125" customWidth="1"/>
    <col min="13970" max="13971" width="3.7109375" style="125" customWidth="1"/>
    <col min="13972" max="13972" width="9.7109375" style="125" customWidth="1"/>
    <col min="13973" max="13974" width="3.7109375" style="125" customWidth="1"/>
    <col min="13975" max="13975" width="9.7109375" style="125" customWidth="1"/>
    <col min="13976" max="13977" width="3.7109375" style="125" customWidth="1"/>
    <col min="13978" max="13978" width="9.7109375" style="125" customWidth="1"/>
    <col min="13979" max="13980" width="3.7109375" style="125" customWidth="1"/>
    <col min="13981" max="13981" width="9.7109375" style="125" customWidth="1"/>
    <col min="13982" max="13983" width="3.7109375" style="125" customWidth="1"/>
    <col min="13984" max="13984" width="9.7109375" style="125" customWidth="1"/>
    <col min="13985" max="13986" width="3.7109375" style="125" customWidth="1"/>
    <col min="13987" max="13987" width="9.7109375" style="125" customWidth="1"/>
    <col min="13988" max="13989" width="3.7109375" style="125" customWidth="1"/>
    <col min="13990" max="13990" width="9.7109375" style="125" customWidth="1"/>
    <col min="13991" max="13992" width="3.7109375" style="125" customWidth="1"/>
    <col min="13993" max="13993" width="9.7109375" style="125" customWidth="1"/>
    <col min="13994" max="13995" width="3.7109375" style="125" customWidth="1"/>
    <col min="13996" max="13996" width="9.7109375" style="125" customWidth="1"/>
    <col min="13997" max="13998" width="3.7109375" style="125" customWidth="1"/>
    <col min="13999" max="13999" width="9.7109375" style="125" customWidth="1"/>
    <col min="14000" max="14001" width="3.7109375" style="125" customWidth="1"/>
    <col min="14002" max="14002" width="9.7109375" style="125" customWidth="1"/>
    <col min="14003" max="14004" width="3.7109375" style="125" customWidth="1"/>
    <col min="14005" max="14005" width="9.7109375" style="125" customWidth="1"/>
    <col min="14006" max="14007" width="3.7109375" style="125" customWidth="1"/>
    <col min="14008" max="14008" width="9.7109375" style="125" customWidth="1"/>
    <col min="14009" max="14010" width="3.7109375" style="125" customWidth="1"/>
    <col min="14011" max="14011" width="9.7109375" style="125" customWidth="1"/>
    <col min="14012" max="14013" width="3.7109375" style="125" customWidth="1"/>
    <col min="14014" max="14014" width="9.7109375" style="125" customWidth="1"/>
    <col min="14015" max="14016" width="3.7109375" style="125" customWidth="1"/>
    <col min="14017" max="14017" width="9.7109375" style="125" customWidth="1"/>
    <col min="14018" max="14019" width="3.7109375" style="125" customWidth="1"/>
    <col min="14020" max="14020" width="9.7109375" style="125" customWidth="1"/>
    <col min="14021" max="14022" width="3.7109375" style="125" customWidth="1"/>
    <col min="14023" max="14023" width="9.7109375" style="125" customWidth="1"/>
    <col min="14024" max="14025" width="3.7109375" style="125" customWidth="1"/>
    <col min="14026" max="14026" width="9.7109375" style="125" customWidth="1"/>
    <col min="14027" max="14028" width="3.7109375" style="125" customWidth="1"/>
    <col min="14029" max="14029" width="9.7109375" style="125" customWidth="1"/>
    <col min="14030" max="14031" width="3.7109375" style="125" customWidth="1"/>
    <col min="14032" max="14032" width="9.7109375" style="125" customWidth="1"/>
    <col min="14033" max="14034" width="3.7109375" style="125" customWidth="1"/>
    <col min="14035" max="14035" width="9.7109375" style="125" customWidth="1"/>
    <col min="14036" max="14037" width="3.7109375" style="125" customWidth="1"/>
    <col min="14038" max="14038" width="9.7109375" style="125" customWidth="1"/>
    <col min="14039" max="14040" width="3.7109375" style="125" customWidth="1"/>
    <col min="14041" max="14041" width="9.7109375" style="125" customWidth="1"/>
    <col min="14042" max="14043" width="3.7109375" style="125" customWidth="1"/>
    <col min="14044" max="14044" width="9.7109375" style="125" customWidth="1"/>
    <col min="14045" max="14046" width="3.7109375" style="125" customWidth="1"/>
    <col min="14047" max="14047" width="9.7109375" style="125" customWidth="1"/>
    <col min="14048" max="14049" width="3.7109375" style="125" customWidth="1"/>
    <col min="14050" max="14050" width="9.7109375" style="125" customWidth="1"/>
    <col min="14051" max="14052" width="3.7109375" style="125" customWidth="1"/>
    <col min="14053" max="14053" width="9.7109375" style="125" customWidth="1"/>
    <col min="14054" max="14055" width="3.7109375" style="125" customWidth="1"/>
    <col min="14056" max="14056" width="9.7109375" style="125" customWidth="1"/>
    <col min="14057" max="14058" width="3.7109375" style="125" customWidth="1"/>
    <col min="14059" max="14059" width="9.7109375" style="125" customWidth="1"/>
    <col min="14060" max="14061" width="3.7109375" style="125" customWidth="1"/>
    <col min="14062" max="14062" width="9.7109375" style="125" customWidth="1"/>
    <col min="14063" max="14064" width="3.7109375" style="125" customWidth="1"/>
    <col min="14065" max="14065" width="9.7109375" style="125" customWidth="1"/>
    <col min="14066" max="14067" width="3.7109375" style="125" customWidth="1"/>
    <col min="14068" max="14068" width="9.7109375" style="125" customWidth="1"/>
    <col min="14069" max="14070" width="3.7109375" style="125" customWidth="1"/>
    <col min="14071" max="14071" width="9.7109375" style="125" customWidth="1"/>
    <col min="14072" max="14073" width="3.7109375" style="125" customWidth="1"/>
    <col min="14074" max="14074" width="9.7109375" style="125" customWidth="1"/>
    <col min="14075" max="14076" width="3.7109375" style="125" customWidth="1"/>
    <col min="14077" max="14077" width="9.7109375" style="125" customWidth="1"/>
    <col min="14078" max="14078" width="3.7109375" style="125" customWidth="1"/>
    <col min="14079" max="14080" width="8" style="125"/>
    <col min="14081" max="14081" width="30.7109375" style="125" customWidth="1"/>
    <col min="14082" max="14082" width="9.7109375" style="125" customWidth="1"/>
    <col min="14083" max="14083" width="3.7109375" style="125" customWidth="1"/>
    <col min="14084" max="14084" width="9.7109375" style="125" customWidth="1"/>
    <col min="14085" max="14086" width="3.7109375" style="125" customWidth="1"/>
    <col min="14087" max="14087" width="9.7109375" style="125" customWidth="1"/>
    <col min="14088" max="14089" width="3.7109375" style="125" customWidth="1"/>
    <col min="14090" max="14090" width="9.7109375" style="125" customWidth="1"/>
    <col min="14091" max="14092" width="3.7109375" style="125" customWidth="1"/>
    <col min="14093" max="14093" width="9.7109375" style="125" customWidth="1"/>
    <col min="14094" max="14095" width="3.7109375" style="125" customWidth="1"/>
    <col min="14096" max="14096" width="9.7109375" style="125" customWidth="1"/>
    <col min="14097" max="14098" width="3.7109375" style="125" customWidth="1"/>
    <col min="14099" max="14099" width="9.7109375" style="125" customWidth="1"/>
    <col min="14100" max="14101" width="3.7109375" style="125" customWidth="1"/>
    <col min="14102" max="14102" width="9.7109375" style="125" customWidth="1"/>
    <col min="14103" max="14104" width="3.7109375" style="125" customWidth="1"/>
    <col min="14105" max="14105" width="9.7109375" style="125" customWidth="1"/>
    <col min="14106" max="14107" width="3.7109375" style="125" customWidth="1"/>
    <col min="14108" max="14108" width="9.7109375" style="125" customWidth="1"/>
    <col min="14109" max="14110" width="3.7109375" style="125" customWidth="1"/>
    <col min="14111" max="14111" width="9.7109375" style="125" customWidth="1"/>
    <col min="14112" max="14113" width="3.7109375" style="125" customWidth="1"/>
    <col min="14114" max="14114" width="9.7109375" style="125" customWidth="1"/>
    <col min="14115" max="14116" width="3.7109375" style="125" customWidth="1"/>
    <col min="14117" max="14117" width="9.7109375" style="125" customWidth="1"/>
    <col min="14118" max="14119" width="3.7109375" style="125" customWidth="1"/>
    <col min="14120" max="14120" width="9.7109375" style="125" customWidth="1"/>
    <col min="14121" max="14122" width="3.7109375" style="125" customWidth="1"/>
    <col min="14123" max="14123" width="9.7109375" style="125" customWidth="1"/>
    <col min="14124" max="14125" width="3.7109375" style="125" customWidth="1"/>
    <col min="14126" max="14126" width="9.7109375" style="125" customWidth="1"/>
    <col min="14127" max="14128" width="3.7109375" style="125" customWidth="1"/>
    <col min="14129" max="14129" width="9.7109375" style="125" customWidth="1"/>
    <col min="14130" max="14131" width="3.7109375" style="125" customWidth="1"/>
    <col min="14132" max="14132" width="9.7109375" style="125" customWidth="1"/>
    <col min="14133" max="14134" width="3.7109375" style="125" customWidth="1"/>
    <col min="14135" max="14135" width="9.7109375" style="125" customWidth="1"/>
    <col min="14136" max="14137" width="3.7109375" style="125" customWidth="1"/>
    <col min="14138" max="14138" width="9.7109375" style="125" customWidth="1"/>
    <col min="14139" max="14140" width="3.7109375" style="125" customWidth="1"/>
    <col min="14141" max="14141" width="9.7109375" style="125" customWidth="1"/>
    <col min="14142" max="14143" width="3.7109375" style="125" customWidth="1"/>
    <col min="14144" max="14144" width="9.7109375" style="125" customWidth="1"/>
    <col min="14145" max="14146" width="3.7109375" style="125" customWidth="1"/>
    <col min="14147" max="14147" width="9.7109375" style="125" customWidth="1"/>
    <col min="14148" max="14149" width="3.7109375" style="125" customWidth="1"/>
    <col min="14150" max="14150" width="9.7109375" style="125" customWidth="1"/>
    <col min="14151" max="14152" width="3.7109375" style="125" customWidth="1"/>
    <col min="14153" max="14153" width="9.7109375" style="125" customWidth="1"/>
    <col min="14154" max="14155" width="3.7109375" style="125" customWidth="1"/>
    <col min="14156" max="14156" width="9.7109375" style="125" customWidth="1"/>
    <col min="14157" max="14158" width="3.7109375" style="125" customWidth="1"/>
    <col min="14159" max="14159" width="9.7109375" style="125" customWidth="1"/>
    <col min="14160" max="14161" width="3.7109375" style="125" customWidth="1"/>
    <col min="14162" max="14162" width="9.7109375" style="125" customWidth="1"/>
    <col min="14163" max="14164" width="3.7109375" style="125" customWidth="1"/>
    <col min="14165" max="14165" width="9.7109375" style="125" customWidth="1"/>
    <col min="14166" max="14167" width="3.7109375" style="125" customWidth="1"/>
    <col min="14168" max="14168" width="9.7109375" style="125" customWidth="1"/>
    <col min="14169" max="14170" width="3.7109375" style="125" customWidth="1"/>
    <col min="14171" max="14171" width="9.7109375" style="125" customWidth="1"/>
    <col min="14172" max="14173" width="3.7109375" style="125" customWidth="1"/>
    <col min="14174" max="14174" width="9.7109375" style="125" customWidth="1"/>
    <col min="14175" max="14176" width="3.7109375" style="125" customWidth="1"/>
    <col min="14177" max="14177" width="9.7109375" style="125" customWidth="1"/>
    <col min="14178" max="14179" width="3.7109375" style="125" customWidth="1"/>
    <col min="14180" max="14180" width="9.7109375" style="125" customWidth="1"/>
    <col min="14181" max="14182" width="3.7109375" style="125" customWidth="1"/>
    <col min="14183" max="14183" width="9.7109375" style="125" customWidth="1"/>
    <col min="14184" max="14185" width="3.7109375" style="125" customWidth="1"/>
    <col min="14186" max="14186" width="9.7109375" style="125" customWidth="1"/>
    <col min="14187" max="14188" width="3.7109375" style="125" customWidth="1"/>
    <col min="14189" max="14189" width="9.7109375" style="125" customWidth="1"/>
    <col min="14190" max="14190" width="3.7109375" style="125" customWidth="1"/>
    <col min="14191" max="14191" width="5.7109375" style="125" bestFit="1" customWidth="1"/>
    <col min="14192" max="14192" width="9.7109375" style="125" customWidth="1"/>
    <col min="14193" max="14194" width="3.7109375" style="125" customWidth="1"/>
    <col min="14195" max="14195" width="9.7109375" style="125" customWidth="1"/>
    <col min="14196" max="14197" width="3.7109375" style="125" customWidth="1"/>
    <col min="14198" max="14198" width="9.7109375" style="125" customWidth="1"/>
    <col min="14199" max="14200" width="3.7109375" style="125" customWidth="1"/>
    <col min="14201" max="14201" width="9.7109375" style="125" customWidth="1"/>
    <col min="14202" max="14203" width="3.7109375" style="125" customWidth="1"/>
    <col min="14204" max="14204" width="9.7109375" style="125" customWidth="1"/>
    <col min="14205" max="14206" width="3.7109375" style="125" customWidth="1"/>
    <col min="14207" max="14207" width="9.7109375" style="125" customWidth="1"/>
    <col min="14208" max="14209" width="3.7109375" style="125" customWidth="1"/>
    <col min="14210" max="14210" width="9.7109375" style="125" customWidth="1"/>
    <col min="14211" max="14212" width="3.7109375" style="125" customWidth="1"/>
    <col min="14213" max="14213" width="9.7109375" style="125" customWidth="1"/>
    <col min="14214" max="14214" width="3.7109375" style="125" customWidth="1"/>
    <col min="14215" max="14215" width="5.7109375" style="125" bestFit="1" customWidth="1"/>
    <col min="14216" max="14216" width="9.7109375" style="125" customWidth="1"/>
    <col min="14217" max="14218" width="3.7109375" style="125" customWidth="1"/>
    <col min="14219" max="14219" width="9.7109375" style="125" customWidth="1"/>
    <col min="14220" max="14221" width="3.7109375" style="125" customWidth="1"/>
    <col min="14222" max="14222" width="9.7109375" style="125" customWidth="1"/>
    <col min="14223" max="14224" width="3.7109375" style="125" customWidth="1"/>
    <col min="14225" max="14225" width="9.7109375" style="125" customWidth="1"/>
    <col min="14226" max="14227" width="3.7109375" style="125" customWidth="1"/>
    <col min="14228" max="14228" width="9.7109375" style="125" customWidth="1"/>
    <col min="14229" max="14230" width="3.7109375" style="125" customWidth="1"/>
    <col min="14231" max="14231" width="9.7109375" style="125" customWidth="1"/>
    <col min="14232" max="14233" width="3.7109375" style="125" customWidth="1"/>
    <col min="14234" max="14234" width="9.7109375" style="125" customWidth="1"/>
    <col min="14235" max="14236" width="3.7109375" style="125" customWidth="1"/>
    <col min="14237" max="14237" width="9.7109375" style="125" customWidth="1"/>
    <col min="14238" max="14239" width="3.7109375" style="125" customWidth="1"/>
    <col min="14240" max="14240" width="9.7109375" style="125" customWidth="1"/>
    <col min="14241" max="14242" width="3.7109375" style="125" customWidth="1"/>
    <col min="14243" max="14243" width="9.7109375" style="125" customWidth="1"/>
    <col min="14244" max="14245" width="3.7109375" style="125" customWidth="1"/>
    <col min="14246" max="14246" width="9.7109375" style="125" customWidth="1"/>
    <col min="14247" max="14248" width="3.7109375" style="125" customWidth="1"/>
    <col min="14249" max="14249" width="9.7109375" style="125" customWidth="1"/>
    <col min="14250" max="14251" width="3.7109375" style="125" customWidth="1"/>
    <col min="14252" max="14252" width="9.7109375" style="125" customWidth="1"/>
    <col min="14253" max="14254" width="3.7109375" style="125" customWidth="1"/>
    <col min="14255" max="14255" width="9.7109375" style="125" customWidth="1"/>
    <col min="14256" max="14257" width="3.7109375" style="125" customWidth="1"/>
    <col min="14258" max="14258" width="9.7109375" style="125" customWidth="1"/>
    <col min="14259" max="14260" width="3.7109375" style="125" customWidth="1"/>
    <col min="14261" max="14261" width="9.7109375" style="125" customWidth="1"/>
    <col min="14262" max="14263" width="3.7109375" style="125" customWidth="1"/>
    <col min="14264" max="14264" width="9.7109375" style="125" customWidth="1"/>
    <col min="14265" max="14266" width="3.7109375" style="125" customWidth="1"/>
    <col min="14267" max="14267" width="9.7109375" style="125" customWidth="1"/>
    <col min="14268" max="14269" width="3.7109375" style="125" customWidth="1"/>
    <col min="14270" max="14270" width="9.7109375" style="125" customWidth="1"/>
    <col min="14271" max="14272" width="3.7109375" style="125" customWidth="1"/>
    <col min="14273" max="14273" width="9.7109375" style="125" customWidth="1"/>
    <col min="14274" max="14275" width="3.7109375" style="125" customWidth="1"/>
    <col min="14276" max="14276" width="9.7109375" style="125" customWidth="1"/>
    <col min="14277" max="14278" width="3.7109375" style="125" customWidth="1"/>
    <col min="14279" max="14279" width="9.7109375" style="125" customWidth="1"/>
    <col min="14280" max="14281" width="3.7109375" style="125" customWidth="1"/>
    <col min="14282" max="14282" width="9.7109375" style="125" customWidth="1"/>
    <col min="14283" max="14284" width="3.7109375" style="125" customWidth="1"/>
    <col min="14285" max="14285" width="9.7109375" style="125" customWidth="1"/>
    <col min="14286" max="14287" width="3.7109375" style="125" customWidth="1"/>
    <col min="14288" max="14288" width="9.7109375" style="125" customWidth="1"/>
    <col min="14289" max="14290" width="3.7109375" style="125" customWidth="1"/>
    <col min="14291" max="14291" width="9.7109375" style="125" customWidth="1"/>
    <col min="14292" max="14293" width="3.7109375" style="125" customWidth="1"/>
    <col min="14294" max="14294" width="9.7109375" style="125" customWidth="1"/>
    <col min="14295" max="14296" width="3.7109375" style="125" customWidth="1"/>
    <col min="14297" max="14297" width="9.7109375" style="125" customWidth="1"/>
    <col min="14298" max="14299" width="3.7109375" style="125" customWidth="1"/>
    <col min="14300" max="14300" width="9.7109375" style="125" customWidth="1"/>
    <col min="14301" max="14302" width="3.7109375" style="125" customWidth="1"/>
    <col min="14303" max="14303" width="9.7109375" style="125" customWidth="1"/>
    <col min="14304" max="14305" width="3.7109375" style="125" customWidth="1"/>
    <col min="14306" max="14306" width="9.7109375" style="125" customWidth="1"/>
    <col min="14307" max="14308" width="3.7109375" style="125" customWidth="1"/>
    <col min="14309" max="14309" width="9.7109375" style="125" customWidth="1"/>
    <col min="14310" max="14311" width="3.7109375" style="125" customWidth="1"/>
    <col min="14312" max="14312" width="9.7109375" style="125" customWidth="1"/>
    <col min="14313" max="14314" width="3.7109375" style="125" customWidth="1"/>
    <col min="14315" max="14315" width="9.7109375" style="125" customWidth="1"/>
    <col min="14316" max="14317" width="3.7109375" style="125" customWidth="1"/>
    <col min="14318" max="14318" width="9.7109375" style="125" customWidth="1"/>
    <col min="14319" max="14320" width="3.7109375" style="125" customWidth="1"/>
    <col min="14321" max="14321" width="9.7109375" style="125" customWidth="1"/>
    <col min="14322" max="14323" width="3.7109375" style="125" customWidth="1"/>
    <col min="14324" max="14324" width="9.7109375" style="125" customWidth="1"/>
    <col min="14325" max="14326" width="3.7109375" style="125" customWidth="1"/>
    <col min="14327" max="14327" width="9.7109375" style="125" customWidth="1"/>
    <col min="14328" max="14329" width="3.7109375" style="125" customWidth="1"/>
    <col min="14330" max="14330" width="9.7109375" style="125" customWidth="1"/>
    <col min="14331" max="14332" width="3.7109375" style="125" customWidth="1"/>
    <col min="14333" max="14333" width="9.7109375" style="125" customWidth="1"/>
    <col min="14334" max="14334" width="3.7109375" style="125" customWidth="1"/>
    <col min="14335" max="14336" width="8" style="125"/>
    <col min="14337" max="14337" width="30.7109375" style="125" customWidth="1"/>
    <col min="14338" max="14338" width="9.7109375" style="125" customWidth="1"/>
    <col min="14339" max="14339" width="3.7109375" style="125" customWidth="1"/>
    <col min="14340" max="14340" width="9.7109375" style="125" customWidth="1"/>
    <col min="14341" max="14342" width="3.7109375" style="125" customWidth="1"/>
    <col min="14343" max="14343" width="9.7109375" style="125" customWidth="1"/>
    <col min="14344" max="14345" width="3.7109375" style="125" customWidth="1"/>
    <col min="14346" max="14346" width="9.7109375" style="125" customWidth="1"/>
    <col min="14347" max="14348" width="3.7109375" style="125" customWidth="1"/>
    <col min="14349" max="14349" width="9.7109375" style="125" customWidth="1"/>
    <col min="14350" max="14351" width="3.7109375" style="125" customWidth="1"/>
    <col min="14352" max="14352" width="9.7109375" style="125" customWidth="1"/>
    <col min="14353" max="14354" width="3.7109375" style="125" customWidth="1"/>
    <col min="14355" max="14355" width="9.7109375" style="125" customWidth="1"/>
    <col min="14356" max="14357" width="3.7109375" style="125" customWidth="1"/>
    <col min="14358" max="14358" width="9.7109375" style="125" customWidth="1"/>
    <col min="14359" max="14360" width="3.7109375" style="125" customWidth="1"/>
    <col min="14361" max="14361" width="9.7109375" style="125" customWidth="1"/>
    <col min="14362" max="14363" width="3.7109375" style="125" customWidth="1"/>
    <col min="14364" max="14364" width="9.7109375" style="125" customWidth="1"/>
    <col min="14365" max="14366" width="3.7109375" style="125" customWidth="1"/>
    <col min="14367" max="14367" width="9.7109375" style="125" customWidth="1"/>
    <col min="14368" max="14369" width="3.7109375" style="125" customWidth="1"/>
    <col min="14370" max="14370" width="9.7109375" style="125" customWidth="1"/>
    <col min="14371" max="14372" width="3.7109375" style="125" customWidth="1"/>
    <col min="14373" max="14373" width="9.7109375" style="125" customWidth="1"/>
    <col min="14374" max="14375" width="3.7109375" style="125" customWidth="1"/>
    <col min="14376" max="14376" width="9.7109375" style="125" customWidth="1"/>
    <col min="14377" max="14378" width="3.7109375" style="125" customWidth="1"/>
    <col min="14379" max="14379" width="9.7109375" style="125" customWidth="1"/>
    <col min="14380" max="14381" width="3.7109375" style="125" customWidth="1"/>
    <col min="14382" max="14382" width="9.7109375" style="125" customWidth="1"/>
    <col min="14383" max="14384" width="3.7109375" style="125" customWidth="1"/>
    <col min="14385" max="14385" width="9.7109375" style="125" customWidth="1"/>
    <col min="14386" max="14387" width="3.7109375" style="125" customWidth="1"/>
    <col min="14388" max="14388" width="9.7109375" style="125" customWidth="1"/>
    <col min="14389" max="14390" width="3.7109375" style="125" customWidth="1"/>
    <col min="14391" max="14391" width="9.7109375" style="125" customWidth="1"/>
    <col min="14392" max="14393" width="3.7109375" style="125" customWidth="1"/>
    <col min="14394" max="14394" width="9.7109375" style="125" customWidth="1"/>
    <col min="14395" max="14396" width="3.7109375" style="125" customWidth="1"/>
    <col min="14397" max="14397" width="9.7109375" style="125" customWidth="1"/>
    <col min="14398" max="14399" width="3.7109375" style="125" customWidth="1"/>
    <col min="14400" max="14400" width="9.7109375" style="125" customWidth="1"/>
    <col min="14401" max="14402" width="3.7109375" style="125" customWidth="1"/>
    <col min="14403" max="14403" width="9.7109375" style="125" customWidth="1"/>
    <col min="14404" max="14405" width="3.7109375" style="125" customWidth="1"/>
    <col min="14406" max="14406" width="9.7109375" style="125" customWidth="1"/>
    <col min="14407" max="14408" width="3.7109375" style="125" customWidth="1"/>
    <col min="14409" max="14409" width="9.7109375" style="125" customWidth="1"/>
    <col min="14410" max="14411" width="3.7109375" style="125" customWidth="1"/>
    <col min="14412" max="14412" width="9.7109375" style="125" customWidth="1"/>
    <col min="14413" max="14414" width="3.7109375" style="125" customWidth="1"/>
    <col min="14415" max="14415" width="9.7109375" style="125" customWidth="1"/>
    <col min="14416" max="14417" width="3.7109375" style="125" customWidth="1"/>
    <col min="14418" max="14418" width="9.7109375" style="125" customWidth="1"/>
    <col min="14419" max="14420" width="3.7109375" style="125" customWidth="1"/>
    <col min="14421" max="14421" width="9.7109375" style="125" customWidth="1"/>
    <col min="14422" max="14423" width="3.7109375" style="125" customWidth="1"/>
    <col min="14424" max="14424" width="9.7109375" style="125" customWidth="1"/>
    <col min="14425" max="14426" width="3.7109375" style="125" customWidth="1"/>
    <col min="14427" max="14427" width="9.7109375" style="125" customWidth="1"/>
    <col min="14428" max="14429" width="3.7109375" style="125" customWidth="1"/>
    <col min="14430" max="14430" width="9.7109375" style="125" customWidth="1"/>
    <col min="14431" max="14432" width="3.7109375" style="125" customWidth="1"/>
    <col min="14433" max="14433" width="9.7109375" style="125" customWidth="1"/>
    <col min="14434" max="14435" width="3.7109375" style="125" customWidth="1"/>
    <col min="14436" max="14436" width="9.7109375" style="125" customWidth="1"/>
    <col min="14437" max="14438" width="3.7109375" style="125" customWidth="1"/>
    <col min="14439" max="14439" width="9.7109375" style="125" customWidth="1"/>
    <col min="14440" max="14441" width="3.7109375" style="125" customWidth="1"/>
    <col min="14442" max="14442" width="9.7109375" style="125" customWidth="1"/>
    <col min="14443" max="14444" width="3.7109375" style="125" customWidth="1"/>
    <col min="14445" max="14445" width="9.7109375" style="125" customWidth="1"/>
    <col min="14446" max="14446" width="3.7109375" style="125" customWidth="1"/>
    <col min="14447" max="14447" width="5.7109375" style="125" bestFit="1" customWidth="1"/>
    <col min="14448" max="14448" width="9.7109375" style="125" customWidth="1"/>
    <col min="14449" max="14450" width="3.7109375" style="125" customWidth="1"/>
    <col min="14451" max="14451" width="9.7109375" style="125" customWidth="1"/>
    <col min="14452" max="14453" width="3.7109375" style="125" customWidth="1"/>
    <col min="14454" max="14454" width="9.7109375" style="125" customWidth="1"/>
    <col min="14455" max="14456" width="3.7109375" style="125" customWidth="1"/>
    <col min="14457" max="14457" width="9.7109375" style="125" customWidth="1"/>
    <col min="14458" max="14459" width="3.7109375" style="125" customWidth="1"/>
    <col min="14460" max="14460" width="9.7109375" style="125" customWidth="1"/>
    <col min="14461" max="14462" width="3.7109375" style="125" customWidth="1"/>
    <col min="14463" max="14463" width="9.7109375" style="125" customWidth="1"/>
    <col min="14464" max="14465" width="3.7109375" style="125" customWidth="1"/>
    <col min="14466" max="14466" width="9.7109375" style="125" customWidth="1"/>
    <col min="14467" max="14468" width="3.7109375" style="125" customWidth="1"/>
    <col min="14469" max="14469" width="9.7109375" style="125" customWidth="1"/>
    <col min="14470" max="14470" width="3.7109375" style="125" customWidth="1"/>
    <col min="14471" max="14471" width="5.7109375" style="125" bestFit="1" customWidth="1"/>
    <col min="14472" max="14472" width="9.7109375" style="125" customWidth="1"/>
    <col min="14473" max="14474" width="3.7109375" style="125" customWidth="1"/>
    <col min="14475" max="14475" width="9.7109375" style="125" customWidth="1"/>
    <col min="14476" max="14477" width="3.7109375" style="125" customWidth="1"/>
    <col min="14478" max="14478" width="9.7109375" style="125" customWidth="1"/>
    <col min="14479" max="14480" width="3.7109375" style="125" customWidth="1"/>
    <col min="14481" max="14481" width="9.7109375" style="125" customWidth="1"/>
    <col min="14482" max="14483" width="3.7109375" style="125" customWidth="1"/>
    <col min="14484" max="14484" width="9.7109375" style="125" customWidth="1"/>
    <col min="14485" max="14486" width="3.7109375" style="125" customWidth="1"/>
    <col min="14487" max="14487" width="9.7109375" style="125" customWidth="1"/>
    <col min="14488" max="14489" width="3.7109375" style="125" customWidth="1"/>
    <col min="14490" max="14490" width="9.7109375" style="125" customWidth="1"/>
    <col min="14491" max="14492" width="3.7109375" style="125" customWidth="1"/>
    <col min="14493" max="14493" width="9.7109375" style="125" customWidth="1"/>
    <col min="14494" max="14495" width="3.7109375" style="125" customWidth="1"/>
    <col min="14496" max="14496" width="9.7109375" style="125" customWidth="1"/>
    <col min="14497" max="14498" width="3.7109375" style="125" customWidth="1"/>
    <col min="14499" max="14499" width="9.7109375" style="125" customWidth="1"/>
    <col min="14500" max="14501" width="3.7109375" style="125" customWidth="1"/>
    <col min="14502" max="14502" width="9.7109375" style="125" customWidth="1"/>
    <col min="14503" max="14504" width="3.7109375" style="125" customWidth="1"/>
    <col min="14505" max="14505" width="9.7109375" style="125" customWidth="1"/>
    <col min="14506" max="14507" width="3.7109375" style="125" customWidth="1"/>
    <col min="14508" max="14508" width="9.7109375" style="125" customWidth="1"/>
    <col min="14509" max="14510" width="3.7109375" style="125" customWidth="1"/>
    <col min="14511" max="14511" width="9.7109375" style="125" customWidth="1"/>
    <col min="14512" max="14513" width="3.7109375" style="125" customWidth="1"/>
    <col min="14514" max="14514" width="9.7109375" style="125" customWidth="1"/>
    <col min="14515" max="14516" width="3.7109375" style="125" customWidth="1"/>
    <col min="14517" max="14517" width="9.7109375" style="125" customWidth="1"/>
    <col min="14518" max="14519" width="3.7109375" style="125" customWidth="1"/>
    <col min="14520" max="14520" width="9.7109375" style="125" customWidth="1"/>
    <col min="14521" max="14522" width="3.7109375" style="125" customWidth="1"/>
    <col min="14523" max="14523" width="9.7109375" style="125" customWidth="1"/>
    <col min="14524" max="14525" width="3.7109375" style="125" customWidth="1"/>
    <col min="14526" max="14526" width="9.7109375" style="125" customWidth="1"/>
    <col min="14527" max="14528" width="3.7109375" style="125" customWidth="1"/>
    <col min="14529" max="14529" width="9.7109375" style="125" customWidth="1"/>
    <col min="14530" max="14531" width="3.7109375" style="125" customWidth="1"/>
    <col min="14532" max="14532" width="9.7109375" style="125" customWidth="1"/>
    <col min="14533" max="14534" width="3.7109375" style="125" customWidth="1"/>
    <col min="14535" max="14535" width="9.7109375" style="125" customWidth="1"/>
    <col min="14536" max="14537" width="3.7109375" style="125" customWidth="1"/>
    <col min="14538" max="14538" width="9.7109375" style="125" customWidth="1"/>
    <col min="14539" max="14540" width="3.7109375" style="125" customWidth="1"/>
    <col min="14541" max="14541" width="9.7109375" style="125" customWidth="1"/>
    <col min="14542" max="14543" width="3.7109375" style="125" customWidth="1"/>
    <col min="14544" max="14544" width="9.7109375" style="125" customWidth="1"/>
    <col min="14545" max="14546" width="3.7109375" style="125" customWidth="1"/>
    <col min="14547" max="14547" width="9.7109375" style="125" customWidth="1"/>
    <col min="14548" max="14549" width="3.7109375" style="125" customWidth="1"/>
    <col min="14550" max="14550" width="9.7109375" style="125" customWidth="1"/>
    <col min="14551" max="14552" width="3.7109375" style="125" customWidth="1"/>
    <col min="14553" max="14553" width="9.7109375" style="125" customWidth="1"/>
    <col min="14554" max="14555" width="3.7109375" style="125" customWidth="1"/>
    <col min="14556" max="14556" width="9.7109375" style="125" customWidth="1"/>
    <col min="14557" max="14558" width="3.7109375" style="125" customWidth="1"/>
    <col min="14559" max="14559" width="9.7109375" style="125" customWidth="1"/>
    <col min="14560" max="14561" width="3.7109375" style="125" customWidth="1"/>
    <col min="14562" max="14562" width="9.7109375" style="125" customWidth="1"/>
    <col min="14563" max="14564" width="3.7109375" style="125" customWidth="1"/>
    <col min="14565" max="14565" width="9.7109375" style="125" customWidth="1"/>
    <col min="14566" max="14567" width="3.7109375" style="125" customWidth="1"/>
    <col min="14568" max="14568" width="9.7109375" style="125" customWidth="1"/>
    <col min="14569" max="14570" width="3.7109375" style="125" customWidth="1"/>
    <col min="14571" max="14571" width="9.7109375" style="125" customWidth="1"/>
    <col min="14572" max="14573" width="3.7109375" style="125" customWidth="1"/>
    <col min="14574" max="14574" width="9.7109375" style="125" customWidth="1"/>
    <col min="14575" max="14576" width="3.7109375" style="125" customWidth="1"/>
    <col min="14577" max="14577" width="9.7109375" style="125" customWidth="1"/>
    <col min="14578" max="14579" width="3.7109375" style="125" customWidth="1"/>
    <col min="14580" max="14580" width="9.7109375" style="125" customWidth="1"/>
    <col min="14581" max="14582" width="3.7109375" style="125" customWidth="1"/>
    <col min="14583" max="14583" width="9.7109375" style="125" customWidth="1"/>
    <col min="14584" max="14585" width="3.7109375" style="125" customWidth="1"/>
    <col min="14586" max="14586" width="9.7109375" style="125" customWidth="1"/>
    <col min="14587" max="14588" width="3.7109375" style="125" customWidth="1"/>
    <col min="14589" max="14589" width="9.7109375" style="125" customWidth="1"/>
    <col min="14590" max="14590" width="3.7109375" style="125" customWidth="1"/>
    <col min="14591" max="14592" width="8" style="125"/>
    <col min="14593" max="14593" width="30.7109375" style="125" customWidth="1"/>
    <col min="14594" max="14594" width="9.7109375" style="125" customWidth="1"/>
    <col min="14595" max="14595" width="3.7109375" style="125" customWidth="1"/>
    <col min="14596" max="14596" width="9.7109375" style="125" customWidth="1"/>
    <col min="14597" max="14598" width="3.7109375" style="125" customWidth="1"/>
    <col min="14599" max="14599" width="9.7109375" style="125" customWidth="1"/>
    <col min="14600" max="14601" width="3.7109375" style="125" customWidth="1"/>
    <col min="14602" max="14602" width="9.7109375" style="125" customWidth="1"/>
    <col min="14603" max="14604" width="3.7109375" style="125" customWidth="1"/>
    <col min="14605" max="14605" width="9.7109375" style="125" customWidth="1"/>
    <col min="14606" max="14607" width="3.7109375" style="125" customWidth="1"/>
    <col min="14608" max="14608" width="9.7109375" style="125" customWidth="1"/>
    <col min="14609" max="14610" width="3.7109375" style="125" customWidth="1"/>
    <col min="14611" max="14611" width="9.7109375" style="125" customWidth="1"/>
    <col min="14612" max="14613" width="3.7109375" style="125" customWidth="1"/>
    <col min="14614" max="14614" width="9.7109375" style="125" customWidth="1"/>
    <col min="14615" max="14616" width="3.7109375" style="125" customWidth="1"/>
    <col min="14617" max="14617" width="9.7109375" style="125" customWidth="1"/>
    <col min="14618" max="14619" width="3.7109375" style="125" customWidth="1"/>
    <col min="14620" max="14620" width="9.7109375" style="125" customWidth="1"/>
    <col min="14621" max="14622" width="3.7109375" style="125" customWidth="1"/>
    <col min="14623" max="14623" width="9.7109375" style="125" customWidth="1"/>
    <col min="14624" max="14625" width="3.7109375" style="125" customWidth="1"/>
    <col min="14626" max="14626" width="9.7109375" style="125" customWidth="1"/>
    <col min="14627" max="14628" width="3.7109375" style="125" customWidth="1"/>
    <col min="14629" max="14629" width="9.7109375" style="125" customWidth="1"/>
    <col min="14630" max="14631" width="3.7109375" style="125" customWidth="1"/>
    <col min="14632" max="14632" width="9.7109375" style="125" customWidth="1"/>
    <col min="14633" max="14634" width="3.7109375" style="125" customWidth="1"/>
    <col min="14635" max="14635" width="9.7109375" style="125" customWidth="1"/>
    <col min="14636" max="14637" width="3.7109375" style="125" customWidth="1"/>
    <col min="14638" max="14638" width="9.7109375" style="125" customWidth="1"/>
    <col min="14639" max="14640" width="3.7109375" style="125" customWidth="1"/>
    <col min="14641" max="14641" width="9.7109375" style="125" customWidth="1"/>
    <col min="14642" max="14643" width="3.7109375" style="125" customWidth="1"/>
    <col min="14644" max="14644" width="9.7109375" style="125" customWidth="1"/>
    <col min="14645" max="14646" width="3.7109375" style="125" customWidth="1"/>
    <col min="14647" max="14647" width="9.7109375" style="125" customWidth="1"/>
    <col min="14648" max="14649" width="3.7109375" style="125" customWidth="1"/>
    <col min="14650" max="14650" width="9.7109375" style="125" customWidth="1"/>
    <col min="14651" max="14652" width="3.7109375" style="125" customWidth="1"/>
    <col min="14653" max="14653" width="9.7109375" style="125" customWidth="1"/>
    <col min="14654" max="14655" width="3.7109375" style="125" customWidth="1"/>
    <col min="14656" max="14656" width="9.7109375" style="125" customWidth="1"/>
    <col min="14657" max="14658" width="3.7109375" style="125" customWidth="1"/>
    <col min="14659" max="14659" width="9.7109375" style="125" customWidth="1"/>
    <col min="14660" max="14661" width="3.7109375" style="125" customWidth="1"/>
    <col min="14662" max="14662" width="9.7109375" style="125" customWidth="1"/>
    <col min="14663" max="14664" width="3.7109375" style="125" customWidth="1"/>
    <col min="14665" max="14665" width="9.7109375" style="125" customWidth="1"/>
    <col min="14666" max="14667" width="3.7109375" style="125" customWidth="1"/>
    <col min="14668" max="14668" width="9.7109375" style="125" customWidth="1"/>
    <col min="14669" max="14670" width="3.7109375" style="125" customWidth="1"/>
    <col min="14671" max="14671" width="9.7109375" style="125" customWidth="1"/>
    <col min="14672" max="14673" width="3.7109375" style="125" customWidth="1"/>
    <col min="14674" max="14674" width="9.7109375" style="125" customWidth="1"/>
    <col min="14675" max="14676" width="3.7109375" style="125" customWidth="1"/>
    <col min="14677" max="14677" width="9.7109375" style="125" customWidth="1"/>
    <col min="14678" max="14679" width="3.7109375" style="125" customWidth="1"/>
    <col min="14680" max="14680" width="9.7109375" style="125" customWidth="1"/>
    <col min="14681" max="14682" width="3.7109375" style="125" customWidth="1"/>
    <col min="14683" max="14683" width="9.7109375" style="125" customWidth="1"/>
    <col min="14684" max="14685" width="3.7109375" style="125" customWidth="1"/>
    <col min="14686" max="14686" width="9.7109375" style="125" customWidth="1"/>
    <col min="14687" max="14688" width="3.7109375" style="125" customWidth="1"/>
    <col min="14689" max="14689" width="9.7109375" style="125" customWidth="1"/>
    <col min="14690" max="14691" width="3.7109375" style="125" customWidth="1"/>
    <col min="14692" max="14692" width="9.7109375" style="125" customWidth="1"/>
    <col min="14693" max="14694" width="3.7109375" style="125" customWidth="1"/>
    <col min="14695" max="14695" width="9.7109375" style="125" customWidth="1"/>
    <col min="14696" max="14697" width="3.7109375" style="125" customWidth="1"/>
    <col min="14698" max="14698" width="9.7109375" style="125" customWidth="1"/>
    <col min="14699" max="14700" width="3.7109375" style="125" customWidth="1"/>
    <col min="14701" max="14701" width="9.7109375" style="125" customWidth="1"/>
    <col min="14702" max="14702" width="3.7109375" style="125" customWidth="1"/>
    <col min="14703" max="14703" width="5.7109375" style="125" bestFit="1" customWidth="1"/>
    <col min="14704" max="14704" width="9.7109375" style="125" customWidth="1"/>
    <col min="14705" max="14706" width="3.7109375" style="125" customWidth="1"/>
    <col min="14707" max="14707" width="9.7109375" style="125" customWidth="1"/>
    <col min="14708" max="14709" width="3.7109375" style="125" customWidth="1"/>
    <col min="14710" max="14710" width="9.7109375" style="125" customWidth="1"/>
    <col min="14711" max="14712" width="3.7109375" style="125" customWidth="1"/>
    <col min="14713" max="14713" width="9.7109375" style="125" customWidth="1"/>
    <col min="14714" max="14715" width="3.7109375" style="125" customWidth="1"/>
    <col min="14716" max="14716" width="9.7109375" style="125" customWidth="1"/>
    <col min="14717" max="14718" width="3.7109375" style="125" customWidth="1"/>
    <col min="14719" max="14719" width="9.7109375" style="125" customWidth="1"/>
    <col min="14720" max="14721" width="3.7109375" style="125" customWidth="1"/>
    <col min="14722" max="14722" width="9.7109375" style="125" customWidth="1"/>
    <col min="14723" max="14724" width="3.7109375" style="125" customWidth="1"/>
    <col min="14725" max="14725" width="9.7109375" style="125" customWidth="1"/>
    <col min="14726" max="14726" width="3.7109375" style="125" customWidth="1"/>
    <col min="14727" max="14727" width="5.7109375" style="125" bestFit="1" customWidth="1"/>
    <col min="14728" max="14728" width="9.7109375" style="125" customWidth="1"/>
    <col min="14729" max="14730" width="3.7109375" style="125" customWidth="1"/>
    <col min="14731" max="14731" width="9.7109375" style="125" customWidth="1"/>
    <col min="14732" max="14733" width="3.7109375" style="125" customWidth="1"/>
    <col min="14734" max="14734" width="9.7109375" style="125" customWidth="1"/>
    <col min="14735" max="14736" width="3.7109375" style="125" customWidth="1"/>
    <col min="14737" max="14737" width="9.7109375" style="125" customWidth="1"/>
    <col min="14738" max="14739" width="3.7109375" style="125" customWidth="1"/>
    <col min="14740" max="14740" width="9.7109375" style="125" customWidth="1"/>
    <col min="14741" max="14742" width="3.7109375" style="125" customWidth="1"/>
    <col min="14743" max="14743" width="9.7109375" style="125" customWidth="1"/>
    <col min="14744" max="14745" width="3.7109375" style="125" customWidth="1"/>
    <col min="14746" max="14746" width="9.7109375" style="125" customWidth="1"/>
    <col min="14747" max="14748" width="3.7109375" style="125" customWidth="1"/>
    <col min="14749" max="14749" width="9.7109375" style="125" customWidth="1"/>
    <col min="14750" max="14751" width="3.7109375" style="125" customWidth="1"/>
    <col min="14752" max="14752" width="9.7109375" style="125" customWidth="1"/>
    <col min="14753" max="14754" width="3.7109375" style="125" customWidth="1"/>
    <col min="14755" max="14755" width="9.7109375" style="125" customWidth="1"/>
    <col min="14756" max="14757" width="3.7109375" style="125" customWidth="1"/>
    <col min="14758" max="14758" width="9.7109375" style="125" customWidth="1"/>
    <col min="14759" max="14760" width="3.7109375" style="125" customWidth="1"/>
    <col min="14761" max="14761" width="9.7109375" style="125" customWidth="1"/>
    <col min="14762" max="14763" width="3.7109375" style="125" customWidth="1"/>
    <col min="14764" max="14764" width="9.7109375" style="125" customWidth="1"/>
    <col min="14765" max="14766" width="3.7109375" style="125" customWidth="1"/>
    <col min="14767" max="14767" width="9.7109375" style="125" customWidth="1"/>
    <col min="14768" max="14769" width="3.7109375" style="125" customWidth="1"/>
    <col min="14770" max="14770" width="9.7109375" style="125" customWidth="1"/>
    <col min="14771" max="14772" width="3.7109375" style="125" customWidth="1"/>
    <col min="14773" max="14773" width="9.7109375" style="125" customWidth="1"/>
    <col min="14774" max="14775" width="3.7109375" style="125" customWidth="1"/>
    <col min="14776" max="14776" width="9.7109375" style="125" customWidth="1"/>
    <col min="14777" max="14778" width="3.7109375" style="125" customWidth="1"/>
    <col min="14779" max="14779" width="9.7109375" style="125" customWidth="1"/>
    <col min="14780" max="14781" width="3.7109375" style="125" customWidth="1"/>
    <col min="14782" max="14782" width="9.7109375" style="125" customWidth="1"/>
    <col min="14783" max="14784" width="3.7109375" style="125" customWidth="1"/>
    <col min="14785" max="14785" width="9.7109375" style="125" customWidth="1"/>
    <col min="14786" max="14787" width="3.7109375" style="125" customWidth="1"/>
    <col min="14788" max="14788" width="9.7109375" style="125" customWidth="1"/>
    <col min="14789" max="14790" width="3.7109375" style="125" customWidth="1"/>
    <col min="14791" max="14791" width="9.7109375" style="125" customWidth="1"/>
    <col min="14792" max="14793" width="3.7109375" style="125" customWidth="1"/>
    <col min="14794" max="14794" width="9.7109375" style="125" customWidth="1"/>
    <col min="14795" max="14796" width="3.7109375" style="125" customWidth="1"/>
    <col min="14797" max="14797" width="9.7109375" style="125" customWidth="1"/>
    <col min="14798" max="14799" width="3.7109375" style="125" customWidth="1"/>
    <col min="14800" max="14800" width="9.7109375" style="125" customWidth="1"/>
    <col min="14801" max="14802" width="3.7109375" style="125" customWidth="1"/>
    <col min="14803" max="14803" width="9.7109375" style="125" customWidth="1"/>
    <col min="14804" max="14805" width="3.7109375" style="125" customWidth="1"/>
    <col min="14806" max="14806" width="9.7109375" style="125" customWidth="1"/>
    <col min="14807" max="14808" width="3.7109375" style="125" customWidth="1"/>
    <col min="14809" max="14809" width="9.7109375" style="125" customWidth="1"/>
    <col min="14810" max="14811" width="3.7109375" style="125" customWidth="1"/>
    <col min="14812" max="14812" width="9.7109375" style="125" customWidth="1"/>
    <col min="14813" max="14814" width="3.7109375" style="125" customWidth="1"/>
    <col min="14815" max="14815" width="9.7109375" style="125" customWidth="1"/>
    <col min="14816" max="14817" width="3.7109375" style="125" customWidth="1"/>
    <col min="14818" max="14818" width="9.7109375" style="125" customWidth="1"/>
    <col min="14819" max="14820" width="3.7109375" style="125" customWidth="1"/>
    <col min="14821" max="14821" width="9.7109375" style="125" customWidth="1"/>
    <col min="14822" max="14823" width="3.7109375" style="125" customWidth="1"/>
    <col min="14824" max="14824" width="9.7109375" style="125" customWidth="1"/>
    <col min="14825" max="14826" width="3.7109375" style="125" customWidth="1"/>
    <col min="14827" max="14827" width="9.7109375" style="125" customWidth="1"/>
    <col min="14828" max="14829" width="3.7109375" style="125" customWidth="1"/>
    <col min="14830" max="14830" width="9.7109375" style="125" customWidth="1"/>
    <col min="14831" max="14832" width="3.7109375" style="125" customWidth="1"/>
    <col min="14833" max="14833" width="9.7109375" style="125" customWidth="1"/>
    <col min="14834" max="14835" width="3.7109375" style="125" customWidth="1"/>
    <col min="14836" max="14836" width="9.7109375" style="125" customWidth="1"/>
    <col min="14837" max="14838" width="3.7109375" style="125" customWidth="1"/>
    <col min="14839" max="14839" width="9.7109375" style="125" customWidth="1"/>
    <col min="14840" max="14841" width="3.7109375" style="125" customWidth="1"/>
    <col min="14842" max="14842" width="9.7109375" style="125" customWidth="1"/>
    <col min="14843" max="14844" width="3.7109375" style="125" customWidth="1"/>
    <col min="14845" max="14845" width="9.7109375" style="125" customWidth="1"/>
    <col min="14846" max="14846" width="3.7109375" style="125" customWidth="1"/>
    <col min="14847" max="14848" width="8" style="125"/>
    <col min="14849" max="14849" width="30.7109375" style="125" customWidth="1"/>
    <col min="14850" max="14850" width="9.7109375" style="125" customWidth="1"/>
    <col min="14851" max="14851" width="3.7109375" style="125" customWidth="1"/>
    <col min="14852" max="14852" width="9.7109375" style="125" customWidth="1"/>
    <col min="14853" max="14854" width="3.7109375" style="125" customWidth="1"/>
    <col min="14855" max="14855" width="9.7109375" style="125" customWidth="1"/>
    <col min="14856" max="14857" width="3.7109375" style="125" customWidth="1"/>
    <col min="14858" max="14858" width="9.7109375" style="125" customWidth="1"/>
    <col min="14859" max="14860" width="3.7109375" style="125" customWidth="1"/>
    <col min="14861" max="14861" width="9.7109375" style="125" customWidth="1"/>
    <col min="14862" max="14863" width="3.7109375" style="125" customWidth="1"/>
    <col min="14864" max="14864" width="9.7109375" style="125" customWidth="1"/>
    <col min="14865" max="14866" width="3.7109375" style="125" customWidth="1"/>
    <col min="14867" max="14867" width="9.7109375" style="125" customWidth="1"/>
    <col min="14868" max="14869" width="3.7109375" style="125" customWidth="1"/>
    <col min="14870" max="14870" width="9.7109375" style="125" customWidth="1"/>
    <col min="14871" max="14872" width="3.7109375" style="125" customWidth="1"/>
    <col min="14873" max="14873" width="9.7109375" style="125" customWidth="1"/>
    <col min="14874" max="14875" width="3.7109375" style="125" customWidth="1"/>
    <col min="14876" max="14876" width="9.7109375" style="125" customWidth="1"/>
    <col min="14877" max="14878" width="3.7109375" style="125" customWidth="1"/>
    <col min="14879" max="14879" width="9.7109375" style="125" customWidth="1"/>
    <col min="14880" max="14881" width="3.7109375" style="125" customWidth="1"/>
    <col min="14882" max="14882" width="9.7109375" style="125" customWidth="1"/>
    <col min="14883" max="14884" width="3.7109375" style="125" customWidth="1"/>
    <col min="14885" max="14885" width="9.7109375" style="125" customWidth="1"/>
    <col min="14886" max="14887" width="3.7109375" style="125" customWidth="1"/>
    <col min="14888" max="14888" width="9.7109375" style="125" customWidth="1"/>
    <col min="14889" max="14890" width="3.7109375" style="125" customWidth="1"/>
    <col min="14891" max="14891" width="9.7109375" style="125" customWidth="1"/>
    <col min="14892" max="14893" width="3.7109375" style="125" customWidth="1"/>
    <col min="14894" max="14894" width="9.7109375" style="125" customWidth="1"/>
    <col min="14895" max="14896" width="3.7109375" style="125" customWidth="1"/>
    <col min="14897" max="14897" width="9.7109375" style="125" customWidth="1"/>
    <col min="14898" max="14899" width="3.7109375" style="125" customWidth="1"/>
    <col min="14900" max="14900" width="9.7109375" style="125" customWidth="1"/>
    <col min="14901" max="14902" width="3.7109375" style="125" customWidth="1"/>
    <col min="14903" max="14903" width="9.7109375" style="125" customWidth="1"/>
    <col min="14904" max="14905" width="3.7109375" style="125" customWidth="1"/>
    <col min="14906" max="14906" width="9.7109375" style="125" customWidth="1"/>
    <col min="14907" max="14908" width="3.7109375" style="125" customWidth="1"/>
    <col min="14909" max="14909" width="9.7109375" style="125" customWidth="1"/>
    <col min="14910" max="14911" width="3.7109375" style="125" customWidth="1"/>
    <col min="14912" max="14912" width="9.7109375" style="125" customWidth="1"/>
    <col min="14913" max="14914" width="3.7109375" style="125" customWidth="1"/>
    <col min="14915" max="14915" width="9.7109375" style="125" customWidth="1"/>
    <col min="14916" max="14917" width="3.7109375" style="125" customWidth="1"/>
    <col min="14918" max="14918" width="9.7109375" style="125" customWidth="1"/>
    <col min="14919" max="14920" width="3.7109375" style="125" customWidth="1"/>
    <col min="14921" max="14921" width="9.7109375" style="125" customWidth="1"/>
    <col min="14922" max="14923" width="3.7109375" style="125" customWidth="1"/>
    <col min="14924" max="14924" width="9.7109375" style="125" customWidth="1"/>
    <col min="14925" max="14926" width="3.7109375" style="125" customWidth="1"/>
    <col min="14927" max="14927" width="9.7109375" style="125" customWidth="1"/>
    <col min="14928" max="14929" width="3.7109375" style="125" customWidth="1"/>
    <col min="14930" max="14930" width="9.7109375" style="125" customWidth="1"/>
    <col min="14931" max="14932" width="3.7109375" style="125" customWidth="1"/>
    <col min="14933" max="14933" width="9.7109375" style="125" customWidth="1"/>
    <col min="14934" max="14935" width="3.7109375" style="125" customWidth="1"/>
    <col min="14936" max="14936" width="9.7109375" style="125" customWidth="1"/>
    <col min="14937" max="14938" width="3.7109375" style="125" customWidth="1"/>
    <col min="14939" max="14939" width="9.7109375" style="125" customWidth="1"/>
    <col min="14940" max="14941" width="3.7109375" style="125" customWidth="1"/>
    <col min="14942" max="14942" width="9.7109375" style="125" customWidth="1"/>
    <col min="14943" max="14944" width="3.7109375" style="125" customWidth="1"/>
    <col min="14945" max="14945" width="9.7109375" style="125" customWidth="1"/>
    <col min="14946" max="14947" width="3.7109375" style="125" customWidth="1"/>
    <col min="14948" max="14948" width="9.7109375" style="125" customWidth="1"/>
    <col min="14949" max="14950" width="3.7109375" style="125" customWidth="1"/>
    <col min="14951" max="14951" width="9.7109375" style="125" customWidth="1"/>
    <col min="14952" max="14953" width="3.7109375" style="125" customWidth="1"/>
    <col min="14954" max="14954" width="9.7109375" style="125" customWidth="1"/>
    <col min="14955" max="14956" width="3.7109375" style="125" customWidth="1"/>
    <col min="14957" max="14957" width="9.7109375" style="125" customWidth="1"/>
    <col min="14958" max="14958" width="3.7109375" style="125" customWidth="1"/>
    <col min="14959" max="14959" width="5.7109375" style="125" bestFit="1" customWidth="1"/>
    <col min="14960" max="14960" width="9.7109375" style="125" customWidth="1"/>
    <col min="14961" max="14962" width="3.7109375" style="125" customWidth="1"/>
    <col min="14963" max="14963" width="9.7109375" style="125" customWidth="1"/>
    <col min="14964" max="14965" width="3.7109375" style="125" customWidth="1"/>
    <col min="14966" max="14966" width="9.7109375" style="125" customWidth="1"/>
    <col min="14967" max="14968" width="3.7109375" style="125" customWidth="1"/>
    <col min="14969" max="14969" width="9.7109375" style="125" customWidth="1"/>
    <col min="14970" max="14971" width="3.7109375" style="125" customWidth="1"/>
    <col min="14972" max="14972" width="9.7109375" style="125" customWidth="1"/>
    <col min="14973" max="14974" width="3.7109375" style="125" customWidth="1"/>
    <col min="14975" max="14975" width="9.7109375" style="125" customWidth="1"/>
    <col min="14976" max="14977" width="3.7109375" style="125" customWidth="1"/>
    <col min="14978" max="14978" width="9.7109375" style="125" customWidth="1"/>
    <col min="14979" max="14980" width="3.7109375" style="125" customWidth="1"/>
    <col min="14981" max="14981" width="9.7109375" style="125" customWidth="1"/>
    <col min="14982" max="14982" width="3.7109375" style="125" customWidth="1"/>
    <col min="14983" max="14983" width="5.7109375" style="125" bestFit="1" customWidth="1"/>
    <col min="14984" max="14984" width="9.7109375" style="125" customWidth="1"/>
    <col min="14985" max="14986" width="3.7109375" style="125" customWidth="1"/>
    <col min="14987" max="14987" width="9.7109375" style="125" customWidth="1"/>
    <col min="14988" max="14989" width="3.7109375" style="125" customWidth="1"/>
    <col min="14990" max="14990" width="9.7109375" style="125" customWidth="1"/>
    <col min="14991" max="14992" width="3.7109375" style="125" customWidth="1"/>
    <col min="14993" max="14993" width="9.7109375" style="125" customWidth="1"/>
    <col min="14994" max="14995" width="3.7109375" style="125" customWidth="1"/>
    <col min="14996" max="14996" width="9.7109375" style="125" customWidth="1"/>
    <col min="14997" max="14998" width="3.7109375" style="125" customWidth="1"/>
    <col min="14999" max="14999" width="9.7109375" style="125" customWidth="1"/>
    <col min="15000" max="15001" width="3.7109375" style="125" customWidth="1"/>
    <col min="15002" max="15002" width="9.7109375" style="125" customWidth="1"/>
    <col min="15003" max="15004" width="3.7109375" style="125" customWidth="1"/>
    <col min="15005" max="15005" width="9.7109375" style="125" customWidth="1"/>
    <col min="15006" max="15007" width="3.7109375" style="125" customWidth="1"/>
    <col min="15008" max="15008" width="9.7109375" style="125" customWidth="1"/>
    <col min="15009" max="15010" width="3.7109375" style="125" customWidth="1"/>
    <col min="15011" max="15011" width="9.7109375" style="125" customWidth="1"/>
    <col min="15012" max="15013" width="3.7109375" style="125" customWidth="1"/>
    <col min="15014" max="15014" width="9.7109375" style="125" customWidth="1"/>
    <col min="15015" max="15016" width="3.7109375" style="125" customWidth="1"/>
    <col min="15017" max="15017" width="9.7109375" style="125" customWidth="1"/>
    <col min="15018" max="15019" width="3.7109375" style="125" customWidth="1"/>
    <col min="15020" max="15020" width="9.7109375" style="125" customWidth="1"/>
    <col min="15021" max="15022" width="3.7109375" style="125" customWidth="1"/>
    <col min="15023" max="15023" width="9.7109375" style="125" customWidth="1"/>
    <col min="15024" max="15025" width="3.7109375" style="125" customWidth="1"/>
    <col min="15026" max="15026" width="9.7109375" style="125" customWidth="1"/>
    <col min="15027" max="15028" width="3.7109375" style="125" customWidth="1"/>
    <col min="15029" max="15029" width="9.7109375" style="125" customWidth="1"/>
    <col min="15030" max="15031" width="3.7109375" style="125" customWidth="1"/>
    <col min="15032" max="15032" width="9.7109375" style="125" customWidth="1"/>
    <col min="15033" max="15034" width="3.7109375" style="125" customWidth="1"/>
    <col min="15035" max="15035" width="9.7109375" style="125" customWidth="1"/>
    <col min="15036" max="15037" width="3.7109375" style="125" customWidth="1"/>
    <col min="15038" max="15038" width="9.7109375" style="125" customWidth="1"/>
    <col min="15039" max="15040" width="3.7109375" style="125" customWidth="1"/>
    <col min="15041" max="15041" width="9.7109375" style="125" customWidth="1"/>
    <col min="15042" max="15043" width="3.7109375" style="125" customWidth="1"/>
    <col min="15044" max="15044" width="9.7109375" style="125" customWidth="1"/>
    <col min="15045" max="15046" width="3.7109375" style="125" customWidth="1"/>
    <col min="15047" max="15047" width="9.7109375" style="125" customWidth="1"/>
    <col min="15048" max="15049" width="3.7109375" style="125" customWidth="1"/>
    <col min="15050" max="15050" width="9.7109375" style="125" customWidth="1"/>
    <col min="15051" max="15052" width="3.7109375" style="125" customWidth="1"/>
    <col min="15053" max="15053" width="9.7109375" style="125" customWidth="1"/>
    <col min="15054" max="15055" width="3.7109375" style="125" customWidth="1"/>
    <col min="15056" max="15056" width="9.7109375" style="125" customWidth="1"/>
    <col min="15057" max="15058" width="3.7109375" style="125" customWidth="1"/>
    <col min="15059" max="15059" width="9.7109375" style="125" customWidth="1"/>
    <col min="15060" max="15061" width="3.7109375" style="125" customWidth="1"/>
    <col min="15062" max="15062" width="9.7109375" style="125" customWidth="1"/>
    <col min="15063" max="15064" width="3.7109375" style="125" customWidth="1"/>
    <col min="15065" max="15065" width="9.7109375" style="125" customWidth="1"/>
    <col min="15066" max="15067" width="3.7109375" style="125" customWidth="1"/>
    <col min="15068" max="15068" width="9.7109375" style="125" customWidth="1"/>
    <col min="15069" max="15070" width="3.7109375" style="125" customWidth="1"/>
    <col min="15071" max="15071" width="9.7109375" style="125" customWidth="1"/>
    <col min="15072" max="15073" width="3.7109375" style="125" customWidth="1"/>
    <col min="15074" max="15074" width="9.7109375" style="125" customWidth="1"/>
    <col min="15075" max="15076" width="3.7109375" style="125" customWidth="1"/>
    <col min="15077" max="15077" width="9.7109375" style="125" customWidth="1"/>
    <col min="15078" max="15079" width="3.7109375" style="125" customWidth="1"/>
    <col min="15080" max="15080" width="9.7109375" style="125" customWidth="1"/>
    <col min="15081" max="15082" width="3.7109375" style="125" customWidth="1"/>
    <col min="15083" max="15083" width="9.7109375" style="125" customWidth="1"/>
    <col min="15084" max="15085" width="3.7109375" style="125" customWidth="1"/>
    <col min="15086" max="15086" width="9.7109375" style="125" customWidth="1"/>
    <col min="15087" max="15088" width="3.7109375" style="125" customWidth="1"/>
    <col min="15089" max="15089" width="9.7109375" style="125" customWidth="1"/>
    <col min="15090" max="15091" width="3.7109375" style="125" customWidth="1"/>
    <col min="15092" max="15092" width="9.7109375" style="125" customWidth="1"/>
    <col min="15093" max="15094" width="3.7109375" style="125" customWidth="1"/>
    <col min="15095" max="15095" width="9.7109375" style="125" customWidth="1"/>
    <col min="15096" max="15097" width="3.7109375" style="125" customWidth="1"/>
    <col min="15098" max="15098" width="9.7109375" style="125" customWidth="1"/>
    <col min="15099" max="15100" width="3.7109375" style="125" customWidth="1"/>
    <col min="15101" max="15101" width="9.7109375" style="125" customWidth="1"/>
    <col min="15102" max="15102" width="3.7109375" style="125" customWidth="1"/>
    <col min="15103" max="15104" width="8" style="125"/>
    <col min="15105" max="15105" width="30.7109375" style="125" customWidth="1"/>
    <col min="15106" max="15106" width="9.7109375" style="125" customWidth="1"/>
    <col min="15107" max="15107" width="3.7109375" style="125" customWidth="1"/>
    <col min="15108" max="15108" width="9.7109375" style="125" customWidth="1"/>
    <col min="15109" max="15110" width="3.7109375" style="125" customWidth="1"/>
    <col min="15111" max="15111" width="9.7109375" style="125" customWidth="1"/>
    <col min="15112" max="15113" width="3.7109375" style="125" customWidth="1"/>
    <col min="15114" max="15114" width="9.7109375" style="125" customWidth="1"/>
    <col min="15115" max="15116" width="3.7109375" style="125" customWidth="1"/>
    <col min="15117" max="15117" width="9.7109375" style="125" customWidth="1"/>
    <col min="15118" max="15119" width="3.7109375" style="125" customWidth="1"/>
    <col min="15120" max="15120" width="9.7109375" style="125" customWidth="1"/>
    <col min="15121" max="15122" width="3.7109375" style="125" customWidth="1"/>
    <col min="15123" max="15123" width="9.7109375" style="125" customWidth="1"/>
    <col min="15124" max="15125" width="3.7109375" style="125" customWidth="1"/>
    <col min="15126" max="15126" width="9.7109375" style="125" customWidth="1"/>
    <col min="15127" max="15128" width="3.7109375" style="125" customWidth="1"/>
    <col min="15129" max="15129" width="9.7109375" style="125" customWidth="1"/>
    <col min="15130" max="15131" width="3.7109375" style="125" customWidth="1"/>
    <col min="15132" max="15132" width="9.7109375" style="125" customWidth="1"/>
    <col min="15133" max="15134" width="3.7109375" style="125" customWidth="1"/>
    <col min="15135" max="15135" width="9.7109375" style="125" customWidth="1"/>
    <col min="15136" max="15137" width="3.7109375" style="125" customWidth="1"/>
    <col min="15138" max="15138" width="9.7109375" style="125" customWidth="1"/>
    <col min="15139" max="15140" width="3.7109375" style="125" customWidth="1"/>
    <col min="15141" max="15141" width="9.7109375" style="125" customWidth="1"/>
    <col min="15142" max="15143" width="3.7109375" style="125" customWidth="1"/>
    <col min="15144" max="15144" width="9.7109375" style="125" customWidth="1"/>
    <col min="15145" max="15146" width="3.7109375" style="125" customWidth="1"/>
    <col min="15147" max="15147" width="9.7109375" style="125" customWidth="1"/>
    <col min="15148" max="15149" width="3.7109375" style="125" customWidth="1"/>
    <col min="15150" max="15150" width="9.7109375" style="125" customWidth="1"/>
    <col min="15151" max="15152" width="3.7109375" style="125" customWidth="1"/>
    <col min="15153" max="15153" width="9.7109375" style="125" customWidth="1"/>
    <col min="15154" max="15155" width="3.7109375" style="125" customWidth="1"/>
    <col min="15156" max="15156" width="9.7109375" style="125" customWidth="1"/>
    <col min="15157" max="15158" width="3.7109375" style="125" customWidth="1"/>
    <col min="15159" max="15159" width="9.7109375" style="125" customWidth="1"/>
    <col min="15160" max="15161" width="3.7109375" style="125" customWidth="1"/>
    <col min="15162" max="15162" width="9.7109375" style="125" customWidth="1"/>
    <col min="15163" max="15164" width="3.7109375" style="125" customWidth="1"/>
    <col min="15165" max="15165" width="9.7109375" style="125" customWidth="1"/>
    <col min="15166" max="15167" width="3.7109375" style="125" customWidth="1"/>
    <col min="15168" max="15168" width="9.7109375" style="125" customWidth="1"/>
    <col min="15169" max="15170" width="3.7109375" style="125" customWidth="1"/>
    <col min="15171" max="15171" width="9.7109375" style="125" customWidth="1"/>
    <col min="15172" max="15173" width="3.7109375" style="125" customWidth="1"/>
    <col min="15174" max="15174" width="9.7109375" style="125" customWidth="1"/>
    <col min="15175" max="15176" width="3.7109375" style="125" customWidth="1"/>
    <col min="15177" max="15177" width="9.7109375" style="125" customWidth="1"/>
    <col min="15178" max="15179" width="3.7109375" style="125" customWidth="1"/>
    <col min="15180" max="15180" width="9.7109375" style="125" customWidth="1"/>
    <col min="15181" max="15182" width="3.7109375" style="125" customWidth="1"/>
    <col min="15183" max="15183" width="9.7109375" style="125" customWidth="1"/>
    <col min="15184" max="15185" width="3.7109375" style="125" customWidth="1"/>
    <col min="15186" max="15186" width="9.7109375" style="125" customWidth="1"/>
    <col min="15187" max="15188" width="3.7109375" style="125" customWidth="1"/>
    <col min="15189" max="15189" width="9.7109375" style="125" customWidth="1"/>
    <col min="15190" max="15191" width="3.7109375" style="125" customWidth="1"/>
    <col min="15192" max="15192" width="9.7109375" style="125" customWidth="1"/>
    <col min="15193" max="15194" width="3.7109375" style="125" customWidth="1"/>
    <col min="15195" max="15195" width="9.7109375" style="125" customWidth="1"/>
    <col min="15196" max="15197" width="3.7109375" style="125" customWidth="1"/>
    <col min="15198" max="15198" width="9.7109375" style="125" customWidth="1"/>
    <col min="15199" max="15200" width="3.7109375" style="125" customWidth="1"/>
    <col min="15201" max="15201" width="9.7109375" style="125" customWidth="1"/>
    <col min="15202" max="15203" width="3.7109375" style="125" customWidth="1"/>
    <col min="15204" max="15204" width="9.7109375" style="125" customWidth="1"/>
    <col min="15205" max="15206" width="3.7109375" style="125" customWidth="1"/>
    <col min="15207" max="15207" width="9.7109375" style="125" customWidth="1"/>
    <col min="15208" max="15209" width="3.7109375" style="125" customWidth="1"/>
    <col min="15210" max="15210" width="9.7109375" style="125" customWidth="1"/>
    <col min="15211" max="15212" width="3.7109375" style="125" customWidth="1"/>
    <col min="15213" max="15213" width="9.7109375" style="125" customWidth="1"/>
    <col min="15214" max="15214" width="3.7109375" style="125" customWidth="1"/>
    <col min="15215" max="15215" width="5.7109375" style="125" bestFit="1" customWidth="1"/>
    <col min="15216" max="15216" width="9.7109375" style="125" customWidth="1"/>
    <col min="15217" max="15218" width="3.7109375" style="125" customWidth="1"/>
    <col min="15219" max="15219" width="9.7109375" style="125" customWidth="1"/>
    <col min="15220" max="15221" width="3.7109375" style="125" customWidth="1"/>
    <col min="15222" max="15222" width="9.7109375" style="125" customWidth="1"/>
    <col min="15223" max="15224" width="3.7109375" style="125" customWidth="1"/>
    <col min="15225" max="15225" width="9.7109375" style="125" customWidth="1"/>
    <col min="15226" max="15227" width="3.7109375" style="125" customWidth="1"/>
    <col min="15228" max="15228" width="9.7109375" style="125" customWidth="1"/>
    <col min="15229" max="15230" width="3.7109375" style="125" customWidth="1"/>
    <col min="15231" max="15231" width="9.7109375" style="125" customWidth="1"/>
    <col min="15232" max="15233" width="3.7109375" style="125" customWidth="1"/>
    <col min="15234" max="15234" width="9.7109375" style="125" customWidth="1"/>
    <col min="15235" max="15236" width="3.7109375" style="125" customWidth="1"/>
    <col min="15237" max="15237" width="9.7109375" style="125" customWidth="1"/>
    <col min="15238" max="15238" width="3.7109375" style="125" customWidth="1"/>
    <col min="15239" max="15239" width="5.7109375" style="125" bestFit="1" customWidth="1"/>
    <col min="15240" max="15240" width="9.7109375" style="125" customWidth="1"/>
    <col min="15241" max="15242" width="3.7109375" style="125" customWidth="1"/>
    <col min="15243" max="15243" width="9.7109375" style="125" customWidth="1"/>
    <col min="15244" max="15245" width="3.7109375" style="125" customWidth="1"/>
    <col min="15246" max="15246" width="9.7109375" style="125" customWidth="1"/>
    <col min="15247" max="15248" width="3.7109375" style="125" customWidth="1"/>
    <col min="15249" max="15249" width="9.7109375" style="125" customWidth="1"/>
    <col min="15250" max="15251" width="3.7109375" style="125" customWidth="1"/>
    <col min="15252" max="15252" width="9.7109375" style="125" customWidth="1"/>
    <col min="15253" max="15254" width="3.7109375" style="125" customWidth="1"/>
    <col min="15255" max="15255" width="9.7109375" style="125" customWidth="1"/>
    <col min="15256" max="15257" width="3.7109375" style="125" customWidth="1"/>
    <col min="15258" max="15258" width="9.7109375" style="125" customWidth="1"/>
    <col min="15259" max="15260" width="3.7109375" style="125" customWidth="1"/>
    <col min="15261" max="15261" width="9.7109375" style="125" customWidth="1"/>
    <col min="15262" max="15263" width="3.7109375" style="125" customWidth="1"/>
    <col min="15264" max="15264" width="9.7109375" style="125" customWidth="1"/>
    <col min="15265" max="15266" width="3.7109375" style="125" customWidth="1"/>
    <col min="15267" max="15267" width="9.7109375" style="125" customWidth="1"/>
    <col min="15268" max="15269" width="3.7109375" style="125" customWidth="1"/>
    <col min="15270" max="15270" width="9.7109375" style="125" customWidth="1"/>
    <col min="15271" max="15272" width="3.7109375" style="125" customWidth="1"/>
    <col min="15273" max="15273" width="9.7109375" style="125" customWidth="1"/>
    <col min="15274" max="15275" width="3.7109375" style="125" customWidth="1"/>
    <col min="15276" max="15276" width="9.7109375" style="125" customWidth="1"/>
    <col min="15277" max="15278" width="3.7109375" style="125" customWidth="1"/>
    <col min="15279" max="15279" width="9.7109375" style="125" customWidth="1"/>
    <col min="15280" max="15281" width="3.7109375" style="125" customWidth="1"/>
    <col min="15282" max="15282" width="9.7109375" style="125" customWidth="1"/>
    <col min="15283" max="15284" width="3.7109375" style="125" customWidth="1"/>
    <col min="15285" max="15285" width="9.7109375" style="125" customWidth="1"/>
    <col min="15286" max="15287" width="3.7109375" style="125" customWidth="1"/>
    <col min="15288" max="15288" width="9.7109375" style="125" customWidth="1"/>
    <col min="15289" max="15290" width="3.7109375" style="125" customWidth="1"/>
    <col min="15291" max="15291" width="9.7109375" style="125" customWidth="1"/>
    <col min="15292" max="15293" width="3.7109375" style="125" customWidth="1"/>
    <col min="15294" max="15294" width="9.7109375" style="125" customWidth="1"/>
    <col min="15295" max="15296" width="3.7109375" style="125" customWidth="1"/>
    <col min="15297" max="15297" width="9.7109375" style="125" customWidth="1"/>
    <col min="15298" max="15299" width="3.7109375" style="125" customWidth="1"/>
    <col min="15300" max="15300" width="9.7109375" style="125" customWidth="1"/>
    <col min="15301" max="15302" width="3.7109375" style="125" customWidth="1"/>
    <col min="15303" max="15303" width="9.7109375" style="125" customWidth="1"/>
    <col min="15304" max="15305" width="3.7109375" style="125" customWidth="1"/>
    <col min="15306" max="15306" width="9.7109375" style="125" customWidth="1"/>
    <col min="15307" max="15308" width="3.7109375" style="125" customWidth="1"/>
    <col min="15309" max="15309" width="9.7109375" style="125" customWidth="1"/>
    <col min="15310" max="15311" width="3.7109375" style="125" customWidth="1"/>
    <col min="15312" max="15312" width="9.7109375" style="125" customWidth="1"/>
    <col min="15313" max="15314" width="3.7109375" style="125" customWidth="1"/>
    <col min="15315" max="15315" width="9.7109375" style="125" customWidth="1"/>
    <col min="15316" max="15317" width="3.7109375" style="125" customWidth="1"/>
    <col min="15318" max="15318" width="9.7109375" style="125" customWidth="1"/>
    <col min="15319" max="15320" width="3.7109375" style="125" customWidth="1"/>
    <col min="15321" max="15321" width="9.7109375" style="125" customWidth="1"/>
    <col min="15322" max="15323" width="3.7109375" style="125" customWidth="1"/>
    <col min="15324" max="15324" width="9.7109375" style="125" customWidth="1"/>
    <col min="15325" max="15326" width="3.7109375" style="125" customWidth="1"/>
    <col min="15327" max="15327" width="9.7109375" style="125" customWidth="1"/>
    <col min="15328" max="15329" width="3.7109375" style="125" customWidth="1"/>
    <col min="15330" max="15330" width="9.7109375" style="125" customWidth="1"/>
    <col min="15331" max="15332" width="3.7109375" style="125" customWidth="1"/>
    <col min="15333" max="15333" width="9.7109375" style="125" customWidth="1"/>
    <col min="15334" max="15335" width="3.7109375" style="125" customWidth="1"/>
    <col min="15336" max="15336" width="9.7109375" style="125" customWidth="1"/>
    <col min="15337" max="15338" width="3.7109375" style="125" customWidth="1"/>
    <col min="15339" max="15339" width="9.7109375" style="125" customWidth="1"/>
    <col min="15340" max="15341" width="3.7109375" style="125" customWidth="1"/>
    <col min="15342" max="15342" width="9.7109375" style="125" customWidth="1"/>
    <col min="15343" max="15344" width="3.7109375" style="125" customWidth="1"/>
    <col min="15345" max="15345" width="9.7109375" style="125" customWidth="1"/>
    <col min="15346" max="15347" width="3.7109375" style="125" customWidth="1"/>
    <col min="15348" max="15348" width="9.7109375" style="125" customWidth="1"/>
    <col min="15349" max="15350" width="3.7109375" style="125" customWidth="1"/>
    <col min="15351" max="15351" width="9.7109375" style="125" customWidth="1"/>
    <col min="15352" max="15353" width="3.7109375" style="125" customWidth="1"/>
    <col min="15354" max="15354" width="9.7109375" style="125" customWidth="1"/>
    <col min="15355" max="15356" width="3.7109375" style="125" customWidth="1"/>
    <col min="15357" max="15357" width="9.7109375" style="125" customWidth="1"/>
    <col min="15358" max="15358" width="3.7109375" style="125" customWidth="1"/>
    <col min="15359" max="15360" width="8" style="125"/>
    <col min="15361" max="15361" width="30.7109375" style="125" customWidth="1"/>
    <col min="15362" max="15362" width="9.7109375" style="125" customWidth="1"/>
    <col min="15363" max="15363" width="3.7109375" style="125" customWidth="1"/>
    <col min="15364" max="15364" width="9.7109375" style="125" customWidth="1"/>
    <col min="15365" max="15366" width="3.7109375" style="125" customWidth="1"/>
    <col min="15367" max="15367" width="9.7109375" style="125" customWidth="1"/>
    <col min="15368" max="15369" width="3.7109375" style="125" customWidth="1"/>
    <col min="15370" max="15370" width="9.7109375" style="125" customWidth="1"/>
    <col min="15371" max="15372" width="3.7109375" style="125" customWidth="1"/>
    <col min="15373" max="15373" width="9.7109375" style="125" customWidth="1"/>
    <col min="15374" max="15375" width="3.7109375" style="125" customWidth="1"/>
    <col min="15376" max="15376" width="9.7109375" style="125" customWidth="1"/>
    <col min="15377" max="15378" width="3.7109375" style="125" customWidth="1"/>
    <col min="15379" max="15379" width="9.7109375" style="125" customWidth="1"/>
    <col min="15380" max="15381" width="3.7109375" style="125" customWidth="1"/>
    <col min="15382" max="15382" width="9.7109375" style="125" customWidth="1"/>
    <col min="15383" max="15384" width="3.7109375" style="125" customWidth="1"/>
    <col min="15385" max="15385" width="9.7109375" style="125" customWidth="1"/>
    <col min="15386" max="15387" width="3.7109375" style="125" customWidth="1"/>
    <col min="15388" max="15388" width="9.7109375" style="125" customWidth="1"/>
    <col min="15389" max="15390" width="3.7109375" style="125" customWidth="1"/>
    <col min="15391" max="15391" width="9.7109375" style="125" customWidth="1"/>
    <col min="15392" max="15393" width="3.7109375" style="125" customWidth="1"/>
    <col min="15394" max="15394" width="9.7109375" style="125" customWidth="1"/>
    <col min="15395" max="15396" width="3.7109375" style="125" customWidth="1"/>
    <col min="15397" max="15397" width="9.7109375" style="125" customWidth="1"/>
    <col min="15398" max="15399" width="3.7109375" style="125" customWidth="1"/>
    <col min="15400" max="15400" width="9.7109375" style="125" customWidth="1"/>
    <col min="15401" max="15402" width="3.7109375" style="125" customWidth="1"/>
    <col min="15403" max="15403" width="9.7109375" style="125" customWidth="1"/>
    <col min="15404" max="15405" width="3.7109375" style="125" customWidth="1"/>
    <col min="15406" max="15406" width="9.7109375" style="125" customWidth="1"/>
    <col min="15407" max="15408" width="3.7109375" style="125" customWidth="1"/>
    <col min="15409" max="15409" width="9.7109375" style="125" customWidth="1"/>
    <col min="15410" max="15411" width="3.7109375" style="125" customWidth="1"/>
    <col min="15412" max="15412" width="9.7109375" style="125" customWidth="1"/>
    <col min="15413" max="15414" width="3.7109375" style="125" customWidth="1"/>
    <col min="15415" max="15415" width="9.7109375" style="125" customWidth="1"/>
    <col min="15416" max="15417" width="3.7109375" style="125" customWidth="1"/>
    <col min="15418" max="15418" width="9.7109375" style="125" customWidth="1"/>
    <col min="15419" max="15420" width="3.7109375" style="125" customWidth="1"/>
    <col min="15421" max="15421" width="9.7109375" style="125" customWidth="1"/>
    <col min="15422" max="15423" width="3.7109375" style="125" customWidth="1"/>
    <col min="15424" max="15424" width="9.7109375" style="125" customWidth="1"/>
    <col min="15425" max="15426" width="3.7109375" style="125" customWidth="1"/>
    <col min="15427" max="15427" width="9.7109375" style="125" customWidth="1"/>
    <col min="15428" max="15429" width="3.7109375" style="125" customWidth="1"/>
    <col min="15430" max="15430" width="9.7109375" style="125" customWidth="1"/>
    <col min="15431" max="15432" width="3.7109375" style="125" customWidth="1"/>
    <col min="15433" max="15433" width="9.7109375" style="125" customWidth="1"/>
    <col min="15434" max="15435" width="3.7109375" style="125" customWidth="1"/>
    <col min="15436" max="15436" width="9.7109375" style="125" customWidth="1"/>
    <col min="15437" max="15438" width="3.7109375" style="125" customWidth="1"/>
    <col min="15439" max="15439" width="9.7109375" style="125" customWidth="1"/>
    <col min="15440" max="15441" width="3.7109375" style="125" customWidth="1"/>
    <col min="15442" max="15442" width="9.7109375" style="125" customWidth="1"/>
    <col min="15443" max="15444" width="3.7109375" style="125" customWidth="1"/>
    <col min="15445" max="15445" width="9.7109375" style="125" customWidth="1"/>
    <col min="15446" max="15447" width="3.7109375" style="125" customWidth="1"/>
    <col min="15448" max="15448" width="9.7109375" style="125" customWidth="1"/>
    <col min="15449" max="15450" width="3.7109375" style="125" customWidth="1"/>
    <col min="15451" max="15451" width="9.7109375" style="125" customWidth="1"/>
    <col min="15452" max="15453" width="3.7109375" style="125" customWidth="1"/>
    <col min="15454" max="15454" width="9.7109375" style="125" customWidth="1"/>
    <col min="15455" max="15456" width="3.7109375" style="125" customWidth="1"/>
    <col min="15457" max="15457" width="9.7109375" style="125" customWidth="1"/>
    <col min="15458" max="15459" width="3.7109375" style="125" customWidth="1"/>
    <col min="15460" max="15460" width="9.7109375" style="125" customWidth="1"/>
    <col min="15461" max="15462" width="3.7109375" style="125" customWidth="1"/>
    <col min="15463" max="15463" width="9.7109375" style="125" customWidth="1"/>
    <col min="15464" max="15465" width="3.7109375" style="125" customWidth="1"/>
    <col min="15466" max="15466" width="9.7109375" style="125" customWidth="1"/>
    <col min="15467" max="15468" width="3.7109375" style="125" customWidth="1"/>
    <col min="15469" max="15469" width="9.7109375" style="125" customWidth="1"/>
    <col min="15470" max="15470" width="3.7109375" style="125" customWidth="1"/>
    <col min="15471" max="15471" width="5.7109375" style="125" bestFit="1" customWidth="1"/>
    <col min="15472" max="15472" width="9.7109375" style="125" customWidth="1"/>
    <col min="15473" max="15474" width="3.7109375" style="125" customWidth="1"/>
    <col min="15475" max="15475" width="9.7109375" style="125" customWidth="1"/>
    <col min="15476" max="15477" width="3.7109375" style="125" customWidth="1"/>
    <col min="15478" max="15478" width="9.7109375" style="125" customWidth="1"/>
    <col min="15479" max="15480" width="3.7109375" style="125" customWidth="1"/>
    <col min="15481" max="15481" width="9.7109375" style="125" customWidth="1"/>
    <col min="15482" max="15483" width="3.7109375" style="125" customWidth="1"/>
    <col min="15484" max="15484" width="9.7109375" style="125" customWidth="1"/>
    <col min="15485" max="15486" width="3.7109375" style="125" customWidth="1"/>
    <col min="15487" max="15487" width="9.7109375" style="125" customWidth="1"/>
    <col min="15488" max="15489" width="3.7109375" style="125" customWidth="1"/>
    <col min="15490" max="15490" width="9.7109375" style="125" customWidth="1"/>
    <col min="15491" max="15492" width="3.7109375" style="125" customWidth="1"/>
    <col min="15493" max="15493" width="9.7109375" style="125" customWidth="1"/>
    <col min="15494" max="15494" width="3.7109375" style="125" customWidth="1"/>
    <col min="15495" max="15495" width="5.7109375" style="125" bestFit="1" customWidth="1"/>
    <col min="15496" max="15496" width="9.7109375" style="125" customWidth="1"/>
    <col min="15497" max="15498" width="3.7109375" style="125" customWidth="1"/>
    <col min="15499" max="15499" width="9.7109375" style="125" customWidth="1"/>
    <col min="15500" max="15501" width="3.7109375" style="125" customWidth="1"/>
    <col min="15502" max="15502" width="9.7109375" style="125" customWidth="1"/>
    <col min="15503" max="15504" width="3.7109375" style="125" customWidth="1"/>
    <col min="15505" max="15505" width="9.7109375" style="125" customWidth="1"/>
    <col min="15506" max="15507" width="3.7109375" style="125" customWidth="1"/>
    <col min="15508" max="15508" width="9.7109375" style="125" customWidth="1"/>
    <col min="15509" max="15510" width="3.7109375" style="125" customWidth="1"/>
    <col min="15511" max="15511" width="9.7109375" style="125" customWidth="1"/>
    <col min="15512" max="15513" width="3.7109375" style="125" customWidth="1"/>
    <col min="15514" max="15514" width="9.7109375" style="125" customWidth="1"/>
    <col min="15515" max="15516" width="3.7109375" style="125" customWidth="1"/>
    <col min="15517" max="15517" width="9.7109375" style="125" customWidth="1"/>
    <col min="15518" max="15519" width="3.7109375" style="125" customWidth="1"/>
    <col min="15520" max="15520" width="9.7109375" style="125" customWidth="1"/>
    <col min="15521" max="15522" width="3.7109375" style="125" customWidth="1"/>
    <col min="15523" max="15523" width="9.7109375" style="125" customWidth="1"/>
    <col min="15524" max="15525" width="3.7109375" style="125" customWidth="1"/>
    <col min="15526" max="15526" width="9.7109375" style="125" customWidth="1"/>
    <col min="15527" max="15528" width="3.7109375" style="125" customWidth="1"/>
    <col min="15529" max="15529" width="9.7109375" style="125" customWidth="1"/>
    <col min="15530" max="15531" width="3.7109375" style="125" customWidth="1"/>
    <col min="15532" max="15532" width="9.7109375" style="125" customWidth="1"/>
    <col min="15533" max="15534" width="3.7109375" style="125" customWidth="1"/>
    <col min="15535" max="15535" width="9.7109375" style="125" customWidth="1"/>
    <col min="15536" max="15537" width="3.7109375" style="125" customWidth="1"/>
    <col min="15538" max="15538" width="9.7109375" style="125" customWidth="1"/>
    <col min="15539" max="15540" width="3.7109375" style="125" customWidth="1"/>
    <col min="15541" max="15541" width="9.7109375" style="125" customWidth="1"/>
    <col min="15542" max="15543" width="3.7109375" style="125" customWidth="1"/>
    <col min="15544" max="15544" width="9.7109375" style="125" customWidth="1"/>
    <col min="15545" max="15546" width="3.7109375" style="125" customWidth="1"/>
    <col min="15547" max="15547" width="9.7109375" style="125" customWidth="1"/>
    <col min="15548" max="15549" width="3.7109375" style="125" customWidth="1"/>
    <col min="15550" max="15550" width="9.7109375" style="125" customWidth="1"/>
    <col min="15551" max="15552" width="3.7109375" style="125" customWidth="1"/>
    <col min="15553" max="15553" width="9.7109375" style="125" customWidth="1"/>
    <col min="15554" max="15555" width="3.7109375" style="125" customWidth="1"/>
    <col min="15556" max="15556" width="9.7109375" style="125" customWidth="1"/>
    <col min="15557" max="15558" width="3.7109375" style="125" customWidth="1"/>
    <col min="15559" max="15559" width="9.7109375" style="125" customWidth="1"/>
    <col min="15560" max="15561" width="3.7109375" style="125" customWidth="1"/>
    <col min="15562" max="15562" width="9.7109375" style="125" customWidth="1"/>
    <col min="15563" max="15564" width="3.7109375" style="125" customWidth="1"/>
    <col min="15565" max="15565" width="9.7109375" style="125" customWidth="1"/>
    <col min="15566" max="15567" width="3.7109375" style="125" customWidth="1"/>
    <col min="15568" max="15568" width="9.7109375" style="125" customWidth="1"/>
    <col min="15569" max="15570" width="3.7109375" style="125" customWidth="1"/>
    <col min="15571" max="15571" width="9.7109375" style="125" customWidth="1"/>
    <col min="15572" max="15573" width="3.7109375" style="125" customWidth="1"/>
    <col min="15574" max="15574" width="9.7109375" style="125" customWidth="1"/>
    <col min="15575" max="15576" width="3.7109375" style="125" customWidth="1"/>
    <col min="15577" max="15577" width="9.7109375" style="125" customWidth="1"/>
    <col min="15578" max="15579" width="3.7109375" style="125" customWidth="1"/>
    <col min="15580" max="15580" width="9.7109375" style="125" customWidth="1"/>
    <col min="15581" max="15582" width="3.7109375" style="125" customWidth="1"/>
    <col min="15583" max="15583" width="9.7109375" style="125" customWidth="1"/>
    <col min="15584" max="15585" width="3.7109375" style="125" customWidth="1"/>
    <col min="15586" max="15586" width="9.7109375" style="125" customWidth="1"/>
    <col min="15587" max="15588" width="3.7109375" style="125" customWidth="1"/>
    <col min="15589" max="15589" width="9.7109375" style="125" customWidth="1"/>
    <col min="15590" max="15591" width="3.7109375" style="125" customWidth="1"/>
    <col min="15592" max="15592" width="9.7109375" style="125" customWidth="1"/>
    <col min="15593" max="15594" width="3.7109375" style="125" customWidth="1"/>
    <col min="15595" max="15595" width="9.7109375" style="125" customWidth="1"/>
    <col min="15596" max="15597" width="3.7109375" style="125" customWidth="1"/>
    <col min="15598" max="15598" width="9.7109375" style="125" customWidth="1"/>
    <col min="15599" max="15600" width="3.7109375" style="125" customWidth="1"/>
    <col min="15601" max="15601" width="9.7109375" style="125" customWidth="1"/>
    <col min="15602" max="15603" width="3.7109375" style="125" customWidth="1"/>
    <col min="15604" max="15604" width="9.7109375" style="125" customWidth="1"/>
    <col min="15605" max="15606" width="3.7109375" style="125" customWidth="1"/>
    <col min="15607" max="15607" width="9.7109375" style="125" customWidth="1"/>
    <col min="15608" max="15609" width="3.7109375" style="125" customWidth="1"/>
    <col min="15610" max="15610" width="9.7109375" style="125" customWidth="1"/>
    <col min="15611" max="15612" width="3.7109375" style="125" customWidth="1"/>
    <col min="15613" max="15613" width="9.7109375" style="125" customWidth="1"/>
    <col min="15614" max="15614" width="3.7109375" style="125" customWidth="1"/>
    <col min="15615" max="15616" width="8" style="125"/>
    <col min="15617" max="15617" width="30.7109375" style="125" customWidth="1"/>
    <col min="15618" max="15618" width="9.7109375" style="125" customWidth="1"/>
    <col min="15619" max="15619" width="3.7109375" style="125" customWidth="1"/>
    <col min="15620" max="15620" width="9.7109375" style="125" customWidth="1"/>
    <col min="15621" max="15622" width="3.7109375" style="125" customWidth="1"/>
    <col min="15623" max="15623" width="9.7109375" style="125" customWidth="1"/>
    <col min="15624" max="15625" width="3.7109375" style="125" customWidth="1"/>
    <col min="15626" max="15626" width="9.7109375" style="125" customWidth="1"/>
    <col min="15627" max="15628" width="3.7109375" style="125" customWidth="1"/>
    <col min="15629" max="15629" width="9.7109375" style="125" customWidth="1"/>
    <col min="15630" max="15631" width="3.7109375" style="125" customWidth="1"/>
    <col min="15632" max="15632" width="9.7109375" style="125" customWidth="1"/>
    <col min="15633" max="15634" width="3.7109375" style="125" customWidth="1"/>
    <col min="15635" max="15635" width="9.7109375" style="125" customWidth="1"/>
    <col min="15636" max="15637" width="3.7109375" style="125" customWidth="1"/>
    <col min="15638" max="15638" width="9.7109375" style="125" customWidth="1"/>
    <col min="15639" max="15640" width="3.7109375" style="125" customWidth="1"/>
    <col min="15641" max="15641" width="9.7109375" style="125" customWidth="1"/>
    <col min="15642" max="15643" width="3.7109375" style="125" customWidth="1"/>
    <col min="15644" max="15644" width="9.7109375" style="125" customWidth="1"/>
    <col min="15645" max="15646" width="3.7109375" style="125" customWidth="1"/>
    <col min="15647" max="15647" width="9.7109375" style="125" customWidth="1"/>
    <col min="15648" max="15649" width="3.7109375" style="125" customWidth="1"/>
    <col min="15650" max="15650" width="9.7109375" style="125" customWidth="1"/>
    <col min="15651" max="15652" width="3.7109375" style="125" customWidth="1"/>
    <col min="15653" max="15653" width="9.7109375" style="125" customWidth="1"/>
    <col min="15654" max="15655" width="3.7109375" style="125" customWidth="1"/>
    <col min="15656" max="15656" width="9.7109375" style="125" customWidth="1"/>
    <col min="15657" max="15658" width="3.7109375" style="125" customWidth="1"/>
    <col min="15659" max="15659" width="9.7109375" style="125" customWidth="1"/>
    <col min="15660" max="15661" width="3.7109375" style="125" customWidth="1"/>
    <col min="15662" max="15662" width="9.7109375" style="125" customWidth="1"/>
    <col min="15663" max="15664" width="3.7109375" style="125" customWidth="1"/>
    <col min="15665" max="15665" width="9.7109375" style="125" customWidth="1"/>
    <col min="15666" max="15667" width="3.7109375" style="125" customWidth="1"/>
    <col min="15668" max="15668" width="9.7109375" style="125" customWidth="1"/>
    <col min="15669" max="15670" width="3.7109375" style="125" customWidth="1"/>
    <col min="15671" max="15671" width="9.7109375" style="125" customWidth="1"/>
    <col min="15672" max="15673" width="3.7109375" style="125" customWidth="1"/>
    <col min="15674" max="15674" width="9.7109375" style="125" customWidth="1"/>
    <col min="15675" max="15676" width="3.7109375" style="125" customWidth="1"/>
    <col min="15677" max="15677" width="9.7109375" style="125" customWidth="1"/>
    <col min="15678" max="15679" width="3.7109375" style="125" customWidth="1"/>
    <col min="15680" max="15680" width="9.7109375" style="125" customWidth="1"/>
    <col min="15681" max="15682" width="3.7109375" style="125" customWidth="1"/>
    <col min="15683" max="15683" width="9.7109375" style="125" customWidth="1"/>
    <col min="15684" max="15685" width="3.7109375" style="125" customWidth="1"/>
    <col min="15686" max="15686" width="9.7109375" style="125" customWidth="1"/>
    <col min="15687" max="15688" width="3.7109375" style="125" customWidth="1"/>
    <col min="15689" max="15689" width="9.7109375" style="125" customWidth="1"/>
    <col min="15690" max="15691" width="3.7109375" style="125" customWidth="1"/>
    <col min="15692" max="15692" width="9.7109375" style="125" customWidth="1"/>
    <col min="15693" max="15694" width="3.7109375" style="125" customWidth="1"/>
    <col min="15695" max="15695" width="9.7109375" style="125" customWidth="1"/>
    <col min="15696" max="15697" width="3.7109375" style="125" customWidth="1"/>
    <col min="15698" max="15698" width="9.7109375" style="125" customWidth="1"/>
    <col min="15699" max="15700" width="3.7109375" style="125" customWidth="1"/>
    <col min="15701" max="15701" width="9.7109375" style="125" customWidth="1"/>
    <col min="15702" max="15703" width="3.7109375" style="125" customWidth="1"/>
    <col min="15704" max="15704" width="9.7109375" style="125" customWidth="1"/>
    <col min="15705" max="15706" width="3.7109375" style="125" customWidth="1"/>
    <col min="15707" max="15707" width="9.7109375" style="125" customWidth="1"/>
    <col min="15708" max="15709" width="3.7109375" style="125" customWidth="1"/>
    <col min="15710" max="15710" width="9.7109375" style="125" customWidth="1"/>
    <col min="15711" max="15712" width="3.7109375" style="125" customWidth="1"/>
    <col min="15713" max="15713" width="9.7109375" style="125" customWidth="1"/>
    <col min="15714" max="15715" width="3.7109375" style="125" customWidth="1"/>
    <col min="15716" max="15716" width="9.7109375" style="125" customWidth="1"/>
    <col min="15717" max="15718" width="3.7109375" style="125" customWidth="1"/>
    <col min="15719" max="15719" width="9.7109375" style="125" customWidth="1"/>
    <col min="15720" max="15721" width="3.7109375" style="125" customWidth="1"/>
    <col min="15722" max="15722" width="9.7109375" style="125" customWidth="1"/>
    <col min="15723" max="15724" width="3.7109375" style="125" customWidth="1"/>
    <col min="15725" max="15725" width="9.7109375" style="125" customWidth="1"/>
    <col min="15726" max="15726" width="3.7109375" style="125" customWidth="1"/>
    <col min="15727" max="15727" width="5.7109375" style="125" bestFit="1" customWidth="1"/>
    <col min="15728" max="15728" width="9.7109375" style="125" customWidth="1"/>
    <col min="15729" max="15730" width="3.7109375" style="125" customWidth="1"/>
    <col min="15731" max="15731" width="9.7109375" style="125" customWidth="1"/>
    <col min="15732" max="15733" width="3.7109375" style="125" customWidth="1"/>
    <col min="15734" max="15734" width="9.7109375" style="125" customWidth="1"/>
    <col min="15735" max="15736" width="3.7109375" style="125" customWidth="1"/>
    <col min="15737" max="15737" width="9.7109375" style="125" customWidth="1"/>
    <col min="15738" max="15739" width="3.7109375" style="125" customWidth="1"/>
    <col min="15740" max="15740" width="9.7109375" style="125" customWidth="1"/>
    <col min="15741" max="15742" width="3.7109375" style="125" customWidth="1"/>
    <col min="15743" max="15743" width="9.7109375" style="125" customWidth="1"/>
    <col min="15744" max="15745" width="3.7109375" style="125" customWidth="1"/>
    <col min="15746" max="15746" width="9.7109375" style="125" customWidth="1"/>
    <col min="15747" max="15748" width="3.7109375" style="125" customWidth="1"/>
    <col min="15749" max="15749" width="9.7109375" style="125" customWidth="1"/>
    <col min="15750" max="15750" width="3.7109375" style="125" customWidth="1"/>
    <col min="15751" max="15751" width="5.7109375" style="125" bestFit="1" customWidth="1"/>
    <col min="15752" max="15752" width="9.7109375" style="125" customWidth="1"/>
    <col min="15753" max="15754" width="3.7109375" style="125" customWidth="1"/>
    <col min="15755" max="15755" width="9.7109375" style="125" customWidth="1"/>
    <col min="15756" max="15757" width="3.7109375" style="125" customWidth="1"/>
    <col min="15758" max="15758" width="9.7109375" style="125" customWidth="1"/>
    <col min="15759" max="15760" width="3.7109375" style="125" customWidth="1"/>
    <col min="15761" max="15761" width="9.7109375" style="125" customWidth="1"/>
    <col min="15762" max="15763" width="3.7109375" style="125" customWidth="1"/>
    <col min="15764" max="15764" width="9.7109375" style="125" customWidth="1"/>
    <col min="15765" max="15766" width="3.7109375" style="125" customWidth="1"/>
    <col min="15767" max="15767" width="9.7109375" style="125" customWidth="1"/>
    <col min="15768" max="15769" width="3.7109375" style="125" customWidth="1"/>
    <col min="15770" max="15770" width="9.7109375" style="125" customWidth="1"/>
    <col min="15771" max="15772" width="3.7109375" style="125" customWidth="1"/>
    <col min="15773" max="15773" width="9.7109375" style="125" customWidth="1"/>
    <col min="15774" max="15775" width="3.7109375" style="125" customWidth="1"/>
    <col min="15776" max="15776" width="9.7109375" style="125" customWidth="1"/>
    <col min="15777" max="15778" width="3.7109375" style="125" customWidth="1"/>
    <col min="15779" max="15779" width="9.7109375" style="125" customWidth="1"/>
    <col min="15780" max="15781" width="3.7109375" style="125" customWidth="1"/>
    <col min="15782" max="15782" width="9.7109375" style="125" customWidth="1"/>
    <col min="15783" max="15784" width="3.7109375" style="125" customWidth="1"/>
    <col min="15785" max="15785" width="9.7109375" style="125" customWidth="1"/>
    <col min="15786" max="15787" width="3.7109375" style="125" customWidth="1"/>
    <col min="15788" max="15788" width="9.7109375" style="125" customWidth="1"/>
    <col min="15789" max="15790" width="3.7109375" style="125" customWidth="1"/>
    <col min="15791" max="15791" width="9.7109375" style="125" customWidth="1"/>
    <col min="15792" max="15793" width="3.7109375" style="125" customWidth="1"/>
    <col min="15794" max="15794" width="9.7109375" style="125" customWidth="1"/>
    <col min="15795" max="15796" width="3.7109375" style="125" customWidth="1"/>
    <col min="15797" max="15797" width="9.7109375" style="125" customWidth="1"/>
    <col min="15798" max="15799" width="3.7109375" style="125" customWidth="1"/>
    <col min="15800" max="15800" width="9.7109375" style="125" customWidth="1"/>
    <col min="15801" max="15802" width="3.7109375" style="125" customWidth="1"/>
    <col min="15803" max="15803" width="9.7109375" style="125" customWidth="1"/>
    <col min="15804" max="15805" width="3.7109375" style="125" customWidth="1"/>
    <col min="15806" max="15806" width="9.7109375" style="125" customWidth="1"/>
    <col min="15807" max="15808" width="3.7109375" style="125" customWidth="1"/>
    <col min="15809" max="15809" width="9.7109375" style="125" customWidth="1"/>
    <col min="15810" max="15811" width="3.7109375" style="125" customWidth="1"/>
    <col min="15812" max="15812" width="9.7109375" style="125" customWidth="1"/>
    <col min="15813" max="15814" width="3.7109375" style="125" customWidth="1"/>
    <col min="15815" max="15815" width="9.7109375" style="125" customWidth="1"/>
    <col min="15816" max="15817" width="3.7109375" style="125" customWidth="1"/>
    <col min="15818" max="15818" width="9.7109375" style="125" customWidth="1"/>
    <col min="15819" max="15820" width="3.7109375" style="125" customWidth="1"/>
    <col min="15821" max="15821" width="9.7109375" style="125" customWidth="1"/>
    <col min="15822" max="15823" width="3.7109375" style="125" customWidth="1"/>
    <col min="15824" max="15824" width="9.7109375" style="125" customWidth="1"/>
    <col min="15825" max="15826" width="3.7109375" style="125" customWidth="1"/>
    <col min="15827" max="15827" width="9.7109375" style="125" customWidth="1"/>
    <col min="15828" max="15829" width="3.7109375" style="125" customWidth="1"/>
    <col min="15830" max="15830" width="9.7109375" style="125" customWidth="1"/>
    <col min="15831" max="15832" width="3.7109375" style="125" customWidth="1"/>
    <col min="15833" max="15833" width="9.7109375" style="125" customWidth="1"/>
    <col min="15834" max="15835" width="3.7109375" style="125" customWidth="1"/>
    <col min="15836" max="15836" width="9.7109375" style="125" customWidth="1"/>
    <col min="15837" max="15838" width="3.7109375" style="125" customWidth="1"/>
    <col min="15839" max="15839" width="9.7109375" style="125" customWidth="1"/>
    <col min="15840" max="15841" width="3.7109375" style="125" customWidth="1"/>
    <col min="15842" max="15842" width="9.7109375" style="125" customWidth="1"/>
    <col min="15843" max="15844" width="3.7109375" style="125" customWidth="1"/>
    <col min="15845" max="15845" width="9.7109375" style="125" customWidth="1"/>
    <col min="15846" max="15847" width="3.7109375" style="125" customWidth="1"/>
    <col min="15848" max="15848" width="9.7109375" style="125" customWidth="1"/>
    <col min="15849" max="15850" width="3.7109375" style="125" customWidth="1"/>
    <col min="15851" max="15851" width="9.7109375" style="125" customWidth="1"/>
    <col min="15852" max="15853" width="3.7109375" style="125" customWidth="1"/>
    <col min="15854" max="15854" width="9.7109375" style="125" customWidth="1"/>
    <col min="15855" max="15856" width="3.7109375" style="125" customWidth="1"/>
    <col min="15857" max="15857" width="9.7109375" style="125" customWidth="1"/>
    <col min="15858" max="15859" width="3.7109375" style="125" customWidth="1"/>
    <col min="15860" max="15860" width="9.7109375" style="125" customWidth="1"/>
    <col min="15861" max="15862" width="3.7109375" style="125" customWidth="1"/>
    <col min="15863" max="15863" width="9.7109375" style="125" customWidth="1"/>
    <col min="15864" max="15865" width="3.7109375" style="125" customWidth="1"/>
    <col min="15866" max="15866" width="9.7109375" style="125" customWidth="1"/>
    <col min="15867" max="15868" width="3.7109375" style="125" customWidth="1"/>
    <col min="15869" max="15869" width="9.7109375" style="125" customWidth="1"/>
    <col min="15870" max="15870" width="3.7109375" style="125" customWidth="1"/>
    <col min="15871" max="15872" width="8" style="125"/>
    <col min="15873" max="15873" width="30.7109375" style="125" customWidth="1"/>
    <col min="15874" max="15874" width="9.7109375" style="125" customWidth="1"/>
    <col min="15875" max="15875" width="3.7109375" style="125" customWidth="1"/>
    <col min="15876" max="15876" width="9.7109375" style="125" customWidth="1"/>
    <col min="15877" max="15878" width="3.7109375" style="125" customWidth="1"/>
    <col min="15879" max="15879" width="9.7109375" style="125" customWidth="1"/>
    <col min="15880" max="15881" width="3.7109375" style="125" customWidth="1"/>
    <col min="15882" max="15882" width="9.7109375" style="125" customWidth="1"/>
    <col min="15883" max="15884" width="3.7109375" style="125" customWidth="1"/>
    <col min="15885" max="15885" width="9.7109375" style="125" customWidth="1"/>
    <col min="15886" max="15887" width="3.7109375" style="125" customWidth="1"/>
    <col min="15888" max="15888" width="9.7109375" style="125" customWidth="1"/>
    <col min="15889" max="15890" width="3.7109375" style="125" customWidth="1"/>
    <col min="15891" max="15891" width="9.7109375" style="125" customWidth="1"/>
    <col min="15892" max="15893" width="3.7109375" style="125" customWidth="1"/>
    <col min="15894" max="15894" width="9.7109375" style="125" customWidth="1"/>
    <col min="15895" max="15896" width="3.7109375" style="125" customWidth="1"/>
    <col min="15897" max="15897" width="9.7109375" style="125" customWidth="1"/>
    <col min="15898" max="15899" width="3.7109375" style="125" customWidth="1"/>
    <col min="15900" max="15900" width="9.7109375" style="125" customWidth="1"/>
    <col min="15901" max="15902" width="3.7109375" style="125" customWidth="1"/>
    <col min="15903" max="15903" width="9.7109375" style="125" customWidth="1"/>
    <col min="15904" max="15905" width="3.7109375" style="125" customWidth="1"/>
    <col min="15906" max="15906" width="9.7109375" style="125" customWidth="1"/>
    <col min="15907" max="15908" width="3.7109375" style="125" customWidth="1"/>
    <col min="15909" max="15909" width="9.7109375" style="125" customWidth="1"/>
    <col min="15910" max="15911" width="3.7109375" style="125" customWidth="1"/>
    <col min="15912" max="15912" width="9.7109375" style="125" customWidth="1"/>
    <col min="15913" max="15914" width="3.7109375" style="125" customWidth="1"/>
    <col min="15915" max="15915" width="9.7109375" style="125" customWidth="1"/>
    <col min="15916" max="15917" width="3.7109375" style="125" customWidth="1"/>
    <col min="15918" max="15918" width="9.7109375" style="125" customWidth="1"/>
    <col min="15919" max="15920" width="3.7109375" style="125" customWidth="1"/>
    <col min="15921" max="15921" width="9.7109375" style="125" customWidth="1"/>
    <col min="15922" max="15923" width="3.7109375" style="125" customWidth="1"/>
    <col min="15924" max="15924" width="9.7109375" style="125" customWidth="1"/>
    <col min="15925" max="15926" width="3.7109375" style="125" customWidth="1"/>
    <col min="15927" max="15927" width="9.7109375" style="125" customWidth="1"/>
    <col min="15928" max="15929" width="3.7109375" style="125" customWidth="1"/>
    <col min="15930" max="15930" width="9.7109375" style="125" customWidth="1"/>
    <col min="15931" max="15932" width="3.7109375" style="125" customWidth="1"/>
    <col min="15933" max="15933" width="9.7109375" style="125" customWidth="1"/>
    <col min="15934" max="15935" width="3.7109375" style="125" customWidth="1"/>
    <col min="15936" max="15936" width="9.7109375" style="125" customWidth="1"/>
    <col min="15937" max="15938" width="3.7109375" style="125" customWidth="1"/>
    <col min="15939" max="15939" width="9.7109375" style="125" customWidth="1"/>
    <col min="15940" max="15941" width="3.7109375" style="125" customWidth="1"/>
    <col min="15942" max="15942" width="9.7109375" style="125" customWidth="1"/>
    <col min="15943" max="15944" width="3.7109375" style="125" customWidth="1"/>
    <col min="15945" max="15945" width="9.7109375" style="125" customWidth="1"/>
    <col min="15946" max="15947" width="3.7109375" style="125" customWidth="1"/>
    <col min="15948" max="15948" width="9.7109375" style="125" customWidth="1"/>
    <col min="15949" max="15950" width="3.7109375" style="125" customWidth="1"/>
    <col min="15951" max="15951" width="9.7109375" style="125" customWidth="1"/>
    <col min="15952" max="15953" width="3.7109375" style="125" customWidth="1"/>
    <col min="15954" max="15954" width="9.7109375" style="125" customWidth="1"/>
    <col min="15955" max="15956" width="3.7109375" style="125" customWidth="1"/>
    <col min="15957" max="15957" width="9.7109375" style="125" customWidth="1"/>
    <col min="15958" max="15959" width="3.7109375" style="125" customWidth="1"/>
    <col min="15960" max="15960" width="9.7109375" style="125" customWidth="1"/>
    <col min="15961" max="15962" width="3.7109375" style="125" customWidth="1"/>
    <col min="15963" max="15963" width="9.7109375" style="125" customWidth="1"/>
    <col min="15964" max="15965" width="3.7109375" style="125" customWidth="1"/>
    <col min="15966" max="15966" width="9.7109375" style="125" customWidth="1"/>
    <col min="15967" max="15968" width="3.7109375" style="125" customWidth="1"/>
    <col min="15969" max="15969" width="9.7109375" style="125" customWidth="1"/>
    <col min="15970" max="15971" width="3.7109375" style="125" customWidth="1"/>
    <col min="15972" max="15972" width="9.7109375" style="125" customWidth="1"/>
    <col min="15973" max="15974" width="3.7109375" style="125" customWidth="1"/>
    <col min="15975" max="15975" width="9.7109375" style="125" customWidth="1"/>
    <col min="15976" max="15977" width="3.7109375" style="125" customWidth="1"/>
    <col min="15978" max="15978" width="9.7109375" style="125" customWidth="1"/>
    <col min="15979" max="15980" width="3.7109375" style="125" customWidth="1"/>
    <col min="15981" max="15981" width="9.7109375" style="125" customWidth="1"/>
    <col min="15982" max="15982" width="3.7109375" style="125" customWidth="1"/>
    <col min="15983" max="15983" width="5.7109375" style="125" bestFit="1" customWidth="1"/>
    <col min="15984" max="15984" width="9.7109375" style="125" customWidth="1"/>
    <col min="15985" max="15986" width="3.7109375" style="125" customWidth="1"/>
    <col min="15987" max="15987" width="9.7109375" style="125" customWidth="1"/>
    <col min="15988" max="15989" width="3.7109375" style="125" customWidth="1"/>
    <col min="15990" max="15990" width="9.7109375" style="125" customWidth="1"/>
    <col min="15991" max="15992" width="3.7109375" style="125" customWidth="1"/>
    <col min="15993" max="15993" width="9.7109375" style="125" customWidth="1"/>
    <col min="15994" max="15995" width="3.7109375" style="125" customWidth="1"/>
    <col min="15996" max="15996" width="9.7109375" style="125" customWidth="1"/>
    <col min="15997" max="15998" width="3.7109375" style="125" customWidth="1"/>
    <col min="15999" max="15999" width="9.7109375" style="125" customWidth="1"/>
    <col min="16000" max="16001" width="3.7109375" style="125" customWidth="1"/>
    <col min="16002" max="16002" width="9.7109375" style="125" customWidth="1"/>
    <col min="16003" max="16004" width="3.7109375" style="125" customWidth="1"/>
    <col min="16005" max="16005" width="9.7109375" style="125" customWidth="1"/>
    <col min="16006" max="16006" width="3.7109375" style="125" customWidth="1"/>
    <col min="16007" max="16007" width="5.7109375" style="125" bestFit="1" customWidth="1"/>
    <col min="16008" max="16008" width="9.7109375" style="125" customWidth="1"/>
    <col min="16009" max="16010" width="3.7109375" style="125" customWidth="1"/>
    <col min="16011" max="16011" width="9.7109375" style="125" customWidth="1"/>
    <col min="16012" max="16013" width="3.7109375" style="125" customWidth="1"/>
    <col min="16014" max="16014" width="9.7109375" style="125" customWidth="1"/>
    <col min="16015" max="16016" width="3.7109375" style="125" customWidth="1"/>
    <col min="16017" max="16017" width="9.7109375" style="125" customWidth="1"/>
    <col min="16018" max="16019" width="3.7109375" style="125" customWidth="1"/>
    <col min="16020" max="16020" width="9.7109375" style="125" customWidth="1"/>
    <col min="16021" max="16022" width="3.7109375" style="125" customWidth="1"/>
    <col min="16023" max="16023" width="9.7109375" style="125" customWidth="1"/>
    <col min="16024" max="16025" width="3.7109375" style="125" customWidth="1"/>
    <col min="16026" max="16026" width="9.7109375" style="125" customWidth="1"/>
    <col min="16027" max="16028" width="3.7109375" style="125" customWidth="1"/>
    <col min="16029" max="16029" width="9.7109375" style="125" customWidth="1"/>
    <col min="16030" max="16031" width="3.7109375" style="125" customWidth="1"/>
    <col min="16032" max="16032" width="9.7109375" style="125" customWidth="1"/>
    <col min="16033" max="16034" width="3.7109375" style="125" customWidth="1"/>
    <col min="16035" max="16035" width="9.7109375" style="125" customWidth="1"/>
    <col min="16036" max="16037" width="3.7109375" style="125" customWidth="1"/>
    <col min="16038" max="16038" width="9.7109375" style="125" customWidth="1"/>
    <col min="16039" max="16040" width="3.7109375" style="125" customWidth="1"/>
    <col min="16041" max="16041" width="9.7109375" style="125" customWidth="1"/>
    <col min="16042" max="16043" width="3.7109375" style="125" customWidth="1"/>
    <col min="16044" max="16044" width="9.7109375" style="125" customWidth="1"/>
    <col min="16045" max="16046" width="3.7109375" style="125" customWidth="1"/>
    <col min="16047" max="16047" width="9.7109375" style="125" customWidth="1"/>
    <col min="16048" max="16049" width="3.7109375" style="125" customWidth="1"/>
    <col min="16050" max="16050" width="9.7109375" style="125" customWidth="1"/>
    <col min="16051" max="16052" width="3.7109375" style="125" customWidth="1"/>
    <col min="16053" max="16053" width="9.7109375" style="125" customWidth="1"/>
    <col min="16054" max="16055" width="3.7109375" style="125" customWidth="1"/>
    <col min="16056" max="16056" width="9.7109375" style="125" customWidth="1"/>
    <col min="16057" max="16058" width="3.7109375" style="125" customWidth="1"/>
    <col min="16059" max="16059" width="9.7109375" style="125" customWidth="1"/>
    <col min="16060" max="16061" width="3.7109375" style="125" customWidth="1"/>
    <col min="16062" max="16062" width="9.7109375" style="125" customWidth="1"/>
    <col min="16063" max="16064" width="3.7109375" style="125" customWidth="1"/>
    <col min="16065" max="16065" width="9.7109375" style="125" customWidth="1"/>
    <col min="16066" max="16067" width="3.7109375" style="125" customWidth="1"/>
    <col min="16068" max="16068" width="9.7109375" style="125" customWidth="1"/>
    <col min="16069" max="16070" width="3.7109375" style="125" customWidth="1"/>
    <col min="16071" max="16071" width="9.7109375" style="125" customWidth="1"/>
    <col min="16072" max="16073" width="3.7109375" style="125" customWidth="1"/>
    <col min="16074" max="16074" width="9.7109375" style="125" customWidth="1"/>
    <col min="16075" max="16076" width="3.7109375" style="125" customWidth="1"/>
    <col min="16077" max="16077" width="9.7109375" style="125" customWidth="1"/>
    <col min="16078" max="16079" width="3.7109375" style="125" customWidth="1"/>
    <col min="16080" max="16080" width="9.7109375" style="125" customWidth="1"/>
    <col min="16081" max="16082" width="3.7109375" style="125" customWidth="1"/>
    <col min="16083" max="16083" width="9.7109375" style="125" customWidth="1"/>
    <col min="16084" max="16085" width="3.7109375" style="125" customWidth="1"/>
    <col min="16086" max="16086" width="9.7109375" style="125" customWidth="1"/>
    <col min="16087" max="16088" width="3.7109375" style="125" customWidth="1"/>
    <col min="16089" max="16089" width="9.7109375" style="125" customWidth="1"/>
    <col min="16090" max="16091" width="3.7109375" style="125" customWidth="1"/>
    <col min="16092" max="16092" width="9.7109375" style="125" customWidth="1"/>
    <col min="16093" max="16094" width="3.7109375" style="125" customWidth="1"/>
    <col min="16095" max="16095" width="9.7109375" style="125" customWidth="1"/>
    <col min="16096" max="16097" width="3.7109375" style="125" customWidth="1"/>
    <col min="16098" max="16098" width="9.7109375" style="125" customWidth="1"/>
    <col min="16099" max="16100" width="3.7109375" style="125" customWidth="1"/>
    <col min="16101" max="16101" width="9.7109375" style="125" customWidth="1"/>
    <col min="16102" max="16103" width="3.7109375" style="125" customWidth="1"/>
    <col min="16104" max="16104" width="9.7109375" style="125" customWidth="1"/>
    <col min="16105" max="16106" width="3.7109375" style="125" customWidth="1"/>
    <col min="16107" max="16107" width="9.7109375" style="125" customWidth="1"/>
    <col min="16108" max="16109" width="3.7109375" style="125" customWidth="1"/>
    <col min="16110" max="16110" width="9.7109375" style="125" customWidth="1"/>
    <col min="16111" max="16112" width="3.7109375" style="125" customWidth="1"/>
    <col min="16113" max="16113" width="9.7109375" style="125" customWidth="1"/>
    <col min="16114" max="16115" width="3.7109375" style="125" customWidth="1"/>
    <col min="16116" max="16116" width="9.7109375" style="125" customWidth="1"/>
    <col min="16117" max="16118" width="3.7109375" style="125" customWidth="1"/>
    <col min="16119" max="16119" width="9.7109375" style="125" customWidth="1"/>
    <col min="16120" max="16121" width="3.7109375" style="125" customWidth="1"/>
    <col min="16122" max="16122" width="9.7109375" style="125" customWidth="1"/>
    <col min="16123" max="16124" width="3.7109375" style="125" customWidth="1"/>
    <col min="16125" max="16125" width="9.7109375" style="125" customWidth="1"/>
    <col min="16126" max="16126" width="3.7109375" style="125" customWidth="1"/>
    <col min="16127" max="16128" width="8" style="125"/>
    <col min="16129" max="16129" width="30.7109375" style="125" customWidth="1"/>
    <col min="16130" max="16130" width="9.7109375" style="125" customWidth="1"/>
    <col min="16131" max="16131" width="3.7109375" style="125" customWidth="1"/>
    <col min="16132" max="16132" width="9.7109375" style="125" customWidth="1"/>
    <col min="16133" max="16134" width="3.7109375" style="125" customWidth="1"/>
    <col min="16135" max="16135" width="9.7109375" style="125" customWidth="1"/>
    <col min="16136" max="16137" width="3.7109375" style="125" customWidth="1"/>
    <col min="16138" max="16138" width="9.7109375" style="125" customWidth="1"/>
    <col min="16139" max="16140" width="3.7109375" style="125" customWidth="1"/>
    <col min="16141" max="16141" width="9.7109375" style="125" customWidth="1"/>
    <col min="16142" max="16143" width="3.7109375" style="125" customWidth="1"/>
    <col min="16144" max="16144" width="9.7109375" style="125" customWidth="1"/>
    <col min="16145" max="16146" width="3.7109375" style="125" customWidth="1"/>
    <col min="16147" max="16147" width="9.7109375" style="125" customWidth="1"/>
    <col min="16148" max="16149" width="3.7109375" style="125" customWidth="1"/>
    <col min="16150" max="16150" width="9.7109375" style="125" customWidth="1"/>
    <col min="16151" max="16152" width="3.7109375" style="125" customWidth="1"/>
    <col min="16153" max="16153" width="9.7109375" style="125" customWidth="1"/>
    <col min="16154" max="16155" width="3.7109375" style="125" customWidth="1"/>
    <col min="16156" max="16156" width="9.7109375" style="125" customWidth="1"/>
    <col min="16157" max="16158" width="3.7109375" style="125" customWidth="1"/>
    <col min="16159" max="16159" width="9.7109375" style="125" customWidth="1"/>
    <col min="16160" max="16161" width="3.7109375" style="125" customWidth="1"/>
    <col min="16162" max="16162" width="9.7109375" style="125" customWidth="1"/>
    <col min="16163" max="16164" width="3.7109375" style="125" customWidth="1"/>
    <col min="16165" max="16165" width="9.7109375" style="125" customWidth="1"/>
    <col min="16166" max="16167" width="3.7109375" style="125" customWidth="1"/>
    <col min="16168" max="16168" width="9.7109375" style="125" customWidth="1"/>
    <col min="16169" max="16170" width="3.7109375" style="125" customWidth="1"/>
    <col min="16171" max="16171" width="9.7109375" style="125" customWidth="1"/>
    <col min="16172" max="16173" width="3.7109375" style="125" customWidth="1"/>
    <col min="16174" max="16174" width="9.7109375" style="125" customWidth="1"/>
    <col min="16175" max="16176" width="3.7109375" style="125" customWidth="1"/>
    <col min="16177" max="16177" width="9.7109375" style="125" customWidth="1"/>
    <col min="16178" max="16179" width="3.7109375" style="125" customWidth="1"/>
    <col min="16180" max="16180" width="9.7109375" style="125" customWidth="1"/>
    <col min="16181" max="16182" width="3.7109375" style="125" customWidth="1"/>
    <col min="16183" max="16183" width="9.7109375" style="125" customWidth="1"/>
    <col min="16184" max="16185" width="3.7109375" style="125" customWidth="1"/>
    <col min="16186" max="16186" width="9.7109375" style="125" customWidth="1"/>
    <col min="16187" max="16188" width="3.7109375" style="125" customWidth="1"/>
    <col min="16189" max="16189" width="9.7109375" style="125" customWidth="1"/>
    <col min="16190" max="16191" width="3.7109375" style="125" customWidth="1"/>
    <col min="16192" max="16192" width="9.7109375" style="125" customWidth="1"/>
    <col min="16193" max="16194" width="3.7109375" style="125" customWidth="1"/>
    <col min="16195" max="16195" width="9.7109375" style="125" customWidth="1"/>
    <col min="16196" max="16197" width="3.7109375" style="125" customWidth="1"/>
    <col min="16198" max="16198" width="9.7109375" style="125" customWidth="1"/>
    <col min="16199" max="16200" width="3.7109375" style="125" customWidth="1"/>
    <col min="16201" max="16201" width="9.7109375" style="125" customWidth="1"/>
    <col min="16202" max="16203" width="3.7109375" style="125" customWidth="1"/>
    <col min="16204" max="16204" width="9.7109375" style="125" customWidth="1"/>
    <col min="16205" max="16206" width="3.7109375" style="125" customWidth="1"/>
    <col min="16207" max="16207" width="9.7109375" style="125" customWidth="1"/>
    <col min="16208" max="16209" width="3.7109375" style="125" customWidth="1"/>
    <col min="16210" max="16210" width="9.7109375" style="125" customWidth="1"/>
    <col min="16211" max="16212" width="3.7109375" style="125" customWidth="1"/>
    <col min="16213" max="16213" width="9.7109375" style="125" customWidth="1"/>
    <col min="16214" max="16215" width="3.7109375" style="125" customWidth="1"/>
    <col min="16216" max="16216" width="9.7109375" style="125" customWidth="1"/>
    <col min="16217" max="16218" width="3.7109375" style="125" customWidth="1"/>
    <col min="16219" max="16219" width="9.7109375" style="125" customWidth="1"/>
    <col min="16220" max="16221" width="3.7109375" style="125" customWidth="1"/>
    <col min="16222" max="16222" width="9.7109375" style="125" customWidth="1"/>
    <col min="16223" max="16224" width="3.7109375" style="125" customWidth="1"/>
    <col min="16225" max="16225" width="9.7109375" style="125" customWidth="1"/>
    <col min="16226" max="16227" width="3.7109375" style="125" customWidth="1"/>
    <col min="16228" max="16228" width="9.7109375" style="125" customWidth="1"/>
    <col min="16229" max="16230" width="3.7109375" style="125" customWidth="1"/>
    <col min="16231" max="16231" width="9.7109375" style="125" customWidth="1"/>
    <col min="16232" max="16233" width="3.7109375" style="125" customWidth="1"/>
    <col min="16234" max="16234" width="9.7109375" style="125" customWidth="1"/>
    <col min="16235" max="16236" width="3.7109375" style="125" customWidth="1"/>
    <col min="16237" max="16237" width="9.7109375" style="125" customWidth="1"/>
    <col min="16238" max="16238" width="3.7109375" style="125" customWidth="1"/>
    <col min="16239" max="16239" width="5.7109375" style="125" bestFit="1" customWidth="1"/>
    <col min="16240" max="16240" width="9.7109375" style="125" customWidth="1"/>
    <col min="16241" max="16242" width="3.7109375" style="125" customWidth="1"/>
    <col min="16243" max="16243" width="9.7109375" style="125" customWidth="1"/>
    <col min="16244" max="16245" width="3.7109375" style="125" customWidth="1"/>
    <col min="16246" max="16246" width="9.7109375" style="125" customWidth="1"/>
    <col min="16247" max="16248" width="3.7109375" style="125" customWidth="1"/>
    <col min="16249" max="16249" width="9.7109375" style="125" customWidth="1"/>
    <col min="16250" max="16251" width="3.7109375" style="125" customWidth="1"/>
    <col min="16252" max="16252" width="9.7109375" style="125" customWidth="1"/>
    <col min="16253" max="16254" width="3.7109375" style="125" customWidth="1"/>
    <col min="16255" max="16255" width="9.7109375" style="125" customWidth="1"/>
    <col min="16256" max="16257" width="3.7109375" style="125" customWidth="1"/>
    <col min="16258" max="16258" width="9.7109375" style="125" customWidth="1"/>
    <col min="16259" max="16260" width="3.7109375" style="125" customWidth="1"/>
    <col min="16261" max="16261" width="9.7109375" style="125" customWidth="1"/>
    <col min="16262" max="16262" width="3.7109375" style="125" customWidth="1"/>
    <col min="16263" max="16263" width="5.7109375" style="125" bestFit="1" customWidth="1"/>
    <col min="16264" max="16264" width="9.7109375" style="125" customWidth="1"/>
    <col min="16265" max="16266" width="3.7109375" style="125" customWidth="1"/>
    <col min="16267" max="16267" width="9.7109375" style="125" customWidth="1"/>
    <col min="16268" max="16269" width="3.7109375" style="125" customWidth="1"/>
    <col min="16270" max="16270" width="9.7109375" style="125" customWidth="1"/>
    <col min="16271" max="16272" width="3.7109375" style="125" customWidth="1"/>
    <col min="16273" max="16273" width="9.7109375" style="125" customWidth="1"/>
    <col min="16274" max="16275" width="3.7109375" style="125" customWidth="1"/>
    <col min="16276" max="16276" width="9.7109375" style="125" customWidth="1"/>
    <col min="16277" max="16278" width="3.7109375" style="125" customWidth="1"/>
    <col min="16279" max="16279" width="9.7109375" style="125" customWidth="1"/>
    <col min="16280" max="16281" width="3.7109375" style="125" customWidth="1"/>
    <col min="16282" max="16282" width="9.7109375" style="125" customWidth="1"/>
    <col min="16283" max="16284" width="3.7109375" style="125" customWidth="1"/>
    <col min="16285" max="16285" width="9.7109375" style="125" customWidth="1"/>
    <col min="16286" max="16287" width="3.7109375" style="125" customWidth="1"/>
    <col min="16288" max="16288" width="9.7109375" style="125" customWidth="1"/>
    <col min="16289" max="16290" width="3.7109375" style="125" customWidth="1"/>
    <col min="16291" max="16291" width="9.7109375" style="125" customWidth="1"/>
    <col min="16292" max="16293" width="3.7109375" style="125" customWidth="1"/>
    <col min="16294" max="16294" width="9.7109375" style="125" customWidth="1"/>
    <col min="16295" max="16296" width="3.7109375" style="125" customWidth="1"/>
    <col min="16297" max="16297" width="9.7109375" style="125" customWidth="1"/>
    <col min="16298" max="16299" width="3.7109375" style="125" customWidth="1"/>
    <col min="16300" max="16300" width="9.7109375" style="125" customWidth="1"/>
    <col min="16301" max="16302" width="3.7109375" style="125" customWidth="1"/>
    <col min="16303" max="16303" width="9.7109375" style="125" customWidth="1"/>
    <col min="16304" max="16305" width="3.7109375" style="125" customWidth="1"/>
    <col min="16306" max="16306" width="9.7109375" style="125" customWidth="1"/>
    <col min="16307" max="16308" width="3.7109375" style="125" customWidth="1"/>
    <col min="16309" max="16309" width="9.7109375" style="125" customWidth="1"/>
    <col min="16310" max="16311" width="3.7109375" style="125" customWidth="1"/>
    <col min="16312" max="16312" width="9.7109375" style="125" customWidth="1"/>
    <col min="16313" max="16314" width="3.7109375" style="125" customWidth="1"/>
    <col min="16315" max="16315" width="9.7109375" style="125" customWidth="1"/>
    <col min="16316" max="16317" width="3.7109375" style="125" customWidth="1"/>
    <col min="16318" max="16318" width="9.7109375" style="125" customWidth="1"/>
    <col min="16319" max="16320" width="3.7109375" style="125" customWidth="1"/>
    <col min="16321" max="16321" width="9.7109375" style="125" customWidth="1"/>
    <col min="16322" max="16323" width="3.7109375" style="125" customWidth="1"/>
    <col min="16324" max="16324" width="9.7109375" style="125" customWidth="1"/>
    <col min="16325" max="16326" width="3.7109375" style="125" customWidth="1"/>
    <col min="16327" max="16327" width="9.7109375" style="125" customWidth="1"/>
    <col min="16328" max="16329" width="3.7109375" style="125" customWidth="1"/>
    <col min="16330" max="16330" width="9.7109375" style="125" customWidth="1"/>
    <col min="16331" max="16332" width="3.7109375" style="125" customWidth="1"/>
    <col min="16333" max="16333" width="9.7109375" style="125" customWidth="1"/>
    <col min="16334" max="16335" width="3.7109375" style="125" customWidth="1"/>
    <col min="16336" max="16336" width="9.7109375" style="125" customWidth="1"/>
    <col min="16337" max="16338" width="3.7109375" style="125" customWidth="1"/>
    <col min="16339" max="16339" width="9.7109375" style="125" customWidth="1"/>
    <col min="16340" max="16341" width="3.7109375" style="125" customWidth="1"/>
    <col min="16342" max="16342" width="9.7109375" style="125" customWidth="1"/>
    <col min="16343" max="16344" width="3.7109375" style="125" customWidth="1"/>
    <col min="16345" max="16345" width="9.7109375" style="125" customWidth="1"/>
    <col min="16346" max="16347" width="3.7109375" style="125" customWidth="1"/>
    <col min="16348" max="16348" width="9.7109375" style="125" customWidth="1"/>
    <col min="16349" max="16350" width="3.7109375" style="125" customWidth="1"/>
    <col min="16351" max="16351" width="9.7109375" style="125" customWidth="1"/>
    <col min="16352" max="16353" width="3.7109375" style="125" customWidth="1"/>
    <col min="16354" max="16354" width="9.7109375" style="125" customWidth="1"/>
    <col min="16355" max="16356" width="3.7109375" style="125" customWidth="1"/>
    <col min="16357" max="16357" width="9.7109375" style="125" customWidth="1"/>
    <col min="16358" max="16359" width="3.7109375" style="125" customWidth="1"/>
    <col min="16360" max="16360" width="9.7109375" style="125" customWidth="1"/>
    <col min="16361" max="16362" width="3.7109375" style="125" customWidth="1"/>
    <col min="16363" max="16363" width="9.7109375" style="125" customWidth="1"/>
    <col min="16364" max="16365" width="3.7109375" style="125" customWidth="1"/>
    <col min="16366" max="16366" width="9.7109375" style="125" customWidth="1"/>
    <col min="16367" max="16368" width="3.7109375" style="125" customWidth="1"/>
    <col min="16369" max="16369" width="9.7109375" style="125" customWidth="1"/>
    <col min="16370" max="16371" width="3.7109375" style="125" customWidth="1"/>
    <col min="16372" max="16372" width="9.7109375" style="125" customWidth="1"/>
    <col min="16373" max="16374" width="3.7109375" style="125" customWidth="1"/>
    <col min="16375" max="16375" width="9.7109375" style="125" customWidth="1"/>
    <col min="16376" max="16377" width="3.7109375" style="125" customWidth="1"/>
    <col min="16378" max="16378" width="9.7109375" style="125" customWidth="1"/>
    <col min="16379" max="16380" width="3.7109375" style="125" customWidth="1"/>
    <col min="16381" max="16381" width="9.7109375" style="125" customWidth="1"/>
    <col min="16382" max="16382" width="3.7109375" style="125" customWidth="1"/>
    <col min="16383" max="16384" width="8" style="125"/>
  </cols>
  <sheetData>
    <row r="3" spans="1:134">
      <c r="A3" s="8" t="s">
        <v>0</v>
      </c>
      <c r="B3" s="124" t="s">
        <v>58</v>
      </c>
    </row>
    <row r="4" spans="1:134">
      <c r="A4" s="8" t="s">
        <v>2</v>
      </c>
      <c r="B4" s="124" t="s">
        <v>59</v>
      </c>
    </row>
    <row r="5" spans="1:134">
      <c r="A5" s="8" t="s">
        <v>4</v>
      </c>
      <c r="B5" s="126" t="s">
        <v>5</v>
      </c>
    </row>
    <row r="6" spans="1:134">
      <c r="A6" s="8" t="s">
        <v>6</v>
      </c>
      <c r="B6" s="7" t="s">
        <v>7</v>
      </c>
    </row>
    <row r="7" spans="1:134">
      <c r="A7" s="8" t="s">
        <v>8</v>
      </c>
      <c r="B7" s="127" t="s">
        <v>9</v>
      </c>
    </row>
    <row r="8" spans="1:134">
      <c r="AS8" s="128"/>
      <c r="AT8" s="128"/>
      <c r="AU8" s="128"/>
      <c r="AV8" s="128"/>
      <c r="AW8" s="128"/>
      <c r="AX8" s="128"/>
    </row>
    <row r="9" spans="1:134" ht="12.75" customHeight="1">
      <c r="A9" s="129"/>
      <c r="B9" s="130" t="s">
        <v>60</v>
      </c>
      <c r="C9" s="220" t="s">
        <v>190</v>
      </c>
      <c r="D9" s="221"/>
      <c r="E9" s="221"/>
      <c r="F9" s="220" t="s">
        <v>191</v>
      </c>
      <c r="G9" s="221"/>
      <c r="H9" s="221"/>
      <c r="I9" s="220" t="s">
        <v>192</v>
      </c>
      <c r="J9" s="221"/>
      <c r="K9" s="221"/>
      <c r="L9" s="220" t="s">
        <v>193</v>
      </c>
      <c r="M9" s="221"/>
      <c r="N9" s="221"/>
      <c r="O9" s="220" t="s">
        <v>194</v>
      </c>
      <c r="P9" s="221"/>
      <c r="Q9" s="221"/>
      <c r="R9" s="220" t="s">
        <v>195</v>
      </c>
      <c r="S9" s="221"/>
      <c r="T9" s="221"/>
      <c r="U9" s="220" t="s">
        <v>196</v>
      </c>
      <c r="V9" s="221"/>
      <c r="W9" s="221"/>
      <c r="X9" s="220" t="s">
        <v>197</v>
      </c>
      <c r="Y9" s="221"/>
      <c r="Z9" s="221"/>
      <c r="AA9" s="220" t="s">
        <v>198</v>
      </c>
      <c r="AB9" s="221"/>
      <c r="AC9" s="221"/>
      <c r="AD9" s="220" t="s">
        <v>199</v>
      </c>
      <c r="AE9" s="221"/>
      <c r="AF9" s="221"/>
      <c r="AG9" s="220" t="s">
        <v>200</v>
      </c>
      <c r="AH9" s="221"/>
      <c r="AI9" s="221"/>
      <c r="AJ9" s="220" t="s">
        <v>201</v>
      </c>
      <c r="AK9" s="221"/>
      <c r="AL9" s="221"/>
      <c r="AM9" s="220" t="s">
        <v>202</v>
      </c>
      <c r="AN9" s="221"/>
      <c r="AO9" s="221"/>
      <c r="AP9" s="220" t="s">
        <v>203</v>
      </c>
      <c r="AQ9" s="221"/>
      <c r="AR9" s="221"/>
      <c r="AS9" s="220" t="s">
        <v>204</v>
      </c>
      <c r="AT9" s="221"/>
      <c r="AU9" s="221"/>
      <c r="AV9" s="220" t="s">
        <v>205</v>
      </c>
      <c r="AW9" s="221"/>
      <c r="AX9" s="221"/>
      <c r="AY9" s="220" t="s">
        <v>206</v>
      </c>
      <c r="AZ9" s="221"/>
      <c r="BA9" s="221"/>
      <c r="BB9" s="220" t="s">
        <v>207</v>
      </c>
      <c r="BC9" s="221"/>
      <c r="BD9" s="221"/>
      <c r="BE9" s="220" t="s">
        <v>208</v>
      </c>
      <c r="BF9" s="221"/>
      <c r="BG9" s="221"/>
      <c r="BH9" s="220" t="s">
        <v>209</v>
      </c>
      <c r="BI9" s="221"/>
      <c r="BJ9" s="221"/>
      <c r="BK9" s="220" t="s">
        <v>210</v>
      </c>
      <c r="BL9" s="221"/>
      <c r="BM9" s="221"/>
      <c r="BN9" s="220" t="s">
        <v>211</v>
      </c>
      <c r="BO9" s="221"/>
      <c r="BP9" s="221"/>
      <c r="BQ9" s="220" t="s">
        <v>212</v>
      </c>
      <c r="BR9" s="221"/>
      <c r="BS9" s="221"/>
      <c r="BT9" s="220" t="s">
        <v>213</v>
      </c>
      <c r="BU9" s="221"/>
      <c r="BV9" s="221"/>
      <c r="BW9" s="220" t="s">
        <v>214</v>
      </c>
      <c r="BX9" s="221"/>
      <c r="BY9" s="221"/>
      <c r="BZ9" s="220" t="s">
        <v>215</v>
      </c>
      <c r="CA9" s="221"/>
      <c r="CB9" s="221"/>
      <c r="CC9" s="220" t="s">
        <v>216</v>
      </c>
      <c r="CD9" s="221"/>
      <c r="CE9" s="221"/>
      <c r="CF9" s="220" t="s">
        <v>217</v>
      </c>
      <c r="CG9" s="221"/>
      <c r="CH9" s="221"/>
      <c r="CI9" s="220" t="s">
        <v>218</v>
      </c>
      <c r="CJ9" s="221"/>
      <c r="CK9" s="221"/>
      <c r="CL9" s="220" t="s">
        <v>219</v>
      </c>
      <c r="CM9" s="221"/>
      <c r="CN9" s="221"/>
      <c r="CO9" s="220" t="s">
        <v>220</v>
      </c>
      <c r="CP9" s="221"/>
      <c r="CQ9" s="221"/>
      <c r="CR9" s="220" t="s">
        <v>221</v>
      </c>
      <c r="CS9" s="221"/>
      <c r="CT9" s="221"/>
      <c r="CU9" s="220" t="s">
        <v>222</v>
      </c>
      <c r="CV9" s="221"/>
      <c r="CW9" s="221"/>
      <c r="CX9" s="220" t="s">
        <v>223</v>
      </c>
      <c r="CY9" s="221"/>
      <c r="CZ9" s="221"/>
      <c r="DA9" s="220" t="s">
        <v>224</v>
      </c>
      <c r="DB9" s="221"/>
      <c r="DC9" s="221"/>
      <c r="DD9" s="220" t="s">
        <v>225</v>
      </c>
      <c r="DE9" s="221"/>
      <c r="DF9" s="221"/>
      <c r="DG9" s="220" t="s">
        <v>226</v>
      </c>
      <c r="DH9" s="221"/>
      <c r="DI9" s="221"/>
      <c r="DJ9" s="220" t="s">
        <v>227</v>
      </c>
      <c r="DK9" s="221"/>
      <c r="DL9" s="221"/>
      <c r="DM9" s="220" t="s">
        <v>228</v>
      </c>
      <c r="DN9" s="221"/>
      <c r="DO9" s="221"/>
      <c r="DP9" s="220" t="s">
        <v>229</v>
      </c>
      <c r="DQ9" s="221"/>
      <c r="DR9" s="221"/>
      <c r="DS9" s="220" t="s">
        <v>230</v>
      </c>
      <c r="DT9" s="221"/>
      <c r="DU9" s="221"/>
      <c r="DV9" s="220" t="s">
        <v>231</v>
      </c>
      <c r="DW9" s="221"/>
      <c r="DX9" s="221"/>
      <c r="DY9" s="220" t="s">
        <v>232</v>
      </c>
      <c r="DZ9" s="221"/>
      <c r="EA9" s="221"/>
      <c r="EB9" s="220" t="s">
        <v>233</v>
      </c>
      <c r="EC9" s="221"/>
      <c r="ED9" s="221"/>
    </row>
    <row r="10" spans="1:134" ht="12.75" customHeight="1">
      <c r="A10" s="131"/>
      <c r="B10" s="132" t="s">
        <v>115</v>
      </c>
      <c r="C10" s="215" t="s">
        <v>33</v>
      </c>
      <c r="D10" s="216"/>
      <c r="E10" s="216"/>
      <c r="F10" s="215" t="s">
        <v>33</v>
      </c>
      <c r="G10" s="216"/>
      <c r="H10" s="216"/>
      <c r="I10" s="215" t="s">
        <v>33</v>
      </c>
      <c r="J10" s="216"/>
      <c r="K10" s="216"/>
      <c r="L10" s="215" t="s">
        <v>33</v>
      </c>
      <c r="M10" s="216"/>
      <c r="N10" s="216"/>
      <c r="O10" s="215" t="s">
        <v>33</v>
      </c>
      <c r="P10" s="216"/>
      <c r="Q10" s="216"/>
      <c r="R10" s="215" t="s">
        <v>33</v>
      </c>
      <c r="S10" s="216"/>
      <c r="T10" s="216"/>
      <c r="U10" s="215" t="s">
        <v>33</v>
      </c>
      <c r="V10" s="216"/>
      <c r="W10" s="216"/>
      <c r="X10" s="215" t="s">
        <v>35</v>
      </c>
      <c r="Y10" s="216"/>
      <c r="Z10" s="216"/>
      <c r="AA10" s="215" t="s">
        <v>35</v>
      </c>
      <c r="AB10" s="216"/>
      <c r="AC10" s="216"/>
      <c r="AD10" s="215" t="s">
        <v>35</v>
      </c>
      <c r="AE10" s="216"/>
      <c r="AF10" s="216"/>
      <c r="AG10" s="215" t="s">
        <v>35</v>
      </c>
      <c r="AH10" s="216"/>
      <c r="AI10" s="216"/>
      <c r="AJ10" s="215" t="s">
        <v>35</v>
      </c>
      <c r="AK10" s="216"/>
      <c r="AL10" s="216"/>
      <c r="AM10" s="215" t="s">
        <v>35</v>
      </c>
      <c r="AN10" s="216"/>
      <c r="AO10" s="216"/>
      <c r="AP10" s="215" t="s">
        <v>35</v>
      </c>
      <c r="AQ10" s="216"/>
      <c r="AR10" s="216"/>
      <c r="AS10" s="215" t="s">
        <v>50</v>
      </c>
      <c r="AT10" s="216"/>
      <c r="AU10" s="216"/>
      <c r="AV10" s="215" t="s">
        <v>50</v>
      </c>
      <c r="AW10" s="216"/>
      <c r="AX10" s="216"/>
      <c r="AY10" s="215" t="s">
        <v>50</v>
      </c>
      <c r="AZ10" s="216"/>
      <c r="BA10" s="216"/>
      <c r="BB10" s="215" t="s">
        <v>50</v>
      </c>
      <c r="BC10" s="216"/>
      <c r="BD10" s="216"/>
      <c r="BE10" s="215" t="s">
        <v>50</v>
      </c>
      <c r="BF10" s="216"/>
      <c r="BG10" s="216"/>
      <c r="BH10" s="215" t="s">
        <v>51</v>
      </c>
      <c r="BI10" s="216"/>
      <c r="BJ10" s="216"/>
      <c r="BK10" s="215" t="s">
        <v>51</v>
      </c>
      <c r="BL10" s="216"/>
      <c r="BM10" s="216"/>
      <c r="BN10" s="215" t="s">
        <v>51</v>
      </c>
      <c r="BO10" s="216"/>
      <c r="BP10" s="216"/>
      <c r="BQ10" s="215" t="s">
        <v>51</v>
      </c>
      <c r="BR10" s="216"/>
      <c r="BS10" s="216"/>
      <c r="BT10" s="215" t="s">
        <v>51</v>
      </c>
      <c r="BU10" s="216"/>
      <c r="BV10" s="216"/>
      <c r="BW10" s="215" t="s">
        <v>52</v>
      </c>
      <c r="BX10" s="216"/>
      <c r="BY10" s="216"/>
      <c r="BZ10" s="215" t="s">
        <v>52</v>
      </c>
      <c r="CA10" s="216"/>
      <c r="CB10" s="216"/>
      <c r="CC10" s="215" t="s">
        <v>52</v>
      </c>
      <c r="CD10" s="216"/>
      <c r="CE10" s="216"/>
      <c r="CF10" s="215" t="s">
        <v>52</v>
      </c>
      <c r="CG10" s="216"/>
      <c r="CH10" s="216"/>
      <c r="CI10" s="215" t="s">
        <v>52</v>
      </c>
      <c r="CJ10" s="216"/>
      <c r="CK10" s="216"/>
      <c r="CL10" s="215" t="s">
        <v>53</v>
      </c>
      <c r="CM10" s="216"/>
      <c r="CN10" s="216"/>
      <c r="CO10" s="215" t="s">
        <v>53</v>
      </c>
      <c r="CP10" s="216"/>
      <c r="CQ10" s="216"/>
      <c r="CR10" s="215" t="s">
        <v>53</v>
      </c>
      <c r="CS10" s="216"/>
      <c r="CT10" s="216"/>
      <c r="CU10" s="215" t="s">
        <v>53</v>
      </c>
      <c r="CV10" s="216"/>
      <c r="CW10" s="216"/>
      <c r="CX10" s="215" t="s">
        <v>53</v>
      </c>
      <c r="CY10" s="216"/>
      <c r="CZ10" s="216"/>
      <c r="DA10" s="215" t="s">
        <v>54</v>
      </c>
      <c r="DB10" s="216"/>
      <c r="DC10" s="216"/>
      <c r="DD10" s="215" t="s">
        <v>54</v>
      </c>
      <c r="DE10" s="216"/>
      <c r="DF10" s="216"/>
      <c r="DG10" s="215" t="s">
        <v>54</v>
      </c>
      <c r="DH10" s="216"/>
      <c r="DI10" s="216"/>
      <c r="DJ10" s="215" t="s">
        <v>54</v>
      </c>
      <c r="DK10" s="216"/>
      <c r="DL10" s="216"/>
      <c r="DM10" s="215" t="s">
        <v>54</v>
      </c>
      <c r="DN10" s="216"/>
      <c r="DO10" s="216"/>
      <c r="DP10" s="215" t="s">
        <v>55</v>
      </c>
      <c r="DQ10" s="216"/>
      <c r="DR10" s="216"/>
      <c r="DS10" s="215" t="s">
        <v>55</v>
      </c>
      <c r="DT10" s="216"/>
      <c r="DU10" s="216"/>
      <c r="DV10" s="215" t="s">
        <v>55</v>
      </c>
      <c r="DW10" s="216"/>
      <c r="DX10" s="216"/>
      <c r="DY10" s="215" t="s">
        <v>55</v>
      </c>
      <c r="DZ10" s="216"/>
      <c r="EA10" s="216"/>
      <c r="EB10" s="215" t="s">
        <v>55</v>
      </c>
      <c r="EC10" s="216"/>
      <c r="ED10" s="216"/>
    </row>
    <row r="11" spans="1:134" ht="12.75" customHeight="1">
      <c r="A11" s="131"/>
      <c r="B11" s="132" t="s">
        <v>116</v>
      </c>
      <c r="C11" s="217">
        <v>40588</v>
      </c>
      <c r="D11" s="218"/>
      <c r="E11" s="219"/>
      <c r="F11" s="217">
        <v>40638</v>
      </c>
      <c r="G11" s="218"/>
      <c r="H11" s="219"/>
      <c r="I11" s="217">
        <v>40864</v>
      </c>
      <c r="J11" s="218"/>
      <c r="K11" s="219"/>
      <c r="L11" s="217">
        <v>40899</v>
      </c>
      <c r="M11" s="218"/>
      <c r="N11" s="219"/>
      <c r="O11" s="217">
        <v>41080</v>
      </c>
      <c r="P11" s="218"/>
      <c r="Q11" s="219"/>
      <c r="R11" s="217">
        <v>41172</v>
      </c>
      <c r="S11" s="218"/>
      <c r="T11" s="219"/>
      <c r="U11" s="217">
        <v>41354</v>
      </c>
      <c r="V11" s="218"/>
      <c r="W11" s="219"/>
      <c r="X11" s="217">
        <v>40588</v>
      </c>
      <c r="Y11" s="218"/>
      <c r="Z11" s="219"/>
      <c r="AA11" s="217">
        <v>40638</v>
      </c>
      <c r="AB11" s="218"/>
      <c r="AC11" s="219"/>
      <c r="AD11" s="217">
        <v>40864</v>
      </c>
      <c r="AE11" s="218"/>
      <c r="AF11" s="219"/>
      <c r="AG11" s="217">
        <v>40899</v>
      </c>
      <c r="AH11" s="218"/>
      <c r="AI11" s="219"/>
      <c r="AJ11" s="217">
        <v>41080</v>
      </c>
      <c r="AK11" s="218"/>
      <c r="AL11" s="219"/>
      <c r="AM11" s="217">
        <v>41172</v>
      </c>
      <c r="AN11" s="218"/>
      <c r="AO11" s="219"/>
      <c r="AP11" s="217">
        <v>41354</v>
      </c>
      <c r="AQ11" s="218"/>
      <c r="AR11" s="219"/>
      <c r="AS11" s="217">
        <v>40864</v>
      </c>
      <c r="AT11" s="218"/>
      <c r="AU11" s="219"/>
      <c r="AV11" s="217">
        <v>40899</v>
      </c>
      <c r="AW11" s="218"/>
      <c r="AX11" s="219"/>
      <c r="AY11" s="217">
        <v>41080</v>
      </c>
      <c r="AZ11" s="218"/>
      <c r="BA11" s="219"/>
      <c r="BB11" s="217">
        <v>41172</v>
      </c>
      <c r="BC11" s="218"/>
      <c r="BD11" s="219"/>
      <c r="BE11" s="217">
        <v>41354</v>
      </c>
      <c r="BF11" s="218"/>
      <c r="BG11" s="219"/>
      <c r="BH11" s="217">
        <v>40864</v>
      </c>
      <c r="BI11" s="218"/>
      <c r="BJ11" s="219"/>
      <c r="BK11" s="217">
        <v>40899</v>
      </c>
      <c r="BL11" s="218"/>
      <c r="BM11" s="219"/>
      <c r="BN11" s="217">
        <v>41080</v>
      </c>
      <c r="BO11" s="218"/>
      <c r="BP11" s="219"/>
      <c r="BQ11" s="217">
        <v>41172</v>
      </c>
      <c r="BR11" s="218"/>
      <c r="BS11" s="219"/>
      <c r="BT11" s="217">
        <v>41354</v>
      </c>
      <c r="BU11" s="218"/>
      <c r="BV11" s="219"/>
      <c r="BW11" s="217">
        <v>40864</v>
      </c>
      <c r="BX11" s="218"/>
      <c r="BY11" s="219"/>
      <c r="BZ11" s="217">
        <v>40899</v>
      </c>
      <c r="CA11" s="218"/>
      <c r="CB11" s="219"/>
      <c r="CC11" s="217">
        <v>41080</v>
      </c>
      <c r="CD11" s="218"/>
      <c r="CE11" s="219"/>
      <c r="CF11" s="217">
        <v>41172</v>
      </c>
      <c r="CG11" s="218"/>
      <c r="CH11" s="219"/>
      <c r="CI11" s="217">
        <v>41354</v>
      </c>
      <c r="CJ11" s="218"/>
      <c r="CK11" s="219"/>
      <c r="CL11" s="217">
        <v>40865</v>
      </c>
      <c r="CM11" s="218"/>
      <c r="CN11" s="219"/>
      <c r="CO11" s="217">
        <v>40900</v>
      </c>
      <c r="CP11" s="218"/>
      <c r="CQ11" s="219"/>
      <c r="CR11" s="217">
        <v>41081</v>
      </c>
      <c r="CS11" s="218"/>
      <c r="CT11" s="219"/>
      <c r="CU11" s="217">
        <v>41172</v>
      </c>
      <c r="CV11" s="218"/>
      <c r="CW11" s="219"/>
      <c r="CX11" s="217">
        <v>41355</v>
      </c>
      <c r="CY11" s="218"/>
      <c r="CZ11" s="219"/>
      <c r="DA11" s="217">
        <v>40864</v>
      </c>
      <c r="DB11" s="218"/>
      <c r="DC11" s="219"/>
      <c r="DD11" s="217">
        <v>40899</v>
      </c>
      <c r="DE11" s="218"/>
      <c r="DF11" s="219"/>
      <c r="DG11" s="217">
        <v>41080</v>
      </c>
      <c r="DH11" s="218"/>
      <c r="DI11" s="219"/>
      <c r="DJ11" s="217">
        <v>41172</v>
      </c>
      <c r="DK11" s="218"/>
      <c r="DL11" s="219"/>
      <c r="DM11" s="217">
        <v>41354</v>
      </c>
      <c r="DN11" s="218"/>
      <c r="DO11" s="219"/>
      <c r="DP11" s="217">
        <v>40864</v>
      </c>
      <c r="DQ11" s="218"/>
      <c r="DR11" s="219"/>
      <c r="DS11" s="217">
        <v>40899</v>
      </c>
      <c r="DT11" s="218"/>
      <c r="DU11" s="219"/>
      <c r="DV11" s="217">
        <v>41081</v>
      </c>
      <c r="DW11" s="218"/>
      <c r="DX11" s="219"/>
      <c r="DY11" s="217">
        <v>41172</v>
      </c>
      <c r="DZ11" s="218"/>
      <c r="EA11" s="219"/>
      <c r="EB11" s="217">
        <v>41354</v>
      </c>
      <c r="EC11" s="218"/>
      <c r="ED11" s="219"/>
    </row>
    <row r="12" spans="1:134" ht="12.75" customHeight="1">
      <c r="A12" s="131"/>
      <c r="B12" s="132" t="s">
        <v>13</v>
      </c>
      <c r="C12" s="211" t="s">
        <v>234</v>
      </c>
      <c r="D12" s="211"/>
      <c r="E12" s="211"/>
      <c r="F12" s="211" t="s">
        <v>234</v>
      </c>
      <c r="G12" s="211"/>
      <c r="H12" s="211"/>
      <c r="I12" s="211" t="s">
        <v>234</v>
      </c>
      <c r="J12" s="211"/>
      <c r="K12" s="211"/>
      <c r="L12" s="211" t="s">
        <v>234</v>
      </c>
      <c r="M12" s="211"/>
      <c r="N12" s="211"/>
      <c r="O12" s="211" t="s">
        <v>234</v>
      </c>
      <c r="P12" s="211"/>
      <c r="Q12" s="211"/>
      <c r="R12" s="211" t="s">
        <v>234</v>
      </c>
      <c r="S12" s="211"/>
      <c r="T12" s="211"/>
      <c r="U12" s="211" t="s">
        <v>234</v>
      </c>
      <c r="V12" s="211"/>
      <c r="W12" s="211"/>
      <c r="X12" s="211" t="s">
        <v>235</v>
      </c>
      <c r="Y12" s="211"/>
      <c r="Z12" s="211"/>
      <c r="AA12" s="211" t="s">
        <v>235</v>
      </c>
      <c r="AB12" s="211"/>
      <c r="AC12" s="211"/>
      <c r="AD12" s="211" t="s">
        <v>235</v>
      </c>
      <c r="AE12" s="211"/>
      <c r="AF12" s="211"/>
      <c r="AG12" s="211" t="s">
        <v>235</v>
      </c>
      <c r="AH12" s="211"/>
      <c r="AI12" s="211"/>
      <c r="AJ12" s="211" t="s">
        <v>235</v>
      </c>
      <c r="AK12" s="211"/>
      <c r="AL12" s="211"/>
      <c r="AM12" s="211" t="s">
        <v>235</v>
      </c>
      <c r="AN12" s="211"/>
      <c r="AO12" s="211"/>
      <c r="AP12" s="211" t="s">
        <v>235</v>
      </c>
      <c r="AQ12" s="211"/>
      <c r="AR12" s="211"/>
      <c r="AS12" s="211" t="s">
        <v>236</v>
      </c>
      <c r="AT12" s="211"/>
      <c r="AU12" s="211"/>
      <c r="AV12" s="211" t="s">
        <v>236</v>
      </c>
      <c r="AW12" s="211"/>
      <c r="AX12" s="211"/>
      <c r="AY12" s="211" t="s">
        <v>236</v>
      </c>
      <c r="AZ12" s="211"/>
      <c r="BA12" s="211"/>
      <c r="BB12" s="211" t="s">
        <v>236</v>
      </c>
      <c r="BC12" s="211"/>
      <c r="BD12" s="211"/>
      <c r="BE12" s="211" t="s">
        <v>236</v>
      </c>
      <c r="BF12" s="211"/>
      <c r="BG12" s="211"/>
      <c r="BH12" s="211" t="s">
        <v>237</v>
      </c>
      <c r="BI12" s="211"/>
      <c r="BJ12" s="211"/>
      <c r="BK12" s="211" t="s">
        <v>237</v>
      </c>
      <c r="BL12" s="211"/>
      <c r="BM12" s="211"/>
      <c r="BN12" s="211" t="s">
        <v>237</v>
      </c>
      <c r="BO12" s="211"/>
      <c r="BP12" s="211"/>
      <c r="BQ12" s="211" t="s">
        <v>237</v>
      </c>
      <c r="BR12" s="211"/>
      <c r="BS12" s="211"/>
      <c r="BT12" s="211" t="s">
        <v>237</v>
      </c>
      <c r="BU12" s="211"/>
      <c r="BV12" s="211"/>
      <c r="BW12" s="211" t="s">
        <v>238</v>
      </c>
      <c r="BX12" s="211"/>
      <c r="BY12" s="211"/>
      <c r="BZ12" s="211" t="s">
        <v>238</v>
      </c>
      <c r="CA12" s="211"/>
      <c r="CB12" s="211"/>
      <c r="CC12" s="211" t="s">
        <v>238</v>
      </c>
      <c r="CD12" s="211"/>
      <c r="CE12" s="211"/>
      <c r="CF12" s="211" t="s">
        <v>238</v>
      </c>
      <c r="CG12" s="211"/>
      <c r="CH12" s="211"/>
      <c r="CI12" s="211" t="s">
        <v>238</v>
      </c>
      <c r="CJ12" s="211"/>
      <c r="CK12" s="211"/>
      <c r="CL12" s="211" t="s">
        <v>239</v>
      </c>
      <c r="CM12" s="211"/>
      <c r="CN12" s="211"/>
      <c r="CO12" s="211" t="s">
        <v>239</v>
      </c>
      <c r="CP12" s="211"/>
      <c r="CQ12" s="211"/>
      <c r="CR12" s="211" t="s">
        <v>239</v>
      </c>
      <c r="CS12" s="211"/>
      <c r="CT12" s="211"/>
      <c r="CU12" s="211" t="s">
        <v>239</v>
      </c>
      <c r="CV12" s="211"/>
      <c r="CW12" s="211"/>
      <c r="CX12" s="211" t="s">
        <v>239</v>
      </c>
      <c r="CY12" s="211"/>
      <c r="CZ12" s="211"/>
      <c r="DA12" s="211" t="s">
        <v>240</v>
      </c>
      <c r="DB12" s="211"/>
      <c r="DC12" s="211"/>
      <c r="DD12" s="211" t="s">
        <v>240</v>
      </c>
      <c r="DE12" s="211"/>
      <c r="DF12" s="211"/>
      <c r="DG12" s="211" t="s">
        <v>240</v>
      </c>
      <c r="DH12" s="211"/>
      <c r="DI12" s="211"/>
      <c r="DJ12" s="211" t="s">
        <v>240</v>
      </c>
      <c r="DK12" s="211"/>
      <c r="DL12" s="211"/>
      <c r="DM12" s="211" t="s">
        <v>240</v>
      </c>
      <c r="DN12" s="211"/>
      <c r="DO12" s="211"/>
      <c r="DP12" s="211" t="s">
        <v>241</v>
      </c>
      <c r="DQ12" s="211"/>
      <c r="DR12" s="211"/>
      <c r="DS12" s="211" t="s">
        <v>241</v>
      </c>
      <c r="DT12" s="211"/>
      <c r="DU12" s="211"/>
      <c r="DV12" s="211" t="s">
        <v>241</v>
      </c>
      <c r="DW12" s="211"/>
      <c r="DX12" s="211"/>
      <c r="DY12" s="211" t="s">
        <v>241</v>
      </c>
      <c r="DZ12" s="211"/>
      <c r="EA12" s="211"/>
      <c r="EB12" s="211" t="s">
        <v>241</v>
      </c>
      <c r="EC12" s="211"/>
      <c r="ED12" s="211"/>
    </row>
    <row r="13" spans="1:134" ht="12.75" customHeight="1">
      <c r="A13" s="131"/>
      <c r="B13" s="132" t="s">
        <v>122</v>
      </c>
      <c r="C13" s="211" t="s">
        <v>123</v>
      </c>
      <c r="D13" s="211"/>
      <c r="E13" s="211"/>
      <c r="F13" s="211" t="s">
        <v>123</v>
      </c>
      <c r="G13" s="211"/>
      <c r="H13" s="211"/>
      <c r="I13" s="211" t="s">
        <v>123</v>
      </c>
      <c r="J13" s="211"/>
      <c r="K13" s="211"/>
      <c r="L13" s="211" t="s">
        <v>123</v>
      </c>
      <c r="M13" s="211"/>
      <c r="N13" s="211"/>
      <c r="O13" s="211" t="s">
        <v>123</v>
      </c>
      <c r="P13" s="211"/>
      <c r="Q13" s="211"/>
      <c r="R13" s="211" t="s">
        <v>123</v>
      </c>
      <c r="S13" s="211"/>
      <c r="T13" s="211"/>
      <c r="U13" s="211" t="s">
        <v>123</v>
      </c>
      <c r="V13" s="211"/>
      <c r="W13" s="211"/>
      <c r="X13" s="211" t="s">
        <v>123</v>
      </c>
      <c r="Y13" s="211"/>
      <c r="Z13" s="211"/>
      <c r="AA13" s="211" t="s">
        <v>123</v>
      </c>
      <c r="AB13" s="211"/>
      <c r="AC13" s="211"/>
      <c r="AD13" s="211" t="s">
        <v>123</v>
      </c>
      <c r="AE13" s="211"/>
      <c r="AF13" s="211"/>
      <c r="AG13" s="211" t="s">
        <v>123</v>
      </c>
      <c r="AH13" s="211"/>
      <c r="AI13" s="211"/>
      <c r="AJ13" s="211" t="s">
        <v>123</v>
      </c>
      <c r="AK13" s="211"/>
      <c r="AL13" s="211"/>
      <c r="AM13" s="211" t="s">
        <v>123</v>
      </c>
      <c r="AN13" s="211"/>
      <c r="AO13" s="211"/>
      <c r="AP13" s="211" t="s">
        <v>123</v>
      </c>
      <c r="AQ13" s="211"/>
      <c r="AR13" s="211"/>
      <c r="AS13" s="211" t="s">
        <v>123</v>
      </c>
      <c r="AT13" s="211"/>
      <c r="AU13" s="211"/>
      <c r="AV13" s="211" t="s">
        <v>123</v>
      </c>
      <c r="AW13" s="211"/>
      <c r="AX13" s="211"/>
      <c r="AY13" s="211" t="s">
        <v>123</v>
      </c>
      <c r="AZ13" s="211"/>
      <c r="BA13" s="211"/>
      <c r="BB13" s="211" t="s">
        <v>123</v>
      </c>
      <c r="BC13" s="211"/>
      <c r="BD13" s="211"/>
      <c r="BE13" s="211" t="s">
        <v>123</v>
      </c>
      <c r="BF13" s="211"/>
      <c r="BG13" s="211"/>
      <c r="BH13" s="211" t="s">
        <v>123</v>
      </c>
      <c r="BI13" s="211"/>
      <c r="BJ13" s="211"/>
      <c r="BK13" s="211" t="s">
        <v>123</v>
      </c>
      <c r="BL13" s="211"/>
      <c r="BM13" s="211"/>
      <c r="BN13" s="211" t="s">
        <v>123</v>
      </c>
      <c r="BO13" s="211"/>
      <c r="BP13" s="211"/>
      <c r="BQ13" s="211" t="s">
        <v>123</v>
      </c>
      <c r="BR13" s="211"/>
      <c r="BS13" s="211"/>
      <c r="BT13" s="211" t="s">
        <v>123</v>
      </c>
      <c r="BU13" s="211"/>
      <c r="BV13" s="211"/>
      <c r="BW13" s="211" t="s">
        <v>123</v>
      </c>
      <c r="BX13" s="211"/>
      <c r="BY13" s="211"/>
      <c r="BZ13" s="211" t="s">
        <v>123</v>
      </c>
      <c r="CA13" s="211"/>
      <c r="CB13" s="211"/>
      <c r="CC13" s="211" t="s">
        <v>123</v>
      </c>
      <c r="CD13" s="211"/>
      <c r="CE13" s="211"/>
      <c r="CF13" s="211" t="s">
        <v>123</v>
      </c>
      <c r="CG13" s="211"/>
      <c r="CH13" s="211"/>
      <c r="CI13" s="211" t="s">
        <v>123</v>
      </c>
      <c r="CJ13" s="211"/>
      <c r="CK13" s="211"/>
      <c r="CL13" s="211" t="s">
        <v>123</v>
      </c>
      <c r="CM13" s="211"/>
      <c r="CN13" s="211"/>
      <c r="CO13" s="211" t="s">
        <v>123</v>
      </c>
      <c r="CP13" s="211"/>
      <c r="CQ13" s="211"/>
      <c r="CR13" s="211" t="s">
        <v>123</v>
      </c>
      <c r="CS13" s="211"/>
      <c r="CT13" s="211"/>
      <c r="CU13" s="211" t="s">
        <v>123</v>
      </c>
      <c r="CV13" s="211"/>
      <c r="CW13" s="211"/>
      <c r="CX13" s="211" t="s">
        <v>123</v>
      </c>
      <c r="CY13" s="211"/>
      <c r="CZ13" s="211"/>
      <c r="DA13" s="211" t="s">
        <v>123</v>
      </c>
      <c r="DB13" s="211"/>
      <c r="DC13" s="211"/>
      <c r="DD13" s="211" t="s">
        <v>123</v>
      </c>
      <c r="DE13" s="211"/>
      <c r="DF13" s="211"/>
      <c r="DG13" s="211" t="s">
        <v>123</v>
      </c>
      <c r="DH13" s="211"/>
      <c r="DI13" s="211"/>
      <c r="DJ13" s="211" t="s">
        <v>123</v>
      </c>
      <c r="DK13" s="211"/>
      <c r="DL13" s="211"/>
      <c r="DM13" s="211" t="s">
        <v>123</v>
      </c>
      <c r="DN13" s="211"/>
      <c r="DO13" s="211"/>
      <c r="DP13" s="211" t="s">
        <v>123</v>
      </c>
      <c r="DQ13" s="211"/>
      <c r="DR13" s="211"/>
      <c r="DS13" s="211" t="s">
        <v>123</v>
      </c>
      <c r="DT13" s="211"/>
      <c r="DU13" s="211"/>
      <c r="DV13" s="211" t="s">
        <v>123</v>
      </c>
      <c r="DW13" s="211"/>
      <c r="DX13" s="211"/>
      <c r="DY13" s="211" t="s">
        <v>123</v>
      </c>
      <c r="DZ13" s="211"/>
      <c r="EA13" s="211"/>
      <c r="EB13" s="211" t="s">
        <v>123</v>
      </c>
      <c r="EC13" s="211"/>
      <c r="ED13" s="211"/>
    </row>
    <row r="14" spans="1:134" ht="12.75" customHeight="1">
      <c r="A14" s="131"/>
      <c r="B14" s="132" t="s">
        <v>124</v>
      </c>
      <c r="C14" s="211" t="s">
        <v>125</v>
      </c>
      <c r="D14" s="211"/>
      <c r="E14" s="211"/>
      <c r="F14" s="211" t="s">
        <v>125</v>
      </c>
      <c r="G14" s="211"/>
      <c r="H14" s="211"/>
      <c r="I14" s="211" t="s">
        <v>125</v>
      </c>
      <c r="J14" s="211"/>
      <c r="K14" s="211"/>
      <c r="L14" s="211" t="s">
        <v>125</v>
      </c>
      <c r="M14" s="211"/>
      <c r="N14" s="211"/>
      <c r="O14" s="211" t="s">
        <v>125</v>
      </c>
      <c r="P14" s="211"/>
      <c r="Q14" s="211"/>
      <c r="R14" s="211" t="s">
        <v>125</v>
      </c>
      <c r="S14" s="211"/>
      <c r="T14" s="211"/>
      <c r="U14" s="211" t="s">
        <v>125</v>
      </c>
      <c r="V14" s="211"/>
      <c r="W14" s="211"/>
      <c r="X14" s="211" t="s">
        <v>125</v>
      </c>
      <c r="Y14" s="211"/>
      <c r="Z14" s="211"/>
      <c r="AA14" s="211" t="s">
        <v>125</v>
      </c>
      <c r="AB14" s="211"/>
      <c r="AC14" s="211"/>
      <c r="AD14" s="211" t="s">
        <v>125</v>
      </c>
      <c r="AE14" s="211"/>
      <c r="AF14" s="211"/>
      <c r="AG14" s="211" t="s">
        <v>125</v>
      </c>
      <c r="AH14" s="211"/>
      <c r="AI14" s="211"/>
      <c r="AJ14" s="211" t="s">
        <v>125</v>
      </c>
      <c r="AK14" s="211"/>
      <c r="AL14" s="211"/>
      <c r="AM14" s="211" t="s">
        <v>125</v>
      </c>
      <c r="AN14" s="211"/>
      <c r="AO14" s="211"/>
      <c r="AP14" s="211" t="s">
        <v>125</v>
      </c>
      <c r="AQ14" s="211"/>
      <c r="AR14" s="211"/>
      <c r="AS14" s="211" t="s">
        <v>242</v>
      </c>
      <c r="AT14" s="211"/>
      <c r="AU14" s="211"/>
      <c r="AV14" s="211" t="s">
        <v>242</v>
      </c>
      <c r="AW14" s="211"/>
      <c r="AX14" s="211"/>
      <c r="AY14" s="211" t="s">
        <v>242</v>
      </c>
      <c r="AZ14" s="211"/>
      <c r="BA14" s="211"/>
      <c r="BB14" s="211" t="s">
        <v>242</v>
      </c>
      <c r="BC14" s="211"/>
      <c r="BD14" s="211"/>
      <c r="BE14" s="211" t="s">
        <v>242</v>
      </c>
      <c r="BF14" s="211"/>
      <c r="BG14" s="211"/>
      <c r="BH14" s="211" t="s">
        <v>242</v>
      </c>
      <c r="BI14" s="211"/>
      <c r="BJ14" s="211"/>
      <c r="BK14" s="211" t="s">
        <v>242</v>
      </c>
      <c r="BL14" s="211"/>
      <c r="BM14" s="211"/>
      <c r="BN14" s="211" t="s">
        <v>242</v>
      </c>
      <c r="BO14" s="211"/>
      <c r="BP14" s="211"/>
      <c r="BQ14" s="211" t="s">
        <v>242</v>
      </c>
      <c r="BR14" s="211"/>
      <c r="BS14" s="211"/>
      <c r="BT14" s="211" t="s">
        <v>242</v>
      </c>
      <c r="BU14" s="211"/>
      <c r="BV14" s="211"/>
      <c r="BW14" s="211" t="s">
        <v>242</v>
      </c>
      <c r="BX14" s="211"/>
      <c r="BY14" s="211"/>
      <c r="BZ14" s="211" t="s">
        <v>242</v>
      </c>
      <c r="CA14" s="211"/>
      <c r="CB14" s="211"/>
      <c r="CC14" s="211" t="s">
        <v>242</v>
      </c>
      <c r="CD14" s="211"/>
      <c r="CE14" s="211"/>
      <c r="CF14" s="211" t="s">
        <v>242</v>
      </c>
      <c r="CG14" s="211"/>
      <c r="CH14" s="211"/>
      <c r="CI14" s="211" t="s">
        <v>242</v>
      </c>
      <c r="CJ14" s="211"/>
      <c r="CK14" s="211"/>
      <c r="CL14" s="211" t="s">
        <v>125</v>
      </c>
      <c r="CM14" s="211"/>
      <c r="CN14" s="211"/>
      <c r="CO14" s="211" t="s">
        <v>125</v>
      </c>
      <c r="CP14" s="211"/>
      <c r="CQ14" s="211"/>
      <c r="CR14" s="211" t="s">
        <v>125</v>
      </c>
      <c r="CS14" s="211"/>
      <c r="CT14" s="211"/>
      <c r="CU14" s="211" t="s">
        <v>125</v>
      </c>
      <c r="CV14" s="211"/>
      <c r="CW14" s="211"/>
      <c r="CX14" s="211" t="s">
        <v>125</v>
      </c>
      <c r="CY14" s="211"/>
      <c r="CZ14" s="211"/>
      <c r="DA14" s="211" t="s">
        <v>242</v>
      </c>
      <c r="DB14" s="211"/>
      <c r="DC14" s="211"/>
      <c r="DD14" s="211" t="s">
        <v>242</v>
      </c>
      <c r="DE14" s="211"/>
      <c r="DF14" s="211"/>
      <c r="DG14" s="211" t="s">
        <v>242</v>
      </c>
      <c r="DH14" s="211"/>
      <c r="DI14" s="211"/>
      <c r="DJ14" s="211" t="s">
        <v>242</v>
      </c>
      <c r="DK14" s="211"/>
      <c r="DL14" s="211"/>
      <c r="DM14" s="211" t="s">
        <v>242</v>
      </c>
      <c r="DN14" s="211"/>
      <c r="DO14" s="211"/>
      <c r="DP14" s="211" t="s">
        <v>125</v>
      </c>
      <c r="DQ14" s="211"/>
      <c r="DR14" s="211"/>
      <c r="DS14" s="211" t="s">
        <v>125</v>
      </c>
      <c r="DT14" s="211"/>
      <c r="DU14" s="211"/>
      <c r="DV14" s="211" t="s">
        <v>125</v>
      </c>
      <c r="DW14" s="211"/>
      <c r="DX14" s="211"/>
      <c r="DY14" s="211" t="s">
        <v>125</v>
      </c>
      <c r="DZ14" s="211"/>
      <c r="EA14" s="211"/>
      <c r="EB14" s="211" t="s">
        <v>125</v>
      </c>
      <c r="EC14" s="211"/>
      <c r="ED14" s="211"/>
    </row>
    <row r="15" spans="1:134" ht="12.75" customHeight="1">
      <c r="A15" s="131"/>
      <c r="B15" s="132" t="s">
        <v>126</v>
      </c>
      <c r="C15" s="211" t="s">
        <v>130</v>
      </c>
      <c r="D15" s="211"/>
      <c r="E15" s="211"/>
      <c r="F15" s="211" t="s">
        <v>130</v>
      </c>
      <c r="G15" s="211"/>
      <c r="H15" s="211"/>
      <c r="I15" s="211" t="s">
        <v>130</v>
      </c>
      <c r="J15" s="211"/>
      <c r="K15" s="211"/>
      <c r="L15" s="211" t="s">
        <v>130</v>
      </c>
      <c r="M15" s="211"/>
      <c r="N15" s="211"/>
      <c r="O15" s="211" t="s">
        <v>130</v>
      </c>
      <c r="P15" s="211"/>
      <c r="Q15" s="211"/>
      <c r="R15" s="211" t="s">
        <v>130</v>
      </c>
      <c r="S15" s="211"/>
      <c r="T15" s="211"/>
      <c r="U15" s="211" t="s">
        <v>130</v>
      </c>
      <c r="V15" s="211"/>
      <c r="W15" s="211"/>
      <c r="X15" s="211" t="s">
        <v>130</v>
      </c>
      <c r="Y15" s="211"/>
      <c r="Z15" s="211"/>
      <c r="AA15" s="211" t="s">
        <v>130</v>
      </c>
      <c r="AB15" s="211"/>
      <c r="AC15" s="211"/>
      <c r="AD15" s="211" t="s">
        <v>130</v>
      </c>
      <c r="AE15" s="211"/>
      <c r="AF15" s="211"/>
      <c r="AG15" s="211" t="s">
        <v>130</v>
      </c>
      <c r="AH15" s="211"/>
      <c r="AI15" s="211"/>
      <c r="AJ15" s="211" t="s">
        <v>130</v>
      </c>
      <c r="AK15" s="211"/>
      <c r="AL15" s="211"/>
      <c r="AM15" s="211" t="s">
        <v>130</v>
      </c>
      <c r="AN15" s="211"/>
      <c r="AO15" s="211"/>
      <c r="AP15" s="211" t="s">
        <v>130</v>
      </c>
      <c r="AQ15" s="211"/>
      <c r="AR15" s="211"/>
      <c r="AS15" s="211" t="s">
        <v>128</v>
      </c>
      <c r="AT15" s="211"/>
      <c r="AU15" s="211"/>
      <c r="AV15" s="211" t="s">
        <v>128</v>
      </c>
      <c r="AW15" s="211"/>
      <c r="AX15" s="211"/>
      <c r="AY15" s="211" t="s">
        <v>128</v>
      </c>
      <c r="AZ15" s="211"/>
      <c r="BA15" s="211"/>
      <c r="BB15" s="211" t="s">
        <v>128</v>
      </c>
      <c r="BC15" s="211"/>
      <c r="BD15" s="211"/>
      <c r="BE15" s="211" t="s">
        <v>128</v>
      </c>
      <c r="BF15" s="211"/>
      <c r="BG15" s="211"/>
      <c r="BH15" s="211" t="s">
        <v>128</v>
      </c>
      <c r="BI15" s="211"/>
      <c r="BJ15" s="211"/>
      <c r="BK15" s="211" t="s">
        <v>128</v>
      </c>
      <c r="BL15" s="211"/>
      <c r="BM15" s="211"/>
      <c r="BN15" s="211" t="s">
        <v>128</v>
      </c>
      <c r="BO15" s="211"/>
      <c r="BP15" s="211"/>
      <c r="BQ15" s="211" t="s">
        <v>128</v>
      </c>
      <c r="BR15" s="211"/>
      <c r="BS15" s="211"/>
      <c r="BT15" s="211" t="s">
        <v>128</v>
      </c>
      <c r="BU15" s="211"/>
      <c r="BV15" s="211"/>
      <c r="BW15" s="211" t="s">
        <v>128</v>
      </c>
      <c r="BX15" s="211"/>
      <c r="BY15" s="211"/>
      <c r="BZ15" s="211" t="s">
        <v>128</v>
      </c>
      <c r="CA15" s="211"/>
      <c r="CB15" s="211"/>
      <c r="CC15" s="211" t="s">
        <v>128</v>
      </c>
      <c r="CD15" s="211"/>
      <c r="CE15" s="211"/>
      <c r="CF15" s="211" t="s">
        <v>128</v>
      </c>
      <c r="CG15" s="211"/>
      <c r="CH15" s="211"/>
      <c r="CI15" s="211" t="s">
        <v>128</v>
      </c>
      <c r="CJ15" s="211"/>
      <c r="CK15" s="211"/>
      <c r="CL15" s="211" t="s">
        <v>127</v>
      </c>
      <c r="CM15" s="211"/>
      <c r="CN15" s="211"/>
      <c r="CO15" s="211" t="s">
        <v>127</v>
      </c>
      <c r="CP15" s="211"/>
      <c r="CQ15" s="211"/>
      <c r="CR15" s="211" t="s">
        <v>127</v>
      </c>
      <c r="CS15" s="211"/>
      <c r="CT15" s="211"/>
      <c r="CU15" s="211" t="s">
        <v>127</v>
      </c>
      <c r="CV15" s="211"/>
      <c r="CW15" s="211"/>
      <c r="CX15" s="211" t="s">
        <v>127</v>
      </c>
      <c r="CY15" s="211"/>
      <c r="CZ15" s="211"/>
      <c r="DA15" s="211" t="s">
        <v>128</v>
      </c>
      <c r="DB15" s="211"/>
      <c r="DC15" s="211"/>
      <c r="DD15" s="211" t="s">
        <v>128</v>
      </c>
      <c r="DE15" s="211"/>
      <c r="DF15" s="211"/>
      <c r="DG15" s="211" t="s">
        <v>128</v>
      </c>
      <c r="DH15" s="211"/>
      <c r="DI15" s="211"/>
      <c r="DJ15" s="211" t="s">
        <v>128</v>
      </c>
      <c r="DK15" s="211"/>
      <c r="DL15" s="211"/>
      <c r="DM15" s="211" t="s">
        <v>128</v>
      </c>
      <c r="DN15" s="211"/>
      <c r="DO15" s="211"/>
      <c r="DP15" s="211" t="s">
        <v>128</v>
      </c>
      <c r="DQ15" s="211"/>
      <c r="DR15" s="211"/>
      <c r="DS15" s="211" t="s">
        <v>128</v>
      </c>
      <c r="DT15" s="211"/>
      <c r="DU15" s="211"/>
      <c r="DV15" s="211" t="s">
        <v>128</v>
      </c>
      <c r="DW15" s="211"/>
      <c r="DX15" s="211"/>
      <c r="DY15" s="211" t="s">
        <v>128</v>
      </c>
      <c r="DZ15" s="211"/>
      <c r="EA15" s="211"/>
      <c r="EB15" s="211" t="s">
        <v>128</v>
      </c>
      <c r="EC15" s="211"/>
      <c r="ED15" s="211"/>
    </row>
    <row r="16" spans="1:134" ht="12.75" customHeight="1">
      <c r="A16" s="131"/>
      <c r="B16" s="132" t="s">
        <v>131</v>
      </c>
      <c r="C16" s="211" t="s">
        <v>132</v>
      </c>
      <c r="D16" s="211"/>
      <c r="E16" s="211"/>
      <c r="F16" s="211" t="s">
        <v>132</v>
      </c>
      <c r="G16" s="211"/>
      <c r="H16" s="211"/>
      <c r="I16" s="211" t="s">
        <v>132</v>
      </c>
      <c r="J16" s="211"/>
      <c r="K16" s="211"/>
      <c r="L16" s="211" t="s">
        <v>132</v>
      </c>
      <c r="M16" s="211"/>
      <c r="N16" s="211"/>
      <c r="O16" s="211" t="s">
        <v>132</v>
      </c>
      <c r="P16" s="211"/>
      <c r="Q16" s="211"/>
      <c r="R16" s="211" t="s">
        <v>132</v>
      </c>
      <c r="S16" s="211"/>
      <c r="T16" s="211"/>
      <c r="U16" s="211" t="s">
        <v>132</v>
      </c>
      <c r="V16" s="211"/>
      <c r="W16" s="211"/>
      <c r="X16" s="211" t="s">
        <v>132</v>
      </c>
      <c r="Y16" s="211"/>
      <c r="Z16" s="211"/>
      <c r="AA16" s="211" t="s">
        <v>132</v>
      </c>
      <c r="AB16" s="211"/>
      <c r="AC16" s="211"/>
      <c r="AD16" s="211" t="s">
        <v>132</v>
      </c>
      <c r="AE16" s="211"/>
      <c r="AF16" s="211"/>
      <c r="AG16" s="211" t="s">
        <v>132</v>
      </c>
      <c r="AH16" s="211"/>
      <c r="AI16" s="211"/>
      <c r="AJ16" s="211" t="s">
        <v>132</v>
      </c>
      <c r="AK16" s="211"/>
      <c r="AL16" s="211"/>
      <c r="AM16" s="211" t="s">
        <v>132</v>
      </c>
      <c r="AN16" s="211"/>
      <c r="AO16" s="211"/>
      <c r="AP16" s="211" t="s">
        <v>132</v>
      </c>
      <c r="AQ16" s="211"/>
      <c r="AR16" s="211"/>
      <c r="AS16" s="211" t="s">
        <v>132</v>
      </c>
      <c r="AT16" s="211"/>
      <c r="AU16" s="211"/>
      <c r="AV16" s="211" t="s">
        <v>132</v>
      </c>
      <c r="AW16" s="211"/>
      <c r="AX16" s="211"/>
      <c r="AY16" s="211" t="s">
        <v>132</v>
      </c>
      <c r="AZ16" s="211"/>
      <c r="BA16" s="211"/>
      <c r="BB16" s="211" t="s">
        <v>132</v>
      </c>
      <c r="BC16" s="211"/>
      <c r="BD16" s="211"/>
      <c r="BE16" s="211" t="s">
        <v>132</v>
      </c>
      <c r="BF16" s="211"/>
      <c r="BG16" s="211"/>
      <c r="BH16" s="211" t="s">
        <v>132</v>
      </c>
      <c r="BI16" s="211"/>
      <c r="BJ16" s="211"/>
      <c r="BK16" s="211" t="s">
        <v>132</v>
      </c>
      <c r="BL16" s="211"/>
      <c r="BM16" s="211"/>
      <c r="BN16" s="211" t="s">
        <v>132</v>
      </c>
      <c r="BO16" s="211"/>
      <c r="BP16" s="211"/>
      <c r="BQ16" s="211" t="s">
        <v>132</v>
      </c>
      <c r="BR16" s="211"/>
      <c r="BS16" s="211"/>
      <c r="BT16" s="211" t="s">
        <v>132</v>
      </c>
      <c r="BU16" s="211"/>
      <c r="BV16" s="211"/>
      <c r="BW16" s="211" t="s">
        <v>132</v>
      </c>
      <c r="BX16" s="211"/>
      <c r="BY16" s="211"/>
      <c r="BZ16" s="211" t="s">
        <v>132</v>
      </c>
      <c r="CA16" s="211"/>
      <c r="CB16" s="211"/>
      <c r="CC16" s="211" t="s">
        <v>132</v>
      </c>
      <c r="CD16" s="211"/>
      <c r="CE16" s="211"/>
      <c r="CF16" s="211" t="s">
        <v>132</v>
      </c>
      <c r="CG16" s="211"/>
      <c r="CH16" s="211"/>
      <c r="CI16" s="211" t="s">
        <v>132</v>
      </c>
      <c r="CJ16" s="211"/>
      <c r="CK16" s="211"/>
      <c r="CL16" s="211" t="s">
        <v>132</v>
      </c>
      <c r="CM16" s="211"/>
      <c r="CN16" s="211"/>
      <c r="CO16" s="211" t="s">
        <v>132</v>
      </c>
      <c r="CP16" s="211"/>
      <c r="CQ16" s="211"/>
      <c r="CR16" s="211" t="s">
        <v>132</v>
      </c>
      <c r="CS16" s="211"/>
      <c r="CT16" s="211"/>
      <c r="CU16" s="211" t="s">
        <v>132</v>
      </c>
      <c r="CV16" s="211"/>
      <c r="CW16" s="211"/>
      <c r="CX16" s="211" t="s">
        <v>132</v>
      </c>
      <c r="CY16" s="211"/>
      <c r="CZ16" s="211"/>
      <c r="DA16" s="211" t="s">
        <v>132</v>
      </c>
      <c r="DB16" s="211"/>
      <c r="DC16" s="211"/>
      <c r="DD16" s="211" t="s">
        <v>132</v>
      </c>
      <c r="DE16" s="211"/>
      <c r="DF16" s="211"/>
      <c r="DG16" s="211" t="s">
        <v>132</v>
      </c>
      <c r="DH16" s="211"/>
      <c r="DI16" s="211"/>
      <c r="DJ16" s="211" t="s">
        <v>132</v>
      </c>
      <c r="DK16" s="211"/>
      <c r="DL16" s="211"/>
      <c r="DM16" s="211" t="s">
        <v>132</v>
      </c>
      <c r="DN16" s="211"/>
      <c r="DO16" s="211"/>
      <c r="DP16" s="211" t="s">
        <v>132</v>
      </c>
      <c r="DQ16" s="211"/>
      <c r="DR16" s="211"/>
      <c r="DS16" s="211" t="s">
        <v>132</v>
      </c>
      <c r="DT16" s="211"/>
      <c r="DU16" s="211"/>
      <c r="DV16" s="211" t="s">
        <v>132</v>
      </c>
      <c r="DW16" s="211"/>
      <c r="DX16" s="211"/>
      <c r="DY16" s="211" t="s">
        <v>132</v>
      </c>
      <c r="DZ16" s="211"/>
      <c r="EA16" s="211"/>
      <c r="EB16" s="211" t="s">
        <v>132</v>
      </c>
      <c r="EC16" s="211"/>
      <c r="ED16" s="211"/>
    </row>
    <row r="17" spans="1:134" ht="19.5" customHeight="1" thickBot="1">
      <c r="A17" s="133" t="s">
        <v>133</v>
      </c>
      <c r="B17" s="134" t="s">
        <v>134</v>
      </c>
      <c r="C17" s="212"/>
      <c r="D17" s="213"/>
      <c r="E17" s="214"/>
      <c r="F17" s="212"/>
      <c r="G17" s="213"/>
      <c r="H17" s="214"/>
      <c r="I17" s="212"/>
      <c r="J17" s="213"/>
      <c r="K17" s="214"/>
      <c r="L17" s="212"/>
      <c r="M17" s="213"/>
      <c r="N17" s="214"/>
      <c r="O17" s="212"/>
      <c r="P17" s="213"/>
      <c r="Q17" s="214"/>
      <c r="R17" s="212"/>
      <c r="S17" s="213"/>
      <c r="T17" s="214"/>
      <c r="U17" s="212"/>
      <c r="V17" s="213"/>
      <c r="W17" s="214"/>
      <c r="X17" s="212"/>
      <c r="Y17" s="213"/>
      <c r="Z17" s="214"/>
      <c r="AA17" s="212"/>
      <c r="AB17" s="213"/>
      <c r="AC17" s="214"/>
      <c r="AD17" s="212"/>
      <c r="AE17" s="213"/>
      <c r="AF17" s="214"/>
      <c r="AG17" s="212"/>
      <c r="AH17" s="213"/>
      <c r="AI17" s="214"/>
      <c r="AJ17" s="212"/>
      <c r="AK17" s="213"/>
      <c r="AL17" s="214"/>
      <c r="AM17" s="212"/>
      <c r="AN17" s="213"/>
      <c r="AO17" s="214"/>
      <c r="AP17" s="212"/>
      <c r="AQ17" s="213"/>
      <c r="AR17" s="214"/>
      <c r="AS17" s="212"/>
      <c r="AT17" s="213"/>
      <c r="AU17" s="214"/>
      <c r="AV17" s="212"/>
      <c r="AW17" s="213"/>
      <c r="AX17" s="214"/>
      <c r="AY17" s="212"/>
      <c r="AZ17" s="213"/>
      <c r="BA17" s="214"/>
      <c r="BB17" s="212"/>
      <c r="BC17" s="213"/>
      <c r="BD17" s="214"/>
      <c r="BE17" s="212"/>
      <c r="BF17" s="213"/>
      <c r="BG17" s="214"/>
      <c r="BH17" s="212"/>
      <c r="BI17" s="213"/>
      <c r="BJ17" s="214"/>
      <c r="BK17" s="212"/>
      <c r="BL17" s="213"/>
      <c r="BM17" s="214"/>
      <c r="BN17" s="212"/>
      <c r="BO17" s="213"/>
      <c r="BP17" s="214"/>
      <c r="BQ17" s="212"/>
      <c r="BR17" s="213"/>
      <c r="BS17" s="214"/>
      <c r="BT17" s="212"/>
      <c r="BU17" s="213"/>
      <c r="BV17" s="214"/>
      <c r="BW17" s="212"/>
      <c r="BX17" s="213"/>
      <c r="BY17" s="214"/>
      <c r="BZ17" s="212"/>
      <c r="CA17" s="213"/>
      <c r="CB17" s="214"/>
      <c r="CC17" s="212"/>
      <c r="CD17" s="213"/>
      <c r="CE17" s="214"/>
      <c r="CF17" s="212"/>
      <c r="CG17" s="213"/>
      <c r="CH17" s="214"/>
      <c r="CI17" s="212"/>
      <c r="CJ17" s="213"/>
      <c r="CK17" s="214"/>
      <c r="CL17" s="212"/>
      <c r="CM17" s="213"/>
      <c r="CN17" s="214"/>
      <c r="CO17" s="212"/>
      <c r="CP17" s="213"/>
      <c r="CQ17" s="214"/>
      <c r="CR17" s="212"/>
      <c r="CS17" s="213"/>
      <c r="CT17" s="214"/>
      <c r="CU17" s="212"/>
      <c r="CV17" s="213"/>
      <c r="CW17" s="214"/>
      <c r="CX17" s="212"/>
      <c r="CY17" s="213"/>
      <c r="CZ17" s="214"/>
      <c r="DA17" s="212"/>
      <c r="DB17" s="213"/>
      <c r="DC17" s="214"/>
      <c r="DD17" s="212"/>
      <c r="DE17" s="213"/>
      <c r="DF17" s="214"/>
      <c r="DG17" s="212"/>
      <c r="DH17" s="213"/>
      <c r="DI17" s="214"/>
      <c r="DJ17" s="212"/>
      <c r="DK17" s="213"/>
      <c r="DL17" s="214"/>
      <c r="DM17" s="212"/>
      <c r="DN17" s="213"/>
      <c r="DO17" s="214"/>
      <c r="DP17" s="212"/>
      <c r="DQ17" s="213"/>
      <c r="DR17" s="214"/>
      <c r="DS17" s="212"/>
      <c r="DT17" s="213"/>
      <c r="DU17" s="214"/>
      <c r="DV17" s="212"/>
      <c r="DW17" s="213"/>
      <c r="DX17" s="214"/>
      <c r="DY17" s="212"/>
      <c r="DZ17" s="213"/>
      <c r="EA17" s="214"/>
      <c r="EB17" s="212"/>
      <c r="EC17" s="213"/>
      <c r="ED17" s="214"/>
    </row>
    <row r="18" spans="1:134" ht="12.75" customHeight="1">
      <c r="A18" s="135" t="s">
        <v>135</v>
      </c>
      <c r="B18" s="136"/>
      <c r="C18" s="137"/>
      <c r="D18" s="138"/>
      <c r="E18" s="139"/>
      <c r="F18" s="137"/>
      <c r="G18" s="138"/>
      <c r="H18" s="139"/>
      <c r="I18" s="137"/>
      <c r="J18" s="138"/>
      <c r="K18" s="139"/>
      <c r="L18" s="137"/>
      <c r="M18" s="138"/>
      <c r="N18" s="139"/>
      <c r="O18" s="137"/>
      <c r="P18" s="138"/>
      <c r="Q18" s="139"/>
      <c r="R18" s="137"/>
      <c r="S18" s="138"/>
      <c r="T18" s="139"/>
      <c r="U18" s="137"/>
      <c r="V18" s="138"/>
      <c r="W18" s="139"/>
      <c r="X18" s="137"/>
      <c r="Y18" s="138"/>
      <c r="Z18" s="139"/>
      <c r="AA18" s="137"/>
      <c r="AB18" s="138"/>
      <c r="AC18" s="139"/>
      <c r="AD18" s="137"/>
      <c r="AE18" s="138"/>
      <c r="AF18" s="139"/>
      <c r="AG18" s="137"/>
      <c r="AH18" s="138"/>
      <c r="AI18" s="139"/>
      <c r="AJ18" s="137"/>
      <c r="AK18" s="138"/>
      <c r="AL18" s="139"/>
      <c r="AM18" s="137"/>
      <c r="AN18" s="138"/>
      <c r="AO18" s="139"/>
      <c r="AP18" s="137"/>
      <c r="AQ18" s="138"/>
      <c r="AR18" s="139"/>
      <c r="AS18" s="137"/>
      <c r="AT18" s="138"/>
      <c r="AU18" s="139"/>
      <c r="AV18" s="137"/>
      <c r="AW18" s="138"/>
      <c r="AX18" s="139"/>
      <c r="AY18" s="137"/>
      <c r="AZ18" s="138"/>
      <c r="BA18" s="139"/>
      <c r="BB18" s="137"/>
      <c r="BC18" s="138"/>
      <c r="BD18" s="139"/>
      <c r="BE18" s="137"/>
      <c r="BF18" s="138"/>
      <c r="BG18" s="139"/>
      <c r="BH18" s="137"/>
      <c r="BI18" s="138"/>
      <c r="BJ18" s="139"/>
      <c r="BK18" s="137"/>
      <c r="BL18" s="138"/>
      <c r="BM18" s="139"/>
      <c r="BN18" s="137"/>
      <c r="BO18" s="138"/>
      <c r="BP18" s="139"/>
      <c r="BQ18" s="137"/>
      <c r="BR18" s="138"/>
      <c r="BS18" s="139"/>
      <c r="BT18" s="137"/>
      <c r="BU18" s="138"/>
      <c r="BV18" s="139"/>
      <c r="BW18" s="137"/>
      <c r="BX18" s="138"/>
      <c r="BY18" s="139"/>
      <c r="BZ18" s="137"/>
      <c r="CA18" s="138"/>
      <c r="CB18" s="139"/>
      <c r="CC18" s="137"/>
      <c r="CD18" s="138"/>
      <c r="CE18" s="139"/>
      <c r="CF18" s="137"/>
      <c r="CG18" s="138"/>
      <c r="CH18" s="139"/>
      <c r="CI18" s="137"/>
      <c r="CJ18" s="138"/>
      <c r="CK18" s="139"/>
      <c r="CL18" s="137"/>
      <c r="CM18" s="138"/>
      <c r="CN18" s="139"/>
      <c r="CO18" s="137"/>
      <c r="CP18" s="138"/>
      <c r="CQ18" s="139"/>
      <c r="CR18" s="137"/>
      <c r="CS18" s="138"/>
      <c r="CT18" s="139"/>
      <c r="CU18" s="137"/>
      <c r="CV18" s="138"/>
      <c r="CW18" s="139"/>
      <c r="CX18" s="137"/>
      <c r="CY18" s="138"/>
      <c r="CZ18" s="139"/>
      <c r="DA18" s="137"/>
      <c r="DB18" s="138"/>
      <c r="DC18" s="139"/>
      <c r="DD18" s="137"/>
      <c r="DE18" s="138"/>
      <c r="DF18" s="139"/>
      <c r="DG18" s="137"/>
      <c r="DH18" s="138"/>
      <c r="DI18" s="139"/>
      <c r="DJ18" s="137"/>
      <c r="DK18" s="138"/>
      <c r="DL18" s="139"/>
      <c r="DM18" s="137"/>
      <c r="DN18" s="138"/>
      <c r="DO18" s="139"/>
      <c r="DP18" s="137"/>
      <c r="DQ18" s="138"/>
      <c r="DR18" s="139"/>
      <c r="DS18" s="137"/>
      <c r="DT18" s="138"/>
      <c r="DU18" s="139"/>
      <c r="DV18" s="137"/>
      <c r="DW18" s="138"/>
      <c r="DX18" s="139"/>
      <c r="DY18" s="137"/>
      <c r="DZ18" s="138"/>
      <c r="EA18" s="139"/>
      <c r="EB18" s="137"/>
      <c r="EC18" s="138"/>
      <c r="ED18" s="139"/>
    </row>
    <row r="19" spans="1:134" ht="12.75" customHeight="1">
      <c r="A19" s="140" t="s">
        <v>136</v>
      </c>
      <c r="B19" s="141" t="s">
        <v>137</v>
      </c>
      <c r="C19" s="142" t="s">
        <v>138</v>
      </c>
      <c r="D19" s="145">
        <v>5</v>
      </c>
      <c r="E19" s="144"/>
      <c r="F19" s="142" t="s">
        <v>138</v>
      </c>
      <c r="G19" s="145">
        <v>5</v>
      </c>
      <c r="H19" s="144"/>
      <c r="I19" s="142" t="s">
        <v>138</v>
      </c>
      <c r="J19" s="145">
        <v>5</v>
      </c>
      <c r="K19" s="144"/>
      <c r="L19" s="142" t="s">
        <v>138</v>
      </c>
      <c r="M19" s="145">
        <v>5</v>
      </c>
      <c r="N19" s="144"/>
      <c r="O19" s="142" t="s">
        <v>138</v>
      </c>
      <c r="P19" s="145">
        <v>2</v>
      </c>
      <c r="Q19" s="144"/>
      <c r="R19" s="142" t="s">
        <v>138</v>
      </c>
      <c r="S19" s="145">
        <v>2</v>
      </c>
      <c r="T19" s="144"/>
      <c r="U19" s="142" t="s">
        <v>138</v>
      </c>
      <c r="V19" s="145">
        <v>2</v>
      </c>
      <c r="W19" s="144"/>
      <c r="X19" s="142" t="s">
        <v>138</v>
      </c>
      <c r="Y19" s="145">
        <v>5</v>
      </c>
      <c r="Z19" s="144"/>
      <c r="AA19" s="142" t="s">
        <v>138</v>
      </c>
      <c r="AB19" s="145">
        <v>5</v>
      </c>
      <c r="AC19" s="144"/>
      <c r="AD19" s="142" t="s">
        <v>138</v>
      </c>
      <c r="AE19" s="145">
        <v>5</v>
      </c>
      <c r="AF19" s="144"/>
      <c r="AG19" s="142" t="s">
        <v>138</v>
      </c>
      <c r="AH19" s="145">
        <v>5</v>
      </c>
      <c r="AI19" s="144"/>
      <c r="AJ19" s="142" t="s">
        <v>138</v>
      </c>
      <c r="AK19" s="145">
        <v>2</v>
      </c>
      <c r="AL19" s="144"/>
      <c r="AM19" s="142" t="s">
        <v>138</v>
      </c>
      <c r="AN19" s="145">
        <v>2</v>
      </c>
      <c r="AO19" s="144"/>
      <c r="AP19" s="142" t="s">
        <v>138</v>
      </c>
      <c r="AQ19" s="145">
        <v>2</v>
      </c>
      <c r="AR19" s="144"/>
      <c r="AS19" s="142" t="s">
        <v>138</v>
      </c>
      <c r="AT19" s="145">
        <v>5</v>
      </c>
      <c r="AU19" s="144"/>
      <c r="AV19" s="142" t="s">
        <v>138</v>
      </c>
      <c r="AW19" s="145">
        <v>5</v>
      </c>
      <c r="AX19" s="144"/>
      <c r="AY19" s="142" t="s">
        <v>138</v>
      </c>
      <c r="AZ19" s="145">
        <v>2</v>
      </c>
      <c r="BA19" s="144"/>
      <c r="BB19" s="142" t="s">
        <v>138</v>
      </c>
      <c r="BC19" s="145">
        <v>2</v>
      </c>
      <c r="BD19" s="144"/>
      <c r="BE19" s="142" t="s">
        <v>138</v>
      </c>
      <c r="BF19" s="145">
        <v>2</v>
      </c>
      <c r="BG19" s="144"/>
      <c r="BH19" s="142" t="s">
        <v>138</v>
      </c>
      <c r="BI19" s="145">
        <v>5</v>
      </c>
      <c r="BJ19" s="144"/>
      <c r="BK19" s="142" t="s">
        <v>138</v>
      </c>
      <c r="BL19" s="145">
        <v>5</v>
      </c>
      <c r="BM19" s="144"/>
      <c r="BN19" s="142" t="s">
        <v>138</v>
      </c>
      <c r="BO19" s="145">
        <v>2</v>
      </c>
      <c r="BP19" s="144"/>
      <c r="BQ19" s="142" t="s">
        <v>138</v>
      </c>
      <c r="BR19" s="145">
        <v>2</v>
      </c>
      <c r="BS19" s="144"/>
      <c r="BT19" s="142" t="s">
        <v>138</v>
      </c>
      <c r="BU19" s="145">
        <v>2</v>
      </c>
      <c r="BV19" s="144"/>
      <c r="BW19" s="142" t="s">
        <v>138</v>
      </c>
      <c r="BX19" s="145">
        <v>5</v>
      </c>
      <c r="BY19" s="144"/>
      <c r="BZ19" s="142" t="s">
        <v>138</v>
      </c>
      <c r="CA19" s="145">
        <v>5</v>
      </c>
      <c r="CB19" s="144"/>
      <c r="CC19" s="142" t="s">
        <v>138</v>
      </c>
      <c r="CD19" s="145">
        <v>2</v>
      </c>
      <c r="CE19" s="144"/>
      <c r="CF19" s="142" t="s">
        <v>138</v>
      </c>
      <c r="CG19" s="145">
        <v>2</v>
      </c>
      <c r="CH19" s="144"/>
      <c r="CI19" s="142" t="s">
        <v>138</v>
      </c>
      <c r="CJ19" s="145">
        <v>2</v>
      </c>
      <c r="CK19" s="144"/>
      <c r="CL19" s="142"/>
      <c r="CM19" s="147">
        <v>29</v>
      </c>
      <c r="CN19" s="144"/>
      <c r="CO19" s="142"/>
      <c r="CP19" s="147">
        <v>42</v>
      </c>
      <c r="CQ19" s="144"/>
      <c r="CR19" s="142"/>
      <c r="CS19" s="147">
        <v>25</v>
      </c>
      <c r="CT19" s="144"/>
      <c r="CU19" s="142"/>
      <c r="CV19" s="147">
        <v>16</v>
      </c>
      <c r="CW19" s="144"/>
      <c r="CX19" s="142"/>
      <c r="CY19" s="147">
        <v>54</v>
      </c>
      <c r="CZ19" s="144"/>
      <c r="DA19" s="142" t="s">
        <v>138</v>
      </c>
      <c r="DB19" s="145">
        <v>5</v>
      </c>
      <c r="DC19" s="144"/>
      <c r="DD19" s="142" t="s">
        <v>138</v>
      </c>
      <c r="DE19" s="145">
        <v>5</v>
      </c>
      <c r="DF19" s="144"/>
      <c r="DG19" s="142" t="s">
        <v>138</v>
      </c>
      <c r="DH19" s="145">
        <v>2</v>
      </c>
      <c r="DI19" s="144"/>
      <c r="DJ19" s="142" t="s">
        <v>138</v>
      </c>
      <c r="DK19" s="145">
        <v>2</v>
      </c>
      <c r="DL19" s="144"/>
      <c r="DM19" s="142" t="s">
        <v>138</v>
      </c>
      <c r="DN19" s="145">
        <v>2</v>
      </c>
      <c r="DO19" s="144"/>
      <c r="DP19" s="142" t="s">
        <v>138</v>
      </c>
      <c r="DQ19" s="145">
        <v>5</v>
      </c>
      <c r="DR19" s="144"/>
      <c r="DS19" s="142" t="s">
        <v>138</v>
      </c>
      <c r="DT19" s="145">
        <v>5</v>
      </c>
      <c r="DU19" s="144"/>
      <c r="DV19" s="142" t="s">
        <v>138</v>
      </c>
      <c r="DW19" s="145">
        <v>2</v>
      </c>
      <c r="DX19" s="144"/>
      <c r="DY19" s="142" t="s">
        <v>138</v>
      </c>
      <c r="DZ19" s="145">
        <v>2</v>
      </c>
      <c r="EA19" s="144"/>
      <c r="EB19" s="142" t="s">
        <v>138</v>
      </c>
      <c r="EC19" s="145">
        <v>2</v>
      </c>
      <c r="ED19" s="144"/>
    </row>
    <row r="20" spans="1:134" ht="12.75" customHeight="1">
      <c r="A20" s="149" t="s">
        <v>139</v>
      </c>
      <c r="B20" s="150" t="s">
        <v>140</v>
      </c>
      <c r="C20" s="142" t="s">
        <v>138</v>
      </c>
      <c r="D20" s="145">
        <v>5</v>
      </c>
      <c r="E20" s="144"/>
      <c r="F20" s="142" t="s">
        <v>138</v>
      </c>
      <c r="G20" s="145">
        <v>5</v>
      </c>
      <c r="H20" s="144"/>
      <c r="I20" s="142" t="s">
        <v>138</v>
      </c>
      <c r="J20" s="145">
        <v>5</v>
      </c>
      <c r="K20" s="144"/>
      <c r="L20" s="142" t="s">
        <v>138</v>
      </c>
      <c r="M20" s="145">
        <v>5</v>
      </c>
      <c r="N20" s="144"/>
      <c r="O20" s="142" t="s">
        <v>138</v>
      </c>
      <c r="P20" s="145">
        <v>2</v>
      </c>
      <c r="Q20" s="144"/>
      <c r="R20" s="142" t="s">
        <v>138</v>
      </c>
      <c r="S20" s="145">
        <v>2</v>
      </c>
      <c r="T20" s="144"/>
      <c r="U20" s="142" t="s">
        <v>138</v>
      </c>
      <c r="V20" s="145">
        <v>2</v>
      </c>
      <c r="W20" s="144"/>
      <c r="X20" s="142" t="s">
        <v>138</v>
      </c>
      <c r="Y20" s="145">
        <v>5</v>
      </c>
      <c r="Z20" s="144"/>
      <c r="AA20" s="142" t="s">
        <v>138</v>
      </c>
      <c r="AB20" s="145">
        <v>5</v>
      </c>
      <c r="AC20" s="144"/>
      <c r="AD20" s="142" t="s">
        <v>138</v>
      </c>
      <c r="AE20" s="145">
        <v>5</v>
      </c>
      <c r="AF20" s="144"/>
      <c r="AG20" s="142" t="s">
        <v>138</v>
      </c>
      <c r="AH20" s="145">
        <v>5</v>
      </c>
      <c r="AI20" s="144"/>
      <c r="AJ20" s="142" t="s">
        <v>138</v>
      </c>
      <c r="AK20" s="145">
        <v>2</v>
      </c>
      <c r="AL20" s="144"/>
      <c r="AM20" s="142" t="s">
        <v>138</v>
      </c>
      <c r="AN20" s="145">
        <v>2</v>
      </c>
      <c r="AO20" s="144"/>
      <c r="AP20" s="142" t="s">
        <v>138</v>
      </c>
      <c r="AQ20" s="145">
        <v>2</v>
      </c>
      <c r="AR20" s="144"/>
      <c r="AS20" s="142" t="s">
        <v>138</v>
      </c>
      <c r="AT20" s="145">
        <v>5</v>
      </c>
      <c r="AU20" s="144"/>
      <c r="AV20" s="142" t="s">
        <v>138</v>
      </c>
      <c r="AW20" s="145">
        <v>5</v>
      </c>
      <c r="AX20" s="144"/>
      <c r="AY20" s="142" t="s">
        <v>138</v>
      </c>
      <c r="AZ20" s="145">
        <v>2</v>
      </c>
      <c r="BA20" s="144"/>
      <c r="BB20" s="142" t="s">
        <v>138</v>
      </c>
      <c r="BC20" s="145">
        <v>2</v>
      </c>
      <c r="BD20" s="144"/>
      <c r="BE20" s="142" t="s">
        <v>138</v>
      </c>
      <c r="BF20" s="145">
        <v>2</v>
      </c>
      <c r="BG20" s="144"/>
      <c r="BH20" s="142" t="s">
        <v>138</v>
      </c>
      <c r="BI20" s="145">
        <v>5</v>
      </c>
      <c r="BJ20" s="144"/>
      <c r="BK20" s="142" t="s">
        <v>138</v>
      </c>
      <c r="BL20" s="145">
        <v>5</v>
      </c>
      <c r="BM20" s="144"/>
      <c r="BN20" s="142" t="s">
        <v>138</v>
      </c>
      <c r="BO20" s="145">
        <v>2</v>
      </c>
      <c r="BP20" s="144"/>
      <c r="BQ20" s="142" t="s">
        <v>138</v>
      </c>
      <c r="BR20" s="145">
        <v>2</v>
      </c>
      <c r="BS20" s="144"/>
      <c r="BT20" s="142" t="s">
        <v>138</v>
      </c>
      <c r="BU20" s="145">
        <v>2</v>
      </c>
      <c r="BV20" s="144"/>
      <c r="BW20" s="142" t="s">
        <v>138</v>
      </c>
      <c r="BX20" s="145">
        <v>5</v>
      </c>
      <c r="BY20" s="144"/>
      <c r="BZ20" s="142" t="s">
        <v>138</v>
      </c>
      <c r="CA20" s="145">
        <v>5</v>
      </c>
      <c r="CB20" s="144"/>
      <c r="CC20" s="142" t="s">
        <v>138</v>
      </c>
      <c r="CD20" s="145">
        <v>2</v>
      </c>
      <c r="CE20" s="144"/>
      <c r="CF20" s="142" t="s">
        <v>138</v>
      </c>
      <c r="CG20" s="145">
        <v>2</v>
      </c>
      <c r="CH20" s="144"/>
      <c r="CI20" s="142" t="s">
        <v>138</v>
      </c>
      <c r="CJ20" s="145">
        <v>2</v>
      </c>
      <c r="CK20" s="144"/>
      <c r="CL20" s="142" t="s">
        <v>138</v>
      </c>
      <c r="CM20" s="145">
        <v>5</v>
      </c>
      <c r="CN20" s="144"/>
      <c r="CO20" s="142" t="s">
        <v>138</v>
      </c>
      <c r="CP20" s="145">
        <v>5</v>
      </c>
      <c r="CQ20" s="144"/>
      <c r="CR20" s="142"/>
      <c r="CS20" s="145">
        <v>2.6</v>
      </c>
      <c r="CT20" s="144"/>
      <c r="CU20" s="142"/>
      <c r="CV20" s="145">
        <v>2.5</v>
      </c>
      <c r="CW20" s="144"/>
      <c r="CX20" s="142"/>
      <c r="CY20" s="145">
        <v>3</v>
      </c>
      <c r="CZ20" s="144"/>
      <c r="DA20" s="142" t="s">
        <v>138</v>
      </c>
      <c r="DB20" s="145">
        <v>5</v>
      </c>
      <c r="DC20" s="144"/>
      <c r="DD20" s="142" t="s">
        <v>138</v>
      </c>
      <c r="DE20" s="145">
        <v>5</v>
      </c>
      <c r="DF20" s="144"/>
      <c r="DG20" s="142" t="s">
        <v>138</v>
      </c>
      <c r="DH20" s="145">
        <v>2</v>
      </c>
      <c r="DI20" s="144"/>
      <c r="DJ20" s="142" t="s">
        <v>138</v>
      </c>
      <c r="DK20" s="145">
        <v>2</v>
      </c>
      <c r="DL20" s="144"/>
      <c r="DM20" s="142" t="s">
        <v>138</v>
      </c>
      <c r="DN20" s="145">
        <v>2</v>
      </c>
      <c r="DO20" s="144"/>
      <c r="DP20" s="142" t="s">
        <v>138</v>
      </c>
      <c r="DQ20" s="145">
        <v>5</v>
      </c>
      <c r="DR20" s="144"/>
      <c r="DS20" s="142" t="s">
        <v>138</v>
      </c>
      <c r="DT20" s="145">
        <v>5</v>
      </c>
      <c r="DU20" s="144"/>
      <c r="DV20" s="142" t="s">
        <v>138</v>
      </c>
      <c r="DW20" s="145">
        <v>2</v>
      </c>
      <c r="DX20" s="144"/>
      <c r="DY20" s="142" t="s">
        <v>138</v>
      </c>
      <c r="DZ20" s="145">
        <v>2</v>
      </c>
      <c r="EA20" s="144"/>
      <c r="EB20" s="142" t="s">
        <v>138</v>
      </c>
      <c r="EC20" s="145">
        <v>2</v>
      </c>
      <c r="ED20" s="144"/>
    </row>
    <row r="21" spans="1:134" ht="12.75" customHeight="1">
      <c r="A21" s="149" t="s">
        <v>141</v>
      </c>
      <c r="B21" s="150" t="s">
        <v>142</v>
      </c>
      <c r="C21" s="142" t="s">
        <v>138</v>
      </c>
      <c r="D21" s="145">
        <v>5</v>
      </c>
      <c r="E21" s="152"/>
      <c r="F21" s="142" t="s">
        <v>138</v>
      </c>
      <c r="G21" s="145">
        <v>5</v>
      </c>
      <c r="H21" s="152"/>
      <c r="I21" s="142" t="s">
        <v>138</v>
      </c>
      <c r="J21" s="145">
        <v>5</v>
      </c>
      <c r="K21" s="152"/>
      <c r="L21" s="142" t="s">
        <v>138</v>
      </c>
      <c r="M21" s="145">
        <v>5</v>
      </c>
      <c r="N21" s="152"/>
      <c r="O21" s="142" t="s">
        <v>138</v>
      </c>
      <c r="P21" s="145">
        <v>2</v>
      </c>
      <c r="Q21" s="152"/>
      <c r="R21" s="142" t="s">
        <v>138</v>
      </c>
      <c r="S21" s="145">
        <v>2</v>
      </c>
      <c r="T21" s="152"/>
      <c r="U21" s="142" t="s">
        <v>138</v>
      </c>
      <c r="V21" s="145">
        <v>2</v>
      </c>
      <c r="W21" s="152"/>
      <c r="X21" s="142" t="s">
        <v>138</v>
      </c>
      <c r="Y21" s="145">
        <v>5</v>
      </c>
      <c r="Z21" s="152"/>
      <c r="AA21" s="142" t="s">
        <v>138</v>
      </c>
      <c r="AB21" s="145">
        <v>5</v>
      </c>
      <c r="AC21" s="152"/>
      <c r="AD21" s="142" t="s">
        <v>138</v>
      </c>
      <c r="AE21" s="145">
        <v>5</v>
      </c>
      <c r="AF21" s="152"/>
      <c r="AG21" s="142" t="s">
        <v>138</v>
      </c>
      <c r="AH21" s="145">
        <v>5</v>
      </c>
      <c r="AI21" s="152"/>
      <c r="AJ21" s="142" t="s">
        <v>138</v>
      </c>
      <c r="AK21" s="145">
        <v>2</v>
      </c>
      <c r="AL21" s="152"/>
      <c r="AM21" s="142" t="s">
        <v>138</v>
      </c>
      <c r="AN21" s="145">
        <v>2</v>
      </c>
      <c r="AO21" s="152"/>
      <c r="AP21" s="142" t="s">
        <v>138</v>
      </c>
      <c r="AQ21" s="145">
        <v>2</v>
      </c>
      <c r="AR21" s="152"/>
      <c r="AS21" s="142" t="s">
        <v>138</v>
      </c>
      <c r="AT21" s="145">
        <v>5</v>
      </c>
      <c r="AU21" s="152"/>
      <c r="AV21" s="142" t="s">
        <v>138</v>
      </c>
      <c r="AW21" s="145">
        <v>5</v>
      </c>
      <c r="AX21" s="152"/>
      <c r="AY21" s="142" t="s">
        <v>138</v>
      </c>
      <c r="AZ21" s="145">
        <v>2</v>
      </c>
      <c r="BA21" s="152"/>
      <c r="BB21" s="142" t="s">
        <v>138</v>
      </c>
      <c r="BC21" s="145">
        <v>2</v>
      </c>
      <c r="BD21" s="152"/>
      <c r="BE21" s="142" t="s">
        <v>138</v>
      </c>
      <c r="BF21" s="145">
        <v>2</v>
      </c>
      <c r="BG21" s="152"/>
      <c r="BH21" s="142" t="s">
        <v>138</v>
      </c>
      <c r="BI21" s="145">
        <v>5</v>
      </c>
      <c r="BJ21" s="152"/>
      <c r="BK21" s="142" t="s">
        <v>138</v>
      </c>
      <c r="BL21" s="145">
        <v>5</v>
      </c>
      <c r="BM21" s="152"/>
      <c r="BN21" s="142" t="s">
        <v>138</v>
      </c>
      <c r="BO21" s="145">
        <v>2</v>
      </c>
      <c r="BP21" s="152"/>
      <c r="BQ21" s="142" t="s">
        <v>138</v>
      </c>
      <c r="BR21" s="145">
        <v>2</v>
      </c>
      <c r="BS21" s="152"/>
      <c r="BT21" s="142" t="s">
        <v>138</v>
      </c>
      <c r="BU21" s="145">
        <v>2</v>
      </c>
      <c r="BV21" s="152"/>
      <c r="BW21" s="142" t="s">
        <v>138</v>
      </c>
      <c r="BX21" s="145">
        <v>5</v>
      </c>
      <c r="BY21" s="152"/>
      <c r="BZ21" s="142" t="s">
        <v>138</v>
      </c>
      <c r="CA21" s="145">
        <v>5</v>
      </c>
      <c r="CB21" s="152"/>
      <c r="CC21" s="142" t="s">
        <v>138</v>
      </c>
      <c r="CD21" s="145">
        <v>2</v>
      </c>
      <c r="CE21" s="152"/>
      <c r="CF21" s="142" t="s">
        <v>138</v>
      </c>
      <c r="CG21" s="145">
        <v>2</v>
      </c>
      <c r="CH21" s="152"/>
      <c r="CI21" s="142" t="s">
        <v>138</v>
      </c>
      <c r="CJ21" s="145">
        <v>2</v>
      </c>
      <c r="CK21" s="152"/>
      <c r="CL21" s="142" t="s">
        <v>138</v>
      </c>
      <c r="CM21" s="145">
        <v>5</v>
      </c>
      <c r="CN21" s="152"/>
      <c r="CO21" s="142" t="s">
        <v>138</v>
      </c>
      <c r="CP21" s="145">
        <v>5</v>
      </c>
      <c r="CQ21" s="152"/>
      <c r="CR21" s="142"/>
      <c r="CS21" s="145">
        <v>2.5</v>
      </c>
      <c r="CT21" s="152"/>
      <c r="CU21" s="142"/>
      <c r="CV21" s="145">
        <v>2.6</v>
      </c>
      <c r="CW21" s="152"/>
      <c r="CX21" s="142"/>
      <c r="CY21" s="145">
        <v>4.9000000000000004</v>
      </c>
      <c r="CZ21" s="152"/>
      <c r="DA21" s="142" t="s">
        <v>138</v>
      </c>
      <c r="DB21" s="145">
        <v>5</v>
      </c>
      <c r="DC21" s="152"/>
      <c r="DD21" s="142" t="s">
        <v>138</v>
      </c>
      <c r="DE21" s="145">
        <v>5</v>
      </c>
      <c r="DF21" s="152"/>
      <c r="DG21" s="142" t="s">
        <v>138</v>
      </c>
      <c r="DH21" s="145">
        <v>2</v>
      </c>
      <c r="DI21" s="152"/>
      <c r="DJ21" s="142" t="s">
        <v>138</v>
      </c>
      <c r="DK21" s="145">
        <v>2</v>
      </c>
      <c r="DL21" s="152"/>
      <c r="DM21" s="142" t="s">
        <v>138</v>
      </c>
      <c r="DN21" s="145">
        <v>2</v>
      </c>
      <c r="DO21" s="152"/>
      <c r="DP21" s="142" t="s">
        <v>138</v>
      </c>
      <c r="DQ21" s="145">
        <v>5</v>
      </c>
      <c r="DR21" s="152"/>
      <c r="DS21" s="142" t="s">
        <v>138</v>
      </c>
      <c r="DT21" s="145">
        <v>5</v>
      </c>
      <c r="DU21" s="152"/>
      <c r="DV21" s="142" t="s">
        <v>138</v>
      </c>
      <c r="DW21" s="145">
        <v>2</v>
      </c>
      <c r="DX21" s="152"/>
      <c r="DY21" s="142" t="s">
        <v>138</v>
      </c>
      <c r="DZ21" s="145">
        <v>2</v>
      </c>
      <c r="EA21" s="152"/>
      <c r="EB21" s="142" t="s">
        <v>138</v>
      </c>
      <c r="EC21" s="145">
        <v>2</v>
      </c>
      <c r="ED21" s="152"/>
    </row>
    <row r="22" spans="1:134" ht="12.75" customHeight="1">
      <c r="A22" s="149" t="s">
        <v>143</v>
      </c>
      <c r="B22" s="150" t="s">
        <v>144</v>
      </c>
      <c r="C22" s="142" t="s">
        <v>138</v>
      </c>
      <c r="D22" s="145">
        <v>5</v>
      </c>
      <c r="E22" s="152"/>
      <c r="F22" s="142" t="s">
        <v>138</v>
      </c>
      <c r="G22" s="145">
        <v>5</v>
      </c>
      <c r="H22" s="152"/>
      <c r="I22" s="142" t="s">
        <v>138</v>
      </c>
      <c r="J22" s="145">
        <v>5</v>
      </c>
      <c r="K22" s="152"/>
      <c r="L22" s="142" t="s">
        <v>138</v>
      </c>
      <c r="M22" s="145">
        <v>5</v>
      </c>
      <c r="N22" s="152"/>
      <c r="O22" s="142" t="s">
        <v>138</v>
      </c>
      <c r="P22" s="145">
        <v>2</v>
      </c>
      <c r="Q22" s="152"/>
      <c r="R22" s="142" t="s">
        <v>138</v>
      </c>
      <c r="S22" s="145">
        <v>2</v>
      </c>
      <c r="T22" s="152"/>
      <c r="U22" s="142" t="s">
        <v>138</v>
      </c>
      <c r="V22" s="145">
        <v>2</v>
      </c>
      <c r="W22" s="152"/>
      <c r="X22" s="142" t="s">
        <v>138</v>
      </c>
      <c r="Y22" s="145">
        <v>5</v>
      </c>
      <c r="Z22" s="152"/>
      <c r="AA22" s="142" t="s">
        <v>138</v>
      </c>
      <c r="AB22" s="145">
        <v>5</v>
      </c>
      <c r="AC22" s="152"/>
      <c r="AD22" s="142" t="s">
        <v>138</v>
      </c>
      <c r="AE22" s="145">
        <v>5</v>
      </c>
      <c r="AF22" s="152"/>
      <c r="AG22" s="142" t="s">
        <v>138</v>
      </c>
      <c r="AH22" s="145">
        <v>5</v>
      </c>
      <c r="AI22" s="152"/>
      <c r="AJ22" s="142" t="s">
        <v>138</v>
      </c>
      <c r="AK22" s="145">
        <v>2</v>
      </c>
      <c r="AL22" s="152"/>
      <c r="AM22" s="142" t="s">
        <v>138</v>
      </c>
      <c r="AN22" s="145">
        <v>2</v>
      </c>
      <c r="AO22" s="152"/>
      <c r="AP22" s="142" t="s">
        <v>138</v>
      </c>
      <c r="AQ22" s="145">
        <v>2</v>
      </c>
      <c r="AR22" s="152"/>
      <c r="AS22" s="142" t="s">
        <v>138</v>
      </c>
      <c r="AT22" s="145">
        <v>5</v>
      </c>
      <c r="AU22" s="152"/>
      <c r="AV22" s="142" t="s">
        <v>138</v>
      </c>
      <c r="AW22" s="145">
        <v>5</v>
      </c>
      <c r="AX22" s="152"/>
      <c r="AY22" s="142" t="s">
        <v>138</v>
      </c>
      <c r="AZ22" s="145">
        <v>2</v>
      </c>
      <c r="BA22" s="152"/>
      <c r="BB22" s="142" t="s">
        <v>138</v>
      </c>
      <c r="BC22" s="145">
        <v>2</v>
      </c>
      <c r="BD22" s="152"/>
      <c r="BE22" s="142" t="s">
        <v>138</v>
      </c>
      <c r="BF22" s="145">
        <v>2</v>
      </c>
      <c r="BG22" s="152"/>
      <c r="BH22" s="142" t="s">
        <v>138</v>
      </c>
      <c r="BI22" s="145">
        <v>5</v>
      </c>
      <c r="BJ22" s="152"/>
      <c r="BK22" s="142" t="s">
        <v>138</v>
      </c>
      <c r="BL22" s="145">
        <v>5</v>
      </c>
      <c r="BM22" s="152"/>
      <c r="BN22" s="142" t="s">
        <v>138</v>
      </c>
      <c r="BO22" s="145">
        <v>2</v>
      </c>
      <c r="BP22" s="152"/>
      <c r="BQ22" s="142" t="s">
        <v>138</v>
      </c>
      <c r="BR22" s="145">
        <v>2</v>
      </c>
      <c r="BS22" s="152"/>
      <c r="BT22" s="142" t="s">
        <v>138</v>
      </c>
      <c r="BU22" s="145">
        <v>2</v>
      </c>
      <c r="BV22" s="152"/>
      <c r="BW22" s="142" t="s">
        <v>138</v>
      </c>
      <c r="BX22" s="145">
        <v>5</v>
      </c>
      <c r="BY22" s="152"/>
      <c r="BZ22" s="142" t="s">
        <v>138</v>
      </c>
      <c r="CA22" s="145">
        <v>5</v>
      </c>
      <c r="CB22" s="152"/>
      <c r="CC22" s="142" t="s">
        <v>138</v>
      </c>
      <c r="CD22" s="145">
        <v>2</v>
      </c>
      <c r="CE22" s="152"/>
      <c r="CF22" s="142" t="s">
        <v>138</v>
      </c>
      <c r="CG22" s="145">
        <v>2</v>
      </c>
      <c r="CH22" s="152"/>
      <c r="CI22" s="142" t="s">
        <v>138</v>
      </c>
      <c r="CJ22" s="145">
        <v>2</v>
      </c>
      <c r="CK22" s="152"/>
      <c r="CL22" s="142" t="s">
        <v>138</v>
      </c>
      <c r="CM22" s="145">
        <v>5</v>
      </c>
      <c r="CN22" s="152"/>
      <c r="CO22" s="142" t="s">
        <v>138</v>
      </c>
      <c r="CP22" s="145">
        <v>5</v>
      </c>
      <c r="CQ22" s="152"/>
      <c r="CR22" s="142"/>
      <c r="CS22" s="145">
        <v>2.4</v>
      </c>
      <c r="CT22" s="152"/>
      <c r="CU22" s="142"/>
      <c r="CV22" s="145">
        <v>2.6</v>
      </c>
      <c r="CW22" s="152"/>
      <c r="CX22" s="142"/>
      <c r="CY22" s="145">
        <v>3.4</v>
      </c>
      <c r="CZ22" s="152"/>
      <c r="DA22" s="142" t="s">
        <v>138</v>
      </c>
      <c r="DB22" s="145">
        <v>5</v>
      </c>
      <c r="DC22" s="152"/>
      <c r="DD22" s="142" t="s">
        <v>138</v>
      </c>
      <c r="DE22" s="145">
        <v>5</v>
      </c>
      <c r="DF22" s="152"/>
      <c r="DG22" s="142" t="s">
        <v>138</v>
      </c>
      <c r="DH22" s="145">
        <v>2</v>
      </c>
      <c r="DI22" s="152"/>
      <c r="DJ22" s="142" t="s">
        <v>138</v>
      </c>
      <c r="DK22" s="145">
        <v>2</v>
      </c>
      <c r="DL22" s="152"/>
      <c r="DM22" s="142" t="s">
        <v>138</v>
      </c>
      <c r="DN22" s="145">
        <v>2</v>
      </c>
      <c r="DO22" s="152"/>
      <c r="DP22" s="142" t="s">
        <v>138</v>
      </c>
      <c r="DQ22" s="145">
        <v>5</v>
      </c>
      <c r="DR22" s="152"/>
      <c r="DS22" s="142" t="s">
        <v>138</v>
      </c>
      <c r="DT22" s="145">
        <v>5</v>
      </c>
      <c r="DU22" s="152"/>
      <c r="DV22" s="142" t="s">
        <v>138</v>
      </c>
      <c r="DW22" s="145">
        <v>2</v>
      </c>
      <c r="DX22" s="152"/>
      <c r="DY22" s="142" t="s">
        <v>138</v>
      </c>
      <c r="DZ22" s="145">
        <v>2</v>
      </c>
      <c r="EA22" s="152"/>
      <c r="EB22" s="142" t="s">
        <v>138</v>
      </c>
      <c r="EC22" s="145">
        <v>2</v>
      </c>
      <c r="ED22" s="152"/>
    </row>
    <row r="23" spans="1:134" ht="12.75" customHeight="1">
      <c r="A23" s="149" t="s">
        <v>145</v>
      </c>
      <c r="B23" s="150" t="s">
        <v>146</v>
      </c>
      <c r="C23" s="142" t="s">
        <v>138</v>
      </c>
      <c r="D23" s="145">
        <v>5</v>
      </c>
      <c r="E23" s="144"/>
      <c r="F23" s="142" t="s">
        <v>138</v>
      </c>
      <c r="G23" s="145">
        <v>5</v>
      </c>
      <c r="H23" s="144"/>
      <c r="I23" s="142" t="s">
        <v>138</v>
      </c>
      <c r="J23" s="145">
        <v>5</v>
      </c>
      <c r="K23" s="144"/>
      <c r="L23" s="142" t="s">
        <v>138</v>
      </c>
      <c r="M23" s="145">
        <v>5</v>
      </c>
      <c r="N23" s="144"/>
      <c r="O23" s="142" t="s">
        <v>138</v>
      </c>
      <c r="P23" s="145">
        <v>2</v>
      </c>
      <c r="Q23" s="144"/>
      <c r="R23" s="142" t="s">
        <v>138</v>
      </c>
      <c r="S23" s="145">
        <v>2</v>
      </c>
      <c r="T23" s="144"/>
      <c r="U23" s="142" t="s">
        <v>138</v>
      </c>
      <c r="V23" s="145">
        <v>2</v>
      </c>
      <c r="W23" s="144"/>
      <c r="X23" s="142" t="s">
        <v>138</v>
      </c>
      <c r="Y23" s="145">
        <v>5</v>
      </c>
      <c r="Z23" s="144"/>
      <c r="AA23" s="142" t="s">
        <v>138</v>
      </c>
      <c r="AB23" s="145">
        <v>5</v>
      </c>
      <c r="AC23" s="144"/>
      <c r="AD23" s="142" t="s">
        <v>138</v>
      </c>
      <c r="AE23" s="145">
        <v>5</v>
      </c>
      <c r="AF23" s="144"/>
      <c r="AG23" s="142" t="s">
        <v>138</v>
      </c>
      <c r="AH23" s="145">
        <v>5</v>
      </c>
      <c r="AI23" s="144"/>
      <c r="AJ23" s="142" t="s">
        <v>138</v>
      </c>
      <c r="AK23" s="145">
        <v>2</v>
      </c>
      <c r="AL23" s="144"/>
      <c r="AM23" s="142" t="s">
        <v>138</v>
      </c>
      <c r="AN23" s="145">
        <v>2</v>
      </c>
      <c r="AO23" s="144"/>
      <c r="AP23" s="142" t="s">
        <v>138</v>
      </c>
      <c r="AQ23" s="145">
        <v>2</v>
      </c>
      <c r="AR23" s="144"/>
      <c r="AS23" s="142" t="s">
        <v>138</v>
      </c>
      <c r="AT23" s="145">
        <v>5</v>
      </c>
      <c r="AU23" s="144"/>
      <c r="AV23" s="142" t="s">
        <v>138</v>
      </c>
      <c r="AW23" s="145">
        <v>5</v>
      </c>
      <c r="AX23" s="144"/>
      <c r="AY23" s="142" t="s">
        <v>138</v>
      </c>
      <c r="AZ23" s="145">
        <v>2</v>
      </c>
      <c r="BA23" s="144"/>
      <c r="BB23" s="142" t="s">
        <v>138</v>
      </c>
      <c r="BC23" s="145">
        <v>2</v>
      </c>
      <c r="BD23" s="144"/>
      <c r="BE23" s="142" t="s">
        <v>138</v>
      </c>
      <c r="BF23" s="145">
        <v>2</v>
      </c>
      <c r="BG23" s="144"/>
      <c r="BH23" s="142" t="s">
        <v>138</v>
      </c>
      <c r="BI23" s="145">
        <v>5</v>
      </c>
      <c r="BJ23" s="144"/>
      <c r="BK23" s="142" t="s">
        <v>138</v>
      </c>
      <c r="BL23" s="145">
        <v>5</v>
      </c>
      <c r="BM23" s="144"/>
      <c r="BN23" s="142" t="s">
        <v>138</v>
      </c>
      <c r="BO23" s="145">
        <v>2</v>
      </c>
      <c r="BP23" s="144"/>
      <c r="BQ23" s="142" t="s">
        <v>138</v>
      </c>
      <c r="BR23" s="145">
        <v>2</v>
      </c>
      <c r="BS23" s="144"/>
      <c r="BT23" s="142" t="s">
        <v>138</v>
      </c>
      <c r="BU23" s="145">
        <v>2</v>
      </c>
      <c r="BV23" s="144"/>
      <c r="BW23" s="142" t="s">
        <v>138</v>
      </c>
      <c r="BX23" s="145">
        <v>5</v>
      </c>
      <c r="BY23" s="144"/>
      <c r="BZ23" s="142" t="s">
        <v>138</v>
      </c>
      <c r="CA23" s="145">
        <v>5</v>
      </c>
      <c r="CB23" s="144"/>
      <c r="CC23" s="142" t="s">
        <v>138</v>
      </c>
      <c r="CD23" s="145">
        <v>2</v>
      </c>
      <c r="CE23" s="144"/>
      <c r="CF23" s="142" t="s">
        <v>138</v>
      </c>
      <c r="CG23" s="145">
        <v>2</v>
      </c>
      <c r="CH23" s="144"/>
      <c r="CI23" s="142" t="s">
        <v>138</v>
      </c>
      <c r="CJ23" s="145">
        <v>2</v>
      </c>
      <c r="CK23" s="144"/>
      <c r="CL23" s="142"/>
      <c r="CM23" s="147">
        <v>42</v>
      </c>
      <c r="CN23" s="144"/>
      <c r="CO23" s="142"/>
      <c r="CP23" s="147">
        <v>68</v>
      </c>
      <c r="CQ23" s="144"/>
      <c r="CR23" s="142"/>
      <c r="CS23" s="147">
        <v>59</v>
      </c>
      <c r="CT23" s="144"/>
      <c r="CU23" s="142"/>
      <c r="CV23" s="147">
        <v>55</v>
      </c>
      <c r="CW23" s="144"/>
      <c r="CX23" s="142"/>
      <c r="CY23" s="147">
        <v>79</v>
      </c>
      <c r="CZ23" s="144"/>
      <c r="DA23" s="142" t="s">
        <v>138</v>
      </c>
      <c r="DB23" s="145">
        <v>5</v>
      </c>
      <c r="DC23" s="144"/>
      <c r="DD23" s="142" t="s">
        <v>138</v>
      </c>
      <c r="DE23" s="145">
        <v>5</v>
      </c>
      <c r="DF23" s="144"/>
      <c r="DG23" s="142" t="s">
        <v>138</v>
      </c>
      <c r="DH23" s="145">
        <v>2</v>
      </c>
      <c r="DI23" s="144"/>
      <c r="DJ23" s="142" t="s">
        <v>138</v>
      </c>
      <c r="DK23" s="145">
        <v>2</v>
      </c>
      <c r="DL23" s="144"/>
      <c r="DM23" s="142" t="s">
        <v>138</v>
      </c>
      <c r="DN23" s="145">
        <v>2</v>
      </c>
      <c r="DO23" s="144"/>
      <c r="DP23" s="142" t="s">
        <v>138</v>
      </c>
      <c r="DQ23" s="145">
        <v>5</v>
      </c>
      <c r="DR23" s="144"/>
      <c r="DS23" s="142" t="s">
        <v>138</v>
      </c>
      <c r="DT23" s="145">
        <v>5</v>
      </c>
      <c r="DU23" s="144"/>
      <c r="DV23" s="142" t="s">
        <v>138</v>
      </c>
      <c r="DW23" s="145">
        <v>2</v>
      </c>
      <c r="DX23" s="144"/>
      <c r="DY23" s="142" t="s">
        <v>138</v>
      </c>
      <c r="DZ23" s="145">
        <v>2</v>
      </c>
      <c r="EA23" s="144"/>
      <c r="EB23" s="142" t="s">
        <v>138</v>
      </c>
      <c r="EC23" s="145">
        <v>2</v>
      </c>
      <c r="ED23" s="144"/>
    </row>
    <row r="24" spans="1:134" ht="12.75" customHeight="1">
      <c r="A24" s="149" t="s">
        <v>147</v>
      </c>
      <c r="B24" s="150" t="s">
        <v>148</v>
      </c>
      <c r="C24" s="142" t="s">
        <v>138</v>
      </c>
      <c r="D24" s="145">
        <v>5</v>
      </c>
      <c r="E24" s="144"/>
      <c r="F24" s="142" t="s">
        <v>138</v>
      </c>
      <c r="G24" s="145">
        <v>5</v>
      </c>
      <c r="H24" s="144"/>
      <c r="I24" s="142" t="s">
        <v>138</v>
      </c>
      <c r="J24" s="145">
        <v>5</v>
      </c>
      <c r="K24" s="144"/>
      <c r="L24" s="142" t="s">
        <v>138</v>
      </c>
      <c r="M24" s="145">
        <v>5</v>
      </c>
      <c r="N24" s="144"/>
      <c r="O24" s="142" t="s">
        <v>138</v>
      </c>
      <c r="P24" s="145">
        <v>2</v>
      </c>
      <c r="Q24" s="144"/>
      <c r="R24" s="142" t="s">
        <v>138</v>
      </c>
      <c r="S24" s="145">
        <v>2</v>
      </c>
      <c r="T24" s="144"/>
      <c r="U24" s="142" t="s">
        <v>138</v>
      </c>
      <c r="V24" s="145">
        <v>2</v>
      </c>
      <c r="W24" s="144"/>
      <c r="X24" s="142" t="s">
        <v>138</v>
      </c>
      <c r="Y24" s="145">
        <v>5</v>
      </c>
      <c r="Z24" s="144"/>
      <c r="AA24" s="142" t="s">
        <v>138</v>
      </c>
      <c r="AB24" s="145">
        <v>5</v>
      </c>
      <c r="AC24" s="144"/>
      <c r="AD24" s="142" t="s">
        <v>138</v>
      </c>
      <c r="AE24" s="145">
        <v>5</v>
      </c>
      <c r="AF24" s="144"/>
      <c r="AG24" s="142" t="s">
        <v>138</v>
      </c>
      <c r="AH24" s="145">
        <v>5</v>
      </c>
      <c r="AI24" s="144"/>
      <c r="AJ24" s="142" t="s">
        <v>138</v>
      </c>
      <c r="AK24" s="145">
        <v>2</v>
      </c>
      <c r="AL24" s="144"/>
      <c r="AM24" s="142" t="s">
        <v>138</v>
      </c>
      <c r="AN24" s="145">
        <v>2</v>
      </c>
      <c r="AO24" s="144"/>
      <c r="AP24" s="142" t="s">
        <v>138</v>
      </c>
      <c r="AQ24" s="145">
        <v>2</v>
      </c>
      <c r="AR24" s="144"/>
      <c r="AS24" s="142" t="s">
        <v>138</v>
      </c>
      <c r="AT24" s="145">
        <v>5</v>
      </c>
      <c r="AU24" s="144"/>
      <c r="AV24" s="142" t="s">
        <v>138</v>
      </c>
      <c r="AW24" s="145">
        <v>5</v>
      </c>
      <c r="AX24" s="144"/>
      <c r="AY24" s="142" t="s">
        <v>138</v>
      </c>
      <c r="AZ24" s="145">
        <v>2</v>
      </c>
      <c r="BA24" s="144"/>
      <c r="BB24" s="142" t="s">
        <v>138</v>
      </c>
      <c r="BC24" s="145">
        <v>2</v>
      </c>
      <c r="BD24" s="144"/>
      <c r="BE24" s="142" t="s">
        <v>138</v>
      </c>
      <c r="BF24" s="145">
        <v>2</v>
      </c>
      <c r="BG24" s="144"/>
      <c r="BH24" s="142" t="s">
        <v>138</v>
      </c>
      <c r="BI24" s="145">
        <v>5</v>
      </c>
      <c r="BJ24" s="144"/>
      <c r="BK24" s="142" t="s">
        <v>138</v>
      </c>
      <c r="BL24" s="145">
        <v>5</v>
      </c>
      <c r="BM24" s="144"/>
      <c r="BN24" s="142" t="s">
        <v>138</v>
      </c>
      <c r="BO24" s="145">
        <v>2</v>
      </c>
      <c r="BP24" s="144"/>
      <c r="BQ24" s="142" t="s">
        <v>138</v>
      </c>
      <c r="BR24" s="145">
        <v>2</v>
      </c>
      <c r="BS24" s="144"/>
      <c r="BT24" s="142" t="s">
        <v>138</v>
      </c>
      <c r="BU24" s="145">
        <v>2</v>
      </c>
      <c r="BV24" s="144"/>
      <c r="BW24" s="142" t="s">
        <v>138</v>
      </c>
      <c r="BX24" s="145">
        <v>5</v>
      </c>
      <c r="BY24" s="144"/>
      <c r="BZ24" s="142" t="s">
        <v>138</v>
      </c>
      <c r="CA24" s="145">
        <v>5</v>
      </c>
      <c r="CB24" s="144"/>
      <c r="CC24" s="142" t="s">
        <v>138</v>
      </c>
      <c r="CD24" s="145">
        <v>2</v>
      </c>
      <c r="CE24" s="144"/>
      <c r="CF24" s="142" t="s">
        <v>138</v>
      </c>
      <c r="CG24" s="145">
        <v>2</v>
      </c>
      <c r="CH24" s="144"/>
      <c r="CI24" s="142" t="s">
        <v>138</v>
      </c>
      <c r="CJ24" s="145">
        <v>2</v>
      </c>
      <c r="CK24" s="144"/>
      <c r="CL24" s="142" t="s">
        <v>138</v>
      </c>
      <c r="CM24" s="145">
        <v>5</v>
      </c>
      <c r="CN24" s="144"/>
      <c r="CO24" s="142" t="s">
        <v>138</v>
      </c>
      <c r="CP24" s="145">
        <v>5</v>
      </c>
      <c r="CQ24" s="144"/>
      <c r="CR24" s="142" t="s">
        <v>138</v>
      </c>
      <c r="CS24" s="145">
        <v>2</v>
      </c>
      <c r="CT24" s="144"/>
      <c r="CU24" s="142" t="s">
        <v>138</v>
      </c>
      <c r="CV24" s="145">
        <v>2</v>
      </c>
      <c r="CW24" s="144"/>
      <c r="CX24" s="142" t="s">
        <v>138</v>
      </c>
      <c r="CY24" s="145">
        <v>2</v>
      </c>
      <c r="CZ24" s="144"/>
      <c r="DA24" s="142" t="s">
        <v>138</v>
      </c>
      <c r="DB24" s="145">
        <v>5</v>
      </c>
      <c r="DC24" s="144"/>
      <c r="DD24" s="142" t="s">
        <v>138</v>
      </c>
      <c r="DE24" s="145">
        <v>5</v>
      </c>
      <c r="DF24" s="144"/>
      <c r="DG24" s="142" t="s">
        <v>138</v>
      </c>
      <c r="DH24" s="145">
        <v>2</v>
      </c>
      <c r="DI24" s="144"/>
      <c r="DJ24" s="142" t="s">
        <v>138</v>
      </c>
      <c r="DK24" s="145">
        <v>2</v>
      </c>
      <c r="DL24" s="144"/>
      <c r="DM24" s="142" t="s">
        <v>138</v>
      </c>
      <c r="DN24" s="145">
        <v>2</v>
      </c>
      <c r="DO24" s="144"/>
      <c r="DP24" s="142" t="s">
        <v>138</v>
      </c>
      <c r="DQ24" s="145">
        <v>5</v>
      </c>
      <c r="DR24" s="144"/>
      <c r="DS24" s="142" t="s">
        <v>138</v>
      </c>
      <c r="DT24" s="145">
        <v>5</v>
      </c>
      <c r="DU24" s="144"/>
      <c r="DV24" s="142" t="s">
        <v>138</v>
      </c>
      <c r="DW24" s="145">
        <v>2</v>
      </c>
      <c r="DX24" s="144"/>
      <c r="DY24" s="142" t="s">
        <v>138</v>
      </c>
      <c r="DZ24" s="145">
        <v>2</v>
      </c>
      <c r="EA24" s="144"/>
      <c r="EB24" s="142" t="s">
        <v>138</v>
      </c>
      <c r="EC24" s="145">
        <v>2</v>
      </c>
      <c r="ED24" s="144"/>
    </row>
    <row r="25" spans="1:134" ht="12.75" customHeight="1">
      <c r="A25" s="149" t="s">
        <v>149</v>
      </c>
      <c r="B25" s="150" t="s">
        <v>150</v>
      </c>
      <c r="C25" s="142" t="s">
        <v>138</v>
      </c>
      <c r="D25" s="145">
        <v>5</v>
      </c>
      <c r="E25" s="144"/>
      <c r="F25" s="142" t="s">
        <v>138</v>
      </c>
      <c r="G25" s="145">
        <v>5</v>
      </c>
      <c r="H25" s="144"/>
      <c r="I25" s="142" t="s">
        <v>138</v>
      </c>
      <c r="J25" s="145">
        <v>5</v>
      </c>
      <c r="K25" s="144"/>
      <c r="L25" s="142" t="s">
        <v>138</v>
      </c>
      <c r="M25" s="145">
        <v>5</v>
      </c>
      <c r="N25" s="144"/>
      <c r="O25" s="142" t="s">
        <v>138</v>
      </c>
      <c r="P25" s="145">
        <v>2</v>
      </c>
      <c r="Q25" s="144"/>
      <c r="R25" s="142" t="s">
        <v>138</v>
      </c>
      <c r="S25" s="145">
        <v>2</v>
      </c>
      <c r="T25" s="144"/>
      <c r="U25" s="142" t="s">
        <v>138</v>
      </c>
      <c r="V25" s="145">
        <v>2</v>
      </c>
      <c r="W25" s="144"/>
      <c r="X25" s="142"/>
      <c r="Y25" s="147">
        <v>77</v>
      </c>
      <c r="Z25" s="144"/>
      <c r="AA25" s="142"/>
      <c r="AB25" s="147">
        <v>78</v>
      </c>
      <c r="AC25" s="144"/>
      <c r="AD25" s="142"/>
      <c r="AE25" s="147">
        <v>64</v>
      </c>
      <c r="AF25" s="144"/>
      <c r="AG25" s="142"/>
      <c r="AH25" s="147">
        <v>59</v>
      </c>
      <c r="AI25" s="144"/>
      <c r="AJ25" s="142"/>
      <c r="AK25" s="147">
        <v>69</v>
      </c>
      <c r="AL25" s="144"/>
      <c r="AM25" s="142"/>
      <c r="AN25" s="147">
        <v>71</v>
      </c>
      <c r="AO25" s="144"/>
      <c r="AP25" s="142"/>
      <c r="AQ25" s="147">
        <v>40</v>
      </c>
      <c r="AR25" s="144"/>
      <c r="AS25" s="142" t="s">
        <v>138</v>
      </c>
      <c r="AT25" s="145">
        <v>5</v>
      </c>
      <c r="AU25" s="144"/>
      <c r="AV25" s="142" t="s">
        <v>138</v>
      </c>
      <c r="AW25" s="145">
        <v>5</v>
      </c>
      <c r="AX25" s="144"/>
      <c r="AY25" s="142"/>
      <c r="AZ25" s="145">
        <v>4.5</v>
      </c>
      <c r="BA25" s="144"/>
      <c r="BB25" s="142"/>
      <c r="BC25" s="145">
        <v>6.6</v>
      </c>
      <c r="BD25" s="144"/>
      <c r="BE25" s="142"/>
      <c r="BF25" s="145">
        <v>3.8</v>
      </c>
      <c r="BG25" s="144"/>
      <c r="BH25" s="142"/>
      <c r="BI25" s="147">
        <v>38</v>
      </c>
      <c r="BJ25" s="144"/>
      <c r="BK25" s="142"/>
      <c r="BL25" s="145">
        <v>9.6</v>
      </c>
      <c r="BM25" s="144"/>
      <c r="BN25" s="142"/>
      <c r="BO25" s="145">
        <v>5.0999999999999996</v>
      </c>
      <c r="BP25" s="144"/>
      <c r="BQ25" s="142"/>
      <c r="BR25" s="147">
        <v>36</v>
      </c>
      <c r="BS25" s="144"/>
      <c r="BT25" s="142" t="s">
        <v>138</v>
      </c>
      <c r="BU25" s="145">
        <v>2</v>
      </c>
      <c r="BV25" s="144"/>
      <c r="BW25" s="142"/>
      <c r="BX25" s="147">
        <v>14</v>
      </c>
      <c r="BY25" s="144"/>
      <c r="BZ25" s="142"/>
      <c r="CA25" s="145">
        <v>7</v>
      </c>
      <c r="CB25" s="144"/>
      <c r="CC25" s="142"/>
      <c r="CD25" s="147">
        <v>16</v>
      </c>
      <c r="CE25" s="144"/>
      <c r="CF25" s="142"/>
      <c r="CG25" s="147">
        <v>34</v>
      </c>
      <c r="CH25" s="144"/>
      <c r="CI25" s="142"/>
      <c r="CJ25" s="145">
        <v>8.4</v>
      </c>
      <c r="CK25" s="144"/>
      <c r="CL25" s="142"/>
      <c r="CM25" s="147">
        <v>86</v>
      </c>
      <c r="CN25" s="144"/>
      <c r="CO25" s="142"/>
      <c r="CP25" s="147">
        <v>81</v>
      </c>
      <c r="CQ25" s="144"/>
      <c r="CR25" s="142"/>
      <c r="CS25" s="147">
        <v>89</v>
      </c>
      <c r="CT25" s="144"/>
      <c r="CU25" s="142"/>
      <c r="CV25" s="147">
        <v>100</v>
      </c>
      <c r="CW25" s="144"/>
      <c r="CX25" s="142"/>
      <c r="CY25" s="147">
        <v>62</v>
      </c>
      <c r="CZ25" s="144"/>
      <c r="DA25" s="142"/>
      <c r="DB25" s="147">
        <v>410</v>
      </c>
      <c r="DC25" s="144"/>
      <c r="DD25" s="142"/>
      <c r="DE25" s="147">
        <v>320</v>
      </c>
      <c r="DF25" s="144"/>
      <c r="DG25" s="142"/>
      <c r="DH25" s="147">
        <v>240</v>
      </c>
      <c r="DI25" s="144"/>
      <c r="DJ25" s="142"/>
      <c r="DK25" s="147">
        <v>220</v>
      </c>
      <c r="DL25" s="144"/>
      <c r="DM25" s="142"/>
      <c r="DN25" s="147">
        <v>230</v>
      </c>
      <c r="DO25" s="144"/>
      <c r="DP25" s="142"/>
      <c r="DQ25" s="147">
        <v>63</v>
      </c>
      <c r="DR25" s="144"/>
      <c r="DS25" s="142"/>
      <c r="DT25" s="147">
        <v>58</v>
      </c>
      <c r="DU25" s="144"/>
      <c r="DV25" s="142"/>
      <c r="DW25" s="147">
        <v>47</v>
      </c>
      <c r="DX25" s="144"/>
      <c r="DY25" s="142"/>
      <c r="DZ25" s="147">
        <v>74</v>
      </c>
      <c r="EA25" s="144"/>
      <c r="EB25" s="142"/>
      <c r="EC25" s="147">
        <v>34</v>
      </c>
      <c r="ED25" s="144"/>
    </row>
    <row r="26" spans="1:134" ht="12.75" customHeight="1">
      <c r="A26" s="155" t="s">
        <v>151</v>
      </c>
      <c r="B26" s="156" t="s">
        <v>152</v>
      </c>
      <c r="C26" s="142" t="s">
        <v>138</v>
      </c>
      <c r="D26" s="145">
        <v>5</v>
      </c>
      <c r="E26" s="144"/>
      <c r="F26" s="142" t="s">
        <v>138</v>
      </c>
      <c r="G26" s="145">
        <v>5</v>
      </c>
      <c r="H26" s="144"/>
      <c r="I26" s="142" t="s">
        <v>138</v>
      </c>
      <c r="J26" s="145">
        <v>5</v>
      </c>
      <c r="K26" s="144"/>
      <c r="L26" s="142" t="s">
        <v>138</v>
      </c>
      <c r="M26" s="145">
        <v>5</v>
      </c>
      <c r="N26" s="144"/>
      <c r="O26" s="142" t="s">
        <v>138</v>
      </c>
      <c r="P26" s="145">
        <v>2</v>
      </c>
      <c r="Q26" s="144"/>
      <c r="R26" s="142" t="s">
        <v>138</v>
      </c>
      <c r="S26" s="145">
        <v>2</v>
      </c>
      <c r="T26" s="144"/>
      <c r="U26" s="142" t="s">
        <v>138</v>
      </c>
      <c r="V26" s="145">
        <v>2</v>
      </c>
      <c r="W26" s="144"/>
      <c r="X26" s="142" t="s">
        <v>138</v>
      </c>
      <c r="Y26" s="145">
        <v>5</v>
      </c>
      <c r="Z26" s="144"/>
      <c r="AA26" s="142" t="s">
        <v>138</v>
      </c>
      <c r="AB26" s="145">
        <v>5</v>
      </c>
      <c r="AC26" s="144"/>
      <c r="AD26" s="142" t="s">
        <v>138</v>
      </c>
      <c r="AE26" s="145">
        <v>5</v>
      </c>
      <c r="AF26" s="144"/>
      <c r="AG26" s="142" t="s">
        <v>138</v>
      </c>
      <c r="AH26" s="145">
        <v>5</v>
      </c>
      <c r="AI26" s="144"/>
      <c r="AJ26" s="142" t="s">
        <v>138</v>
      </c>
      <c r="AK26" s="145">
        <v>2</v>
      </c>
      <c r="AL26" s="144"/>
      <c r="AM26" s="142" t="s">
        <v>138</v>
      </c>
      <c r="AN26" s="145">
        <v>2</v>
      </c>
      <c r="AO26" s="144"/>
      <c r="AP26" s="142" t="s">
        <v>138</v>
      </c>
      <c r="AQ26" s="145">
        <v>2</v>
      </c>
      <c r="AR26" s="144"/>
      <c r="AS26" s="142" t="s">
        <v>138</v>
      </c>
      <c r="AT26" s="145">
        <v>5</v>
      </c>
      <c r="AU26" s="144"/>
      <c r="AV26" s="142" t="s">
        <v>138</v>
      </c>
      <c r="AW26" s="145">
        <v>5</v>
      </c>
      <c r="AX26" s="144"/>
      <c r="AY26" s="142" t="s">
        <v>138</v>
      </c>
      <c r="AZ26" s="145">
        <v>2</v>
      </c>
      <c r="BA26" s="144"/>
      <c r="BB26" s="142" t="s">
        <v>138</v>
      </c>
      <c r="BC26" s="145">
        <v>2</v>
      </c>
      <c r="BD26" s="144"/>
      <c r="BE26" s="142" t="s">
        <v>138</v>
      </c>
      <c r="BF26" s="145">
        <v>2</v>
      </c>
      <c r="BG26" s="144"/>
      <c r="BH26" s="142" t="s">
        <v>138</v>
      </c>
      <c r="BI26" s="145">
        <v>5</v>
      </c>
      <c r="BJ26" s="144"/>
      <c r="BK26" s="142" t="s">
        <v>138</v>
      </c>
      <c r="BL26" s="145">
        <v>5</v>
      </c>
      <c r="BM26" s="144"/>
      <c r="BN26" s="142" t="s">
        <v>138</v>
      </c>
      <c r="BO26" s="145">
        <v>2</v>
      </c>
      <c r="BP26" s="144"/>
      <c r="BQ26" s="142" t="s">
        <v>138</v>
      </c>
      <c r="BR26" s="145">
        <v>2</v>
      </c>
      <c r="BS26" s="144"/>
      <c r="BT26" s="142" t="s">
        <v>138</v>
      </c>
      <c r="BU26" s="145">
        <v>2</v>
      </c>
      <c r="BV26" s="144"/>
      <c r="BW26" s="142" t="s">
        <v>138</v>
      </c>
      <c r="BX26" s="145">
        <v>5</v>
      </c>
      <c r="BY26" s="144"/>
      <c r="BZ26" s="142" t="s">
        <v>138</v>
      </c>
      <c r="CA26" s="145">
        <v>5</v>
      </c>
      <c r="CB26" s="144"/>
      <c r="CC26" s="142" t="s">
        <v>138</v>
      </c>
      <c r="CD26" s="145">
        <v>2</v>
      </c>
      <c r="CE26" s="144"/>
      <c r="CF26" s="142" t="s">
        <v>138</v>
      </c>
      <c r="CG26" s="145">
        <v>2</v>
      </c>
      <c r="CH26" s="144"/>
      <c r="CI26" s="142" t="s">
        <v>138</v>
      </c>
      <c r="CJ26" s="145">
        <v>2</v>
      </c>
      <c r="CK26" s="144"/>
      <c r="CL26" s="142" t="s">
        <v>138</v>
      </c>
      <c r="CM26" s="145">
        <v>5</v>
      </c>
      <c r="CN26" s="144"/>
      <c r="CO26" s="142" t="s">
        <v>138</v>
      </c>
      <c r="CP26" s="145">
        <v>5</v>
      </c>
      <c r="CQ26" s="144"/>
      <c r="CR26" s="142" t="s">
        <v>138</v>
      </c>
      <c r="CS26" s="145">
        <v>2</v>
      </c>
      <c r="CT26" s="144"/>
      <c r="CU26" s="142" t="s">
        <v>138</v>
      </c>
      <c r="CV26" s="145">
        <v>2</v>
      </c>
      <c r="CW26" s="144"/>
      <c r="CX26" s="142" t="s">
        <v>138</v>
      </c>
      <c r="CY26" s="145">
        <v>2</v>
      </c>
      <c r="CZ26" s="144"/>
      <c r="DA26" s="142" t="s">
        <v>138</v>
      </c>
      <c r="DB26" s="145">
        <v>5</v>
      </c>
      <c r="DC26" s="144"/>
      <c r="DD26" s="142" t="s">
        <v>138</v>
      </c>
      <c r="DE26" s="145">
        <v>5</v>
      </c>
      <c r="DF26" s="144"/>
      <c r="DG26" s="142" t="s">
        <v>138</v>
      </c>
      <c r="DH26" s="145">
        <v>2</v>
      </c>
      <c r="DI26" s="144"/>
      <c r="DJ26" s="142" t="s">
        <v>138</v>
      </c>
      <c r="DK26" s="145">
        <v>2</v>
      </c>
      <c r="DL26" s="144"/>
      <c r="DM26" s="142" t="s">
        <v>138</v>
      </c>
      <c r="DN26" s="145">
        <v>2</v>
      </c>
      <c r="DO26" s="144"/>
      <c r="DP26" s="142" t="s">
        <v>138</v>
      </c>
      <c r="DQ26" s="145">
        <v>5</v>
      </c>
      <c r="DR26" s="144"/>
      <c r="DS26" s="142" t="s">
        <v>138</v>
      </c>
      <c r="DT26" s="145">
        <v>5</v>
      </c>
      <c r="DU26" s="144"/>
      <c r="DV26" s="142" t="s">
        <v>138</v>
      </c>
      <c r="DW26" s="145">
        <v>2</v>
      </c>
      <c r="DX26" s="144"/>
      <c r="DY26" s="142" t="s">
        <v>138</v>
      </c>
      <c r="DZ26" s="145">
        <v>2</v>
      </c>
      <c r="EA26" s="144"/>
      <c r="EB26" s="142" t="s">
        <v>138</v>
      </c>
      <c r="EC26" s="145">
        <v>2</v>
      </c>
      <c r="ED26" s="144"/>
    </row>
    <row r="27" spans="1:134" ht="12.75" customHeight="1">
      <c r="A27" s="157" t="s">
        <v>153</v>
      </c>
      <c r="B27" s="158" t="s">
        <v>154</v>
      </c>
      <c r="C27" s="160" t="s">
        <v>138</v>
      </c>
      <c r="D27" s="162">
        <v>5</v>
      </c>
      <c r="E27" s="159"/>
      <c r="F27" s="160" t="s">
        <v>138</v>
      </c>
      <c r="G27" s="162">
        <v>5</v>
      </c>
      <c r="H27" s="159"/>
      <c r="I27" s="160" t="s">
        <v>138</v>
      </c>
      <c r="J27" s="162">
        <v>5</v>
      </c>
      <c r="K27" s="159"/>
      <c r="L27" s="160" t="s">
        <v>138</v>
      </c>
      <c r="M27" s="162">
        <v>5</v>
      </c>
      <c r="N27" s="159"/>
      <c r="O27" s="160" t="s">
        <v>138</v>
      </c>
      <c r="P27" s="162">
        <v>2</v>
      </c>
      <c r="Q27" s="159"/>
      <c r="R27" s="160" t="s">
        <v>138</v>
      </c>
      <c r="S27" s="162">
        <v>2</v>
      </c>
      <c r="T27" s="159"/>
      <c r="U27" s="160" t="s">
        <v>138</v>
      </c>
      <c r="V27" s="162">
        <v>2</v>
      </c>
      <c r="W27" s="159"/>
      <c r="X27" s="160" t="s">
        <v>138</v>
      </c>
      <c r="Y27" s="162">
        <v>5</v>
      </c>
      <c r="Z27" s="159"/>
      <c r="AA27" s="160" t="s">
        <v>138</v>
      </c>
      <c r="AB27" s="162">
        <v>5</v>
      </c>
      <c r="AC27" s="159"/>
      <c r="AD27" s="160" t="s">
        <v>138</v>
      </c>
      <c r="AE27" s="162">
        <v>5</v>
      </c>
      <c r="AF27" s="159"/>
      <c r="AG27" s="160" t="s">
        <v>138</v>
      </c>
      <c r="AH27" s="162">
        <v>5</v>
      </c>
      <c r="AI27" s="159"/>
      <c r="AJ27" s="160" t="s">
        <v>138</v>
      </c>
      <c r="AK27" s="162">
        <v>2</v>
      </c>
      <c r="AL27" s="159"/>
      <c r="AM27" s="160" t="s">
        <v>138</v>
      </c>
      <c r="AN27" s="162">
        <v>2</v>
      </c>
      <c r="AO27" s="159"/>
      <c r="AP27" s="160" t="s">
        <v>138</v>
      </c>
      <c r="AQ27" s="162">
        <v>2</v>
      </c>
      <c r="AR27" s="159"/>
      <c r="AS27" s="160" t="s">
        <v>138</v>
      </c>
      <c r="AT27" s="162">
        <v>5</v>
      </c>
      <c r="AU27" s="159"/>
      <c r="AV27" s="160" t="s">
        <v>138</v>
      </c>
      <c r="AW27" s="162">
        <v>5</v>
      </c>
      <c r="AX27" s="159"/>
      <c r="AY27" s="160" t="s">
        <v>138</v>
      </c>
      <c r="AZ27" s="162">
        <v>2</v>
      </c>
      <c r="BA27" s="159"/>
      <c r="BB27" s="160" t="s">
        <v>138</v>
      </c>
      <c r="BC27" s="162">
        <v>2</v>
      </c>
      <c r="BD27" s="159"/>
      <c r="BE27" s="160" t="s">
        <v>138</v>
      </c>
      <c r="BF27" s="162">
        <v>2</v>
      </c>
      <c r="BG27" s="159"/>
      <c r="BH27" s="160" t="s">
        <v>138</v>
      </c>
      <c r="BI27" s="162">
        <v>5</v>
      </c>
      <c r="BJ27" s="159"/>
      <c r="BK27" s="160" t="s">
        <v>138</v>
      </c>
      <c r="BL27" s="162">
        <v>5</v>
      </c>
      <c r="BM27" s="159"/>
      <c r="BN27" s="160" t="s">
        <v>138</v>
      </c>
      <c r="BO27" s="162">
        <v>2</v>
      </c>
      <c r="BP27" s="159"/>
      <c r="BQ27" s="160" t="s">
        <v>138</v>
      </c>
      <c r="BR27" s="162">
        <v>2</v>
      </c>
      <c r="BS27" s="159"/>
      <c r="BT27" s="160" t="s">
        <v>138</v>
      </c>
      <c r="BU27" s="162">
        <v>2</v>
      </c>
      <c r="BV27" s="159"/>
      <c r="BW27" s="160" t="s">
        <v>138</v>
      </c>
      <c r="BX27" s="162">
        <v>5</v>
      </c>
      <c r="BY27" s="159"/>
      <c r="BZ27" s="160" t="s">
        <v>138</v>
      </c>
      <c r="CA27" s="162">
        <v>5</v>
      </c>
      <c r="CB27" s="159"/>
      <c r="CC27" s="160" t="s">
        <v>138</v>
      </c>
      <c r="CD27" s="162">
        <v>2</v>
      </c>
      <c r="CE27" s="159"/>
      <c r="CF27" s="160" t="s">
        <v>138</v>
      </c>
      <c r="CG27" s="162">
        <v>2</v>
      </c>
      <c r="CH27" s="159"/>
      <c r="CI27" s="160" t="s">
        <v>138</v>
      </c>
      <c r="CJ27" s="162">
        <v>2</v>
      </c>
      <c r="CK27" s="159"/>
      <c r="CL27" s="160" t="s">
        <v>138</v>
      </c>
      <c r="CM27" s="162">
        <v>5</v>
      </c>
      <c r="CN27" s="159"/>
      <c r="CO27" s="160" t="s">
        <v>138</v>
      </c>
      <c r="CP27" s="162">
        <v>5</v>
      </c>
      <c r="CQ27" s="159"/>
      <c r="CR27" s="160" t="s">
        <v>138</v>
      </c>
      <c r="CS27" s="162">
        <v>2</v>
      </c>
      <c r="CT27" s="159"/>
      <c r="CU27" s="160" t="s">
        <v>138</v>
      </c>
      <c r="CV27" s="162">
        <v>2</v>
      </c>
      <c r="CW27" s="159"/>
      <c r="CX27" s="160" t="s">
        <v>138</v>
      </c>
      <c r="CY27" s="162">
        <v>2</v>
      </c>
      <c r="CZ27" s="159"/>
      <c r="DA27" s="160" t="s">
        <v>138</v>
      </c>
      <c r="DB27" s="162">
        <v>5</v>
      </c>
      <c r="DC27" s="159"/>
      <c r="DD27" s="160" t="s">
        <v>138</v>
      </c>
      <c r="DE27" s="162">
        <v>5</v>
      </c>
      <c r="DF27" s="159"/>
      <c r="DG27" s="160" t="s">
        <v>138</v>
      </c>
      <c r="DH27" s="162">
        <v>2</v>
      </c>
      <c r="DI27" s="159"/>
      <c r="DJ27" s="160" t="s">
        <v>138</v>
      </c>
      <c r="DK27" s="162">
        <v>2</v>
      </c>
      <c r="DL27" s="159"/>
      <c r="DM27" s="160" t="s">
        <v>138</v>
      </c>
      <c r="DN27" s="162">
        <v>2</v>
      </c>
      <c r="DO27" s="159"/>
      <c r="DP27" s="160" t="s">
        <v>138</v>
      </c>
      <c r="DQ27" s="162">
        <v>5</v>
      </c>
      <c r="DR27" s="159"/>
      <c r="DS27" s="160" t="s">
        <v>138</v>
      </c>
      <c r="DT27" s="162">
        <v>5</v>
      </c>
      <c r="DU27" s="159"/>
      <c r="DV27" s="160" t="s">
        <v>138</v>
      </c>
      <c r="DW27" s="162">
        <v>2</v>
      </c>
      <c r="DX27" s="159"/>
      <c r="DY27" s="160" t="s">
        <v>138</v>
      </c>
      <c r="DZ27" s="162">
        <v>2</v>
      </c>
      <c r="EA27" s="159"/>
      <c r="EB27" s="160" t="s">
        <v>138</v>
      </c>
      <c r="EC27" s="162">
        <v>2</v>
      </c>
      <c r="ED27" s="159"/>
    </row>
    <row r="28" spans="1:134" ht="12.75" customHeight="1">
      <c r="A28" s="164" t="s">
        <v>155</v>
      </c>
      <c r="B28" s="165"/>
      <c r="C28" s="142"/>
      <c r="D28" s="168"/>
      <c r="E28" s="144"/>
      <c r="F28" s="142"/>
      <c r="G28" s="168"/>
      <c r="H28" s="144"/>
      <c r="I28" s="142"/>
      <c r="J28" s="168"/>
      <c r="K28" s="144"/>
      <c r="L28" s="142"/>
      <c r="M28" s="168"/>
      <c r="N28" s="144"/>
      <c r="O28" s="142"/>
      <c r="P28" s="168"/>
      <c r="Q28" s="144"/>
      <c r="R28" s="142"/>
      <c r="S28" s="168"/>
      <c r="T28" s="144"/>
      <c r="U28" s="142"/>
      <c r="V28" s="168"/>
      <c r="W28" s="144"/>
      <c r="X28" s="142"/>
      <c r="Y28" s="168"/>
      <c r="Z28" s="144"/>
      <c r="AA28" s="142"/>
      <c r="AB28" s="168"/>
      <c r="AC28" s="144"/>
      <c r="AD28" s="142"/>
      <c r="AE28" s="168"/>
      <c r="AF28" s="144"/>
      <c r="AG28" s="142"/>
      <c r="AH28" s="168"/>
      <c r="AI28" s="144"/>
      <c r="AJ28" s="142"/>
      <c r="AK28" s="168"/>
      <c r="AL28" s="144"/>
      <c r="AM28" s="142"/>
      <c r="AN28" s="168"/>
      <c r="AO28" s="144"/>
      <c r="AP28" s="142"/>
      <c r="AQ28" s="168"/>
      <c r="AR28" s="144"/>
      <c r="AS28" s="142"/>
      <c r="AT28" s="168"/>
      <c r="AU28" s="144"/>
      <c r="AV28" s="142"/>
      <c r="AW28" s="168"/>
      <c r="AX28" s="144"/>
      <c r="AY28" s="142"/>
      <c r="AZ28" s="168"/>
      <c r="BA28" s="144"/>
      <c r="BB28" s="142"/>
      <c r="BC28" s="168"/>
      <c r="BD28" s="144"/>
      <c r="BE28" s="142"/>
      <c r="BF28" s="168"/>
      <c r="BG28" s="144"/>
      <c r="BH28" s="142"/>
      <c r="BI28" s="168"/>
      <c r="BJ28" s="144"/>
      <c r="BK28" s="142"/>
      <c r="BL28" s="168"/>
      <c r="BM28" s="144"/>
      <c r="BN28" s="142"/>
      <c r="BO28" s="168"/>
      <c r="BP28" s="144"/>
      <c r="BQ28" s="142"/>
      <c r="BR28" s="168"/>
      <c r="BS28" s="144"/>
      <c r="BT28" s="142"/>
      <c r="BU28" s="168"/>
      <c r="BV28" s="144"/>
      <c r="BW28" s="142"/>
      <c r="BX28" s="168"/>
      <c r="BY28" s="144"/>
      <c r="BZ28" s="142"/>
      <c r="CA28" s="168"/>
      <c r="CB28" s="144"/>
      <c r="CC28" s="142"/>
      <c r="CD28" s="168"/>
      <c r="CE28" s="144"/>
      <c r="CF28" s="142"/>
      <c r="CG28" s="168"/>
      <c r="CH28" s="144"/>
      <c r="CI28" s="142"/>
      <c r="CJ28" s="168"/>
      <c r="CK28" s="144"/>
      <c r="CL28" s="142"/>
      <c r="CM28" s="168"/>
      <c r="CN28" s="144"/>
      <c r="CO28" s="142"/>
      <c r="CP28" s="168"/>
      <c r="CQ28" s="144"/>
      <c r="CR28" s="142"/>
      <c r="CS28" s="168"/>
      <c r="CT28" s="144"/>
      <c r="CU28" s="142"/>
      <c r="CV28" s="168"/>
      <c r="CW28" s="144"/>
      <c r="CX28" s="142"/>
      <c r="CY28" s="168"/>
      <c r="CZ28" s="144"/>
      <c r="DA28" s="142"/>
      <c r="DB28" s="168"/>
      <c r="DC28" s="144"/>
      <c r="DD28" s="142"/>
      <c r="DE28" s="168"/>
      <c r="DF28" s="144"/>
      <c r="DG28" s="142"/>
      <c r="DH28" s="168"/>
      <c r="DI28" s="144"/>
      <c r="DJ28" s="142"/>
      <c r="DK28" s="168"/>
      <c r="DL28" s="144"/>
      <c r="DM28" s="142"/>
      <c r="DN28" s="168"/>
      <c r="DO28" s="144"/>
      <c r="DP28" s="142"/>
      <c r="DQ28" s="168"/>
      <c r="DR28" s="144"/>
      <c r="DS28" s="142"/>
      <c r="DT28" s="168"/>
      <c r="DU28" s="144"/>
      <c r="DV28" s="142"/>
      <c r="DW28" s="168"/>
      <c r="DX28" s="144"/>
      <c r="DY28" s="142"/>
      <c r="DZ28" s="168"/>
      <c r="EA28" s="144"/>
      <c r="EB28" s="142"/>
      <c r="EC28" s="168"/>
      <c r="ED28" s="144"/>
    </row>
    <row r="29" spans="1:134" ht="12.75" customHeight="1">
      <c r="A29" s="149" t="s">
        <v>156</v>
      </c>
      <c r="B29" s="150" t="s">
        <v>157</v>
      </c>
      <c r="C29" s="171"/>
      <c r="D29" s="169" t="s">
        <v>158</v>
      </c>
      <c r="E29" s="144"/>
      <c r="F29" s="171"/>
      <c r="G29" s="169" t="s">
        <v>158</v>
      </c>
      <c r="H29" s="144"/>
      <c r="I29" s="171"/>
      <c r="J29" s="169" t="s">
        <v>158</v>
      </c>
      <c r="K29" s="144"/>
      <c r="L29" s="171"/>
      <c r="M29" s="169" t="s">
        <v>158</v>
      </c>
      <c r="N29" s="144"/>
      <c r="O29" s="171"/>
      <c r="P29" s="169" t="s">
        <v>158</v>
      </c>
      <c r="Q29" s="144"/>
      <c r="R29" s="171"/>
      <c r="S29" s="169" t="s">
        <v>158</v>
      </c>
      <c r="T29" s="144"/>
      <c r="U29" s="171"/>
      <c r="V29" s="169" t="s">
        <v>158</v>
      </c>
      <c r="W29" s="144"/>
      <c r="X29" s="171"/>
      <c r="Y29" s="169" t="s">
        <v>158</v>
      </c>
      <c r="Z29" s="144"/>
      <c r="AA29" s="171"/>
      <c r="AB29" s="169" t="s">
        <v>158</v>
      </c>
      <c r="AC29" s="144"/>
      <c r="AD29" s="171"/>
      <c r="AE29" s="169" t="s">
        <v>158</v>
      </c>
      <c r="AF29" s="144"/>
      <c r="AG29" s="171"/>
      <c r="AH29" s="169" t="s">
        <v>158</v>
      </c>
      <c r="AI29" s="144"/>
      <c r="AJ29" s="171"/>
      <c r="AK29" s="169" t="s">
        <v>158</v>
      </c>
      <c r="AL29" s="144"/>
      <c r="AM29" s="171"/>
      <c r="AN29" s="169" t="s">
        <v>158</v>
      </c>
      <c r="AO29" s="144"/>
      <c r="AP29" s="171"/>
      <c r="AQ29" s="169" t="s">
        <v>158</v>
      </c>
      <c r="AR29" s="144"/>
      <c r="AS29" s="171"/>
      <c r="AT29" s="169" t="s">
        <v>158</v>
      </c>
      <c r="AU29" s="144"/>
      <c r="AV29" s="171"/>
      <c r="AW29" s="169" t="s">
        <v>158</v>
      </c>
      <c r="AX29" s="144"/>
      <c r="AY29" s="171"/>
      <c r="AZ29" s="169" t="s">
        <v>158</v>
      </c>
      <c r="BA29" s="144"/>
      <c r="BB29" s="171"/>
      <c r="BC29" s="169" t="s">
        <v>158</v>
      </c>
      <c r="BD29" s="144"/>
      <c r="BE29" s="171"/>
      <c r="BF29" s="169" t="s">
        <v>158</v>
      </c>
      <c r="BG29" s="144"/>
      <c r="BH29" s="171"/>
      <c r="BI29" s="169" t="s">
        <v>158</v>
      </c>
      <c r="BJ29" s="144"/>
      <c r="BK29" s="171"/>
      <c r="BL29" s="169" t="s">
        <v>158</v>
      </c>
      <c r="BM29" s="144"/>
      <c r="BN29" s="171"/>
      <c r="BO29" s="169" t="s">
        <v>158</v>
      </c>
      <c r="BP29" s="144"/>
      <c r="BQ29" s="171"/>
      <c r="BR29" s="169" t="s">
        <v>158</v>
      </c>
      <c r="BS29" s="144"/>
      <c r="BT29" s="171"/>
      <c r="BU29" s="169" t="s">
        <v>158</v>
      </c>
      <c r="BV29" s="144"/>
      <c r="BW29" s="171"/>
      <c r="BX29" s="169" t="s">
        <v>158</v>
      </c>
      <c r="BY29" s="144"/>
      <c r="BZ29" s="171"/>
      <c r="CA29" s="169" t="s">
        <v>158</v>
      </c>
      <c r="CB29" s="144"/>
      <c r="CC29" s="171"/>
      <c r="CD29" s="169" t="s">
        <v>158</v>
      </c>
      <c r="CE29" s="144"/>
      <c r="CF29" s="171"/>
      <c r="CG29" s="169" t="s">
        <v>158</v>
      </c>
      <c r="CH29" s="144"/>
      <c r="CI29" s="171"/>
      <c r="CJ29" s="169" t="s">
        <v>158</v>
      </c>
      <c r="CK29" s="144"/>
      <c r="CL29" s="171"/>
      <c r="CM29" s="169" t="s">
        <v>158</v>
      </c>
      <c r="CN29" s="144"/>
      <c r="CO29" s="171"/>
      <c r="CP29" s="169" t="s">
        <v>158</v>
      </c>
      <c r="CQ29" s="144"/>
      <c r="CR29" s="171"/>
      <c r="CS29" s="169" t="s">
        <v>158</v>
      </c>
      <c r="CT29" s="144"/>
      <c r="CU29" s="171"/>
      <c r="CV29" s="169" t="s">
        <v>158</v>
      </c>
      <c r="CW29" s="144"/>
      <c r="CX29" s="171"/>
      <c r="CY29" s="169" t="s">
        <v>158</v>
      </c>
      <c r="CZ29" s="144"/>
      <c r="DA29" s="171"/>
      <c r="DB29" s="169" t="s">
        <v>158</v>
      </c>
      <c r="DC29" s="144"/>
      <c r="DD29" s="171"/>
      <c r="DE29" s="169" t="s">
        <v>158</v>
      </c>
      <c r="DF29" s="144"/>
      <c r="DG29" s="171"/>
      <c r="DH29" s="169" t="s">
        <v>158</v>
      </c>
      <c r="DI29" s="144"/>
      <c r="DJ29" s="171"/>
      <c r="DK29" s="169" t="s">
        <v>158</v>
      </c>
      <c r="DL29" s="144"/>
      <c r="DM29" s="171"/>
      <c r="DN29" s="169" t="s">
        <v>158</v>
      </c>
      <c r="DO29" s="144"/>
      <c r="DP29" s="171"/>
      <c r="DQ29" s="169" t="s">
        <v>158</v>
      </c>
      <c r="DR29" s="144"/>
      <c r="DS29" s="171"/>
      <c r="DT29" s="169" t="s">
        <v>158</v>
      </c>
      <c r="DU29" s="144"/>
      <c r="DV29" s="171"/>
      <c r="DW29" s="169" t="s">
        <v>158</v>
      </c>
      <c r="DX29" s="144"/>
      <c r="DY29" s="171"/>
      <c r="DZ29" s="169" t="s">
        <v>158</v>
      </c>
      <c r="EA29" s="144"/>
      <c r="EB29" s="171"/>
      <c r="EC29" s="169" t="s">
        <v>158</v>
      </c>
      <c r="ED29" s="144"/>
    </row>
    <row r="30" spans="1:134" ht="12.75" customHeight="1">
      <c r="A30" s="149" t="s">
        <v>159</v>
      </c>
      <c r="B30" s="150" t="s">
        <v>160</v>
      </c>
      <c r="C30" s="171"/>
      <c r="D30" s="169" t="s">
        <v>158</v>
      </c>
      <c r="E30" s="144"/>
      <c r="F30" s="171"/>
      <c r="G30" s="169" t="s">
        <v>158</v>
      </c>
      <c r="H30" s="144"/>
      <c r="I30" s="171"/>
      <c r="J30" s="169" t="s">
        <v>158</v>
      </c>
      <c r="K30" s="144"/>
      <c r="L30" s="171"/>
      <c r="M30" s="169" t="s">
        <v>158</v>
      </c>
      <c r="N30" s="144"/>
      <c r="O30" s="171"/>
      <c r="P30" s="169" t="s">
        <v>158</v>
      </c>
      <c r="Q30" s="144"/>
      <c r="R30" s="171"/>
      <c r="S30" s="169" t="s">
        <v>158</v>
      </c>
      <c r="T30" s="144"/>
      <c r="U30" s="171"/>
      <c r="V30" s="169" t="s">
        <v>158</v>
      </c>
      <c r="W30" s="144"/>
      <c r="X30" s="171"/>
      <c r="Y30" s="169" t="s">
        <v>158</v>
      </c>
      <c r="Z30" s="144"/>
      <c r="AA30" s="171"/>
      <c r="AB30" s="169" t="s">
        <v>158</v>
      </c>
      <c r="AC30" s="144"/>
      <c r="AD30" s="171"/>
      <c r="AE30" s="169" t="s">
        <v>158</v>
      </c>
      <c r="AF30" s="144"/>
      <c r="AG30" s="171"/>
      <c r="AH30" s="169" t="s">
        <v>158</v>
      </c>
      <c r="AI30" s="144"/>
      <c r="AJ30" s="171"/>
      <c r="AK30" s="169" t="s">
        <v>158</v>
      </c>
      <c r="AL30" s="144"/>
      <c r="AM30" s="171"/>
      <c r="AN30" s="169" t="s">
        <v>158</v>
      </c>
      <c r="AO30" s="144"/>
      <c r="AP30" s="171"/>
      <c r="AQ30" s="169" t="s">
        <v>158</v>
      </c>
      <c r="AR30" s="144"/>
      <c r="AS30" s="171"/>
      <c r="AT30" s="169" t="s">
        <v>158</v>
      </c>
      <c r="AU30" s="144"/>
      <c r="AV30" s="171"/>
      <c r="AW30" s="169" t="s">
        <v>158</v>
      </c>
      <c r="AX30" s="144"/>
      <c r="AY30" s="171"/>
      <c r="AZ30" s="169" t="s">
        <v>158</v>
      </c>
      <c r="BA30" s="144"/>
      <c r="BB30" s="171"/>
      <c r="BC30" s="169" t="s">
        <v>158</v>
      </c>
      <c r="BD30" s="144"/>
      <c r="BE30" s="171"/>
      <c r="BF30" s="169" t="s">
        <v>158</v>
      </c>
      <c r="BG30" s="144"/>
      <c r="BH30" s="171"/>
      <c r="BI30" s="169" t="s">
        <v>158</v>
      </c>
      <c r="BJ30" s="144"/>
      <c r="BK30" s="171"/>
      <c r="BL30" s="169" t="s">
        <v>158</v>
      </c>
      <c r="BM30" s="144"/>
      <c r="BN30" s="171"/>
      <c r="BO30" s="169" t="s">
        <v>158</v>
      </c>
      <c r="BP30" s="144"/>
      <c r="BQ30" s="171"/>
      <c r="BR30" s="169" t="s">
        <v>158</v>
      </c>
      <c r="BS30" s="144"/>
      <c r="BT30" s="171"/>
      <c r="BU30" s="169" t="s">
        <v>158</v>
      </c>
      <c r="BV30" s="144"/>
      <c r="BW30" s="171"/>
      <c r="BX30" s="169" t="s">
        <v>158</v>
      </c>
      <c r="BY30" s="144"/>
      <c r="BZ30" s="171"/>
      <c r="CA30" s="169" t="s">
        <v>158</v>
      </c>
      <c r="CB30" s="144"/>
      <c r="CC30" s="171"/>
      <c r="CD30" s="169" t="s">
        <v>158</v>
      </c>
      <c r="CE30" s="144"/>
      <c r="CF30" s="171"/>
      <c r="CG30" s="169" t="s">
        <v>158</v>
      </c>
      <c r="CH30" s="144"/>
      <c r="CI30" s="171"/>
      <c r="CJ30" s="169" t="s">
        <v>158</v>
      </c>
      <c r="CK30" s="144"/>
      <c r="CL30" s="171"/>
      <c r="CM30" s="169" t="s">
        <v>158</v>
      </c>
      <c r="CN30" s="144"/>
      <c r="CO30" s="171"/>
      <c r="CP30" s="169" t="s">
        <v>158</v>
      </c>
      <c r="CQ30" s="144"/>
      <c r="CR30" s="171"/>
      <c r="CS30" s="169" t="s">
        <v>158</v>
      </c>
      <c r="CT30" s="144"/>
      <c r="CU30" s="171"/>
      <c r="CV30" s="169" t="s">
        <v>158</v>
      </c>
      <c r="CW30" s="144"/>
      <c r="CX30" s="171"/>
      <c r="CY30" s="169" t="s">
        <v>158</v>
      </c>
      <c r="CZ30" s="144"/>
      <c r="DA30" s="171"/>
      <c r="DB30" s="169" t="s">
        <v>158</v>
      </c>
      <c r="DC30" s="144"/>
      <c r="DD30" s="171"/>
      <c r="DE30" s="169" t="s">
        <v>158</v>
      </c>
      <c r="DF30" s="144"/>
      <c r="DG30" s="171"/>
      <c r="DH30" s="169" t="s">
        <v>158</v>
      </c>
      <c r="DI30" s="144"/>
      <c r="DJ30" s="171"/>
      <c r="DK30" s="169" t="s">
        <v>158</v>
      </c>
      <c r="DL30" s="144"/>
      <c r="DM30" s="171"/>
      <c r="DN30" s="169" t="s">
        <v>158</v>
      </c>
      <c r="DO30" s="144"/>
      <c r="DP30" s="171"/>
      <c r="DQ30" s="169" t="s">
        <v>158</v>
      </c>
      <c r="DR30" s="144"/>
      <c r="DS30" s="171"/>
      <c r="DT30" s="169" t="s">
        <v>158</v>
      </c>
      <c r="DU30" s="144"/>
      <c r="DV30" s="171"/>
      <c r="DW30" s="169" t="s">
        <v>158</v>
      </c>
      <c r="DX30" s="144"/>
      <c r="DY30" s="171"/>
      <c r="DZ30" s="169" t="s">
        <v>158</v>
      </c>
      <c r="EA30" s="144"/>
      <c r="EB30" s="171"/>
      <c r="EC30" s="169" t="s">
        <v>158</v>
      </c>
      <c r="ED30" s="144"/>
    </row>
    <row r="31" spans="1:134" ht="12.75" customHeight="1">
      <c r="A31" s="149" t="s">
        <v>161</v>
      </c>
      <c r="B31" s="150" t="s">
        <v>160</v>
      </c>
      <c r="C31" s="171"/>
      <c r="D31" s="169" t="s">
        <v>158</v>
      </c>
      <c r="E31" s="144"/>
      <c r="F31" s="171"/>
      <c r="G31" s="169" t="s">
        <v>158</v>
      </c>
      <c r="H31" s="144"/>
      <c r="I31" s="171"/>
      <c r="J31" s="169" t="s">
        <v>158</v>
      </c>
      <c r="K31" s="144"/>
      <c r="L31" s="171"/>
      <c r="M31" s="169" t="s">
        <v>158</v>
      </c>
      <c r="N31" s="144"/>
      <c r="O31" s="171"/>
      <c r="P31" s="169" t="s">
        <v>158</v>
      </c>
      <c r="Q31" s="144"/>
      <c r="R31" s="171"/>
      <c r="S31" s="169" t="s">
        <v>158</v>
      </c>
      <c r="T31" s="144"/>
      <c r="U31" s="171"/>
      <c r="V31" s="169" t="s">
        <v>158</v>
      </c>
      <c r="W31" s="144"/>
      <c r="X31" s="171"/>
      <c r="Y31" s="169" t="s">
        <v>158</v>
      </c>
      <c r="Z31" s="144"/>
      <c r="AA31" s="171"/>
      <c r="AB31" s="169" t="s">
        <v>158</v>
      </c>
      <c r="AC31" s="144"/>
      <c r="AD31" s="171"/>
      <c r="AE31" s="169" t="s">
        <v>158</v>
      </c>
      <c r="AF31" s="144"/>
      <c r="AG31" s="171"/>
      <c r="AH31" s="169" t="s">
        <v>158</v>
      </c>
      <c r="AI31" s="144"/>
      <c r="AJ31" s="171"/>
      <c r="AK31" s="169" t="s">
        <v>158</v>
      </c>
      <c r="AL31" s="144"/>
      <c r="AM31" s="171"/>
      <c r="AN31" s="169" t="s">
        <v>158</v>
      </c>
      <c r="AO31" s="144"/>
      <c r="AP31" s="171"/>
      <c r="AQ31" s="169" t="s">
        <v>158</v>
      </c>
      <c r="AR31" s="144"/>
      <c r="AS31" s="171"/>
      <c r="AT31" s="169" t="s">
        <v>158</v>
      </c>
      <c r="AU31" s="144"/>
      <c r="AV31" s="171"/>
      <c r="AW31" s="169" t="s">
        <v>158</v>
      </c>
      <c r="AX31" s="144"/>
      <c r="AY31" s="171"/>
      <c r="AZ31" s="169" t="s">
        <v>158</v>
      </c>
      <c r="BA31" s="144"/>
      <c r="BB31" s="171"/>
      <c r="BC31" s="169" t="s">
        <v>158</v>
      </c>
      <c r="BD31" s="144"/>
      <c r="BE31" s="171"/>
      <c r="BF31" s="169" t="s">
        <v>158</v>
      </c>
      <c r="BG31" s="144"/>
      <c r="BH31" s="171"/>
      <c r="BI31" s="169" t="s">
        <v>158</v>
      </c>
      <c r="BJ31" s="144"/>
      <c r="BK31" s="171"/>
      <c r="BL31" s="169" t="s">
        <v>158</v>
      </c>
      <c r="BM31" s="144"/>
      <c r="BN31" s="171"/>
      <c r="BO31" s="169" t="s">
        <v>158</v>
      </c>
      <c r="BP31" s="144"/>
      <c r="BQ31" s="171"/>
      <c r="BR31" s="169" t="s">
        <v>158</v>
      </c>
      <c r="BS31" s="144"/>
      <c r="BT31" s="171"/>
      <c r="BU31" s="169" t="s">
        <v>158</v>
      </c>
      <c r="BV31" s="144"/>
      <c r="BW31" s="171"/>
      <c r="BX31" s="169" t="s">
        <v>158</v>
      </c>
      <c r="BY31" s="144"/>
      <c r="BZ31" s="171"/>
      <c r="CA31" s="169" t="s">
        <v>158</v>
      </c>
      <c r="CB31" s="144"/>
      <c r="CC31" s="171"/>
      <c r="CD31" s="169" t="s">
        <v>158</v>
      </c>
      <c r="CE31" s="144"/>
      <c r="CF31" s="171"/>
      <c r="CG31" s="169" t="s">
        <v>158</v>
      </c>
      <c r="CH31" s="144"/>
      <c r="CI31" s="171"/>
      <c r="CJ31" s="169" t="s">
        <v>158</v>
      </c>
      <c r="CK31" s="144"/>
      <c r="CL31" s="171"/>
      <c r="CM31" s="169" t="s">
        <v>158</v>
      </c>
      <c r="CN31" s="144"/>
      <c r="CO31" s="171"/>
      <c r="CP31" s="169" t="s">
        <v>158</v>
      </c>
      <c r="CQ31" s="144"/>
      <c r="CR31" s="171"/>
      <c r="CS31" s="169" t="s">
        <v>158</v>
      </c>
      <c r="CT31" s="144"/>
      <c r="CU31" s="171"/>
      <c r="CV31" s="169" t="s">
        <v>158</v>
      </c>
      <c r="CW31" s="144"/>
      <c r="CX31" s="171"/>
      <c r="CY31" s="169" t="s">
        <v>158</v>
      </c>
      <c r="CZ31" s="144"/>
      <c r="DA31" s="171"/>
      <c r="DB31" s="169" t="s">
        <v>158</v>
      </c>
      <c r="DC31" s="144"/>
      <c r="DD31" s="171"/>
      <c r="DE31" s="169" t="s">
        <v>158</v>
      </c>
      <c r="DF31" s="144"/>
      <c r="DG31" s="171"/>
      <c r="DH31" s="169" t="s">
        <v>158</v>
      </c>
      <c r="DI31" s="144"/>
      <c r="DJ31" s="171"/>
      <c r="DK31" s="169" t="s">
        <v>158</v>
      </c>
      <c r="DL31" s="144"/>
      <c r="DM31" s="171"/>
      <c r="DN31" s="169" t="s">
        <v>158</v>
      </c>
      <c r="DO31" s="144"/>
      <c r="DP31" s="171"/>
      <c r="DQ31" s="169" t="s">
        <v>158</v>
      </c>
      <c r="DR31" s="144"/>
      <c r="DS31" s="171"/>
      <c r="DT31" s="169" t="s">
        <v>158</v>
      </c>
      <c r="DU31" s="144"/>
      <c r="DV31" s="171"/>
      <c r="DW31" s="169" t="s">
        <v>158</v>
      </c>
      <c r="DX31" s="144"/>
      <c r="DY31" s="171"/>
      <c r="DZ31" s="169" t="s">
        <v>158</v>
      </c>
      <c r="EA31" s="144"/>
      <c r="EB31" s="171"/>
      <c r="EC31" s="169" t="s">
        <v>158</v>
      </c>
      <c r="ED31" s="144"/>
    </row>
    <row r="32" spans="1:134" ht="12.75" customHeight="1">
      <c r="A32" s="149" t="s">
        <v>162</v>
      </c>
      <c r="B32" s="150" t="s">
        <v>160</v>
      </c>
      <c r="C32" s="171"/>
      <c r="D32" s="169" t="s">
        <v>158</v>
      </c>
      <c r="E32" s="144"/>
      <c r="F32" s="171"/>
      <c r="G32" s="169" t="s">
        <v>158</v>
      </c>
      <c r="H32" s="144"/>
      <c r="I32" s="171"/>
      <c r="J32" s="169" t="s">
        <v>158</v>
      </c>
      <c r="K32" s="144"/>
      <c r="L32" s="171"/>
      <c r="M32" s="169" t="s">
        <v>158</v>
      </c>
      <c r="N32" s="144"/>
      <c r="O32" s="171"/>
      <c r="P32" s="169" t="s">
        <v>158</v>
      </c>
      <c r="Q32" s="144"/>
      <c r="R32" s="171"/>
      <c r="S32" s="169" t="s">
        <v>158</v>
      </c>
      <c r="T32" s="144"/>
      <c r="U32" s="171"/>
      <c r="V32" s="169" t="s">
        <v>158</v>
      </c>
      <c r="W32" s="144"/>
      <c r="X32" s="171"/>
      <c r="Y32" s="169" t="s">
        <v>158</v>
      </c>
      <c r="Z32" s="144"/>
      <c r="AA32" s="171"/>
      <c r="AB32" s="169" t="s">
        <v>158</v>
      </c>
      <c r="AC32" s="144"/>
      <c r="AD32" s="171"/>
      <c r="AE32" s="169" t="s">
        <v>158</v>
      </c>
      <c r="AF32" s="144"/>
      <c r="AG32" s="171"/>
      <c r="AH32" s="169" t="s">
        <v>158</v>
      </c>
      <c r="AI32" s="144"/>
      <c r="AJ32" s="171"/>
      <c r="AK32" s="169" t="s">
        <v>158</v>
      </c>
      <c r="AL32" s="144"/>
      <c r="AM32" s="171"/>
      <c r="AN32" s="169" t="s">
        <v>158</v>
      </c>
      <c r="AO32" s="144"/>
      <c r="AP32" s="171"/>
      <c r="AQ32" s="169" t="s">
        <v>158</v>
      </c>
      <c r="AR32" s="144"/>
      <c r="AS32" s="171"/>
      <c r="AT32" s="169" t="s">
        <v>158</v>
      </c>
      <c r="AU32" s="144"/>
      <c r="AV32" s="171"/>
      <c r="AW32" s="169" t="s">
        <v>158</v>
      </c>
      <c r="AX32" s="144"/>
      <c r="AY32" s="171"/>
      <c r="AZ32" s="169" t="s">
        <v>158</v>
      </c>
      <c r="BA32" s="144"/>
      <c r="BB32" s="171"/>
      <c r="BC32" s="169" t="s">
        <v>158</v>
      </c>
      <c r="BD32" s="144"/>
      <c r="BE32" s="171"/>
      <c r="BF32" s="169" t="s">
        <v>158</v>
      </c>
      <c r="BG32" s="144"/>
      <c r="BH32" s="171"/>
      <c r="BI32" s="169" t="s">
        <v>158</v>
      </c>
      <c r="BJ32" s="144"/>
      <c r="BK32" s="171"/>
      <c r="BL32" s="169" t="s">
        <v>158</v>
      </c>
      <c r="BM32" s="144"/>
      <c r="BN32" s="171"/>
      <c r="BO32" s="169" t="s">
        <v>158</v>
      </c>
      <c r="BP32" s="144"/>
      <c r="BQ32" s="171"/>
      <c r="BR32" s="169" t="s">
        <v>158</v>
      </c>
      <c r="BS32" s="144"/>
      <c r="BT32" s="171"/>
      <c r="BU32" s="169" t="s">
        <v>158</v>
      </c>
      <c r="BV32" s="144"/>
      <c r="BW32" s="171"/>
      <c r="BX32" s="169" t="s">
        <v>158</v>
      </c>
      <c r="BY32" s="144"/>
      <c r="BZ32" s="171"/>
      <c r="CA32" s="169" t="s">
        <v>158</v>
      </c>
      <c r="CB32" s="144"/>
      <c r="CC32" s="171"/>
      <c r="CD32" s="169" t="s">
        <v>158</v>
      </c>
      <c r="CE32" s="144"/>
      <c r="CF32" s="171"/>
      <c r="CG32" s="169" t="s">
        <v>158</v>
      </c>
      <c r="CH32" s="144"/>
      <c r="CI32" s="171"/>
      <c r="CJ32" s="169" t="s">
        <v>158</v>
      </c>
      <c r="CK32" s="144"/>
      <c r="CL32" s="171"/>
      <c r="CM32" s="169" t="s">
        <v>158</v>
      </c>
      <c r="CN32" s="144"/>
      <c r="CO32" s="171"/>
      <c r="CP32" s="169" t="s">
        <v>158</v>
      </c>
      <c r="CQ32" s="144"/>
      <c r="CR32" s="171"/>
      <c r="CS32" s="169" t="s">
        <v>158</v>
      </c>
      <c r="CT32" s="144"/>
      <c r="CU32" s="171"/>
      <c r="CV32" s="169" t="s">
        <v>158</v>
      </c>
      <c r="CW32" s="144"/>
      <c r="CX32" s="171"/>
      <c r="CY32" s="169" t="s">
        <v>158</v>
      </c>
      <c r="CZ32" s="144"/>
      <c r="DA32" s="171"/>
      <c r="DB32" s="169" t="s">
        <v>158</v>
      </c>
      <c r="DC32" s="144"/>
      <c r="DD32" s="171"/>
      <c r="DE32" s="169" t="s">
        <v>158</v>
      </c>
      <c r="DF32" s="144"/>
      <c r="DG32" s="171"/>
      <c r="DH32" s="169" t="s">
        <v>158</v>
      </c>
      <c r="DI32" s="144"/>
      <c r="DJ32" s="171"/>
      <c r="DK32" s="169" t="s">
        <v>158</v>
      </c>
      <c r="DL32" s="144"/>
      <c r="DM32" s="171"/>
      <c r="DN32" s="169" t="s">
        <v>158</v>
      </c>
      <c r="DO32" s="144"/>
      <c r="DP32" s="171"/>
      <c r="DQ32" s="169" t="s">
        <v>158</v>
      </c>
      <c r="DR32" s="144"/>
      <c r="DS32" s="171"/>
      <c r="DT32" s="169" t="s">
        <v>158</v>
      </c>
      <c r="DU32" s="144"/>
      <c r="DV32" s="171"/>
      <c r="DW32" s="169" t="s">
        <v>158</v>
      </c>
      <c r="DX32" s="144"/>
      <c r="DY32" s="171"/>
      <c r="DZ32" s="169" t="s">
        <v>158</v>
      </c>
      <c r="EA32" s="144"/>
      <c r="EB32" s="171"/>
      <c r="EC32" s="169" t="s">
        <v>158</v>
      </c>
      <c r="ED32" s="144"/>
    </row>
    <row r="33" spans="1:136" ht="12.75" customHeight="1">
      <c r="A33" s="149" t="s">
        <v>163</v>
      </c>
      <c r="B33" s="150" t="s">
        <v>160</v>
      </c>
      <c r="C33" s="171"/>
      <c r="D33" s="169" t="s">
        <v>158</v>
      </c>
      <c r="E33" s="144"/>
      <c r="F33" s="171"/>
      <c r="G33" s="169" t="s">
        <v>158</v>
      </c>
      <c r="H33" s="144"/>
      <c r="I33" s="171"/>
      <c r="J33" s="169" t="s">
        <v>158</v>
      </c>
      <c r="K33" s="144"/>
      <c r="L33" s="171"/>
      <c r="M33" s="169" t="s">
        <v>158</v>
      </c>
      <c r="N33" s="144"/>
      <c r="O33" s="171"/>
      <c r="P33" s="169" t="s">
        <v>158</v>
      </c>
      <c r="Q33" s="144"/>
      <c r="R33" s="171"/>
      <c r="S33" s="169" t="s">
        <v>158</v>
      </c>
      <c r="T33" s="144"/>
      <c r="U33" s="171"/>
      <c r="V33" s="169" t="s">
        <v>158</v>
      </c>
      <c r="W33" s="144"/>
      <c r="X33" s="171"/>
      <c r="Y33" s="169" t="s">
        <v>158</v>
      </c>
      <c r="Z33" s="144"/>
      <c r="AA33" s="171"/>
      <c r="AB33" s="169" t="s">
        <v>158</v>
      </c>
      <c r="AC33" s="144"/>
      <c r="AD33" s="171"/>
      <c r="AE33" s="169" t="s">
        <v>158</v>
      </c>
      <c r="AF33" s="144"/>
      <c r="AG33" s="171"/>
      <c r="AH33" s="169" t="s">
        <v>158</v>
      </c>
      <c r="AI33" s="144"/>
      <c r="AJ33" s="171"/>
      <c r="AK33" s="169" t="s">
        <v>158</v>
      </c>
      <c r="AL33" s="144"/>
      <c r="AM33" s="171"/>
      <c r="AN33" s="169" t="s">
        <v>158</v>
      </c>
      <c r="AO33" s="144"/>
      <c r="AP33" s="171"/>
      <c r="AQ33" s="169" t="s">
        <v>158</v>
      </c>
      <c r="AR33" s="144"/>
      <c r="AS33" s="171"/>
      <c r="AT33" s="169" t="s">
        <v>158</v>
      </c>
      <c r="AU33" s="144"/>
      <c r="AV33" s="171"/>
      <c r="AW33" s="169" t="s">
        <v>158</v>
      </c>
      <c r="AX33" s="144"/>
      <c r="AY33" s="171"/>
      <c r="AZ33" s="169" t="s">
        <v>158</v>
      </c>
      <c r="BA33" s="144"/>
      <c r="BB33" s="171"/>
      <c r="BC33" s="169" t="s">
        <v>158</v>
      </c>
      <c r="BD33" s="144"/>
      <c r="BE33" s="171"/>
      <c r="BF33" s="169" t="s">
        <v>158</v>
      </c>
      <c r="BG33" s="144"/>
      <c r="BH33" s="171"/>
      <c r="BI33" s="169" t="s">
        <v>158</v>
      </c>
      <c r="BJ33" s="144"/>
      <c r="BK33" s="171"/>
      <c r="BL33" s="169" t="s">
        <v>158</v>
      </c>
      <c r="BM33" s="144"/>
      <c r="BN33" s="171"/>
      <c r="BO33" s="169" t="s">
        <v>158</v>
      </c>
      <c r="BP33" s="144"/>
      <c r="BQ33" s="171"/>
      <c r="BR33" s="169" t="s">
        <v>158</v>
      </c>
      <c r="BS33" s="144"/>
      <c r="BT33" s="171"/>
      <c r="BU33" s="169" t="s">
        <v>158</v>
      </c>
      <c r="BV33" s="144"/>
      <c r="BW33" s="171"/>
      <c r="BX33" s="169" t="s">
        <v>158</v>
      </c>
      <c r="BY33" s="144"/>
      <c r="BZ33" s="171"/>
      <c r="CA33" s="169" t="s">
        <v>158</v>
      </c>
      <c r="CB33" s="144"/>
      <c r="CC33" s="171"/>
      <c r="CD33" s="169" t="s">
        <v>158</v>
      </c>
      <c r="CE33" s="144"/>
      <c r="CF33" s="171"/>
      <c r="CG33" s="169" t="s">
        <v>158</v>
      </c>
      <c r="CH33" s="144"/>
      <c r="CI33" s="171"/>
      <c r="CJ33" s="169" t="s">
        <v>158</v>
      </c>
      <c r="CK33" s="144"/>
      <c r="CL33" s="171"/>
      <c r="CM33" s="169" t="s">
        <v>158</v>
      </c>
      <c r="CN33" s="144"/>
      <c r="CO33" s="171"/>
      <c r="CP33" s="169" t="s">
        <v>158</v>
      </c>
      <c r="CQ33" s="144"/>
      <c r="CR33" s="171"/>
      <c r="CS33" s="169" t="s">
        <v>158</v>
      </c>
      <c r="CT33" s="144"/>
      <c r="CU33" s="171"/>
      <c r="CV33" s="169" t="s">
        <v>158</v>
      </c>
      <c r="CW33" s="144"/>
      <c r="CX33" s="171"/>
      <c r="CY33" s="169" t="s">
        <v>158</v>
      </c>
      <c r="CZ33" s="144"/>
      <c r="DA33" s="171"/>
      <c r="DB33" s="169" t="s">
        <v>158</v>
      </c>
      <c r="DC33" s="144"/>
      <c r="DD33" s="171"/>
      <c r="DE33" s="169" t="s">
        <v>158</v>
      </c>
      <c r="DF33" s="144"/>
      <c r="DG33" s="171"/>
      <c r="DH33" s="169" t="s">
        <v>158</v>
      </c>
      <c r="DI33" s="144"/>
      <c r="DJ33" s="171"/>
      <c r="DK33" s="169" t="s">
        <v>158</v>
      </c>
      <c r="DL33" s="144"/>
      <c r="DM33" s="171"/>
      <c r="DN33" s="169" t="s">
        <v>158</v>
      </c>
      <c r="DO33" s="144"/>
      <c r="DP33" s="171"/>
      <c r="DQ33" s="169" t="s">
        <v>158</v>
      </c>
      <c r="DR33" s="144"/>
      <c r="DS33" s="171"/>
      <c r="DT33" s="169" t="s">
        <v>158</v>
      </c>
      <c r="DU33" s="144"/>
      <c r="DV33" s="171"/>
      <c r="DW33" s="169" t="s">
        <v>158</v>
      </c>
      <c r="DX33" s="144"/>
      <c r="DY33" s="171"/>
      <c r="DZ33" s="169" t="s">
        <v>158</v>
      </c>
      <c r="EA33" s="144"/>
      <c r="EB33" s="171"/>
      <c r="EC33" s="169" t="s">
        <v>158</v>
      </c>
      <c r="ED33" s="144"/>
    </row>
    <row r="34" spans="1:136" ht="12.75" customHeight="1">
      <c r="A34" s="149" t="s">
        <v>164</v>
      </c>
      <c r="B34" s="150" t="s">
        <v>160</v>
      </c>
      <c r="C34" s="171"/>
      <c r="D34" s="169" t="s">
        <v>158</v>
      </c>
      <c r="E34" s="144"/>
      <c r="F34" s="171"/>
      <c r="G34" s="169" t="s">
        <v>158</v>
      </c>
      <c r="H34" s="144"/>
      <c r="I34" s="171"/>
      <c r="J34" s="169" t="s">
        <v>158</v>
      </c>
      <c r="K34" s="144"/>
      <c r="L34" s="171"/>
      <c r="M34" s="169" t="s">
        <v>158</v>
      </c>
      <c r="N34" s="144"/>
      <c r="O34" s="171"/>
      <c r="P34" s="169" t="s">
        <v>158</v>
      </c>
      <c r="Q34" s="144"/>
      <c r="R34" s="171"/>
      <c r="S34" s="169" t="s">
        <v>158</v>
      </c>
      <c r="T34" s="144"/>
      <c r="U34" s="171"/>
      <c r="V34" s="169" t="s">
        <v>158</v>
      </c>
      <c r="W34" s="144"/>
      <c r="X34" s="171"/>
      <c r="Y34" s="169" t="s">
        <v>158</v>
      </c>
      <c r="Z34" s="144"/>
      <c r="AA34" s="171"/>
      <c r="AB34" s="169" t="s">
        <v>158</v>
      </c>
      <c r="AC34" s="144"/>
      <c r="AD34" s="171"/>
      <c r="AE34" s="169" t="s">
        <v>158</v>
      </c>
      <c r="AF34" s="144"/>
      <c r="AG34" s="171"/>
      <c r="AH34" s="169" t="s">
        <v>158</v>
      </c>
      <c r="AI34" s="144"/>
      <c r="AJ34" s="171"/>
      <c r="AK34" s="169" t="s">
        <v>158</v>
      </c>
      <c r="AL34" s="144"/>
      <c r="AM34" s="171"/>
      <c r="AN34" s="169" t="s">
        <v>158</v>
      </c>
      <c r="AO34" s="144"/>
      <c r="AP34" s="171"/>
      <c r="AQ34" s="169" t="s">
        <v>158</v>
      </c>
      <c r="AR34" s="144"/>
      <c r="AS34" s="171"/>
      <c r="AT34" s="169" t="s">
        <v>158</v>
      </c>
      <c r="AU34" s="144"/>
      <c r="AV34" s="171"/>
      <c r="AW34" s="169" t="s">
        <v>158</v>
      </c>
      <c r="AX34" s="144"/>
      <c r="AY34" s="171"/>
      <c r="AZ34" s="169" t="s">
        <v>158</v>
      </c>
      <c r="BA34" s="144"/>
      <c r="BB34" s="171"/>
      <c r="BC34" s="169" t="s">
        <v>158</v>
      </c>
      <c r="BD34" s="144"/>
      <c r="BE34" s="171"/>
      <c r="BF34" s="169" t="s">
        <v>158</v>
      </c>
      <c r="BG34" s="144"/>
      <c r="BH34" s="171"/>
      <c r="BI34" s="169" t="s">
        <v>158</v>
      </c>
      <c r="BJ34" s="144"/>
      <c r="BK34" s="171"/>
      <c r="BL34" s="169" t="s">
        <v>158</v>
      </c>
      <c r="BM34" s="144"/>
      <c r="BN34" s="171"/>
      <c r="BO34" s="169" t="s">
        <v>158</v>
      </c>
      <c r="BP34" s="144"/>
      <c r="BQ34" s="171"/>
      <c r="BR34" s="169" t="s">
        <v>158</v>
      </c>
      <c r="BS34" s="144"/>
      <c r="BT34" s="171"/>
      <c r="BU34" s="169" t="s">
        <v>158</v>
      </c>
      <c r="BV34" s="144"/>
      <c r="BW34" s="171"/>
      <c r="BX34" s="169" t="s">
        <v>158</v>
      </c>
      <c r="BY34" s="144"/>
      <c r="BZ34" s="171"/>
      <c r="CA34" s="169" t="s">
        <v>158</v>
      </c>
      <c r="CB34" s="144"/>
      <c r="CC34" s="171"/>
      <c r="CD34" s="169" t="s">
        <v>158</v>
      </c>
      <c r="CE34" s="144"/>
      <c r="CF34" s="171"/>
      <c r="CG34" s="169" t="s">
        <v>158</v>
      </c>
      <c r="CH34" s="144"/>
      <c r="CI34" s="171"/>
      <c r="CJ34" s="169" t="s">
        <v>158</v>
      </c>
      <c r="CK34" s="144"/>
      <c r="CL34" s="171"/>
      <c r="CM34" s="169" t="s">
        <v>158</v>
      </c>
      <c r="CN34" s="144"/>
      <c r="CO34" s="171"/>
      <c r="CP34" s="169" t="s">
        <v>158</v>
      </c>
      <c r="CQ34" s="144"/>
      <c r="CR34" s="171"/>
      <c r="CS34" s="169" t="s">
        <v>158</v>
      </c>
      <c r="CT34" s="144"/>
      <c r="CU34" s="171"/>
      <c r="CV34" s="169" t="s">
        <v>158</v>
      </c>
      <c r="CW34" s="144"/>
      <c r="CX34" s="171"/>
      <c r="CY34" s="169" t="s">
        <v>158</v>
      </c>
      <c r="CZ34" s="144"/>
      <c r="DA34" s="171"/>
      <c r="DB34" s="169" t="s">
        <v>158</v>
      </c>
      <c r="DC34" s="144"/>
      <c r="DD34" s="171"/>
      <c r="DE34" s="169" t="s">
        <v>158</v>
      </c>
      <c r="DF34" s="144"/>
      <c r="DG34" s="171"/>
      <c r="DH34" s="169" t="s">
        <v>158</v>
      </c>
      <c r="DI34" s="144"/>
      <c r="DJ34" s="171"/>
      <c r="DK34" s="169" t="s">
        <v>158</v>
      </c>
      <c r="DL34" s="144"/>
      <c r="DM34" s="171"/>
      <c r="DN34" s="169" t="s">
        <v>158</v>
      </c>
      <c r="DO34" s="144"/>
      <c r="DP34" s="171"/>
      <c r="DQ34" s="169" t="s">
        <v>158</v>
      </c>
      <c r="DR34" s="144"/>
      <c r="DS34" s="171"/>
      <c r="DT34" s="169" t="s">
        <v>158</v>
      </c>
      <c r="DU34" s="144"/>
      <c r="DV34" s="171"/>
      <c r="DW34" s="169" t="s">
        <v>158</v>
      </c>
      <c r="DX34" s="144"/>
      <c r="DY34" s="171"/>
      <c r="DZ34" s="169" t="s">
        <v>158</v>
      </c>
      <c r="EA34" s="144"/>
      <c r="EB34" s="171"/>
      <c r="EC34" s="169" t="s">
        <v>158</v>
      </c>
      <c r="ED34" s="144"/>
    </row>
    <row r="35" spans="1:136" ht="12.75" customHeight="1">
      <c r="A35" s="149" t="s">
        <v>165</v>
      </c>
      <c r="B35" s="150" t="s">
        <v>160</v>
      </c>
      <c r="C35" s="171"/>
      <c r="D35" s="169" t="s">
        <v>158</v>
      </c>
      <c r="E35" s="144"/>
      <c r="F35" s="171"/>
      <c r="G35" s="169" t="s">
        <v>158</v>
      </c>
      <c r="H35" s="144"/>
      <c r="I35" s="171"/>
      <c r="J35" s="169" t="s">
        <v>158</v>
      </c>
      <c r="K35" s="144"/>
      <c r="L35" s="171"/>
      <c r="M35" s="169" t="s">
        <v>158</v>
      </c>
      <c r="N35" s="144"/>
      <c r="O35" s="171"/>
      <c r="P35" s="169" t="s">
        <v>158</v>
      </c>
      <c r="Q35" s="144"/>
      <c r="R35" s="171"/>
      <c r="S35" s="169" t="s">
        <v>158</v>
      </c>
      <c r="T35" s="144"/>
      <c r="U35" s="171"/>
      <c r="V35" s="169" t="s">
        <v>158</v>
      </c>
      <c r="W35" s="144"/>
      <c r="X35" s="171"/>
      <c r="Y35" s="169" t="s">
        <v>158</v>
      </c>
      <c r="Z35" s="144"/>
      <c r="AA35" s="171"/>
      <c r="AB35" s="169" t="s">
        <v>158</v>
      </c>
      <c r="AC35" s="144"/>
      <c r="AD35" s="171"/>
      <c r="AE35" s="169" t="s">
        <v>158</v>
      </c>
      <c r="AF35" s="144"/>
      <c r="AG35" s="171"/>
      <c r="AH35" s="169" t="s">
        <v>158</v>
      </c>
      <c r="AI35" s="144"/>
      <c r="AJ35" s="171"/>
      <c r="AK35" s="169" t="s">
        <v>158</v>
      </c>
      <c r="AL35" s="144"/>
      <c r="AM35" s="171"/>
      <c r="AN35" s="169" t="s">
        <v>158</v>
      </c>
      <c r="AO35" s="144"/>
      <c r="AP35" s="171"/>
      <c r="AQ35" s="169" t="s">
        <v>158</v>
      </c>
      <c r="AR35" s="144"/>
      <c r="AS35" s="171"/>
      <c r="AT35" s="169" t="s">
        <v>158</v>
      </c>
      <c r="AU35" s="144"/>
      <c r="AV35" s="171"/>
      <c r="AW35" s="169" t="s">
        <v>158</v>
      </c>
      <c r="AX35" s="144"/>
      <c r="AY35" s="171"/>
      <c r="AZ35" s="169" t="s">
        <v>158</v>
      </c>
      <c r="BA35" s="144"/>
      <c r="BB35" s="171"/>
      <c r="BC35" s="169" t="s">
        <v>158</v>
      </c>
      <c r="BD35" s="144"/>
      <c r="BE35" s="171"/>
      <c r="BF35" s="169" t="s">
        <v>158</v>
      </c>
      <c r="BG35" s="144"/>
      <c r="BH35" s="171"/>
      <c r="BI35" s="169" t="s">
        <v>158</v>
      </c>
      <c r="BJ35" s="144"/>
      <c r="BK35" s="171"/>
      <c r="BL35" s="169" t="s">
        <v>158</v>
      </c>
      <c r="BM35" s="144"/>
      <c r="BN35" s="171"/>
      <c r="BO35" s="169" t="s">
        <v>158</v>
      </c>
      <c r="BP35" s="144"/>
      <c r="BQ35" s="171"/>
      <c r="BR35" s="169" t="s">
        <v>158</v>
      </c>
      <c r="BS35" s="144"/>
      <c r="BT35" s="171"/>
      <c r="BU35" s="169" t="s">
        <v>158</v>
      </c>
      <c r="BV35" s="144"/>
      <c r="BW35" s="171"/>
      <c r="BX35" s="169" t="s">
        <v>158</v>
      </c>
      <c r="BY35" s="144"/>
      <c r="BZ35" s="171"/>
      <c r="CA35" s="169" t="s">
        <v>158</v>
      </c>
      <c r="CB35" s="144"/>
      <c r="CC35" s="171"/>
      <c r="CD35" s="169" t="s">
        <v>158</v>
      </c>
      <c r="CE35" s="144"/>
      <c r="CF35" s="171"/>
      <c r="CG35" s="169" t="s">
        <v>158</v>
      </c>
      <c r="CH35" s="144"/>
      <c r="CI35" s="171"/>
      <c r="CJ35" s="169" t="s">
        <v>158</v>
      </c>
      <c r="CK35" s="144"/>
      <c r="CL35" s="171"/>
      <c r="CM35" s="169" t="s">
        <v>158</v>
      </c>
      <c r="CN35" s="144"/>
      <c r="CO35" s="171"/>
      <c r="CP35" s="169" t="s">
        <v>158</v>
      </c>
      <c r="CQ35" s="144"/>
      <c r="CR35" s="171"/>
      <c r="CS35" s="169" t="s">
        <v>158</v>
      </c>
      <c r="CT35" s="144"/>
      <c r="CU35" s="171"/>
      <c r="CV35" s="169" t="s">
        <v>158</v>
      </c>
      <c r="CW35" s="144"/>
      <c r="CX35" s="171"/>
      <c r="CY35" s="169" t="s">
        <v>158</v>
      </c>
      <c r="CZ35" s="144"/>
      <c r="DA35" s="171"/>
      <c r="DB35" s="169" t="s">
        <v>158</v>
      </c>
      <c r="DC35" s="144"/>
      <c r="DD35" s="171"/>
      <c r="DE35" s="169" t="s">
        <v>158</v>
      </c>
      <c r="DF35" s="144"/>
      <c r="DG35" s="171"/>
      <c r="DH35" s="169" t="s">
        <v>158</v>
      </c>
      <c r="DI35" s="144"/>
      <c r="DJ35" s="171"/>
      <c r="DK35" s="169" t="s">
        <v>158</v>
      </c>
      <c r="DL35" s="144"/>
      <c r="DM35" s="171"/>
      <c r="DN35" s="169" t="s">
        <v>158</v>
      </c>
      <c r="DO35" s="144"/>
      <c r="DP35" s="171"/>
      <c r="DQ35" s="169" t="s">
        <v>158</v>
      </c>
      <c r="DR35" s="144"/>
      <c r="DS35" s="171"/>
      <c r="DT35" s="169" t="s">
        <v>158</v>
      </c>
      <c r="DU35" s="144"/>
      <c r="DV35" s="171"/>
      <c r="DW35" s="169" t="s">
        <v>158</v>
      </c>
      <c r="DX35" s="144"/>
      <c r="DY35" s="171"/>
      <c r="DZ35" s="169" t="s">
        <v>158</v>
      </c>
      <c r="EA35" s="144"/>
      <c r="EB35" s="171"/>
      <c r="EC35" s="169" t="s">
        <v>158</v>
      </c>
      <c r="ED35" s="144"/>
    </row>
    <row r="36" spans="1:136" ht="12.75" customHeight="1">
      <c r="A36" s="149" t="s">
        <v>166</v>
      </c>
      <c r="B36" s="150" t="s">
        <v>160</v>
      </c>
      <c r="C36" s="171"/>
      <c r="D36" s="169" t="s">
        <v>158</v>
      </c>
      <c r="E36" s="144"/>
      <c r="F36" s="171"/>
      <c r="G36" s="169" t="s">
        <v>158</v>
      </c>
      <c r="H36" s="144"/>
      <c r="I36" s="171"/>
      <c r="J36" s="169" t="s">
        <v>158</v>
      </c>
      <c r="K36" s="144"/>
      <c r="L36" s="171"/>
      <c r="M36" s="169" t="s">
        <v>158</v>
      </c>
      <c r="N36" s="144"/>
      <c r="O36" s="171"/>
      <c r="P36" s="169" t="s">
        <v>158</v>
      </c>
      <c r="Q36" s="144"/>
      <c r="R36" s="171"/>
      <c r="S36" s="169" t="s">
        <v>158</v>
      </c>
      <c r="T36" s="144"/>
      <c r="U36" s="171"/>
      <c r="V36" s="169" t="s">
        <v>158</v>
      </c>
      <c r="W36" s="144"/>
      <c r="X36" s="171"/>
      <c r="Y36" s="169" t="s">
        <v>158</v>
      </c>
      <c r="Z36" s="144"/>
      <c r="AA36" s="171"/>
      <c r="AB36" s="169" t="s">
        <v>158</v>
      </c>
      <c r="AC36" s="144"/>
      <c r="AD36" s="171"/>
      <c r="AE36" s="169" t="s">
        <v>158</v>
      </c>
      <c r="AF36" s="144"/>
      <c r="AG36" s="171"/>
      <c r="AH36" s="169" t="s">
        <v>158</v>
      </c>
      <c r="AI36" s="144"/>
      <c r="AJ36" s="171"/>
      <c r="AK36" s="169" t="s">
        <v>158</v>
      </c>
      <c r="AL36" s="144"/>
      <c r="AM36" s="171"/>
      <c r="AN36" s="169" t="s">
        <v>158</v>
      </c>
      <c r="AO36" s="144"/>
      <c r="AP36" s="171"/>
      <c r="AQ36" s="169" t="s">
        <v>158</v>
      </c>
      <c r="AR36" s="144"/>
      <c r="AS36" s="171"/>
      <c r="AT36" s="169" t="s">
        <v>158</v>
      </c>
      <c r="AU36" s="144"/>
      <c r="AV36" s="171"/>
      <c r="AW36" s="169" t="s">
        <v>158</v>
      </c>
      <c r="AX36" s="144"/>
      <c r="AY36" s="171"/>
      <c r="AZ36" s="169" t="s">
        <v>158</v>
      </c>
      <c r="BA36" s="144"/>
      <c r="BB36" s="171"/>
      <c r="BC36" s="169" t="s">
        <v>158</v>
      </c>
      <c r="BD36" s="144"/>
      <c r="BE36" s="171"/>
      <c r="BF36" s="169" t="s">
        <v>158</v>
      </c>
      <c r="BG36" s="144"/>
      <c r="BH36" s="171"/>
      <c r="BI36" s="169" t="s">
        <v>158</v>
      </c>
      <c r="BJ36" s="144"/>
      <c r="BK36" s="171"/>
      <c r="BL36" s="169" t="s">
        <v>158</v>
      </c>
      <c r="BM36" s="144"/>
      <c r="BN36" s="171"/>
      <c r="BO36" s="169" t="s">
        <v>158</v>
      </c>
      <c r="BP36" s="144"/>
      <c r="BQ36" s="171"/>
      <c r="BR36" s="169" t="s">
        <v>158</v>
      </c>
      <c r="BS36" s="144"/>
      <c r="BT36" s="171"/>
      <c r="BU36" s="169" t="s">
        <v>158</v>
      </c>
      <c r="BV36" s="144"/>
      <c r="BW36" s="171"/>
      <c r="BX36" s="169" t="s">
        <v>158</v>
      </c>
      <c r="BY36" s="144"/>
      <c r="BZ36" s="171"/>
      <c r="CA36" s="169" t="s">
        <v>158</v>
      </c>
      <c r="CB36" s="144"/>
      <c r="CC36" s="171"/>
      <c r="CD36" s="169" t="s">
        <v>158</v>
      </c>
      <c r="CE36" s="144"/>
      <c r="CF36" s="171"/>
      <c r="CG36" s="169" t="s">
        <v>158</v>
      </c>
      <c r="CH36" s="144"/>
      <c r="CI36" s="171"/>
      <c r="CJ36" s="169" t="s">
        <v>158</v>
      </c>
      <c r="CK36" s="144"/>
      <c r="CL36" s="171"/>
      <c r="CM36" s="169" t="s">
        <v>158</v>
      </c>
      <c r="CN36" s="144"/>
      <c r="CO36" s="171"/>
      <c r="CP36" s="169" t="s">
        <v>158</v>
      </c>
      <c r="CQ36" s="144"/>
      <c r="CR36" s="171"/>
      <c r="CS36" s="169" t="s">
        <v>158</v>
      </c>
      <c r="CT36" s="144"/>
      <c r="CU36" s="171"/>
      <c r="CV36" s="169" t="s">
        <v>158</v>
      </c>
      <c r="CW36" s="144"/>
      <c r="CX36" s="171"/>
      <c r="CY36" s="169" t="s">
        <v>158</v>
      </c>
      <c r="CZ36" s="144"/>
      <c r="DA36" s="171"/>
      <c r="DB36" s="169" t="s">
        <v>158</v>
      </c>
      <c r="DC36" s="144"/>
      <c r="DD36" s="171"/>
      <c r="DE36" s="169" t="s">
        <v>158</v>
      </c>
      <c r="DF36" s="144"/>
      <c r="DG36" s="171"/>
      <c r="DH36" s="169" t="s">
        <v>158</v>
      </c>
      <c r="DI36" s="144"/>
      <c r="DJ36" s="171"/>
      <c r="DK36" s="169" t="s">
        <v>158</v>
      </c>
      <c r="DL36" s="144"/>
      <c r="DM36" s="171"/>
      <c r="DN36" s="169" t="s">
        <v>158</v>
      </c>
      <c r="DO36" s="144"/>
      <c r="DP36" s="171"/>
      <c r="DQ36" s="169" t="s">
        <v>158</v>
      </c>
      <c r="DR36" s="144"/>
      <c r="DS36" s="171"/>
      <c r="DT36" s="169" t="s">
        <v>158</v>
      </c>
      <c r="DU36" s="144"/>
      <c r="DV36" s="171"/>
      <c r="DW36" s="169" t="s">
        <v>158</v>
      </c>
      <c r="DX36" s="144"/>
      <c r="DY36" s="171"/>
      <c r="DZ36" s="169" t="s">
        <v>158</v>
      </c>
      <c r="EA36" s="144"/>
      <c r="EB36" s="171"/>
      <c r="EC36" s="169" t="s">
        <v>158</v>
      </c>
      <c r="ED36" s="144"/>
    </row>
    <row r="37" spans="1:136" ht="12.75" customHeight="1">
      <c r="A37" s="172" t="s">
        <v>167</v>
      </c>
      <c r="B37" s="173" t="s">
        <v>168</v>
      </c>
      <c r="C37" s="176"/>
      <c r="D37" s="174" t="s">
        <v>158</v>
      </c>
      <c r="E37" s="159"/>
      <c r="F37" s="176"/>
      <c r="G37" s="174" t="s">
        <v>158</v>
      </c>
      <c r="H37" s="159"/>
      <c r="I37" s="176"/>
      <c r="J37" s="174" t="s">
        <v>158</v>
      </c>
      <c r="K37" s="159"/>
      <c r="L37" s="176"/>
      <c r="M37" s="174" t="s">
        <v>158</v>
      </c>
      <c r="N37" s="159"/>
      <c r="O37" s="176"/>
      <c r="P37" s="174" t="s">
        <v>158</v>
      </c>
      <c r="Q37" s="159"/>
      <c r="R37" s="176"/>
      <c r="S37" s="174" t="s">
        <v>158</v>
      </c>
      <c r="T37" s="159"/>
      <c r="U37" s="176"/>
      <c r="V37" s="174" t="s">
        <v>158</v>
      </c>
      <c r="W37" s="159"/>
      <c r="X37" s="176"/>
      <c r="Y37" s="174" t="s">
        <v>158</v>
      </c>
      <c r="Z37" s="159"/>
      <c r="AA37" s="176"/>
      <c r="AB37" s="174" t="s">
        <v>158</v>
      </c>
      <c r="AC37" s="159"/>
      <c r="AD37" s="176"/>
      <c r="AE37" s="174" t="s">
        <v>158</v>
      </c>
      <c r="AF37" s="159"/>
      <c r="AG37" s="176"/>
      <c r="AH37" s="174" t="s">
        <v>158</v>
      </c>
      <c r="AI37" s="159"/>
      <c r="AJ37" s="176"/>
      <c r="AK37" s="174" t="s">
        <v>158</v>
      </c>
      <c r="AL37" s="159"/>
      <c r="AM37" s="176"/>
      <c r="AN37" s="174" t="s">
        <v>158</v>
      </c>
      <c r="AO37" s="159"/>
      <c r="AP37" s="176"/>
      <c r="AQ37" s="174" t="s">
        <v>158</v>
      </c>
      <c r="AR37" s="159"/>
      <c r="AS37" s="176"/>
      <c r="AT37" s="174" t="s">
        <v>158</v>
      </c>
      <c r="AU37" s="159"/>
      <c r="AV37" s="176"/>
      <c r="AW37" s="174" t="s">
        <v>158</v>
      </c>
      <c r="AX37" s="159"/>
      <c r="AY37" s="176"/>
      <c r="AZ37" s="174" t="s">
        <v>158</v>
      </c>
      <c r="BA37" s="159"/>
      <c r="BB37" s="176"/>
      <c r="BC37" s="174" t="s">
        <v>158</v>
      </c>
      <c r="BD37" s="159"/>
      <c r="BE37" s="176"/>
      <c r="BF37" s="174" t="s">
        <v>158</v>
      </c>
      <c r="BG37" s="159"/>
      <c r="BH37" s="176"/>
      <c r="BI37" s="174" t="s">
        <v>158</v>
      </c>
      <c r="BJ37" s="159"/>
      <c r="BK37" s="176"/>
      <c r="BL37" s="174" t="s">
        <v>158</v>
      </c>
      <c r="BM37" s="159"/>
      <c r="BN37" s="176"/>
      <c r="BO37" s="174" t="s">
        <v>158</v>
      </c>
      <c r="BP37" s="159"/>
      <c r="BQ37" s="176"/>
      <c r="BR37" s="174" t="s">
        <v>158</v>
      </c>
      <c r="BS37" s="159"/>
      <c r="BT37" s="176"/>
      <c r="BU37" s="174" t="s">
        <v>158</v>
      </c>
      <c r="BV37" s="159"/>
      <c r="BW37" s="176"/>
      <c r="BX37" s="174" t="s">
        <v>158</v>
      </c>
      <c r="BY37" s="159"/>
      <c r="BZ37" s="176"/>
      <c r="CA37" s="174" t="s">
        <v>158</v>
      </c>
      <c r="CB37" s="159"/>
      <c r="CC37" s="176"/>
      <c r="CD37" s="174" t="s">
        <v>158</v>
      </c>
      <c r="CE37" s="159"/>
      <c r="CF37" s="176"/>
      <c r="CG37" s="174" t="s">
        <v>158</v>
      </c>
      <c r="CH37" s="159"/>
      <c r="CI37" s="176"/>
      <c r="CJ37" s="174" t="s">
        <v>158</v>
      </c>
      <c r="CK37" s="159"/>
      <c r="CL37" s="176"/>
      <c r="CM37" s="174" t="s">
        <v>158</v>
      </c>
      <c r="CN37" s="159"/>
      <c r="CO37" s="176"/>
      <c r="CP37" s="174" t="s">
        <v>158</v>
      </c>
      <c r="CQ37" s="159"/>
      <c r="CR37" s="176"/>
      <c r="CS37" s="174" t="s">
        <v>158</v>
      </c>
      <c r="CT37" s="159"/>
      <c r="CU37" s="176"/>
      <c r="CV37" s="174" t="s">
        <v>158</v>
      </c>
      <c r="CW37" s="159"/>
      <c r="CX37" s="176"/>
      <c r="CY37" s="174" t="s">
        <v>158</v>
      </c>
      <c r="CZ37" s="159"/>
      <c r="DA37" s="176"/>
      <c r="DB37" s="174" t="s">
        <v>158</v>
      </c>
      <c r="DC37" s="159"/>
      <c r="DD37" s="176"/>
      <c r="DE37" s="174" t="s">
        <v>158</v>
      </c>
      <c r="DF37" s="159"/>
      <c r="DG37" s="176"/>
      <c r="DH37" s="174" t="s">
        <v>158</v>
      </c>
      <c r="DI37" s="159"/>
      <c r="DJ37" s="176"/>
      <c r="DK37" s="174" t="s">
        <v>158</v>
      </c>
      <c r="DL37" s="159"/>
      <c r="DM37" s="176"/>
      <c r="DN37" s="174" t="s">
        <v>158</v>
      </c>
      <c r="DO37" s="159"/>
      <c r="DP37" s="176"/>
      <c r="DQ37" s="174" t="s">
        <v>158</v>
      </c>
      <c r="DR37" s="159"/>
      <c r="DS37" s="176"/>
      <c r="DT37" s="174" t="s">
        <v>158</v>
      </c>
      <c r="DU37" s="159"/>
      <c r="DV37" s="176"/>
      <c r="DW37" s="174" t="s">
        <v>158</v>
      </c>
      <c r="DX37" s="159"/>
      <c r="DY37" s="176"/>
      <c r="DZ37" s="174" t="s">
        <v>158</v>
      </c>
      <c r="EA37" s="159"/>
      <c r="EB37" s="176"/>
      <c r="EC37" s="174" t="s">
        <v>158</v>
      </c>
      <c r="ED37" s="159"/>
    </row>
    <row r="38" spans="1:136" ht="12.75" customHeight="1">
      <c r="A38" s="177" t="s">
        <v>169</v>
      </c>
      <c r="B38" s="150"/>
      <c r="C38" s="166"/>
      <c r="D38" s="167"/>
      <c r="E38" s="144"/>
      <c r="F38" s="166"/>
      <c r="G38" s="167"/>
      <c r="H38" s="144"/>
      <c r="I38" s="166"/>
      <c r="J38" s="167"/>
      <c r="K38" s="144"/>
      <c r="L38" s="166"/>
      <c r="M38" s="167"/>
      <c r="N38" s="144"/>
      <c r="O38" s="166"/>
      <c r="P38" s="167"/>
      <c r="Q38" s="144"/>
      <c r="R38" s="166"/>
      <c r="S38" s="167"/>
      <c r="T38" s="144"/>
      <c r="U38" s="166"/>
      <c r="V38" s="167"/>
      <c r="W38" s="144"/>
      <c r="X38" s="166"/>
      <c r="Y38" s="167"/>
      <c r="Z38" s="144"/>
      <c r="AA38" s="166"/>
      <c r="AB38" s="167"/>
      <c r="AC38" s="144"/>
      <c r="AD38" s="166"/>
      <c r="AE38" s="167"/>
      <c r="AF38" s="144"/>
      <c r="AG38" s="166"/>
      <c r="AH38" s="167"/>
      <c r="AI38" s="144"/>
      <c r="AJ38" s="166"/>
      <c r="AK38" s="167"/>
      <c r="AL38" s="144"/>
      <c r="AM38" s="166"/>
      <c r="AN38" s="167"/>
      <c r="AO38" s="144"/>
      <c r="AP38" s="166"/>
      <c r="AQ38" s="167"/>
      <c r="AR38" s="144"/>
      <c r="AS38" s="166"/>
      <c r="AT38" s="167"/>
      <c r="AU38" s="144"/>
      <c r="AV38" s="166"/>
      <c r="AW38" s="167"/>
      <c r="AX38" s="144"/>
      <c r="AY38" s="166"/>
      <c r="AZ38" s="167"/>
      <c r="BA38" s="144"/>
      <c r="BB38" s="166"/>
      <c r="BC38" s="167"/>
      <c r="BD38" s="144"/>
      <c r="BE38" s="166"/>
      <c r="BF38" s="167"/>
      <c r="BG38" s="144"/>
      <c r="BH38" s="166"/>
      <c r="BI38" s="167"/>
      <c r="BJ38" s="144"/>
      <c r="BK38" s="166"/>
      <c r="BL38" s="167"/>
      <c r="BM38" s="144"/>
      <c r="BN38" s="166"/>
      <c r="BO38" s="167"/>
      <c r="BP38" s="144"/>
      <c r="BQ38" s="166"/>
      <c r="BR38" s="167"/>
      <c r="BS38" s="144"/>
      <c r="BT38" s="166"/>
      <c r="BU38" s="167"/>
      <c r="BV38" s="144"/>
      <c r="BW38" s="166"/>
      <c r="BX38" s="167"/>
      <c r="BY38" s="144"/>
      <c r="BZ38" s="166"/>
      <c r="CA38" s="167"/>
      <c r="CB38" s="144"/>
      <c r="CC38" s="166"/>
      <c r="CD38" s="167"/>
      <c r="CE38" s="144"/>
      <c r="CF38" s="166"/>
      <c r="CG38" s="167"/>
      <c r="CH38" s="144"/>
      <c r="CI38" s="166"/>
      <c r="CJ38" s="167"/>
      <c r="CK38" s="144"/>
      <c r="CL38" s="166"/>
      <c r="CM38" s="167"/>
      <c r="CN38" s="144"/>
      <c r="CO38" s="166"/>
      <c r="CP38" s="167"/>
      <c r="CQ38" s="144"/>
      <c r="CR38" s="166"/>
      <c r="CS38" s="167"/>
      <c r="CT38" s="144"/>
      <c r="CU38" s="166"/>
      <c r="CV38" s="167"/>
      <c r="CW38" s="144"/>
      <c r="CX38" s="166"/>
      <c r="CY38" s="167"/>
      <c r="CZ38" s="144"/>
      <c r="DA38" s="166"/>
      <c r="DB38" s="167"/>
      <c r="DC38" s="144"/>
      <c r="DD38" s="166"/>
      <c r="DE38" s="167"/>
      <c r="DF38" s="144"/>
      <c r="DG38" s="166"/>
      <c r="DH38" s="167"/>
      <c r="DI38" s="144"/>
      <c r="DJ38" s="166"/>
      <c r="DK38" s="167"/>
      <c r="DL38" s="144"/>
      <c r="DM38" s="166"/>
      <c r="DN38" s="167"/>
      <c r="DO38" s="144"/>
      <c r="DP38" s="166"/>
      <c r="DQ38" s="167"/>
      <c r="DR38" s="144"/>
      <c r="DS38" s="166"/>
      <c r="DT38" s="167"/>
      <c r="DU38" s="144"/>
      <c r="DV38" s="166"/>
      <c r="DW38" s="167"/>
      <c r="DX38" s="144"/>
      <c r="DY38" s="166"/>
      <c r="DZ38" s="167"/>
      <c r="EA38" s="144"/>
      <c r="EB38" s="166"/>
      <c r="EC38" s="167"/>
      <c r="ED38" s="144"/>
      <c r="EE38" s="178">
        <f t="shared" ref="EE38:EE48" si="0">MAX(C38:DU38)</f>
        <v>0</v>
      </c>
      <c r="EF38" s="178">
        <f t="shared" ref="EF38:EF48" si="1">MIN(C38:DU38)</f>
        <v>0</v>
      </c>
    </row>
    <row r="39" spans="1:136" ht="12.75" customHeight="1">
      <c r="A39" s="149" t="s">
        <v>167</v>
      </c>
      <c r="B39" s="150" t="s">
        <v>170</v>
      </c>
      <c r="C39" s="179"/>
      <c r="D39" s="168">
        <v>5.82</v>
      </c>
      <c r="E39" s="144"/>
      <c r="F39" s="179"/>
      <c r="G39" s="168">
        <v>6.35</v>
      </c>
      <c r="H39" s="144"/>
      <c r="I39" s="179"/>
      <c r="J39" s="168">
        <v>7.03</v>
      </c>
      <c r="K39" s="144"/>
      <c r="L39" s="179"/>
      <c r="M39" s="168">
        <v>6.61</v>
      </c>
      <c r="N39" s="144"/>
      <c r="O39" s="179"/>
      <c r="P39" s="168">
        <v>6.36</v>
      </c>
      <c r="Q39" s="144"/>
      <c r="R39" s="179"/>
      <c r="S39" s="168">
        <v>6.29</v>
      </c>
      <c r="T39" s="144"/>
      <c r="U39" s="179"/>
      <c r="V39" s="168">
        <v>6.54</v>
      </c>
      <c r="W39" s="144"/>
      <c r="X39" s="179"/>
      <c r="Y39" s="168">
        <v>7.57</v>
      </c>
      <c r="Z39" s="144"/>
      <c r="AA39" s="179"/>
      <c r="AB39" s="168">
        <v>6.42</v>
      </c>
      <c r="AC39" s="144"/>
      <c r="AD39" s="179"/>
      <c r="AE39" s="168">
        <v>7.01</v>
      </c>
      <c r="AF39" s="144"/>
      <c r="AG39" s="179"/>
      <c r="AH39" s="168">
        <v>6.52</v>
      </c>
      <c r="AI39" s="144"/>
      <c r="AJ39" s="179"/>
      <c r="AK39" s="168">
        <v>6.13</v>
      </c>
      <c r="AL39" s="144"/>
      <c r="AM39" s="179"/>
      <c r="AN39" s="168">
        <v>6.19</v>
      </c>
      <c r="AO39" s="144"/>
      <c r="AP39" s="179"/>
      <c r="AQ39" s="168">
        <v>6.42</v>
      </c>
      <c r="AR39" s="144"/>
      <c r="AS39" s="179"/>
      <c r="AT39" s="180">
        <v>6.9</v>
      </c>
      <c r="AU39" s="144"/>
      <c r="AV39" s="179"/>
      <c r="AW39" s="180">
        <v>6.56</v>
      </c>
      <c r="AX39" s="144"/>
      <c r="AY39" s="179"/>
      <c r="AZ39" s="180">
        <v>6.4</v>
      </c>
      <c r="BA39" s="144"/>
      <c r="BB39" s="179"/>
      <c r="BC39" s="180">
        <v>6.37</v>
      </c>
      <c r="BD39" s="144"/>
      <c r="BE39" s="179"/>
      <c r="BF39" s="168">
        <v>6.33</v>
      </c>
      <c r="BG39" s="144"/>
      <c r="BH39" s="179"/>
      <c r="BI39" s="180">
        <v>6.92</v>
      </c>
      <c r="BJ39" s="144"/>
      <c r="BK39" s="179"/>
      <c r="BL39" s="180">
        <v>6.53</v>
      </c>
      <c r="BM39" s="144"/>
      <c r="BN39" s="179"/>
      <c r="BO39" s="180">
        <v>6.46</v>
      </c>
      <c r="BP39" s="144"/>
      <c r="BQ39" s="179"/>
      <c r="BR39" s="180">
        <v>6.12</v>
      </c>
      <c r="BS39" s="144"/>
      <c r="BT39" s="179"/>
      <c r="BU39" s="180">
        <v>6.17</v>
      </c>
      <c r="BV39" s="144"/>
      <c r="BW39" s="179"/>
      <c r="BX39" s="180">
        <v>5.88</v>
      </c>
      <c r="BY39" s="144"/>
      <c r="BZ39" s="179"/>
      <c r="CA39" s="180">
        <v>6.65</v>
      </c>
      <c r="CB39" s="144"/>
      <c r="CC39" s="179"/>
      <c r="CD39" s="180">
        <v>6.34</v>
      </c>
      <c r="CE39" s="144"/>
      <c r="CF39" s="179"/>
      <c r="CG39" s="180">
        <v>6.26</v>
      </c>
      <c r="CH39" s="144"/>
      <c r="CI39" s="179"/>
      <c r="CJ39" s="180">
        <v>69.31</v>
      </c>
      <c r="CK39" s="144"/>
      <c r="CL39" s="179"/>
      <c r="CM39" s="180">
        <v>7.22</v>
      </c>
      <c r="CN39" s="144"/>
      <c r="CO39" s="179"/>
      <c r="CP39" s="180">
        <v>7.01</v>
      </c>
      <c r="CQ39" s="144"/>
      <c r="CR39" s="179"/>
      <c r="CS39" s="180">
        <v>6.65</v>
      </c>
      <c r="CT39" s="144"/>
      <c r="CU39" s="179"/>
      <c r="CV39" s="180">
        <v>6.66</v>
      </c>
      <c r="CW39" s="144"/>
      <c r="CX39" s="179"/>
      <c r="CY39" s="180">
        <v>6.82</v>
      </c>
      <c r="CZ39" s="144"/>
      <c r="DA39" s="179"/>
      <c r="DB39" s="180">
        <v>6.23</v>
      </c>
      <c r="DC39" s="144"/>
      <c r="DD39" s="179"/>
      <c r="DE39" s="180">
        <v>6.95</v>
      </c>
      <c r="DF39" s="144"/>
      <c r="DG39" s="179"/>
      <c r="DH39" s="180">
        <v>6.64</v>
      </c>
      <c r="DI39" s="144"/>
      <c r="DJ39" s="179"/>
      <c r="DK39" s="180">
        <v>6.71</v>
      </c>
      <c r="DL39" s="144"/>
      <c r="DM39" s="179"/>
      <c r="DN39" s="180">
        <v>6.57</v>
      </c>
      <c r="DO39" s="144"/>
      <c r="DP39" s="179"/>
      <c r="DQ39" s="180">
        <v>7.16</v>
      </c>
      <c r="DR39" s="144"/>
      <c r="DS39" s="179"/>
      <c r="DT39" s="180">
        <v>6.81</v>
      </c>
      <c r="DU39" s="144"/>
      <c r="DV39" s="179"/>
      <c r="DW39" s="180">
        <v>6.7</v>
      </c>
      <c r="DX39" s="144"/>
      <c r="DY39" s="179"/>
      <c r="DZ39" s="180">
        <v>6.59</v>
      </c>
      <c r="EA39" s="144"/>
      <c r="EB39" s="179"/>
      <c r="EC39" s="180">
        <v>6.46</v>
      </c>
      <c r="ED39" s="144"/>
      <c r="EE39" s="181">
        <f t="shared" si="0"/>
        <v>69.31</v>
      </c>
      <c r="EF39" s="181">
        <f t="shared" si="1"/>
        <v>5.82</v>
      </c>
    </row>
    <row r="40" spans="1:136" ht="12.75" customHeight="1">
      <c r="A40" s="149" t="s">
        <v>171</v>
      </c>
      <c r="B40" s="150" t="s">
        <v>172</v>
      </c>
      <c r="C40" s="179"/>
      <c r="D40" s="168">
        <v>7.95</v>
      </c>
      <c r="E40" s="144"/>
      <c r="F40" s="179"/>
      <c r="G40" s="168">
        <v>7.75</v>
      </c>
      <c r="H40" s="144"/>
      <c r="I40" s="179"/>
      <c r="J40" s="168">
        <v>17.55</v>
      </c>
      <c r="K40" s="144"/>
      <c r="L40" s="179"/>
      <c r="M40" s="168">
        <v>14.03</v>
      </c>
      <c r="N40" s="144"/>
      <c r="O40" s="179"/>
      <c r="P40" s="168">
        <v>19.989999999999998</v>
      </c>
      <c r="Q40" s="144"/>
      <c r="R40" s="179"/>
      <c r="S40" s="168">
        <v>20.420000000000002</v>
      </c>
      <c r="T40" s="144"/>
      <c r="U40" s="179"/>
      <c r="V40" s="168">
        <v>56.52</v>
      </c>
      <c r="W40" s="144"/>
      <c r="X40" s="179"/>
      <c r="Y40" s="168">
        <v>9.4600000000000009</v>
      </c>
      <c r="Z40" s="144"/>
      <c r="AA40" s="179"/>
      <c r="AB40" s="168">
        <v>8.6300000000000008</v>
      </c>
      <c r="AC40" s="144"/>
      <c r="AD40" s="179"/>
      <c r="AE40" s="168">
        <v>15.61</v>
      </c>
      <c r="AF40" s="144"/>
      <c r="AG40" s="179"/>
      <c r="AH40" s="168">
        <v>12.98</v>
      </c>
      <c r="AI40" s="144"/>
      <c r="AJ40" s="179"/>
      <c r="AK40" s="168">
        <v>17.18</v>
      </c>
      <c r="AL40" s="144"/>
      <c r="AM40" s="179"/>
      <c r="AN40" s="168">
        <v>20.25</v>
      </c>
      <c r="AO40" s="144"/>
      <c r="AP40" s="179"/>
      <c r="AQ40" s="168">
        <v>7.01</v>
      </c>
      <c r="AR40" s="144"/>
      <c r="AS40" s="179"/>
      <c r="AT40" s="180">
        <v>12.9</v>
      </c>
      <c r="AU40" s="144"/>
      <c r="AV40" s="179"/>
      <c r="AW40" s="180">
        <v>9.74</v>
      </c>
      <c r="AX40" s="144"/>
      <c r="AY40" s="179"/>
      <c r="AZ40" s="180">
        <v>19.989999999999998</v>
      </c>
      <c r="BA40" s="144"/>
      <c r="BB40" s="179"/>
      <c r="BC40" s="180">
        <v>21.09</v>
      </c>
      <c r="BD40" s="144"/>
      <c r="BE40" s="179"/>
      <c r="BF40" s="180">
        <v>3.49</v>
      </c>
      <c r="BG40" s="144"/>
      <c r="BH40" s="179"/>
      <c r="BI40" s="180">
        <v>13.99</v>
      </c>
      <c r="BJ40" s="144"/>
      <c r="BK40" s="179"/>
      <c r="BL40" s="180">
        <v>11.35</v>
      </c>
      <c r="BM40" s="144"/>
      <c r="BN40" s="179"/>
      <c r="BO40" s="180">
        <v>28.28</v>
      </c>
      <c r="BP40" s="144"/>
      <c r="BQ40" s="179"/>
      <c r="BR40" s="180">
        <v>18.510000000000002</v>
      </c>
      <c r="BS40" s="144"/>
      <c r="BT40" s="179"/>
      <c r="BU40" s="180">
        <v>3.81</v>
      </c>
      <c r="BV40" s="144"/>
      <c r="BW40" s="179"/>
      <c r="BX40" s="180">
        <v>11.86</v>
      </c>
      <c r="BY40" s="144"/>
      <c r="BZ40" s="179"/>
      <c r="CA40" s="180">
        <v>12.48</v>
      </c>
      <c r="CB40" s="144"/>
      <c r="CC40" s="179"/>
      <c r="CD40" s="180">
        <v>22.59</v>
      </c>
      <c r="CE40" s="144"/>
      <c r="CF40" s="179"/>
      <c r="CG40" s="180">
        <v>19.57</v>
      </c>
      <c r="CH40" s="144"/>
      <c r="CI40" s="179"/>
      <c r="CJ40" s="180">
        <v>5.68</v>
      </c>
      <c r="CK40" s="144"/>
      <c r="CL40" s="179"/>
      <c r="CM40" s="180">
        <v>16.190000000000001</v>
      </c>
      <c r="CN40" s="144"/>
      <c r="CO40" s="179"/>
      <c r="CP40" s="180">
        <v>10.39</v>
      </c>
      <c r="CQ40" s="144"/>
      <c r="CR40" s="179"/>
      <c r="CS40" s="180">
        <v>20.43</v>
      </c>
      <c r="CT40" s="144"/>
      <c r="CU40" s="179"/>
      <c r="CV40" s="180">
        <v>22.65</v>
      </c>
      <c r="CW40" s="144"/>
      <c r="CX40" s="179"/>
      <c r="CY40" s="180">
        <v>5.19</v>
      </c>
      <c r="CZ40" s="144"/>
      <c r="DA40" s="179"/>
      <c r="DB40" s="180">
        <v>13.92</v>
      </c>
      <c r="DC40" s="144"/>
      <c r="DD40" s="179"/>
      <c r="DE40" s="180">
        <v>12.2</v>
      </c>
      <c r="DF40" s="144"/>
      <c r="DG40" s="179"/>
      <c r="DH40" s="180">
        <v>20.99</v>
      </c>
      <c r="DI40" s="144"/>
      <c r="DJ40" s="179"/>
      <c r="DK40" s="180">
        <v>19.809999999999999</v>
      </c>
      <c r="DL40" s="144"/>
      <c r="DM40" s="179"/>
      <c r="DN40" s="180">
        <v>5.12</v>
      </c>
      <c r="DO40" s="144"/>
      <c r="DP40" s="179"/>
      <c r="DQ40" s="180">
        <v>17.8</v>
      </c>
      <c r="DR40" s="144"/>
      <c r="DS40" s="179"/>
      <c r="DT40" s="180">
        <v>14.99</v>
      </c>
      <c r="DU40" s="144"/>
      <c r="DV40" s="179"/>
      <c r="DW40" s="180">
        <v>17.07</v>
      </c>
      <c r="DX40" s="144"/>
      <c r="DY40" s="179"/>
      <c r="DZ40" s="180">
        <v>22.67</v>
      </c>
      <c r="EA40" s="144"/>
      <c r="EB40" s="179"/>
      <c r="EC40" s="180">
        <v>7.87</v>
      </c>
      <c r="ED40" s="144"/>
      <c r="EE40" s="181">
        <f t="shared" si="0"/>
        <v>56.52</v>
      </c>
      <c r="EF40" s="181">
        <f t="shared" si="1"/>
        <v>3.49</v>
      </c>
    </row>
    <row r="41" spans="1:136" ht="12.75" customHeight="1">
      <c r="A41" s="149" t="s">
        <v>173</v>
      </c>
      <c r="B41" s="150" t="s">
        <v>174</v>
      </c>
      <c r="C41" s="179"/>
      <c r="D41" s="182">
        <v>0.248</v>
      </c>
      <c r="E41" s="144"/>
      <c r="F41" s="179"/>
      <c r="G41" s="182">
        <v>0.34200000000000003</v>
      </c>
      <c r="H41" s="144"/>
      <c r="I41" s="179"/>
      <c r="J41" s="182">
        <v>0.14299999999999999</v>
      </c>
      <c r="K41" s="144"/>
      <c r="L41" s="179"/>
      <c r="M41" s="182">
        <v>0.16</v>
      </c>
      <c r="N41" s="144"/>
      <c r="O41" s="179"/>
      <c r="P41" s="182">
        <v>0.158</v>
      </c>
      <c r="Q41" s="144"/>
      <c r="R41" s="179"/>
      <c r="S41" s="182">
        <v>0.33900000000000002</v>
      </c>
      <c r="T41" s="144"/>
      <c r="U41" s="179"/>
      <c r="V41" s="182">
        <v>0.154</v>
      </c>
      <c r="W41" s="144"/>
      <c r="X41" s="179"/>
      <c r="Y41" s="182">
        <v>2.7909999999999999</v>
      </c>
      <c r="Z41" s="144"/>
      <c r="AA41" s="179"/>
      <c r="AB41" s="182">
        <v>0.71299999999999997</v>
      </c>
      <c r="AC41" s="144"/>
      <c r="AD41" s="179"/>
      <c r="AE41" s="182">
        <v>0.40500000000000003</v>
      </c>
      <c r="AF41" s="144"/>
      <c r="AG41" s="179"/>
      <c r="AH41" s="182">
        <v>0.54100000000000004</v>
      </c>
      <c r="AI41" s="144"/>
      <c r="AJ41" s="179"/>
      <c r="AK41" s="182">
        <v>0.48099999999999998</v>
      </c>
      <c r="AL41" s="144"/>
      <c r="AM41" s="179"/>
      <c r="AN41" s="182">
        <v>0.77200000000000002</v>
      </c>
      <c r="AO41" s="144"/>
      <c r="AP41" s="179"/>
      <c r="AQ41" s="182">
        <v>0.34499999999999997</v>
      </c>
      <c r="AR41" s="144"/>
      <c r="AS41" s="179"/>
      <c r="AT41" s="182">
        <v>1.202</v>
      </c>
      <c r="AU41" s="144"/>
      <c r="AV41" s="179"/>
      <c r="AW41" s="182">
        <v>1.3979999999999999</v>
      </c>
      <c r="AX41" s="144"/>
      <c r="AY41" s="179"/>
      <c r="AZ41" s="182">
        <v>1.379</v>
      </c>
      <c r="BA41" s="144"/>
      <c r="BB41" s="179"/>
      <c r="BC41" s="182">
        <v>1.653</v>
      </c>
      <c r="BD41" s="144"/>
      <c r="BE41" s="179"/>
      <c r="BF41" s="180">
        <v>0.64600000000000002</v>
      </c>
      <c r="BG41" s="144"/>
      <c r="BH41" s="179"/>
      <c r="BI41" s="182">
        <v>1.1779999999999999</v>
      </c>
      <c r="BJ41" s="144"/>
      <c r="BK41" s="179"/>
      <c r="BL41" s="182">
        <v>1.339</v>
      </c>
      <c r="BM41" s="144"/>
      <c r="BN41" s="179"/>
      <c r="BO41" s="182">
        <v>1.768</v>
      </c>
      <c r="BP41" s="144"/>
      <c r="BQ41" s="179"/>
      <c r="BR41" s="182">
        <v>1.397</v>
      </c>
      <c r="BS41" s="144"/>
      <c r="BT41" s="179"/>
      <c r="BU41" s="182">
        <v>0.65200000000000002</v>
      </c>
      <c r="BV41" s="144"/>
      <c r="BW41" s="179"/>
      <c r="BX41" s="182">
        <v>1.079</v>
      </c>
      <c r="BY41" s="144"/>
      <c r="BZ41" s="179"/>
      <c r="CA41" s="182">
        <v>1.444</v>
      </c>
      <c r="CB41" s="144"/>
      <c r="CC41" s="179"/>
      <c r="CD41" s="182">
        <v>1.41</v>
      </c>
      <c r="CE41" s="144"/>
      <c r="CF41" s="179"/>
      <c r="CG41" s="182">
        <v>1.69</v>
      </c>
      <c r="CH41" s="144"/>
      <c r="CI41" s="179"/>
      <c r="CJ41" s="182">
        <v>0.72</v>
      </c>
      <c r="CK41" s="144"/>
      <c r="CL41" s="179"/>
      <c r="CM41" s="182">
        <v>0.74299999999999999</v>
      </c>
      <c r="CN41" s="144"/>
      <c r="CO41" s="179"/>
      <c r="CP41" s="182">
        <v>0.92900000000000005</v>
      </c>
      <c r="CQ41" s="144"/>
      <c r="CR41" s="179"/>
      <c r="CS41" s="182">
        <v>0.84499999999999997</v>
      </c>
      <c r="CT41" s="144"/>
      <c r="CU41" s="179"/>
      <c r="CV41" s="182">
        <v>1.1299999999999999</v>
      </c>
      <c r="CW41" s="144"/>
      <c r="CX41" s="179"/>
      <c r="CY41" s="182">
        <v>0.48799999999999999</v>
      </c>
      <c r="CZ41" s="144"/>
      <c r="DA41" s="179"/>
      <c r="DB41" s="182">
        <v>0.56000000000000005</v>
      </c>
      <c r="DC41" s="144"/>
      <c r="DD41" s="179"/>
      <c r="DE41" s="182">
        <v>0.71899999999999997</v>
      </c>
      <c r="DF41" s="144"/>
      <c r="DG41" s="179"/>
      <c r="DH41" s="182">
        <v>0.67600000000000005</v>
      </c>
      <c r="DI41" s="144"/>
      <c r="DJ41" s="179"/>
      <c r="DK41" s="182">
        <v>0.84599999999999997</v>
      </c>
      <c r="DL41" s="144"/>
      <c r="DM41" s="179"/>
      <c r="DN41" s="182">
        <v>0.40600000000000003</v>
      </c>
      <c r="DO41" s="144"/>
      <c r="DP41" s="179"/>
      <c r="DQ41" s="182">
        <v>0.75600000000000001</v>
      </c>
      <c r="DR41" s="144"/>
      <c r="DS41" s="179"/>
      <c r="DT41" s="182">
        <v>1.137</v>
      </c>
      <c r="DU41" s="144"/>
      <c r="DV41" s="179"/>
      <c r="DW41" s="182">
        <v>0.74299999999999999</v>
      </c>
      <c r="DX41" s="144"/>
      <c r="DY41" s="179"/>
      <c r="DZ41" s="182">
        <v>1.335</v>
      </c>
      <c r="EA41" s="144"/>
      <c r="EB41" s="179"/>
      <c r="EC41" s="182">
        <v>1.0009999999999999</v>
      </c>
      <c r="ED41" s="144"/>
      <c r="EE41" s="183">
        <f t="shared" si="0"/>
        <v>2.7909999999999999</v>
      </c>
      <c r="EF41" s="183">
        <f t="shared" si="1"/>
        <v>0.14299999999999999</v>
      </c>
    </row>
    <row r="42" spans="1:136" ht="12.75" customHeight="1">
      <c r="A42" s="149" t="s">
        <v>175</v>
      </c>
      <c r="B42" s="150" t="s">
        <v>160</v>
      </c>
      <c r="C42" s="179"/>
      <c r="D42" s="180">
        <v>1.5</v>
      </c>
      <c r="E42" s="144"/>
      <c r="F42" s="179"/>
      <c r="G42" s="180">
        <v>0.2</v>
      </c>
      <c r="H42" s="144"/>
      <c r="I42" s="179"/>
      <c r="J42" s="180">
        <v>0.39</v>
      </c>
      <c r="K42" s="144"/>
      <c r="L42" s="179"/>
      <c r="M42" s="180">
        <v>0.38</v>
      </c>
      <c r="N42" s="144"/>
      <c r="O42" s="179"/>
      <c r="P42" s="180">
        <v>0.17</v>
      </c>
      <c r="Q42" s="144"/>
      <c r="R42" s="179"/>
      <c r="S42" s="180">
        <v>0.39</v>
      </c>
      <c r="T42" s="144"/>
      <c r="U42" s="179"/>
      <c r="V42" s="180">
        <v>0.24</v>
      </c>
      <c r="W42" s="144"/>
      <c r="X42" s="179"/>
      <c r="Y42" s="168">
        <v>2.02</v>
      </c>
      <c r="Z42" s="144"/>
      <c r="AA42" s="179"/>
      <c r="AB42" s="168">
        <v>0.55000000000000004</v>
      </c>
      <c r="AC42" s="144"/>
      <c r="AD42" s="179"/>
      <c r="AE42" s="168">
        <v>0.23</v>
      </c>
      <c r="AF42" s="144"/>
      <c r="AG42" s="179"/>
      <c r="AH42" s="168">
        <v>0.38</v>
      </c>
      <c r="AI42" s="144"/>
      <c r="AJ42" s="179"/>
      <c r="AK42" s="168">
        <v>0.26</v>
      </c>
      <c r="AL42" s="144"/>
      <c r="AM42" s="179"/>
      <c r="AN42" s="180">
        <v>0.6</v>
      </c>
      <c r="AO42" s="144"/>
      <c r="AP42" s="179"/>
      <c r="AQ42" s="180">
        <v>0.31</v>
      </c>
      <c r="AR42" s="144"/>
      <c r="AS42" s="179"/>
      <c r="AT42" s="168">
        <v>0.31</v>
      </c>
      <c r="AU42" s="144"/>
      <c r="AV42" s="179"/>
      <c r="AW42" s="168">
        <v>0.32</v>
      </c>
      <c r="AX42" s="144"/>
      <c r="AY42" s="179"/>
      <c r="AZ42" s="168">
        <v>2.0499999999999998</v>
      </c>
      <c r="BA42" s="144"/>
      <c r="BB42" s="179"/>
      <c r="BC42" s="168">
        <v>0.69</v>
      </c>
      <c r="BD42" s="144"/>
      <c r="BE42" s="179"/>
      <c r="BF42" s="182">
        <v>0.39</v>
      </c>
      <c r="BG42" s="144"/>
      <c r="BH42" s="179"/>
      <c r="BI42" s="168">
        <v>0.89</v>
      </c>
      <c r="BJ42" s="144"/>
      <c r="BK42" s="179"/>
      <c r="BL42" s="180">
        <v>1.7</v>
      </c>
      <c r="BM42" s="144"/>
      <c r="BN42" s="179"/>
      <c r="BO42" s="180">
        <v>0.56999999999999995</v>
      </c>
      <c r="BP42" s="144"/>
      <c r="BQ42" s="179"/>
      <c r="BR42" s="180">
        <v>0.95</v>
      </c>
      <c r="BS42" s="144"/>
      <c r="BT42" s="179"/>
      <c r="BU42" s="180">
        <v>4.21</v>
      </c>
      <c r="BV42" s="144"/>
      <c r="BW42" s="179"/>
      <c r="BX42" s="168">
        <v>0.35</v>
      </c>
      <c r="BY42" s="144"/>
      <c r="BZ42" s="179"/>
      <c r="CA42" s="168">
        <v>0.66</v>
      </c>
      <c r="CB42" s="144"/>
      <c r="CC42" s="179"/>
      <c r="CD42" s="168">
        <v>0.61</v>
      </c>
      <c r="CE42" s="144"/>
      <c r="CF42" s="179"/>
      <c r="CG42" s="168">
        <v>0.62</v>
      </c>
      <c r="CH42" s="144"/>
      <c r="CI42" s="179"/>
      <c r="CJ42" s="168">
        <v>0.35</v>
      </c>
      <c r="CK42" s="144"/>
      <c r="CL42" s="179"/>
      <c r="CM42" s="168">
        <v>0.18</v>
      </c>
      <c r="CN42" s="144"/>
      <c r="CO42" s="179"/>
      <c r="CP42" s="168">
        <v>0.28000000000000003</v>
      </c>
      <c r="CQ42" s="144"/>
      <c r="CR42" s="179"/>
      <c r="CS42" s="168">
        <v>0.22</v>
      </c>
      <c r="CT42" s="144"/>
      <c r="CU42" s="179"/>
      <c r="CV42" s="168">
        <v>0.65</v>
      </c>
      <c r="CW42" s="144"/>
      <c r="CX42" s="179"/>
      <c r="CY42" s="168">
        <v>0.31</v>
      </c>
      <c r="CZ42" s="144"/>
      <c r="DA42" s="179"/>
      <c r="DB42" s="168">
        <v>0.33</v>
      </c>
      <c r="DC42" s="144"/>
      <c r="DD42" s="179"/>
      <c r="DE42" s="180">
        <v>0.3</v>
      </c>
      <c r="DF42" s="144"/>
      <c r="DG42" s="179"/>
      <c r="DH42" s="180">
        <v>0.33</v>
      </c>
      <c r="DI42" s="144"/>
      <c r="DJ42" s="179"/>
      <c r="DK42" s="180">
        <v>0.56999999999999995</v>
      </c>
      <c r="DL42" s="144"/>
      <c r="DM42" s="179"/>
      <c r="DN42" s="180">
        <v>0.41</v>
      </c>
      <c r="DO42" s="144"/>
      <c r="DP42" s="179"/>
      <c r="DQ42" s="168">
        <v>0.16</v>
      </c>
      <c r="DR42" s="144"/>
      <c r="DS42" s="179"/>
      <c r="DT42" s="168">
        <v>0.21</v>
      </c>
      <c r="DU42" s="144"/>
      <c r="DV42" s="179"/>
      <c r="DW42" s="168">
        <v>0.16</v>
      </c>
      <c r="DX42" s="144"/>
      <c r="DY42" s="179"/>
      <c r="DZ42" s="168">
        <v>0.39</v>
      </c>
      <c r="EA42" s="144"/>
      <c r="EB42" s="179"/>
      <c r="EC42" s="168">
        <v>0.22</v>
      </c>
      <c r="ED42" s="144"/>
      <c r="EE42" s="181">
        <f t="shared" si="0"/>
        <v>4.21</v>
      </c>
      <c r="EF42" s="181">
        <f t="shared" si="1"/>
        <v>0.16</v>
      </c>
    </row>
    <row r="43" spans="1:136" ht="12.75" customHeight="1">
      <c r="A43" s="149" t="s">
        <v>176</v>
      </c>
      <c r="B43" s="150" t="s">
        <v>177</v>
      </c>
      <c r="C43" s="179"/>
      <c r="D43" s="168">
        <v>74.400000000000006</v>
      </c>
      <c r="E43" s="144"/>
      <c r="F43" s="179"/>
      <c r="G43" s="168">
        <v>81.599999999999994</v>
      </c>
      <c r="H43" s="144"/>
      <c r="I43" s="179"/>
      <c r="J43" s="168">
        <v>98.7</v>
      </c>
      <c r="K43" s="144"/>
      <c r="L43" s="179"/>
      <c r="M43" s="168">
        <v>51.8</v>
      </c>
      <c r="N43" s="144"/>
      <c r="O43" s="179"/>
      <c r="P43" s="168">
        <v>40.200000000000003</v>
      </c>
      <c r="Q43" s="144"/>
      <c r="R43" s="179"/>
      <c r="S43" s="168">
        <v>20.6</v>
      </c>
      <c r="T43" s="144"/>
      <c r="U43" s="179"/>
      <c r="V43" s="168">
        <v>10.3</v>
      </c>
      <c r="W43" s="144"/>
      <c r="X43" s="179"/>
      <c r="Y43" s="168">
        <v>60.6</v>
      </c>
      <c r="Z43" s="144"/>
      <c r="AA43" s="179"/>
      <c r="AB43" s="168">
        <v>64.599999999999994</v>
      </c>
      <c r="AC43" s="144"/>
      <c r="AD43" s="179"/>
      <c r="AE43" s="168">
        <v>74.5</v>
      </c>
      <c r="AF43" s="144"/>
      <c r="AG43" s="179"/>
      <c r="AH43" s="168">
        <v>41.8</v>
      </c>
      <c r="AI43" s="144"/>
      <c r="AJ43" s="179"/>
      <c r="AK43" s="168">
        <v>59.2</v>
      </c>
      <c r="AL43" s="144"/>
      <c r="AM43" s="179"/>
      <c r="AN43" s="168">
        <v>28.2</v>
      </c>
      <c r="AO43" s="144"/>
      <c r="AP43" s="179"/>
      <c r="AQ43" s="168">
        <v>7.94</v>
      </c>
      <c r="AR43" s="144"/>
      <c r="AS43" s="179"/>
      <c r="AT43" s="168">
        <v>91.6</v>
      </c>
      <c r="AU43" s="144"/>
      <c r="AV43" s="179"/>
      <c r="AW43" s="168">
        <v>47.6</v>
      </c>
      <c r="AX43" s="144"/>
      <c r="AY43" s="179"/>
      <c r="AZ43" s="168">
        <v>44.7</v>
      </c>
      <c r="BA43" s="144"/>
      <c r="BB43" s="179"/>
      <c r="BC43" s="168">
        <v>51.3</v>
      </c>
      <c r="BD43" s="144"/>
      <c r="BE43" s="179"/>
      <c r="BF43" s="168">
        <v>12.8</v>
      </c>
      <c r="BG43" s="144"/>
      <c r="BH43" s="179"/>
      <c r="BI43" s="168">
        <v>59.9</v>
      </c>
      <c r="BJ43" s="144"/>
      <c r="BK43" s="179"/>
      <c r="BL43" s="168">
        <v>42.6</v>
      </c>
      <c r="BM43" s="144"/>
      <c r="BN43" s="179"/>
      <c r="BO43" s="168">
        <v>19.100000000000001</v>
      </c>
      <c r="BP43" s="144"/>
      <c r="BQ43" s="179"/>
      <c r="BR43" s="184">
        <v>60</v>
      </c>
      <c r="BS43" s="144"/>
      <c r="BT43" s="179"/>
      <c r="BU43" s="184">
        <v>32.700000000000003</v>
      </c>
      <c r="BV43" s="144"/>
      <c r="BW43" s="179"/>
      <c r="BX43" s="168">
        <v>94.8</v>
      </c>
      <c r="BY43" s="144"/>
      <c r="BZ43" s="179"/>
      <c r="CA43" s="168">
        <v>36.200000000000003</v>
      </c>
      <c r="CB43" s="144"/>
      <c r="CC43" s="179"/>
      <c r="CD43" s="168">
        <v>76.2</v>
      </c>
      <c r="CE43" s="144"/>
      <c r="CF43" s="179"/>
      <c r="CG43" s="168">
        <v>42.3</v>
      </c>
      <c r="CH43" s="144"/>
      <c r="CI43" s="179"/>
      <c r="CJ43" s="168">
        <v>64.900000000000006</v>
      </c>
      <c r="CK43" s="144"/>
      <c r="CL43" s="179"/>
      <c r="CM43" s="168">
        <v>42.5</v>
      </c>
      <c r="CN43" s="144"/>
      <c r="CO43" s="179"/>
      <c r="CP43" s="168">
        <v>36.5</v>
      </c>
      <c r="CQ43" s="144"/>
      <c r="CR43" s="179"/>
      <c r="CS43" s="168">
        <v>5.43</v>
      </c>
      <c r="CT43" s="144"/>
      <c r="CU43" s="179"/>
      <c r="CV43" s="168">
        <v>27.6</v>
      </c>
      <c r="CW43" s="144"/>
      <c r="CX43" s="179"/>
      <c r="CY43" s="168">
        <v>35.200000000000003</v>
      </c>
      <c r="CZ43" s="144"/>
      <c r="DA43" s="179"/>
      <c r="DB43" s="168">
        <v>67.5</v>
      </c>
      <c r="DC43" s="144"/>
      <c r="DD43" s="179"/>
      <c r="DE43" s="168">
        <v>40.799999999999997</v>
      </c>
      <c r="DF43" s="144"/>
      <c r="DG43" s="179"/>
      <c r="DH43" s="168">
        <v>53.2</v>
      </c>
      <c r="DI43" s="144"/>
      <c r="DJ43" s="179"/>
      <c r="DK43" s="168">
        <v>29.2</v>
      </c>
      <c r="DL43" s="144"/>
      <c r="DM43" s="179"/>
      <c r="DN43" s="168">
        <v>30.8</v>
      </c>
      <c r="DO43" s="144"/>
      <c r="DP43" s="179"/>
      <c r="DQ43" s="168">
        <v>107.7</v>
      </c>
      <c r="DR43" s="144"/>
      <c r="DS43" s="179"/>
      <c r="DT43" s="168">
        <v>91.6</v>
      </c>
      <c r="DU43" s="144"/>
      <c r="DV43" s="179"/>
      <c r="DW43" s="168">
        <v>40.4</v>
      </c>
      <c r="DX43" s="144"/>
      <c r="DY43" s="179"/>
      <c r="DZ43" s="168">
        <v>22.2</v>
      </c>
      <c r="EA43" s="144"/>
      <c r="EB43" s="179"/>
      <c r="EC43" s="168">
        <v>40.9</v>
      </c>
      <c r="ED43" s="144"/>
      <c r="EE43" s="181">
        <f t="shared" si="0"/>
        <v>107.7</v>
      </c>
      <c r="EF43" s="181">
        <f t="shared" si="1"/>
        <v>5.43</v>
      </c>
    </row>
    <row r="44" spans="1:136" ht="12.75" customHeight="1">
      <c r="A44" s="149" t="s">
        <v>178</v>
      </c>
      <c r="B44" s="150" t="s">
        <v>179</v>
      </c>
      <c r="C44" s="179"/>
      <c r="D44" s="184">
        <v>72.8</v>
      </c>
      <c r="E44" s="144"/>
      <c r="F44" s="179"/>
      <c r="G44" s="184">
        <v>65.7</v>
      </c>
      <c r="H44" s="144"/>
      <c r="I44" s="179"/>
      <c r="J44" s="184">
        <v>-37</v>
      </c>
      <c r="K44" s="144"/>
      <c r="L44" s="179"/>
      <c r="M44" s="184">
        <v>-41.4</v>
      </c>
      <c r="N44" s="144"/>
      <c r="O44" s="179"/>
      <c r="P44" s="184">
        <v>-162</v>
      </c>
      <c r="Q44" s="144"/>
      <c r="R44" s="179"/>
      <c r="S44" s="184">
        <v>5.5</v>
      </c>
      <c r="T44" s="144"/>
      <c r="U44" s="179"/>
      <c r="V44" s="184">
        <v>-3.9</v>
      </c>
      <c r="W44" s="144"/>
      <c r="X44" s="179"/>
      <c r="Y44" s="184">
        <v>111.6</v>
      </c>
      <c r="Z44" s="144"/>
      <c r="AA44" s="179"/>
      <c r="AB44" s="184">
        <v>27.8</v>
      </c>
      <c r="AC44" s="144"/>
      <c r="AD44" s="179"/>
      <c r="AE44" s="184">
        <v>-56.2</v>
      </c>
      <c r="AF44" s="144"/>
      <c r="AG44" s="179"/>
      <c r="AH44" s="184">
        <v>-49.9</v>
      </c>
      <c r="AI44" s="144"/>
      <c r="AJ44" s="179"/>
      <c r="AK44" s="184">
        <v>-158.69999999999999</v>
      </c>
      <c r="AL44" s="144"/>
      <c r="AM44" s="179"/>
      <c r="AN44" s="184">
        <v>-29.1</v>
      </c>
      <c r="AO44" s="144"/>
      <c r="AP44" s="179"/>
      <c r="AQ44" s="184">
        <v>2.7</v>
      </c>
      <c r="AR44" s="144"/>
      <c r="AS44" s="179"/>
      <c r="AT44" s="184">
        <v>14.1</v>
      </c>
      <c r="AU44" s="144"/>
      <c r="AV44" s="179"/>
      <c r="AW44" s="184">
        <v>-24.2</v>
      </c>
      <c r="AX44" s="144"/>
      <c r="AY44" s="179"/>
      <c r="AZ44" s="184">
        <v>-133.5</v>
      </c>
      <c r="BA44" s="144"/>
      <c r="BB44" s="179"/>
      <c r="BC44" s="184">
        <v>-30.7</v>
      </c>
      <c r="BD44" s="144"/>
      <c r="BE44" s="179"/>
      <c r="BF44" s="168">
        <v>-30.6</v>
      </c>
      <c r="BG44" s="144"/>
      <c r="BH44" s="179"/>
      <c r="BI44" s="184">
        <v>17.399999999999999</v>
      </c>
      <c r="BJ44" s="144"/>
      <c r="BK44" s="179"/>
      <c r="BL44" s="184">
        <v>-24.1</v>
      </c>
      <c r="BM44" s="144"/>
      <c r="BN44" s="179"/>
      <c r="BO44" s="184">
        <v>-105.5</v>
      </c>
      <c r="BP44" s="144"/>
      <c r="BQ44" s="179"/>
      <c r="BR44" s="184">
        <v>-42.3</v>
      </c>
      <c r="BS44" s="144"/>
      <c r="BT44" s="179"/>
      <c r="BU44" s="184">
        <v>-17.2</v>
      </c>
      <c r="BV44" s="144"/>
      <c r="BW44" s="179"/>
      <c r="BX44" s="184">
        <v>-18</v>
      </c>
      <c r="BY44" s="144"/>
      <c r="BZ44" s="179"/>
      <c r="CA44" s="184">
        <v>-31.2</v>
      </c>
      <c r="CB44" s="144"/>
      <c r="CC44" s="179"/>
      <c r="CD44" s="184">
        <v>-156.19999999999999</v>
      </c>
      <c r="CE44" s="144"/>
      <c r="CF44" s="179"/>
      <c r="CG44" s="184">
        <v>-38.700000000000003</v>
      </c>
      <c r="CH44" s="144"/>
      <c r="CI44" s="179"/>
      <c r="CJ44" s="184">
        <v>-1.7</v>
      </c>
      <c r="CK44" s="144"/>
      <c r="CL44" s="179"/>
      <c r="CM44" s="184">
        <v>-159.9</v>
      </c>
      <c r="CN44" s="144"/>
      <c r="CO44" s="179"/>
      <c r="CP44" s="184">
        <v>-99.8</v>
      </c>
      <c r="CQ44" s="144"/>
      <c r="CR44" s="179"/>
      <c r="CS44" s="184">
        <v>-139.5</v>
      </c>
      <c r="CT44" s="144"/>
      <c r="CU44" s="179"/>
      <c r="CV44" s="184">
        <v>-66.400000000000006</v>
      </c>
      <c r="CW44" s="144"/>
      <c r="CX44" s="179"/>
      <c r="CY44" s="184">
        <v>-34.799999999999997</v>
      </c>
      <c r="CZ44" s="144"/>
      <c r="DA44" s="179"/>
      <c r="DB44" s="184">
        <v>-136.30000000000001</v>
      </c>
      <c r="DC44" s="144"/>
      <c r="DD44" s="179"/>
      <c r="DE44" s="184">
        <v>-122.9</v>
      </c>
      <c r="DF44" s="144"/>
      <c r="DG44" s="179"/>
      <c r="DH44" s="184">
        <v>-144.9</v>
      </c>
      <c r="DI44" s="144"/>
      <c r="DJ44" s="179"/>
      <c r="DK44" s="184">
        <v>-30.3</v>
      </c>
      <c r="DL44" s="144"/>
      <c r="DM44" s="179"/>
      <c r="DN44" s="184">
        <v>11.1</v>
      </c>
      <c r="DO44" s="144"/>
      <c r="DP44" s="179"/>
      <c r="DQ44" s="184">
        <v>-69.2</v>
      </c>
      <c r="DR44" s="144"/>
      <c r="DS44" s="179"/>
      <c r="DT44" s="184">
        <v>-88.9</v>
      </c>
      <c r="DU44" s="144"/>
      <c r="DV44" s="179"/>
      <c r="DW44" s="184">
        <v>-145.9</v>
      </c>
      <c r="DX44" s="144"/>
      <c r="DY44" s="179"/>
      <c r="DZ44" s="184">
        <v>-11</v>
      </c>
      <c r="EA44" s="144"/>
      <c r="EB44" s="179"/>
      <c r="EC44" s="184">
        <v>-3.2</v>
      </c>
      <c r="ED44" s="144"/>
      <c r="EE44" s="181">
        <f t="shared" si="0"/>
        <v>111.6</v>
      </c>
      <c r="EF44" s="181">
        <f t="shared" si="1"/>
        <v>-162</v>
      </c>
    </row>
    <row r="45" spans="1:136" ht="12.75" customHeight="1">
      <c r="A45" s="149" t="s">
        <v>180</v>
      </c>
      <c r="B45" s="150" t="s">
        <v>181</v>
      </c>
      <c r="C45" s="179"/>
      <c r="D45" s="180">
        <v>0.18</v>
      </c>
      <c r="E45" s="144"/>
      <c r="F45" s="179"/>
      <c r="G45" s="180">
        <v>0.16</v>
      </c>
      <c r="H45" s="144"/>
      <c r="I45" s="179"/>
      <c r="J45" s="180">
        <v>0.08</v>
      </c>
      <c r="K45" s="144"/>
      <c r="L45" s="179"/>
      <c r="M45" s="180">
        <v>0.09</v>
      </c>
      <c r="N45" s="144"/>
      <c r="O45" s="179"/>
      <c r="P45" s="180">
        <v>0.08</v>
      </c>
      <c r="Q45" s="144"/>
      <c r="R45" s="179"/>
      <c r="S45" s="180">
        <v>0.16</v>
      </c>
      <c r="T45" s="144"/>
      <c r="U45" s="179"/>
      <c r="V45" s="180">
        <v>0.11</v>
      </c>
      <c r="W45" s="144"/>
      <c r="X45" s="179"/>
      <c r="Y45" s="180">
        <v>2.1</v>
      </c>
      <c r="Z45" s="144"/>
      <c r="AA45" s="179"/>
      <c r="AB45" s="180">
        <v>0.35</v>
      </c>
      <c r="AC45" s="144"/>
      <c r="AD45" s="179"/>
      <c r="AE45" s="180">
        <v>0.24</v>
      </c>
      <c r="AF45" s="144"/>
      <c r="AG45" s="179"/>
      <c r="AH45" s="180">
        <v>0.35</v>
      </c>
      <c r="AI45" s="144"/>
      <c r="AJ45" s="179"/>
      <c r="AK45" s="180">
        <v>0.28000000000000003</v>
      </c>
      <c r="AL45" s="144"/>
      <c r="AM45" s="179"/>
      <c r="AN45" s="180">
        <v>0.42</v>
      </c>
      <c r="AO45" s="144"/>
      <c r="AP45" s="179"/>
      <c r="AQ45" s="180">
        <v>0.25</v>
      </c>
      <c r="AR45" s="144"/>
      <c r="AS45" s="179"/>
      <c r="AT45" s="180">
        <v>0.79</v>
      </c>
      <c r="AU45" s="144"/>
      <c r="AV45" s="179"/>
      <c r="AW45" s="180">
        <v>1.01</v>
      </c>
      <c r="AX45" s="144"/>
      <c r="AY45" s="179"/>
      <c r="AZ45" s="180">
        <v>0.77</v>
      </c>
      <c r="BA45" s="144"/>
      <c r="BB45" s="179"/>
      <c r="BC45" s="180">
        <v>0.89</v>
      </c>
      <c r="BD45" s="144"/>
      <c r="BE45" s="179"/>
      <c r="BF45" s="180">
        <v>0.54</v>
      </c>
      <c r="BG45" s="144"/>
      <c r="BH45" s="179"/>
      <c r="BI45" s="180">
        <v>0.75</v>
      </c>
      <c r="BJ45" s="144"/>
      <c r="BK45" s="179"/>
      <c r="BL45" s="180">
        <v>0.92</v>
      </c>
      <c r="BM45" s="144"/>
      <c r="BN45" s="179"/>
      <c r="BO45" s="180">
        <v>0.83</v>
      </c>
      <c r="BP45" s="144"/>
      <c r="BQ45" s="179"/>
      <c r="BR45" s="180">
        <v>0.81</v>
      </c>
      <c r="BS45" s="144"/>
      <c r="BT45" s="179"/>
      <c r="BU45" s="180">
        <v>0.54</v>
      </c>
      <c r="BV45" s="144"/>
      <c r="BW45" s="179"/>
      <c r="BX45" s="180">
        <v>0.73</v>
      </c>
      <c r="BY45" s="144"/>
      <c r="BZ45" s="179"/>
      <c r="CA45" s="180">
        <v>0.97</v>
      </c>
      <c r="CB45" s="144"/>
      <c r="CC45" s="179"/>
      <c r="CD45" s="180">
        <v>0.74</v>
      </c>
      <c r="CE45" s="144"/>
      <c r="CF45" s="179"/>
      <c r="CG45" s="180">
        <v>0.96</v>
      </c>
      <c r="CH45" s="144"/>
      <c r="CI45" s="179"/>
      <c r="CJ45" s="180">
        <v>0.56999999999999995</v>
      </c>
      <c r="CK45" s="144"/>
      <c r="CL45" s="179"/>
      <c r="CM45" s="180">
        <v>0.44</v>
      </c>
      <c r="CN45" s="144"/>
      <c r="CO45" s="179"/>
      <c r="CP45" s="180">
        <v>0.65</v>
      </c>
      <c r="CQ45" s="144"/>
      <c r="CR45" s="179"/>
      <c r="CS45" s="180">
        <v>0.46</v>
      </c>
      <c r="CT45" s="144"/>
      <c r="CU45" s="179"/>
      <c r="CV45" s="180">
        <v>0.59</v>
      </c>
      <c r="CW45" s="144"/>
      <c r="CX45" s="179"/>
      <c r="CY45" s="180">
        <v>0.38</v>
      </c>
      <c r="CZ45" s="144"/>
      <c r="DA45" s="179"/>
      <c r="DB45" s="180">
        <v>0.35</v>
      </c>
      <c r="DC45" s="144"/>
      <c r="DD45" s="179"/>
      <c r="DE45" s="180">
        <v>0.47</v>
      </c>
      <c r="DF45" s="144"/>
      <c r="DG45" s="179"/>
      <c r="DH45" s="180">
        <v>0.36</v>
      </c>
      <c r="DI45" s="144"/>
      <c r="DJ45" s="179"/>
      <c r="DK45" s="180">
        <v>0.46</v>
      </c>
      <c r="DL45" s="144"/>
      <c r="DM45" s="179"/>
      <c r="DN45" s="180">
        <v>0.32</v>
      </c>
      <c r="DO45" s="144"/>
      <c r="DP45" s="179"/>
      <c r="DQ45" s="180">
        <v>0.43</v>
      </c>
      <c r="DR45" s="144"/>
      <c r="DS45" s="179"/>
      <c r="DT45" s="180">
        <v>0.7</v>
      </c>
      <c r="DU45" s="144"/>
      <c r="DV45" s="179"/>
      <c r="DW45" s="180">
        <v>0.43</v>
      </c>
      <c r="DX45" s="144"/>
      <c r="DY45" s="179"/>
      <c r="DZ45" s="180">
        <v>0.7</v>
      </c>
      <c r="EA45" s="144"/>
      <c r="EB45" s="179"/>
      <c r="EC45" s="180">
        <v>0.75</v>
      </c>
      <c r="ED45" s="144"/>
      <c r="EE45" s="181">
        <f t="shared" si="0"/>
        <v>2.1</v>
      </c>
      <c r="EF45" s="181">
        <f t="shared" si="1"/>
        <v>0.08</v>
      </c>
    </row>
    <row r="46" spans="1:136" ht="12.75" customHeight="1">
      <c r="A46" s="149" t="s">
        <v>166</v>
      </c>
      <c r="B46" s="150" t="s">
        <v>182</v>
      </c>
      <c r="C46" s="179"/>
      <c r="D46" s="168">
        <v>0.23899999999999999</v>
      </c>
      <c r="E46" s="144"/>
      <c r="F46" s="179"/>
      <c r="G46" s="168">
        <v>0.222</v>
      </c>
      <c r="H46" s="144"/>
      <c r="I46" s="179"/>
      <c r="J46" s="168">
        <v>0.108</v>
      </c>
      <c r="K46" s="144"/>
      <c r="L46" s="179"/>
      <c r="M46" s="168">
        <v>0.13300000000000001</v>
      </c>
      <c r="N46" s="144"/>
      <c r="O46" s="179"/>
      <c r="P46" s="168">
        <v>0.114</v>
      </c>
      <c r="Q46" s="144"/>
      <c r="R46" s="179"/>
      <c r="S46" s="182">
        <v>0.22</v>
      </c>
      <c r="T46" s="144"/>
      <c r="U46" s="179"/>
      <c r="V46" s="182">
        <v>0.155</v>
      </c>
      <c r="W46" s="144"/>
      <c r="X46" s="179"/>
      <c r="Y46" s="168">
        <v>2.5670000000000002</v>
      </c>
      <c r="Z46" s="144"/>
      <c r="AA46" s="179"/>
      <c r="AB46" s="168">
        <v>0.46400000000000002</v>
      </c>
      <c r="AC46" s="144"/>
      <c r="AD46" s="179"/>
      <c r="AE46" s="168">
        <v>0.32100000000000001</v>
      </c>
      <c r="AF46" s="144"/>
      <c r="AG46" s="179"/>
      <c r="AH46" s="168">
        <v>0.45700000000000002</v>
      </c>
      <c r="AI46" s="144"/>
      <c r="AJ46" s="179"/>
      <c r="AK46" s="168">
        <v>0.36799999999999999</v>
      </c>
      <c r="AL46" s="144"/>
      <c r="AM46" s="179"/>
      <c r="AN46" s="168">
        <v>0.55100000000000005</v>
      </c>
      <c r="AO46" s="144"/>
      <c r="AP46" s="179"/>
      <c r="AQ46" s="168">
        <v>0.34100000000000003</v>
      </c>
      <c r="AR46" s="144"/>
      <c r="AS46" s="179"/>
      <c r="AT46" s="168">
        <v>1.016</v>
      </c>
      <c r="AU46" s="144"/>
      <c r="AV46" s="179"/>
      <c r="AW46" s="168">
        <v>1.2849999999999999</v>
      </c>
      <c r="AX46" s="144"/>
      <c r="AY46" s="179"/>
      <c r="AZ46" s="168">
        <v>0.99099999999999999</v>
      </c>
      <c r="BA46" s="144"/>
      <c r="BB46" s="179"/>
      <c r="BC46" s="168">
        <v>1.1459999999999999</v>
      </c>
      <c r="BD46" s="144"/>
      <c r="BE46" s="179"/>
      <c r="BF46" s="180">
        <v>0.71299999999999997</v>
      </c>
      <c r="BG46" s="144"/>
      <c r="BH46" s="179"/>
      <c r="BI46" s="168">
        <v>0.96899999999999997</v>
      </c>
      <c r="BJ46" s="144"/>
      <c r="BK46" s="179"/>
      <c r="BL46" s="168">
        <v>1.177</v>
      </c>
      <c r="BM46" s="144"/>
      <c r="BN46" s="179"/>
      <c r="BO46" s="168">
        <v>1.081</v>
      </c>
      <c r="BP46" s="144"/>
      <c r="BQ46" s="179"/>
      <c r="BR46" s="168">
        <v>1.038</v>
      </c>
      <c r="BS46" s="144"/>
      <c r="BT46" s="179"/>
      <c r="BU46" s="168">
        <v>0.71299999999999997</v>
      </c>
      <c r="BV46" s="144"/>
      <c r="BW46" s="179"/>
      <c r="BX46" s="168">
        <v>0.93700000000000006</v>
      </c>
      <c r="BY46" s="144"/>
      <c r="BZ46" s="179"/>
      <c r="CA46" s="168">
        <v>1.234</v>
      </c>
      <c r="CB46" s="144"/>
      <c r="CC46" s="179"/>
      <c r="CD46" s="168">
        <v>0.96299999999999997</v>
      </c>
      <c r="CE46" s="144"/>
      <c r="CF46" s="179"/>
      <c r="CG46" s="168">
        <v>1.226</v>
      </c>
      <c r="CH46" s="144"/>
      <c r="CI46" s="179"/>
      <c r="CJ46" s="168">
        <v>0.74199999999999999</v>
      </c>
      <c r="CK46" s="144"/>
      <c r="CL46" s="179"/>
      <c r="CM46" s="168">
        <v>0.58099999999999996</v>
      </c>
      <c r="CN46" s="144"/>
      <c r="CO46" s="179"/>
      <c r="CP46" s="168">
        <v>0.83799999999999997</v>
      </c>
      <c r="CQ46" s="144"/>
      <c r="CR46" s="179"/>
      <c r="CS46" s="168">
        <v>0.60199999999999998</v>
      </c>
      <c r="CT46" s="144"/>
      <c r="CU46" s="179"/>
      <c r="CV46" s="168">
        <v>0.76800000000000002</v>
      </c>
      <c r="CW46" s="144"/>
      <c r="CX46" s="179"/>
      <c r="CY46" s="168">
        <v>0.51100000000000001</v>
      </c>
      <c r="CZ46" s="144"/>
      <c r="DA46" s="179"/>
      <c r="DB46" s="168">
        <v>0.46100000000000002</v>
      </c>
      <c r="DC46" s="144"/>
      <c r="DD46" s="179"/>
      <c r="DE46" s="168">
        <v>0.61799999999999999</v>
      </c>
      <c r="DF46" s="144"/>
      <c r="DG46" s="179"/>
      <c r="DH46" s="168">
        <v>0.47599999999999998</v>
      </c>
      <c r="DI46" s="144"/>
      <c r="DJ46" s="179"/>
      <c r="DK46" s="168">
        <v>0.60899999999999999</v>
      </c>
      <c r="DL46" s="144"/>
      <c r="DM46" s="179"/>
      <c r="DN46" s="168">
        <v>0.42699999999999999</v>
      </c>
      <c r="DO46" s="144"/>
      <c r="DP46" s="179"/>
      <c r="DQ46" s="168">
        <v>0.56799999999999995</v>
      </c>
      <c r="DR46" s="144"/>
      <c r="DS46" s="179"/>
      <c r="DT46" s="168">
        <v>0.90900000000000003</v>
      </c>
      <c r="DU46" s="144"/>
      <c r="DV46" s="179"/>
      <c r="DW46" s="182">
        <v>0.56999999999999995</v>
      </c>
      <c r="DX46" s="144"/>
      <c r="DY46" s="179"/>
      <c r="DZ46" s="182">
        <v>0.90800000000000003</v>
      </c>
      <c r="EA46" s="144"/>
      <c r="EB46" s="179"/>
      <c r="EC46" s="182">
        <v>0.96699999999999997</v>
      </c>
      <c r="ED46" s="144"/>
      <c r="EE46" s="181">
        <f t="shared" si="0"/>
        <v>2.5670000000000002</v>
      </c>
      <c r="EF46" s="181">
        <f t="shared" si="1"/>
        <v>0.108</v>
      </c>
    </row>
    <row r="47" spans="1:136" ht="12.75" customHeight="1">
      <c r="A47" s="149" t="s">
        <v>183</v>
      </c>
      <c r="B47" s="150" t="s">
        <v>9</v>
      </c>
      <c r="C47" s="179"/>
      <c r="D47" s="184">
        <v>12</v>
      </c>
      <c r="E47" s="144"/>
      <c r="F47" s="179"/>
      <c r="G47" s="184">
        <v>9</v>
      </c>
      <c r="H47" s="144"/>
      <c r="I47" s="179"/>
      <c r="J47" s="184">
        <v>9</v>
      </c>
      <c r="K47" s="144"/>
      <c r="L47" s="179"/>
      <c r="M47" s="184">
        <v>9</v>
      </c>
      <c r="N47" s="144"/>
      <c r="O47" s="179"/>
      <c r="P47" s="184">
        <v>10</v>
      </c>
      <c r="Q47" s="144"/>
      <c r="R47" s="179"/>
      <c r="S47" s="184">
        <v>9</v>
      </c>
      <c r="T47" s="144"/>
      <c r="U47" s="179"/>
      <c r="V47" s="184">
        <v>9</v>
      </c>
      <c r="W47" s="144"/>
      <c r="X47" s="179"/>
      <c r="Y47" s="184">
        <v>9</v>
      </c>
      <c r="Z47" s="144"/>
      <c r="AA47" s="179"/>
      <c r="AB47" s="184">
        <v>9</v>
      </c>
      <c r="AC47" s="144"/>
      <c r="AD47" s="179"/>
      <c r="AE47" s="184">
        <v>9</v>
      </c>
      <c r="AF47" s="144"/>
      <c r="AG47" s="179"/>
      <c r="AH47" s="184">
        <v>9</v>
      </c>
      <c r="AI47" s="144"/>
      <c r="AJ47" s="179"/>
      <c r="AK47" s="184">
        <v>7.5</v>
      </c>
      <c r="AL47" s="144"/>
      <c r="AM47" s="179"/>
      <c r="AN47" s="184">
        <v>9</v>
      </c>
      <c r="AO47" s="144"/>
      <c r="AP47" s="179"/>
      <c r="AQ47" s="184">
        <v>9</v>
      </c>
      <c r="AR47" s="144"/>
      <c r="AS47" s="179"/>
      <c r="AT47" s="184">
        <v>9</v>
      </c>
      <c r="AU47" s="144"/>
      <c r="AV47" s="179"/>
      <c r="AW47" s="184">
        <v>9</v>
      </c>
      <c r="AX47" s="144"/>
      <c r="AY47" s="179"/>
      <c r="AZ47" s="180">
        <v>8.75</v>
      </c>
      <c r="BA47" s="144"/>
      <c r="BB47" s="179"/>
      <c r="BC47" s="180">
        <v>9</v>
      </c>
      <c r="BD47" s="144"/>
      <c r="BE47" s="179"/>
      <c r="BF47" s="184">
        <v>9</v>
      </c>
      <c r="BG47" s="144"/>
      <c r="BH47" s="179"/>
      <c r="BI47" s="184">
        <v>9</v>
      </c>
      <c r="BJ47" s="144"/>
      <c r="BK47" s="179"/>
      <c r="BL47" s="184">
        <v>9</v>
      </c>
      <c r="BM47" s="144"/>
      <c r="BN47" s="179"/>
      <c r="BO47" s="184">
        <v>7.5</v>
      </c>
      <c r="BP47" s="144"/>
      <c r="BQ47" s="179"/>
      <c r="BR47" s="184">
        <v>9</v>
      </c>
      <c r="BS47" s="144"/>
      <c r="BT47" s="179"/>
      <c r="BU47" s="184">
        <v>9</v>
      </c>
      <c r="BV47" s="144"/>
      <c r="BW47" s="179"/>
      <c r="BX47" s="184">
        <v>9</v>
      </c>
      <c r="BY47" s="144"/>
      <c r="BZ47" s="179"/>
      <c r="CA47" s="184">
        <v>9</v>
      </c>
      <c r="CB47" s="144"/>
      <c r="CC47" s="179"/>
      <c r="CD47" s="184">
        <v>17.5</v>
      </c>
      <c r="CE47" s="144"/>
      <c r="CF47" s="179"/>
      <c r="CG47" s="184">
        <v>9</v>
      </c>
      <c r="CH47" s="144"/>
      <c r="CI47" s="179"/>
      <c r="CJ47" s="184">
        <v>9</v>
      </c>
      <c r="CK47" s="144"/>
      <c r="CL47" s="179"/>
      <c r="CM47" s="184">
        <v>9</v>
      </c>
      <c r="CN47" s="144"/>
      <c r="CO47" s="179"/>
      <c r="CP47" s="184">
        <v>9</v>
      </c>
      <c r="CQ47" s="144"/>
      <c r="CR47" s="179"/>
      <c r="CS47" s="184">
        <v>7.5</v>
      </c>
      <c r="CT47" s="144"/>
      <c r="CU47" s="179"/>
      <c r="CV47" s="184">
        <v>9</v>
      </c>
      <c r="CW47" s="144"/>
      <c r="CX47" s="179"/>
      <c r="CY47" s="184">
        <v>6</v>
      </c>
      <c r="CZ47" s="144"/>
      <c r="DA47" s="179"/>
      <c r="DB47" s="184">
        <v>9</v>
      </c>
      <c r="DC47" s="144"/>
      <c r="DD47" s="179"/>
      <c r="DE47" s="184">
        <v>9</v>
      </c>
      <c r="DF47" s="144"/>
      <c r="DG47" s="179"/>
      <c r="DH47" s="184">
        <v>7.5</v>
      </c>
      <c r="DI47" s="144"/>
      <c r="DJ47" s="179"/>
      <c r="DK47" s="184">
        <v>9</v>
      </c>
      <c r="DL47" s="144"/>
      <c r="DM47" s="179"/>
      <c r="DN47" s="184">
        <v>9</v>
      </c>
      <c r="DO47" s="144"/>
      <c r="DP47" s="179"/>
      <c r="DQ47" s="184">
        <v>9</v>
      </c>
      <c r="DR47" s="144"/>
      <c r="DS47" s="179"/>
      <c r="DT47" s="184">
        <v>9</v>
      </c>
      <c r="DU47" s="144"/>
      <c r="DV47" s="179"/>
      <c r="DW47" s="180">
        <v>13.75</v>
      </c>
      <c r="DX47" s="144"/>
      <c r="DY47" s="179"/>
      <c r="DZ47" s="184">
        <v>9</v>
      </c>
      <c r="EA47" s="144"/>
      <c r="EB47" s="179"/>
      <c r="EC47" s="184">
        <v>9</v>
      </c>
      <c r="ED47" s="144"/>
      <c r="EE47" s="181">
        <f t="shared" si="0"/>
        <v>17.5</v>
      </c>
      <c r="EF47" s="181">
        <f t="shared" si="1"/>
        <v>6</v>
      </c>
    </row>
    <row r="48" spans="1:136" ht="12.75" customHeight="1">
      <c r="A48" s="172" t="s">
        <v>184</v>
      </c>
      <c r="B48" s="173" t="s">
        <v>185</v>
      </c>
      <c r="C48" s="185"/>
      <c r="D48" s="186">
        <v>300</v>
      </c>
      <c r="E48" s="159"/>
      <c r="F48" s="185"/>
      <c r="G48" s="186">
        <v>300</v>
      </c>
      <c r="H48" s="159"/>
      <c r="I48" s="185"/>
      <c r="J48" s="186">
        <v>300</v>
      </c>
      <c r="K48" s="159"/>
      <c r="L48" s="185"/>
      <c r="M48" s="186">
        <v>300</v>
      </c>
      <c r="N48" s="159"/>
      <c r="O48" s="185"/>
      <c r="P48" s="186">
        <v>250</v>
      </c>
      <c r="Q48" s="159"/>
      <c r="R48" s="185"/>
      <c r="S48" s="186">
        <v>300</v>
      </c>
      <c r="T48" s="159"/>
      <c r="U48" s="185"/>
      <c r="V48" s="186">
        <v>300</v>
      </c>
      <c r="W48" s="159"/>
      <c r="X48" s="185"/>
      <c r="Y48" s="186">
        <v>300</v>
      </c>
      <c r="Z48" s="159"/>
      <c r="AA48" s="185"/>
      <c r="AB48" s="186">
        <v>300</v>
      </c>
      <c r="AC48" s="159"/>
      <c r="AD48" s="185"/>
      <c r="AE48" s="186">
        <v>300</v>
      </c>
      <c r="AF48" s="159"/>
      <c r="AG48" s="185"/>
      <c r="AH48" s="186">
        <v>300</v>
      </c>
      <c r="AI48" s="159"/>
      <c r="AJ48" s="185"/>
      <c r="AK48" s="186">
        <v>250</v>
      </c>
      <c r="AL48" s="159"/>
      <c r="AM48" s="185"/>
      <c r="AN48" s="186">
        <v>300</v>
      </c>
      <c r="AO48" s="159"/>
      <c r="AP48" s="185"/>
      <c r="AQ48" s="186">
        <v>300</v>
      </c>
      <c r="AR48" s="159"/>
      <c r="AS48" s="185"/>
      <c r="AT48" s="186">
        <v>300</v>
      </c>
      <c r="AU48" s="159"/>
      <c r="AV48" s="185"/>
      <c r="AW48" s="186">
        <v>300</v>
      </c>
      <c r="AX48" s="159"/>
      <c r="AY48" s="185"/>
      <c r="AZ48" s="186">
        <v>250</v>
      </c>
      <c r="BA48" s="159"/>
      <c r="BB48" s="185"/>
      <c r="BC48" s="186">
        <v>300</v>
      </c>
      <c r="BD48" s="159"/>
      <c r="BE48" s="185"/>
      <c r="BF48" s="194">
        <v>300</v>
      </c>
      <c r="BG48" s="159"/>
      <c r="BH48" s="185"/>
      <c r="BI48" s="186">
        <v>300</v>
      </c>
      <c r="BJ48" s="159"/>
      <c r="BK48" s="185"/>
      <c r="BL48" s="186">
        <v>300</v>
      </c>
      <c r="BM48" s="159"/>
      <c r="BN48" s="185"/>
      <c r="BO48" s="186">
        <v>250</v>
      </c>
      <c r="BP48" s="159"/>
      <c r="BQ48" s="185"/>
      <c r="BR48" s="186">
        <v>300</v>
      </c>
      <c r="BS48" s="159"/>
      <c r="BT48" s="185"/>
      <c r="BU48" s="186">
        <v>300</v>
      </c>
      <c r="BV48" s="159"/>
      <c r="BW48" s="185"/>
      <c r="BX48" s="186">
        <v>300</v>
      </c>
      <c r="BY48" s="159"/>
      <c r="BZ48" s="185"/>
      <c r="CA48" s="186">
        <v>300</v>
      </c>
      <c r="CB48" s="159"/>
      <c r="CC48" s="185"/>
      <c r="CD48" s="186">
        <v>250</v>
      </c>
      <c r="CE48" s="159"/>
      <c r="CF48" s="185"/>
      <c r="CG48" s="186">
        <v>300</v>
      </c>
      <c r="CH48" s="159"/>
      <c r="CI48" s="185"/>
      <c r="CJ48" s="186">
        <v>300</v>
      </c>
      <c r="CK48" s="159"/>
      <c r="CL48" s="185"/>
      <c r="CM48" s="186">
        <v>300</v>
      </c>
      <c r="CN48" s="159"/>
      <c r="CO48" s="185"/>
      <c r="CP48" s="186">
        <v>300</v>
      </c>
      <c r="CQ48" s="159"/>
      <c r="CR48" s="185"/>
      <c r="CS48" s="186">
        <v>250</v>
      </c>
      <c r="CT48" s="159"/>
      <c r="CU48" s="185"/>
      <c r="CV48" s="186">
        <v>300</v>
      </c>
      <c r="CW48" s="159"/>
      <c r="CX48" s="185"/>
      <c r="CY48" s="186">
        <v>200</v>
      </c>
      <c r="CZ48" s="159"/>
      <c r="DA48" s="185"/>
      <c r="DB48" s="186">
        <v>300</v>
      </c>
      <c r="DC48" s="159"/>
      <c r="DD48" s="185"/>
      <c r="DE48" s="186">
        <v>300</v>
      </c>
      <c r="DF48" s="159"/>
      <c r="DG48" s="185"/>
      <c r="DH48" s="186">
        <v>250</v>
      </c>
      <c r="DI48" s="159"/>
      <c r="DJ48" s="185"/>
      <c r="DK48" s="186">
        <v>300</v>
      </c>
      <c r="DL48" s="159"/>
      <c r="DM48" s="185"/>
      <c r="DN48" s="186">
        <v>300</v>
      </c>
      <c r="DO48" s="159"/>
      <c r="DP48" s="185"/>
      <c r="DQ48" s="186">
        <v>300</v>
      </c>
      <c r="DR48" s="159"/>
      <c r="DS48" s="185"/>
      <c r="DT48" s="186">
        <v>300</v>
      </c>
      <c r="DU48" s="159"/>
      <c r="DV48" s="185"/>
      <c r="DW48" s="186">
        <v>250</v>
      </c>
      <c r="DX48" s="159"/>
      <c r="DY48" s="185"/>
      <c r="DZ48" s="186">
        <v>300</v>
      </c>
      <c r="EA48" s="159"/>
      <c r="EB48" s="185"/>
      <c r="EC48" s="186">
        <v>300</v>
      </c>
      <c r="ED48" s="159"/>
      <c r="EE48" s="181">
        <f t="shared" si="0"/>
        <v>300</v>
      </c>
      <c r="EF48" s="181">
        <f t="shared" si="1"/>
        <v>200</v>
      </c>
    </row>
    <row r="49" spans="1:44" ht="12.75" customHeight="1">
      <c r="A49" s="128"/>
      <c r="B49" s="187"/>
      <c r="C49" s="168"/>
      <c r="D49" s="188"/>
      <c r="E49" s="189"/>
      <c r="F49" s="168"/>
      <c r="G49" s="188"/>
      <c r="H49" s="189"/>
      <c r="I49" s="168"/>
      <c r="J49" s="188"/>
      <c r="K49" s="189"/>
      <c r="L49" s="168"/>
      <c r="M49" s="188"/>
      <c r="N49" s="189"/>
      <c r="O49" s="168"/>
      <c r="P49" s="188"/>
      <c r="Q49" s="189"/>
      <c r="R49" s="168"/>
      <c r="S49" s="188"/>
      <c r="T49" s="189"/>
      <c r="U49" s="168"/>
      <c r="V49" s="188"/>
      <c r="W49" s="189"/>
      <c r="X49" s="168"/>
      <c r="Y49" s="188"/>
      <c r="Z49" s="189"/>
      <c r="AA49" s="168"/>
      <c r="AB49" s="188"/>
      <c r="AC49" s="189"/>
      <c r="AD49" s="168"/>
      <c r="AE49" s="188"/>
      <c r="AF49" s="189"/>
      <c r="AG49" s="168"/>
      <c r="AH49" s="188"/>
      <c r="AI49" s="189"/>
      <c r="AJ49" s="168"/>
      <c r="AK49" s="188"/>
      <c r="AL49" s="189"/>
      <c r="AM49" s="168"/>
      <c r="AN49" s="188"/>
      <c r="AO49" s="189"/>
      <c r="AP49" s="168"/>
      <c r="AQ49" s="188"/>
      <c r="AR49" s="189"/>
    </row>
    <row r="50" spans="1:44" ht="12.75" customHeight="1">
      <c r="A50" s="190" t="s">
        <v>186</v>
      </c>
    </row>
    <row r="51" spans="1:44" ht="12.75" customHeight="1">
      <c r="A51" s="191" t="s">
        <v>187</v>
      </c>
    </row>
    <row r="52" spans="1:44" ht="12.75" customHeight="1">
      <c r="A52" s="191" t="s">
        <v>188</v>
      </c>
    </row>
    <row r="53" spans="1:44" ht="12.75" customHeight="1">
      <c r="A53" s="192" t="s">
        <v>189</v>
      </c>
    </row>
  </sheetData>
  <mergeCells count="396">
    <mergeCell ref="DY17:EA17"/>
    <mergeCell ref="EB17:ED17"/>
    <mergeCell ref="DG17:DI17"/>
    <mergeCell ref="DJ17:DL17"/>
    <mergeCell ref="DM17:DO17"/>
    <mergeCell ref="DP17:DR17"/>
    <mergeCell ref="DS17:DU17"/>
    <mergeCell ref="DV17:DX17"/>
    <mergeCell ref="CO17:CQ17"/>
    <mergeCell ref="CR17:CT17"/>
    <mergeCell ref="CU17:CW17"/>
    <mergeCell ref="CX17:CZ17"/>
    <mergeCell ref="DA17:DC17"/>
    <mergeCell ref="DD17:DF17"/>
    <mergeCell ref="BW17:BY17"/>
    <mergeCell ref="BZ17:CB17"/>
    <mergeCell ref="CC17:CE17"/>
    <mergeCell ref="CF17:CH17"/>
    <mergeCell ref="CI17:CK17"/>
    <mergeCell ref="CL17:CN17"/>
    <mergeCell ref="BE17:BG17"/>
    <mergeCell ref="BH17:BJ17"/>
    <mergeCell ref="BK17:BM17"/>
    <mergeCell ref="BN17:BP17"/>
    <mergeCell ref="BQ17:BS17"/>
    <mergeCell ref="BT17:BV17"/>
    <mergeCell ref="AM17:AO17"/>
    <mergeCell ref="AP17:AR17"/>
    <mergeCell ref="AS17:AU17"/>
    <mergeCell ref="AV17:AX17"/>
    <mergeCell ref="AY17:BA17"/>
    <mergeCell ref="BB17:BD17"/>
    <mergeCell ref="U17:W17"/>
    <mergeCell ref="X17:Z17"/>
    <mergeCell ref="AA17:AC17"/>
    <mergeCell ref="AD17:AF17"/>
    <mergeCell ref="AG17:AI17"/>
    <mergeCell ref="AJ17:AL17"/>
    <mergeCell ref="C17:E17"/>
    <mergeCell ref="F17:H17"/>
    <mergeCell ref="I17:K17"/>
    <mergeCell ref="L17:N17"/>
    <mergeCell ref="O17:Q17"/>
    <mergeCell ref="R17:T17"/>
    <mergeCell ref="DM16:DO16"/>
    <mergeCell ref="DP16:DR16"/>
    <mergeCell ref="DS16:DU16"/>
    <mergeCell ref="CC16:CE16"/>
    <mergeCell ref="CF16:CH16"/>
    <mergeCell ref="CI16:CK16"/>
    <mergeCell ref="CL16:CN16"/>
    <mergeCell ref="CO16:CQ16"/>
    <mergeCell ref="CR16:CT16"/>
    <mergeCell ref="BK16:BM16"/>
    <mergeCell ref="BN16:BP16"/>
    <mergeCell ref="BQ16:BS16"/>
    <mergeCell ref="BT16:BV16"/>
    <mergeCell ref="BW16:BY16"/>
    <mergeCell ref="BZ16:CB16"/>
    <mergeCell ref="AS16:AU16"/>
    <mergeCell ref="AV16:AX16"/>
    <mergeCell ref="AY16:BA16"/>
    <mergeCell ref="DV16:DX16"/>
    <mergeCell ref="DY16:EA16"/>
    <mergeCell ref="EB16:ED16"/>
    <mergeCell ref="CU16:CW16"/>
    <mergeCell ref="CX16:CZ16"/>
    <mergeCell ref="DA16:DC16"/>
    <mergeCell ref="DD16:DF16"/>
    <mergeCell ref="DG16:DI16"/>
    <mergeCell ref="DJ16:DL16"/>
    <mergeCell ref="BB16:BD16"/>
    <mergeCell ref="BE16:BG16"/>
    <mergeCell ref="BH16:BJ16"/>
    <mergeCell ref="AA16:AC16"/>
    <mergeCell ref="AD16:AF16"/>
    <mergeCell ref="AG16:AI16"/>
    <mergeCell ref="AJ16:AL16"/>
    <mergeCell ref="AM16:AO16"/>
    <mergeCell ref="AP16:AR16"/>
    <mergeCell ref="DY15:EA15"/>
    <mergeCell ref="EB15:ED15"/>
    <mergeCell ref="C16:E16"/>
    <mergeCell ref="F16:H16"/>
    <mergeCell ref="I16:K16"/>
    <mergeCell ref="L16:N16"/>
    <mergeCell ref="O16:Q16"/>
    <mergeCell ref="R16:T16"/>
    <mergeCell ref="U16:W16"/>
    <mergeCell ref="X16:Z16"/>
    <mergeCell ref="DG15:DI15"/>
    <mergeCell ref="DJ15:DL15"/>
    <mergeCell ref="DM15:DO15"/>
    <mergeCell ref="DP15:DR15"/>
    <mergeCell ref="DS15:DU15"/>
    <mergeCell ref="DV15:DX15"/>
    <mergeCell ref="CO15:CQ15"/>
    <mergeCell ref="CR15:CT15"/>
    <mergeCell ref="CU15:CW15"/>
    <mergeCell ref="CX15:CZ15"/>
    <mergeCell ref="DA15:DC15"/>
    <mergeCell ref="DD15:DF15"/>
    <mergeCell ref="BW15:BY15"/>
    <mergeCell ref="BZ15:CB15"/>
    <mergeCell ref="CC15:CE15"/>
    <mergeCell ref="CF15:CH15"/>
    <mergeCell ref="CI15:CK15"/>
    <mergeCell ref="CL15:CN15"/>
    <mergeCell ref="BE15:BG15"/>
    <mergeCell ref="BH15:BJ15"/>
    <mergeCell ref="BK15:BM15"/>
    <mergeCell ref="BN15:BP15"/>
    <mergeCell ref="BQ15:BS15"/>
    <mergeCell ref="BT15:BV15"/>
    <mergeCell ref="AM15:AO15"/>
    <mergeCell ref="AP15:AR15"/>
    <mergeCell ref="AS15:AU15"/>
    <mergeCell ref="AV15:AX15"/>
    <mergeCell ref="AY15:BA15"/>
    <mergeCell ref="BB15:BD15"/>
    <mergeCell ref="U15:W15"/>
    <mergeCell ref="X15:Z15"/>
    <mergeCell ref="AA15:AC15"/>
    <mergeCell ref="AD15:AF15"/>
    <mergeCell ref="AG15:AI15"/>
    <mergeCell ref="AJ15:AL15"/>
    <mergeCell ref="C15:E15"/>
    <mergeCell ref="F15:H15"/>
    <mergeCell ref="I15:K15"/>
    <mergeCell ref="L15:N15"/>
    <mergeCell ref="O15:Q15"/>
    <mergeCell ref="R15:T15"/>
    <mergeCell ref="DM14:DO14"/>
    <mergeCell ref="DP14:DR14"/>
    <mergeCell ref="DS14:DU14"/>
    <mergeCell ref="CC14:CE14"/>
    <mergeCell ref="CF14:CH14"/>
    <mergeCell ref="CI14:CK14"/>
    <mergeCell ref="CL14:CN14"/>
    <mergeCell ref="CO14:CQ14"/>
    <mergeCell ref="CR14:CT14"/>
    <mergeCell ref="BK14:BM14"/>
    <mergeCell ref="BN14:BP14"/>
    <mergeCell ref="BQ14:BS14"/>
    <mergeCell ref="BT14:BV14"/>
    <mergeCell ref="BW14:BY14"/>
    <mergeCell ref="BZ14:CB14"/>
    <mergeCell ref="AS14:AU14"/>
    <mergeCell ref="AV14:AX14"/>
    <mergeCell ref="AY14:BA14"/>
    <mergeCell ref="DV14:DX14"/>
    <mergeCell ref="DY14:EA14"/>
    <mergeCell ref="EB14:ED14"/>
    <mergeCell ref="CU14:CW14"/>
    <mergeCell ref="CX14:CZ14"/>
    <mergeCell ref="DA14:DC14"/>
    <mergeCell ref="DD14:DF14"/>
    <mergeCell ref="DG14:DI14"/>
    <mergeCell ref="DJ14:DL14"/>
    <mergeCell ref="BB14:BD14"/>
    <mergeCell ref="BE14:BG14"/>
    <mergeCell ref="BH14:BJ14"/>
    <mergeCell ref="AA14:AC14"/>
    <mergeCell ref="AD14:AF14"/>
    <mergeCell ref="AG14:AI14"/>
    <mergeCell ref="AJ14:AL14"/>
    <mergeCell ref="AM14:AO14"/>
    <mergeCell ref="AP14:AR14"/>
    <mergeCell ref="DY13:EA13"/>
    <mergeCell ref="EB13:ED13"/>
    <mergeCell ref="C14:E14"/>
    <mergeCell ref="F14:H14"/>
    <mergeCell ref="I14:K14"/>
    <mergeCell ref="L14:N14"/>
    <mergeCell ref="O14:Q14"/>
    <mergeCell ref="R14:T14"/>
    <mergeCell ref="U14:W14"/>
    <mergeCell ref="X14:Z14"/>
    <mergeCell ref="DG13:DI13"/>
    <mergeCell ref="DJ13:DL13"/>
    <mergeCell ref="DM13:DO13"/>
    <mergeCell ref="DP13:DR13"/>
    <mergeCell ref="DS13:DU13"/>
    <mergeCell ref="DV13:DX13"/>
    <mergeCell ref="CO13:CQ13"/>
    <mergeCell ref="CR13:CT13"/>
    <mergeCell ref="CU13:CW13"/>
    <mergeCell ref="CX13:CZ13"/>
    <mergeCell ref="DA13:DC13"/>
    <mergeCell ref="DD13:DF13"/>
    <mergeCell ref="BW13:BY13"/>
    <mergeCell ref="BZ13:CB13"/>
    <mergeCell ref="CC13:CE13"/>
    <mergeCell ref="CF13:CH13"/>
    <mergeCell ref="CI13:CK13"/>
    <mergeCell ref="CL13:CN13"/>
    <mergeCell ref="BE13:BG13"/>
    <mergeCell ref="BH13:BJ13"/>
    <mergeCell ref="BK13:BM13"/>
    <mergeCell ref="BN13:BP13"/>
    <mergeCell ref="BQ13:BS13"/>
    <mergeCell ref="BT13:BV13"/>
    <mergeCell ref="AM13:AO13"/>
    <mergeCell ref="AP13:AR13"/>
    <mergeCell ref="AS13:AU13"/>
    <mergeCell ref="AV13:AX13"/>
    <mergeCell ref="AY13:BA13"/>
    <mergeCell ref="BB13:BD13"/>
    <mergeCell ref="U13:W13"/>
    <mergeCell ref="X13:Z13"/>
    <mergeCell ref="AA13:AC13"/>
    <mergeCell ref="AD13:AF13"/>
    <mergeCell ref="AG13:AI13"/>
    <mergeCell ref="AJ13:AL13"/>
    <mergeCell ref="C13:E13"/>
    <mergeCell ref="F13:H13"/>
    <mergeCell ref="I13:K13"/>
    <mergeCell ref="L13:N13"/>
    <mergeCell ref="O13:Q13"/>
    <mergeCell ref="R13:T13"/>
    <mergeCell ref="DM12:DO12"/>
    <mergeCell ref="DP12:DR12"/>
    <mergeCell ref="DS12:DU12"/>
    <mergeCell ref="CC12:CE12"/>
    <mergeCell ref="CF12:CH12"/>
    <mergeCell ref="CI12:CK12"/>
    <mergeCell ref="CL12:CN12"/>
    <mergeCell ref="CO12:CQ12"/>
    <mergeCell ref="CR12:CT12"/>
    <mergeCell ref="BK12:BM12"/>
    <mergeCell ref="BN12:BP12"/>
    <mergeCell ref="BQ12:BS12"/>
    <mergeCell ref="BT12:BV12"/>
    <mergeCell ref="BW12:BY12"/>
    <mergeCell ref="BZ12:CB12"/>
    <mergeCell ref="AS12:AU12"/>
    <mergeCell ref="AV12:AX12"/>
    <mergeCell ref="AY12:BA12"/>
    <mergeCell ref="DV12:DX12"/>
    <mergeCell ref="DY12:EA12"/>
    <mergeCell ref="EB12:ED12"/>
    <mergeCell ref="CU12:CW12"/>
    <mergeCell ref="CX12:CZ12"/>
    <mergeCell ref="DA12:DC12"/>
    <mergeCell ref="DD12:DF12"/>
    <mergeCell ref="DG12:DI12"/>
    <mergeCell ref="DJ12:DL12"/>
    <mergeCell ref="BB12:BD12"/>
    <mergeCell ref="BE12:BG12"/>
    <mergeCell ref="BH12:BJ12"/>
    <mergeCell ref="AA12:AC12"/>
    <mergeCell ref="AD12:AF12"/>
    <mergeCell ref="AG12:AI12"/>
    <mergeCell ref="AJ12:AL12"/>
    <mergeCell ref="AM12:AO12"/>
    <mergeCell ref="AP12:AR12"/>
    <mergeCell ref="DY11:EA11"/>
    <mergeCell ref="EB11:ED11"/>
    <mergeCell ref="C12:E12"/>
    <mergeCell ref="F12:H12"/>
    <mergeCell ref="I12:K12"/>
    <mergeCell ref="L12:N12"/>
    <mergeCell ref="O12:Q12"/>
    <mergeCell ref="R12:T12"/>
    <mergeCell ref="U12:W12"/>
    <mergeCell ref="X12:Z12"/>
    <mergeCell ref="DG11:DI11"/>
    <mergeCell ref="DJ11:DL11"/>
    <mergeCell ref="DM11:DO11"/>
    <mergeCell ref="DP11:DR11"/>
    <mergeCell ref="DS11:DU11"/>
    <mergeCell ref="DV11:DX11"/>
    <mergeCell ref="CO11:CQ11"/>
    <mergeCell ref="CR11:CT11"/>
    <mergeCell ref="CU11:CW11"/>
    <mergeCell ref="CX11:CZ11"/>
    <mergeCell ref="DA11:DC11"/>
    <mergeCell ref="DD11:DF11"/>
    <mergeCell ref="BW11:BY11"/>
    <mergeCell ref="BZ11:CB11"/>
    <mergeCell ref="CC11:CE11"/>
    <mergeCell ref="CF11:CH11"/>
    <mergeCell ref="CI11:CK11"/>
    <mergeCell ref="CL11:CN11"/>
    <mergeCell ref="BE11:BG11"/>
    <mergeCell ref="BH11:BJ11"/>
    <mergeCell ref="BK11:BM11"/>
    <mergeCell ref="BN11:BP11"/>
    <mergeCell ref="BQ11:BS11"/>
    <mergeCell ref="BT11:BV11"/>
    <mergeCell ref="AM11:AO11"/>
    <mergeCell ref="AP11:AR11"/>
    <mergeCell ref="AS11:AU11"/>
    <mergeCell ref="AV11:AX11"/>
    <mergeCell ref="AY11:BA11"/>
    <mergeCell ref="BB11:BD11"/>
    <mergeCell ref="U11:W11"/>
    <mergeCell ref="X11:Z11"/>
    <mergeCell ref="AA11:AC11"/>
    <mergeCell ref="AD11:AF11"/>
    <mergeCell ref="AG11:AI11"/>
    <mergeCell ref="AJ11:AL11"/>
    <mergeCell ref="C11:E11"/>
    <mergeCell ref="F11:H11"/>
    <mergeCell ref="I11:K11"/>
    <mergeCell ref="L11:N11"/>
    <mergeCell ref="O11:Q11"/>
    <mergeCell ref="R11:T11"/>
    <mergeCell ref="DM10:DO10"/>
    <mergeCell ref="DP10:DR10"/>
    <mergeCell ref="DS10:DU10"/>
    <mergeCell ref="CC10:CE10"/>
    <mergeCell ref="CF10:CH10"/>
    <mergeCell ref="CI10:CK10"/>
    <mergeCell ref="CL10:CN10"/>
    <mergeCell ref="CO10:CQ10"/>
    <mergeCell ref="CR10:CT10"/>
    <mergeCell ref="BK10:BM10"/>
    <mergeCell ref="BN10:BP10"/>
    <mergeCell ref="BQ10:BS10"/>
    <mergeCell ref="BT10:BV10"/>
    <mergeCell ref="BW10:BY10"/>
    <mergeCell ref="BZ10:CB10"/>
    <mergeCell ref="AS10:AU10"/>
    <mergeCell ref="AV10:AX10"/>
    <mergeCell ref="AY10:BA10"/>
    <mergeCell ref="DV10:DX10"/>
    <mergeCell ref="DY10:EA10"/>
    <mergeCell ref="EB10:ED10"/>
    <mergeCell ref="CU10:CW10"/>
    <mergeCell ref="CX10:CZ10"/>
    <mergeCell ref="DA10:DC10"/>
    <mergeCell ref="DD10:DF10"/>
    <mergeCell ref="DG10:DI10"/>
    <mergeCell ref="DJ10:DL10"/>
    <mergeCell ref="BB10:BD10"/>
    <mergeCell ref="BE10:BG10"/>
    <mergeCell ref="BH10:BJ10"/>
    <mergeCell ref="AA10:AC10"/>
    <mergeCell ref="AD10:AF10"/>
    <mergeCell ref="AG10:AI10"/>
    <mergeCell ref="AJ10:AL10"/>
    <mergeCell ref="AM10:AO10"/>
    <mergeCell ref="AP10:AR10"/>
    <mergeCell ref="DY9:EA9"/>
    <mergeCell ref="EB9:ED9"/>
    <mergeCell ref="C10:E10"/>
    <mergeCell ref="F10:H10"/>
    <mergeCell ref="I10:K10"/>
    <mergeCell ref="L10:N10"/>
    <mergeCell ref="O10:Q10"/>
    <mergeCell ref="R10:T10"/>
    <mergeCell ref="U10:W10"/>
    <mergeCell ref="X10:Z10"/>
    <mergeCell ref="DG9:DI9"/>
    <mergeCell ref="DJ9:DL9"/>
    <mergeCell ref="DM9:DO9"/>
    <mergeCell ref="DP9:DR9"/>
    <mergeCell ref="DS9:DU9"/>
    <mergeCell ref="DV9:DX9"/>
    <mergeCell ref="CO9:CQ9"/>
    <mergeCell ref="CR9:CT9"/>
    <mergeCell ref="CU9:CW9"/>
    <mergeCell ref="CX9:CZ9"/>
    <mergeCell ref="DA9:DC9"/>
    <mergeCell ref="DD9:DF9"/>
    <mergeCell ref="BW9:BY9"/>
    <mergeCell ref="BZ9:CB9"/>
    <mergeCell ref="CC9:CE9"/>
    <mergeCell ref="CF9:CH9"/>
    <mergeCell ref="CI9:CK9"/>
    <mergeCell ref="CL9:CN9"/>
    <mergeCell ref="BE9:BG9"/>
    <mergeCell ref="BH9:BJ9"/>
    <mergeCell ref="BK9:BM9"/>
    <mergeCell ref="BN9:BP9"/>
    <mergeCell ref="BQ9:BS9"/>
    <mergeCell ref="BT9:BV9"/>
    <mergeCell ref="AV9:AX9"/>
    <mergeCell ref="AY9:BA9"/>
    <mergeCell ref="BB9:BD9"/>
    <mergeCell ref="U9:W9"/>
    <mergeCell ref="X9:Z9"/>
    <mergeCell ref="AA9:AC9"/>
    <mergeCell ref="AD9:AF9"/>
    <mergeCell ref="AG9:AI9"/>
    <mergeCell ref="AJ9:AL9"/>
    <mergeCell ref="C9:E9"/>
    <mergeCell ref="F9:H9"/>
    <mergeCell ref="I9:K9"/>
    <mergeCell ref="L9:N9"/>
    <mergeCell ref="O9:Q9"/>
    <mergeCell ref="R9:T9"/>
    <mergeCell ref="AM9:AO9"/>
    <mergeCell ref="AP9:AR9"/>
    <mergeCell ref="AS9:AU9"/>
  </mergeCells>
  <printOptions horizontalCentered="1"/>
  <pageMargins left="0.5" right="0.5" top="1.6" bottom="0.85" header="0.8" footer="0.5"/>
  <pageSetup scale="35" orientation="landscape" r:id="rId1"/>
  <headerFooter alignWithMargins="0">
    <oddHeader>&amp;C&amp;"Times New Roman,Bold"&amp;12 Table X
Groundwater Analytical Data
&amp;10Remedial Action Plan
Bernard III Land Company, Inc. - Indiana Site, PADEP Facility ID #32-32708</oddHeader>
    <oddFooter>&amp;L&amp;"Times New Roman,Regular"&amp;8&amp;T&amp;  on &amp;D
&amp;C&amp;"Times New Roman,Regular"&amp;8&amp;P&amp;  of &amp;N
&amp;R&amp;"Times New Roman, Regular"&amp;8&amp;F
&amp;Z</oddFooter>
  </headerFooter>
  <rowBreaks count="1" manualBreakCount="1">
    <brk id="8" max="16383" man="1"/>
  </rowBreaks>
  <colBreaks count="7" manualBreakCount="7">
    <brk id="23" min="8" max="52" man="1"/>
    <brk id="59" min="8" max="52" man="1"/>
    <brk id="89" min="8" max="52" man="1"/>
    <brk id="152" max="1048575" man="1"/>
    <brk id="179" max="1048575" man="1"/>
    <brk id="206" max="1048575" man="1"/>
    <brk id="23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3:DC52"/>
  <sheetViews>
    <sheetView view="pageBreakPreview" topLeftCell="A4" zoomScaleNormal="100" zoomScaleSheetLayoutView="100" workbookViewId="0">
      <selection activeCell="S23" sqref="S23"/>
    </sheetView>
  </sheetViews>
  <sheetFormatPr defaultColWidth="8" defaultRowHeight="12.75"/>
  <cols>
    <col min="1" max="1" width="30.7109375" style="125" customWidth="1"/>
    <col min="2" max="2" width="9.7109375" style="125" customWidth="1"/>
    <col min="3" max="3" width="3.7109375" style="125" customWidth="1"/>
    <col min="4" max="4" width="9.7109375" style="125" customWidth="1"/>
    <col min="5" max="6" width="3.7109375" style="125" customWidth="1"/>
    <col min="7" max="7" width="9.7109375" style="125" customWidth="1"/>
    <col min="8" max="9" width="3.7109375" style="125" customWidth="1"/>
    <col min="10" max="10" width="9.7109375" style="125" customWidth="1"/>
    <col min="11" max="12" width="3.7109375" style="125" customWidth="1"/>
    <col min="13" max="13" width="9.7109375" style="125" customWidth="1"/>
    <col min="14" max="15" width="3.7109375" style="125" customWidth="1"/>
    <col min="16" max="16" width="9.7109375" style="125" customWidth="1"/>
    <col min="17" max="18" width="3.7109375" style="125" customWidth="1"/>
    <col min="19" max="19" width="9.7109375" style="125" customWidth="1"/>
    <col min="20" max="21" width="3.7109375" style="125" customWidth="1"/>
    <col min="22" max="22" width="9.7109375" style="125" customWidth="1"/>
    <col min="23" max="24" width="3.7109375" style="125" customWidth="1"/>
    <col min="25" max="25" width="9.7109375" style="125" customWidth="1"/>
    <col min="26" max="27" width="3.7109375" style="125" customWidth="1"/>
    <col min="28" max="28" width="9.7109375" style="125" customWidth="1"/>
    <col min="29" max="30" width="3.7109375" style="125" customWidth="1"/>
    <col min="31" max="31" width="9.7109375" style="125" customWidth="1"/>
    <col min="32" max="33" width="3.7109375" style="125" customWidth="1"/>
    <col min="34" max="34" width="9.7109375" style="125" customWidth="1"/>
    <col min="35" max="36" width="3.7109375" style="125" customWidth="1"/>
    <col min="37" max="37" width="9.7109375" style="125" customWidth="1"/>
    <col min="38" max="39" width="3.7109375" style="125" customWidth="1"/>
    <col min="40" max="40" width="9.7109375" style="125" customWidth="1"/>
    <col min="41" max="42" width="3.7109375" style="125" customWidth="1"/>
    <col min="43" max="43" width="9.7109375" style="125" customWidth="1"/>
    <col min="44" max="45" width="3.7109375" style="125" customWidth="1"/>
    <col min="46" max="46" width="9.7109375" style="125" customWidth="1"/>
    <col min="47" max="48" width="3.7109375" style="125" customWidth="1"/>
    <col min="49" max="49" width="9.7109375" style="125" customWidth="1"/>
    <col min="50" max="51" width="3.7109375" style="125" customWidth="1"/>
    <col min="52" max="52" width="9.7109375" style="125" customWidth="1"/>
    <col min="53" max="54" width="3.7109375" style="125" customWidth="1"/>
    <col min="55" max="55" width="9.7109375" style="125" customWidth="1"/>
    <col min="56" max="57" width="3.7109375" style="125" customWidth="1"/>
    <col min="58" max="58" width="9.7109375" style="125" customWidth="1"/>
    <col min="59" max="60" width="3.7109375" style="125" customWidth="1"/>
    <col min="61" max="61" width="9.7109375" style="125" customWidth="1"/>
    <col min="62" max="63" width="3.7109375" style="125" customWidth="1"/>
    <col min="64" max="64" width="9.7109375" style="125" customWidth="1"/>
    <col min="65" max="66" width="3.7109375" style="125" customWidth="1"/>
    <col min="67" max="67" width="9.7109375" style="125" customWidth="1"/>
    <col min="68" max="69" width="3.7109375" style="125" customWidth="1"/>
    <col min="70" max="70" width="9.7109375" style="125" customWidth="1"/>
    <col min="71" max="72" width="3.7109375" style="125" customWidth="1"/>
    <col min="73" max="73" width="9.7109375" style="125" customWidth="1"/>
    <col min="74" max="75" width="3.7109375" style="125" customWidth="1"/>
    <col min="76" max="76" width="9.7109375" style="125" customWidth="1"/>
    <col min="77" max="78" width="3.7109375" style="125" customWidth="1"/>
    <col min="79" max="79" width="9.7109375" style="125" customWidth="1"/>
    <col min="80" max="81" width="3.7109375" style="125" customWidth="1"/>
    <col min="82" max="82" width="9.7109375" style="125" customWidth="1"/>
    <col min="83" max="84" width="3.7109375" style="125" customWidth="1"/>
    <col min="85" max="85" width="9.7109375" style="125" customWidth="1"/>
    <col min="86" max="87" width="3.7109375" style="125" customWidth="1"/>
    <col min="88" max="88" width="9.7109375" style="125" customWidth="1"/>
    <col min="89" max="90" width="3.7109375" style="125" customWidth="1"/>
    <col min="91" max="91" width="9.7109375" style="125" customWidth="1"/>
    <col min="92" max="93" width="3.7109375" style="125" customWidth="1"/>
    <col min="94" max="94" width="9.7109375" style="125" customWidth="1"/>
    <col min="95" max="96" width="3.7109375" style="125" customWidth="1"/>
    <col min="97" max="97" width="9.7109375" style="125" customWidth="1"/>
    <col min="98" max="99" width="3.7109375" style="125" customWidth="1"/>
    <col min="100" max="100" width="9.7109375" style="125" customWidth="1"/>
    <col min="101" max="102" width="3.7109375" style="125" customWidth="1"/>
    <col min="103" max="103" width="9.7109375" style="125" customWidth="1"/>
    <col min="104" max="105" width="3.7109375" style="125" customWidth="1"/>
    <col min="106" max="106" width="9.7109375" style="125" customWidth="1"/>
    <col min="107" max="108" width="3.7109375" style="125" customWidth="1"/>
    <col min="109" max="109" width="9.7109375" style="125" customWidth="1"/>
    <col min="110" max="111" width="3.7109375" style="125" customWidth="1"/>
    <col min="112" max="112" width="9.7109375" style="125" customWidth="1"/>
    <col min="113" max="114" width="3.7109375" style="125" customWidth="1"/>
    <col min="115" max="115" width="9.7109375" style="125" customWidth="1"/>
    <col min="116" max="117" width="3.7109375" style="125" customWidth="1"/>
    <col min="118" max="118" width="9.7109375" style="125" customWidth="1"/>
    <col min="119" max="120" width="3.7109375" style="125" customWidth="1"/>
    <col min="121" max="121" width="9.7109375" style="125" customWidth="1"/>
    <col min="122" max="123" width="3.7109375" style="125" customWidth="1"/>
    <col min="124" max="124" width="9.7109375" style="125" customWidth="1"/>
    <col min="125" max="126" width="3.7109375" style="125" customWidth="1"/>
    <col min="127" max="127" width="9.7109375" style="125" customWidth="1"/>
    <col min="128" max="129" width="3.7109375" style="125" customWidth="1"/>
    <col min="130" max="130" width="9.7109375" style="125" customWidth="1"/>
    <col min="131" max="132" width="3.7109375" style="125" customWidth="1"/>
    <col min="133" max="133" width="9.7109375" style="125" customWidth="1"/>
    <col min="134" max="135" width="3.7109375" style="125" customWidth="1"/>
    <col min="136" max="136" width="9.7109375" style="125" customWidth="1"/>
    <col min="137" max="138" width="3.7109375" style="125" customWidth="1"/>
    <col min="139" max="139" width="9.7109375" style="125" customWidth="1"/>
    <col min="140" max="141" width="3.7109375" style="125" customWidth="1"/>
    <col min="142" max="142" width="9.7109375" style="125" customWidth="1"/>
    <col min="143" max="144" width="3.7109375" style="125" customWidth="1"/>
    <col min="145" max="145" width="9.7109375" style="125" customWidth="1"/>
    <col min="146" max="147" width="3.7109375" style="125" customWidth="1"/>
    <col min="148" max="148" width="9.7109375" style="125" customWidth="1"/>
    <col min="149" max="150" width="3.7109375" style="125" customWidth="1"/>
    <col min="151" max="151" width="9.7109375" style="125" customWidth="1"/>
    <col min="152" max="153" width="3.7109375" style="125" customWidth="1"/>
    <col min="154" max="154" width="9.7109375" style="125" customWidth="1"/>
    <col min="155" max="156" width="3.7109375" style="125" customWidth="1"/>
    <col min="157" max="157" width="9.7109375" style="125" customWidth="1"/>
    <col min="158" max="159" width="3.7109375" style="125" customWidth="1"/>
    <col min="160" max="160" width="9.7109375" style="125" customWidth="1"/>
    <col min="161" max="162" width="3.7109375" style="125" customWidth="1"/>
    <col min="163" max="163" width="9.7109375" style="125" customWidth="1"/>
    <col min="164" max="165" width="3.7109375" style="125" customWidth="1"/>
    <col min="166" max="166" width="9.7109375" style="125" customWidth="1"/>
    <col min="167" max="168" width="3.7109375" style="125" customWidth="1"/>
    <col min="169" max="169" width="9.7109375" style="125" customWidth="1"/>
    <col min="170" max="171" width="3.7109375" style="125" customWidth="1"/>
    <col min="172" max="172" width="9.7109375" style="125" customWidth="1"/>
    <col min="173" max="174" width="3.7109375" style="125" customWidth="1"/>
    <col min="175" max="175" width="9.7109375" style="125" customWidth="1"/>
    <col min="176" max="177" width="3.7109375" style="125" customWidth="1"/>
    <col min="178" max="178" width="9.7109375" style="125" customWidth="1"/>
    <col min="179" max="180" width="3.7109375" style="125" customWidth="1"/>
    <col min="181" max="181" width="9.7109375" style="125" customWidth="1"/>
    <col min="182" max="183" width="3.7109375" style="125" customWidth="1"/>
    <col min="184" max="184" width="9.7109375" style="125" customWidth="1"/>
    <col min="185" max="186" width="3.7109375" style="125" customWidth="1"/>
    <col min="187" max="187" width="9.7109375" style="125" customWidth="1"/>
    <col min="188" max="189" width="3.7109375" style="125" customWidth="1"/>
    <col min="190" max="190" width="9.7109375" style="125" customWidth="1"/>
    <col min="191" max="192" width="3.7109375" style="125" customWidth="1"/>
    <col min="193" max="193" width="9.7109375" style="125" customWidth="1"/>
    <col min="194" max="195" width="3.7109375" style="125" customWidth="1"/>
    <col min="196" max="196" width="9.7109375" style="125" customWidth="1"/>
    <col min="197" max="198" width="3.7109375" style="125" customWidth="1"/>
    <col min="199" max="199" width="9.7109375" style="125" customWidth="1"/>
    <col min="200" max="201" width="3.7109375" style="125" customWidth="1"/>
    <col min="202" max="202" width="9.7109375" style="125" customWidth="1"/>
    <col min="203" max="204" width="3.7109375" style="125" customWidth="1"/>
    <col min="205" max="205" width="9.7109375" style="125" customWidth="1"/>
    <col min="206" max="207" width="3.7109375" style="125" customWidth="1"/>
    <col min="208" max="208" width="9.7109375" style="125" customWidth="1"/>
    <col min="209" max="210" width="3.7109375" style="125" customWidth="1"/>
    <col min="211" max="211" width="9.7109375" style="125" customWidth="1"/>
    <col min="212" max="213" width="3.7109375" style="125" customWidth="1"/>
    <col min="214" max="214" width="9.7109375" style="125" customWidth="1"/>
    <col min="215" max="216" width="3.7109375" style="125" customWidth="1"/>
    <col min="217" max="217" width="9.7109375" style="125" customWidth="1"/>
    <col min="218" max="218" width="3.7109375" style="125" customWidth="1"/>
    <col min="219" max="256" width="8" style="125"/>
    <col min="257" max="257" width="30.7109375" style="125" customWidth="1"/>
    <col min="258" max="258" width="9.7109375" style="125" customWidth="1"/>
    <col min="259" max="259" width="3.7109375" style="125" customWidth="1"/>
    <col min="260" max="260" width="9.7109375" style="125" customWidth="1"/>
    <col min="261" max="262" width="3.7109375" style="125" customWidth="1"/>
    <col min="263" max="263" width="9.7109375" style="125" customWidth="1"/>
    <col min="264" max="265" width="3.7109375" style="125" customWidth="1"/>
    <col min="266" max="266" width="9.7109375" style="125" customWidth="1"/>
    <col min="267" max="268" width="3.7109375" style="125" customWidth="1"/>
    <col min="269" max="269" width="9.7109375" style="125" customWidth="1"/>
    <col min="270" max="271" width="3.7109375" style="125" customWidth="1"/>
    <col min="272" max="272" width="9.7109375" style="125" customWidth="1"/>
    <col min="273" max="274" width="3.7109375" style="125" customWidth="1"/>
    <col min="275" max="275" width="9.7109375" style="125" customWidth="1"/>
    <col min="276" max="277" width="3.7109375" style="125" customWidth="1"/>
    <col min="278" max="278" width="9.7109375" style="125" customWidth="1"/>
    <col min="279" max="280" width="3.7109375" style="125" customWidth="1"/>
    <col min="281" max="281" width="9.7109375" style="125" customWidth="1"/>
    <col min="282" max="283" width="3.7109375" style="125" customWidth="1"/>
    <col min="284" max="284" width="9.7109375" style="125" customWidth="1"/>
    <col min="285" max="286" width="3.7109375" style="125" customWidth="1"/>
    <col min="287" max="287" width="9.7109375" style="125" customWidth="1"/>
    <col min="288" max="289" width="3.7109375" style="125" customWidth="1"/>
    <col min="290" max="290" width="9.7109375" style="125" customWidth="1"/>
    <col min="291" max="292" width="3.7109375" style="125" customWidth="1"/>
    <col min="293" max="293" width="9.7109375" style="125" customWidth="1"/>
    <col min="294" max="295" width="3.7109375" style="125" customWidth="1"/>
    <col min="296" max="296" width="9.7109375" style="125" customWidth="1"/>
    <col min="297" max="298" width="3.7109375" style="125" customWidth="1"/>
    <col min="299" max="299" width="9.7109375" style="125" customWidth="1"/>
    <col min="300" max="301" width="3.7109375" style="125" customWidth="1"/>
    <col min="302" max="302" width="9.7109375" style="125" customWidth="1"/>
    <col min="303" max="304" width="3.7109375" style="125" customWidth="1"/>
    <col min="305" max="305" width="9.7109375" style="125" customWidth="1"/>
    <col min="306" max="307" width="3.7109375" style="125" customWidth="1"/>
    <col min="308" max="308" width="9.7109375" style="125" customWidth="1"/>
    <col min="309" max="310" width="3.7109375" style="125" customWidth="1"/>
    <col min="311" max="311" width="9.7109375" style="125" customWidth="1"/>
    <col min="312" max="313" width="3.7109375" style="125" customWidth="1"/>
    <col min="314" max="314" width="9.7109375" style="125" customWidth="1"/>
    <col min="315" max="316" width="3.7109375" style="125" customWidth="1"/>
    <col min="317" max="317" width="9.7109375" style="125" customWidth="1"/>
    <col min="318" max="319" width="3.7109375" style="125" customWidth="1"/>
    <col min="320" max="320" width="9.7109375" style="125" customWidth="1"/>
    <col min="321" max="322" width="3.7109375" style="125" customWidth="1"/>
    <col min="323" max="323" width="9.7109375" style="125" customWidth="1"/>
    <col min="324" max="325" width="3.7109375" style="125" customWidth="1"/>
    <col min="326" max="326" width="9.7109375" style="125" customWidth="1"/>
    <col min="327" max="328" width="3.7109375" style="125" customWidth="1"/>
    <col min="329" max="329" width="9.7109375" style="125" customWidth="1"/>
    <col min="330" max="331" width="3.7109375" style="125" customWidth="1"/>
    <col min="332" max="332" width="9.7109375" style="125" customWidth="1"/>
    <col min="333" max="334" width="3.7109375" style="125" customWidth="1"/>
    <col min="335" max="335" width="9.7109375" style="125" customWidth="1"/>
    <col min="336" max="337" width="3.7109375" style="125" customWidth="1"/>
    <col min="338" max="338" width="9.7109375" style="125" customWidth="1"/>
    <col min="339" max="340" width="3.7109375" style="125" customWidth="1"/>
    <col min="341" max="341" width="9.7109375" style="125" customWidth="1"/>
    <col min="342" max="343" width="3.7109375" style="125" customWidth="1"/>
    <col min="344" max="344" width="9.7109375" style="125" customWidth="1"/>
    <col min="345" max="346" width="3.7109375" style="125" customWidth="1"/>
    <col min="347" max="347" width="9.7109375" style="125" customWidth="1"/>
    <col min="348" max="349" width="3.7109375" style="125" customWidth="1"/>
    <col min="350" max="350" width="9.7109375" style="125" customWidth="1"/>
    <col min="351" max="352" width="3.7109375" style="125" customWidth="1"/>
    <col min="353" max="353" width="9.7109375" style="125" customWidth="1"/>
    <col min="354" max="355" width="3.7109375" style="125" customWidth="1"/>
    <col min="356" max="356" width="9.7109375" style="125" customWidth="1"/>
    <col min="357" max="358" width="3.7109375" style="125" customWidth="1"/>
    <col min="359" max="359" width="9.7109375" style="125" customWidth="1"/>
    <col min="360" max="361" width="3.7109375" style="125" customWidth="1"/>
    <col min="362" max="362" width="9.7109375" style="125" customWidth="1"/>
    <col min="363" max="364" width="3.7109375" style="125" customWidth="1"/>
    <col min="365" max="365" width="9.7109375" style="125" customWidth="1"/>
    <col min="366" max="367" width="3.7109375" style="125" customWidth="1"/>
    <col min="368" max="368" width="9.7109375" style="125" customWidth="1"/>
    <col min="369" max="370" width="3.7109375" style="125" customWidth="1"/>
    <col min="371" max="371" width="9.7109375" style="125" customWidth="1"/>
    <col min="372" max="373" width="3.7109375" style="125" customWidth="1"/>
    <col min="374" max="374" width="9.7109375" style="125" customWidth="1"/>
    <col min="375" max="376" width="3.7109375" style="125" customWidth="1"/>
    <col min="377" max="377" width="9.7109375" style="125" customWidth="1"/>
    <col min="378" max="379" width="3.7109375" style="125" customWidth="1"/>
    <col min="380" max="380" width="9.7109375" style="125" customWidth="1"/>
    <col min="381" max="382" width="3.7109375" style="125" customWidth="1"/>
    <col min="383" max="383" width="9.7109375" style="125" customWidth="1"/>
    <col min="384" max="385" width="3.7109375" style="125" customWidth="1"/>
    <col min="386" max="386" width="9.7109375" style="125" customWidth="1"/>
    <col min="387" max="388" width="3.7109375" style="125" customWidth="1"/>
    <col min="389" max="389" width="9.7109375" style="125" customWidth="1"/>
    <col min="390" max="391" width="3.7109375" style="125" customWidth="1"/>
    <col min="392" max="392" width="9.7109375" style="125" customWidth="1"/>
    <col min="393" max="394" width="3.7109375" style="125" customWidth="1"/>
    <col min="395" max="395" width="9.7109375" style="125" customWidth="1"/>
    <col min="396" max="397" width="3.7109375" style="125" customWidth="1"/>
    <col min="398" max="398" width="9.7109375" style="125" customWidth="1"/>
    <col min="399" max="400" width="3.7109375" style="125" customWidth="1"/>
    <col min="401" max="401" width="9.7109375" style="125" customWidth="1"/>
    <col min="402" max="403" width="3.7109375" style="125" customWidth="1"/>
    <col min="404" max="404" width="9.7109375" style="125" customWidth="1"/>
    <col min="405" max="406" width="3.7109375" style="125" customWidth="1"/>
    <col min="407" max="407" width="9.7109375" style="125" customWidth="1"/>
    <col min="408" max="409" width="3.7109375" style="125" customWidth="1"/>
    <col min="410" max="410" width="9.7109375" style="125" customWidth="1"/>
    <col min="411" max="412" width="3.7109375" style="125" customWidth="1"/>
    <col min="413" max="413" width="9.7109375" style="125" customWidth="1"/>
    <col min="414" max="415" width="3.7109375" style="125" customWidth="1"/>
    <col min="416" max="416" width="9.7109375" style="125" customWidth="1"/>
    <col min="417" max="418" width="3.7109375" style="125" customWidth="1"/>
    <col min="419" max="419" width="9.7109375" style="125" customWidth="1"/>
    <col min="420" max="421" width="3.7109375" style="125" customWidth="1"/>
    <col min="422" max="422" width="9.7109375" style="125" customWidth="1"/>
    <col min="423" max="424" width="3.7109375" style="125" customWidth="1"/>
    <col min="425" max="425" width="9.7109375" style="125" customWidth="1"/>
    <col min="426" max="427" width="3.7109375" style="125" customWidth="1"/>
    <col min="428" max="428" width="9.7109375" style="125" customWidth="1"/>
    <col min="429" max="430" width="3.7109375" style="125" customWidth="1"/>
    <col min="431" max="431" width="9.7109375" style="125" customWidth="1"/>
    <col min="432" max="433" width="3.7109375" style="125" customWidth="1"/>
    <col min="434" max="434" width="9.7109375" style="125" customWidth="1"/>
    <col min="435" max="436" width="3.7109375" style="125" customWidth="1"/>
    <col min="437" max="437" width="9.7109375" style="125" customWidth="1"/>
    <col min="438" max="439" width="3.7109375" style="125" customWidth="1"/>
    <col min="440" max="440" width="9.7109375" style="125" customWidth="1"/>
    <col min="441" max="442" width="3.7109375" style="125" customWidth="1"/>
    <col min="443" max="443" width="9.7109375" style="125" customWidth="1"/>
    <col min="444" max="445" width="3.7109375" style="125" customWidth="1"/>
    <col min="446" max="446" width="9.7109375" style="125" customWidth="1"/>
    <col min="447" max="448" width="3.7109375" style="125" customWidth="1"/>
    <col min="449" max="449" width="9.7109375" style="125" customWidth="1"/>
    <col min="450" max="451" width="3.7109375" style="125" customWidth="1"/>
    <col min="452" max="452" width="9.7109375" style="125" customWidth="1"/>
    <col min="453" max="454" width="3.7109375" style="125" customWidth="1"/>
    <col min="455" max="455" width="9.7109375" style="125" customWidth="1"/>
    <col min="456" max="457" width="3.7109375" style="125" customWidth="1"/>
    <col min="458" max="458" width="9.7109375" style="125" customWidth="1"/>
    <col min="459" max="460" width="3.7109375" style="125" customWidth="1"/>
    <col min="461" max="461" width="9.7109375" style="125" customWidth="1"/>
    <col min="462" max="463" width="3.7109375" style="125" customWidth="1"/>
    <col min="464" max="464" width="9.7109375" style="125" customWidth="1"/>
    <col min="465" max="466" width="3.7109375" style="125" customWidth="1"/>
    <col min="467" max="467" width="9.7109375" style="125" customWidth="1"/>
    <col min="468" max="469" width="3.7109375" style="125" customWidth="1"/>
    <col min="470" max="470" width="9.7109375" style="125" customWidth="1"/>
    <col min="471" max="472" width="3.7109375" style="125" customWidth="1"/>
    <col min="473" max="473" width="9.7109375" style="125" customWidth="1"/>
    <col min="474" max="474" width="3.7109375" style="125" customWidth="1"/>
    <col min="475" max="512" width="8" style="125"/>
    <col min="513" max="513" width="30.7109375" style="125" customWidth="1"/>
    <col min="514" max="514" width="9.7109375" style="125" customWidth="1"/>
    <col min="515" max="515" width="3.7109375" style="125" customWidth="1"/>
    <col min="516" max="516" width="9.7109375" style="125" customWidth="1"/>
    <col min="517" max="518" width="3.7109375" style="125" customWidth="1"/>
    <col min="519" max="519" width="9.7109375" style="125" customWidth="1"/>
    <col min="520" max="521" width="3.7109375" style="125" customWidth="1"/>
    <col min="522" max="522" width="9.7109375" style="125" customWidth="1"/>
    <col min="523" max="524" width="3.7109375" style="125" customWidth="1"/>
    <col min="525" max="525" width="9.7109375" style="125" customWidth="1"/>
    <col min="526" max="527" width="3.7109375" style="125" customWidth="1"/>
    <col min="528" max="528" width="9.7109375" style="125" customWidth="1"/>
    <col min="529" max="530" width="3.7109375" style="125" customWidth="1"/>
    <col min="531" max="531" width="9.7109375" style="125" customWidth="1"/>
    <col min="532" max="533" width="3.7109375" style="125" customWidth="1"/>
    <col min="534" max="534" width="9.7109375" style="125" customWidth="1"/>
    <col min="535" max="536" width="3.7109375" style="125" customWidth="1"/>
    <col min="537" max="537" width="9.7109375" style="125" customWidth="1"/>
    <col min="538" max="539" width="3.7109375" style="125" customWidth="1"/>
    <col min="540" max="540" width="9.7109375" style="125" customWidth="1"/>
    <col min="541" max="542" width="3.7109375" style="125" customWidth="1"/>
    <col min="543" max="543" width="9.7109375" style="125" customWidth="1"/>
    <col min="544" max="545" width="3.7109375" style="125" customWidth="1"/>
    <col min="546" max="546" width="9.7109375" style="125" customWidth="1"/>
    <col min="547" max="548" width="3.7109375" style="125" customWidth="1"/>
    <col min="549" max="549" width="9.7109375" style="125" customWidth="1"/>
    <col min="550" max="551" width="3.7109375" style="125" customWidth="1"/>
    <col min="552" max="552" width="9.7109375" style="125" customWidth="1"/>
    <col min="553" max="554" width="3.7109375" style="125" customWidth="1"/>
    <col min="555" max="555" width="9.7109375" style="125" customWidth="1"/>
    <col min="556" max="557" width="3.7109375" style="125" customWidth="1"/>
    <col min="558" max="558" width="9.7109375" style="125" customWidth="1"/>
    <col min="559" max="560" width="3.7109375" style="125" customWidth="1"/>
    <col min="561" max="561" width="9.7109375" style="125" customWidth="1"/>
    <col min="562" max="563" width="3.7109375" style="125" customWidth="1"/>
    <col min="564" max="564" width="9.7109375" style="125" customWidth="1"/>
    <col min="565" max="566" width="3.7109375" style="125" customWidth="1"/>
    <col min="567" max="567" width="9.7109375" style="125" customWidth="1"/>
    <col min="568" max="569" width="3.7109375" style="125" customWidth="1"/>
    <col min="570" max="570" width="9.7109375" style="125" customWidth="1"/>
    <col min="571" max="572" width="3.7109375" style="125" customWidth="1"/>
    <col min="573" max="573" width="9.7109375" style="125" customWidth="1"/>
    <col min="574" max="575" width="3.7109375" style="125" customWidth="1"/>
    <col min="576" max="576" width="9.7109375" style="125" customWidth="1"/>
    <col min="577" max="578" width="3.7109375" style="125" customWidth="1"/>
    <col min="579" max="579" width="9.7109375" style="125" customWidth="1"/>
    <col min="580" max="581" width="3.7109375" style="125" customWidth="1"/>
    <col min="582" max="582" width="9.7109375" style="125" customWidth="1"/>
    <col min="583" max="584" width="3.7109375" style="125" customWidth="1"/>
    <col min="585" max="585" width="9.7109375" style="125" customWidth="1"/>
    <col min="586" max="587" width="3.7109375" style="125" customWidth="1"/>
    <col min="588" max="588" width="9.7109375" style="125" customWidth="1"/>
    <col min="589" max="590" width="3.7109375" style="125" customWidth="1"/>
    <col min="591" max="591" width="9.7109375" style="125" customWidth="1"/>
    <col min="592" max="593" width="3.7109375" style="125" customWidth="1"/>
    <col min="594" max="594" width="9.7109375" style="125" customWidth="1"/>
    <col min="595" max="596" width="3.7109375" style="125" customWidth="1"/>
    <col min="597" max="597" width="9.7109375" style="125" customWidth="1"/>
    <col min="598" max="599" width="3.7109375" style="125" customWidth="1"/>
    <col min="600" max="600" width="9.7109375" style="125" customWidth="1"/>
    <col min="601" max="602" width="3.7109375" style="125" customWidth="1"/>
    <col min="603" max="603" width="9.7109375" style="125" customWidth="1"/>
    <col min="604" max="605" width="3.7109375" style="125" customWidth="1"/>
    <col min="606" max="606" width="9.7109375" style="125" customWidth="1"/>
    <col min="607" max="608" width="3.7109375" style="125" customWidth="1"/>
    <col min="609" max="609" width="9.7109375" style="125" customWidth="1"/>
    <col min="610" max="611" width="3.7109375" style="125" customWidth="1"/>
    <col min="612" max="612" width="9.7109375" style="125" customWidth="1"/>
    <col min="613" max="614" width="3.7109375" style="125" customWidth="1"/>
    <col min="615" max="615" width="9.7109375" style="125" customWidth="1"/>
    <col min="616" max="617" width="3.7109375" style="125" customWidth="1"/>
    <col min="618" max="618" width="9.7109375" style="125" customWidth="1"/>
    <col min="619" max="620" width="3.7109375" style="125" customWidth="1"/>
    <col min="621" max="621" width="9.7109375" style="125" customWidth="1"/>
    <col min="622" max="623" width="3.7109375" style="125" customWidth="1"/>
    <col min="624" max="624" width="9.7109375" style="125" customWidth="1"/>
    <col min="625" max="626" width="3.7109375" style="125" customWidth="1"/>
    <col min="627" max="627" width="9.7109375" style="125" customWidth="1"/>
    <col min="628" max="629" width="3.7109375" style="125" customWidth="1"/>
    <col min="630" max="630" width="9.7109375" style="125" customWidth="1"/>
    <col min="631" max="632" width="3.7109375" style="125" customWidth="1"/>
    <col min="633" max="633" width="9.7109375" style="125" customWidth="1"/>
    <col min="634" max="635" width="3.7109375" style="125" customWidth="1"/>
    <col min="636" max="636" width="9.7109375" style="125" customWidth="1"/>
    <col min="637" max="638" width="3.7109375" style="125" customWidth="1"/>
    <col min="639" max="639" width="9.7109375" style="125" customWidth="1"/>
    <col min="640" max="641" width="3.7109375" style="125" customWidth="1"/>
    <col min="642" max="642" width="9.7109375" style="125" customWidth="1"/>
    <col min="643" max="644" width="3.7109375" style="125" customWidth="1"/>
    <col min="645" max="645" width="9.7109375" style="125" customWidth="1"/>
    <col min="646" max="647" width="3.7109375" style="125" customWidth="1"/>
    <col min="648" max="648" width="9.7109375" style="125" customWidth="1"/>
    <col min="649" max="650" width="3.7109375" style="125" customWidth="1"/>
    <col min="651" max="651" width="9.7109375" style="125" customWidth="1"/>
    <col min="652" max="653" width="3.7109375" style="125" customWidth="1"/>
    <col min="654" max="654" width="9.7109375" style="125" customWidth="1"/>
    <col min="655" max="656" width="3.7109375" style="125" customWidth="1"/>
    <col min="657" max="657" width="9.7109375" style="125" customWidth="1"/>
    <col min="658" max="659" width="3.7109375" style="125" customWidth="1"/>
    <col min="660" max="660" width="9.7109375" style="125" customWidth="1"/>
    <col min="661" max="662" width="3.7109375" style="125" customWidth="1"/>
    <col min="663" max="663" width="9.7109375" style="125" customWidth="1"/>
    <col min="664" max="665" width="3.7109375" style="125" customWidth="1"/>
    <col min="666" max="666" width="9.7109375" style="125" customWidth="1"/>
    <col min="667" max="668" width="3.7109375" style="125" customWidth="1"/>
    <col min="669" max="669" width="9.7109375" style="125" customWidth="1"/>
    <col min="670" max="671" width="3.7109375" style="125" customWidth="1"/>
    <col min="672" max="672" width="9.7109375" style="125" customWidth="1"/>
    <col min="673" max="674" width="3.7109375" style="125" customWidth="1"/>
    <col min="675" max="675" width="9.7109375" style="125" customWidth="1"/>
    <col min="676" max="677" width="3.7109375" style="125" customWidth="1"/>
    <col min="678" max="678" width="9.7109375" style="125" customWidth="1"/>
    <col min="679" max="680" width="3.7109375" style="125" customWidth="1"/>
    <col min="681" max="681" width="9.7109375" style="125" customWidth="1"/>
    <col min="682" max="683" width="3.7109375" style="125" customWidth="1"/>
    <col min="684" max="684" width="9.7109375" style="125" customWidth="1"/>
    <col min="685" max="686" width="3.7109375" style="125" customWidth="1"/>
    <col min="687" max="687" width="9.7109375" style="125" customWidth="1"/>
    <col min="688" max="689" width="3.7109375" style="125" customWidth="1"/>
    <col min="690" max="690" width="9.7109375" style="125" customWidth="1"/>
    <col min="691" max="692" width="3.7109375" style="125" customWidth="1"/>
    <col min="693" max="693" width="9.7109375" style="125" customWidth="1"/>
    <col min="694" max="695" width="3.7109375" style="125" customWidth="1"/>
    <col min="696" max="696" width="9.7109375" style="125" customWidth="1"/>
    <col min="697" max="698" width="3.7109375" style="125" customWidth="1"/>
    <col min="699" max="699" width="9.7109375" style="125" customWidth="1"/>
    <col min="700" max="701" width="3.7109375" style="125" customWidth="1"/>
    <col min="702" max="702" width="9.7109375" style="125" customWidth="1"/>
    <col min="703" max="704" width="3.7109375" style="125" customWidth="1"/>
    <col min="705" max="705" width="9.7109375" style="125" customWidth="1"/>
    <col min="706" max="707" width="3.7109375" style="125" customWidth="1"/>
    <col min="708" max="708" width="9.7109375" style="125" customWidth="1"/>
    <col min="709" max="710" width="3.7109375" style="125" customWidth="1"/>
    <col min="711" max="711" width="9.7109375" style="125" customWidth="1"/>
    <col min="712" max="713" width="3.7109375" style="125" customWidth="1"/>
    <col min="714" max="714" width="9.7109375" style="125" customWidth="1"/>
    <col min="715" max="716" width="3.7109375" style="125" customWidth="1"/>
    <col min="717" max="717" width="9.7109375" style="125" customWidth="1"/>
    <col min="718" max="719" width="3.7109375" style="125" customWidth="1"/>
    <col min="720" max="720" width="9.7109375" style="125" customWidth="1"/>
    <col min="721" max="722" width="3.7109375" style="125" customWidth="1"/>
    <col min="723" max="723" width="9.7109375" style="125" customWidth="1"/>
    <col min="724" max="725" width="3.7109375" style="125" customWidth="1"/>
    <col min="726" max="726" width="9.7109375" style="125" customWidth="1"/>
    <col min="727" max="728" width="3.7109375" style="125" customWidth="1"/>
    <col min="729" max="729" width="9.7109375" style="125" customWidth="1"/>
    <col min="730" max="730" width="3.7109375" style="125" customWidth="1"/>
    <col min="731" max="768" width="8" style="125"/>
    <col min="769" max="769" width="30.7109375" style="125" customWidth="1"/>
    <col min="770" max="770" width="9.7109375" style="125" customWidth="1"/>
    <col min="771" max="771" width="3.7109375" style="125" customWidth="1"/>
    <col min="772" max="772" width="9.7109375" style="125" customWidth="1"/>
    <col min="773" max="774" width="3.7109375" style="125" customWidth="1"/>
    <col min="775" max="775" width="9.7109375" style="125" customWidth="1"/>
    <col min="776" max="777" width="3.7109375" style="125" customWidth="1"/>
    <col min="778" max="778" width="9.7109375" style="125" customWidth="1"/>
    <col min="779" max="780" width="3.7109375" style="125" customWidth="1"/>
    <col min="781" max="781" width="9.7109375" style="125" customWidth="1"/>
    <col min="782" max="783" width="3.7109375" style="125" customWidth="1"/>
    <col min="784" max="784" width="9.7109375" style="125" customWidth="1"/>
    <col min="785" max="786" width="3.7109375" style="125" customWidth="1"/>
    <col min="787" max="787" width="9.7109375" style="125" customWidth="1"/>
    <col min="788" max="789" width="3.7109375" style="125" customWidth="1"/>
    <col min="790" max="790" width="9.7109375" style="125" customWidth="1"/>
    <col min="791" max="792" width="3.7109375" style="125" customWidth="1"/>
    <col min="793" max="793" width="9.7109375" style="125" customWidth="1"/>
    <col min="794" max="795" width="3.7109375" style="125" customWidth="1"/>
    <col min="796" max="796" width="9.7109375" style="125" customWidth="1"/>
    <col min="797" max="798" width="3.7109375" style="125" customWidth="1"/>
    <col min="799" max="799" width="9.7109375" style="125" customWidth="1"/>
    <col min="800" max="801" width="3.7109375" style="125" customWidth="1"/>
    <col min="802" max="802" width="9.7109375" style="125" customWidth="1"/>
    <col min="803" max="804" width="3.7109375" style="125" customWidth="1"/>
    <col min="805" max="805" width="9.7109375" style="125" customWidth="1"/>
    <col min="806" max="807" width="3.7109375" style="125" customWidth="1"/>
    <col min="808" max="808" width="9.7109375" style="125" customWidth="1"/>
    <col min="809" max="810" width="3.7109375" style="125" customWidth="1"/>
    <col min="811" max="811" width="9.7109375" style="125" customWidth="1"/>
    <col min="812" max="813" width="3.7109375" style="125" customWidth="1"/>
    <col min="814" max="814" width="9.7109375" style="125" customWidth="1"/>
    <col min="815" max="816" width="3.7109375" style="125" customWidth="1"/>
    <col min="817" max="817" width="9.7109375" style="125" customWidth="1"/>
    <col min="818" max="819" width="3.7109375" style="125" customWidth="1"/>
    <col min="820" max="820" width="9.7109375" style="125" customWidth="1"/>
    <col min="821" max="822" width="3.7109375" style="125" customWidth="1"/>
    <col min="823" max="823" width="9.7109375" style="125" customWidth="1"/>
    <col min="824" max="825" width="3.7109375" style="125" customWidth="1"/>
    <col min="826" max="826" width="9.7109375" style="125" customWidth="1"/>
    <col min="827" max="828" width="3.7109375" style="125" customWidth="1"/>
    <col min="829" max="829" width="9.7109375" style="125" customWidth="1"/>
    <col min="830" max="831" width="3.7109375" style="125" customWidth="1"/>
    <col min="832" max="832" width="9.7109375" style="125" customWidth="1"/>
    <col min="833" max="834" width="3.7109375" style="125" customWidth="1"/>
    <col min="835" max="835" width="9.7109375" style="125" customWidth="1"/>
    <col min="836" max="837" width="3.7109375" style="125" customWidth="1"/>
    <col min="838" max="838" width="9.7109375" style="125" customWidth="1"/>
    <col min="839" max="840" width="3.7109375" style="125" customWidth="1"/>
    <col min="841" max="841" width="9.7109375" style="125" customWidth="1"/>
    <col min="842" max="843" width="3.7109375" style="125" customWidth="1"/>
    <col min="844" max="844" width="9.7109375" style="125" customWidth="1"/>
    <col min="845" max="846" width="3.7109375" style="125" customWidth="1"/>
    <col min="847" max="847" width="9.7109375" style="125" customWidth="1"/>
    <col min="848" max="849" width="3.7109375" style="125" customWidth="1"/>
    <col min="850" max="850" width="9.7109375" style="125" customWidth="1"/>
    <col min="851" max="852" width="3.7109375" style="125" customWidth="1"/>
    <col min="853" max="853" width="9.7109375" style="125" customWidth="1"/>
    <col min="854" max="855" width="3.7109375" style="125" customWidth="1"/>
    <col min="856" max="856" width="9.7109375" style="125" customWidth="1"/>
    <col min="857" max="858" width="3.7109375" style="125" customWidth="1"/>
    <col min="859" max="859" width="9.7109375" style="125" customWidth="1"/>
    <col min="860" max="861" width="3.7109375" style="125" customWidth="1"/>
    <col min="862" max="862" width="9.7109375" style="125" customWidth="1"/>
    <col min="863" max="864" width="3.7109375" style="125" customWidth="1"/>
    <col min="865" max="865" width="9.7109375" style="125" customWidth="1"/>
    <col min="866" max="867" width="3.7109375" style="125" customWidth="1"/>
    <col min="868" max="868" width="9.7109375" style="125" customWidth="1"/>
    <col min="869" max="870" width="3.7109375" style="125" customWidth="1"/>
    <col min="871" max="871" width="9.7109375" style="125" customWidth="1"/>
    <col min="872" max="873" width="3.7109375" style="125" customWidth="1"/>
    <col min="874" max="874" width="9.7109375" style="125" customWidth="1"/>
    <col min="875" max="876" width="3.7109375" style="125" customWidth="1"/>
    <col min="877" max="877" width="9.7109375" style="125" customWidth="1"/>
    <col min="878" max="879" width="3.7109375" style="125" customWidth="1"/>
    <col min="880" max="880" width="9.7109375" style="125" customWidth="1"/>
    <col min="881" max="882" width="3.7109375" style="125" customWidth="1"/>
    <col min="883" max="883" width="9.7109375" style="125" customWidth="1"/>
    <col min="884" max="885" width="3.7109375" style="125" customWidth="1"/>
    <col min="886" max="886" width="9.7109375" style="125" customWidth="1"/>
    <col min="887" max="888" width="3.7109375" style="125" customWidth="1"/>
    <col min="889" max="889" width="9.7109375" style="125" customWidth="1"/>
    <col min="890" max="891" width="3.7109375" style="125" customWidth="1"/>
    <col min="892" max="892" width="9.7109375" style="125" customWidth="1"/>
    <col min="893" max="894" width="3.7109375" style="125" customWidth="1"/>
    <col min="895" max="895" width="9.7109375" style="125" customWidth="1"/>
    <col min="896" max="897" width="3.7109375" style="125" customWidth="1"/>
    <col min="898" max="898" width="9.7109375" style="125" customWidth="1"/>
    <col min="899" max="900" width="3.7109375" style="125" customWidth="1"/>
    <col min="901" max="901" width="9.7109375" style="125" customWidth="1"/>
    <col min="902" max="903" width="3.7109375" style="125" customWidth="1"/>
    <col min="904" max="904" width="9.7109375" style="125" customWidth="1"/>
    <col min="905" max="906" width="3.7109375" style="125" customWidth="1"/>
    <col min="907" max="907" width="9.7109375" style="125" customWidth="1"/>
    <col min="908" max="909" width="3.7109375" style="125" customWidth="1"/>
    <col min="910" max="910" width="9.7109375" style="125" customWidth="1"/>
    <col min="911" max="912" width="3.7109375" style="125" customWidth="1"/>
    <col min="913" max="913" width="9.7109375" style="125" customWidth="1"/>
    <col min="914" max="915" width="3.7109375" style="125" customWidth="1"/>
    <col min="916" max="916" width="9.7109375" style="125" customWidth="1"/>
    <col min="917" max="918" width="3.7109375" style="125" customWidth="1"/>
    <col min="919" max="919" width="9.7109375" style="125" customWidth="1"/>
    <col min="920" max="921" width="3.7109375" style="125" customWidth="1"/>
    <col min="922" max="922" width="9.7109375" style="125" customWidth="1"/>
    <col min="923" max="924" width="3.7109375" style="125" customWidth="1"/>
    <col min="925" max="925" width="9.7109375" style="125" customWidth="1"/>
    <col min="926" max="927" width="3.7109375" style="125" customWidth="1"/>
    <col min="928" max="928" width="9.7109375" style="125" customWidth="1"/>
    <col min="929" max="930" width="3.7109375" style="125" customWidth="1"/>
    <col min="931" max="931" width="9.7109375" style="125" customWidth="1"/>
    <col min="932" max="933" width="3.7109375" style="125" customWidth="1"/>
    <col min="934" max="934" width="9.7109375" style="125" customWidth="1"/>
    <col min="935" max="936" width="3.7109375" style="125" customWidth="1"/>
    <col min="937" max="937" width="9.7109375" style="125" customWidth="1"/>
    <col min="938" max="939" width="3.7109375" style="125" customWidth="1"/>
    <col min="940" max="940" width="9.7109375" style="125" customWidth="1"/>
    <col min="941" max="942" width="3.7109375" style="125" customWidth="1"/>
    <col min="943" max="943" width="9.7109375" style="125" customWidth="1"/>
    <col min="944" max="945" width="3.7109375" style="125" customWidth="1"/>
    <col min="946" max="946" width="9.7109375" style="125" customWidth="1"/>
    <col min="947" max="948" width="3.7109375" style="125" customWidth="1"/>
    <col min="949" max="949" width="9.7109375" style="125" customWidth="1"/>
    <col min="950" max="951" width="3.7109375" style="125" customWidth="1"/>
    <col min="952" max="952" width="9.7109375" style="125" customWidth="1"/>
    <col min="953" max="954" width="3.7109375" style="125" customWidth="1"/>
    <col min="955" max="955" width="9.7109375" style="125" customWidth="1"/>
    <col min="956" max="957" width="3.7109375" style="125" customWidth="1"/>
    <col min="958" max="958" width="9.7109375" style="125" customWidth="1"/>
    <col min="959" max="960" width="3.7109375" style="125" customWidth="1"/>
    <col min="961" max="961" width="9.7109375" style="125" customWidth="1"/>
    <col min="962" max="963" width="3.7109375" style="125" customWidth="1"/>
    <col min="964" max="964" width="9.7109375" style="125" customWidth="1"/>
    <col min="965" max="966" width="3.7109375" style="125" customWidth="1"/>
    <col min="967" max="967" width="9.7109375" style="125" customWidth="1"/>
    <col min="968" max="969" width="3.7109375" style="125" customWidth="1"/>
    <col min="970" max="970" width="9.7109375" style="125" customWidth="1"/>
    <col min="971" max="972" width="3.7109375" style="125" customWidth="1"/>
    <col min="973" max="973" width="9.7109375" style="125" customWidth="1"/>
    <col min="974" max="975" width="3.7109375" style="125" customWidth="1"/>
    <col min="976" max="976" width="9.7109375" style="125" customWidth="1"/>
    <col min="977" max="978" width="3.7109375" style="125" customWidth="1"/>
    <col min="979" max="979" width="9.7109375" style="125" customWidth="1"/>
    <col min="980" max="981" width="3.7109375" style="125" customWidth="1"/>
    <col min="982" max="982" width="9.7109375" style="125" customWidth="1"/>
    <col min="983" max="984" width="3.7109375" style="125" customWidth="1"/>
    <col min="985" max="985" width="9.7109375" style="125" customWidth="1"/>
    <col min="986" max="986" width="3.7109375" style="125" customWidth="1"/>
    <col min="987" max="1024" width="8" style="125"/>
    <col min="1025" max="1025" width="30.7109375" style="125" customWidth="1"/>
    <col min="1026" max="1026" width="9.7109375" style="125" customWidth="1"/>
    <col min="1027" max="1027" width="3.7109375" style="125" customWidth="1"/>
    <col min="1028" max="1028" width="9.7109375" style="125" customWidth="1"/>
    <col min="1029" max="1030" width="3.7109375" style="125" customWidth="1"/>
    <col min="1031" max="1031" width="9.7109375" style="125" customWidth="1"/>
    <col min="1032" max="1033" width="3.7109375" style="125" customWidth="1"/>
    <col min="1034" max="1034" width="9.7109375" style="125" customWidth="1"/>
    <col min="1035" max="1036" width="3.7109375" style="125" customWidth="1"/>
    <col min="1037" max="1037" width="9.7109375" style="125" customWidth="1"/>
    <col min="1038" max="1039" width="3.7109375" style="125" customWidth="1"/>
    <col min="1040" max="1040" width="9.7109375" style="125" customWidth="1"/>
    <col min="1041" max="1042" width="3.7109375" style="125" customWidth="1"/>
    <col min="1043" max="1043" width="9.7109375" style="125" customWidth="1"/>
    <col min="1044" max="1045" width="3.7109375" style="125" customWidth="1"/>
    <col min="1046" max="1046" width="9.7109375" style="125" customWidth="1"/>
    <col min="1047" max="1048" width="3.7109375" style="125" customWidth="1"/>
    <col min="1049" max="1049" width="9.7109375" style="125" customWidth="1"/>
    <col min="1050" max="1051" width="3.7109375" style="125" customWidth="1"/>
    <col min="1052" max="1052" width="9.7109375" style="125" customWidth="1"/>
    <col min="1053" max="1054" width="3.7109375" style="125" customWidth="1"/>
    <col min="1055" max="1055" width="9.7109375" style="125" customWidth="1"/>
    <col min="1056" max="1057" width="3.7109375" style="125" customWidth="1"/>
    <col min="1058" max="1058" width="9.7109375" style="125" customWidth="1"/>
    <col min="1059" max="1060" width="3.7109375" style="125" customWidth="1"/>
    <col min="1061" max="1061" width="9.7109375" style="125" customWidth="1"/>
    <col min="1062" max="1063" width="3.7109375" style="125" customWidth="1"/>
    <col min="1064" max="1064" width="9.7109375" style="125" customWidth="1"/>
    <col min="1065" max="1066" width="3.7109375" style="125" customWidth="1"/>
    <col min="1067" max="1067" width="9.7109375" style="125" customWidth="1"/>
    <col min="1068" max="1069" width="3.7109375" style="125" customWidth="1"/>
    <col min="1070" max="1070" width="9.7109375" style="125" customWidth="1"/>
    <col min="1071" max="1072" width="3.7109375" style="125" customWidth="1"/>
    <col min="1073" max="1073" width="9.7109375" style="125" customWidth="1"/>
    <col min="1074" max="1075" width="3.7109375" style="125" customWidth="1"/>
    <col min="1076" max="1076" width="9.7109375" style="125" customWidth="1"/>
    <col min="1077" max="1078" width="3.7109375" style="125" customWidth="1"/>
    <col min="1079" max="1079" width="9.7109375" style="125" customWidth="1"/>
    <col min="1080" max="1081" width="3.7109375" style="125" customWidth="1"/>
    <col min="1082" max="1082" width="9.7109375" style="125" customWidth="1"/>
    <col min="1083" max="1084" width="3.7109375" style="125" customWidth="1"/>
    <col min="1085" max="1085" width="9.7109375" style="125" customWidth="1"/>
    <col min="1086" max="1087" width="3.7109375" style="125" customWidth="1"/>
    <col min="1088" max="1088" width="9.7109375" style="125" customWidth="1"/>
    <col min="1089" max="1090" width="3.7109375" style="125" customWidth="1"/>
    <col min="1091" max="1091" width="9.7109375" style="125" customWidth="1"/>
    <col min="1092" max="1093" width="3.7109375" style="125" customWidth="1"/>
    <col min="1094" max="1094" width="9.7109375" style="125" customWidth="1"/>
    <col min="1095" max="1096" width="3.7109375" style="125" customWidth="1"/>
    <col min="1097" max="1097" width="9.7109375" style="125" customWidth="1"/>
    <col min="1098" max="1099" width="3.7109375" style="125" customWidth="1"/>
    <col min="1100" max="1100" width="9.7109375" style="125" customWidth="1"/>
    <col min="1101" max="1102" width="3.7109375" style="125" customWidth="1"/>
    <col min="1103" max="1103" width="9.7109375" style="125" customWidth="1"/>
    <col min="1104" max="1105" width="3.7109375" style="125" customWidth="1"/>
    <col min="1106" max="1106" width="9.7109375" style="125" customWidth="1"/>
    <col min="1107" max="1108" width="3.7109375" style="125" customWidth="1"/>
    <col min="1109" max="1109" width="9.7109375" style="125" customWidth="1"/>
    <col min="1110" max="1111" width="3.7109375" style="125" customWidth="1"/>
    <col min="1112" max="1112" width="9.7109375" style="125" customWidth="1"/>
    <col min="1113" max="1114" width="3.7109375" style="125" customWidth="1"/>
    <col min="1115" max="1115" width="9.7109375" style="125" customWidth="1"/>
    <col min="1116" max="1117" width="3.7109375" style="125" customWidth="1"/>
    <col min="1118" max="1118" width="9.7109375" style="125" customWidth="1"/>
    <col min="1119" max="1120" width="3.7109375" style="125" customWidth="1"/>
    <col min="1121" max="1121" width="9.7109375" style="125" customWidth="1"/>
    <col min="1122" max="1123" width="3.7109375" style="125" customWidth="1"/>
    <col min="1124" max="1124" width="9.7109375" style="125" customWidth="1"/>
    <col min="1125" max="1126" width="3.7109375" style="125" customWidth="1"/>
    <col min="1127" max="1127" width="9.7109375" style="125" customWidth="1"/>
    <col min="1128" max="1129" width="3.7109375" style="125" customWidth="1"/>
    <col min="1130" max="1130" width="9.7109375" style="125" customWidth="1"/>
    <col min="1131" max="1132" width="3.7109375" style="125" customWidth="1"/>
    <col min="1133" max="1133" width="9.7109375" style="125" customWidth="1"/>
    <col min="1134" max="1135" width="3.7109375" style="125" customWidth="1"/>
    <col min="1136" max="1136" width="9.7109375" style="125" customWidth="1"/>
    <col min="1137" max="1138" width="3.7109375" style="125" customWidth="1"/>
    <col min="1139" max="1139" width="9.7109375" style="125" customWidth="1"/>
    <col min="1140" max="1141" width="3.7109375" style="125" customWidth="1"/>
    <col min="1142" max="1142" width="9.7109375" style="125" customWidth="1"/>
    <col min="1143" max="1144" width="3.7109375" style="125" customWidth="1"/>
    <col min="1145" max="1145" width="9.7109375" style="125" customWidth="1"/>
    <col min="1146" max="1147" width="3.7109375" style="125" customWidth="1"/>
    <col min="1148" max="1148" width="9.7109375" style="125" customWidth="1"/>
    <col min="1149" max="1150" width="3.7109375" style="125" customWidth="1"/>
    <col min="1151" max="1151" width="9.7109375" style="125" customWidth="1"/>
    <col min="1152" max="1153" width="3.7109375" style="125" customWidth="1"/>
    <col min="1154" max="1154" width="9.7109375" style="125" customWidth="1"/>
    <col min="1155" max="1156" width="3.7109375" style="125" customWidth="1"/>
    <col min="1157" max="1157" width="9.7109375" style="125" customWidth="1"/>
    <col min="1158" max="1159" width="3.7109375" style="125" customWidth="1"/>
    <col min="1160" max="1160" width="9.7109375" style="125" customWidth="1"/>
    <col min="1161" max="1162" width="3.7109375" style="125" customWidth="1"/>
    <col min="1163" max="1163" width="9.7109375" style="125" customWidth="1"/>
    <col min="1164" max="1165" width="3.7109375" style="125" customWidth="1"/>
    <col min="1166" max="1166" width="9.7109375" style="125" customWidth="1"/>
    <col min="1167" max="1168" width="3.7109375" style="125" customWidth="1"/>
    <col min="1169" max="1169" width="9.7109375" style="125" customWidth="1"/>
    <col min="1170" max="1171" width="3.7109375" style="125" customWidth="1"/>
    <col min="1172" max="1172" width="9.7109375" style="125" customWidth="1"/>
    <col min="1173" max="1174" width="3.7109375" style="125" customWidth="1"/>
    <col min="1175" max="1175" width="9.7109375" style="125" customWidth="1"/>
    <col min="1176" max="1177" width="3.7109375" style="125" customWidth="1"/>
    <col min="1178" max="1178" width="9.7109375" style="125" customWidth="1"/>
    <col min="1179" max="1180" width="3.7109375" style="125" customWidth="1"/>
    <col min="1181" max="1181" width="9.7109375" style="125" customWidth="1"/>
    <col min="1182" max="1183" width="3.7109375" style="125" customWidth="1"/>
    <col min="1184" max="1184" width="9.7109375" style="125" customWidth="1"/>
    <col min="1185" max="1186" width="3.7109375" style="125" customWidth="1"/>
    <col min="1187" max="1187" width="9.7109375" style="125" customWidth="1"/>
    <col min="1188" max="1189" width="3.7109375" style="125" customWidth="1"/>
    <col min="1190" max="1190" width="9.7109375" style="125" customWidth="1"/>
    <col min="1191" max="1192" width="3.7109375" style="125" customWidth="1"/>
    <col min="1193" max="1193" width="9.7109375" style="125" customWidth="1"/>
    <col min="1194" max="1195" width="3.7109375" style="125" customWidth="1"/>
    <col min="1196" max="1196" width="9.7109375" style="125" customWidth="1"/>
    <col min="1197" max="1198" width="3.7109375" style="125" customWidth="1"/>
    <col min="1199" max="1199" width="9.7109375" style="125" customWidth="1"/>
    <col min="1200" max="1201" width="3.7109375" style="125" customWidth="1"/>
    <col min="1202" max="1202" width="9.7109375" style="125" customWidth="1"/>
    <col min="1203" max="1204" width="3.7109375" style="125" customWidth="1"/>
    <col min="1205" max="1205" width="9.7109375" style="125" customWidth="1"/>
    <col min="1206" max="1207" width="3.7109375" style="125" customWidth="1"/>
    <col min="1208" max="1208" width="9.7109375" style="125" customWidth="1"/>
    <col min="1209" max="1210" width="3.7109375" style="125" customWidth="1"/>
    <col min="1211" max="1211" width="9.7109375" style="125" customWidth="1"/>
    <col min="1212" max="1213" width="3.7109375" style="125" customWidth="1"/>
    <col min="1214" max="1214" width="9.7109375" style="125" customWidth="1"/>
    <col min="1215" max="1216" width="3.7109375" style="125" customWidth="1"/>
    <col min="1217" max="1217" width="9.7109375" style="125" customWidth="1"/>
    <col min="1218" max="1219" width="3.7109375" style="125" customWidth="1"/>
    <col min="1220" max="1220" width="9.7109375" style="125" customWidth="1"/>
    <col min="1221" max="1222" width="3.7109375" style="125" customWidth="1"/>
    <col min="1223" max="1223" width="9.7109375" style="125" customWidth="1"/>
    <col min="1224" max="1225" width="3.7109375" style="125" customWidth="1"/>
    <col min="1226" max="1226" width="9.7109375" style="125" customWidth="1"/>
    <col min="1227" max="1228" width="3.7109375" style="125" customWidth="1"/>
    <col min="1229" max="1229" width="9.7109375" style="125" customWidth="1"/>
    <col min="1230" max="1231" width="3.7109375" style="125" customWidth="1"/>
    <col min="1232" max="1232" width="9.7109375" style="125" customWidth="1"/>
    <col min="1233" max="1234" width="3.7109375" style="125" customWidth="1"/>
    <col min="1235" max="1235" width="9.7109375" style="125" customWidth="1"/>
    <col min="1236" max="1237" width="3.7109375" style="125" customWidth="1"/>
    <col min="1238" max="1238" width="9.7109375" style="125" customWidth="1"/>
    <col min="1239" max="1240" width="3.7109375" style="125" customWidth="1"/>
    <col min="1241" max="1241" width="9.7109375" style="125" customWidth="1"/>
    <col min="1242" max="1242" width="3.7109375" style="125" customWidth="1"/>
    <col min="1243" max="1280" width="8" style="125"/>
    <col min="1281" max="1281" width="30.7109375" style="125" customWidth="1"/>
    <col min="1282" max="1282" width="9.7109375" style="125" customWidth="1"/>
    <col min="1283" max="1283" width="3.7109375" style="125" customWidth="1"/>
    <col min="1284" max="1284" width="9.7109375" style="125" customWidth="1"/>
    <col min="1285" max="1286" width="3.7109375" style="125" customWidth="1"/>
    <col min="1287" max="1287" width="9.7109375" style="125" customWidth="1"/>
    <col min="1288" max="1289" width="3.7109375" style="125" customWidth="1"/>
    <col min="1290" max="1290" width="9.7109375" style="125" customWidth="1"/>
    <col min="1291" max="1292" width="3.7109375" style="125" customWidth="1"/>
    <col min="1293" max="1293" width="9.7109375" style="125" customWidth="1"/>
    <col min="1294" max="1295" width="3.7109375" style="125" customWidth="1"/>
    <col min="1296" max="1296" width="9.7109375" style="125" customWidth="1"/>
    <col min="1297" max="1298" width="3.7109375" style="125" customWidth="1"/>
    <col min="1299" max="1299" width="9.7109375" style="125" customWidth="1"/>
    <col min="1300" max="1301" width="3.7109375" style="125" customWidth="1"/>
    <col min="1302" max="1302" width="9.7109375" style="125" customWidth="1"/>
    <col min="1303" max="1304" width="3.7109375" style="125" customWidth="1"/>
    <col min="1305" max="1305" width="9.7109375" style="125" customWidth="1"/>
    <col min="1306" max="1307" width="3.7109375" style="125" customWidth="1"/>
    <col min="1308" max="1308" width="9.7109375" style="125" customWidth="1"/>
    <col min="1309" max="1310" width="3.7109375" style="125" customWidth="1"/>
    <col min="1311" max="1311" width="9.7109375" style="125" customWidth="1"/>
    <col min="1312" max="1313" width="3.7109375" style="125" customWidth="1"/>
    <col min="1314" max="1314" width="9.7109375" style="125" customWidth="1"/>
    <col min="1315" max="1316" width="3.7109375" style="125" customWidth="1"/>
    <col min="1317" max="1317" width="9.7109375" style="125" customWidth="1"/>
    <col min="1318" max="1319" width="3.7109375" style="125" customWidth="1"/>
    <col min="1320" max="1320" width="9.7109375" style="125" customWidth="1"/>
    <col min="1321" max="1322" width="3.7109375" style="125" customWidth="1"/>
    <col min="1323" max="1323" width="9.7109375" style="125" customWidth="1"/>
    <col min="1324" max="1325" width="3.7109375" style="125" customWidth="1"/>
    <col min="1326" max="1326" width="9.7109375" style="125" customWidth="1"/>
    <col min="1327" max="1328" width="3.7109375" style="125" customWidth="1"/>
    <col min="1329" max="1329" width="9.7109375" style="125" customWidth="1"/>
    <col min="1330" max="1331" width="3.7109375" style="125" customWidth="1"/>
    <col min="1332" max="1332" width="9.7109375" style="125" customWidth="1"/>
    <col min="1333" max="1334" width="3.7109375" style="125" customWidth="1"/>
    <col min="1335" max="1335" width="9.7109375" style="125" customWidth="1"/>
    <col min="1336" max="1337" width="3.7109375" style="125" customWidth="1"/>
    <col min="1338" max="1338" width="9.7109375" style="125" customWidth="1"/>
    <col min="1339" max="1340" width="3.7109375" style="125" customWidth="1"/>
    <col min="1341" max="1341" width="9.7109375" style="125" customWidth="1"/>
    <col min="1342" max="1343" width="3.7109375" style="125" customWidth="1"/>
    <col min="1344" max="1344" width="9.7109375" style="125" customWidth="1"/>
    <col min="1345" max="1346" width="3.7109375" style="125" customWidth="1"/>
    <col min="1347" max="1347" width="9.7109375" style="125" customWidth="1"/>
    <col min="1348" max="1349" width="3.7109375" style="125" customWidth="1"/>
    <col min="1350" max="1350" width="9.7109375" style="125" customWidth="1"/>
    <col min="1351" max="1352" width="3.7109375" style="125" customWidth="1"/>
    <col min="1353" max="1353" width="9.7109375" style="125" customWidth="1"/>
    <col min="1354" max="1355" width="3.7109375" style="125" customWidth="1"/>
    <col min="1356" max="1356" width="9.7109375" style="125" customWidth="1"/>
    <col min="1357" max="1358" width="3.7109375" style="125" customWidth="1"/>
    <col min="1359" max="1359" width="9.7109375" style="125" customWidth="1"/>
    <col min="1360" max="1361" width="3.7109375" style="125" customWidth="1"/>
    <col min="1362" max="1362" width="9.7109375" style="125" customWidth="1"/>
    <col min="1363" max="1364" width="3.7109375" style="125" customWidth="1"/>
    <col min="1365" max="1365" width="9.7109375" style="125" customWidth="1"/>
    <col min="1366" max="1367" width="3.7109375" style="125" customWidth="1"/>
    <col min="1368" max="1368" width="9.7109375" style="125" customWidth="1"/>
    <col min="1369" max="1370" width="3.7109375" style="125" customWidth="1"/>
    <col min="1371" max="1371" width="9.7109375" style="125" customWidth="1"/>
    <col min="1372" max="1373" width="3.7109375" style="125" customWidth="1"/>
    <col min="1374" max="1374" width="9.7109375" style="125" customWidth="1"/>
    <col min="1375" max="1376" width="3.7109375" style="125" customWidth="1"/>
    <col min="1377" max="1377" width="9.7109375" style="125" customWidth="1"/>
    <col min="1378" max="1379" width="3.7109375" style="125" customWidth="1"/>
    <col min="1380" max="1380" width="9.7109375" style="125" customWidth="1"/>
    <col min="1381" max="1382" width="3.7109375" style="125" customWidth="1"/>
    <col min="1383" max="1383" width="9.7109375" style="125" customWidth="1"/>
    <col min="1384" max="1385" width="3.7109375" style="125" customWidth="1"/>
    <col min="1386" max="1386" width="9.7109375" style="125" customWidth="1"/>
    <col min="1387" max="1388" width="3.7109375" style="125" customWidth="1"/>
    <col min="1389" max="1389" width="9.7109375" style="125" customWidth="1"/>
    <col min="1390" max="1391" width="3.7109375" style="125" customWidth="1"/>
    <col min="1392" max="1392" width="9.7109375" style="125" customWidth="1"/>
    <col min="1393" max="1394" width="3.7109375" style="125" customWidth="1"/>
    <col min="1395" max="1395" width="9.7109375" style="125" customWidth="1"/>
    <col min="1396" max="1397" width="3.7109375" style="125" customWidth="1"/>
    <col min="1398" max="1398" width="9.7109375" style="125" customWidth="1"/>
    <col min="1399" max="1400" width="3.7109375" style="125" customWidth="1"/>
    <col min="1401" max="1401" width="9.7109375" style="125" customWidth="1"/>
    <col min="1402" max="1403" width="3.7109375" style="125" customWidth="1"/>
    <col min="1404" max="1404" width="9.7109375" style="125" customWidth="1"/>
    <col min="1405" max="1406" width="3.7109375" style="125" customWidth="1"/>
    <col min="1407" max="1407" width="9.7109375" style="125" customWidth="1"/>
    <col min="1408" max="1409" width="3.7109375" style="125" customWidth="1"/>
    <col min="1410" max="1410" width="9.7109375" style="125" customWidth="1"/>
    <col min="1411" max="1412" width="3.7109375" style="125" customWidth="1"/>
    <col min="1413" max="1413" width="9.7109375" style="125" customWidth="1"/>
    <col min="1414" max="1415" width="3.7109375" style="125" customWidth="1"/>
    <col min="1416" max="1416" width="9.7109375" style="125" customWidth="1"/>
    <col min="1417" max="1418" width="3.7109375" style="125" customWidth="1"/>
    <col min="1419" max="1419" width="9.7109375" style="125" customWidth="1"/>
    <col min="1420" max="1421" width="3.7109375" style="125" customWidth="1"/>
    <col min="1422" max="1422" width="9.7109375" style="125" customWidth="1"/>
    <col min="1423" max="1424" width="3.7109375" style="125" customWidth="1"/>
    <col min="1425" max="1425" width="9.7109375" style="125" customWidth="1"/>
    <col min="1426" max="1427" width="3.7109375" style="125" customWidth="1"/>
    <col min="1428" max="1428" width="9.7109375" style="125" customWidth="1"/>
    <col min="1429" max="1430" width="3.7109375" style="125" customWidth="1"/>
    <col min="1431" max="1431" width="9.7109375" style="125" customWidth="1"/>
    <col min="1432" max="1433" width="3.7109375" style="125" customWidth="1"/>
    <col min="1434" max="1434" width="9.7109375" style="125" customWidth="1"/>
    <col min="1435" max="1436" width="3.7109375" style="125" customWidth="1"/>
    <col min="1437" max="1437" width="9.7109375" style="125" customWidth="1"/>
    <col min="1438" max="1439" width="3.7109375" style="125" customWidth="1"/>
    <col min="1440" max="1440" width="9.7109375" style="125" customWidth="1"/>
    <col min="1441" max="1442" width="3.7109375" style="125" customWidth="1"/>
    <col min="1443" max="1443" width="9.7109375" style="125" customWidth="1"/>
    <col min="1444" max="1445" width="3.7109375" style="125" customWidth="1"/>
    <col min="1446" max="1446" width="9.7109375" style="125" customWidth="1"/>
    <col min="1447" max="1448" width="3.7109375" style="125" customWidth="1"/>
    <col min="1449" max="1449" width="9.7109375" style="125" customWidth="1"/>
    <col min="1450" max="1451" width="3.7109375" style="125" customWidth="1"/>
    <col min="1452" max="1452" width="9.7109375" style="125" customWidth="1"/>
    <col min="1453" max="1454" width="3.7109375" style="125" customWidth="1"/>
    <col min="1455" max="1455" width="9.7109375" style="125" customWidth="1"/>
    <col min="1456" max="1457" width="3.7109375" style="125" customWidth="1"/>
    <col min="1458" max="1458" width="9.7109375" style="125" customWidth="1"/>
    <col min="1459" max="1460" width="3.7109375" style="125" customWidth="1"/>
    <col min="1461" max="1461" width="9.7109375" style="125" customWidth="1"/>
    <col min="1462" max="1463" width="3.7109375" style="125" customWidth="1"/>
    <col min="1464" max="1464" width="9.7109375" style="125" customWidth="1"/>
    <col min="1465" max="1466" width="3.7109375" style="125" customWidth="1"/>
    <col min="1467" max="1467" width="9.7109375" style="125" customWidth="1"/>
    <col min="1468" max="1469" width="3.7109375" style="125" customWidth="1"/>
    <col min="1470" max="1470" width="9.7109375" style="125" customWidth="1"/>
    <col min="1471" max="1472" width="3.7109375" style="125" customWidth="1"/>
    <col min="1473" max="1473" width="9.7109375" style="125" customWidth="1"/>
    <col min="1474" max="1475" width="3.7109375" style="125" customWidth="1"/>
    <col min="1476" max="1476" width="9.7109375" style="125" customWidth="1"/>
    <col min="1477" max="1478" width="3.7109375" style="125" customWidth="1"/>
    <col min="1479" max="1479" width="9.7109375" style="125" customWidth="1"/>
    <col min="1480" max="1481" width="3.7109375" style="125" customWidth="1"/>
    <col min="1482" max="1482" width="9.7109375" style="125" customWidth="1"/>
    <col min="1483" max="1484" width="3.7109375" style="125" customWidth="1"/>
    <col min="1485" max="1485" width="9.7109375" style="125" customWidth="1"/>
    <col min="1486" max="1487" width="3.7109375" style="125" customWidth="1"/>
    <col min="1488" max="1488" width="9.7109375" style="125" customWidth="1"/>
    <col min="1489" max="1490" width="3.7109375" style="125" customWidth="1"/>
    <col min="1491" max="1491" width="9.7109375" style="125" customWidth="1"/>
    <col min="1492" max="1493" width="3.7109375" style="125" customWidth="1"/>
    <col min="1494" max="1494" width="9.7109375" style="125" customWidth="1"/>
    <col min="1495" max="1496" width="3.7109375" style="125" customWidth="1"/>
    <col min="1497" max="1497" width="9.7109375" style="125" customWidth="1"/>
    <col min="1498" max="1498" width="3.7109375" style="125" customWidth="1"/>
    <col min="1499" max="1536" width="8" style="125"/>
    <col min="1537" max="1537" width="30.7109375" style="125" customWidth="1"/>
    <col min="1538" max="1538" width="9.7109375" style="125" customWidth="1"/>
    <col min="1539" max="1539" width="3.7109375" style="125" customWidth="1"/>
    <col min="1540" max="1540" width="9.7109375" style="125" customWidth="1"/>
    <col min="1541" max="1542" width="3.7109375" style="125" customWidth="1"/>
    <col min="1543" max="1543" width="9.7109375" style="125" customWidth="1"/>
    <col min="1544" max="1545" width="3.7109375" style="125" customWidth="1"/>
    <col min="1546" max="1546" width="9.7109375" style="125" customWidth="1"/>
    <col min="1547" max="1548" width="3.7109375" style="125" customWidth="1"/>
    <col min="1549" max="1549" width="9.7109375" style="125" customWidth="1"/>
    <col min="1550" max="1551" width="3.7109375" style="125" customWidth="1"/>
    <col min="1552" max="1552" width="9.7109375" style="125" customWidth="1"/>
    <col min="1553" max="1554" width="3.7109375" style="125" customWidth="1"/>
    <col min="1555" max="1555" width="9.7109375" style="125" customWidth="1"/>
    <col min="1556" max="1557" width="3.7109375" style="125" customWidth="1"/>
    <col min="1558" max="1558" width="9.7109375" style="125" customWidth="1"/>
    <col min="1559" max="1560" width="3.7109375" style="125" customWidth="1"/>
    <col min="1561" max="1561" width="9.7109375" style="125" customWidth="1"/>
    <col min="1562" max="1563" width="3.7109375" style="125" customWidth="1"/>
    <col min="1564" max="1564" width="9.7109375" style="125" customWidth="1"/>
    <col min="1565" max="1566" width="3.7109375" style="125" customWidth="1"/>
    <col min="1567" max="1567" width="9.7109375" style="125" customWidth="1"/>
    <col min="1568" max="1569" width="3.7109375" style="125" customWidth="1"/>
    <col min="1570" max="1570" width="9.7109375" style="125" customWidth="1"/>
    <col min="1571" max="1572" width="3.7109375" style="125" customWidth="1"/>
    <col min="1573" max="1573" width="9.7109375" style="125" customWidth="1"/>
    <col min="1574" max="1575" width="3.7109375" style="125" customWidth="1"/>
    <col min="1576" max="1576" width="9.7109375" style="125" customWidth="1"/>
    <col min="1577" max="1578" width="3.7109375" style="125" customWidth="1"/>
    <col min="1579" max="1579" width="9.7109375" style="125" customWidth="1"/>
    <col min="1580" max="1581" width="3.7109375" style="125" customWidth="1"/>
    <col min="1582" max="1582" width="9.7109375" style="125" customWidth="1"/>
    <col min="1583" max="1584" width="3.7109375" style="125" customWidth="1"/>
    <col min="1585" max="1585" width="9.7109375" style="125" customWidth="1"/>
    <col min="1586" max="1587" width="3.7109375" style="125" customWidth="1"/>
    <col min="1588" max="1588" width="9.7109375" style="125" customWidth="1"/>
    <col min="1589" max="1590" width="3.7109375" style="125" customWidth="1"/>
    <col min="1591" max="1591" width="9.7109375" style="125" customWidth="1"/>
    <col min="1592" max="1593" width="3.7109375" style="125" customWidth="1"/>
    <col min="1594" max="1594" width="9.7109375" style="125" customWidth="1"/>
    <col min="1595" max="1596" width="3.7109375" style="125" customWidth="1"/>
    <col min="1597" max="1597" width="9.7109375" style="125" customWidth="1"/>
    <col min="1598" max="1599" width="3.7109375" style="125" customWidth="1"/>
    <col min="1600" max="1600" width="9.7109375" style="125" customWidth="1"/>
    <col min="1601" max="1602" width="3.7109375" style="125" customWidth="1"/>
    <col min="1603" max="1603" width="9.7109375" style="125" customWidth="1"/>
    <col min="1604" max="1605" width="3.7109375" style="125" customWidth="1"/>
    <col min="1606" max="1606" width="9.7109375" style="125" customWidth="1"/>
    <col min="1607" max="1608" width="3.7109375" style="125" customWidth="1"/>
    <col min="1609" max="1609" width="9.7109375" style="125" customWidth="1"/>
    <col min="1610" max="1611" width="3.7109375" style="125" customWidth="1"/>
    <col min="1612" max="1612" width="9.7109375" style="125" customWidth="1"/>
    <col min="1613" max="1614" width="3.7109375" style="125" customWidth="1"/>
    <col min="1615" max="1615" width="9.7109375" style="125" customWidth="1"/>
    <col min="1616" max="1617" width="3.7109375" style="125" customWidth="1"/>
    <col min="1618" max="1618" width="9.7109375" style="125" customWidth="1"/>
    <col min="1619" max="1620" width="3.7109375" style="125" customWidth="1"/>
    <col min="1621" max="1621" width="9.7109375" style="125" customWidth="1"/>
    <col min="1622" max="1623" width="3.7109375" style="125" customWidth="1"/>
    <col min="1624" max="1624" width="9.7109375" style="125" customWidth="1"/>
    <col min="1625" max="1626" width="3.7109375" style="125" customWidth="1"/>
    <col min="1627" max="1627" width="9.7109375" style="125" customWidth="1"/>
    <col min="1628" max="1629" width="3.7109375" style="125" customWidth="1"/>
    <col min="1630" max="1630" width="9.7109375" style="125" customWidth="1"/>
    <col min="1631" max="1632" width="3.7109375" style="125" customWidth="1"/>
    <col min="1633" max="1633" width="9.7109375" style="125" customWidth="1"/>
    <col min="1634" max="1635" width="3.7109375" style="125" customWidth="1"/>
    <col min="1636" max="1636" width="9.7109375" style="125" customWidth="1"/>
    <col min="1637" max="1638" width="3.7109375" style="125" customWidth="1"/>
    <col min="1639" max="1639" width="9.7109375" style="125" customWidth="1"/>
    <col min="1640" max="1641" width="3.7109375" style="125" customWidth="1"/>
    <col min="1642" max="1642" width="9.7109375" style="125" customWidth="1"/>
    <col min="1643" max="1644" width="3.7109375" style="125" customWidth="1"/>
    <col min="1645" max="1645" width="9.7109375" style="125" customWidth="1"/>
    <col min="1646" max="1647" width="3.7109375" style="125" customWidth="1"/>
    <col min="1648" max="1648" width="9.7109375" style="125" customWidth="1"/>
    <col min="1649" max="1650" width="3.7109375" style="125" customWidth="1"/>
    <col min="1651" max="1651" width="9.7109375" style="125" customWidth="1"/>
    <col min="1652" max="1653" width="3.7109375" style="125" customWidth="1"/>
    <col min="1654" max="1654" width="9.7109375" style="125" customWidth="1"/>
    <col min="1655" max="1656" width="3.7109375" style="125" customWidth="1"/>
    <col min="1657" max="1657" width="9.7109375" style="125" customWidth="1"/>
    <col min="1658" max="1659" width="3.7109375" style="125" customWidth="1"/>
    <col min="1660" max="1660" width="9.7109375" style="125" customWidth="1"/>
    <col min="1661" max="1662" width="3.7109375" style="125" customWidth="1"/>
    <col min="1663" max="1663" width="9.7109375" style="125" customWidth="1"/>
    <col min="1664" max="1665" width="3.7109375" style="125" customWidth="1"/>
    <col min="1666" max="1666" width="9.7109375" style="125" customWidth="1"/>
    <col min="1667" max="1668" width="3.7109375" style="125" customWidth="1"/>
    <col min="1669" max="1669" width="9.7109375" style="125" customWidth="1"/>
    <col min="1670" max="1671" width="3.7109375" style="125" customWidth="1"/>
    <col min="1672" max="1672" width="9.7109375" style="125" customWidth="1"/>
    <col min="1673" max="1674" width="3.7109375" style="125" customWidth="1"/>
    <col min="1675" max="1675" width="9.7109375" style="125" customWidth="1"/>
    <col min="1676" max="1677" width="3.7109375" style="125" customWidth="1"/>
    <col min="1678" max="1678" width="9.7109375" style="125" customWidth="1"/>
    <col min="1679" max="1680" width="3.7109375" style="125" customWidth="1"/>
    <col min="1681" max="1681" width="9.7109375" style="125" customWidth="1"/>
    <col min="1682" max="1683" width="3.7109375" style="125" customWidth="1"/>
    <col min="1684" max="1684" width="9.7109375" style="125" customWidth="1"/>
    <col min="1685" max="1686" width="3.7109375" style="125" customWidth="1"/>
    <col min="1687" max="1687" width="9.7109375" style="125" customWidth="1"/>
    <col min="1688" max="1689" width="3.7109375" style="125" customWidth="1"/>
    <col min="1690" max="1690" width="9.7109375" style="125" customWidth="1"/>
    <col min="1691" max="1692" width="3.7109375" style="125" customWidth="1"/>
    <col min="1693" max="1693" width="9.7109375" style="125" customWidth="1"/>
    <col min="1694" max="1695" width="3.7109375" style="125" customWidth="1"/>
    <col min="1696" max="1696" width="9.7109375" style="125" customWidth="1"/>
    <col min="1697" max="1698" width="3.7109375" style="125" customWidth="1"/>
    <col min="1699" max="1699" width="9.7109375" style="125" customWidth="1"/>
    <col min="1700" max="1701" width="3.7109375" style="125" customWidth="1"/>
    <col min="1702" max="1702" width="9.7109375" style="125" customWidth="1"/>
    <col min="1703" max="1704" width="3.7109375" style="125" customWidth="1"/>
    <col min="1705" max="1705" width="9.7109375" style="125" customWidth="1"/>
    <col min="1706" max="1707" width="3.7109375" style="125" customWidth="1"/>
    <col min="1708" max="1708" width="9.7109375" style="125" customWidth="1"/>
    <col min="1709" max="1710" width="3.7109375" style="125" customWidth="1"/>
    <col min="1711" max="1711" width="9.7109375" style="125" customWidth="1"/>
    <col min="1712" max="1713" width="3.7109375" style="125" customWidth="1"/>
    <col min="1714" max="1714" width="9.7109375" style="125" customWidth="1"/>
    <col min="1715" max="1716" width="3.7109375" style="125" customWidth="1"/>
    <col min="1717" max="1717" width="9.7109375" style="125" customWidth="1"/>
    <col min="1718" max="1719" width="3.7109375" style="125" customWidth="1"/>
    <col min="1720" max="1720" width="9.7109375" style="125" customWidth="1"/>
    <col min="1721" max="1722" width="3.7109375" style="125" customWidth="1"/>
    <col min="1723" max="1723" width="9.7109375" style="125" customWidth="1"/>
    <col min="1724" max="1725" width="3.7109375" style="125" customWidth="1"/>
    <col min="1726" max="1726" width="9.7109375" style="125" customWidth="1"/>
    <col min="1727" max="1728" width="3.7109375" style="125" customWidth="1"/>
    <col min="1729" max="1729" width="9.7109375" style="125" customWidth="1"/>
    <col min="1730" max="1731" width="3.7109375" style="125" customWidth="1"/>
    <col min="1732" max="1732" width="9.7109375" style="125" customWidth="1"/>
    <col min="1733" max="1734" width="3.7109375" style="125" customWidth="1"/>
    <col min="1735" max="1735" width="9.7109375" style="125" customWidth="1"/>
    <col min="1736" max="1737" width="3.7109375" style="125" customWidth="1"/>
    <col min="1738" max="1738" width="9.7109375" style="125" customWidth="1"/>
    <col min="1739" max="1740" width="3.7109375" style="125" customWidth="1"/>
    <col min="1741" max="1741" width="9.7109375" style="125" customWidth="1"/>
    <col min="1742" max="1743" width="3.7109375" style="125" customWidth="1"/>
    <col min="1744" max="1744" width="9.7109375" style="125" customWidth="1"/>
    <col min="1745" max="1746" width="3.7109375" style="125" customWidth="1"/>
    <col min="1747" max="1747" width="9.7109375" style="125" customWidth="1"/>
    <col min="1748" max="1749" width="3.7109375" style="125" customWidth="1"/>
    <col min="1750" max="1750" width="9.7109375" style="125" customWidth="1"/>
    <col min="1751" max="1752" width="3.7109375" style="125" customWidth="1"/>
    <col min="1753" max="1753" width="9.7109375" style="125" customWidth="1"/>
    <col min="1754" max="1754" width="3.7109375" style="125" customWidth="1"/>
    <col min="1755" max="1792" width="8" style="125"/>
    <col min="1793" max="1793" width="30.7109375" style="125" customWidth="1"/>
    <col min="1794" max="1794" width="9.7109375" style="125" customWidth="1"/>
    <col min="1795" max="1795" width="3.7109375" style="125" customWidth="1"/>
    <col min="1796" max="1796" width="9.7109375" style="125" customWidth="1"/>
    <col min="1797" max="1798" width="3.7109375" style="125" customWidth="1"/>
    <col min="1799" max="1799" width="9.7109375" style="125" customWidth="1"/>
    <col min="1800" max="1801" width="3.7109375" style="125" customWidth="1"/>
    <col min="1802" max="1802" width="9.7109375" style="125" customWidth="1"/>
    <col min="1803" max="1804" width="3.7109375" style="125" customWidth="1"/>
    <col min="1805" max="1805" width="9.7109375" style="125" customWidth="1"/>
    <col min="1806" max="1807" width="3.7109375" style="125" customWidth="1"/>
    <col min="1808" max="1808" width="9.7109375" style="125" customWidth="1"/>
    <col min="1809" max="1810" width="3.7109375" style="125" customWidth="1"/>
    <col min="1811" max="1811" width="9.7109375" style="125" customWidth="1"/>
    <col min="1812" max="1813" width="3.7109375" style="125" customWidth="1"/>
    <col min="1814" max="1814" width="9.7109375" style="125" customWidth="1"/>
    <col min="1815" max="1816" width="3.7109375" style="125" customWidth="1"/>
    <col min="1817" max="1817" width="9.7109375" style="125" customWidth="1"/>
    <col min="1818" max="1819" width="3.7109375" style="125" customWidth="1"/>
    <col min="1820" max="1820" width="9.7109375" style="125" customWidth="1"/>
    <col min="1821" max="1822" width="3.7109375" style="125" customWidth="1"/>
    <col min="1823" max="1823" width="9.7109375" style="125" customWidth="1"/>
    <col min="1824" max="1825" width="3.7109375" style="125" customWidth="1"/>
    <col min="1826" max="1826" width="9.7109375" style="125" customWidth="1"/>
    <col min="1827" max="1828" width="3.7109375" style="125" customWidth="1"/>
    <col min="1829" max="1829" width="9.7109375" style="125" customWidth="1"/>
    <col min="1830" max="1831" width="3.7109375" style="125" customWidth="1"/>
    <col min="1832" max="1832" width="9.7109375" style="125" customWidth="1"/>
    <col min="1833" max="1834" width="3.7109375" style="125" customWidth="1"/>
    <col min="1835" max="1835" width="9.7109375" style="125" customWidth="1"/>
    <col min="1836" max="1837" width="3.7109375" style="125" customWidth="1"/>
    <col min="1838" max="1838" width="9.7109375" style="125" customWidth="1"/>
    <col min="1839" max="1840" width="3.7109375" style="125" customWidth="1"/>
    <col min="1841" max="1841" width="9.7109375" style="125" customWidth="1"/>
    <col min="1842" max="1843" width="3.7109375" style="125" customWidth="1"/>
    <col min="1844" max="1844" width="9.7109375" style="125" customWidth="1"/>
    <col min="1845" max="1846" width="3.7109375" style="125" customWidth="1"/>
    <col min="1847" max="1847" width="9.7109375" style="125" customWidth="1"/>
    <col min="1848" max="1849" width="3.7109375" style="125" customWidth="1"/>
    <col min="1850" max="1850" width="9.7109375" style="125" customWidth="1"/>
    <col min="1851" max="1852" width="3.7109375" style="125" customWidth="1"/>
    <col min="1853" max="1853" width="9.7109375" style="125" customWidth="1"/>
    <col min="1854" max="1855" width="3.7109375" style="125" customWidth="1"/>
    <col min="1856" max="1856" width="9.7109375" style="125" customWidth="1"/>
    <col min="1857" max="1858" width="3.7109375" style="125" customWidth="1"/>
    <col min="1859" max="1859" width="9.7109375" style="125" customWidth="1"/>
    <col min="1860" max="1861" width="3.7109375" style="125" customWidth="1"/>
    <col min="1862" max="1862" width="9.7109375" style="125" customWidth="1"/>
    <col min="1863" max="1864" width="3.7109375" style="125" customWidth="1"/>
    <col min="1865" max="1865" width="9.7109375" style="125" customWidth="1"/>
    <col min="1866" max="1867" width="3.7109375" style="125" customWidth="1"/>
    <col min="1868" max="1868" width="9.7109375" style="125" customWidth="1"/>
    <col min="1869" max="1870" width="3.7109375" style="125" customWidth="1"/>
    <col min="1871" max="1871" width="9.7109375" style="125" customWidth="1"/>
    <col min="1872" max="1873" width="3.7109375" style="125" customWidth="1"/>
    <col min="1874" max="1874" width="9.7109375" style="125" customWidth="1"/>
    <col min="1875" max="1876" width="3.7109375" style="125" customWidth="1"/>
    <col min="1877" max="1877" width="9.7109375" style="125" customWidth="1"/>
    <col min="1878" max="1879" width="3.7109375" style="125" customWidth="1"/>
    <col min="1880" max="1880" width="9.7109375" style="125" customWidth="1"/>
    <col min="1881" max="1882" width="3.7109375" style="125" customWidth="1"/>
    <col min="1883" max="1883" width="9.7109375" style="125" customWidth="1"/>
    <col min="1884" max="1885" width="3.7109375" style="125" customWidth="1"/>
    <col min="1886" max="1886" width="9.7109375" style="125" customWidth="1"/>
    <col min="1887" max="1888" width="3.7109375" style="125" customWidth="1"/>
    <col min="1889" max="1889" width="9.7109375" style="125" customWidth="1"/>
    <col min="1890" max="1891" width="3.7109375" style="125" customWidth="1"/>
    <col min="1892" max="1892" width="9.7109375" style="125" customWidth="1"/>
    <col min="1893" max="1894" width="3.7109375" style="125" customWidth="1"/>
    <col min="1895" max="1895" width="9.7109375" style="125" customWidth="1"/>
    <col min="1896" max="1897" width="3.7109375" style="125" customWidth="1"/>
    <col min="1898" max="1898" width="9.7109375" style="125" customWidth="1"/>
    <col min="1899" max="1900" width="3.7109375" style="125" customWidth="1"/>
    <col min="1901" max="1901" width="9.7109375" style="125" customWidth="1"/>
    <col min="1902" max="1903" width="3.7109375" style="125" customWidth="1"/>
    <col min="1904" max="1904" width="9.7109375" style="125" customWidth="1"/>
    <col min="1905" max="1906" width="3.7109375" style="125" customWidth="1"/>
    <col min="1907" max="1907" width="9.7109375" style="125" customWidth="1"/>
    <col min="1908" max="1909" width="3.7109375" style="125" customWidth="1"/>
    <col min="1910" max="1910" width="9.7109375" style="125" customWidth="1"/>
    <col min="1911" max="1912" width="3.7109375" style="125" customWidth="1"/>
    <col min="1913" max="1913" width="9.7109375" style="125" customWidth="1"/>
    <col min="1914" max="1915" width="3.7109375" style="125" customWidth="1"/>
    <col min="1916" max="1916" width="9.7109375" style="125" customWidth="1"/>
    <col min="1917" max="1918" width="3.7109375" style="125" customWidth="1"/>
    <col min="1919" max="1919" width="9.7109375" style="125" customWidth="1"/>
    <col min="1920" max="1921" width="3.7109375" style="125" customWidth="1"/>
    <col min="1922" max="1922" width="9.7109375" style="125" customWidth="1"/>
    <col min="1923" max="1924" width="3.7109375" style="125" customWidth="1"/>
    <col min="1925" max="1925" width="9.7109375" style="125" customWidth="1"/>
    <col min="1926" max="1927" width="3.7109375" style="125" customWidth="1"/>
    <col min="1928" max="1928" width="9.7109375" style="125" customWidth="1"/>
    <col min="1929" max="1930" width="3.7109375" style="125" customWidth="1"/>
    <col min="1931" max="1931" width="9.7109375" style="125" customWidth="1"/>
    <col min="1932" max="1933" width="3.7109375" style="125" customWidth="1"/>
    <col min="1934" max="1934" width="9.7109375" style="125" customWidth="1"/>
    <col min="1935" max="1936" width="3.7109375" style="125" customWidth="1"/>
    <col min="1937" max="1937" width="9.7109375" style="125" customWidth="1"/>
    <col min="1938" max="1939" width="3.7109375" style="125" customWidth="1"/>
    <col min="1940" max="1940" width="9.7109375" style="125" customWidth="1"/>
    <col min="1941" max="1942" width="3.7109375" style="125" customWidth="1"/>
    <col min="1943" max="1943" width="9.7109375" style="125" customWidth="1"/>
    <col min="1944" max="1945" width="3.7109375" style="125" customWidth="1"/>
    <col min="1946" max="1946" width="9.7109375" style="125" customWidth="1"/>
    <col min="1947" max="1948" width="3.7109375" style="125" customWidth="1"/>
    <col min="1949" max="1949" width="9.7109375" style="125" customWidth="1"/>
    <col min="1950" max="1951" width="3.7109375" style="125" customWidth="1"/>
    <col min="1952" max="1952" width="9.7109375" style="125" customWidth="1"/>
    <col min="1953" max="1954" width="3.7109375" style="125" customWidth="1"/>
    <col min="1955" max="1955" width="9.7109375" style="125" customWidth="1"/>
    <col min="1956" max="1957" width="3.7109375" style="125" customWidth="1"/>
    <col min="1958" max="1958" width="9.7109375" style="125" customWidth="1"/>
    <col min="1959" max="1960" width="3.7109375" style="125" customWidth="1"/>
    <col min="1961" max="1961" width="9.7109375" style="125" customWidth="1"/>
    <col min="1962" max="1963" width="3.7109375" style="125" customWidth="1"/>
    <col min="1964" max="1964" width="9.7109375" style="125" customWidth="1"/>
    <col min="1965" max="1966" width="3.7109375" style="125" customWidth="1"/>
    <col min="1967" max="1967" width="9.7109375" style="125" customWidth="1"/>
    <col min="1968" max="1969" width="3.7109375" style="125" customWidth="1"/>
    <col min="1970" max="1970" width="9.7109375" style="125" customWidth="1"/>
    <col min="1971" max="1972" width="3.7109375" style="125" customWidth="1"/>
    <col min="1973" max="1973" width="9.7109375" style="125" customWidth="1"/>
    <col min="1974" max="1975" width="3.7109375" style="125" customWidth="1"/>
    <col min="1976" max="1976" width="9.7109375" style="125" customWidth="1"/>
    <col min="1977" max="1978" width="3.7109375" style="125" customWidth="1"/>
    <col min="1979" max="1979" width="9.7109375" style="125" customWidth="1"/>
    <col min="1980" max="1981" width="3.7109375" style="125" customWidth="1"/>
    <col min="1982" max="1982" width="9.7109375" style="125" customWidth="1"/>
    <col min="1983" max="1984" width="3.7109375" style="125" customWidth="1"/>
    <col min="1985" max="1985" width="9.7109375" style="125" customWidth="1"/>
    <col min="1986" max="1987" width="3.7109375" style="125" customWidth="1"/>
    <col min="1988" max="1988" width="9.7109375" style="125" customWidth="1"/>
    <col min="1989" max="1990" width="3.7109375" style="125" customWidth="1"/>
    <col min="1991" max="1991" width="9.7109375" style="125" customWidth="1"/>
    <col min="1992" max="1993" width="3.7109375" style="125" customWidth="1"/>
    <col min="1994" max="1994" width="9.7109375" style="125" customWidth="1"/>
    <col min="1995" max="1996" width="3.7109375" style="125" customWidth="1"/>
    <col min="1997" max="1997" width="9.7109375" style="125" customWidth="1"/>
    <col min="1998" max="1999" width="3.7109375" style="125" customWidth="1"/>
    <col min="2000" max="2000" width="9.7109375" style="125" customWidth="1"/>
    <col min="2001" max="2002" width="3.7109375" style="125" customWidth="1"/>
    <col min="2003" max="2003" width="9.7109375" style="125" customWidth="1"/>
    <col min="2004" max="2005" width="3.7109375" style="125" customWidth="1"/>
    <col min="2006" max="2006" width="9.7109375" style="125" customWidth="1"/>
    <col min="2007" max="2008" width="3.7109375" style="125" customWidth="1"/>
    <col min="2009" max="2009" width="9.7109375" style="125" customWidth="1"/>
    <col min="2010" max="2010" width="3.7109375" style="125" customWidth="1"/>
    <col min="2011" max="2048" width="8" style="125"/>
    <col min="2049" max="2049" width="30.7109375" style="125" customWidth="1"/>
    <col min="2050" max="2050" width="9.7109375" style="125" customWidth="1"/>
    <col min="2051" max="2051" width="3.7109375" style="125" customWidth="1"/>
    <col min="2052" max="2052" width="9.7109375" style="125" customWidth="1"/>
    <col min="2053" max="2054" width="3.7109375" style="125" customWidth="1"/>
    <col min="2055" max="2055" width="9.7109375" style="125" customWidth="1"/>
    <col min="2056" max="2057" width="3.7109375" style="125" customWidth="1"/>
    <col min="2058" max="2058" width="9.7109375" style="125" customWidth="1"/>
    <col min="2059" max="2060" width="3.7109375" style="125" customWidth="1"/>
    <col min="2061" max="2061" width="9.7109375" style="125" customWidth="1"/>
    <col min="2062" max="2063" width="3.7109375" style="125" customWidth="1"/>
    <col min="2064" max="2064" width="9.7109375" style="125" customWidth="1"/>
    <col min="2065" max="2066" width="3.7109375" style="125" customWidth="1"/>
    <col min="2067" max="2067" width="9.7109375" style="125" customWidth="1"/>
    <col min="2068" max="2069" width="3.7109375" style="125" customWidth="1"/>
    <col min="2070" max="2070" width="9.7109375" style="125" customWidth="1"/>
    <col min="2071" max="2072" width="3.7109375" style="125" customWidth="1"/>
    <col min="2073" max="2073" width="9.7109375" style="125" customWidth="1"/>
    <col min="2074" max="2075" width="3.7109375" style="125" customWidth="1"/>
    <col min="2076" max="2076" width="9.7109375" style="125" customWidth="1"/>
    <col min="2077" max="2078" width="3.7109375" style="125" customWidth="1"/>
    <col min="2079" max="2079" width="9.7109375" style="125" customWidth="1"/>
    <col min="2080" max="2081" width="3.7109375" style="125" customWidth="1"/>
    <col min="2082" max="2082" width="9.7109375" style="125" customWidth="1"/>
    <col min="2083" max="2084" width="3.7109375" style="125" customWidth="1"/>
    <col min="2085" max="2085" width="9.7109375" style="125" customWidth="1"/>
    <col min="2086" max="2087" width="3.7109375" style="125" customWidth="1"/>
    <col min="2088" max="2088" width="9.7109375" style="125" customWidth="1"/>
    <col min="2089" max="2090" width="3.7109375" style="125" customWidth="1"/>
    <col min="2091" max="2091" width="9.7109375" style="125" customWidth="1"/>
    <col min="2092" max="2093" width="3.7109375" style="125" customWidth="1"/>
    <col min="2094" max="2094" width="9.7109375" style="125" customWidth="1"/>
    <col min="2095" max="2096" width="3.7109375" style="125" customWidth="1"/>
    <col min="2097" max="2097" width="9.7109375" style="125" customWidth="1"/>
    <col min="2098" max="2099" width="3.7109375" style="125" customWidth="1"/>
    <col min="2100" max="2100" width="9.7109375" style="125" customWidth="1"/>
    <col min="2101" max="2102" width="3.7109375" style="125" customWidth="1"/>
    <col min="2103" max="2103" width="9.7109375" style="125" customWidth="1"/>
    <col min="2104" max="2105" width="3.7109375" style="125" customWidth="1"/>
    <col min="2106" max="2106" width="9.7109375" style="125" customWidth="1"/>
    <col min="2107" max="2108" width="3.7109375" style="125" customWidth="1"/>
    <col min="2109" max="2109" width="9.7109375" style="125" customWidth="1"/>
    <col min="2110" max="2111" width="3.7109375" style="125" customWidth="1"/>
    <col min="2112" max="2112" width="9.7109375" style="125" customWidth="1"/>
    <col min="2113" max="2114" width="3.7109375" style="125" customWidth="1"/>
    <col min="2115" max="2115" width="9.7109375" style="125" customWidth="1"/>
    <col min="2116" max="2117" width="3.7109375" style="125" customWidth="1"/>
    <col min="2118" max="2118" width="9.7109375" style="125" customWidth="1"/>
    <col min="2119" max="2120" width="3.7109375" style="125" customWidth="1"/>
    <col min="2121" max="2121" width="9.7109375" style="125" customWidth="1"/>
    <col min="2122" max="2123" width="3.7109375" style="125" customWidth="1"/>
    <col min="2124" max="2124" width="9.7109375" style="125" customWidth="1"/>
    <col min="2125" max="2126" width="3.7109375" style="125" customWidth="1"/>
    <col min="2127" max="2127" width="9.7109375" style="125" customWidth="1"/>
    <col min="2128" max="2129" width="3.7109375" style="125" customWidth="1"/>
    <col min="2130" max="2130" width="9.7109375" style="125" customWidth="1"/>
    <col min="2131" max="2132" width="3.7109375" style="125" customWidth="1"/>
    <col min="2133" max="2133" width="9.7109375" style="125" customWidth="1"/>
    <col min="2134" max="2135" width="3.7109375" style="125" customWidth="1"/>
    <col min="2136" max="2136" width="9.7109375" style="125" customWidth="1"/>
    <col min="2137" max="2138" width="3.7109375" style="125" customWidth="1"/>
    <col min="2139" max="2139" width="9.7109375" style="125" customWidth="1"/>
    <col min="2140" max="2141" width="3.7109375" style="125" customWidth="1"/>
    <col min="2142" max="2142" width="9.7109375" style="125" customWidth="1"/>
    <col min="2143" max="2144" width="3.7109375" style="125" customWidth="1"/>
    <col min="2145" max="2145" width="9.7109375" style="125" customWidth="1"/>
    <col min="2146" max="2147" width="3.7109375" style="125" customWidth="1"/>
    <col min="2148" max="2148" width="9.7109375" style="125" customWidth="1"/>
    <col min="2149" max="2150" width="3.7109375" style="125" customWidth="1"/>
    <col min="2151" max="2151" width="9.7109375" style="125" customWidth="1"/>
    <col min="2152" max="2153" width="3.7109375" style="125" customWidth="1"/>
    <col min="2154" max="2154" width="9.7109375" style="125" customWidth="1"/>
    <col min="2155" max="2156" width="3.7109375" style="125" customWidth="1"/>
    <col min="2157" max="2157" width="9.7109375" style="125" customWidth="1"/>
    <col min="2158" max="2159" width="3.7109375" style="125" customWidth="1"/>
    <col min="2160" max="2160" width="9.7109375" style="125" customWidth="1"/>
    <col min="2161" max="2162" width="3.7109375" style="125" customWidth="1"/>
    <col min="2163" max="2163" width="9.7109375" style="125" customWidth="1"/>
    <col min="2164" max="2165" width="3.7109375" style="125" customWidth="1"/>
    <col min="2166" max="2166" width="9.7109375" style="125" customWidth="1"/>
    <col min="2167" max="2168" width="3.7109375" style="125" customWidth="1"/>
    <col min="2169" max="2169" width="9.7109375" style="125" customWidth="1"/>
    <col min="2170" max="2171" width="3.7109375" style="125" customWidth="1"/>
    <col min="2172" max="2172" width="9.7109375" style="125" customWidth="1"/>
    <col min="2173" max="2174" width="3.7109375" style="125" customWidth="1"/>
    <col min="2175" max="2175" width="9.7109375" style="125" customWidth="1"/>
    <col min="2176" max="2177" width="3.7109375" style="125" customWidth="1"/>
    <col min="2178" max="2178" width="9.7109375" style="125" customWidth="1"/>
    <col min="2179" max="2180" width="3.7109375" style="125" customWidth="1"/>
    <col min="2181" max="2181" width="9.7109375" style="125" customWidth="1"/>
    <col min="2182" max="2183" width="3.7109375" style="125" customWidth="1"/>
    <col min="2184" max="2184" width="9.7109375" style="125" customWidth="1"/>
    <col min="2185" max="2186" width="3.7109375" style="125" customWidth="1"/>
    <col min="2187" max="2187" width="9.7109375" style="125" customWidth="1"/>
    <col min="2188" max="2189" width="3.7109375" style="125" customWidth="1"/>
    <col min="2190" max="2190" width="9.7109375" style="125" customWidth="1"/>
    <col min="2191" max="2192" width="3.7109375" style="125" customWidth="1"/>
    <col min="2193" max="2193" width="9.7109375" style="125" customWidth="1"/>
    <col min="2194" max="2195" width="3.7109375" style="125" customWidth="1"/>
    <col min="2196" max="2196" width="9.7109375" style="125" customWidth="1"/>
    <col min="2197" max="2198" width="3.7109375" style="125" customWidth="1"/>
    <col min="2199" max="2199" width="9.7109375" style="125" customWidth="1"/>
    <col min="2200" max="2201" width="3.7109375" style="125" customWidth="1"/>
    <col min="2202" max="2202" width="9.7109375" style="125" customWidth="1"/>
    <col min="2203" max="2204" width="3.7109375" style="125" customWidth="1"/>
    <col min="2205" max="2205" width="9.7109375" style="125" customWidth="1"/>
    <col min="2206" max="2207" width="3.7109375" style="125" customWidth="1"/>
    <col min="2208" max="2208" width="9.7109375" style="125" customWidth="1"/>
    <col min="2209" max="2210" width="3.7109375" style="125" customWidth="1"/>
    <col min="2211" max="2211" width="9.7109375" style="125" customWidth="1"/>
    <col min="2212" max="2213" width="3.7109375" style="125" customWidth="1"/>
    <col min="2214" max="2214" width="9.7109375" style="125" customWidth="1"/>
    <col min="2215" max="2216" width="3.7109375" style="125" customWidth="1"/>
    <col min="2217" max="2217" width="9.7109375" style="125" customWidth="1"/>
    <col min="2218" max="2219" width="3.7109375" style="125" customWidth="1"/>
    <col min="2220" max="2220" width="9.7109375" style="125" customWidth="1"/>
    <col min="2221" max="2222" width="3.7109375" style="125" customWidth="1"/>
    <col min="2223" max="2223" width="9.7109375" style="125" customWidth="1"/>
    <col min="2224" max="2225" width="3.7109375" style="125" customWidth="1"/>
    <col min="2226" max="2226" width="9.7109375" style="125" customWidth="1"/>
    <col min="2227" max="2228" width="3.7109375" style="125" customWidth="1"/>
    <col min="2229" max="2229" width="9.7109375" style="125" customWidth="1"/>
    <col min="2230" max="2231" width="3.7109375" style="125" customWidth="1"/>
    <col min="2232" max="2232" width="9.7109375" style="125" customWidth="1"/>
    <col min="2233" max="2234" width="3.7109375" style="125" customWidth="1"/>
    <col min="2235" max="2235" width="9.7109375" style="125" customWidth="1"/>
    <col min="2236" max="2237" width="3.7109375" style="125" customWidth="1"/>
    <col min="2238" max="2238" width="9.7109375" style="125" customWidth="1"/>
    <col min="2239" max="2240" width="3.7109375" style="125" customWidth="1"/>
    <col min="2241" max="2241" width="9.7109375" style="125" customWidth="1"/>
    <col min="2242" max="2243" width="3.7109375" style="125" customWidth="1"/>
    <col min="2244" max="2244" width="9.7109375" style="125" customWidth="1"/>
    <col min="2245" max="2246" width="3.7109375" style="125" customWidth="1"/>
    <col min="2247" max="2247" width="9.7109375" style="125" customWidth="1"/>
    <col min="2248" max="2249" width="3.7109375" style="125" customWidth="1"/>
    <col min="2250" max="2250" width="9.7109375" style="125" customWidth="1"/>
    <col min="2251" max="2252" width="3.7109375" style="125" customWidth="1"/>
    <col min="2253" max="2253" width="9.7109375" style="125" customWidth="1"/>
    <col min="2254" max="2255" width="3.7109375" style="125" customWidth="1"/>
    <col min="2256" max="2256" width="9.7109375" style="125" customWidth="1"/>
    <col min="2257" max="2258" width="3.7109375" style="125" customWidth="1"/>
    <col min="2259" max="2259" width="9.7109375" style="125" customWidth="1"/>
    <col min="2260" max="2261" width="3.7109375" style="125" customWidth="1"/>
    <col min="2262" max="2262" width="9.7109375" style="125" customWidth="1"/>
    <col min="2263" max="2264" width="3.7109375" style="125" customWidth="1"/>
    <col min="2265" max="2265" width="9.7109375" style="125" customWidth="1"/>
    <col min="2266" max="2266" width="3.7109375" style="125" customWidth="1"/>
    <col min="2267" max="2304" width="8" style="125"/>
    <col min="2305" max="2305" width="30.7109375" style="125" customWidth="1"/>
    <col min="2306" max="2306" width="9.7109375" style="125" customWidth="1"/>
    <col min="2307" max="2307" width="3.7109375" style="125" customWidth="1"/>
    <col min="2308" max="2308" width="9.7109375" style="125" customWidth="1"/>
    <col min="2309" max="2310" width="3.7109375" style="125" customWidth="1"/>
    <col min="2311" max="2311" width="9.7109375" style="125" customWidth="1"/>
    <col min="2312" max="2313" width="3.7109375" style="125" customWidth="1"/>
    <col min="2314" max="2314" width="9.7109375" style="125" customWidth="1"/>
    <col min="2315" max="2316" width="3.7109375" style="125" customWidth="1"/>
    <col min="2317" max="2317" width="9.7109375" style="125" customWidth="1"/>
    <col min="2318" max="2319" width="3.7109375" style="125" customWidth="1"/>
    <col min="2320" max="2320" width="9.7109375" style="125" customWidth="1"/>
    <col min="2321" max="2322" width="3.7109375" style="125" customWidth="1"/>
    <col min="2323" max="2323" width="9.7109375" style="125" customWidth="1"/>
    <col min="2324" max="2325" width="3.7109375" style="125" customWidth="1"/>
    <col min="2326" max="2326" width="9.7109375" style="125" customWidth="1"/>
    <col min="2327" max="2328" width="3.7109375" style="125" customWidth="1"/>
    <col min="2329" max="2329" width="9.7109375" style="125" customWidth="1"/>
    <col min="2330" max="2331" width="3.7109375" style="125" customWidth="1"/>
    <col min="2332" max="2332" width="9.7109375" style="125" customWidth="1"/>
    <col min="2333" max="2334" width="3.7109375" style="125" customWidth="1"/>
    <col min="2335" max="2335" width="9.7109375" style="125" customWidth="1"/>
    <col min="2336" max="2337" width="3.7109375" style="125" customWidth="1"/>
    <col min="2338" max="2338" width="9.7109375" style="125" customWidth="1"/>
    <col min="2339" max="2340" width="3.7109375" style="125" customWidth="1"/>
    <col min="2341" max="2341" width="9.7109375" style="125" customWidth="1"/>
    <col min="2342" max="2343" width="3.7109375" style="125" customWidth="1"/>
    <col min="2344" max="2344" width="9.7109375" style="125" customWidth="1"/>
    <col min="2345" max="2346" width="3.7109375" style="125" customWidth="1"/>
    <col min="2347" max="2347" width="9.7109375" style="125" customWidth="1"/>
    <col min="2348" max="2349" width="3.7109375" style="125" customWidth="1"/>
    <col min="2350" max="2350" width="9.7109375" style="125" customWidth="1"/>
    <col min="2351" max="2352" width="3.7109375" style="125" customWidth="1"/>
    <col min="2353" max="2353" width="9.7109375" style="125" customWidth="1"/>
    <col min="2354" max="2355" width="3.7109375" style="125" customWidth="1"/>
    <col min="2356" max="2356" width="9.7109375" style="125" customWidth="1"/>
    <col min="2357" max="2358" width="3.7109375" style="125" customWidth="1"/>
    <col min="2359" max="2359" width="9.7109375" style="125" customWidth="1"/>
    <col min="2360" max="2361" width="3.7109375" style="125" customWidth="1"/>
    <col min="2362" max="2362" width="9.7109375" style="125" customWidth="1"/>
    <col min="2363" max="2364" width="3.7109375" style="125" customWidth="1"/>
    <col min="2365" max="2365" width="9.7109375" style="125" customWidth="1"/>
    <col min="2366" max="2367" width="3.7109375" style="125" customWidth="1"/>
    <col min="2368" max="2368" width="9.7109375" style="125" customWidth="1"/>
    <col min="2369" max="2370" width="3.7109375" style="125" customWidth="1"/>
    <col min="2371" max="2371" width="9.7109375" style="125" customWidth="1"/>
    <col min="2372" max="2373" width="3.7109375" style="125" customWidth="1"/>
    <col min="2374" max="2374" width="9.7109375" style="125" customWidth="1"/>
    <col min="2375" max="2376" width="3.7109375" style="125" customWidth="1"/>
    <col min="2377" max="2377" width="9.7109375" style="125" customWidth="1"/>
    <col min="2378" max="2379" width="3.7109375" style="125" customWidth="1"/>
    <col min="2380" max="2380" width="9.7109375" style="125" customWidth="1"/>
    <col min="2381" max="2382" width="3.7109375" style="125" customWidth="1"/>
    <col min="2383" max="2383" width="9.7109375" style="125" customWidth="1"/>
    <col min="2384" max="2385" width="3.7109375" style="125" customWidth="1"/>
    <col min="2386" max="2386" width="9.7109375" style="125" customWidth="1"/>
    <col min="2387" max="2388" width="3.7109375" style="125" customWidth="1"/>
    <col min="2389" max="2389" width="9.7109375" style="125" customWidth="1"/>
    <col min="2390" max="2391" width="3.7109375" style="125" customWidth="1"/>
    <col min="2392" max="2392" width="9.7109375" style="125" customWidth="1"/>
    <col min="2393" max="2394" width="3.7109375" style="125" customWidth="1"/>
    <col min="2395" max="2395" width="9.7109375" style="125" customWidth="1"/>
    <col min="2396" max="2397" width="3.7109375" style="125" customWidth="1"/>
    <col min="2398" max="2398" width="9.7109375" style="125" customWidth="1"/>
    <col min="2399" max="2400" width="3.7109375" style="125" customWidth="1"/>
    <col min="2401" max="2401" width="9.7109375" style="125" customWidth="1"/>
    <col min="2402" max="2403" width="3.7109375" style="125" customWidth="1"/>
    <col min="2404" max="2404" width="9.7109375" style="125" customWidth="1"/>
    <col min="2405" max="2406" width="3.7109375" style="125" customWidth="1"/>
    <col min="2407" max="2407" width="9.7109375" style="125" customWidth="1"/>
    <col min="2408" max="2409" width="3.7109375" style="125" customWidth="1"/>
    <col min="2410" max="2410" width="9.7109375" style="125" customWidth="1"/>
    <col min="2411" max="2412" width="3.7109375" style="125" customWidth="1"/>
    <col min="2413" max="2413" width="9.7109375" style="125" customWidth="1"/>
    <col min="2414" max="2415" width="3.7109375" style="125" customWidth="1"/>
    <col min="2416" max="2416" width="9.7109375" style="125" customWidth="1"/>
    <col min="2417" max="2418" width="3.7109375" style="125" customWidth="1"/>
    <col min="2419" max="2419" width="9.7109375" style="125" customWidth="1"/>
    <col min="2420" max="2421" width="3.7109375" style="125" customWidth="1"/>
    <col min="2422" max="2422" width="9.7109375" style="125" customWidth="1"/>
    <col min="2423" max="2424" width="3.7109375" style="125" customWidth="1"/>
    <col min="2425" max="2425" width="9.7109375" style="125" customWidth="1"/>
    <col min="2426" max="2427" width="3.7109375" style="125" customWidth="1"/>
    <col min="2428" max="2428" width="9.7109375" style="125" customWidth="1"/>
    <col min="2429" max="2430" width="3.7109375" style="125" customWidth="1"/>
    <col min="2431" max="2431" width="9.7109375" style="125" customWidth="1"/>
    <col min="2432" max="2433" width="3.7109375" style="125" customWidth="1"/>
    <col min="2434" max="2434" width="9.7109375" style="125" customWidth="1"/>
    <col min="2435" max="2436" width="3.7109375" style="125" customWidth="1"/>
    <col min="2437" max="2437" width="9.7109375" style="125" customWidth="1"/>
    <col min="2438" max="2439" width="3.7109375" style="125" customWidth="1"/>
    <col min="2440" max="2440" width="9.7109375" style="125" customWidth="1"/>
    <col min="2441" max="2442" width="3.7109375" style="125" customWidth="1"/>
    <col min="2443" max="2443" width="9.7109375" style="125" customWidth="1"/>
    <col min="2444" max="2445" width="3.7109375" style="125" customWidth="1"/>
    <col min="2446" max="2446" width="9.7109375" style="125" customWidth="1"/>
    <col min="2447" max="2448" width="3.7109375" style="125" customWidth="1"/>
    <col min="2449" max="2449" width="9.7109375" style="125" customWidth="1"/>
    <col min="2450" max="2451" width="3.7109375" style="125" customWidth="1"/>
    <col min="2452" max="2452" width="9.7109375" style="125" customWidth="1"/>
    <col min="2453" max="2454" width="3.7109375" style="125" customWidth="1"/>
    <col min="2455" max="2455" width="9.7109375" style="125" customWidth="1"/>
    <col min="2456" max="2457" width="3.7109375" style="125" customWidth="1"/>
    <col min="2458" max="2458" width="9.7109375" style="125" customWidth="1"/>
    <col min="2459" max="2460" width="3.7109375" style="125" customWidth="1"/>
    <col min="2461" max="2461" width="9.7109375" style="125" customWidth="1"/>
    <col min="2462" max="2463" width="3.7109375" style="125" customWidth="1"/>
    <col min="2464" max="2464" width="9.7109375" style="125" customWidth="1"/>
    <col min="2465" max="2466" width="3.7109375" style="125" customWidth="1"/>
    <col min="2467" max="2467" width="9.7109375" style="125" customWidth="1"/>
    <col min="2468" max="2469" width="3.7109375" style="125" customWidth="1"/>
    <col min="2470" max="2470" width="9.7109375" style="125" customWidth="1"/>
    <col min="2471" max="2472" width="3.7109375" style="125" customWidth="1"/>
    <col min="2473" max="2473" width="9.7109375" style="125" customWidth="1"/>
    <col min="2474" max="2475" width="3.7109375" style="125" customWidth="1"/>
    <col min="2476" max="2476" width="9.7109375" style="125" customWidth="1"/>
    <col min="2477" max="2478" width="3.7109375" style="125" customWidth="1"/>
    <col min="2479" max="2479" width="9.7109375" style="125" customWidth="1"/>
    <col min="2480" max="2481" width="3.7109375" style="125" customWidth="1"/>
    <col min="2482" max="2482" width="9.7109375" style="125" customWidth="1"/>
    <col min="2483" max="2484" width="3.7109375" style="125" customWidth="1"/>
    <col min="2485" max="2485" width="9.7109375" style="125" customWidth="1"/>
    <col min="2486" max="2487" width="3.7109375" style="125" customWidth="1"/>
    <col min="2488" max="2488" width="9.7109375" style="125" customWidth="1"/>
    <col min="2489" max="2490" width="3.7109375" style="125" customWidth="1"/>
    <col min="2491" max="2491" width="9.7109375" style="125" customWidth="1"/>
    <col min="2492" max="2493" width="3.7109375" style="125" customWidth="1"/>
    <col min="2494" max="2494" width="9.7109375" style="125" customWidth="1"/>
    <col min="2495" max="2496" width="3.7109375" style="125" customWidth="1"/>
    <col min="2497" max="2497" width="9.7109375" style="125" customWidth="1"/>
    <col min="2498" max="2499" width="3.7109375" style="125" customWidth="1"/>
    <col min="2500" max="2500" width="9.7109375" style="125" customWidth="1"/>
    <col min="2501" max="2502" width="3.7109375" style="125" customWidth="1"/>
    <col min="2503" max="2503" width="9.7109375" style="125" customWidth="1"/>
    <col min="2504" max="2505" width="3.7109375" style="125" customWidth="1"/>
    <col min="2506" max="2506" width="9.7109375" style="125" customWidth="1"/>
    <col min="2507" max="2508" width="3.7109375" style="125" customWidth="1"/>
    <col min="2509" max="2509" width="9.7109375" style="125" customWidth="1"/>
    <col min="2510" max="2511" width="3.7109375" style="125" customWidth="1"/>
    <col min="2512" max="2512" width="9.7109375" style="125" customWidth="1"/>
    <col min="2513" max="2514" width="3.7109375" style="125" customWidth="1"/>
    <col min="2515" max="2515" width="9.7109375" style="125" customWidth="1"/>
    <col min="2516" max="2517" width="3.7109375" style="125" customWidth="1"/>
    <col min="2518" max="2518" width="9.7109375" style="125" customWidth="1"/>
    <col min="2519" max="2520" width="3.7109375" style="125" customWidth="1"/>
    <col min="2521" max="2521" width="9.7109375" style="125" customWidth="1"/>
    <col min="2522" max="2522" width="3.7109375" style="125" customWidth="1"/>
    <col min="2523" max="2560" width="8" style="125"/>
    <col min="2561" max="2561" width="30.7109375" style="125" customWidth="1"/>
    <col min="2562" max="2562" width="9.7109375" style="125" customWidth="1"/>
    <col min="2563" max="2563" width="3.7109375" style="125" customWidth="1"/>
    <col min="2564" max="2564" width="9.7109375" style="125" customWidth="1"/>
    <col min="2565" max="2566" width="3.7109375" style="125" customWidth="1"/>
    <col min="2567" max="2567" width="9.7109375" style="125" customWidth="1"/>
    <col min="2568" max="2569" width="3.7109375" style="125" customWidth="1"/>
    <col min="2570" max="2570" width="9.7109375" style="125" customWidth="1"/>
    <col min="2571" max="2572" width="3.7109375" style="125" customWidth="1"/>
    <col min="2573" max="2573" width="9.7109375" style="125" customWidth="1"/>
    <col min="2574" max="2575" width="3.7109375" style="125" customWidth="1"/>
    <col min="2576" max="2576" width="9.7109375" style="125" customWidth="1"/>
    <col min="2577" max="2578" width="3.7109375" style="125" customWidth="1"/>
    <col min="2579" max="2579" width="9.7109375" style="125" customWidth="1"/>
    <col min="2580" max="2581" width="3.7109375" style="125" customWidth="1"/>
    <col min="2582" max="2582" width="9.7109375" style="125" customWidth="1"/>
    <col min="2583" max="2584" width="3.7109375" style="125" customWidth="1"/>
    <col min="2585" max="2585" width="9.7109375" style="125" customWidth="1"/>
    <col min="2586" max="2587" width="3.7109375" style="125" customWidth="1"/>
    <col min="2588" max="2588" width="9.7109375" style="125" customWidth="1"/>
    <col min="2589" max="2590" width="3.7109375" style="125" customWidth="1"/>
    <col min="2591" max="2591" width="9.7109375" style="125" customWidth="1"/>
    <col min="2592" max="2593" width="3.7109375" style="125" customWidth="1"/>
    <col min="2594" max="2594" width="9.7109375" style="125" customWidth="1"/>
    <col min="2595" max="2596" width="3.7109375" style="125" customWidth="1"/>
    <col min="2597" max="2597" width="9.7109375" style="125" customWidth="1"/>
    <col min="2598" max="2599" width="3.7109375" style="125" customWidth="1"/>
    <col min="2600" max="2600" width="9.7109375" style="125" customWidth="1"/>
    <col min="2601" max="2602" width="3.7109375" style="125" customWidth="1"/>
    <col min="2603" max="2603" width="9.7109375" style="125" customWidth="1"/>
    <col min="2604" max="2605" width="3.7109375" style="125" customWidth="1"/>
    <col min="2606" max="2606" width="9.7109375" style="125" customWidth="1"/>
    <col min="2607" max="2608" width="3.7109375" style="125" customWidth="1"/>
    <col min="2609" max="2609" width="9.7109375" style="125" customWidth="1"/>
    <col min="2610" max="2611" width="3.7109375" style="125" customWidth="1"/>
    <col min="2612" max="2612" width="9.7109375" style="125" customWidth="1"/>
    <col min="2613" max="2614" width="3.7109375" style="125" customWidth="1"/>
    <col min="2615" max="2615" width="9.7109375" style="125" customWidth="1"/>
    <col min="2616" max="2617" width="3.7109375" style="125" customWidth="1"/>
    <col min="2618" max="2618" width="9.7109375" style="125" customWidth="1"/>
    <col min="2619" max="2620" width="3.7109375" style="125" customWidth="1"/>
    <col min="2621" max="2621" width="9.7109375" style="125" customWidth="1"/>
    <col min="2622" max="2623" width="3.7109375" style="125" customWidth="1"/>
    <col min="2624" max="2624" width="9.7109375" style="125" customWidth="1"/>
    <col min="2625" max="2626" width="3.7109375" style="125" customWidth="1"/>
    <col min="2627" max="2627" width="9.7109375" style="125" customWidth="1"/>
    <col min="2628" max="2629" width="3.7109375" style="125" customWidth="1"/>
    <col min="2630" max="2630" width="9.7109375" style="125" customWidth="1"/>
    <col min="2631" max="2632" width="3.7109375" style="125" customWidth="1"/>
    <col min="2633" max="2633" width="9.7109375" style="125" customWidth="1"/>
    <col min="2634" max="2635" width="3.7109375" style="125" customWidth="1"/>
    <col min="2636" max="2636" width="9.7109375" style="125" customWidth="1"/>
    <col min="2637" max="2638" width="3.7109375" style="125" customWidth="1"/>
    <col min="2639" max="2639" width="9.7109375" style="125" customWidth="1"/>
    <col min="2640" max="2641" width="3.7109375" style="125" customWidth="1"/>
    <col min="2642" max="2642" width="9.7109375" style="125" customWidth="1"/>
    <col min="2643" max="2644" width="3.7109375" style="125" customWidth="1"/>
    <col min="2645" max="2645" width="9.7109375" style="125" customWidth="1"/>
    <col min="2646" max="2647" width="3.7109375" style="125" customWidth="1"/>
    <col min="2648" max="2648" width="9.7109375" style="125" customWidth="1"/>
    <col min="2649" max="2650" width="3.7109375" style="125" customWidth="1"/>
    <col min="2651" max="2651" width="9.7109375" style="125" customWidth="1"/>
    <col min="2652" max="2653" width="3.7109375" style="125" customWidth="1"/>
    <col min="2654" max="2654" width="9.7109375" style="125" customWidth="1"/>
    <col min="2655" max="2656" width="3.7109375" style="125" customWidth="1"/>
    <col min="2657" max="2657" width="9.7109375" style="125" customWidth="1"/>
    <col min="2658" max="2659" width="3.7109375" style="125" customWidth="1"/>
    <col min="2660" max="2660" width="9.7109375" style="125" customWidth="1"/>
    <col min="2661" max="2662" width="3.7109375" style="125" customWidth="1"/>
    <col min="2663" max="2663" width="9.7109375" style="125" customWidth="1"/>
    <col min="2664" max="2665" width="3.7109375" style="125" customWidth="1"/>
    <col min="2666" max="2666" width="9.7109375" style="125" customWidth="1"/>
    <col min="2667" max="2668" width="3.7109375" style="125" customWidth="1"/>
    <col min="2669" max="2669" width="9.7109375" style="125" customWidth="1"/>
    <col min="2670" max="2671" width="3.7109375" style="125" customWidth="1"/>
    <col min="2672" max="2672" width="9.7109375" style="125" customWidth="1"/>
    <col min="2673" max="2674" width="3.7109375" style="125" customWidth="1"/>
    <col min="2675" max="2675" width="9.7109375" style="125" customWidth="1"/>
    <col min="2676" max="2677" width="3.7109375" style="125" customWidth="1"/>
    <col min="2678" max="2678" width="9.7109375" style="125" customWidth="1"/>
    <col min="2679" max="2680" width="3.7109375" style="125" customWidth="1"/>
    <col min="2681" max="2681" width="9.7109375" style="125" customWidth="1"/>
    <col min="2682" max="2683" width="3.7109375" style="125" customWidth="1"/>
    <col min="2684" max="2684" width="9.7109375" style="125" customWidth="1"/>
    <col min="2685" max="2686" width="3.7109375" style="125" customWidth="1"/>
    <col min="2687" max="2687" width="9.7109375" style="125" customWidth="1"/>
    <col min="2688" max="2689" width="3.7109375" style="125" customWidth="1"/>
    <col min="2690" max="2690" width="9.7109375" style="125" customWidth="1"/>
    <col min="2691" max="2692" width="3.7109375" style="125" customWidth="1"/>
    <col min="2693" max="2693" width="9.7109375" style="125" customWidth="1"/>
    <col min="2694" max="2695" width="3.7109375" style="125" customWidth="1"/>
    <col min="2696" max="2696" width="9.7109375" style="125" customWidth="1"/>
    <col min="2697" max="2698" width="3.7109375" style="125" customWidth="1"/>
    <col min="2699" max="2699" width="9.7109375" style="125" customWidth="1"/>
    <col min="2700" max="2701" width="3.7109375" style="125" customWidth="1"/>
    <col min="2702" max="2702" width="9.7109375" style="125" customWidth="1"/>
    <col min="2703" max="2704" width="3.7109375" style="125" customWidth="1"/>
    <col min="2705" max="2705" width="9.7109375" style="125" customWidth="1"/>
    <col min="2706" max="2707" width="3.7109375" style="125" customWidth="1"/>
    <col min="2708" max="2708" width="9.7109375" style="125" customWidth="1"/>
    <col min="2709" max="2710" width="3.7109375" style="125" customWidth="1"/>
    <col min="2711" max="2711" width="9.7109375" style="125" customWidth="1"/>
    <col min="2712" max="2713" width="3.7109375" style="125" customWidth="1"/>
    <col min="2714" max="2714" width="9.7109375" style="125" customWidth="1"/>
    <col min="2715" max="2716" width="3.7109375" style="125" customWidth="1"/>
    <col min="2717" max="2717" width="9.7109375" style="125" customWidth="1"/>
    <col min="2718" max="2719" width="3.7109375" style="125" customWidth="1"/>
    <col min="2720" max="2720" width="9.7109375" style="125" customWidth="1"/>
    <col min="2721" max="2722" width="3.7109375" style="125" customWidth="1"/>
    <col min="2723" max="2723" width="9.7109375" style="125" customWidth="1"/>
    <col min="2724" max="2725" width="3.7109375" style="125" customWidth="1"/>
    <col min="2726" max="2726" width="9.7109375" style="125" customWidth="1"/>
    <col min="2727" max="2728" width="3.7109375" style="125" customWidth="1"/>
    <col min="2729" max="2729" width="9.7109375" style="125" customWidth="1"/>
    <col min="2730" max="2731" width="3.7109375" style="125" customWidth="1"/>
    <col min="2732" max="2732" width="9.7109375" style="125" customWidth="1"/>
    <col min="2733" max="2734" width="3.7109375" style="125" customWidth="1"/>
    <col min="2735" max="2735" width="9.7109375" style="125" customWidth="1"/>
    <col min="2736" max="2737" width="3.7109375" style="125" customWidth="1"/>
    <col min="2738" max="2738" width="9.7109375" style="125" customWidth="1"/>
    <col min="2739" max="2740" width="3.7109375" style="125" customWidth="1"/>
    <col min="2741" max="2741" width="9.7109375" style="125" customWidth="1"/>
    <col min="2742" max="2743" width="3.7109375" style="125" customWidth="1"/>
    <col min="2744" max="2744" width="9.7109375" style="125" customWidth="1"/>
    <col min="2745" max="2746" width="3.7109375" style="125" customWidth="1"/>
    <col min="2747" max="2747" width="9.7109375" style="125" customWidth="1"/>
    <col min="2748" max="2749" width="3.7109375" style="125" customWidth="1"/>
    <col min="2750" max="2750" width="9.7109375" style="125" customWidth="1"/>
    <col min="2751" max="2752" width="3.7109375" style="125" customWidth="1"/>
    <col min="2753" max="2753" width="9.7109375" style="125" customWidth="1"/>
    <col min="2754" max="2755" width="3.7109375" style="125" customWidth="1"/>
    <col min="2756" max="2756" width="9.7109375" style="125" customWidth="1"/>
    <col min="2757" max="2758" width="3.7109375" style="125" customWidth="1"/>
    <col min="2759" max="2759" width="9.7109375" style="125" customWidth="1"/>
    <col min="2760" max="2761" width="3.7109375" style="125" customWidth="1"/>
    <col min="2762" max="2762" width="9.7109375" style="125" customWidth="1"/>
    <col min="2763" max="2764" width="3.7109375" style="125" customWidth="1"/>
    <col min="2765" max="2765" width="9.7109375" style="125" customWidth="1"/>
    <col min="2766" max="2767" width="3.7109375" style="125" customWidth="1"/>
    <col min="2768" max="2768" width="9.7109375" style="125" customWidth="1"/>
    <col min="2769" max="2770" width="3.7109375" style="125" customWidth="1"/>
    <col min="2771" max="2771" width="9.7109375" style="125" customWidth="1"/>
    <col min="2772" max="2773" width="3.7109375" style="125" customWidth="1"/>
    <col min="2774" max="2774" width="9.7109375" style="125" customWidth="1"/>
    <col min="2775" max="2776" width="3.7109375" style="125" customWidth="1"/>
    <col min="2777" max="2777" width="9.7109375" style="125" customWidth="1"/>
    <col min="2778" max="2778" width="3.7109375" style="125" customWidth="1"/>
    <col min="2779" max="2816" width="8" style="125"/>
    <col min="2817" max="2817" width="30.7109375" style="125" customWidth="1"/>
    <col min="2818" max="2818" width="9.7109375" style="125" customWidth="1"/>
    <col min="2819" max="2819" width="3.7109375" style="125" customWidth="1"/>
    <col min="2820" max="2820" width="9.7109375" style="125" customWidth="1"/>
    <col min="2821" max="2822" width="3.7109375" style="125" customWidth="1"/>
    <col min="2823" max="2823" width="9.7109375" style="125" customWidth="1"/>
    <col min="2824" max="2825" width="3.7109375" style="125" customWidth="1"/>
    <col min="2826" max="2826" width="9.7109375" style="125" customWidth="1"/>
    <col min="2827" max="2828" width="3.7109375" style="125" customWidth="1"/>
    <col min="2829" max="2829" width="9.7109375" style="125" customWidth="1"/>
    <col min="2830" max="2831" width="3.7109375" style="125" customWidth="1"/>
    <col min="2832" max="2832" width="9.7109375" style="125" customWidth="1"/>
    <col min="2833" max="2834" width="3.7109375" style="125" customWidth="1"/>
    <col min="2835" max="2835" width="9.7109375" style="125" customWidth="1"/>
    <col min="2836" max="2837" width="3.7109375" style="125" customWidth="1"/>
    <col min="2838" max="2838" width="9.7109375" style="125" customWidth="1"/>
    <col min="2839" max="2840" width="3.7109375" style="125" customWidth="1"/>
    <col min="2841" max="2841" width="9.7109375" style="125" customWidth="1"/>
    <col min="2842" max="2843" width="3.7109375" style="125" customWidth="1"/>
    <col min="2844" max="2844" width="9.7109375" style="125" customWidth="1"/>
    <col min="2845" max="2846" width="3.7109375" style="125" customWidth="1"/>
    <col min="2847" max="2847" width="9.7109375" style="125" customWidth="1"/>
    <col min="2848" max="2849" width="3.7109375" style="125" customWidth="1"/>
    <col min="2850" max="2850" width="9.7109375" style="125" customWidth="1"/>
    <col min="2851" max="2852" width="3.7109375" style="125" customWidth="1"/>
    <col min="2853" max="2853" width="9.7109375" style="125" customWidth="1"/>
    <col min="2854" max="2855" width="3.7109375" style="125" customWidth="1"/>
    <col min="2856" max="2856" width="9.7109375" style="125" customWidth="1"/>
    <col min="2857" max="2858" width="3.7109375" style="125" customWidth="1"/>
    <col min="2859" max="2859" width="9.7109375" style="125" customWidth="1"/>
    <col min="2860" max="2861" width="3.7109375" style="125" customWidth="1"/>
    <col min="2862" max="2862" width="9.7109375" style="125" customWidth="1"/>
    <col min="2863" max="2864" width="3.7109375" style="125" customWidth="1"/>
    <col min="2865" max="2865" width="9.7109375" style="125" customWidth="1"/>
    <col min="2866" max="2867" width="3.7109375" style="125" customWidth="1"/>
    <col min="2868" max="2868" width="9.7109375" style="125" customWidth="1"/>
    <col min="2869" max="2870" width="3.7109375" style="125" customWidth="1"/>
    <col min="2871" max="2871" width="9.7109375" style="125" customWidth="1"/>
    <col min="2872" max="2873" width="3.7109375" style="125" customWidth="1"/>
    <col min="2874" max="2874" width="9.7109375" style="125" customWidth="1"/>
    <col min="2875" max="2876" width="3.7109375" style="125" customWidth="1"/>
    <col min="2877" max="2877" width="9.7109375" style="125" customWidth="1"/>
    <col min="2878" max="2879" width="3.7109375" style="125" customWidth="1"/>
    <col min="2880" max="2880" width="9.7109375" style="125" customWidth="1"/>
    <col min="2881" max="2882" width="3.7109375" style="125" customWidth="1"/>
    <col min="2883" max="2883" width="9.7109375" style="125" customWidth="1"/>
    <col min="2884" max="2885" width="3.7109375" style="125" customWidth="1"/>
    <col min="2886" max="2886" width="9.7109375" style="125" customWidth="1"/>
    <col min="2887" max="2888" width="3.7109375" style="125" customWidth="1"/>
    <col min="2889" max="2889" width="9.7109375" style="125" customWidth="1"/>
    <col min="2890" max="2891" width="3.7109375" style="125" customWidth="1"/>
    <col min="2892" max="2892" width="9.7109375" style="125" customWidth="1"/>
    <col min="2893" max="2894" width="3.7109375" style="125" customWidth="1"/>
    <col min="2895" max="2895" width="9.7109375" style="125" customWidth="1"/>
    <col min="2896" max="2897" width="3.7109375" style="125" customWidth="1"/>
    <col min="2898" max="2898" width="9.7109375" style="125" customWidth="1"/>
    <col min="2899" max="2900" width="3.7109375" style="125" customWidth="1"/>
    <col min="2901" max="2901" width="9.7109375" style="125" customWidth="1"/>
    <col min="2902" max="2903" width="3.7109375" style="125" customWidth="1"/>
    <col min="2904" max="2904" width="9.7109375" style="125" customWidth="1"/>
    <col min="2905" max="2906" width="3.7109375" style="125" customWidth="1"/>
    <col min="2907" max="2907" width="9.7109375" style="125" customWidth="1"/>
    <col min="2908" max="2909" width="3.7109375" style="125" customWidth="1"/>
    <col min="2910" max="2910" width="9.7109375" style="125" customWidth="1"/>
    <col min="2911" max="2912" width="3.7109375" style="125" customWidth="1"/>
    <col min="2913" max="2913" width="9.7109375" style="125" customWidth="1"/>
    <col min="2914" max="2915" width="3.7109375" style="125" customWidth="1"/>
    <col min="2916" max="2916" width="9.7109375" style="125" customWidth="1"/>
    <col min="2917" max="2918" width="3.7109375" style="125" customWidth="1"/>
    <col min="2919" max="2919" width="9.7109375" style="125" customWidth="1"/>
    <col min="2920" max="2921" width="3.7109375" style="125" customWidth="1"/>
    <col min="2922" max="2922" width="9.7109375" style="125" customWidth="1"/>
    <col min="2923" max="2924" width="3.7109375" style="125" customWidth="1"/>
    <col min="2925" max="2925" width="9.7109375" style="125" customWidth="1"/>
    <col min="2926" max="2927" width="3.7109375" style="125" customWidth="1"/>
    <col min="2928" max="2928" width="9.7109375" style="125" customWidth="1"/>
    <col min="2929" max="2930" width="3.7109375" style="125" customWidth="1"/>
    <col min="2931" max="2931" width="9.7109375" style="125" customWidth="1"/>
    <col min="2932" max="2933" width="3.7109375" style="125" customWidth="1"/>
    <col min="2934" max="2934" width="9.7109375" style="125" customWidth="1"/>
    <col min="2935" max="2936" width="3.7109375" style="125" customWidth="1"/>
    <col min="2937" max="2937" width="9.7109375" style="125" customWidth="1"/>
    <col min="2938" max="2939" width="3.7109375" style="125" customWidth="1"/>
    <col min="2940" max="2940" width="9.7109375" style="125" customWidth="1"/>
    <col min="2941" max="2942" width="3.7109375" style="125" customWidth="1"/>
    <col min="2943" max="2943" width="9.7109375" style="125" customWidth="1"/>
    <col min="2944" max="2945" width="3.7109375" style="125" customWidth="1"/>
    <col min="2946" max="2946" width="9.7109375" style="125" customWidth="1"/>
    <col min="2947" max="2948" width="3.7109375" style="125" customWidth="1"/>
    <col min="2949" max="2949" width="9.7109375" style="125" customWidth="1"/>
    <col min="2950" max="2951" width="3.7109375" style="125" customWidth="1"/>
    <col min="2952" max="2952" width="9.7109375" style="125" customWidth="1"/>
    <col min="2953" max="2954" width="3.7109375" style="125" customWidth="1"/>
    <col min="2955" max="2955" width="9.7109375" style="125" customWidth="1"/>
    <col min="2956" max="2957" width="3.7109375" style="125" customWidth="1"/>
    <col min="2958" max="2958" width="9.7109375" style="125" customWidth="1"/>
    <col min="2959" max="2960" width="3.7109375" style="125" customWidth="1"/>
    <col min="2961" max="2961" width="9.7109375" style="125" customWidth="1"/>
    <col min="2962" max="2963" width="3.7109375" style="125" customWidth="1"/>
    <col min="2964" max="2964" width="9.7109375" style="125" customWidth="1"/>
    <col min="2965" max="2966" width="3.7109375" style="125" customWidth="1"/>
    <col min="2967" max="2967" width="9.7109375" style="125" customWidth="1"/>
    <col min="2968" max="2969" width="3.7109375" style="125" customWidth="1"/>
    <col min="2970" max="2970" width="9.7109375" style="125" customWidth="1"/>
    <col min="2971" max="2972" width="3.7109375" style="125" customWidth="1"/>
    <col min="2973" max="2973" width="9.7109375" style="125" customWidth="1"/>
    <col min="2974" max="2975" width="3.7109375" style="125" customWidth="1"/>
    <col min="2976" max="2976" width="9.7109375" style="125" customWidth="1"/>
    <col min="2977" max="2978" width="3.7109375" style="125" customWidth="1"/>
    <col min="2979" max="2979" width="9.7109375" style="125" customWidth="1"/>
    <col min="2980" max="2981" width="3.7109375" style="125" customWidth="1"/>
    <col min="2982" max="2982" width="9.7109375" style="125" customWidth="1"/>
    <col min="2983" max="2984" width="3.7109375" style="125" customWidth="1"/>
    <col min="2985" max="2985" width="9.7109375" style="125" customWidth="1"/>
    <col min="2986" max="2987" width="3.7109375" style="125" customWidth="1"/>
    <col min="2988" max="2988" width="9.7109375" style="125" customWidth="1"/>
    <col min="2989" max="2990" width="3.7109375" style="125" customWidth="1"/>
    <col min="2991" max="2991" width="9.7109375" style="125" customWidth="1"/>
    <col min="2992" max="2993" width="3.7109375" style="125" customWidth="1"/>
    <col min="2994" max="2994" width="9.7109375" style="125" customWidth="1"/>
    <col min="2995" max="2996" width="3.7109375" style="125" customWidth="1"/>
    <col min="2997" max="2997" width="9.7109375" style="125" customWidth="1"/>
    <col min="2998" max="2999" width="3.7109375" style="125" customWidth="1"/>
    <col min="3000" max="3000" width="9.7109375" style="125" customWidth="1"/>
    <col min="3001" max="3002" width="3.7109375" style="125" customWidth="1"/>
    <col min="3003" max="3003" width="9.7109375" style="125" customWidth="1"/>
    <col min="3004" max="3005" width="3.7109375" style="125" customWidth="1"/>
    <col min="3006" max="3006" width="9.7109375" style="125" customWidth="1"/>
    <col min="3007" max="3008" width="3.7109375" style="125" customWidth="1"/>
    <col min="3009" max="3009" width="9.7109375" style="125" customWidth="1"/>
    <col min="3010" max="3011" width="3.7109375" style="125" customWidth="1"/>
    <col min="3012" max="3012" width="9.7109375" style="125" customWidth="1"/>
    <col min="3013" max="3014" width="3.7109375" style="125" customWidth="1"/>
    <col min="3015" max="3015" width="9.7109375" style="125" customWidth="1"/>
    <col min="3016" max="3017" width="3.7109375" style="125" customWidth="1"/>
    <col min="3018" max="3018" width="9.7109375" style="125" customWidth="1"/>
    <col min="3019" max="3020" width="3.7109375" style="125" customWidth="1"/>
    <col min="3021" max="3021" width="9.7109375" style="125" customWidth="1"/>
    <col min="3022" max="3023" width="3.7109375" style="125" customWidth="1"/>
    <col min="3024" max="3024" width="9.7109375" style="125" customWidth="1"/>
    <col min="3025" max="3026" width="3.7109375" style="125" customWidth="1"/>
    <col min="3027" max="3027" width="9.7109375" style="125" customWidth="1"/>
    <col min="3028" max="3029" width="3.7109375" style="125" customWidth="1"/>
    <col min="3030" max="3030" width="9.7109375" style="125" customWidth="1"/>
    <col min="3031" max="3032" width="3.7109375" style="125" customWidth="1"/>
    <col min="3033" max="3033" width="9.7109375" style="125" customWidth="1"/>
    <col min="3034" max="3034" width="3.7109375" style="125" customWidth="1"/>
    <col min="3035" max="3072" width="8" style="125"/>
    <col min="3073" max="3073" width="30.7109375" style="125" customWidth="1"/>
    <col min="3074" max="3074" width="9.7109375" style="125" customWidth="1"/>
    <col min="3075" max="3075" width="3.7109375" style="125" customWidth="1"/>
    <col min="3076" max="3076" width="9.7109375" style="125" customWidth="1"/>
    <col min="3077" max="3078" width="3.7109375" style="125" customWidth="1"/>
    <col min="3079" max="3079" width="9.7109375" style="125" customWidth="1"/>
    <col min="3080" max="3081" width="3.7109375" style="125" customWidth="1"/>
    <col min="3082" max="3082" width="9.7109375" style="125" customWidth="1"/>
    <col min="3083" max="3084" width="3.7109375" style="125" customWidth="1"/>
    <col min="3085" max="3085" width="9.7109375" style="125" customWidth="1"/>
    <col min="3086" max="3087" width="3.7109375" style="125" customWidth="1"/>
    <col min="3088" max="3088" width="9.7109375" style="125" customWidth="1"/>
    <col min="3089" max="3090" width="3.7109375" style="125" customWidth="1"/>
    <col min="3091" max="3091" width="9.7109375" style="125" customWidth="1"/>
    <col min="3092" max="3093" width="3.7109375" style="125" customWidth="1"/>
    <col min="3094" max="3094" width="9.7109375" style="125" customWidth="1"/>
    <col min="3095" max="3096" width="3.7109375" style="125" customWidth="1"/>
    <col min="3097" max="3097" width="9.7109375" style="125" customWidth="1"/>
    <col min="3098" max="3099" width="3.7109375" style="125" customWidth="1"/>
    <col min="3100" max="3100" width="9.7109375" style="125" customWidth="1"/>
    <col min="3101" max="3102" width="3.7109375" style="125" customWidth="1"/>
    <col min="3103" max="3103" width="9.7109375" style="125" customWidth="1"/>
    <col min="3104" max="3105" width="3.7109375" style="125" customWidth="1"/>
    <col min="3106" max="3106" width="9.7109375" style="125" customWidth="1"/>
    <col min="3107" max="3108" width="3.7109375" style="125" customWidth="1"/>
    <col min="3109" max="3109" width="9.7109375" style="125" customWidth="1"/>
    <col min="3110" max="3111" width="3.7109375" style="125" customWidth="1"/>
    <col min="3112" max="3112" width="9.7109375" style="125" customWidth="1"/>
    <col min="3113" max="3114" width="3.7109375" style="125" customWidth="1"/>
    <col min="3115" max="3115" width="9.7109375" style="125" customWidth="1"/>
    <col min="3116" max="3117" width="3.7109375" style="125" customWidth="1"/>
    <col min="3118" max="3118" width="9.7109375" style="125" customWidth="1"/>
    <col min="3119" max="3120" width="3.7109375" style="125" customWidth="1"/>
    <col min="3121" max="3121" width="9.7109375" style="125" customWidth="1"/>
    <col min="3122" max="3123" width="3.7109375" style="125" customWidth="1"/>
    <col min="3124" max="3124" width="9.7109375" style="125" customWidth="1"/>
    <col min="3125" max="3126" width="3.7109375" style="125" customWidth="1"/>
    <col min="3127" max="3127" width="9.7109375" style="125" customWidth="1"/>
    <col min="3128" max="3129" width="3.7109375" style="125" customWidth="1"/>
    <col min="3130" max="3130" width="9.7109375" style="125" customWidth="1"/>
    <col min="3131" max="3132" width="3.7109375" style="125" customWidth="1"/>
    <col min="3133" max="3133" width="9.7109375" style="125" customWidth="1"/>
    <col min="3134" max="3135" width="3.7109375" style="125" customWidth="1"/>
    <col min="3136" max="3136" width="9.7109375" style="125" customWidth="1"/>
    <col min="3137" max="3138" width="3.7109375" style="125" customWidth="1"/>
    <col min="3139" max="3139" width="9.7109375" style="125" customWidth="1"/>
    <col min="3140" max="3141" width="3.7109375" style="125" customWidth="1"/>
    <col min="3142" max="3142" width="9.7109375" style="125" customWidth="1"/>
    <col min="3143" max="3144" width="3.7109375" style="125" customWidth="1"/>
    <col min="3145" max="3145" width="9.7109375" style="125" customWidth="1"/>
    <col min="3146" max="3147" width="3.7109375" style="125" customWidth="1"/>
    <col min="3148" max="3148" width="9.7109375" style="125" customWidth="1"/>
    <col min="3149" max="3150" width="3.7109375" style="125" customWidth="1"/>
    <col min="3151" max="3151" width="9.7109375" style="125" customWidth="1"/>
    <col min="3152" max="3153" width="3.7109375" style="125" customWidth="1"/>
    <col min="3154" max="3154" width="9.7109375" style="125" customWidth="1"/>
    <col min="3155" max="3156" width="3.7109375" style="125" customWidth="1"/>
    <col min="3157" max="3157" width="9.7109375" style="125" customWidth="1"/>
    <col min="3158" max="3159" width="3.7109375" style="125" customWidth="1"/>
    <col min="3160" max="3160" width="9.7109375" style="125" customWidth="1"/>
    <col min="3161" max="3162" width="3.7109375" style="125" customWidth="1"/>
    <col min="3163" max="3163" width="9.7109375" style="125" customWidth="1"/>
    <col min="3164" max="3165" width="3.7109375" style="125" customWidth="1"/>
    <col min="3166" max="3166" width="9.7109375" style="125" customWidth="1"/>
    <col min="3167" max="3168" width="3.7109375" style="125" customWidth="1"/>
    <col min="3169" max="3169" width="9.7109375" style="125" customWidth="1"/>
    <col min="3170" max="3171" width="3.7109375" style="125" customWidth="1"/>
    <col min="3172" max="3172" width="9.7109375" style="125" customWidth="1"/>
    <col min="3173" max="3174" width="3.7109375" style="125" customWidth="1"/>
    <col min="3175" max="3175" width="9.7109375" style="125" customWidth="1"/>
    <col min="3176" max="3177" width="3.7109375" style="125" customWidth="1"/>
    <col min="3178" max="3178" width="9.7109375" style="125" customWidth="1"/>
    <col min="3179" max="3180" width="3.7109375" style="125" customWidth="1"/>
    <col min="3181" max="3181" width="9.7109375" style="125" customWidth="1"/>
    <col min="3182" max="3183" width="3.7109375" style="125" customWidth="1"/>
    <col min="3184" max="3184" width="9.7109375" style="125" customWidth="1"/>
    <col min="3185" max="3186" width="3.7109375" style="125" customWidth="1"/>
    <col min="3187" max="3187" width="9.7109375" style="125" customWidth="1"/>
    <col min="3188" max="3189" width="3.7109375" style="125" customWidth="1"/>
    <col min="3190" max="3190" width="9.7109375" style="125" customWidth="1"/>
    <col min="3191" max="3192" width="3.7109375" style="125" customWidth="1"/>
    <col min="3193" max="3193" width="9.7109375" style="125" customWidth="1"/>
    <col min="3194" max="3195" width="3.7109375" style="125" customWidth="1"/>
    <col min="3196" max="3196" width="9.7109375" style="125" customWidth="1"/>
    <col min="3197" max="3198" width="3.7109375" style="125" customWidth="1"/>
    <col min="3199" max="3199" width="9.7109375" style="125" customWidth="1"/>
    <col min="3200" max="3201" width="3.7109375" style="125" customWidth="1"/>
    <col min="3202" max="3202" width="9.7109375" style="125" customWidth="1"/>
    <col min="3203" max="3204" width="3.7109375" style="125" customWidth="1"/>
    <col min="3205" max="3205" width="9.7109375" style="125" customWidth="1"/>
    <col min="3206" max="3207" width="3.7109375" style="125" customWidth="1"/>
    <col min="3208" max="3208" width="9.7109375" style="125" customWidth="1"/>
    <col min="3209" max="3210" width="3.7109375" style="125" customWidth="1"/>
    <col min="3211" max="3211" width="9.7109375" style="125" customWidth="1"/>
    <col min="3212" max="3213" width="3.7109375" style="125" customWidth="1"/>
    <col min="3214" max="3214" width="9.7109375" style="125" customWidth="1"/>
    <col min="3215" max="3216" width="3.7109375" style="125" customWidth="1"/>
    <col min="3217" max="3217" width="9.7109375" style="125" customWidth="1"/>
    <col min="3218" max="3219" width="3.7109375" style="125" customWidth="1"/>
    <col min="3220" max="3220" width="9.7109375" style="125" customWidth="1"/>
    <col min="3221" max="3222" width="3.7109375" style="125" customWidth="1"/>
    <col min="3223" max="3223" width="9.7109375" style="125" customWidth="1"/>
    <col min="3224" max="3225" width="3.7109375" style="125" customWidth="1"/>
    <col min="3226" max="3226" width="9.7109375" style="125" customWidth="1"/>
    <col min="3227" max="3228" width="3.7109375" style="125" customWidth="1"/>
    <col min="3229" max="3229" width="9.7109375" style="125" customWidth="1"/>
    <col min="3230" max="3231" width="3.7109375" style="125" customWidth="1"/>
    <col min="3232" max="3232" width="9.7109375" style="125" customWidth="1"/>
    <col min="3233" max="3234" width="3.7109375" style="125" customWidth="1"/>
    <col min="3235" max="3235" width="9.7109375" style="125" customWidth="1"/>
    <col min="3236" max="3237" width="3.7109375" style="125" customWidth="1"/>
    <col min="3238" max="3238" width="9.7109375" style="125" customWidth="1"/>
    <col min="3239" max="3240" width="3.7109375" style="125" customWidth="1"/>
    <col min="3241" max="3241" width="9.7109375" style="125" customWidth="1"/>
    <col min="3242" max="3243" width="3.7109375" style="125" customWidth="1"/>
    <col min="3244" max="3244" width="9.7109375" style="125" customWidth="1"/>
    <col min="3245" max="3246" width="3.7109375" style="125" customWidth="1"/>
    <col min="3247" max="3247" width="9.7109375" style="125" customWidth="1"/>
    <col min="3248" max="3249" width="3.7109375" style="125" customWidth="1"/>
    <col min="3250" max="3250" width="9.7109375" style="125" customWidth="1"/>
    <col min="3251" max="3252" width="3.7109375" style="125" customWidth="1"/>
    <col min="3253" max="3253" width="9.7109375" style="125" customWidth="1"/>
    <col min="3254" max="3255" width="3.7109375" style="125" customWidth="1"/>
    <col min="3256" max="3256" width="9.7109375" style="125" customWidth="1"/>
    <col min="3257" max="3258" width="3.7109375" style="125" customWidth="1"/>
    <col min="3259" max="3259" width="9.7109375" style="125" customWidth="1"/>
    <col min="3260" max="3261" width="3.7109375" style="125" customWidth="1"/>
    <col min="3262" max="3262" width="9.7109375" style="125" customWidth="1"/>
    <col min="3263" max="3264" width="3.7109375" style="125" customWidth="1"/>
    <col min="3265" max="3265" width="9.7109375" style="125" customWidth="1"/>
    <col min="3266" max="3267" width="3.7109375" style="125" customWidth="1"/>
    <col min="3268" max="3268" width="9.7109375" style="125" customWidth="1"/>
    <col min="3269" max="3270" width="3.7109375" style="125" customWidth="1"/>
    <col min="3271" max="3271" width="9.7109375" style="125" customWidth="1"/>
    <col min="3272" max="3273" width="3.7109375" style="125" customWidth="1"/>
    <col min="3274" max="3274" width="9.7109375" style="125" customWidth="1"/>
    <col min="3275" max="3276" width="3.7109375" style="125" customWidth="1"/>
    <col min="3277" max="3277" width="9.7109375" style="125" customWidth="1"/>
    <col min="3278" max="3279" width="3.7109375" style="125" customWidth="1"/>
    <col min="3280" max="3280" width="9.7109375" style="125" customWidth="1"/>
    <col min="3281" max="3282" width="3.7109375" style="125" customWidth="1"/>
    <col min="3283" max="3283" width="9.7109375" style="125" customWidth="1"/>
    <col min="3284" max="3285" width="3.7109375" style="125" customWidth="1"/>
    <col min="3286" max="3286" width="9.7109375" style="125" customWidth="1"/>
    <col min="3287" max="3288" width="3.7109375" style="125" customWidth="1"/>
    <col min="3289" max="3289" width="9.7109375" style="125" customWidth="1"/>
    <col min="3290" max="3290" width="3.7109375" style="125" customWidth="1"/>
    <col min="3291" max="3328" width="8" style="125"/>
    <col min="3329" max="3329" width="30.7109375" style="125" customWidth="1"/>
    <col min="3330" max="3330" width="9.7109375" style="125" customWidth="1"/>
    <col min="3331" max="3331" width="3.7109375" style="125" customWidth="1"/>
    <col min="3332" max="3332" width="9.7109375" style="125" customWidth="1"/>
    <col min="3333" max="3334" width="3.7109375" style="125" customWidth="1"/>
    <col min="3335" max="3335" width="9.7109375" style="125" customWidth="1"/>
    <col min="3336" max="3337" width="3.7109375" style="125" customWidth="1"/>
    <col min="3338" max="3338" width="9.7109375" style="125" customWidth="1"/>
    <col min="3339" max="3340" width="3.7109375" style="125" customWidth="1"/>
    <col min="3341" max="3341" width="9.7109375" style="125" customWidth="1"/>
    <col min="3342" max="3343" width="3.7109375" style="125" customWidth="1"/>
    <col min="3344" max="3344" width="9.7109375" style="125" customWidth="1"/>
    <col min="3345" max="3346" width="3.7109375" style="125" customWidth="1"/>
    <col min="3347" max="3347" width="9.7109375" style="125" customWidth="1"/>
    <col min="3348" max="3349" width="3.7109375" style="125" customWidth="1"/>
    <col min="3350" max="3350" width="9.7109375" style="125" customWidth="1"/>
    <col min="3351" max="3352" width="3.7109375" style="125" customWidth="1"/>
    <col min="3353" max="3353" width="9.7109375" style="125" customWidth="1"/>
    <col min="3354" max="3355" width="3.7109375" style="125" customWidth="1"/>
    <col min="3356" max="3356" width="9.7109375" style="125" customWidth="1"/>
    <col min="3357" max="3358" width="3.7109375" style="125" customWidth="1"/>
    <col min="3359" max="3359" width="9.7109375" style="125" customWidth="1"/>
    <col min="3360" max="3361" width="3.7109375" style="125" customWidth="1"/>
    <col min="3362" max="3362" width="9.7109375" style="125" customWidth="1"/>
    <col min="3363" max="3364" width="3.7109375" style="125" customWidth="1"/>
    <col min="3365" max="3365" width="9.7109375" style="125" customWidth="1"/>
    <col min="3366" max="3367" width="3.7109375" style="125" customWidth="1"/>
    <col min="3368" max="3368" width="9.7109375" style="125" customWidth="1"/>
    <col min="3369" max="3370" width="3.7109375" style="125" customWidth="1"/>
    <col min="3371" max="3371" width="9.7109375" style="125" customWidth="1"/>
    <col min="3372" max="3373" width="3.7109375" style="125" customWidth="1"/>
    <col min="3374" max="3374" width="9.7109375" style="125" customWidth="1"/>
    <col min="3375" max="3376" width="3.7109375" style="125" customWidth="1"/>
    <col min="3377" max="3377" width="9.7109375" style="125" customWidth="1"/>
    <col min="3378" max="3379" width="3.7109375" style="125" customWidth="1"/>
    <col min="3380" max="3380" width="9.7109375" style="125" customWidth="1"/>
    <col min="3381" max="3382" width="3.7109375" style="125" customWidth="1"/>
    <col min="3383" max="3383" width="9.7109375" style="125" customWidth="1"/>
    <col min="3384" max="3385" width="3.7109375" style="125" customWidth="1"/>
    <col min="3386" max="3386" width="9.7109375" style="125" customWidth="1"/>
    <col min="3387" max="3388" width="3.7109375" style="125" customWidth="1"/>
    <col min="3389" max="3389" width="9.7109375" style="125" customWidth="1"/>
    <col min="3390" max="3391" width="3.7109375" style="125" customWidth="1"/>
    <col min="3392" max="3392" width="9.7109375" style="125" customWidth="1"/>
    <col min="3393" max="3394" width="3.7109375" style="125" customWidth="1"/>
    <col min="3395" max="3395" width="9.7109375" style="125" customWidth="1"/>
    <col min="3396" max="3397" width="3.7109375" style="125" customWidth="1"/>
    <col min="3398" max="3398" width="9.7109375" style="125" customWidth="1"/>
    <col min="3399" max="3400" width="3.7109375" style="125" customWidth="1"/>
    <col min="3401" max="3401" width="9.7109375" style="125" customWidth="1"/>
    <col min="3402" max="3403" width="3.7109375" style="125" customWidth="1"/>
    <col min="3404" max="3404" width="9.7109375" style="125" customWidth="1"/>
    <col min="3405" max="3406" width="3.7109375" style="125" customWidth="1"/>
    <col min="3407" max="3407" width="9.7109375" style="125" customWidth="1"/>
    <col min="3408" max="3409" width="3.7109375" style="125" customWidth="1"/>
    <col min="3410" max="3410" width="9.7109375" style="125" customWidth="1"/>
    <col min="3411" max="3412" width="3.7109375" style="125" customWidth="1"/>
    <col min="3413" max="3413" width="9.7109375" style="125" customWidth="1"/>
    <col min="3414" max="3415" width="3.7109375" style="125" customWidth="1"/>
    <col min="3416" max="3416" width="9.7109375" style="125" customWidth="1"/>
    <col min="3417" max="3418" width="3.7109375" style="125" customWidth="1"/>
    <col min="3419" max="3419" width="9.7109375" style="125" customWidth="1"/>
    <col min="3420" max="3421" width="3.7109375" style="125" customWidth="1"/>
    <col min="3422" max="3422" width="9.7109375" style="125" customWidth="1"/>
    <col min="3423" max="3424" width="3.7109375" style="125" customWidth="1"/>
    <col min="3425" max="3425" width="9.7109375" style="125" customWidth="1"/>
    <col min="3426" max="3427" width="3.7109375" style="125" customWidth="1"/>
    <col min="3428" max="3428" width="9.7109375" style="125" customWidth="1"/>
    <col min="3429" max="3430" width="3.7109375" style="125" customWidth="1"/>
    <col min="3431" max="3431" width="9.7109375" style="125" customWidth="1"/>
    <col min="3432" max="3433" width="3.7109375" style="125" customWidth="1"/>
    <col min="3434" max="3434" width="9.7109375" style="125" customWidth="1"/>
    <col min="3435" max="3436" width="3.7109375" style="125" customWidth="1"/>
    <col min="3437" max="3437" width="9.7109375" style="125" customWidth="1"/>
    <col min="3438" max="3439" width="3.7109375" style="125" customWidth="1"/>
    <col min="3440" max="3440" width="9.7109375" style="125" customWidth="1"/>
    <col min="3441" max="3442" width="3.7109375" style="125" customWidth="1"/>
    <col min="3443" max="3443" width="9.7109375" style="125" customWidth="1"/>
    <col min="3444" max="3445" width="3.7109375" style="125" customWidth="1"/>
    <col min="3446" max="3446" width="9.7109375" style="125" customWidth="1"/>
    <col min="3447" max="3448" width="3.7109375" style="125" customWidth="1"/>
    <col min="3449" max="3449" width="9.7109375" style="125" customWidth="1"/>
    <col min="3450" max="3451" width="3.7109375" style="125" customWidth="1"/>
    <col min="3452" max="3452" width="9.7109375" style="125" customWidth="1"/>
    <col min="3453" max="3454" width="3.7109375" style="125" customWidth="1"/>
    <col min="3455" max="3455" width="9.7109375" style="125" customWidth="1"/>
    <col min="3456" max="3457" width="3.7109375" style="125" customWidth="1"/>
    <col min="3458" max="3458" width="9.7109375" style="125" customWidth="1"/>
    <col min="3459" max="3460" width="3.7109375" style="125" customWidth="1"/>
    <col min="3461" max="3461" width="9.7109375" style="125" customWidth="1"/>
    <col min="3462" max="3463" width="3.7109375" style="125" customWidth="1"/>
    <col min="3464" max="3464" width="9.7109375" style="125" customWidth="1"/>
    <col min="3465" max="3466" width="3.7109375" style="125" customWidth="1"/>
    <col min="3467" max="3467" width="9.7109375" style="125" customWidth="1"/>
    <col min="3468" max="3469" width="3.7109375" style="125" customWidth="1"/>
    <col min="3470" max="3470" width="9.7109375" style="125" customWidth="1"/>
    <col min="3471" max="3472" width="3.7109375" style="125" customWidth="1"/>
    <col min="3473" max="3473" width="9.7109375" style="125" customWidth="1"/>
    <col min="3474" max="3475" width="3.7109375" style="125" customWidth="1"/>
    <col min="3476" max="3476" width="9.7109375" style="125" customWidth="1"/>
    <col min="3477" max="3478" width="3.7109375" style="125" customWidth="1"/>
    <col min="3479" max="3479" width="9.7109375" style="125" customWidth="1"/>
    <col min="3480" max="3481" width="3.7109375" style="125" customWidth="1"/>
    <col min="3482" max="3482" width="9.7109375" style="125" customWidth="1"/>
    <col min="3483" max="3484" width="3.7109375" style="125" customWidth="1"/>
    <col min="3485" max="3485" width="9.7109375" style="125" customWidth="1"/>
    <col min="3486" max="3487" width="3.7109375" style="125" customWidth="1"/>
    <col min="3488" max="3488" width="9.7109375" style="125" customWidth="1"/>
    <col min="3489" max="3490" width="3.7109375" style="125" customWidth="1"/>
    <col min="3491" max="3491" width="9.7109375" style="125" customWidth="1"/>
    <col min="3492" max="3493" width="3.7109375" style="125" customWidth="1"/>
    <col min="3494" max="3494" width="9.7109375" style="125" customWidth="1"/>
    <col min="3495" max="3496" width="3.7109375" style="125" customWidth="1"/>
    <col min="3497" max="3497" width="9.7109375" style="125" customWidth="1"/>
    <col min="3498" max="3499" width="3.7109375" style="125" customWidth="1"/>
    <col min="3500" max="3500" width="9.7109375" style="125" customWidth="1"/>
    <col min="3501" max="3502" width="3.7109375" style="125" customWidth="1"/>
    <col min="3503" max="3503" width="9.7109375" style="125" customWidth="1"/>
    <col min="3504" max="3505" width="3.7109375" style="125" customWidth="1"/>
    <col min="3506" max="3506" width="9.7109375" style="125" customWidth="1"/>
    <col min="3507" max="3508" width="3.7109375" style="125" customWidth="1"/>
    <col min="3509" max="3509" width="9.7109375" style="125" customWidth="1"/>
    <col min="3510" max="3511" width="3.7109375" style="125" customWidth="1"/>
    <col min="3512" max="3512" width="9.7109375" style="125" customWidth="1"/>
    <col min="3513" max="3514" width="3.7109375" style="125" customWidth="1"/>
    <col min="3515" max="3515" width="9.7109375" style="125" customWidth="1"/>
    <col min="3516" max="3517" width="3.7109375" style="125" customWidth="1"/>
    <col min="3518" max="3518" width="9.7109375" style="125" customWidth="1"/>
    <col min="3519" max="3520" width="3.7109375" style="125" customWidth="1"/>
    <col min="3521" max="3521" width="9.7109375" style="125" customWidth="1"/>
    <col min="3522" max="3523" width="3.7109375" style="125" customWidth="1"/>
    <col min="3524" max="3524" width="9.7109375" style="125" customWidth="1"/>
    <col min="3525" max="3526" width="3.7109375" style="125" customWidth="1"/>
    <col min="3527" max="3527" width="9.7109375" style="125" customWidth="1"/>
    <col min="3528" max="3529" width="3.7109375" style="125" customWidth="1"/>
    <col min="3530" max="3530" width="9.7109375" style="125" customWidth="1"/>
    <col min="3531" max="3532" width="3.7109375" style="125" customWidth="1"/>
    <col min="3533" max="3533" width="9.7109375" style="125" customWidth="1"/>
    <col min="3534" max="3535" width="3.7109375" style="125" customWidth="1"/>
    <col min="3536" max="3536" width="9.7109375" style="125" customWidth="1"/>
    <col min="3537" max="3538" width="3.7109375" style="125" customWidth="1"/>
    <col min="3539" max="3539" width="9.7109375" style="125" customWidth="1"/>
    <col min="3540" max="3541" width="3.7109375" style="125" customWidth="1"/>
    <col min="3542" max="3542" width="9.7109375" style="125" customWidth="1"/>
    <col min="3543" max="3544" width="3.7109375" style="125" customWidth="1"/>
    <col min="3545" max="3545" width="9.7109375" style="125" customWidth="1"/>
    <col min="3546" max="3546" width="3.7109375" style="125" customWidth="1"/>
    <col min="3547" max="3584" width="8" style="125"/>
    <col min="3585" max="3585" width="30.7109375" style="125" customWidth="1"/>
    <col min="3586" max="3586" width="9.7109375" style="125" customWidth="1"/>
    <col min="3587" max="3587" width="3.7109375" style="125" customWidth="1"/>
    <col min="3588" max="3588" width="9.7109375" style="125" customWidth="1"/>
    <col min="3589" max="3590" width="3.7109375" style="125" customWidth="1"/>
    <col min="3591" max="3591" width="9.7109375" style="125" customWidth="1"/>
    <col min="3592" max="3593" width="3.7109375" style="125" customWidth="1"/>
    <col min="3594" max="3594" width="9.7109375" style="125" customWidth="1"/>
    <col min="3595" max="3596" width="3.7109375" style="125" customWidth="1"/>
    <col min="3597" max="3597" width="9.7109375" style="125" customWidth="1"/>
    <col min="3598" max="3599" width="3.7109375" style="125" customWidth="1"/>
    <col min="3600" max="3600" width="9.7109375" style="125" customWidth="1"/>
    <col min="3601" max="3602" width="3.7109375" style="125" customWidth="1"/>
    <col min="3603" max="3603" width="9.7109375" style="125" customWidth="1"/>
    <col min="3604" max="3605" width="3.7109375" style="125" customWidth="1"/>
    <col min="3606" max="3606" width="9.7109375" style="125" customWidth="1"/>
    <col min="3607" max="3608" width="3.7109375" style="125" customWidth="1"/>
    <col min="3609" max="3609" width="9.7109375" style="125" customWidth="1"/>
    <col min="3610" max="3611" width="3.7109375" style="125" customWidth="1"/>
    <col min="3612" max="3612" width="9.7109375" style="125" customWidth="1"/>
    <col min="3613" max="3614" width="3.7109375" style="125" customWidth="1"/>
    <col min="3615" max="3615" width="9.7109375" style="125" customWidth="1"/>
    <col min="3616" max="3617" width="3.7109375" style="125" customWidth="1"/>
    <col min="3618" max="3618" width="9.7109375" style="125" customWidth="1"/>
    <col min="3619" max="3620" width="3.7109375" style="125" customWidth="1"/>
    <col min="3621" max="3621" width="9.7109375" style="125" customWidth="1"/>
    <col min="3622" max="3623" width="3.7109375" style="125" customWidth="1"/>
    <col min="3624" max="3624" width="9.7109375" style="125" customWidth="1"/>
    <col min="3625" max="3626" width="3.7109375" style="125" customWidth="1"/>
    <col min="3627" max="3627" width="9.7109375" style="125" customWidth="1"/>
    <col min="3628" max="3629" width="3.7109375" style="125" customWidth="1"/>
    <col min="3630" max="3630" width="9.7109375" style="125" customWidth="1"/>
    <col min="3631" max="3632" width="3.7109375" style="125" customWidth="1"/>
    <col min="3633" max="3633" width="9.7109375" style="125" customWidth="1"/>
    <col min="3634" max="3635" width="3.7109375" style="125" customWidth="1"/>
    <col min="3636" max="3636" width="9.7109375" style="125" customWidth="1"/>
    <col min="3637" max="3638" width="3.7109375" style="125" customWidth="1"/>
    <col min="3639" max="3639" width="9.7109375" style="125" customWidth="1"/>
    <col min="3640" max="3641" width="3.7109375" style="125" customWidth="1"/>
    <col min="3642" max="3642" width="9.7109375" style="125" customWidth="1"/>
    <col min="3643" max="3644" width="3.7109375" style="125" customWidth="1"/>
    <col min="3645" max="3645" width="9.7109375" style="125" customWidth="1"/>
    <col min="3646" max="3647" width="3.7109375" style="125" customWidth="1"/>
    <col min="3648" max="3648" width="9.7109375" style="125" customWidth="1"/>
    <col min="3649" max="3650" width="3.7109375" style="125" customWidth="1"/>
    <col min="3651" max="3651" width="9.7109375" style="125" customWidth="1"/>
    <col min="3652" max="3653" width="3.7109375" style="125" customWidth="1"/>
    <col min="3654" max="3654" width="9.7109375" style="125" customWidth="1"/>
    <col min="3655" max="3656" width="3.7109375" style="125" customWidth="1"/>
    <col min="3657" max="3657" width="9.7109375" style="125" customWidth="1"/>
    <col min="3658" max="3659" width="3.7109375" style="125" customWidth="1"/>
    <col min="3660" max="3660" width="9.7109375" style="125" customWidth="1"/>
    <col min="3661" max="3662" width="3.7109375" style="125" customWidth="1"/>
    <col min="3663" max="3663" width="9.7109375" style="125" customWidth="1"/>
    <col min="3664" max="3665" width="3.7109375" style="125" customWidth="1"/>
    <col min="3666" max="3666" width="9.7109375" style="125" customWidth="1"/>
    <col min="3667" max="3668" width="3.7109375" style="125" customWidth="1"/>
    <col min="3669" max="3669" width="9.7109375" style="125" customWidth="1"/>
    <col min="3670" max="3671" width="3.7109375" style="125" customWidth="1"/>
    <col min="3672" max="3672" width="9.7109375" style="125" customWidth="1"/>
    <col min="3673" max="3674" width="3.7109375" style="125" customWidth="1"/>
    <col min="3675" max="3675" width="9.7109375" style="125" customWidth="1"/>
    <col min="3676" max="3677" width="3.7109375" style="125" customWidth="1"/>
    <col min="3678" max="3678" width="9.7109375" style="125" customWidth="1"/>
    <col min="3679" max="3680" width="3.7109375" style="125" customWidth="1"/>
    <col min="3681" max="3681" width="9.7109375" style="125" customWidth="1"/>
    <col min="3682" max="3683" width="3.7109375" style="125" customWidth="1"/>
    <col min="3684" max="3684" width="9.7109375" style="125" customWidth="1"/>
    <col min="3685" max="3686" width="3.7109375" style="125" customWidth="1"/>
    <col min="3687" max="3687" width="9.7109375" style="125" customWidth="1"/>
    <col min="3688" max="3689" width="3.7109375" style="125" customWidth="1"/>
    <col min="3690" max="3690" width="9.7109375" style="125" customWidth="1"/>
    <col min="3691" max="3692" width="3.7109375" style="125" customWidth="1"/>
    <col min="3693" max="3693" width="9.7109375" style="125" customWidth="1"/>
    <col min="3694" max="3695" width="3.7109375" style="125" customWidth="1"/>
    <col min="3696" max="3696" width="9.7109375" style="125" customWidth="1"/>
    <col min="3697" max="3698" width="3.7109375" style="125" customWidth="1"/>
    <col min="3699" max="3699" width="9.7109375" style="125" customWidth="1"/>
    <col min="3700" max="3701" width="3.7109375" style="125" customWidth="1"/>
    <col min="3702" max="3702" width="9.7109375" style="125" customWidth="1"/>
    <col min="3703" max="3704" width="3.7109375" style="125" customWidth="1"/>
    <col min="3705" max="3705" width="9.7109375" style="125" customWidth="1"/>
    <col min="3706" max="3707" width="3.7109375" style="125" customWidth="1"/>
    <col min="3708" max="3708" width="9.7109375" style="125" customWidth="1"/>
    <col min="3709" max="3710" width="3.7109375" style="125" customWidth="1"/>
    <col min="3711" max="3711" width="9.7109375" style="125" customWidth="1"/>
    <col min="3712" max="3713" width="3.7109375" style="125" customWidth="1"/>
    <col min="3714" max="3714" width="9.7109375" style="125" customWidth="1"/>
    <col min="3715" max="3716" width="3.7109375" style="125" customWidth="1"/>
    <col min="3717" max="3717" width="9.7109375" style="125" customWidth="1"/>
    <col min="3718" max="3719" width="3.7109375" style="125" customWidth="1"/>
    <col min="3720" max="3720" width="9.7109375" style="125" customWidth="1"/>
    <col min="3721" max="3722" width="3.7109375" style="125" customWidth="1"/>
    <col min="3723" max="3723" width="9.7109375" style="125" customWidth="1"/>
    <col min="3724" max="3725" width="3.7109375" style="125" customWidth="1"/>
    <col min="3726" max="3726" width="9.7109375" style="125" customWidth="1"/>
    <col min="3727" max="3728" width="3.7109375" style="125" customWidth="1"/>
    <col min="3729" max="3729" width="9.7109375" style="125" customWidth="1"/>
    <col min="3730" max="3731" width="3.7109375" style="125" customWidth="1"/>
    <col min="3732" max="3732" width="9.7109375" style="125" customWidth="1"/>
    <col min="3733" max="3734" width="3.7109375" style="125" customWidth="1"/>
    <col min="3735" max="3735" width="9.7109375" style="125" customWidth="1"/>
    <col min="3736" max="3737" width="3.7109375" style="125" customWidth="1"/>
    <col min="3738" max="3738" width="9.7109375" style="125" customWidth="1"/>
    <col min="3739" max="3740" width="3.7109375" style="125" customWidth="1"/>
    <col min="3741" max="3741" width="9.7109375" style="125" customWidth="1"/>
    <col min="3742" max="3743" width="3.7109375" style="125" customWidth="1"/>
    <col min="3744" max="3744" width="9.7109375" style="125" customWidth="1"/>
    <col min="3745" max="3746" width="3.7109375" style="125" customWidth="1"/>
    <col min="3747" max="3747" width="9.7109375" style="125" customWidth="1"/>
    <col min="3748" max="3749" width="3.7109375" style="125" customWidth="1"/>
    <col min="3750" max="3750" width="9.7109375" style="125" customWidth="1"/>
    <col min="3751" max="3752" width="3.7109375" style="125" customWidth="1"/>
    <col min="3753" max="3753" width="9.7109375" style="125" customWidth="1"/>
    <col min="3754" max="3755" width="3.7109375" style="125" customWidth="1"/>
    <col min="3756" max="3756" width="9.7109375" style="125" customWidth="1"/>
    <col min="3757" max="3758" width="3.7109375" style="125" customWidth="1"/>
    <col min="3759" max="3759" width="9.7109375" style="125" customWidth="1"/>
    <col min="3760" max="3761" width="3.7109375" style="125" customWidth="1"/>
    <col min="3762" max="3762" width="9.7109375" style="125" customWidth="1"/>
    <col min="3763" max="3764" width="3.7109375" style="125" customWidth="1"/>
    <col min="3765" max="3765" width="9.7109375" style="125" customWidth="1"/>
    <col min="3766" max="3767" width="3.7109375" style="125" customWidth="1"/>
    <col min="3768" max="3768" width="9.7109375" style="125" customWidth="1"/>
    <col min="3769" max="3770" width="3.7109375" style="125" customWidth="1"/>
    <col min="3771" max="3771" width="9.7109375" style="125" customWidth="1"/>
    <col min="3772" max="3773" width="3.7109375" style="125" customWidth="1"/>
    <col min="3774" max="3774" width="9.7109375" style="125" customWidth="1"/>
    <col min="3775" max="3776" width="3.7109375" style="125" customWidth="1"/>
    <col min="3777" max="3777" width="9.7109375" style="125" customWidth="1"/>
    <col min="3778" max="3779" width="3.7109375" style="125" customWidth="1"/>
    <col min="3780" max="3780" width="9.7109375" style="125" customWidth="1"/>
    <col min="3781" max="3782" width="3.7109375" style="125" customWidth="1"/>
    <col min="3783" max="3783" width="9.7109375" style="125" customWidth="1"/>
    <col min="3784" max="3785" width="3.7109375" style="125" customWidth="1"/>
    <col min="3786" max="3786" width="9.7109375" style="125" customWidth="1"/>
    <col min="3787" max="3788" width="3.7109375" style="125" customWidth="1"/>
    <col min="3789" max="3789" width="9.7109375" style="125" customWidth="1"/>
    <col min="3790" max="3791" width="3.7109375" style="125" customWidth="1"/>
    <col min="3792" max="3792" width="9.7109375" style="125" customWidth="1"/>
    <col min="3793" max="3794" width="3.7109375" style="125" customWidth="1"/>
    <col min="3795" max="3795" width="9.7109375" style="125" customWidth="1"/>
    <col min="3796" max="3797" width="3.7109375" style="125" customWidth="1"/>
    <col min="3798" max="3798" width="9.7109375" style="125" customWidth="1"/>
    <col min="3799" max="3800" width="3.7109375" style="125" customWidth="1"/>
    <col min="3801" max="3801" width="9.7109375" style="125" customWidth="1"/>
    <col min="3802" max="3802" width="3.7109375" style="125" customWidth="1"/>
    <col min="3803" max="3840" width="8" style="125"/>
    <col min="3841" max="3841" width="30.7109375" style="125" customWidth="1"/>
    <col min="3842" max="3842" width="9.7109375" style="125" customWidth="1"/>
    <col min="3843" max="3843" width="3.7109375" style="125" customWidth="1"/>
    <col min="3844" max="3844" width="9.7109375" style="125" customWidth="1"/>
    <col min="3845" max="3846" width="3.7109375" style="125" customWidth="1"/>
    <col min="3847" max="3847" width="9.7109375" style="125" customWidth="1"/>
    <col min="3848" max="3849" width="3.7109375" style="125" customWidth="1"/>
    <col min="3850" max="3850" width="9.7109375" style="125" customWidth="1"/>
    <col min="3851" max="3852" width="3.7109375" style="125" customWidth="1"/>
    <col min="3853" max="3853" width="9.7109375" style="125" customWidth="1"/>
    <col min="3854" max="3855" width="3.7109375" style="125" customWidth="1"/>
    <col min="3856" max="3856" width="9.7109375" style="125" customWidth="1"/>
    <col min="3857" max="3858" width="3.7109375" style="125" customWidth="1"/>
    <col min="3859" max="3859" width="9.7109375" style="125" customWidth="1"/>
    <col min="3860" max="3861" width="3.7109375" style="125" customWidth="1"/>
    <col min="3862" max="3862" width="9.7109375" style="125" customWidth="1"/>
    <col min="3863" max="3864" width="3.7109375" style="125" customWidth="1"/>
    <col min="3865" max="3865" width="9.7109375" style="125" customWidth="1"/>
    <col min="3866" max="3867" width="3.7109375" style="125" customWidth="1"/>
    <col min="3868" max="3868" width="9.7109375" style="125" customWidth="1"/>
    <col min="3869" max="3870" width="3.7109375" style="125" customWidth="1"/>
    <col min="3871" max="3871" width="9.7109375" style="125" customWidth="1"/>
    <col min="3872" max="3873" width="3.7109375" style="125" customWidth="1"/>
    <col min="3874" max="3874" width="9.7109375" style="125" customWidth="1"/>
    <col min="3875" max="3876" width="3.7109375" style="125" customWidth="1"/>
    <col min="3877" max="3877" width="9.7109375" style="125" customWidth="1"/>
    <col min="3878" max="3879" width="3.7109375" style="125" customWidth="1"/>
    <col min="3880" max="3880" width="9.7109375" style="125" customWidth="1"/>
    <col min="3881" max="3882" width="3.7109375" style="125" customWidth="1"/>
    <col min="3883" max="3883" width="9.7109375" style="125" customWidth="1"/>
    <col min="3884" max="3885" width="3.7109375" style="125" customWidth="1"/>
    <col min="3886" max="3886" width="9.7109375" style="125" customWidth="1"/>
    <col min="3887" max="3888" width="3.7109375" style="125" customWidth="1"/>
    <col min="3889" max="3889" width="9.7109375" style="125" customWidth="1"/>
    <col min="3890" max="3891" width="3.7109375" style="125" customWidth="1"/>
    <col min="3892" max="3892" width="9.7109375" style="125" customWidth="1"/>
    <col min="3893" max="3894" width="3.7109375" style="125" customWidth="1"/>
    <col min="3895" max="3895" width="9.7109375" style="125" customWidth="1"/>
    <col min="3896" max="3897" width="3.7109375" style="125" customWidth="1"/>
    <col min="3898" max="3898" width="9.7109375" style="125" customWidth="1"/>
    <col min="3899" max="3900" width="3.7109375" style="125" customWidth="1"/>
    <col min="3901" max="3901" width="9.7109375" style="125" customWidth="1"/>
    <col min="3902" max="3903" width="3.7109375" style="125" customWidth="1"/>
    <col min="3904" max="3904" width="9.7109375" style="125" customWidth="1"/>
    <col min="3905" max="3906" width="3.7109375" style="125" customWidth="1"/>
    <col min="3907" max="3907" width="9.7109375" style="125" customWidth="1"/>
    <col min="3908" max="3909" width="3.7109375" style="125" customWidth="1"/>
    <col min="3910" max="3910" width="9.7109375" style="125" customWidth="1"/>
    <col min="3911" max="3912" width="3.7109375" style="125" customWidth="1"/>
    <col min="3913" max="3913" width="9.7109375" style="125" customWidth="1"/>
    <col min="3914" max="3915" width="3.7109375" style="125" customWidth="1"/>
    <col min="3916" max="3916" width="9.7109375" style="125" customWidth="1"/>
    <col min="3917" max="3918" width="3.7109375" style="125" customWidth="1"/>
    <col min="3919" max="3919" width="9.7109375" style="125" customWidth="1"/>
    <col min="3920" max="3921" width="3.7109375" style="125" customWidth="1"/>
    <col min="3922" max="3922" width="9.7109375" style="125" customWidth="1"/>
    <col min="3923" max="3924" width="3.7109375" style="125" customWidth="1"/>
    <col min="3925" max="3925" width="9.7109375" style="125" customWidth="1"/>
    <col min="3926" max="3927" width="3.7109375" style="125" customWidth="1"/>
    <col min="3928" max="3928" width="9.7109375" style="125" customWidth="1"/>
    <col min="3929" max="3930" width="3.7109375" style="125" customWidth="1"/>
    <col min="3931" max="3931" width="9.7109375" style="125" customWidth="1"/>
    <col min="3932" max="3933" width="3.7109375" style="125" customWidth="1"/>
    <col min="3934" max="3934" width="9.7109375" style="125" customWidth="1"/>
    <col min="3935" max="3936" width="3.7109375" style="125" customWidth="1"/>
    <col min="3937" max="3937" width="9.7109375" style="125" customWidth="1"/>
    <col min="3938" max="3939" width="3.7109375" style="125" customWidth="1"/>
    <col min="3940" max="3940" width="9.7109375" style="125" customWidth="1"/>
    <col min="3941" max="3942" width="3.7109375" style="125" customWidth="1"/>
    <col min="3943" max="3943" width="9.7109375" style="125" customWidth="1"/>
    <col min="3944" max="3945" width="3.7109375" style="125" customWidth="1"/>
    <col min="3946" max="3946" width="9.7109375" style="125" customWidth="1"/>
    <col min="3947" max="3948" width="3.7109375" style="125" customWidth="1"/>
    <col min="3949" max="3949" width="9.7109375" style="125" customWidth="1"/>
    <col min="3950" max="3951" width="3.7109375" style="125" customWidth="1"/>
    <col min="3952" max="3952" width="9.7109375" style="125" customWidth="1"/>
    <col min="3953" max="3954" width="3.7109375" style="125" customWidth="1"/>
    <col min="3955" max="3955" width="9.7109375" style="125" customWidth="1"/>
    <col min="3956" max="3957" width="3.7109375" style="125" customWidth="1"/>
    <col min="3958" max="3958" width="9.7109375" style="125" customWidth="1"/>
    <col min="3959" max="3960" width="3.7109375" style="125" customWidth="1"/>
    <col min="3961" max="3961" width="9.7109375" style="125" customWidth="1"/>
    <col min="3962" max="3963" width="3.7109375" style="125" customWidth="1"/>
    <col min="3964" max="3964" width="9.7109375" style="125" customWidth="1"/>
    <col min="3965" max="3966" width="3.7109375" style="125" customWidth="1"/>
    <col min="3967" max="3967" width="9.7109375" style="125" customWidth="1"/>
    <col min="3968" max="3969" width="3.7109375" style="125" customWidth="1"/>
    <col min="3970" max="3970" width="9.7109375" style="125" customWidth="1"/>
    <col min="3971" max="3972" width="3.7109375" style="125" customWidth="1"/>
    <col min="3973" max="3973" width="9.7109375" style="125" customWidth="1"/>
    <col min="3974" max="3975" width="3.7109375" style="125" customWidth="1"/>
    <col min="3976" max="3976" width="9.7109375" style="125" customWidth="1"/>
    <col min="3977" max="3978" width="3.7109375" style="125" customWidth="1"/>
    <col min="3979" max="3979" width="9.7109375" style="125" customWidth="1"/>
    <col min="3980" max="3981" width="3.7109375" style="125" customWidth="1"/>
    <col min="3982" max="3982" width="9.7109375" style="125" customWidth="1"/>
    <col min="3983" max="3984" width="3.7109375" style="125" customWidth="1"/>
    <col min="3985" max="3985" width="9.7109375" style="125" customWidth="1"/>
    <col min="3986" max="3987" width="3.7109375" style="125" customWidth="1"/>
    <col min="3988" max="3988" width="9.7109375" style="125" customWidth="1"/>
    <col min="3989" max="3990" width="3.7109375" style="125" customWidth="1"/>
    <col min="3991" max="3991" width="9.7109375" style="125" customWidth="1"/>
    <col min="3992" max="3993" width="3.7109375" style="125" customWidth="1"/>
    <col min="3994" max="3994" width="9.7109375" style="125" customWidth="1"/>
    <col min="3995" max="3996" width="3.7109375" style="125" customWidth="1"/>
    <col min="3997" max="3997" width="9.7109375" style="125" customWidth="1"/>
    <col min="3998" max="3999" width="3.7109375" style="125" customWidth="1"/>
    <col min="4000" max="4000" width="9.7109375" style="125" customWidth="1"/>
    <col min="4001" max="4002" width="3.7109375" style="125" customWidth="1"/>
    <col min="4003" max="4003" width="9.7109375" style="125" customWidth="1"/>
    <col min="4004" max="4005" width="3.7109375" style="125" customWidth="1"/>
    <col min="4006" max="4006" width="9.7109375" style="125" customWidth="1"/>
    <col min="4007" max="4008" width="3.7109375" style="125" customWidth="1"/>
    <col min="4009" max="4009" width="9.7109375" style="125" customWidth="1"/>
    <col min="4010" max="4011" width="3.7109375" style="125" customWidth="1"/>
    <col min="4012" max="4012" width="9.7109375" style="125" customWidth="1"/>
    <col min="4013" max="4014" width="3.7109375" style="125" customWidth="1"/>
    <col min="4015" max="4015" width="9.7109375" style="125" customWidth="1"/>
    <col min="4016" max="4017" width="3.7109375" style="125" customWidth="1"/>
    <col min="4018" max="4018" width="9.7109375" style="125" customWidth="1"/>
    <col min="4019" max="4020" width="3.7109375" style="125" customWidth="1"/>
    <col min="4021" max="4021" width="9.7109375" style="125" customWidth="1"/>
    <col min="4022" max="4023" width="3.7109375" style="125" customWidth="1"/>
    <col min="4024" max="4024" width="9.7109375" style="125" customWidth="1"/>
    <col min="4025" max="4026" width="3.7109375" style="125" customWidth="1"/>
    <col min="4027" max="4027" width="9.7109375" style="125" customWidth="1"/>
    <col min="4028" max="4029" width="3.7109375" style="125" customWidth="1"/>
    <col min="4030" max="4030" width="9.7109375" style="125" customWidth="1"/>
    <col min="4031" max="4032" width="3.7109375" style="125" customWidth="1"/>
    <col min="4033" max="4033" width="9.7109375" style="125" customWidth="1"/>
    <col min="4034" max="4035" width="3.7109375" style="125" customWidth="1"/>
    <col min="4036" max="4036" width="9.7109375" style="125" customWidth="1"/>
    <col min="4037" max="4038" width="3.7109375" style="125" customWidth="1"/>
    <col min="4039" max="4039" width="9.7109375" style="125" customWidth="1"/>
    <col min="4040" max="4041" width="3.7109375" style="125" customWidth="1"/>
    <col min="4042" max="4042" width="9.7109375" style="125" customWidth="1"/>
    <col min="4043" max="4044" width="3.7109375" style="125" customWidth="1"/>
    <col min="4045" max="4045" width="9.7109375" style="125" customWidth="1"/>
    <col min="4046" max="4047" width="3.7109375" style="125" customWidth="1"/>
    <col min="4048" max="4048" width="9.7109375" style="125" customWidth="1"/>
    <col min="4049" max="4050" width="3.7109375" style="125" customWidth="1"/>
    <col min="4051" max="4051" width="9.7109375" style="125" customWidth="1"/>
    <col min="4052" max="4053" width="3.7109375" style="125" customWidth="1"/>
    <col min="4054" max="4054" width="9.7109375" style="125" customWidth="1"/>
    <col min="4055" max="4056" width="3.7109375" style="125" customWidth="1"/>
    <col min="4057" max="4057" width="9.7109375" style="125" customWidth="1"/>
    <col min="4058" max="4058" width="3.7109375" style="125" customWidth="1"/>
    <col min="4059" max="4096" width="8" style="125"/>
    <col min="4097" max="4097" width="30.7109375" style="125" customWidth="1"/>
    <col min="4098" max="4098" width="9.7109375" style="125" customWidth="1"/>
    <col min="4099" max="4099" width="3.7109375" style="125" customWidth="1"/>
    <col min="4100" max="4100" width="9.7109375" style="125" customWidth="1"/>
    <col min="4101" max="4102" width="3.7109375" style="125" customWidth="1"/>
    <col min="4103" max="4103" width="9.7109375" style="125" customWidth="1"/>
    <col min="4104" max="4105" width="3.7109375" style="125" customWidth="1"/>
    <col min="4106" max="4106" width="9.7109375" style="125" customWidth="1"/>
    <col min="4107" max="4108" width="3.7109375" style="125" customWidth="1"/>
    <col min="4109" max="4109" width="9.7109375" style="125" customWidth="1"/>
    <col min="4110" max="4111" width="3.7109375" style="125" customWidth="1"/>
    <col min="4112" max="4112" width="9.7109375" style="125" customWidth="1"/>
    <col min="4113" max="4114" width="3.7109375" style="125" customWidth="1"/>
    <col min="4115" max="4115" width="9.7109375" style="125" customWidth="1"/>
    <col min="4116" max="4117" width="3.7109375" style="125" customWidth="1"/>
    <col min="4118" max="4118" width="9.7109375" style="125" customWidth="1"/>
    <col min="4119" max="4120" width="3.7109375" style="125" customWidth="1"/>
    <col min="4121" max="4121" width="9.7109375" style="125" customWidth="1"/>
    <col min="4122" max="4123" width="3.7109375" style="125" customWidth="1"/>
    <col min="4124" max="4124" width="9.7109375" style="125" customWidth="1"/>
    <col min="4125" max="4126" width="3.7109375" style="125" customWidth="1"/>
    <col min="4127" max="4127" width="9.7109375" style="125" customWidth="1"/>
    <col min="4128" max="4129" width="3.7109375" style="125" customWidth="1"/>
    <col min="4130" max="4130" width="9.7109375" style="125" customWidth="1"/>
    <col min="4131" max="4132" width="3.7109375" style="125" customWidth="1"/>
    <col min="4133" max="4133" width="9.7109375" style="125" customWidth="1"/>
    <col min="4134" max="4135" width="3.7109375" style="125" customWidth="1"/>
    <col min="4136" max="4136" width="9.7109375" style="125" customWidth="1"/>
    <col min="4137" max="4138" width="3.7109375" style="125" customWidth="1"/>
    <col min="4139" max="4139" width="9.7109375" style="125" customWidth="1"/>
    <col min="4140" max="4141" width="3.7109375" style="125" customWidth="1"/>
    <col min="4142" max="4142" width="9.7109375" style="125" customWidth="1"/>
    <col min="4143" max="4144" width="3.7109375" style="125" customWidth="1"/>
    <col min="4145" max="4145" width="9.7109375" style="125" customWidth="1"/>
    <col min="4146" max="4147" width="3.7109375" style="125" customWidth="1"/>
    <col min="4148" max="4148" width="9.7109375" style="125" customWidth="1"/>
    <col min="4149" max="4150" width="3.7109375" style="125" customWidth="1"/>
    <col min="4151" max="4151" width="9.7109375" style="125" customWidth="1"/>
    <col min="4152" max="4153" width="3.7109375" style="125" customWidth="1"/>
    <col min="4154" max="4154" width="9.7109375" style="125" customWidth="1"/>
    <col min="4155" max="4156" width="3.7109375" style="125" customWidth="1"/>
    <col min="4157" max="4157" width="9.7109375" style="125" customWidth="1"/>
    <col min="4158" max="4159" width="3.7109375" style="125" customWidth="1"/>
    <col min="4160" max="4160" width="9.7109375" style="125" customWidth="1"/>
    <col min="4161" max="4162" width="3.7109375" style="125" customWidth="1"/>
    <col min="4163" max="4163" width="9.7109375" style="125" customWidth="1"/>
    <col min="4164" max="4165" width="3.7109375" style="125" customWidth="1"/>
    <col min="4166" max="4166" width="9.7109375" style="125" customWidth="1"/>
    <col min="4167" max="4168" width="3.7109375" style="125" customWidth="1"/>
    <col min="4169" max="4169" width="9.7109375" style="125" customWidth="1"/>
    <col min="4170" max="4171" width="3.7109375" style="125" customWidth="1"/>
    <col min="4172" max="4172" width="9.7109375" style="125" customWidth="1"/>
    <col min="4173" max="4174" width="3.7109375" style="125" customWidth="1"/>
    <col min="4175" max="4175" width="9.7109375" style="125" customWidth="1"/>
    <col min="4176" max="4177" width="3.7109375" style="125" customWidth="1"/>
    <col min="4178" max="4178" width="9.7109375" style="125" customWidth="1"/>
    <col min="4179" max="4180" width="3.7109375" style="125" customWidth="1"/>
    <col min="4181" max="4181" width="9.7109375" style="125" customWidth="1"/>
    <col min="4182" max="4183" width="3.7109375" style="125" customWidth="1"/>
    <col min="4184" max="4184" width="9.7109375" style="125" customWidth="1"/>
    <col min="4185" max="4186" width="3.7109375" style="125" customWidth="1"/>
    <col min="4187" max="4187" width="9.7109375" style="125" customWidth="1"/>
    <col min="4188" max="4189" width="3.7109375" style="125" customWidth="1"/>
    <col min="4190" max="4190" width="9.7109375" style="125" customWidth="1"/>
    <col min="4191" max="4192" width="3.7109375" style="125" customWidth="1"/>
    <col min="4193" max="4193" width="9.7109375" style="125" customWidth="1"/>
    <col min="4194" max="4195" width="3.7109375" style="125" customWidth="1"/>
    <col min="4196" max="4196" width="9.7109375" style="125" customWidth="1"/>
    <col min="4197" max="4198" width="3.7109375" style="125" customWidth="1"/>
    <col min="4199" max="4199" width="9.7109375" style="125" customWidth="1"/>
    <col min="4200" max="4201" width="3.7109375" style="125" customWidth="1"/>
    <col min="4202" max="4202" width="9.7109375" style="125" customWidth="1"/>
    <col min="4203" max="4204" width="3.7109375" style="125" customWidth="1"/>
    <col min="4205" max="4205" width="9.7109375" style="125" customWidth="1"/>
    <col min="4206" max="4207" width="3.7109375" style="125" customWidth="1"/>
    <col min="4208" max="4208" width="9.7109375" style="125" customWidth="1"/>
    <col min="4209" max="4210" width="3.7109375" style="125" customWidth="1"/>
    <col min="4211" max="4211" width="9.7109375" style="125" customWidth="1"/>
    <col min="4212" max="4213" width="3.7109375" style="125" customWidth="1"/>
    <col min="4214" max="4214" width="9.7109375" style="125" customWidth="1"/>
    <col min="4215" max="4216" width="3.7109375" style="125" customWidth="1"/>
    <col min="4217" max="4217" width="9.7109375" style="125" customWidth="1"/>
    <col min="4218" max="4219" width="3.7109375" style="125" customWidth="1"/>
    <col min="4220" max="4220" width="9.7109375" style="125" customWidth="1"/>
    <col min="4221" max="4222" width="3.7109375" style="125" customWidth="1"/>
    <col min="4223" max="4223" width="9.7109375" style="125" customWidth="1"/>
    <col min="4224" max="4225" width="3.7109375" style="125" customWidth="1"/>
    <col min="4226" max="4226" width="9.7109375" style="125" customWidth="1"/>
    <col min="4227" max="4228" width="3.7109375" style="125" customWidth="1"/>
    <col min="4229" max="4229" width="9.7109375" style="125" customWidth="1"/>
    <col min="4230" max="4231" width="3.7109375" style="125" customWidth="1"/>
    <col min="4232" max="4232" width="9.7109375" style="125" customWidth="1"/>
    <col min="4233" max="4234" width="3.7109375" style="125" customWidth="1"/>
    <col min="4235" max="4235" width="9.7109375" style="125" customWidth="1"/>
    <col min="4236" max="4237" width="3.7109375" style="125" customWidth="1"/>
    <col min="4238" max="4238" width="9.7109375" style="125" customWidth="1"/>
    <col min="4239" max="4240" width="3.7109375" style="125" customWidth="1"/>
    <col min="4241" max="4241" width="9.7109375" style="125" customWidth="1"/>
    <col min="4242" max="4243" width="3.7109375" style="125" customWidth="1"/>
    <col min="4244" max="4244" width="9.7109375" style="125" customWidth="1"/>
    <col min="4245" max="4246" width="3.7109375" style="125" customWidth="1"/>
    <col min="4247" max="4247" width="9.7109375" style="125" customWidth="1"/>
    <col min="4248" max="4249" width="3.7109375" style="125" customWidth="1"/>
    <col min="4250" max="4250" width="9.7109375" style="125" customWidth="1"/>
    <col min="4251" max="4252" width="3.7109375" style="125" customWidth="1"/>
    <col min="4253" max="4253" width="9.7109375" style="125" customWidth="1"/>
    <col min="4254" max="4255" width="3.7109375" style="125" customWidth="1"/>
    <col min="4256" max="4256" width="9.7109375" style="125" customWidth="1"/>
    <col min="4257" max="4258" width="3.7109375" style="125" customWidth="1"/>
    <col min="4259" max="4259" width="9.7109375" style="125" customWidth="1"/>
    <col min="4260" max="4261" width="3.7109375" style="125" customWidth="1"/>
    <col min="4262" max="4262" width="9.7109375" style="125" customWidth="1"/>
    <col min="4263" max="4264" width="3.7109375" style="125" customWidth="1"/>
    <col min="4265" max="4265" width="9.7109375" style="125" customWidth="1"/>
    <col min="4266" max="4267" width="3.7109375" style="125" customWidth="1"/>
    <col min="4268" max="4268" width="9.7109375" style="125" customWidth="1"/>
    <col min="4269" max="4270" width="3.7109375" style="125" customWidth="1"/>
    <col min="4271" max="4271" width="9.7109375" style="125" customWidth="1"/>
    <col min="4272" max="4273" width="3.7109375" style="125" customWidth="1"/>
    <col min="4274" max="4274" width="9.7109375" style="125" customWidth="1"/>
    <col min="4275" max="4276" width="3.7109375" style="125" customWidth="1"/>
    <col min="4277" max="4277" width="9.7109375" style="125" customWidth="1"/>
    <col min="4278" max="4279" width="3.7109375" style="125" customWidth="1"/>
    <col min="4280" max="4280" width="9.7109375" style="125" customWidth="1"/>
    <col min="4281" max="4282" width="3.7109375" style="125" customWidth="1"/>
    <col min="4283" max="4283" width="9.7109375" style="125" customWidth="1"/>
    <col min="4284" max="4285" width="3.7109375" style="125" customWidth="1"/>
    <col min="4286" max="4286" width="9.7109375" style="125" customWidth="1"/>
    <col min="4287" max="4288" width="3.7109375" style="125" customWidth="1"/>
    <col min="4289" max="4289" width="9.7109375" style="125" customWidth="1"/>
    <col min="4290" max="4291" width="3.7109375" style="125" customWidth="1"/>
    <col min="4292" max="4292" width="9.7109375" style="125" customWidth="1"/>
    <col min="4293" max="4294" width="3.7109375" style="125" customWidth="1"/>
    <col min="4295" max="4295" width="9.7109375" style="125" customWidth="1"/>
    <col min="4296" max="4297" width="3.7109375" style="125" customWidth="1"/>
    <col min="4298" max="4298" width="9.7109375" style="125" customWidth="1"/>
    <col min="4299" max="4300" width="3.7109375" style="125" customWidth="1"/>
    <col min="4301" max="4301" width="9.7109375" style="125" customWidth="1"/>
    <col min="4302" max="4303" width="3.7109375" style="125" customWidth="1"/>
    <col min="4304" max="4304" width="9.7109375" style="125" customWidth="1"/>
    <col min="4305" max="4306" width="3.7109375" style="125" customWidth="1"/>
    <col min="4307" max="4307" width="9.7109375" style="125" customWidth="1"/>
    <col min="4308" max="4309" width="3.7109375" style="125" customWidth="1"/>
    <col min="4310" max="4310" width="9.7109375" style="125" customWidth="1"/>
    <col min="4311" max="4312" width="3.7109375" style="125" customWidth="1"/>
    <col min="4313" max="4313" width="9.7109375" style="125" customWidth="1"/>
    <col min="4314" max="4314" width="3.7109375" style="125" customWidth="1"/>
    <col min="4315" max="4352" width="8" style="125"/>
    <col min="4353" max="4353" width="30.7109375" style="125" customWidth="1"/>
    <col min="4354" max="4354" width="9.7109375" style="125" customWidth="1"/>
    <col min="4355" max="4355" width="3.7109375" style="125" customWidth="1"/>
    <col min="4356" max="4356" width="9.7109375" style="125" customWidth="1"/>
    <col min="4357" max="4358" width="3.7109375" style="125" customWidth="1"/>
    <col min="4359" max="4359" width="9.7109375" style="125" customWidth="1"/>
    <col min="4360" max="4361" width="3.7109375" style="125" customWidth="1"/>
    <col min="4362" max="4362" width="9.7109375" style="125" customWidth="1"/>
    <col min="4363" max="4364" width="3.7109375" style="125" customWidth="1"/>
    <col min="4365" max="4365" width="9.7109375" style="125" customWidth="1"/>
    <col min="4366" max="4367" width="3.7109375" style="125" customWidth="1"/>
    <col min="4368" max="4368" width="9.7109375" style="125" customWidth="1"/>
    <col min="4369" max="4370" width="3.7109375" style="125" customWidth="1"/>
    <col min="4371" max="4371" width="9.7109375" style="125" customWidth="1"/>
    <col min="4372" max="4373" width="3.7109375" style="125" customWidth="1"/>
    <col min="4374" max="4374" width="9.7109375" style="125" customWidth="1"/>
    <col min="4375" max="4376" width="3.7109375" style="125" customWidth="1"/>
    <col min="4377" max="4377" width="9.7109375" style="125" customWidth="1"/>
    <col min="4378" max="4379" width="3.7109375" style="125" customWidth="1"/>
    <col min="4380" max="4380" width="9.7109375" style="125" customWidth="1"/>
    <col min="4381" max="4382" width="3.7109375" style="125" customWidth="1"/>
    <col min="4383" max="4383" width="9.7109375" style="125" customWidth="1"/>
    <col min="4384" max="4385" width="3.7109375" style="125" customWidth="1"/>
    <col min="4386" max="4386" width="9.7109375" style="125" customWidth="1"/>
    <col min="4387" max="4388" width="3.7109375" style="125" customWidth="1"/>
    <col min="4389" max="4389" width="9.7109375" style="125" customWidth="1"/>
    <col min="4390" max="4391" width="3.7109375" style="125" customWidth="1"/>
    <col min="4392" max="4392" width="9.7109375" style="125" customWidth="1"/>
    <col min="4393" max="4394" width="3.7109375" style="125" customWidth="1"/>
    <col min="4395" max="4395" width="9.7109375" style="125" customWidth="1"/>
    <col min="4396" max="4397" width="3.7109375" style="125" customWidth="1"/>
    <col min="4398" max="4398" width="9.7109375" style="125" customWidth="1"/>
    <col min="4399" max="4400" width="3.7109375" style="125" customWidth="1"/>
    <col min="4401" max="4401" width="9.7109375" style="125" customWidth="1"/>
    <col min="4402" max="4403" width="3.7109375" style="125" customWidth="1"/>
    <col min="4404" max="4404" width="9.7109375" style="125" customWidth="1"/>
    <col min="4405" max="4406" width="3.7109375" style="125" customWidth="1"/>
    <col min="4407" max="4407" width="9.7109375" style="125" customWidth="1"/>
    <col min="4408" max="4409" width="3.7109375" style="125" customWidth="1"/>
    <col min="4410" max="4410" width="9.7109375" style="125" customWidth="1"/>
    <col min="4411" max="4412" width="3.7109375" style="125" customWidth="1"/>
    <col min="4413" max="4413" width="9.7109375" style="125" customWidth="1"/>
    <col min="4414" max="4415" width="3.7109375" style="125" customWidth="1"/>
    <col min="4416" max="4416" width="9.7109375" style="125" customWidth="1"/>
    <col min="4417" max="4418" width="3.7109375" style="125" customWidth="1"/>
    <col min="4419" max="4419" width="9.7109375" style="125" customWidth="1"/>
    <col min="4420" max="4421" width="3.7109375" style="125" customWidth="1"/>
    <col min="4422" max="4422" width="9.7109375" style="125" customWidth="1"/>
    <col min="4423" max="4424" width="3.7109375" style="125" customWidth="1"/>
    <col min="4425" max="4425" width="9.7109375" style="125" customWidth="1"/>
    <col min="4426" max="4427" width="3.7109375" style="125" customWidth="1"/>
    <col min="4428" max="4428" width="9.7109375" style="125" customWidth="1"/>
    <col min="4429" max="4430" width="3.7109375" style="125" customWidth="1"/>
    <col min="4431" max="4431" width="9.7109375" style="125" customWidth="1"/>
    <col min="4432" max="4433" width="3.7109375" style="125" customWidth="1"/>
    <col min="4434" max="4434" width="9.7109375" style="125" customWidth="1"/>
    <col min="4435" max="4436" width="3.7109375" style="125" customWidth="1"/>
    <col min="4437" max="4437" width="9.7109375" style="125" customWidth="1"/>
    <col min="4438" max="4439" width="3.7109375" style="125" customWidth="1"/>
    <col min="4440" max="4440" width="9.7109375" style="125" customWidth="1"/>
    <col min="4441" max="4442" width="3.7109375" style="125" customWidth="1"/>
    <col min="4443" max="4443" width="9.7109375" style="125" customWidth="1"/>
    <col min="4444" max="4445" width="3.7109375" style="125" customWidth="1"/>
    <col min="4446" max="4446" width="9.7109375" style="125" customWidth="1"/>
    <col min="4447" max="4448" width="3.7109375" style="125" customWidth="1"/>
    <col min="4449" max="4449" width="9.7109375" style="125" customWidth="1"/>
    <col min="4450" max="4451" width="3.7109375" style="125" customWidth="1"/>
    <col min="4452" max="4452" width="9.7109375" style="125" customWidth="1"/>
    <col min="4453" max="4454" width="3.7109375" style="125" customWidth="1"/>
    <col min="4455" max="4455" width="9.7109375" style="125" customWidth="1"/>
    <col min="4456" max="4457" width="3.7109375" style="125" customWidth="1"/>
    <col min="4458" max="4458" width="9.7109375" style="125" customWidth="1"/>
    <col min="4459" max="4460" width="3.7109375" style="125" customWidth="1"/>
    <col min="4461" max="4461" width="9.7109375" style="125" customWidth="1"/>
    <col min="4462" max="4463" width="3.7109375" style="125" customWidth="1"/>
    <col min="4464" max="4464" width="9.7109375" style="125" customWidth="1"/>
    <col min="4465" max="4466" width="3.7109375" style="125" customWidth="1"/>
    <col min="4467" max="4467" width="9.7109375" style="125" customWidth="1"/>
    <col min="4468" max="4469" width="3.7109375" style="125" customWidth="1"/>
    <col min="4470" max="4470" width="9.7109375" style="125" customWidth="1"/>
    <col min="4471" max="4472" width="3.7109375" style="125" customWidth="1"/>
    <col min="4473" max="4473" width="9.7109375" style="125" customWidth="1"/>
    <col min="4474" max="4475" width="3.7109375" style="125" customWidth="1"/>
    <col min="4476" max="4476" width="9.7109375" style="125" customWidth="1"/>
    <col min="4477" max="4478" width="3.7109375" style="125" customWidth="1"/>
    <col min="4479" max="4479" width="9.7109375" style="125" customWidth="1"/>
    <col min="4480" max="4481" width="3.7109375" style="125" customWidth="1"/>
    <col min="4482" max="4482" width="9.7109375" style="125" customWidth="1"/>
    <col min="4483" max="4484" width="3.7109375" style="125" customWidth="1"/>
    <col min="4485" max="4485" width="9.7109375" style="125" customWidth="1"/>
    <col min="4486" max="4487" width="3.7109375" style="125" customWidth="1"/>
    <col min="4488" max="4488" width="9.7109375" style="125" customWidth="1"/>
    <col min="4489" max="4490" width="3.7109375" style="125" customWidth="1"/>
    <col min="4491" max="4491" width="9.7109375" style="125" customWidth="1"/>
    <col min="4492" max="4493" width="3.7109375" style="125" customWidth="1"/>
    <col min="4494" max="4494" width="9.7109375" style="125" customWidth="1"/>
    <col min="4495" max="4496" width="3.7109375" style="125" customWidth="1"/>
    <col min="4497" max="4497" width="9.7109375" style="125" customWidth="1"/>
    <col min="4498" max="4499" width="3.7109375" style="125" customWidth="1"/>
    <col min="4500" max="4500" width="9.7109375" style="125" customWidth="1"/>
    <col min="4501" max="4502" width="3.7109375" style="125" customWidth="1"/>
    <col min="4503" max="4503" width="9.7109375" style="125" customWidth="1"/>
    <col min="4504" max="4505" width="3.7109375" style="125" customWidth="1"/>
    <col min="4506" max="4506" width="9.7109375" style="125" customWidth="1"/>
    <col min="4507" max="4508" width="3.7109375" style="125" customWidth="1"/>
    <col min="4509" max="4509" width="9.7109375" style="125" customWidth="1"/>
    <col min="4510" max="4511" width="3.7109375" style="125" customWidth="1"/>
    <col min="4512" max="4512" width="9.7109375" style="125" customWidth="1"/>
    <col min="4513" max="4514" width="3.7109375" style="125" customWidth="1"/>
    <col min="4515" max="4515" width="9.7109375" style="125" customWidth="1"/>
    <col min="4516" max="4517" width="3.7109375" style="125" customWidth="1"/>
    <col min="4518" max="4518" width="9.7109375" style="125" customWidth="1"/>
    <col min="4519" max="4520" width="3.7109375" style="125" customWidth="1"/>
    <col min="4521" max="4521" width="9.7109375" style="125" customWidth="1"/>
    <col min="4522" max="4523" width="3.7109375" style="125" customWidth="1"/>
    <col min="4524" max="4524" width="9.7109375" style="125" customWidth="1"/>
    <col min="4525" max="4526" width="3.7109375" style="125" customWidth="1"/>
    <col min="4527" max="4527" width="9.7109375" style="125" customWidth="1"/>
    <col min="4528" max="4529" width="3.7109375" style="125" customWidth="1"/>
    <col min="4530" max="4530" width="9.7109375" style="125" customWidth="1"/>
    <col min="4531" max="4532" width="3.7109375" style="125" customWidth="1"/>
    <col min="4533" max="4533" width="9.7109375" style="125" customWidth="1"/>
    <col min="4534" max="4535" width="3.7109375" style="125" customWidth="1"/>
    <col min="4536" max="4536" width="9.7109375" style="125" customWidth="1"/>
    <col min="4537" max="4538" width="3.7109375" style="125" customWidth="1"/>
    <col min="4539" max="4539" width="9.7109375" style="125" customWidth="1"/>
    <col min="4540" max="4541" width="3.7109375" style="125" customWidth="1"/>
    <col min="4542" max="4542" width="9.7109375" style="125" customWidth="1"/>
    <col min="4543" max="4544" width="3.7109375" style="125" customWidth="1"/>
    <col min="4545" max="4545" width="9.7109375" style="125" customWidth="1"/>
    <col min="4546" max="4547" width="3.7109375" style="125" customWidth="1"/>
    <col min="4548" max="4548" width="9.7109375" style="125" customWidth="1"/>
    <col min="4549" max="4550" width="3.7109375" style="125" customWidth="1"/>
    <col min="4551" max="4551" width="9.7109375" style="125" customWidth="1"/>
    <col min="4552" max="4553" width="3.7109375" style="125" customWidth="1"/>
    <col min="4554" max="4554" width="9.7109375" style="125" customWidth="1"/>
    <col min="4555" max="4556" width="3.7109375" style="125" customWidth="1"/>
    <col min="4557" max="4557" width="9.7109375" style="125" customWidth="1"/>
    <col min="4558" max="4559" width="3.7109375" style="125" customWidth="1"/>
    <col min="4560" max="4560" width="9.7109375" style="125" customWidth="1"/>
    <col min="4561" max="4562" width="3.7109375" style="125" customWidth="1"/>
    <col min="4563" max="4563" width="9.7109375" style="125" customWidth="1"/>
    <col min="4564" max="4565" width="3.7109375" style="125" customWidth="1"/>
    <col min="4566" max="4566" width="9.7109375" style="125" customWidth="1"/>
    <col min="4567" max="4568" width="3.7109375" style="125" customWidth="1"/>
    <col min="4569" max="4569" width="9.7109375" style="125" customWidth="1"/>
    <col min="4570" max="4570" width="3.7109375" style="125" customWidth="1"/>
    <col min="4571" max="4608" width="8" style="125"/>
    <col min="4609" max="4609" width="30.7109375" style="125" customWidth="1"/>
    <col min="4610" max="4610" width="9.7109375" style="125" customWidth="1"/>
    <col min="4611" max="4611" width="3.7109375" style="125" customWidth="1"/>
    <col min="4612" max="4612" width="9.7109375" style="125" customWidth="1"/>
    <col min="4613" max="4614" width="3.7109375" style="125" customWidth="1"/>
    <col min="4615" max="4615" width="9.7109375" style="125" customWidth="1"/>
    <col min="4616" max="4617" width="3.7109375" style="125" customWidth="1"/>
    <col min="4618" max="4618" width="9.7109375" style="125" customWidth="1"/>
    <col min="4619" max="4620" width="3.7109375" style="125" customWidth="1"/>
    <col min="4621" max="4621" width="9.7109375" style="125" customWidth="1"/>
    <col min="4622" max="4623" width="3.7109375" style="125" customWidth="1"/>
    <col min="4624" max="4624" width="9.7109375" style="125" customWidth="1"/>
    <col min="4625" max="4626" width="3.7109375" style="125" customWidth="1"/>
    <col min="4627" max="4627" width="9.7109375" style="125" customWidth="1"/>
    <col min="4628" max="4629" width="3.7109375" style="125" customWidth="1"/>
    <col min="4630" max="4630" width="9.7109375" style="125" customWidth="1"/>
    <col min="4631" max="4632" width="3.7109375" style="125" customWidth="1"/>
    <col min="4633" max="4633" width="9.7109375" style="125" customWidth="1"/>
    <col min="4634" max="4635" width="3.7109375" style="125" customWidth="1"/>
    <col min="4636" max="4636" width="9.7109375" style="125" customWidth="1"/>
    <col min="4637" max="4638" width="3.7109375" style="125" customWidth="1"/>
    <col min="4639" max="4639" width="9.7109375" style="125" customWidth="1"/>
    <col min="4640" max="4641" width="3.7109375" style="125" customWidth="1"/>
    <col min="4642" max="4642" width="9.7109375" style="125" customWidth="1"/>
    <col min="4643" max="4644" width="3.7109375" style="125" customWidth="1"/>
    <col min="4645" max="4645" width="9.7109375" style="125" customWidth="1"/>
    <col min="4646" max="4647" width="3.7109375" style="125" customWidth="1"/>
    <col min="4648" max="4648" width="9.7109375" style="125" customWidth="1"/>
    <col min="4649" max="4650" width="3.7109375" style="125" customWidth="1"/>
    <col min="4651" max="4651" width="9.7109375" style="125" customWidth="1"/>
    <col min="4652" max="4653" width="3.7109375" style="125" customWidth="1"/>
    <col min="4654" max="4654" width="9.7109375" style="125" customWidth="1"/>
    <col min="4655" max="4656" width="3.7109375" style="125" customWidth="1"/>
    <col min="4657" max="4657" width="9.7109375" style="125" customWidth="1"/>
    <col min="4658" max="4659" width="3.7109375" style="125" customWidth="1"/>
    <col min="4660" max="4660" width="9.7109375" style="125" customWidth="1"/>
    <col min="4661" max="4662" width="3.7109375" style="125" customWidth="1"/>
    <col min="4663" max="4663" width="9.7109375" style="125" customWidth="1"/>
    <col min="4664" max="4665" width="3.7109375" style="125" customWidth="1"/>
    <col min="4666" max="4666" width="9.7109375" style="125" customWidth="1"/>
    <col min="4667" max="4668" width="3.7109375" style="125" customWidth="1"/>
    <col min="4669" max="4669" width="9.7109375" style="125" customWidth="1"/>
    <col min="4670" max="4671" width="3.7109375" style="125" customWidth="1"/>
    <col min="4672" max="4672" width="9.7109375" style="125" customWidth="1"/>
    <col min="4673" max="4674" width="3.7109375" style="125" customWidth="1"/>
    <col min="4675" max="4675" width="9.7109375" style="125" customWidth="1"/>
    <col min="4676" max="4677" width="3.7109375" style="125" customWidth="1"/>
    <col min="4678" max="4678" width="9.7109375" style="125" customWidth="1"/>
    <col min="4679" max="4680" width="3.7109375" style="125" customWidth="1"/>
    <col min="4681" max="4681" width="9.7109375" style="125" customWidth="1"/>
    <col min="4682" max="4683" width="3.7109375" style="125" customWidth="1"/>
    <col min="4684" max="4684" width="9.7109375" style="125" customWidth="1"/>
    <col min="4685" max="4686" width="3.7109375" style="125" customWidth="1"/>
    <col min="4687" max="4687" width="9.7109375" style="125" customWidth="1"/>
    <col min="4688" max="4689" width="3.7109375" style="125" customWidth="1"/>
    <col min="4690" max="4690" width="9.7109375" style="125" customWidth="1"/>
    <col min="4691" max="4692" width="3.7109375" style="125" customWidth="1"/>
    <col min="4693" max="4693" width="9.7109375" style="125" customWidth="1"/>
    <col min="4694" max="4695" width="3.7109375" style="125" customWidth="1"/>
    <col min="4696" max="4696" width="9.7109375" style="125" customWidth="1"/>
    <col min="4697" max="4698" width="3.7109375" style="125" customWidth="1"/>
    <col min="4699" max="4699" width="9.7109375" style="125" customWidth="1"/>
    <col min="4700" max="4701" width="3.7109375" style="125" customWidth="1"/>
    <col min="4702" max="4702" width="9.7109375" style="125" customWidth="1"/>
    <col min="4703" max="4704" width="3.7109375" style="125" customWidth="1"/>
    <col min="4705" max="4705" width="9.7109375" style="125" customWidth="1"/>
    <col min="4706" max="4707" width="3.7109375" style="125" customWidth="1"/>
    <col min="4708" max="4708" width="9.7109375" style="125" customWidth="1"/>
    <col min="4709" max="4710" width="3.7109375" style="125" customWidth="1"/>
    <col min="4711" max="4711" width="9.7109375" style="125" customWidth="1"/>
    <col min="4712" max="4713" width="3.7109375" style="125" customWidth="1"/>
    <col min="4714" max="4714" width="9.7109375" style="125" customWidth="1"/>
    <col min="4715" max="4716" width="3.7109375" style="125" customWidth="1"/>
    <col min="4717" max="4717" width="9.7109375" style="125" customWidth="1"/>
    <col min="4718" max="4719" width="3.7109375" style="125" customWidth="1"/>
    <col min="4720" max="4720" width="9.7109375" style="125" customWidth="1"/>
    <col min="4721" max="4722" width="3.7109375" style="125" customWidth="1"/>
    <col min="4723" max="4723" width="9.7109375" style="125" customWidth="1"/>
    <col min="4724" max="4725" width="3.7109375" style="125" customWidth="1"/>
    <col min="4726" max="4726" width="9.7109375" style="125" customWidth="1"/>
    <col min="4727" max="4728" width="3.7109375" style="125" customWidth="1"/>
    <col min="4729" max="4729" width="9.7109375" style="125" customWidth="1"/>
    <col min="4730" max="4731" width="3.7109375" style="125" customWidth="1"/>
    <col min="4732" max="4732" width="9.7109375" style="125" customWidth="1"/>
    <col min="4733" max="4734" width="3.7109375" style="125" customWidth="1"/>
    <col min="4735" max="4735" width="9.7109375" style="125" customWidth="1"/>
    <col min="4736" max="4737" width="3.7109375" style="125" customWidth="1"/>
    <col min="4738" max="4738" width="9.7109375" style="125" customWidth="1"/>
    <col min="4739" max="4740" width="3.7109375" style="125" customWidth="1"/>
    <col min="4741" max="4741" width="9.7109375" style="125" customWidth="1"/>
    <col min="4742" max="4743" width="3.7109375" style="125" customWidth="1"/>
    <col min="4744" max="4744" width="9.7109375" style="125" customWidth="1"/>
    <col min="4745" max="4746" width="3.7109375" style="125" customWidth="1"/>
    <col min="4747" max="4747" width="9.7109375" style="125" customWidth="1"/>
    <col min="4748" max="4749" width="3.7109375" style="125" customWidth="1"/>
    <col min="4750" max="4750" width="9.7109375" style="125" customWidth="1"/>
    <col min="4751" max="4752" width="3.7109375" style="125" customWidth="1"/>
    <col min="4753" max="4753" width="9.7109375" style="125" customWidth="1"/>
    <col min="4754" max="4755" width="3.7109375" style="125" customWidth="1"/>
    <col min="4756" max="4756" width="9.7109375" style="125" customWidth="1"/>
    <col min="4757" max="4758" width="3.7109375" style="125" customWidth="1"/>
    <col min="4759" max="4759" width="9.7109375" style="125" customWidth="1"/>
    <col min="4760" max="4761" width="3.7109375" style="125" customWidth="1"/>
    <col min="4762" max="4762" width="9.7109375" style="125" customWidth="1"/>
    <col min="4763" max="4764" width="3.7109375" style="125" customWidth="1"/>
    <col min="4765" max="4765" width="9.7109375" style="125" customWidth="1"/>
    <col min="4766" max="4767" width="3.7109375" style="125" customWidth="1"/>
    <col min="4768" max="4768" width="9.7109375" style="125" customWidth="1"/>
    <col min="4769" max="4770" width="3.7109375" style="125" customWidth="1"/>
    <col min="4771" max="4771" width="9.7109375" style="125" customWidth="1"/>
    <col min="4772" max="4773" width="3.7109375" style="125" customWidth="1"/>
    <col min="4774" max="4774" width="9.7109375" style="125" customWidth="1"/>
    <col min="4775" max="4776" width="3.7109375" style="125" customWidth="1"/>
    <col min="4777" max="4777" width="9.7109375" style="125" customWidth="1"/>
    <col min="4778" max="4779" width="3.7109375" style="125" customWidth="1"/>
    <col min="4780" max="4780" width="9.7109375" style="125" customWidth="1"/>
    <col min="4781" max="4782" width="3.7109375" style="125" customWidth="1"/>
    <col min="4783" max="4783" width="9.7109375" style="125" customWidth="1"/>
    <col min="4784" max="4785" width="3.7109375" style="125" customWidth="1"/>
    <col min="4786" max="4786" width="9.7109375" style="125" customWidth="1"/>
    <col min="4787" max="4788" width="3.7109375" style="125" customWidth="1"/>
    <col min="4789" max="4789" width="9.7109375" style="125" customWidth="1"/>
    <col min="4790" max="4791" width="3.7109375" style="125" customWidth="1"/>
    <col min="4792" max="4792" width="9.7109375" style="125" customWidth="1"/>
    <col min="4793" max="4794" width="3.7109375" style="125" customWidth="1"/>
    <col min="4795" max="4795" width="9.7109375" style="125" customWidth="1"/>
    <col min="4796" max="4797" width="3.7109375" style="125" customWidth="1"/>
    <col min="4798" max="4798" width="9.7109375" style="125" customWidth="1"/>
    <col min="4799" max="4800" width="3.7109375" style="125" customWidth="1"/>
    <col min="4801" max="4801" width="9.7109375" style="125" customWidth="1"/>
    <col min="4802" max="4803" width="3.7109375" style="125" customWidth="1"/>
    <col min="4804" max="4804" width="9.7109375" style="125" customWidth="1"/>
    <col min="4805" max="4806" width="3.7109375" style="125" customWidth="1"/>
    <col min="4807" max="4807" width="9.7109375" style="125" customWidth="1"/>
    <col min="4808" max="4809" width="3.7109375" style="125" customWidth="1"/>
    <col min="4810" max="4810" width="9.7109375" style="125" customWidth="1"/>
    <col min="4811" max="4812" width="3.7109375" style="125" customWidth="1"/>
    <col min="4813" max="4813" width="9.7109375" style="125" customWidth="1"/>
    <col min="4814" max="4815" width="3.7109375" style="125" customWidth="1"/>
    <col min="4816" max="4816" width="9.7109375" style="125" customWidth="1"/>
    <col min="4817" max="4818" width="3.7109375" style="125" customWidth="1"/>
    <col min="4819" max="4819" width="9.7109375" style="125" customWidth="1"/>
    <col min="4820" max="4821" width="3.7109375" style="125" customWidth="1"/>
    <col min="4822" max="4822" width="9.7109375" style="125" customWidth="1"/>
    <col min="4823" max="4824" width="3.7109375" style="125" customWidth="1"/>
    <col min="4825" max="4825" width="9.7109375" style="125" customWidth="1"/>
    <col min="4826" max="4826" width="3.7109375" style="125" customWidth="1"/>
    <col min="4827" max="4864" width="8" style="125"/>
    <col min="4865" max="4865" width="30.7109375" style="125" customWidth="1"/>
    <col min="4866" max="4866" width="9.7109375" style="125" customWidth="1"/>
    <col min="4867" max="4867" width="3.7109375" style="125" customWidth="1"/>
    <col min="4868" max="4868" width="9.7109375" style="125" customWidth="1"/>
    <col min="4869" max="4870" width="3.7109375" style="125" customWidth="1"/>
    <col min="4871" max="4871" width="9.7109375" style="125" customWidth="1"/>
    <col min="4872" max="4873" width="3.7109375" style="125" customWidth="1"/>
    <col min="4874" max="4874" width="9.7109375" style="125" customWidth="1"/>
    <col min="4875" max="4876" width="3.7109375" style="125" customWidth="1"/>
    <col min="4877" max="4877" width="9.7109375" style="125" customWidth="1"/>
    <col min="4878" max="4879" width="3.7109375" style="125" customWidth="1"/>
    <col min="4880" max="4880" width="9.7109375" style="125" customWidth="1"/>
    <col min="4881" max="4882" width="3.7109375" style="125" customWidth="1"/>
    <col min="4883" max="4883" width="9.7109375" style="125" customWidth="1"/>
    <col min="4884" max="4885" width="3.7109375" style="125" customWidth="1"/>
    <col min="4886" max="4886" width="9.7109375" style="125" customWidth="1"/>
    <col min="4887" max="4888" width="3.7109375" style="125" customWidth="1"/>
    <col min="4889" max="4889" width="9.7109375" style="125" customWidth="1"/>
    <col min="4890" max="4891" width="3.7109375" style="125" customWidth="1"/>
    <col min="4892" max="4892" width="9.7109375" style="125" customWidth="1"/>
    <col min="4893" max="4894" width="3.7109375" style="125" customWidth="1"/>
    <col min="4895" max="4895" width="9.7109375" style="125" customWidth="1"/>
    <col min="4896" max="4897" width="3.7109375" style="125" customWidth="1"/>
    <col min="4898" max="4898" width="9.7109375" style="125" customWidth="1"/>
    <col min="4899" max="4900" width="3.7109375" style="125" customWidth="1"/>
    <col min="4901" max="4901" width="9.7109375" style="125" customWidth="1"/>
    <col min="4902" max="4903" width="3.7109375" style="125" customWidth="1"/>
    <col min="4904" max="4904" width="9.7109375" style="125" customWidth="1"/>
    <col min="4905" max="4906" width="3.7109375" style="125" customWidth="1"/>
    <col min="4907" max="4907" width="9.7109375" style="125" customWidth="1"/>
    <col min="4908" max="4909" width="3.7109375" style="125" customWidth="1"/>
    <col min="4910" max="4910" width="9.7109375" style="125" customWidth="1"/>
    <col min="4911" max="4912" width="3.7109375" style="125" customWidth="1"/>
    <col min="4913" max="4913" width="9.7109375" style="125" customWidth="1"/>
    <col min="4914" max="4915" width="3.7109375" style="125" customWidth="1"/>
    <col min="4916" max="4916" width="9.7109375" style="125" customWidth="1"/>
    <col min="4917" max="4918" width="3.7109375" style="125" customWidth="1"/>
    <col min="4919" max="4919" width="9.7109375" style="125" customWidth="1"/>
    <col min="4920" max="4921" width="3.7109375" style="125" customWidth="1"/>
    <col min="4922" max="4922" width="9.7109375" style="125" customWidth="1"/>
    <col min="4923" max="4924" width="3.7109375" style="125" customWidth="1"/>
    <col min="4925" max="4925" width="9.7109375" style="125" customWidth="1"/>
    <col min="4926" max="4927" width="3.7109375" style="125" customWidth="1"/>
    <col min="4928" max="4928" width="9.7109375" style="125" customWidth="1"/>
    <col min="4929" max="4930" width="3.7109375" style="125" customWidth="1"/>
    <col min="4931" max="4931" width="9.7109375" style="125" customWidth="1"/>
    <col min="4932" max="4933" width="3.7109375" style="125" customWidth="1"/>
    <col min="4934" max="4934" width="9.7109375" style="125" customWidth="1"/>
    <col min="4935" max="4936" width="3.7109375" style="125" customWidth="1"/>
    <col min="4937" max="4937" width="9.7109375" style="125" customWidth="1"/>
    <col min="4938" max="4939" width="3.7109375" style="125" customWidth="1"/>
    <col min="4940" max="4940" width="9.7109375" style="125" customWidth="1"/>
    <col min="4941" max="4942" width="3.7109375" style="125" customWidth="1"/>
    <col min="4943" max="4943" width="9.7109375" style="125" customWidth="1"/>
    <col min="4944" max="4945" width="3.7109375" style="125" customWidth="1"/>
    <col min="4946" max="4946" width="9.7109375" style="125" customWidth="1"/>
    <col min="4947" max="4948" width="3.7109375" style="125" customWidth="1"/>
    <col min="4949" max="4949" width="9.7109375" style="125" customWidth="1"/>
    <col min="4950" max="4951" width="3.7109375" style="125" customWidth="1"/>
    <col min="4952" max="4952" width="9.7109375" style="125" customWidth="1"/>
    <col min="4953" max="4954" width="3.7109375" style="125" customWidth="1"/>
    <col min="4955" max="4955" width="9.7109375" style="125" customWidth="1"/>
    <col min="4956" max="4957" width="3.7109375" style="125" customWidth="1"/>
    <col min="4958" max="4958" width="9.7109375" style="125" customWidth="1"/>
    <col min="4959" max="4960" width="3.7109375" style="125" customWidth="1"/>
    <col min="4961" max="4961" width="9.7109375" style="125" customWidth="1"/>
    <col min="4962" max="4963" width="3.7109375" style="125" customWidth="1"/>
    <col min="4964" max="4964" width="9.7109375" style="125" customWidth="1"/>
    <col min="4965" max="4966" width="3.7109375" style="125" customWidth="1"/>
    <col min="4967" max="4967" width="9.7109375" style="125" customWidth="1"/>
    <col min="4968" max="4969" width="3.7109375" style="125" customWidth="1"/>
    <col min="4970" max="4970" width="9.7109375" style="125" customWidth="1"/>
    <col min="4971" max="4972" width="3.7109375" style="125" customWidth="1"/>
    <col min="4973" max="4973" width="9.7109375" style="125" customWidth="1"/>
    <col min="4974" max="4975" width="3.7109375" style="125" customWidth="1"/>
    <col min="4976" max="4976" width="9.7109375" style="125" customWidth="1"/>
    <col min="4977" max="4978" width="3.7109375" style="125" customWidth="1"/>
    <col min="4979" max="4979" width="9.7109375" style="125" customWidth="1"/>
    <col min="4980" max="4981" width="3.7109375" style="125" customWidth="1"/>
    <col min="4982" max="4982" width="9.7109375" style="125" customWidth="1"/>
    <col min="4983" max="4984" width="3.7109375" style="125" customWidth="1"/>
    <col min="4985" max="4985" width="9.7109375" style="125" customWidth="1"/>
    <col min="4986" max="4987" width="3.7109375" style="125" customWidth="1"/>
    <col min="4988" max="4988" width="9.7109375" style="125" customWidth="1"/>
    <col min="4989" max="4990" width="3.7109375" style="125" customWidth="1"/>
    <col min="4991" max="4991" width="9.7109375" style="125" customWidth="1"/>
    <col min="4992" max="4993" width="3.7109375" style="125" customWidth="1"/>
    <col min="4994" max="4994" width="9.7109375" style="125" customWidth="1"/>
    <col min="4995" max="4996" width="3.7109375" style="125" customWidth="1"/>
    <col min="4997" max="4997" width="9.7109375" style="125" customWidth="1"/>
    <col min="4998" max="4999" width="3.7109375" style="125" customWidth="1"/>
    <col min="5000" max="5000" width="9.7109375" style="125" customWidth="1"/>
    <col min="5001" max="5002" width="3.7109375" style="125" customWidth="1"/>
    <col min="5003" max="5003" width="9.7109375" style="125" customWidth="1"/>
    <col min="5004" max="5005" width="3.7109375" style="125" customWidth="1"/>
    <col min="5006" max="5006" width="9.7109375" style="125" customWidth="1"/>
    <col min="5007" max="5008" width="3.7109375" style="125" customWidth="1"/>
    <col min="5009" max="5009" width="9.7109375" style="125" customWidth="1"/>
    <col min="5010" max="5011" width="3.7109375" style="125" customWidth="1"/>
    <col min="5012" max="5012" width="9.7109375" style="125" customWidth="1"/>
    <col min="5013" max="5014" width="3.7109375" style="125" customWidth="1"/>
    <col min="5015" max="5015" width="9.7109375" style="125" customWidth="1"/>
    <col min="5016" max="5017" width="3.7109375" style="125" customWidth="1"/>
    <col min="5018" max="5018" width="9.7109375" style="125" customWidth="1"/>
    <col min="5019" max="5020" width="3.7109375" style="125" customWidth="1"/>
    <col min="5021" max="5021" width="9.7109375" style="125" customWidth="1"/>
    <col min="5022" max="5023" width="3.7109375" style="125" customWidth="1"/>
    <col min="5024" max="5024" width="9.7109375" style="125" customWidth="1"/>
    <col min="5025" max="5026" width="3.7109375" style="125" customWidth="1"/>
    <col min="5027" max="5027" width="9.7109375" style="125" customWidth="1"/>
    <col min="5028" max="5029" width="3.7109375" style="125" customWidth="1"/>
    <col min="5030" max="5030" width="9.7109375" style="125" customWidth="1"/>
    <col min="5031" max="5032" width="3.7109375" style="125" customWidth="1"/>
    <col min="5033" max="5033" width="9.7109375" style="125" customWidth="1"/>
    <col min="5034" max="5035" width="3.7109375" style="125" customWidth="1"/>
    <col min="5036" max="5036" width="9.7109375" style="125" customWidth="1"/>
    <col min="5037" max="5038" width="3.7109375" style="125" customWidth="1"/>
    <col min="5039" max="5039" width="9.7109375" style="125" customWidth="1"/>
    <col min="5040" max="5041" width="3.7109375" style="125" customWidth="1"/>
    <col min="5042" max="5042" width="9.7109375" style="125" customWidth="1"/>
    <col min="5043" max="5044" width="3.7109375" style="125" customWidth="1"/>
    <col min="5045" max="5045" width="9.7109375" style="125" customWidth="1"/>
    <col min="5046" max="5047" width="3.7109375" style="125" customWidth="1"/>
    <col min="5048" max="5048" width="9.7109375" style="125" customWidth="1"/>
    <col min="5049" max="5050" width="3.7109375" style="125" customWidth="1"/>
    <col min="5051" max="5051" width="9.7109375" style="125" customWidth="1"/>
    <col min="5052" max="5053" width="3.7109375" style="125" customWidth="1"/>
    <col min="5054" max="5054" width="9.7109375" style="125" customWidth="1"/>
    <col min="5055" max="5056" width="3.7109375" style="125" customWidth="1"/>
    <col min="5057" max="5057" width="9.7109375" style="125" customWidth="1"/>
    <col min="5058" max="5059" width="3.7109375" style="125" customWidth="1"/>
    <col min="5060" max="5060" width="9.7109375" style="125" customWidth="1"/>
    <col min="5061" max="5062" width="3.7109375" style="125" customWidth="1"/>
    <col min="5063" max="5063" width="9.7109375" style="125" customWidth="1"/>
    <col min="5064" max="5065" width="3.7109375" style="125" customWidth="1"/>
    <col min="5066" max="5066" width="9.7109375" style="125" customWidth="1"/>
    <col min="5067" max="5068" width="3.7109375" style="125" customWidth="1"/>
    <col min="5069" max="5069" width="9.7109375" style="125" customWidth="1"/>
    <col min="5070" max="5071" width="3.7109375" style="125" customWidth="1"/>
    <col min="5072" max="5072" width="9.7109375" style="125" customWidth="1"/>
    <col min="5073" max="5074" width="3.7109375" style="125" customWidth="1"/>
    <col min="5075" max="5075" width="9.7109375" style="125" customWidth="1"/>
    <col min="5076" max="5077" width="3.7109375" style="125" customWidth="1"/>
    <col min="5078" max="5078" width="9.7109375" style="125" customWidth="1"/>
    <col min="5079" max="5080" width="3.7109375" style="125" customWidth="1"/>
    <col min="5081" max="5081" width="9.7109375" style="125" customWidth="1"/>
    <col min="5082" max="5082" width="3.7109375" style="125" customWidth="1"/>
    <col min="5083" max="5120" width="8" style="125"/>
    <col min="5121" max="5121" width="30.7109375" style="125" customWidth="1"/>
    <col min="5122" max="5122" width="9.7109375" style="125" customWidth="1"/>
    <col min="5123" max="5123" width="3.7109375" style="125" customWidth="1"/>
    <col min="5124" max="5124" width="9.7109375" style="125" customWidth="1"/>
    <col min="5125" max="5126" width="3.7109375" style="125" customWidth="1"/>
    <col min="5127" max="5127" width="9.7109375" style="125" customWidth="1"/>
    <col min="5128" max="5129" width="3.7109375" style="125" customWidth="1"/>
    <col min="5130" max="5130" width="9.7109375" style="125" customWidth="1"/>
    <col min="5131" max="5132" width="3.7109375" style="125" customWidth="1"/>
    <col min="5133" max="5133" width="9.7109375" style="125" customWidth="1"/>
    <col min="5134" max="5135" width="3.7109375" style="125" customWidth="1"/>
    <col min="5136" max="5136" width="9.7109375" style="125" customWidth="1"/>
    <col min="5137" max="5138" width="3.7109375" style="125" customWidth="1"/>
    <col min="5139" max="5139" width="9.7109375" style="125" customWidth="1"/>
    <col min="5140" max="5141" width="3.7109375" style="125" customWidth="1"/>
    <col min="5142" max="5142" width="9.7109375" style="125" customWidth="1"/>
    <col min="5143" max="5144" width="3.7109375" style="125" customWidth="1"/>
    <col min="5145" max="5145" width="9.7109375" style="125" customWidth="1"/>
    <col min="5146" max="5147" width="3.7109375" style="125" customWidth="1"/>
    <col min="5148" max="5148" width="9.7109375" style="125" customWidth="1"/>
    <col min="5149" max="5150" width="3.7109375" style="125" customWidth="1"/>
    <col min="5151" max="5151" width="9.7109375" style="125" customWidth="1"/>
    <col min="5152" max="5153" width="3.7109375" style="125" customWidth="1"/>
    <col min="5154" max="5154" width="9.7109375" style="125" customWidth="1"/>
    <col min="5155" max="5156" width="3.7109375" style="125" customWidth="1"/>
    <col min="5157" max="5157" width="9.7109375" style="125" customWidth="1"/>
    <col min="5158" max="5159" width="3.7109375" style="125" customWidth="1"/>
    <col min="5160" max="5160" width="9.7109375" style="125" customWidth="1"/>
    <col min="5161" max="5162" width="3.7109375" style="125" customWidth="1"/>
    <col min="5163" max="5163" width="9.7109375" style="125" customWidth="1"/>
    <col min="5164" max="5165" width="3.7109375" style="125" customWidth="1"/>
    <col min="5166" max="5166" width="9.7109375" style="125" customWidth="1"/>
    <col min="5167" max="5168" width="3.7109375" style="125" customWidth="1"/>
    <col min="5169" max="5169" width="9.7109375" style="125" customWidth="1"/>
    <col min="5170" max="5171" width="3.7109375" style="125" customWidth="1"/>
    <col min="5172" max="5172" width="9.7109375" style="125" customWidth="1"/>
    <col min="5173" max="5174" width="3.7109375" style="125" customWidth="1"/>
    <col min="5175" max="5175" width="9.7109375" style="125" customWidth="1"/>
    <col min="5176" max="5177" width="3.7109375" style="125" customWidth="1"/>
    <col min="5178" max="5178" width="9.7109375" style="125" customWidth="1"/>
    <col min="5179" max="5180" width="3.7109375" style="125" customWidth="1"/>
    <col min="5181" max="5181" width="9.7109375" style="125" customWidth="1"/>
    <col min="5182" max="5183" width="3.7109375" style="125" customWidth="1"/>
    <col min="5184" max="5184" width="9.7109375" style="125" customWidth="1"/>
    <col min="5185" max="5186" width="3.7109375" style="125" customWidth="1"/>
    <col min="5187" max="5187" width="9.7109375" style="125" customWidth="1"/>
    <col min="5188" max="5189" width="3.7109375" style="125" customWidth="1"/>
    <col min="5190" max="5190" width="9.7109375" style="125" customWidth="1"/>
    <col min="5191" max="5192" width="3.7109375" style="125" customWidth="1"/>
    <col min="5193" max="5193" width="9.7109375" style="125" customWidth="1"/>
    <col min="5194" max="5195" width="3.7109375" style="125" customWidth="1"/>
    <col min="5196" max="5196" width="9.7109375" style="125" customWidth="1"/>
    <col min="5197" max="5198" width="3.7109375" style="125" customWidth="1"/>
    <col min="5199" max="5199" width="9.7109375" style="125" customWidth="1"/>
    <col min="5200" max="5201" width="3.7109375" style="125" customWidth="1"/>
    <col min="5202" max="5202" width="9.7109375" style="125" customWidth="1"/>
    <col min="5203" max="5204" width="3.7109375" style="125" customWidth="1"/>
    <col min="5205" max="5205" width="9.7109375" style="125" customWidth="1"/>
    <col min="5206" max="5207" width="3.7109375" style="125" customWidth="1"/>
    <col min="5208" max="5208" width="9.7109375" style="125" customWidth="1"/>
    <col min="5209" max="5210" width="3.7109375" style="125" customWidth="1"/>
    <col min="5211" max="5211" width="9.7109375" style="125" customWidth="1"/>
    <col min="5212" max="5213" width="3.7109375" style="125" customWidth="1"/>
    <col min="5214" max="5214" width="9.7109375" style="125" customWidth="1"/>
    <col min="5215" max="5216" width="3.7109375" style="125" customWidth="1"/>
    <col min="5217" max="5217" width="9.7109375" style="125" customWidth="1"/>
    <col min="5218" max="5219" width="3.7109375" style="125" customWidth="1"/>
    <col min="5220" max="5220" width="9.7109375" style="125" customWidth="1"/>
    <col min="5221" max="5222" width="3.7109375" style="125" customWidth="1"/>
    <col min="5223" max="5223" width="9.7109375" style="125" customWidth="1"/>
    <col min="5224" max="5225" width="3.7109375" style="125" customWidth="1"/>
    <col min="5226" max="5226" width="9.7109375" style="125" customWidth="1"/>
    <col min="5227" max="5228" width="3.7109375" style="125" customWidth="1"/>
    <col min="5229" max="5229" width="9.7109375" style="125" customWidth="1"/>
    <col min="5230" max="5231" width="3.7109375" style="125" customWidth="1"/>
    <col min="5232" max="5232" width="9.7109375" style="125" customWidth="1"/>
    <col min="5233" max="5234" width="3.7109375" style="125" customWidth="1"/>
    <col min="5235" max="5235" width="9.7109375" style="125" customWidth="1"/>
    <col min="5236" max="5237" width="3.7109375" style="125" customWidth="1"/>
    <col min="5238" max="5238" width="9.7109375" style="125" customWidth="1"/>
    <col min="5239" max="5240" width="3.7109375" style="125" customWidth="1"/>
    <col min="5241" max="5241" width="9.7109375" style="125" customWidth="1"/>
    <col min="5242" max="5243" width="3.7109375" style="125" customWidth="1"/>
    <col min="5244" max="5244" width="9.7109375" style="125" customWidth="1"/>
    <col min="5245" max="5246" width="3.7109375" style="125" customWidth="1"/>
    <col min="5247" max="5247" width="9.7109375" style="125" customWidth="1"/>
    <col min="5248" max="5249" width="3.7109375" style="125" customWidth="1"/>
    <col min="5250" max="5250" width="9.7109375" style="125" customWidth="1"/>
    <col min="5251" max="5252" width="3.7109375" style="125" customWidth="1"/>
    <col min="5253" max="5253" width="9.7109375" style="125" customWidth="1"/>
    <col min="5254" max="5255" width="3.7109375" style="125" customWidth="1"/>
    <col min="5256" max="5256" width="9.7109375" style="125" customWidth="1"/>
    <col min="5257" max="5258" width="3.7109375" style="125" customWidth="1"/>
    <col min="5259" max="5259" width="9.7109375" style="125" customWidth="1"/>
    <col min="5260" max="5261" width="3.7109375" style="125" customWidth="1"/>
    <col min="5262" max="5262" width="9.7109375" style="125" customWidth="1"/>
    <col min="5263" max="5264" width="3.7109375" style="125" customWidth="1"/>
    <col min="5265" max="5265" width="9.7109375" style="125" customWidth="1"/>
    <col min="5266" max="5267" width="3.7109375" style="125" customWidth="1"/>
    <col min="5268" max="5268" width="9.7109375" style="125" customWidth="1"/>
    <col min="5269" max="5270" width="3.7109375" style="125" customWidth="1"/>
    <col min="5271" max="5271" width="9.7109375" style="125" customWidth="1"/>
    <col min="5272" max="5273" width="3.7109375" style="125" customWidth="1"/>
    <col min="5274" max="5274" width="9.7109375" style="125" customWidth="1"/>
    <col min="5275" max="5276" width="3.7109375" style="125" customWidth="1"/>
    <col min="5277" max="5277" width="9.7109375" style="125" customWidth="1"/>
    <col min="5278" max="5279" width="3.7109375" style="125" customWidth="1"/>
    <col min="5280" max="5280" width="9.7109375" style="125" customWidth="1"/>
    <col min="5281" max="5282" width="3.7109375" style="125" customWidth="1"/>
    <col min="5283" max="5283" width="9.7109375" style="125" customWidth="1"/>
    <col min="5284" max="5285" width="3.7109375" style="125" customWidth="1"/>
    <col min="5286" max="5286" width="9.7109375" style="125" customWidth="1"/>
    <col min="5287" max="5288" width="3.7109375" style="125" customWidth="1"/>
    <col min="5289" max="5289" width="9.7109375" style="125" customWidth="1"/>
    <col min="5290" max="5291" width="3.7109375" style="125" customWidth="1"/>
    <col min="5292" max="5292" width="9.7109375" style="125" customWidth="1"/>
    <col min="5293" max="5294" width="3.7109375" style="125" customWidth="1"/>
    <col min="5295" max="5295" width="9.7109375" style="125" customWidth="1"/>
    <col min="5296" max="5297" width="3.7109375" style="125" customWidth="1"/>
    <col min="5298" max="5298" width="9.7109375" style="125" customWidth="1"/>
    <col min="5299" max="5300" width="3.7109375" style="125" customWidth="1"/>
    <col min="5301" max="5301" width="9.7109375" style="125" customWidth="1"/>
    <col min="5302" max="5303" width="3.7109375" style="125" customWidth="1"/>
    <col min="5304" max="5304" width="9.7109375" style="125" customWidth="1"/>
    <col min="5305" max="5306" width="3.7109375" style="125" customWidth="1"/>
    <col min="5307" max="5307" width="9.7109375" style="125" customWidth="1"/>
    <col min="5308" max="5309" width="3.7109375" style="125" customWidth="1"/>
    <col min="5310" max="5310" width="9.7109375" style="125" customWidth="1"/>
    <col min="5311" max="5312" width="3.7109375" style="125" customWidth="1"/>
    <col min="5313" max="5313" width="9.7109375" style="125" customWidth="1"/>
    <col min="5314" max="5315" width="3.7109375" style="125" customWidth="1"/>
    <col min="5316" max="5316" width="9.7109375" style="125" customWidth="1"/>
    <col min="5317" max="5318" width="3.7109375" style="125" customWidth="1"/>
    <col min="5319" max="5319" width="9.7109375" style="125" customWidth="1"/>
    <col min="5320" max="5321" width="3.7109375" style="125" customWidth="1"/>
    <col min="5322" max="5322" width="9.7109375" style="125" customWidth="1"/>
    <col min="5323" max="5324" width="3.7109375" style="125" customWidth="1"/>
    <col min="5325" max="5325" width="9.7109375" style="125" customWidth="1"/>
    <col min="5326" max="5327" width="3.7109375" style="125" customWidth="1"/>
    <col min="5328" max="5328" width="9.7109375" style="125" customWidth="1"/>
    <col min="5329" max="5330" width="3.7109375" style="125" customWidth="1"/>
    <col min="5331" max="5331" width="9.7109375" style="125" customWidth="1"/>
    <col min="5332" max="5333" width="3.7109375" style="125" customWidth="1"/>
    <col min="5334" max="5334" width="9.7109375" style="125" customWidth="1"/>
    <col min="5335" max="5336" width="3.7109375" style="125" customWidth="1"/>
    <col min="5337" max="5337" width="9.7109375" style="125" customWidth="1"/>
    <col min="5338" max="5338" width="3.7109375" style="125" customWidth="1"/>
    <col min="5339" max="5376" width="8" style="125"/>
    <col min="5377" max="5377" width="30.7109375" style="125" customWidth="1"/>
    <col min="5378" max="5378" width="9.7109375" style="125" customWidth="1"/>
    <col min="5379" max="5379" width="3.7109375" style="125" customWidth="1"/>
    <col min="5380" max="5380" width="9.7109375" style="125" customWidth="1"/>
    <col min="5381" max="5382" width="3.7109375" style="125" customWidth="1"/>
    <col min="5383" max="5383" width="9.7109375" style="125" customWidth="1"/>
    <col min="5384" max="5385" width="3.7109375" style="125" customWidth="1"/>
    <col min="5386" max="5386" width="9.7109375" style="125" customWidth="1"/>
    <col min="5387" max="5388" width="3.7109375" style="125" customWidth="1"/>
    <col min="5389" max="5389" width="9.7109375" style="125" customWidth="1"/>
    <col min="5390" max="5391" width="3.7109375" style="125" customWidth="1"/>
    <col min="5392" max="5392" width="9.7109375" style="125" customWidth="1"/>
    <col min="5393" max="5394" width="3.7109375" style="125" customWidth="1"/>
    <col min="5395" max="5395" width="9.7109375" style="125" customWidth="1"/>
    <col min="5396" max="5397" width="3.7109375" style="125" customWidth="1"/>
    <col min="5398" max="5398" width="9.7109375" style="125" customWidth="1"/>
    <col min="5399" max="5400" width="3.7109375" style="125" customWidth="1"/>
    <col min="5401" max="5401" width="9.7109375" style="125" customWidth="1"/>
    <col min="5402" max="5403" width="3.7109375" style="125" customWidth="1"/>
    <col min="5404" max="5404" width="9.7109375" style="125" customWidth="1"/>
    <col min="5405" max="5406" width="3.7109375" style="125" customWidth="1"/>
    <col min="5407" max="5407" width="9.7109375" style="125" customWidth="1"/>
    <col min="5408" max="5409" width="3.7109375" style="125" customWidth="1"/>
    <col min="5410" max="5410" width="9.7109375" style="125" customWidth="1"/>
    <col min="5411" max="5412" width="3.7109375" style="125" customWidth="1"/>
    <col min="5413" max="5413" width="9.7109375" style="125" customWidth="1"/>
    <col min="5414" max="5415" width="3.7109375" style="125" customWidth="1"/>
    <col min="5416" max="5416" width="9.7109375" style="125" customWidth="1"/>
    <col min="5417" max="5418" width="3.7109375" style="125" customWidth="1"/>
    <col min="5419" max="5419" width="9.7109375" style="125" customWidth="1"/>
    <col min="5420" max="5421" width="3.7109375" style="125" customWidth="1"/>
    <col min="5422" max="5422" width="9.7109375" style="125" customWidth="1"/>
    <col min="5423" max="5424" width="3.7109375" style="125" customWidth="1"/>
    <col min="5425" max="5425" width="9.7109375" style="125" customWidth="1"/>
    <col min="5426" max="5427" width="3.7109375" style="125" customWidth="1"/>
    <col min="5428" max="5428" width="9.7109375" style="125" customWidth="1"/>
    <col min="5429" max="5430" width="3.7109375" style="125" customWidth="1"/>
    <col min="5431" max="5431" width="9.7109375" style="125" customWidth="1"/>
    <col min="5432" max="5433" width="3.7109375" style="125" customWidth="1"/>
    <col min="5434" max="5434" width="9.7109375" style="125" customWidth="1"/>
    <col min="5435" max="5436" width="3.7109375" style="125" customWidth="1"/>
    <col min="5437" max="5437" width="9.7109375" style="125" customWidth="1"/>
    <col min="5438" max="5439" width="3.7109375" style="125" customWidth="1"/>
    <col min="5440" max="5440" width="9.7109375" style="125" customWidth="1"/>
    <col min="5441" max="5442" width="3.7109375" style="125" customWidth="1"/>
    <col min="5443" max="5443" width="9.7109375" style="125" customWidth="1"/>
    <col min="5444" max="5445" width="3.7109375" style="125" customWidth="1"/>
    <col min="5446" max="5446" width="9.7109375" style="125" customWidth="1"/>
    <col min="5447" max="5448" width="3.7109375" style="125" customWidth="1"/>
    <col min="5449" max="5449" width="9.7109375" style="125" customWidth="1"/>
    <col min="5450" max="5451" width="3.7109375" style="125" customWidth="1"/>
    <col min="5452" max="5452" width="9.7109375" style="125" customWidth="1"/>
    <col min="5453" max="5454" width="3.7109375" style="125" customWidth="1"/>
    <col min="5455" max="5455" width="9.7109375" style="125" customWidth="1"/>
    <col min="5456" max="5457" width="3.7109375" style="125" customWidth="1"/>
    <col min="5458" max="5458" width="9.7109375" style="125" customWidth="1"/>
    <col min="5459" max="5460" width="3.7109375" style="125" customWidth="1"/>
    <col min="5461" max="5461" width="9.7109375" style="125" customWidth="1"/>
    <col min="5462" max="5463" width="3.7109375" style="125" customWidth="1"/>
    <col min="5464" max="5464" width="9.7109375" style="125" customWidth="1"/>
    <col min="5465" max="5466" width="3.7109375" style="125" customWidth="1"/>
    <col min="5467" max="5467" width="9.7109375" style="125" customWidth="1"/>
    <col min="5468" max="5469" width="3.7109375" style="125" customWidth="1"/>
    <col min="5470" max="5470" width="9.7109375" style="125" customWidth="1"/>
    <col min="5471" max="5472" width="3.7109375" style="125" customWidth="1"/>
    <col min="5473" max="5473" width="9.7109375" style="125" customWidth="1"/>
    <col min="5474" max="5475" width="3.7109375" style="125" customWidth="1"/>
    <col min="5476" max="5476" width="9.7109375" style="125" customWidth="1"/>
    <col min="5477" max="5478" width="3.7109375" style="125" customWidth="1"/>
    <col min="5479" max="5479" width="9.7109375" style="125" customWidth="1"/>
    <col min="5480" max="5481" width="3.7109375" style="125" customWidth="1"/>
    <col min="5482" max="5482" width="9.7109375" style="125" customWidth="1"/>
    <col min="5483" max="5484" width="3.7109375" style="125" customWidth="1"/>
    <col min="5485" max="5485" width="9.7109375" style="125" customWidth="1"/>
    <col min="5486" max="5487" width="3.7109375" style="125" customWidth="1"/>
    <col min="5488" max="5488" width="9.7109375" style="125" customWidth="1"/>
    <col min="5489" max="5490" width="3.7109375" style="125" customWidth="1"/>
    <col min="5491" max="5491" width="9.7109375" style="125" customWidth="1"/>
    <col min="5492" max="5493" width="3.7109375" style="125" customWidth="1"/>
    <col min="5494" max="5494" width="9.7109375" style="125" customWidth="1"/>
    <col min="5495" max="5496" width="3.7109375" style="125" customWidth="1"/>
    <col min="5497" max="5497" width="9.7109375" style="125" customWidth="1"/>
    <col min="5498" max="5499" width="3.7109375" style="125" customWidth="1"/>
    <col min="5500" max="5500" width="9.7109375" style="125" customWidth="1"/>
    <col min="5501" max="5502" width="3.7109375" style="125" customWidth="1"/>
    <col min="5503" max="5503" width="9.7109375" style="125" customWidth="1"/>
    <col min="5504" max="5505" width="3.7109375" style="125" customWidth="1"/>
    <col min="5506" max="5506" width="9.7109375" style="125" customWidth="1"/>
    <col min="5507" max="5508" width="3.7109375" style="125" customWidth="1"/>
    <col min="5509" max="5509" width="9.7109375" style="125" customWidth="1"/>
    <col min="5510" max="5511" width="3.7109375" style="125" customWidth="1"/>
    <col min="5512" max="5512" width="9.7109375" style="125" customWidth="1"/>
    <col min="5513" max="5514" width="3.7109375" style="125" customWidth="1"/>
    <col min="5515" max="5515" width="9.7109375" style="125" customWidth="1"/>
    <col min="5516" max="5517" width="3.7109375" style="125" customWidth="1"/>
    <col min="5518" max="5518" width="9.7109375" style="125" customWidth="1"/>
    <col min="5519" max="5520" width="3.7109375" style="125" customWidth="1"/>
    <col min="5521" max="5521" width="9.7109375" style="125" customWidth="1"/>
    <col min="5522" max="5523" width="3.7109375" style="125" customWidth="1"/>
    <col min="5524" max="5524" width="9.7109375" style="125" customWidth="1"/>
    <col min="5525" max="5526" width="3.7109375" style="125" customWidth="1"/>
    <col min="5527" max="5527" width="9.7109375" style="125" customWidth="1"/>
    <col min="5528" max="5529" width="3.7109375" style="125" customWidth="1"/>
    <col min="5530" max="5530" width="9.7109375" style="125" customWidth="1"/>
    <col min="5531" max="5532" width="3.7109375" style="125" customWidth="1"/>
    <col min="5533" max="5533" width="9.7109375" style="125" customWidth="1"/>
    <col min="5534" max="5535" width="3.7109375" style="125" customWidth="1"/>
    <col min="5536" max="5536" width="9.7109375" style="125" customWidth="1"/>
    <col min="5537" max="5538" width="3.7109375" style="125" customWidth="1"/>
    <col min="5539" max="5539" width="9.7109375" style="125" customWidth="1"/>
    <col min="5540" max="5541" width="3.7109375" style="125" customWidth="1"/>
    <col min="5542" max="5542" width="9.7109375" style="125" customWidth="1"/>
    <col min="5543" max="5544" width="3.7109375" style="125" customWidth="1"/>
    <col min="5545" max="5545" width="9.7109375" style="125" customWidth="1"/>
    <col min="5546" max="5547" width="3.7109375" style="125" customWidth="1"/>
    <col min="5548" max="5548" width="9.7109375" style="125" customWidth="1"/>
    <col min="5549" max="5550" width="3.7109375" style="125" customWidth="1"/>
    <col min="5551" max="5551" width="9.7109375" style="125" customWidth="1"/>
    <col min="5552" max="5553" width="3.7109375" style="125" customWidth="1"/>
    <col min="5554" max="5554" width="9.7109375" style="125" customWidth="1"/>
    <col min="5555" max="5556" width="3.7109375" style="125" customWidth="1"/>
    <col min="5557" max="5557" width="9.7109375" style="125" customWidth="1"/>
    <col min="5558" max="5559" width="3.7109375" style="125" customWidth="1"/>
    <col min="5560" max="5560" width="9.7109375" style="125" customWidth="1"/>
    <col min="5561" max="5562" width="3.7109375" style="125" customWidth="1"/>
    <col min="5563" max="5563" width="9.7109375" style="125" customWidth="1"/>
    <col min="5564" max="5565" width="3.7109375" style="125" customWidth="1"/>
    <col min="5566" max="5566" width="9.7109375" style="125" customWidth="1"/>
    <col min="5567" max="5568" width="3.7109375" style="125" customWidth="1"/>
    <col min="5569" max="5569" width="9.7109375" style="125" customWidth="1"/>
    <col min="5570" max="5571" width="3.7109375" style="125" customWidth="1"/>
    <col min="5572" max="5572" width="9.7109375" style="125" customWidth="1"/>
    <col min="5573" max="5574" width="3.7109375" style="125" customWidth="1"/>
    <col min="5575" max="5575" width="9.7109375" style="125" customWidth="1"/>
    <col min="5576" max="5577" width="3.7109375" style="125" customWidth="1"/>
    <col min="5578" max="5578" width="9.7109375" style="125" customWidth="1"/>
    <col min="5579" max="5580" width="3.7109375" style="125" customWidth="1"/>
    <col min="5581" max="5581" width="9.7109375" style="125" customWidth="1"/>
    <col min="5582" max="5583" width="3.7109375" style="125" customWidth="1"/>
    <col min="5584" max="5584" width="9.7109375" style="125" customWidth="1"/>
    <col min="5585" max="5586" width="3.7109375" style="125" customWidth="1"/>
    <col min="5587" max="5587" width="9.7109375" style="125" customWidth="1"/>
    <col min="5588" max="5589" width="3.7109375" style="125" customWidth="1"/>
    <col min="5590" max="5590" width="9.7109375" style="125" customWidth="1"/>
    <col min="5591" max="5592" width="3.7109375" style="125" customWidth="1"/>
    <col min="5593" max="5593" width="9.7109375" style="125" customWidth="1"/>
    <col min="5594" max="5594" width="3.7109375" style="125" customWidth="1"/>
    <col min="5595" max="5632" width="8" style="125"/>
    <col min="5633" max="5633" width="30.7109375" style="125" customWidth="1"/>
    <col min="5634" max="5634" width="9.7109375" style="125" customWidth="1"/>
    <col min="5635" max="5635" width="3.7109375" style="125" customWidth="1"/>
    <col min="5636" max="5636" width="9.7109375" style="125" customWidth="1"/>
    <col min="5637" max="5638" width="3.7109375" style="125" customWidth="1"/>
    <col min="5639" max="5639" width="9.7109375" style="125" customWidth="1"/>
    <col min="5640" max="5641" width="3.7109375" style="125" customWidth="1"/>
    <col min="5642" max="5642" width="9.7109375" style="125" customWidth="1"/>
    <col min="5643" max="5644" width="3.7109375" style="125" customWidth="1"/>
    <col min="5645" max="5645" width="9.7109375" style="125" customWidth="1"/>
    <col min="5646" max="5647" width="3.7109375" style="125" customWidth="1"/>
    <col min="5648" max="5648" width="9.7109375" style="125" customWidth="1"/>
    <col min="5649" max="5650" width="3.7109375" style="125" customWidth="1"/>
    <col min="5651" max="5651" width="9.7109375" style="125" customWidth="1"/>
    <col min="5652" max="5653" width="3.7109375" style="125" customWidth="1"/>
    <col min="5654" max="5654" width="9.7109375" style="125" customWidth="1"/>
    <col min="5655" max="5656" width="3.7109375" style="125" customWidth="1"/>
    <col min="5657" max="5657" width="9.7109375" style="125" customWidth="1"/>
    <col min="5658" max="5659" width="3.7109375" style="125" customWidth="1"/>
    <col min="5660" max="5660" width="9.7109375" style="125" customWidth="1"/>
    <col min="5661" max="5662" width="3.7109375" style="125" customWidth="1"/>
    <col min="5663" max="5663" width="9.7109375" style="125" customWidth="1"/>
    <col min="5664" max="5665" width="3.7109375" style="125" customWidth="1"/>
    <col min="5666" max="5666" width="9.7109375" style="125" customWidth="1"/>
    <col min="5667" max="5668" width="3.7109375" style="125" customWidth="1"/>
    <col min="5669" max="5669" width="9.7109375" style="125" customWidth="1"/>
    <col min="5670" max="5671" width="3.7109375" style="125" customWidth="1"/>
    <col min="5672" max="5672" width="9.7109375" style="125" customWidth="1"/>
    <col min="5673" max="5674" width="3.7109375" style="125" customWidth="1"/>
    <col min="5675" max="5675" width="9.7109375" style="125" customWidth="1"/>
    <col min="5676" max="5677" width="3.7109375" style="125" customWidth="1"/>
    <col min="5678" max="5678" width="9.7109375" style="125" customWidth="1"/>
    <col min="5679" max="5680" width="3.7109375" style="125" customWidth="1"/>
    <col min="5681" max="5681" width="9.7109375" style="125" customWidth="1"/>
    <col min="5682" max="5683" width="3.7109375" style="125" customWidth="1"/>
    <col min="5684" max="5684" width="9.7109375" style="125" customWidth="1"/>
    <col min="5685" max="5686" width="3.7109375" style="125" customWidth="1"/>
    <col min="5687" max="5687" width="9.7109375" style="125" customWidth="1"/>
    <col min="5688" max="5689" width="3.7109375" style="125" customWidth="1"/>
    <col min="5690" max="5690" width="9.7109375" style="125" customWidth="1"/>
    <col min="5691" max="5692" width="3.7109375" style="125" customWidth="1"/>
    <col min="5693" max="5693" width="9.7109375" style="125" customWidth="1"/>
    <col min="5694" max="5695" width="3.7109375" style="125" customWidth="1"/>
    <col min="5696" max="5696" width="9.7109375" style="125" customWidth="1"/>
    <col min="5697" max="5698" width="3.7109375" style="125" customWidth="1"/>
    <col min="5699" max="5699" width="9.7109375" style="125" customWidth="1"/>
    <col min="5700" max="5701" width="3.7109375" style="125" customWidth="1"/>
    <col min="5702" max="5702" width="9.7109375" style="125" customWidth="1"/>
    <col min="5703" max="5704" width="3.7109375" style="125" customWidth="1"/>
    <col min="5705" max="5705" width="9.7109375" style="125" customWidth="1"/>
    <col min="5706" max="5707" width="3.7109375" style="125" customWidth="1"/>
    <col min="5708" max="5708" width="9.7109375" style="125" customWidth="1"/>
    <col min="5709" max="5710" width="3.7109375" style="125" customWidth="1"/>
    <col min="5711" max="5711" width="9.7109375" style="125" customWidth="1"/>
    <col min="5712" max="5713" width="3.7109375" style="125" customWidth="1"/>
    <col min="5714" max="5714" width="9.7109375" style="125" customWidth="1"/>
    <col min="5715" max="5716" width="3.7109375" style="125" customWidth="1"/>
    <col min="5717" max="5717" width="9.7109375" style="125" customWidth="1"/>
    <col min="5718" max="5719" width="3.7109375" style="125" customWidth="1"/>
    <col min="5720" max="5720" width="9.7109375" style="125" customWidth="1"/>
    <col min="5721" max="5722" width="3.7109375" style="125" customWidth="1"/>
    <col min="5723" max="5723" width="9.7109375" style="125" customWidth="1"/>
    <col min="5724" max="5725" width="3.7109375" style="125" customWidth="1"/>
    <col min="5726" max="5726" width="9.7109375" style="125" customWidth="1"/>
    <col min="5727" max="5728" width="3.7109375" style="125" customWidth="1"/>
    <col min="5729" max="5729" width="9.7109375" style="125" customWidth="1"/>
    <col min="5730" max="5731" width="3.7109375" style="125" customWidth="1"/>
    <col min="5732" max="5732" width="9.7109375" style="125" customWidth="1"/>
    <col min="5733" max="5734" width="3.7109375" style="125" customWidth="1"/>
    <col min="5735" max="5735" width="9.7109375" style="125" customWidth="1"/>
    <col min="5736" max="5737" width="3.7109375" style="125" customWidth="1"/>
    <col min="5738" max="5738" width="9.7109375" style="125" customWidth="1"/>
    <col min="5739" max="5740" width="3.7109375" style="125" customWidth="1"/>
    <col min="5741" max="5741" width="9.7109375" style="125" customWidth="1"/>
    <col min="5742" max="5743" width="3.7109375" style="125" customWidth="1"/>
    <col min="5744" max="5744" width="9.7109375" style="125" customWidth="1"/>
    <col min="5745" max="5746" width="3.7109375" style="125" customWidth="1"/>
    <col min="5747" max="5747" width="9.7109375" style="125" customWidth="1"/>
    <col min="5748" max="5749" width="3.7109375" style="125" customWidth="1"/>
    <col min="5750" max="5750" width="9.7109375" style="125" customWidth="1"/>
    <col min="5751" max="5752" width="3.7109375" style="125" customWidth="1"/>
    <col min="5753" max="5753" width="9.7109375" style="125" customWidth="1"/>
    <col min="5754" max="5755" width="3.7109375" style="125" customWidth="1"/>
    <col min="5756" max="5756" width="9.7109375" style="125" customWidth="1"/>
    <col min="5757" max="5758" width="3.7109375" style="125" customWidth="1"/>
    <col min="5759" max="5759" width="9.7109375" style="125" customWidth="1"/>
    <col min="5760" max="5761" width="3.7109375" style="125" customWidth="1"/>
    <col min="5762" max="5762" width="9.7109375" style="125" customWidth="1"/>
    <col min="5763" max="5764" width="3.7109375" style="125" customWidth="1"/>
    <col min="5765" max="5765" width="9.7109375" style="125" customWidth="1"/>
    <col min="5766" max="5767" width="3.7109375" style="125" customWidth="1"/>
    <col min="5768" max="5768" width="9.7109375" style="125" customWidth="1"/>
    <col min="5769" max="5770" width="3.7109375" style="125" customWidth="1"/>
    <col min="5771" max="5771" width="9.7109375" style="125" customWidth="1"/>
    <col min="5772" max="5773" width="3.7109375" style="125" customWidth="1"/>
    <col min="5774" max="5774" width="9.7109375" style="125" customWidth="1"/>
    <col min="5775" max="5776" width="3.7109375" style="125" customWidth="1"/>
    <col min="5777" max="5777" width="9.7109375" style="125" customWidth="1"/>
    <col min="5778" max="5779" width="3.7109375" style="125" customWidth="1"/>
    <col min="5780" max="5780" width="9.7109375" style="125" customWidth="1"/>
    <col min="5781" max="5782" width="3.7109375" style="125" customWidth="1"/>
    <col min="5783" max="5783" width="9.7109375" style="125" customWidth="1"/>
    <col min="5784" max="5785" width="3.7109375" style="125" customWidth="1"/>
    <col min="5786" max="5786" width="9.7109375" style="125" customWidth="1"/>
    <col min="5787" max="5788" width="3.7109375" style="125" customWidth="1"/>
    <col min="5789" max="5789" width="9.7109375" style="125" customWidth="1"/>
    <col min="5790" max="5791" width="3.7109375" style="125" customWidth="1"/>
    <col min="5792" max="5792" width="9.7109375" style="125" customWidth="1"/>
    <col min="5793" max="5794" width="3.7109375" style="125" customWidth="1"/>
    <col min="5795" max="5795" width="9.7109375" style="125" customWidth="1"/>
    <col min="5796" max="5797" width="3.7109375" style="125" customWidth="1"/>
    <col min="5798" max="5798" width="9.7109375" style="125" customWidth="1"/>
    <col min="5799" max="5800" width="3.7109375" style="125" customWidth="1"/>
    <col min="5801" max="5801" width="9.7109375" style="125" customWidth="1"/>
    <col min="5802" max="5803" width="3.7109375" style="125" customWidth="1"/>
    <col min="5804" max="5804" width="9.7109375" style="125" customWidth="1"/>
    <col min="5805" max="5806" width="3.7109375" style="125" customWidth="1"/>
    <col min="5807" max="5807" width="9.7109375" style="125" customWidth="1"/>
    <col min="5808" max="5809" width="3.7109375" style="125" customWidth="1"/>
    <col min="5810" max="5810" width="9.7109375" style="125" customWidth="1"/>
    <col min="5811" max="5812" width="3.7109375" style="125" customWidth="1"/>
    <col min="5813" max="5813" width="9.7109375" style="125" customWidth="1"/>
    <col min="5814" max="5815" width="3.7109375" style="125" customWidth="1"/>
    <col min="5816" max="5816" width="9.7109375" style="125" customWidth="1"/>
    <col min="5817" max="5818" width="3.7109375" style="125" customWidth="1"/>
    <col min="5819" max="5819" width="9.7109375" style="125" customWidth="1"/>
    <col min="5820" max="5821" width="3.7109375" style="125" customWidth="1"/>
    <col min="5822" max="5822" width="9.7109375" style="125" customWidth="1"/>
    <col min="5823" max="5824" width="3.7109375" style="125" customWidth="1"/>
    <col min="5825" max="5825" width="9.7109375" style="125" customWidth="1"/>
    <col min="5826" max="5827" width="3.7109375" style="125" customWidth="1"/>
    <col min="5828" max="5828" width="9.7109375" style="125" customWidth="1"/>
    <col min="5829" max="5830" width="3.7109375" style="125" customWidth="1"/>
    <col min="5831" max="5831" width="9.7109375" style="125" customWidth="1"/>
    <col min="5832" max="5833" width="3.7109375" style="125" customWidth="1"/>
    <col min="5834" max="5834" width="9.7109375" style="125" customWidth="1"/>
    <col min="5835" max="5836" width="3.7109375" style="125" customWidth="1"/>
    <col min="5837" max="5837" width="9.7109375" style="125" customWidth="1"/>
    <col min="5838" max="5839" width="3.7109375" style="125" customWidth="1"/>
    <col min="5840" max="5840" width="9.7109375" style="125" customWidth="1"/>
    <col min="5841" max="5842" width="3.7109375" style="125" customWidth="1"/>
    <col min="5843" max="5843" width="9.7109375" style="125" customWidth="1"/>
    <col min="5844" max="5845" width="3.7109375" style="125" customWidth="1"/>
    <col min="5846" max="5846" width="9.7109375" style="125" customWidth="1"/>
    <col min="5847" max="5848" width="3.7109375" style="125" customWidth="1"/>
    <col min="5849" max="5849" width="9.7109375" style="125" customWidth="1"/>
    <col min="5850" max="5850" width="3.7109375" style="125" customWidth="1"/>
    <col min="5851" max="5888" width="8" style="125"/>
    <col min="5889" max="5889" width="30.7109375" style="125" customWidth="1"/>
    <col min="5890" max="5890" width="9.7109375" style="125" customWidth="1"/>
    <col min="5891" max="5891" width="3.7109375" style="125" customWidth="1"/>
    <col min="5892" max="5892" width="9.7109375" style="125" customWidth="1"/>
    <col min="5893" max="5894" width="3.7109375" style="125" customWidth="1"/>
    <col min="5895" max="5895" width="9.7109375" style="125" customWidth="1"/>
    <col min="5896" max="5897" width="3.7109375" style="125" customWidth="1"/>
    <col min="5898" max="5898" width="9.7109375" style="125" customWidth="1"/>
    <col min="5899" max="5900" width="3.7109375" style="125" customWidth="1"/>
    <col min="5901" max="5901" width="9.7109375" style="125" customWidth="1"/>
    <col min="5902" max="5903" width="3.7109375" style="125" customWidth="1"/>
    <col min="5904" max="5904" width="9.7109375" style="125" customWidth="1"/>
    <col min="5905" max="5906" width="3.7109375" style="125" customWidth="1"/>
    <col min="5907" max="5907" width="9.7109375" style="125" customWidth="1"/>
    <col min="5908" max="5909" width="3.7109375" style="125" customWidth="1"/>
    <col min="5910" max="5910" width="9.7109375" style="125" customWidth="1"/>
    <col min="5911" max="5912" width="3.7109375" style="125" customWidth="1"/>
    <col min="5913" max="5913" width="9.7109375" style="125" customWidth="1"/>
    <col min="5914" max="5915" width="3.7109375" style="125" customWidth="1"/>
    <col min="5916" max="5916" width="9.7109375" style="125" customWidth="1"/>
    <col min="5917" max="5918" width="3.7109375" style="125" customWidth="1"/>
    <col min="5919" max="5919" width="9.7109375" style="125" customWidth="1"/>
    <col min="5920" max="5921" width="3.7109375" style="125" customWidth="1"/>
    <col min="5922" max="5922" width="9.7109375" style="125" customWidth="1"/>
    <col min="5923" max="5924" width="3.7109375" style="125" customWidth="1"/>
    <col min="5925" max="5925" width="9.7109375" style="125" customWidth="1"/>
    <col min="5926" max="5927" width="3.7109375" style="125" customWidth="1"/>
    <col min="5928" max="5928" width="9.7109375" style="125" customWidth="1"/>
    <col min="5929" max="5930" width="3.7109375" style="125" customWidth="1"/>
    <col min="5931" max="5931" width="9.7109375" style="125" customWidth="1"/>
    <col min="5932" max="5933" width="3.7109375" style="125" customWidth="1"/>
    <col min="5934" max="5934" width="9.7109375" style="125" customWidth="1"/>
    <col min="5935" max="5936" width="3.7109375" style="125" customWidth="1"/>
    <col min="5937" max="5937" width="9.7109375" style="125" customWidth="1"/>
    <col min="5938" max="5939" width="3.7109375" style="125" customWidth="1"/>
    <col min="5940" max="5940" width="9.7109375" style="125" customWidth="1"/>
    <col min="5941" max="5942" width="3.7109375" style="125" customWidth="1"/>
    <col min="5943" max="5943" width="9.7109375" style="125" customWidth="1"/>
    <col min="5944" max="5945" width="3.7109375" style="125" customWidth="1"/>
    <col min="5946" max="5946" width="9.7109375" style="125" customWidth="1"/>
    <col min="5947" max="5948" width="3.7109375" style="125" customWidth="1"/>
    <col min="5949" max="5949" width="9.7109375" style="125" customWidth="1"/>
    <col min="5950" max="5951" width="3.7109375" style="125" customWidth="1"/>
    <col min="5952" max="5952" width="9.7109375" style="125" customWidth="1"/>
    <col min="5953" max="5954" width="3.7109375" style="125" customWidth="1"/>
    <col min="5955" max="5955" width="9.7109375" style="125" customWidth="1"/>
    <col min="5956" max="5957" width="3.7109375" style="125" customWidth="1"/>
    <col min="5958" max="5958" width="9.7109375" style="125" customWidth="1"/>
    <col min="5959" max="5960" width="3.7109375" style="125" customWidth="1"/>
    <col min="5961" max="5961" width="9.7109375" style="125" customWidth="1"/>
    <col min="5962" max="5963" width="3.7109375" style="125" customWidth="1"/>
    <col min="5964" max="5964" width="9.7109375" style="125" customWidth="1"/>
    <col min="5965" max="5966" width="3.7109375" style="125" customWidth="1"/>
    <col min="5967" max="5967" width="9.7109375" style="125" customWidth="1"/>
    <col min="5968" max="5969" width="3.7109375" style="125" customWidth="1"/>
    <col min="5970" max="5970" width="9.7109375" style="125" customWidth="1"/>
    <col min="5971" max="5972" width="3.7109375" style="125" customWidth="1"/>
    <col min="5973" max="5973" width="9.7109375" style="125" customWidth="1"/>
    <col min="5974" max="5975" width="3.7109375" style="125" customWidth="1"/>
    <col min="5976" max="5976" width="9.7109375" style="125" customWidth="1"/>
    <col min="5977" max="5978" width="3.7109375" style="125" customWidth="1"/>
    <col min="5979" max="5979" width="9.7109375" style="125" customWidth="1"/>
    <col min="5980" max="5981" width="3.7109375" style="125" customWidth="1"/>
    <col min="5982" max="5982" width="9.7109375" style="125" customWidth="1"/>
    <col min="5983" max="5984" width="3.7109375" style="125" customWidth="1"/>
    <col min="5985" max="5985" width="9.7109375" style="125" customWidth="1"/>
    <col min="5986" max="5987" width="3.7109375" style="125" customWidth="1"/>
    <col min="5988" max="5988" width="9.7109375" style="125" customWidth="1"/>
    <col min="5989" max="5990" width="3.7109375" style="125" customWidth="1"/>
    <col min="5991" max="5991" width="9.7109375" style="125" customWidth="1"/>
    <col min="5992" max="5993" width="3.7109375" style="125" customWidth="1"/>
    <col min="5994" max="5994" width="9.7109375" style="125" customWidth="1"/>
    <col min="5995" max="5996" width="3.7109375" style="125" customWidth="1"/>
    <col min="5997" max="5997" width="9.7109375" style="125" customWidth="1"/>
    <col min="5998" max="5999" width="3.7109375" style="125" customWidth="1"/>
    <col min="6000" max="6000" width="9.7109375" style="125" customWidth="1"/>
    <col min="6001" max="6002" width="3.7109375" style="125" customWidth="1"/>
    <col min="6003" max="6003" width="9.7109375" style="125" customWidth="1"/>
    <col min="6004" max="6005" width="3.7109375" style="125" customWidth="1"/>
    <col min="6006" max="6006" width="9.7109375" style="125" customWidth="1"/>
    <col min="6007" max="6008" width="3.7109375" style="125" customWidth="1"/>
    <col min="6009" max="6009" width="9.7109375" style="125" customWidth="1"/>
    <col min="6010" max="6011" width="3.7109375" style="125" customWidth="1"/>
    <col min="6012" max="6012" width="9.7109375" style="125" customWidth="1"/>
    <col min="6013" max="6014" width="3.7109375" style="125" customWidth="1"/>
    <col min="6015" max="6015" width="9.7109375" style="125" customWidth="1"/>
    <col min="6016" max="6017" width="3.7109375" style="125" customWidth="1"/>
    <col min="6018" max="6018" width="9.7109375" style="125" customWidth="1"/>
    <col min="6019" max="6020" width="3.7109375" style="125" customWidth="1"/>
    <col min="6021" max="6021" width="9.7109375" style="125" customWidth="1"/>
    <col min="6022" max="6023" width="3.7109375" style="125" customWidth="1"/>
    <col min="6024" max="6024" width="9.7109375" style="125" customWidth="1"/>
    <col min="6025" max="6026" width="3.7109375" style="125" customWidth="1"/>
    <col min="6027" max="6027" width="9.7109375" style="125" customWidth="1"/>
    <col min="6028" max="6029" width="3.7109375" style="125" customWidth="1"/>
    <col min="6030" max="6030" width="9.7109375" style="125" customWidth="1"/>
    <col min="6031" max="6032" width="3.7109375" style="125" customWidth="1"/>
    <col min="6033" max="6033" width="9.7109375" style="125" customWidth="1"/>
    <col min="6034" max="6035" width="3.7109375" style="125" customWidth="1"/>
    <col min="6036" max="6036" width="9.7109375" style="125" customWidth="1"/>
    <col min="6037" max="6038" width="3.7109375" style="125" customWidth="1"/>
    <col min="6039" max="6039" width="9.7109375" style="125" customWidth="1"/>
    <col min="6040" max="6041" width="3.7109375" style="125" customWidth="1"/>
    <col min="6042" max="6042" width="9.7109375" style="125" customWidth="1"/>
    <col min="6043" max="6044" width="3.7109375" style="125" customWidth="1"/>
    <col min="6045" max="6045" width="9.7109375" style="125" customWidth="1"/>
    <col min="6046" max="6047" width="3.7109375" style="125" customWidth="1"/>
    <col min="6048" max="6048" width="9.7109375" style="125" customWidth="1"/>
    <col min="6049" max="6050" width="3.7109375" style="125" customWidth="1"/>
    <col min="6051" max="6051" width="9.7109375" style="125" customWidth="1"/>
    <col min="6052" max="6053" width="3.7109375" style="125" customWidth="1"/>
    <col min="6054" max="6054" width="9.7109375" style="125" customWidth="1"/>
    <col min="6055" max="6056" width="3.7109375" style="125" customWidth="1"/>
    <col min="6057" max="6057" width="9.7109375" style="125" customWidth="1"/>
    <col min="6058" max="6059" width="3.7109375" style="125" customWidth="1"/>
    <col min="6060" max="6060" width="9.7109375" style="125" customWidth="1"/>
    <col min="6061" max="6062" width="3.7109375" style="125" customWidth="1"/>
    <col min="6063" max="6063" width="9.7109375" style="125" customWidth="1"/>
    <col min="6064" max="6065" width="3.7109375" style="125" customWidth="1"/>
    <col min="6066" max="6066" width="9.7109375" style="125" customWidth="1"/>
    <col min="6067" max="6068" width="3.7109375" style="125" customWidth="1"/>
    <col min="6069" max="6069" width="9.7109375" style="125" customWidth="1"/>
    <col min="6070" max="6071" width="3.7109375" style="125" customWidth="1"/>
    <col min="6072" max="6072" width="9.7109375" style="125" customWidth="1"/>
    <col min="6073" max="6074" width="3.7109375" style="125" customWidth="1"/>
    <col min="6075" max="6075" width="9.7109375" style="125" customWidth="1"/>
    <col min="6076" max="6077" width="3.7109375" style="125" customWidth="1"/>
    <col min="6078" max="6078" width="9.7109375" style="125" customWidth="1"/>
    <col min="6079" max="6080" width="3.7109375" style="125" customWidth="1"/>
    <col min="6081" max="6081" width="9.7109375" style="125" customWidth="1"/>
    <col min="6082" max="6083" width="3.7109375" style="125" customWidth="1"/>
    <col min="6084" max="6084" width="9.7109375" style="125" customWidth="1"/>
    <col min="6085" max="6086" width="3.7109375" style="125" customWidth="1"/>
    <col min="6087" max="6087" width="9.7109375" style="125" customWidth="1"/>
    <col min="6088" max="6089" width="3.7109375" style="125" customWidth="1"/>
    <col min="6090" max="6090" width="9.7109375" style="125" customWidth="1"/>
    <col min="6091" max="6092" width="3.7109375" style="125" customWidth="1"/>
    <col min="6093" max="6093" width="9.7109375" style="125" customWidth="1"/>
    <col min="6094" max="6095" width="3.7109375" style="125" customWidth="1"/>
    <col min="6096" max="6096" width="9.7109375" style="125" customWidth="1"/>
    <col min="6097" max="6098" width="3.7109375" style="125" customWidth="1"/>
    <col min="6099" max="6099" width="9.7109375" style="125" customWidth="1"/>
    <col min="6100" max="6101" width="3.7109375" style="125" customWidth="1"/>
    <col min="6102" max="6102" width="9.7109375" style="125" customWidth="1"/>
    <col min="6103" max="6104" width="3.7109375" style="125" customWidth="1"/>
    <col min="6105" max="6105" width="9.7109375" style="125" customWidth="1"/>
    <col min="6106" max="6106" width="3.7109375" style="125" customWidth="1"/>
    <col min="6107" max="6144" width="8" style="125"/>
    <col min="6145" max="6145" width="30.7109375" style="125" customWidth="1"/>
    <col min="6146" max="6146" width="9.7109375" style="125" customWidth="1"/>
    <col min="6147" max="6147" width="3.7109375" style="125" customWidth="1"/>
    <col min="6148" max="6148" width="9.7109375" style="125" customWidth="1"/>
    <col min="6149" max="6150" width="3.7109375" style="125" customWidth="1"/>
    <col min="6151" max="6151" width="9.7109375" style="125" customWidth="1"/>
    <col min="6152" max="6153" width="3.7109375" style="125" customWidth="1"/>
    <col min="6154" max="6154" width="9.7109375" style="125" customWidth="1"/>
    <col min="6155" max="6156" width="3.7109375" style="125" customWidth="1"/>
    <col min="6157" max="6157" width="9.7109375" style="125" customWidth="1"/>
    <col min="6158" max="6159" width="3.7109375" style="125" customWidth="1"/>
    <col min="6160" max="6160" width="9.7109375" style="125" customWidth="1"/>
    <col min="6161" max="6162" width="3.7109375" style="125" customWidth="1"/>
    <col min="6163" max="6163" width="9.7109375" style="125" customWidth="1"/>
    <col min="6164" max="6165" width="3.7109375" style="125" customWidth="1"/>
    <col min="6166" max="6166" width="9.7109375" style="125" customWidth="1"/>
    <col min="6167" max="6168" width="3.7109375" style="125" customWidth="1"/>
    <col min="6169" max="6169" width="9.7109375" style="125" customWidth="1"/>
    <col min="6170" max="6171" width="3.7109375" style="125" customWidth="1"/>
    <col min="6172" max="6172" width="9.7109375" style="125" customWidth="1"/>
    <col min="6173" max="6174" width="3.7109375" style="125" customWidth="1"/>
    <col min="6175" max="6175" width="9.7109375" style="125" customWidth="1"/>
    <col min="6176" max="6177" width="3.7109375" style="125" customWidth="1"/>
    <col min="6178" max="6178" width="9.7109375" style="125" customWidth="1"/>
    <col min="6179" max="6180" width="3.7109375" style="125" customWidth="1"/>
    <col min="6181" max="6181" width="9.7109375" style="125" customWidth="1"/>
    <col min="6182" max="6183" width="3.7109375" style="125" customWidth="1"/>
    <col min="6184" max="6184" width="9.7109375" style="125" customWidth="1"/>
    <col min="6185" max="6186" width="3.7109375" style="125" customWidth="1"/>
    <col min="6187" max="6187" width="9.7109375" style="125" customWidth="1"/>
    <col min="6188" max="6189" width="3.7109375" style="125" customWidth="1"/>
    <col min="6190" max="6190" width="9.7109375" style="125" customWidth="1"/>
    <col min="6191" max="6192" width="3.7109375" style="125" customWidth="1"/>
    <col min="6193" max="6193" width="9.7109375" style="125" customWidth="1"/>
    <col min="6194" max="6195" width="3.7109375" style="125" customWidth="1"/>
    <col min="6196" max="6196" width="9.7109375" style="125" customWidth="1"/>
    <col min="6197" max="6198" width="3.7109375" style="125" customWidth="1"/>
    <col min="6199" max="6199" width="9.7109375" style="125" customWidth="1"/>
    <col min="6200" max="6201" width="3.7109375" style="125" customWidth="1"/>
    <col min="6202" max="6202" width="9.7109375" style="125" customWidth="1"/>
    <col min="6203" max="6204" width="3.7109375" style="125" customWidth="1"/>
    <col min="6205" max="6205" width="9.7109375" style="125" customWidth="1"/>
    <col min="6206" max="6207" width="3.7109375" style="125" customWidth="1"/>
    <col min="6208" max="6208" width="9.7109375" style="125" customWidth="1"/>
    <col min="6209" max="6210" width="3.7109375" style="125" customWidth="1"/>
    <col min="6211" max="6211" width="9.7109375" style="125" customWidth="1"/>
    <col min="6212" max="6213" width="3.7109375" style="125" customWidth="1"/>
    <col min="6214" max="6214" width="9.7109375" style="125" customWidth="1"/>
    <col min="6215" max="6216" width="3.7109375" style="125" customWidth="1"/>
    <col min="6217" max="6217" width="9.7109375" style="125" customWidth="1"/>
    <col min="6218" max="6219" width="3.7109375" style="125" customWidth="1"/>
    <col min="6220" max="6220" width="9.7109375" style="125" customWidth="1"/>
    <col min="6221" max="6222" width="3.7109375" style="125" customWidth="1"/>
    <col min="6223" max="6223" width="9.7109375" style="125" customWidth="1"/>
    <col min="6224" max="6225" width="3.7109375" style="125" customWidth="1"/>
    <col min="6226" max="6226" width="9.7109375" style="125" customWidth="1"/>
    <col min="6227" max="6228" width="3.7109375" style="125" customWidth="1"/>
    <col min="6229" max="6229" width="9.7109375" style="125" customWidth="1"/>
    <col min="6230" max="6231" width="3.7109375" style="125" customWidth="1"/>
    <col min="6232" max="6232" width="9.7109375" style="125" customWidth="1"/>
    <col min="6233" max="6234" width="3.7109375" style="125" customWidth="1"/>
    <col min="6235" max="6235" width="9.7109375" style="125" customWidth="1"/>
    <col min="6236" max="6237" width="3.7109375" style="125" customWidth="1"/>
    <col min="6238" max="6238" width="9.7109375" style="125" customWidth="1"/>
    <col min="6239" max="6240" width="3.7109375" style="125" customWidth="1"/>
    <col min="6241" max="6241" width="9.7109375" style="125" customWidth="1"/>
    <col min="6242" max="6243" width="3.7109375" style="125" customWidth="1"/>
    <col min="6244" max="6244" width="9.7109375" style="125" customWidth="1"/>
    <col min="6245" max="6246" width="3.7109375" style="125" customWidth="1"/>
    <col min="6247" max="6247" width="9.7109375" style="125" customWidth="1"/>
    <col min="6248" max="6249" width="3.7109375" style="125" customWidth="1"/>
    <col min="6250" max="6250" width="9.7109375" style="125" customWidth="1"/>
    <col min="6251" max="6252" width="3.7109375" style="125" customWidth="1"/>
    <col min="6253" max="6253" width="9.7109375" style="125" customWidth="1"/>
    <col min="6254" max="6255" width="3.7109375" style="125" customWidth="1"/>
    <col min="6256" max="6256" width="9.7109375" style="125" customWidth="1"/>
    <col min="6257" max="6258" width="3.7109375" style="125" customWidth="1"/>
    <col min="6259" max="6259" width="9.7109375" style="125" customWidth="1"/>
    <col min="6260" max="6261" width="3.7109375" style="125" customWidth="1"/>
    <col min="6262" max="6262" width="9.7109375" style="125" customWidth="1"/>
    <col min="6263" max="6264" width="3.7109375" style="125" customWidth="1"/>
    <col min="6265" max="6265" width="9.7109375" style="125" customWidth="1"/>
    <col min="6266" max="6267" width="3.7109375" style="125" customWidth="1"/>
    <col min="6268" max="6268" width="9.7109375" style="125" customWidth="1"/>
    <col min="6269" max="6270" width="3.7109375" style="125" customWidth="1"/>
    <col min="6271" max="6271" width="9.7109375" style="125" customWidth="1"/>
    <col min="6272" max="6273" width="3.7109375" style="125" customWidth="1"/>
    <col min="6274" max="6274" width="9.7109375" style="125" customWidth="1"/>
    <col min="6275" max="6276" width="3.7109375" style="125" customWidth="1"/>
    <col min="6277" max="6277" width="9.7109375" style="125" customWidth="1"/>
    <col min="6278" max="6279" width="3.7109375" style="125" customWidth="1"/>
    <col min="6280" max="6280" width="9.7109375" style="125" customWidth="1"/>
    <col min="6281" max="6282" width="3.7109375" style="125" customWidth="1"/>
    <col min="6283" max="6283" width="9.7109375" style="125" customWidth="1"/>
    <col min="6284" max="6285" width="3.7109375" style="125" customWidth="1"/>
    <col min="6286" max="6286" width="9.7109375" style="125" customWidth="1"/>
    <col min="6287" max="6288" width="3.7109375" style="125" customWidth="1"/>
    <col min="6289" max="6289" width="9.7109375" style="125" customWidth="1"/>
    <col min="6290" max="6291" width="3.7109375" style="125" customWidth="1"/>
    <col min="6292" max="6292" width="9.7109375" style="125" customWidth="1"/>
    <col min="6293" max="6294" width="3.7109375" style="125" customWidth="1"/>
    <col min="6295" max="6295" width="9.7109375" style="125" customWidth="1"/>
    <col min="6296" max="6297" width="3.7109375" style="125" customWidth="1"/>
    <col min="6298" max="6298" width="9.7109375" style="125" customWidth="1"/>
    <col min="6299" max="6300" width="3.7109375" style="125" customWidth="1"/>
    <col min="6301" max="6301" width="9.7109375" style="125" customWidth="1"/>
    <col min="6302" max="6303" width="3.7109375" style="125" customWidth="1"/>
    <col min="6304" max="6304" width="9.7109375" style="125" customWidth="1"/>
    <col min="6305" max="6306" width="3.7109375" style="125" customWidth="1"/>
    <col min="6307" max="6307" width="9.7109375" style="125" customWidth="1"/>
    <col min="6308" max="6309" width="3.7109375" style="125" customWidth="1"/>
    <col min="6310" max="6310" width="9.7109375" style="125" customWidth="1"/>
    <col min="6311" max="6312" width="3.7109375" style="125" customWidth="1"/>
    <col min="6313" max="6313" width="9.7109375" style="125" customWidth="1"/>
    <col min="6314" max="6315" width="3.7109375" style="125" customWidth="1"/>
    <col min="6316" max="6316" width="9.7109375" style="125" customWidth="1"/>
    <col min="6317" max="6318" width="3.7109375" style="125" customWidth="1"/>
    <col min="6319" max="6319" width="9.7109375" style="125" customWidth="1"/>
    <col min="6320" max="6321" width="3.7109375" style="125" customWidth="1"/>
    <col min="6322" max="6322" width="9.7109375" style="125" customWidth="1"/>
    <col min="6323" max="6324" width="3.7109375" style="125" customWidth="1"/>
    <col min="6325" max="6325" width="9.7109375" style="125" customWidth="1"/>
    <col min="6326" max="6327" width="3.7109375" style="125" customWidth="1"/>
    <col min="6328" max="6328" width="9.7109375" style="125" customWidth="1"/>
    <col min="6329" max="6330" width="3.7109375" style="125" customWidth="1"/>
    <col min="6331" max="6331" width="9.7109375" style="125" customWidth="1"/>
    <col min="6332" max="6333" width="3.7109375" style="125" customWidth="1"/>
    <col min="6334" max="6334" width="9.7109375" style="125" customWidth="1"/>
    <col min="6335" max="6336" width="3.7109375" style="125" customWidth="1"/>
    <col min="6337" max="6337" width="9.7109375" style="125" customWidth="1"/>
    <col min="6338" max="6339" width="3.7109375" style="125" customWidth="1"/>
    <col min="6340" max="6340" width="9.7109375" style="125" customWidth="1"/>
    <col min="6341" max="6342" width="3.7109375" style="125" customWidth="1"/>
    <col min="6343" max="6343" width="9.7109375" style="125" customWidth="1"/>
    <col min="6344" max="6345" width="3.7109375" style="125" customWidth="1"/>
    <col min="6346" max="6346" width="9.7109375" style="125" customWidth="1"/>
    <col min="6347" max="6348" width="3.7109375" style="125" customWidth="1"/>
    <col min="6349" max="6349" width="9.7109375" style="125" customWidth="1"/>
    <col min="6350" max="6351" width="3.7109375" style="125" customWidth="1"/>
    <col min="6352" max="6352" width="9.7109375" style="125" customWidth="1"/>
    <col min="6353" max="6354" width="3.7109375" style="125" customWidth="1"/>
    <col min="6355" max="6355" width="9.7109375" style="125" customWidth="1"/>
    <col min="6356" max="6357" width="3.7109375" style="125" customWidth="1"/>
    <col min="6358" max="6358" width="9.7109375" style="125" customWidth="1"/>
    <col min="6359" max="6360" width="3.7109375" style="125" customWidth="1"/>
    <col min="6361" max="6361" width="9.7109375" style="125" customWidth="1"/>
    <col min="6362" max="6362" width="3.7109375" style="125" customWidth="1"/>
    <col min="6363" max="6400" width="8" style="125"/>
    <col min="6401" max="6401" width="30.7109375" style="125" customWidth="1"/>
    <col min="6402" max="6402" width="9.7109375" style="125" customWidth="1"/>
    <col min="6403" max="6403" width="3.7109375" style="125" customWidth="1"/>
    <col min="6404" max="6404" width="9.7109375" style="125" customWidth="1"/>
    <col min="6405" max="6406" width="3.7109375" style="125" customWidth="1"/>
    <col min="6407" max="6407" width="9.7109375" style="125" customWidth="1"/>
    <col min="6408" max="6409" width="3.7109375" style="125" customWidth="1"/>
    <col min="6410" max="6410" width="9.7109375" style="125" customWidth="1"/>
    <col min="6411" max="6412" width="3.7109375" style="125" customWidth="1"/>
    <col min="6413" max="6413" width="9.7109375" style="125" customWidth="1"/>
    <col min="6414" max="6415" width="3.7109375" style="125" customWidth="1"/>
    <col min="6416" max="6416" width="9.7109375" style="125" customWidth="1"/>
    <col min="6417" max="6418" width="3.7109375" style="125" customWidth="1"/>
    <col min="6419" max="6419" width="9.7109375" style="125" customWidth="1"/>
    <col min="6420" max="6421" width="3.7109375" style="125" customWidth="1"/>
    <col min="6422" max="6422" width="9.7109375" style="125" customWidth="1"/>
    <col min="6423" max="6424" width="3.7109375" style="125" customWidth="1"/>
    <col min="6425" max="6425" width="9.7109375" style="125" customWidth="1"/>
    <col min="6426" max="6427" width="3.7109375" style="125" customWidth="1"/>
    <col min="6428" max="6428" width="9.7109375" style="125" customWidth="1"/>
    <col min="6429" max="6430" width="3.7109375" style="125" customWidth="1"/>
    <col min="6431" max="6431" width="9.7109375" style="125" customWidth="1"/>
    <col min="6432" max="6433" width="3.7109375" style="125" customWidth="1"/>
    <col min="6434" max="6434" width="9.7109375" style="125" customWidth="1"/>
    <col min="6435" max="6436" width="3.7109375" style="125" customWidth="1"/>
    <col min="6437" max="6437" width="9.7109375" style="125" customWidth="1"/>
    <col min="6438" max="6439" width="3.7109375" style="125" customWidth="1"/>
    <col min="6440" max="6440" width="9.7109375" style="125" customWidth="1"/>
    <col min="6441" max="6442" width="3.7109375" style="125" customWidth="1"/>
    <col min="6443" max="6443" width="9.7109375" style="125" customWidth="1"/>
    <col min="6444" max="6445" width="3.7109375" style="125" customWidth="1"/>
    <col min="6446" max="6446" width="9.7109375" style="125" customWidth="1"/>
    <col min="6447" max="6448" width="3.7109375" style="125" customWidth="1"/>
    <col min="6449" max="6449" width="9.7109375" style="125" customWidth="1"/>
    <col min="6450" max="6451" width="3.7109375" style="125" customWidth="1"/>
    <col min="6452" max="6452" width="9.7109375" style="125" customWidth="1"/>
    <col min="6453" max="6454" width="3.7109375" style="125" customWidth="1"/>
    <col min="6455" max="6455" width="9.7109375" style="125" customWidth="1"/>
    <col min="6456" max="6457" width="3.7109375" style="125" customWidth="1"/>
    <col min="6458" max="6458" width="9.7109375" style="125" customWidth="1"/>
    <col min="6459" max="6460" width="3.7109375" style="125" customWidth="1"/>
    <col min="6461" max="6461" width="9.7109375" style="125" customWidth="1"/>
    <col min="6462" max="6463" width="3.7109375" style="125" customWidth="1"/>
    <col min="6464" max="6464" width="9.7109375" style="125" customWidth="1"/>
    <col min="6465" max="6466" width="3.7109375" style="125" customWidth="1"/>
    <col min="6467" max="6467" width="9.7109375" style="125" customWidth="1"/>
    <col min="6468" max="6469" width="3.7109375" style="125" customWidth="1"/>
    <col min="6470" max="6470" width="9.7109375" style="125" customWidth="1"/>
    <col min="6471" max="6472" width="3.7109375" style="125" customWidth="1"/>
    <col min="6473" max="6473" width="9.7109375" style="125" customWidth="1"/>
    <col min="6474" max="6475" width="3.7109375" style="125" customWidth="1"/>
    <col min="6476" max="6476" width="9.7109375" style="125" customWidth="1"/>
    <col min="6477" max="6478" width="3.7109375" style="125" customWidth="1"/>
    <col min="6479" max="6479" width="9.7109375" style="125" customWidth="1"/>
    <col min="6480" max="6481" width="3.7109375" style="125" customWidth="1"/>
    <col min="6482" max="6482" width="9.7109375" style="125" customWidth="1"/>
    <col min="6483" max="6484" width="3.7109375" style="125" customWidth="1"/>
    <col min="6485" max="6485" width="9.7109375" style="125" customWidth="1"/>
    <col min="6486" max="6487" width="3.7109375" style="125" customWidth="1"/>
    <col min="6488" max="6488" width="9.7109375" style="125" customWidth="1"/>
    <col min="6489" max="6490" width="3.7109375" style="125" customWidth="1"/>
    <col min="6491" max="6491" width="9.7109375" style="125" customWidth="1"/>
    <col min="6492" max="6493" width="3.7109375" style="125" customWidth="1"/>
    <col min="6494" max="6494" width="9.7109375" style="125" customWidth="1"/>
    <col min="6495" max="6496" width="3.7109375" style="125" customWidth="1"/>
    <col min="6497" max="6497" width="9.7109375" style="125" customWidth="1"/>
    <col min="6498" max="6499" width="3.7109375" style="125" customWidth="1"/>
    <col min="6500" max="6500" width="9.7109375" style="125" customWidth="1"/>
    <col min="6501" max="6502" width="3.7109375" style="125" customWidth="1"/>
    <col min="6503" max="6503" width="9.7109375" style="125" customWidth="1"/>
    <col min="6504" max="6505" width="3.7109375" style="125" customWidth="1"/>
    <col min="6506" max="6506" width="9.7109375" style="125" customWidth="1"/>
    <col min="6507" max="6508" width="3.7109375" style="125" customWidth="1"/>
    <col min="6509" max="6509" width="9.7109375" style="125" customWidth="1"/>
    <col min="6510" max="6511" width="3.7109375" style="125" customWidth="1"/>
    <col min="6512" max="6512" width="9.7109375" style="125" customWidth="1"/>
    <col min="6513" max="6514" width="3.7109375" style="125" customWidth="1"/>
    <col min="6515" max="6515" width="9.7109375" style="125" customWidth="1"/>
    <col min="6516" max="6517" width="3.7109375" style="125" customWidth="1"/>
    <col min="6518" max="6518" width="9.7109375" style="125" customWidth="1"/>
    <col min="6519" max="6520" width="3.7109375" style="125" customWidth="1"/>
    <col min="6521" max="6521" width="9.7109375" style="125" customWidth="1"/>
    <col min="6522" max="6523" width="3.7109375" style="125" customWidth="1"/>
    <col min="6524" max="6524" width="9.7109375" style="125" customWidth="1"/>
    <col min="6525" max="6526" width="3.7109375" style="125" customWidth="1"/>
    <col min="6527" max="6527" width="9.7109375" style="125" customWidth="1"/>
    <col min="6528" max="6529" width="3.7109375" style="125" customWidth="1"/>
    <col min="6530" max="6530" width="9.7109375" style="125" customWidth="1"/>
    <col min="6531" max="6532" width="3.7109375" style="125" customWidth="1"/>
    <col min="6533" max="6533" width="9.7109375" style="125" customWidth="1"/>
    <col min="6534" max="6535" width="3.7109375" style="125" customWidth="1"/>
    <col min="6536" max="6536" width="9.7109375" style="125" customWidth="1"/>
    <col min="6537" max="6538" width="3.7109375" style="125" customWidth="1"/>
    <col min="6539" max="6539" width="9.7109375" style="125" customWidth="1"/>
    <col min="6540" max="6541" width="3.7109375" style="125" customWidth="1"/>
    <col min="6542" max="6542" width="9.7109375" style="125" customWidth="1"/>
    <col min="6543" max="6544" width="3.7109375" style="125" customWidth="1"/>
    <col min="6545" max="6545" width="9.7109375" style="125" customWidth="1"/>
    <col min="6546" max="6547" width="3.7109375" style="125" customWidth="1"/>
    <col min="6548" max="6548" width="9.7109375" style="125" customWidth="1"/>
    <col min="6549" max="6550" width="3.7109375" style="125" customWidth="1"/>
    <col min="6551" max="6551" width="9.7109375" style="125" customWidth="1"/>
    <col min="6552" max="6553" width="3.7109375" style="125" customWidth="1"/>
    <col min="6554" max="6554" width="9.7109375" style="125" customWidth="1"/>
    <col min="6555" max="6556" width="3.7109375" style="125" customWidth="1"/>
    <col min="6557" max="6557" width="9.7109375" style="125" customWidth="1"/>
    <col min="6558" max="6559" width="3.7109375" style="125" customWidth="1"/>
    <col min="6560" max="6560" width="9.7109375" style="125" customWidth="1"/>
    <col min="6561" max="6562" width="3.7109375" style="125" customWidth="1"/>
    <col min="6563" max="6563" width="9.7109375" style="125" customWidth="1"/>
    <col min="6564" max="6565" width="3.7109375" style="125" customWidth="1"/>
    <col min="6566" max="6566" width="9.7109375" style="125" customWidth="1"/>
    <col min="6567" max="6568" width="3.7109375" style="125" customWidth="1"/>
    <col min="6569" max="6569" width="9.7109375" style="125" customWidth="1"/>
    <col min="6570" max="6571" width="3.7109375" style="125" customWidth="1"/>
    <col min="6572" max="6572" width="9.7109375" style="125" customWidth="1"/>
    <col min="6573" max="6574" width="3.7109375" style="125" customWidth="1"/>
    <col min="6575" max="6575" width="9.7109375" style="125" customWidth="1"/>
    <col min="6576" max="6577" width="3.7109375" style="125" customWidth="1"/>
    <col min="6578" max="6578" width="9.7109375" style="125" customWidth="1"/>
    <col min="6579" max="6580" width="3.7109375" style="125" customWidth="1"/>
    <col min="6581" max="6581" width="9.7109375" style="125" customWidth="1"/>
    <col min="6582" max="6583" width="3.7109375" style="125" customWidth="1"/>
    <col min="6584" max="6584" width="9.7109375" style="125" customWidth="1"/>
    <col min="6585" max="6586" width="3.7109375" style="125" customWidth="1"/>
    <col min="6587" max="6587" width="9.7109375" style="125" customWidth="1"/>
    <col min="6588" max="6589" width="3.7109375" style="125" customWidth="1"/>
    <col min="6590" max="6590" width="9.7109375" style="125" customWidth="1"/>
    <col min="6591" max="6592" width="3.7109375" style="125" customWidth="1"/>
    <col min="6593" max="6593" width="9.7109375" style="125" customWidth="1"/>
    <col min="6594" max="6595" width="3.7109375" style="125" customWidth="1"/>
    <col min="6596" max="6596" width="9.7109375" style="125" customWidth="1"/>
    <col min="6597" max="6598" width="3.7109375" style="125" customWidth="1"/>
    <col min="6599" max="6599" width="9.7109375" style="125" customWidth="1"/>
    <col min="6600" max="6601" width="3.7109375" style="125" customWidth="1"/>
    <col min="6602" max="6602" width="9.7109375" style="125" customWidth="1"/>
    <col min="6603" max="6604" width="3.7109375" style="125" customWidth="1"/>
    <col min="6605" max="6605" width="9.7109375" style="125" customWidth="1"/>
    <col min="6606" max="6607" width="3.7109375" style="125" customWidth="1"/>
    <col min="6608" max="6608" width="9.7109375" style="125" customWidth="1"/>
    <col min="6609" max="6610" width="3.7109375" style="125" customWidth="1"/>
    <col min="6611" max="6611" width="9.7109375" style="125" customWidth="1"/>
    <col min="6612" max="6613" width="3.7109375" style="125" customWidth="1"/>
    <col min="6614" max="6614" width="9.7109375" style="125" customWidth="1"/>
    <col min="6615" max="6616" width="3.7109375" style="125" customWidth="1"/>
    <col min="6617" max="6617" width="9.7109375" style="125" customWidth="1"/>
    <col min="6618" max="6618" width="3.7109375" style="125" customWidth="1"/>
    <col min="6619" max="6656" width="8" style="125"/>
    <col min="6657" max="6657" width="30.7109375" style="125" customWidth="1"/>
    <col min="6658" max="6658" width="9.7109375" style="125" customWidth="1"/>
    <col min="6659" max="6659" width="3.7109375" style="125" customWidth="1"/>
    <col min="6660" max="6660" width="9.7109375" style="125" customWidth="1"/>
    <col min="6661" max="6662" width="3.7109375" style="125" customWidth="1"/>
    <col min="6663" max="6663" width="9.7109375" style="125" customWidth="1"/>
    <col min="6664" max="6665" width="3.7109375" style="125" customWidth="1"/>
    <col min="6666" max="6666" width="9.7109375" style="125" customWidth="1"/>
    <col min="6667" max="6668" width="3.7109375" style="125" customWidth="1"/>
    <col min="6669" max="6669" width="9.7109375" style="125" customWidth="1"/>
    <col min="6670" max="6671" width="3.7109375" style="125" customWidth="1"/>
    <col min="6672" max="6672" width="9.7109375" style="125" customWidth="1"/>
    <col min="6673" max="6674" width="3.7109375" style="125" customWidth="1"/>
    <col min="6675" max="6675" width="9.7109375" style="125" customWidth="1"/>
    <col min="6676" max="6677" width="3.7109375" style="125" customWidth="1"/>
    <col min="6678" max="6678" width="9.7109375" style="125" customWidth="1"/>
    <col min="6679" max="6680" width="3.7109375" style="125" customWidth="1"/>
    <col min="6681" max="6681" width="9.7109375" style="125" customWidth="1"/>
    <col min="6682" max="6683" width="3.7109375" style="125" customWidth="1"/>
    <col min="6684" max="6684" width="9.7109375" style="125" customWidth="1"/>
    <col min="6685" max="6686" width="3.7109375" style="125" customWidth="1"/>
    <col min="6687" max="6687" width="9.7109375" style="125" customWidth="1"/>
    <col min="6688" max="6689" width="3.7109375" style="125" customWidth="1"/>
    <col min="6690" max="6690" width="9.7109375" style="125" customWidth="1"/>
    <col min="6691" max="6692" width="3.7109375" style="125" customWidth="1"/>
    <col min="6693" max="6693" width="9.7109375" style="125" customWidth="1"/>
    <col min="6694" max="6695" width="3.7109375" style="125" customWidth="1"/>
    <col min="6696" max="6696" width="9.7109375" style="125" customWidth="1"/>
    <col min="6697" max="6698" width="3.7109375" style="125" customWidth="1"/>
    <col min="6699" max="6699" width="9.7109375" style="125" customWidth="1"/>
    <col min="6700" max="6701" width="3.7109375" style="125" customWidth="1"/>
    <col min="6702" max="6702" width="9.7109375" style="125" customWidth="1"/>
    <col min="6703" max="6704" width="3.7109375" style="125" customWidth="1"/>
    <col min="6705" max="6705" width="9.7109375" style="125" customWidth="1"/>
    <col min="6706" max="6707" width="3.7109375" style="125" customWidth="1"/>
    <col min="6708" max="6708" width="9.7109375" style="125" customWidth="1"/>
    <col min="6709" max="6710" width="3.7109375" style="125" customWidth="1"/>
    <col min="6711" max="6711" width="9.7109375" style="125" customWidth="1"/>
    <col min="6712" max="6713" width="3.7109375" style="125" customWidth="1"/>
    <col min="6714" max="6714" width="9.7109375" style="125" customWidth="1"/>
    <col min="6715" max="6716" width="3.7109375" style="125" customWidth="1"/>
    <col min="6717" max="6717" width="9.7109375" style="125" customWidth="1"/>
    <col min="6718" max="6719" width="3.7109375" style="125" customWidth="1"/>
    <col min="6720" max="6720" width="9.7109375" style="125" customWidth="1"/>
    <col min="6721" max="6722" width="3.7109375" style="125" customWidth="1"/>
    <col min="6723" max="6723" width="9.7109375" style="125" customWidth="1"/>
    <col min="6724" max="6725" width="3.7109375" style="125" customWidth="1"/>
    <col min="6726" max="6726" width="9.7109375" style="125" customWidth="1"/>
    <col min="6727" max="6728" width="3.7109375" style="125" customWidth="1"/>
    <col min="6729" max="6729" width="9.7109375" style="125" customWidth="1"/>
    <col min="6730" max="6731" width="3.7109375" style="125" customWidth="1"/>
    <col min="6732" max="6732" width="9.7109375" style="125" customWidth="1"/>
    <col min="6733" max="6734" width="3.7109375" style="125" customWidth="1"/>
    <col min="6735" max="6735" width="9.7109375" style="125" customWidth="1"/>
    <col min="6736" max="6737" width="3.7109375" style="125" customWidth="1"/>
    <col min="6738" max="6738" width="9.7109375" style="125" customWidth="1"/>
    <col min="6739" max="6740" width="3.7109375" style="125" customWidth="1"/>
    <col min="6741" max="6741" width="9.7109375" style="125" customWidth="1"/>
    <col min="6742" max="6743" width="3.7109375" style="125" customWidth="1"/>
    <col min="6744" max="6744" width="9.7109375" style="125" customWidth="1"/>
    <col min="6745" max="6746" width="3.7109375" style="125" customWidth="1"/>
    <col min="6747" max="6747" width="9.7109375" style="125" customWidth="1"/>
    <col min="6748" max="6749" width="3.7109375" style="125" customWidth="1"/>
    <col min="6750" max="6750" width="9.7109375" style="125" customWidth="1"/>
    <col min="6751" max="6752" width="3.7109375" style="125" customWidth="1"/>
    <col min="6753" max="6753" width="9.7109375" style="125" customWidth="1"/>
    <col min="6754" max="6755" width="3.7109375" style="125" customWidth="1"/>
    <col min="6756" max="6756" width="9.7109375" style="125" customWidth="1"/>
    <col min="6757" max="6758" width="3.7109375" style="125" customWidth="1"/>
    <col min="6759" max="6759" width="9.7109375" style="125" customWidth="1"/>
    <col min="6760" max="6761" width="3.7109375" style="125" customWidth="1"/>
    <col min="6762" max="6762" width="9.7109375" style="125" customWidth="1"/>
    <col min="6763" max="6764" width="3.7109375" style="125" customWidth="1"/>
    <col min="6765" max="6765" width="9.7109375" style="125" customWidth="1"/>
    <col min="6766" max="6767" width="3.7109375" style="125" customWidth="1"/>
    <col min="6768" max="6768" width="9.7109375" style="125" customWidth="1"/>
    <col min="6769" max="6770" width="3.7109375" style="125" customWidth="1"/>
    <col min="6771" max="6771" width="9.7109375" style="125" customWidth="1"/>
    <col min="6772" max="6773" width="3.7109375" style="125" customWidth="1"/>
    <col min="6774" max="6774" width="9.7109375" style="125" customWidth="1"/>
    <col min="6775" max="6776" width="3.7109375" style="125" customWidth="1"/>
    <col min="6777" max="6777" width="9.7109375" style="125" customWidth="1"/>
    <col min="6778" max="6779" width="3.7109375" style="125" customWidth="1"/>
    <col min="6780" max="6780" width="9.7109375" style="125" customWidth="1"/>
    <col min="6781" max="6782" width="3.7109375" style="125" customWidth="1"/>
    <col min="6783" max="6783" width="9.7109375" style="125" customWidth="1"/>
    <col min="6784" max="6785" width="3.7109375" style="125" customWidth="1"/>
    <col min="6786" max="6786" width="9.7109375" style="125" customWidth="1"/>
    <col min="6787" max="6788" width="3.7109375" style="125" customWidth="1"/>
    <col min="6789" max="6789" width="9.7109375" style="125" customWidth="1"/>
    <col min="6790" max="6791" width="3.7109375" style="125" customWidth="1"/>
    <col min="6792" max="6792" width="9.7109375" style="125" customWidth="1"/>
    <col min="6793" max="6794" width="3.7109375" style="125" customWidth="1"/>
    <col min="6795" max="6795" width="9.7109375" style="125" customWidth="1"/>
    <col min="6796" max="6797" width="3.7109375" style="125" customWidth="1"/>
    <col min="6798" max="6798" width="9.7109375" style="125" customWidth="1"/>
    <col min="6799" max="6800" width="3.7109375" style="125" customWidth="1"/>
    <col min="6801" max="6801" width="9.7109375" style="125" customWidth="1"/>
    <col min="6802" max="6803" width="3.7109375" style="125" customWidth="1"/>
    <col min="6804" max="6804" width="9.7109375" style="125" customWidth="1"/>
    <col min="6805" max="6806" width="3.7109375" style="125" customWidth="1"/>
    <col min="6807" max="6807" width="9.7109375" style="125" customWidth="1"/>
    <col min="6808" max="6809" width="3.7109375" style="125" customWidth="1"/>
    <col min="6810" max="6810" width="9.7109375" style="125" customWidth="1"/>
    <col min="6811" max="6812" width="3.7109375" style="125" customWidth="1"/>
    <col min="6813" max="6813" width="9.7109375" style="125" customWidth="1"/>
    <col min="6814" max="6815" width="3.7109375" style="125" customWidth="1"/>
    <col min="6816" max="6816" width="9.7109375" style="125" customWidth="1"/>
    <col min="6817" max="6818" width="3.7109375" style="125" customWidth="1"/>
    <col min="6819" max="6819" width="9.7109375" style="125" customWidth="1"/>
    <col min="6820" max="6821" width="3.7109375" style="125" customWidth="1"/>
    <col min="6822" max="6822" width="9.7109375" style="125" customWidth="1"/>
    <col min="6823" max="6824" width="3.7109375" style="125" customWidth="1"/>
    <col min="6825" max="6825" width="9.7109375" style="125" customWidth="1"/>
    <col min="6826" max="6827" width="3.7109375" style="125" customWidth="1"/>
    <col min="6828" max="6828" width="9.7109375" style="125" customWidth="1"/>
    <col min="6829" max="6830" width="3.7109375" style="125" customWidth="1"/>
    <col min="6831" max="6831" width="9.7109375" style="125" customWidth="1"/>
    <col min="6832" max="6833" width="3.7109375" style="125" customWidth="1"/>
    <col min="6834" max="6834" width="9.7109375" style="125" customWidth="1"/>
    <col min="6835" max="6836" width="3.7109375" style="125" customWidth="1"/>
    <col min="6837" max="6837" width="9.7109375" style="125" customWidth="1"/>
    <col min="6838" max="6839" width="3.7109375" style="125" customWidth="1"/>
    <col min="6840" max="6840" width="9.7109375" style="125" customWidth="1"/>
    <col min="6841" max="6842" width="3.7109375" style="125" customWidth="1"/>
    <col min="6843" max="6843" width="9.7109375" style="125" customWidth="1"/>
    <col min="6844" max="6845" width="3.7109375" style="125" customWidth="1"/>
    <col min="6846" max="6846" width="9.7109375" style="125" customWidth="1"/>
    <col min="6847" max="6848" width="3.7109375" style="125" customWidth="1"/>
    <col min="6849" max="6849" width="9.7109375" style="125" customWidth="1"/>
    <col min="6850" max="6851" width="3.7109375" style="125" customWidth="1"/>
    <col min="6852" max="6852" width="9.7109375" style="125" customWidth="1"/>
    <col min="6853" max="6854" width="3.7109375" style="125" customWidth="1"/>
    <col min="6855" max="6855" width="9.7109375" style="125" customWidth="1"/>
    <col min="6856" max="6857" width="3.7109375" style="125" customWidth="1"/>
    <col min="6858" max="6858" width="9.7109375" style="125" customWidth="1"/>
    <col min="6859" max="6860" width="3.7109375" style="125" customWidth="1"/>
    <col min="6861" max="6861" width="9.7109375" style="125" customWidth="1"/>
    <col min="6862" max="6863" width="3.7109375" style="125" customWidth="1"/>
    <col min="6864" max="6864" width="9.7109375" style="125" customWidth="1"/>
    <col min="6865" max="6866" width="3.7109375" style="125" customWidth="1"/>
    <col min="6867" max="6867" width="9.7109375" style="125" customWidth="1"/>
    <col min="6868" max="6869" width="3.7109375" style="125" customWidth="1"/>
    <col min="6870" max="6870" width="9.7109375" style="125" customWidth="1"/>
    <col min="6871" max="6872" width="3.7109375" style="125" customWidth="1"/>
    <col min="6873" max="6873" width="9.7109375" style="125" customWidth="1"/>
    <col min="6874" max="6874" width="3.7109375" style="125" customWidth="1"/>
    <col min="6875" max="6912" width="8" style="125"/>
    <col min="6913" max="6913" width="30.7109375" style="125" customWidth="1"/>
    <col min="6914" max="6914" width="9.7109375" style="125" customWidth="1"/>
    <col min="6915" max="6915" width="3.7109375" style="125" customWidth="1"/>
    <col min="6916" max="6916" width="9.7109375" style="125" customWidth="1"/>
    <col min="6917" max="6918" width="3.7109375" style="125" customWidth="1"/>
    <col min="6919" max="6919" width="9.7109375" style="125" customWidth="1"/>
    <col min="6920" max="6921" width="3.7109375" style="125" customWidth="1"/>
    <col min="6922" max="6922" width="9.7109375" style="125" customWidth="1"/>
    <col min="6923" max="6924" width="3.7109375" style="125" customWidth="1"/>
    <col min="6925" max="6925" width="9.7109375" style="125" customWidth="1"/>
    <col min="6926" max="6927" width="3.7109375" style="125" customWidth="1"/>
    <col min="6928" max="6928" width="9.7109375" style="125" customWidth="1"/>
    <col min="6929" max="6930" width="3.7109375" style="125" customWidth="1"/>
    <col min="6931" max="6931" width="9.7109375" style="125" customWidth="1"/>
    <col min="6932" max="6933" width="3.7109375" style="125" customWidth="1"/>
    <col min="6934" max="6934" width="9.7109375" style="125" customWidth="1"/>
    <col min="6935" max="6936" width="3.7109375" style="125" customWidth="1"/>
    <col min="6937" max="6937" width="9.7109375" style="125" customWidth="1"/>
    <col min="6938" max="6939" width="3.7109375" style="125" customWidth="1"/>
    <col min="6940" max="6940" width="9.7109375" style="125" customWidth="1"/>
    <col min="6941" max="6942" width="3.7109375" style="125" customWidth="1"/>
    <col min="6943" max="6943" width="9.7109375" style="125" customWidth="1"/>
    <col min="6944" max="6945" width="3.7109375" style="125" customWidth="1"/>
    <col min="6946" max="6946" width="9.7109375" style="125" customWidth="1"/>
    <col min="6947" max="6948" width="3.7109375" style="125" customWidth="1"/>
    <col min="6949" max="6949" width="9.7109375" style="125" customWidth="1"/>
    <col min="6950" max="6951" width="3.7109375" style="125" customWidth="1"/>
    <col min="6952" max="6952" width="9.7109375" style="125" customWidth="1"/>
    <col min="6953" max="6954" width="3.7109375" style="125" customWidth="1"/>
    <col min="6955" max="6955" width="9.7109375" style="125" customWidth="1"/>
    <col min="6956" max="6957" width="3.7109375" style="125" customWidth="1"/>
    <col min="6958" max="6958" width="9.7109375" style="125" customWidth="1"/>
    <col min="6959" max="6960" width="3.7109375" style="125" customWidth="1"/>
    <col min="6961" max="6961" width="9.7109375" style="125" customWidth="1"/>
    <col min="6962" max="6963" width="3.7109375" style="125" customWidth="1"/>
    <col min="6964" max="6964" width="9.7109375" style="125" customWidth="1"/>
    <col min="6965" max="6966" width="3.7109375" style="125" customWidth="1"/>
    <col min="6967" max="6967" width="9.7109375" style="125" customWidth="1"/>
    <col min="6968" max="6969" width="3.7109375" style="125" customWidth="1"/>
    <col min="6970" max="6970" width="9.7109375" style="125" customWidth="1"/>
    <col min="6971" max="6972" width="3.7109375" style="125" customWidth="1"/>
    <col min="6973" max="6973" width="9.7109375" style="125" customWidth="1"/>
    <col min="6974" max="6975" width="3.7109375" style="125" customWidth="1"/>
    <col min="6976" max="6976" width="9.7109375" style="125" customWidth="1"/>
    <col min="6977" max="6978" width="3.7109375" style="125" customWidth="1"/>
    <col min="6979" max="6979" width="9.7109375" style="125" customWidth="1"/>
    <col min="6980" max="6981" width="3.7109375" style="125" customWidth="1"/>
    <col min="6982" max="6982" width="9.7109375" style="125" customWidth="1"/>
    <col min="6983" max="6984" width="3.7109375" style="125" customWidth="1"/>
    <col min="6985" max="6985" width="9.7109375" style="125" customWidth="1"/>
    <col min="6986" max="6987" width="3.7109375" style="125" customWidth="1"/>
    <col min="6988" max="6988" width="9.7109375" style="125" customWidth="1"/>
    <col min="6989" max="6990" width="3.7109375" style="125" customWidth="1"/>
    <col min="6991" max="6991" width="9.7109375" style="125" customWidth="1"/>
    <col min="6992" max="6993" width="3.7109375" style="125" customWidth="1"/>
    <col min="6994" max="6994" width="9.7109375" style="125" customWidth="1"/>
    <col min="6995" max="6996" width="3.7109375" style="125" customWidth="1"/>
    <col min="6997" max="6997" width="9.7109375" style="125" customWidth="1"/>
    <col min="6998" max="6999" width="3.7109375" style="125" customWidth="1"/>
    <col min="7000" max="7000" width="9.7109375" style="125" customWidth="1"/>
    <col min="7001" max="7002" width="3.7109375" style="125" customWidth="1"/>
    <col min="7003" max="7003" width="9.7109375" style="125" customWidth="1"/>
    <col min="7004" max="7005" width="3.7109375" style="125" customWidth="1"/>
    <col min="7006" max="7006" width="9.7109375" style="125" customWidth="1"/>
    <col min="7007" max="7008" width="3.7109375" style="125" customWidth="1"/>
    <col min="7009" max="7009" width="9.7109375" style="125" customWidth="1"/>
    <col min="7010" max="7011" width="3.7109375" style="125" customWidth="1"/>
    <col min="7012" max="7012" width="9.7109375" style="125" customWidth="1"/>
    <col min="7013" max="7014" width="3.7109375" style="125" customWidth="1"/>
    <col min="7015" max="7015" width="9.7109375" style="125" customWidth="1"/>
    <col min="7016" max="7017" width="3.7109375" style="125" customWidth="1"/>
    <col min="7018" max="7018" width="9.7109375" style="125" customWidth="1"/>
    <col min="7019" max="7020" width="3.7109375" style="125" customWidth="1"/>
    <col min="7021" max="7021" width="9.7109375" style="125" customWidth="1"/>
    <col min="7022" max="7023" width="3.7109375" style="125" customWidth="1"/>
    <col min="7024" max="7024" width="9.7109375" style="125" customWidth="1"/>
    <col min="7025" max="7026" width="3.7109375" style="125" customWidth="1"/>
    <col min="7027" max="7027" width="9.7109375" style="125" customWidth="1"/>
    <col min="7028" max="7029" width="3.7109375" style="125" customWidth="1"/>
    <col min="7030" max="7030" width="9.7109375" style="125" customWidth="1"/>
    <col min="7031" max="7032" width="3.7109375" style="125" customWidth="1"/>
    <col min="7033" max="7033" width="9.7109375" style="125" customWidth="1"/>
    <col min="7034" max="7035" width="3.7109375" style="125" customWidth="1"/>
    <col min="7036" max="7036" width="9.7109375" style="125" customWidth="1"/>
    <col min="7037" max="7038" width="3.7109375" style="125" customWidth="1"/>
    <col min="7039" max="7039" width="9.7109375" style="125" customWidth="1"/>
    <col min="7040" max="7041" width="3.7109375" style="125" customWidth="1"/>
    <col min="7042" max="7042" width="9.7109375" style="125" customWidth="1"/>
    <col min="7043" max="7044" width="3.7109375" style="125" customWidth="1"/>
    <col min="7045" max="7045" width="9.7109375" style="125" customWidth="1"/>
    <col min="7046" max="7047" width="3.7109375" style="125" customWidth="1"/>
    <col min="7048" max="7048" width="9.7109375" style="125" customWidth="1"/>
    <col min="7049" max="7050" width="3.7109375" style="125" customWidth="1"/>
    <col min="7051" max="7051" width="9.7109375" style="125" customWidth="1"/>
    <col min="7052" max="7053" width="3.7109375" style="125" customWidth="1"/>
    <col min="7054" max="7054" width="9.7109375" style="125" customWidth="1"/>
    <col min="7055" max="7056" width="3.7109375" style="125" customWidth="1"/>
    <col min="7057" max="7057" width="9.7109375" style="125" customWidth="1"/>
    <col min="7058" max="7059" width="3.7109375" style="125" customWidth="1"/>
    <col min="7060" max="7060" width="9.7109375" style="125" customWidth="1"/>
    <col min="7061" max="7062" width="3.7109375" style="125" customWidth="1"/>
    <col min="7063" max="7063" width="9.7109375" style="125" customWidth="1"/>
    <col min="7064" max="7065" width="3.7109375" style="125" customWidth="1"/>
    <col min="7066" max="7066" width="9.7109375" style="125" customWidth="1"/>
    <col min="7067" max="7068" width="3.7109375" style="125" customWidth="1"/>
    <col min="7069" max="7069" width="9.7109375" style="125" customWidth="1"/>
    <col min="7070" max="7071" width="3.7109375" style="125" customWidth="1"/>
    <col min="7072" max="7072" width="9.7109375" style="125" customWidth="1"/>
    <col min="7073" max="7074" width="3.7109375" style="125" customWidth="1"/>
    <col min="7075" max="7075" width="9.7109375" style="125" customWidth="1"/>
    <col min="7076" max="7077" width="3.7109375" style="125" customWidth="1"/>
    <col min="7078" max="7078" width="9.7109375" style="125" customWidth="1"/>
    <col min="7079" max="7080" width="3.7109375" style="125" customWidth="1"/>
    <col min="7081" max="7081" width="9.7109375" style="125" customWidth="1"/>
    <col min="7082" max="7083" width="3.7109375" style="125" customWidth="1"/>
    <col min="7084" max="7084" width="9.7109375" style="125" customWidth="1"/>
    <col min="7085" max="7086" width="3.7109375" style="125" customWidth="1"/>
    <col min="7087" max="7087" width="9.7109375" style="125" customWidth="1"/>
    <col min="7088" max="7089" width="3.7109375" style="125" customWidth="1"/>
    <col min="7090" max="7090" width="9.7109375" style="125" customWidth="1"/>
    <col min="7091" max="7092" width="3.7109375" style="125" customWidth="1"/>
    <col min="7093" max="7093" width="9.7109375" style="125" customWidth="1"/>
    <col min="7094" max="7095" width="3.7109375" style="125" customWidth="1"/>
    <col min="7096" max="7096" width="9.7109375" style="125" customWidth="1"/>
    <col min="7097" max="7098" width="3.7109375" style="125" customWidth="1"/>
    <col min="7099" max="7099" width="9.7109375" style="125" customWidth="1"/>
    <col min="7100" max="7101" width="3.7109375" style="125" customWidth="1"/>
    <col min="7102" max="7102" width="9.7109375" style="125" customWidth="1"/>
    <col min="7103" max="7104" width="3.7109375" style="125" customWidth="1"/>
    <col min="7105" max="7105" width="9.7109375" style="125" customWidth="1"/>
    <col min="7106" max="7107" width="3.7109375" style="125" customWidth="1"/>
    <col min="7108" max="7108" width="9.7109375" style="125" customWidth="1"/>
    <col min="7109" max="7110" width="3.7109375" style="125" customWidth="1"/>
    <col min="7111" max="7111" width="9.7109375" style="125" customWidth="1"/>
    <col min="7112" max="7113" width="3.7109375" style="125" customWidth="1"/>
    <col min="7114" max="7114" width="9.7109375" style="125" customWidth="1"/>
    <col min="7115" max="7116" width="3.7109375" style="125" customWidth="1"/>
    <col min="7117" max="7117" width="9.7109375" style="125" customWidth="1"/>
    <col min="7118" max="7119" width="3.7109375" style="125" customWidth="1"/>
    <col min="7120" max="7120" width="9.7109375" style="125" customWidth="1"/>
    <col min="7121" max="7122" width="3.7109375" style="125" customWidth="1"/>
    <col min="7123" max="7123" width="9.7109375" style="125" customWidth="1"/>
    <col min="7124" max="7125" width="3.7109375" style="125" customWidth="1"/>
    <col min="7126" max="7126" width="9.7109375" style="125" customWidth="1"/>
    <col min="7127" max="7128" width="3.7109375" style="125" customWidth="1"/>
    <col min="7129" max="7129" width="9.7109375" style="125" customWidth="1"/>
    <col min="7130" max="7130" width="3.7109375" style="125" customWidth="1"/>
    <col min="7131" max="7168" width="8" style="125"/>
    <col min="7169" max="7169" width="30.7109375" style="125" customWidth="1"/>
    <col min="7170" max="7170" width="9.7109375" style="125" customWidth="1"/>
    <col min="7171" max="7171" width="3.7109375" style="125" customWidth="1"/>
    <col min="7172" max="7172" width="9.7109375" style="125" customWidth="1"/>
    <col min="7173" max="7174" width="3.7109375" style="125" customWidth="1"/>
    <col min="7175" max="7175" width="9.7109375" style="125" customWidth="1"/>
    <col min="7176" max="7177" width="3.7109375" style="125" customWidth="1"/>
    <col min="7178" max="7178" width="9.7109375" style="125" customWidth="1"/>
    <col min="7179" max="7180" width="3.7109375" style="125" customWidth="1"/>
    <col min="7181" max="7181" width="9.7109375" style="125" customWidth="1"/>
    <col min="7182" max="7183" width="3.7109375" style="125" customWidth="1"/>
    <col min="7184" max="7184" width="9.7109375" style="125" customWidth="1"/>
    <col min="7185" max="7186" width="3.7109375" style="125" customWidth="1"/>
    <col min="7187" max="7187" width="9.7109375" style="125" customWidth="1"/>
    <col min="7188" max="7189" width="3.7109375" style="125" customWidth="1"/>
    <col min="7190" max="7190" width="9.7109375" style="125" customWidth="1"/>
    <col min="7191" max="7192" width="3.7109375" style="125" customWidth="1"/>
    <col min="7193" max="7193" width="9.7109375" style="125" customWidth="1"/>
    <col min="7194" max="7195" width="3.7109375" style="125" customWidth="1"/>
    <col min="7196" max="7196" width="9.7109375" style="125" customWidth="1"/>
    <col min="7197" max="7198" width="3.7109375" style="125" customWidth="1"/>
    <col min="7199" max="7199" width="9.7109375" style="125" customWidth="1"/>
    <col min="7200" max="7201" width="3.7109375" style="125" customWidth="1"/>
    <col min="7202" max="7202" width="9.7109375" style="125" customWidth="1"/>
    <col min="7203" max="7204" width="3.7109375" style="125" customWidth="1"/>
    <col min="7205" max="7205" width="9.7109375" style="125" customWidth="1"/>
    <col min="7206" max="7207" width="3.7109375" style="125" customWidth="1"/>
    <col min="7208" max="7208" width="9.7109375" style="125" customWidth="1"/>
    <col min="7209" max="7210" width="3.7109375" style="125" customWidth="1"/>
    <col min="7211" max="7211" width="9.7109375" style="125" customWidth="1"/>
    <col min="7212" max="7213" width="3.7109375" style="125" customWidth="1"/>
    <col min="7214" max="7214" width="9.7109375" style="125" customWidth="1"/>
    <col min="7215" max="7216" width="3.7109375" style="125" customWidth="1"/>
    <col min="7217" max="7217" width="9.7109375" style="125" customWidth="1"/>
    <col min="7218" max="7219" width="3.7109375" style="125" customWidth="1"/>
    <col min="7220" max="7220" width="9.7109375" style="125" customWidth="1"/>
    <col min="7221" max="7222" width="3.7109375" style="125" customWidth="1"/>
    <col min="7223" max="7223" width="9.7109375" style="125" customWidth="1"/>
    <col min="7224" max="7225" width="3.7109375" style="125" customWidth="1"/>
    <col min="7226" max="7226" width="9.7109375" style="125" customWidth="1"/>
    <col min="7227" max="7228" width="3.7109375" style="125" customWidth="1"/>
    <col min="7229" max="7229" width="9.7109375" style="125" customWidth="1"/>
    <col min="7230" max="7231" width="3.7109375" style="125" customWidth="1"/>
    <col min="7232" max="7232" width="9.7109375" style="125" customWidth="1"/>
    <col min="7233" max="7234" width="3.7109375" style="125" customWidth="1"/>
    <col min="7235" max="7235" width="9.7109375" style="125" customWidth="1"/>
    <col min="7236" max="7237" width="3.7109375" style="125" customWidth="1"/>
    <col min="7238" max="7238" width="9.7109375" style="125" customWidth="1"/>
    <col min="7239" max="7240" width="3.7109375" style="125" customWidth="1"/>
    <col min="7241" max="7241" width="9.7109375" style="125" customWidth="1"/>
    <col min="7242" max="7243" width="3.7109375" style="125" customWidth="1"/>
    <col min="7244" max="7244" width="9.7109375" style="125" customWidth="1"/>
    <col min="7245" max="7246" width="3.7109375" style="125" customWidth="1"/>
    <col min="7247" max="7247" width="9.7109375" style="125" customWidth="1"/>
    <col min="7248" max="7249" width="3.7109375" style="125" customWidth="1"/>
    <col min="7250" max="7250" width="9.7109375" style="125" customWidth="1"/>
    <col min="7251" max="7252" width="3.7109375" style="125" customWidth="1"/>
    <col min="7253" max="7253" width="9.7109375" style="125" customWidth="1"/>
    <col min="7254" max="7255" width="3.7109375" style="125" customWidth="1"/>
    <col min="7256" max="7256" width="9.7109375" style="125" customWidth="1"/>
    <col min="7257" max="7258" width="3.7109375" style="125" customWidth="1"/>
    <col min="7259" max="7259" width="9.7109375" style="125" customWidth="1"/>
    <col min="7260" max="7261" width="3.7109375" style="125" customWidth="1"/>
    <col min="7262" max="7262" width="9.7109375" style="125" customWidth="1"/>
    <col min="7263" max="7264" width="3.7109375" style="125" customWidth="1"/>
    <col min="7265" max="7265" width="9.7109375" style="125" customWidth="1"/>
    <col min="7266" max="7267" width="3.7109375" style="125" customWidth="1"/>
    <col min="7268" max="7268" width="9.7109375" style="125" customWidth="1"/>
    <col min="7269" max="7270" width="3.7109375" style="125" customWidth="1"/>
    <col min="7271" max="7271" width="9.7109375" style="125" customWidth="1"/>
    <col min="7272" max="7273" width="3.7109375" style="125" customWidth="1"/>
    <col min="7274" max="7274" width="9.7109375" style="125" customWidth="1"/>
    <col min="7275" max="7276" width="3.7109375" style="125" customWidth="1"/>
    <col min="7277" max="7277" width="9.7109375" style="125" customWidth="1"/>
    <col min="7278" max="7279" width="3.7109375" style="125" customWidth="1"/>
    <col min="7280" max="7280" width="9.7109375" style="125" customWidth="1"/>
    <col min="7281" max="7282" width="3.7109375" style="125" customWidth="1"/>
    <col min="7283" max="7283" width="9.7109375" style="125" customWidth="1"/>
    <col min="7284" max="7285" width="3.7109375" style="125" customWidth="1"/>
    <col min="7286" max="7286" width="9.7109375" style="125" customWidth="1"/>
    <col min="7287" max="7288" width="3.7109375" style="125" customWidth="1"/>
    <col min="7289" max="7289" width="9.7109375" style="125" customWidth="1"/>
    <col min="7290" max="7291" width="3.7109375" style="125" customWidth="1"/>
    <col min="7292" max="7292" width="9.7109375" style="125" customWidth="1"/>
    <col min="7293" max="7294" width="3.7109375" style="125" customWidth="1"/>
    <col min="7295" max="7295" width="9.7109375" style="125" customWidth="1"/>
    <col min="7296" max="7297" width="3.7109375" style="125" customWidth="1"/>
    <col min="7298" max="7298" width="9.7109375" style="125" customWidth="1"/>
    <col min="7299" max="7300" width="3.7109375" style="125" customWidth="1"/>
    <col min="7301" max="7301" width="9.7109375" style="125" customWidth="1"/>
    <col min="7302" max="7303" width="3.7109375" style="125" customWidth="1"/>
    <col min="7304" max="7304" width="9.7109375" style="125" customWidth="1"/>
    <col min="7305" max="7306" width="3.7109375" style="125" customWidth="1"/>
    <col min="7307" max="7307" width="9.7109375" style="125" customWidth="1"/>
    <col min="7308" max="7309" width="3.7109375" style="125" customWidth="1"/>
    <col min="7310" max="7310" width="9.7109375" style="125" customWidth="1"/>
    <col min="7311" max="7312" width="3.7109375" style="125" customWidth="1"/>
    <col min="7313" max="7313" width="9.7109375" style="125" customWidth="1"/>
    <col min="7314" max="7315" width="3.7109375" style="125" customWidth="1"/>
    <col min="7316" max="7316" width="9.7109375" style="125" customWidth="1"/>
    <col min="7317" max="7318" width="3.7109375" style="125" customWidth="1"/>
    <col min="7319" max="7319" width="9.7109375" style="125" customWidth="1"/>
    <col min="7320" max="7321" width="3.7109375" style="125" customWidth="1"/>
    <col min="7322" max="7322" width="9.7109375" style="125" customWidth="1"/>
    <col min="7323" max="7324" width="3.7109375" style="125" customWidth="1"/>
    <col min="7325" max="7325" width="9.7109375" style="125" customWidth="1"/>
    <col min="7326" max="7327" width="3.7109375" style="125" customWidth="1"/>
    <col min="7328" max="7328" width="9.7109375" style="125" customWidth="1"/>
    <col min="7329" max="7330" width="3.7109375" style="125" customWidth="1"/>
    <col min="7331" max="7331" width="9.7109375" style="125" customWidth="1"/>
    <col min="7332" max="7333" width="3.7109375" style="125" customWidth="1"/>
    <col min="7334" max="7334" width="9.7109375" style="125" customWidth="1"/>
    <col min="7335" max="7336" width="3.7109375" style="125" customWidth="1"/>
    <col min="7337" max="7337" width="9.7109375" style="125" customWidth="1"/>
    <col min="7338" max="7339" width="3.7109375" style="125" customWidth="1"/>
    <col min="7340" max="7340" width="9.7109375" style="125" customWidth="1"/>
    <col min="7341" max="7342" width="3.7109375" style="125" customWidth="1"/>
    <col min="7343" max="7343" width="9.7109375" style="125" customWidth="1"/>
    <col min="7344" max="7345" width="3.7109375" style="125" customWidth="1"/>
    <col min="7346" max="7346" width="9.7109375" style="125" customWidth="1"/>
    <col min="7347" max="7348" width="3.7109375" style="125" customWidth="1"/>
    <col min="7349" max="7349" width="9.7109375" style="125" customWidth="1"/>
    <col min="7350" max="7351" width="3.7109375" style="125" customWidth="1"/>
    <col min="7352" max="7352" width="9.7109375" style="125" customWidth="1"/>
    <col min="7353" max="7354" width="3.7109375" style="125" customWidth="1"/>
    <col min="7355" max="7355" width="9.7109375" style="125" customWidth="1"/>
    <col min="7356" max="7357" width="3.7109375" style="125" customWidth="1"/>
    <col min="7358" max="7358" width="9.7109375" style="125" customWidth="1"/>
    <col min="7359" max="7360" width="3.7109375" style="125" customWidth="1"/>
    <col min="7361" max="7361" width="9.7109375" style="125" customWidth="1"/>
    <col min="7362" max="7363" width="3.7109375" style="125" customWidth="1"/>
    <col min="7364" max="7364" width="9.7109375" style="125" customWidth="1"/>
    <col min="7365" max="7366" width="3.7109375" style="125" customWidth="1"/>
    <col min="7367" max="7367" width="9.7109375" style="125" customWidth="1"/>
    <col min="7368" max="7369" width="3.7109375" style="125" customWidth="1"/>
    <col min="7370" max="7370" width="9.7109375" style="125" customWidth="1"/>
    <col min="7371" max="7372" width="3.7109375" style="125" customWidth="1"/>
    <col min="7373" max="7373" width="9.7109375" style="125" customWidth="1"/>
    <col min="7374" max="7375" width="3.7109375" style="125" customWidth="1"/>
    <col min="7376" max="7376" width="9.7109375" style="125" customWidth="1"/>
    <col min="7377" max="7378" width="3.7109375" style="125" customWidth="1"/>
    <col min="7379" max="7379" width="9.7109375" style="125" customWidth="1"/>
    <col min="7380" max="7381" width="3.7109375" style="125" customWidth="1"/>
    <col min="7382" max="7382" width="9.7109375" style="125" customWidth="1"/>
    <col min="7383" max="7384" width="3.7109375" style="125" customWidth="1"/>
    <col min="7385" max="7385" width="9.7109375" style="125" customWidth="1"/>
    <col min="7386" max="7386" width="3.7109375" style="125" customWidth="1"/>
    <col min="7387" max="7424" width="8" style="125"/>
    <col min="7425" max="7425" width="30.7109375" style="125" customWidth="1"/>
    <col min="7426" max="7426" width="9.7109375" style="125" customWidth="1"/>
    <col min="7427" max="7427" width="3.7109375" style="125" customWidth="1"/>
    <col min="7428" max="7428" width="9.7109375" style="125" customWidth="1"/>
    <col min="7429" max="7430" width="3.7109375" style="125" customWidth="1"/>
    <col min="7431" max="7431" width="9.7109375" style="125" customWidth="1"/>
    <col min="7432" max="7433" width="3.7109375" style="125" customWidth="1"/>
    <col min="7434" max="7434" width="9.7109375" style="125" customWidth="1"/>
    <col min="7435" max="7436" width="3.7109375" style="125" customWidth="1"/>
    <col min="7437" max="7437" width="9.7109375" style="125" customWidth="1"/>
    <col min="7438" max="7439" width="3.7109375" style="125" customWidth="1"/>
    <col min="7440" max="7440" width="9.7109375" style="125" customWidth="1"/>
    <col min="7441" max="7442" width="3.7109375" style="125" customWidth="1"/>
    <col min="7443" max="7443" width="9.7109375" style="125" customWidth="1"/>
    <col min="7444" max="7445" width="3.7109375" style="125" customWidth="1"/>
    <col min="7446" max="7446" width="9.7109375" style="125" customWidth="1"/>
    <col min="7447" max="7448" width="3.7109375" style="125" customWidth="1"/>
    <col min="7449" max="7449" width="9.7109375" style="125" customWidth="1"/>
    <col min="7450" max="7451" width="3.7109375" style="125" customWidth="1"/>
    <col min="7452" max="7452" width="9.7109375" style="125" customWidth="1"/>
    <col min="7453" max="7454" width="3.7109375" style="125" customWidth="1"/>
    <col min="7455" max="7455" width="9.7109375" style="125" customWidth="1"/>
    <col min="7456" max="7457" width="3.7109375" style="125" customWidth="1"/>
    <col min="7458" max="7458" width="9.7109375" style="125" customWidth="1"/>
    <col min="7459" max="7460" width="3.7109375" style="125" customWidth="1"/>
    <col min="7461" max="7461" width="9.7109375" style="125" customWidth="1"/>
    <col min="7462" max="7463" width="3.7109375" style="125" customWidth="1"/>
    <col min="7464" max="7464" width="9.7109375" style="125" customWidth="1"/>
    <col min="7465" max="7466" width="3.7109375" style="125" customWidth="1"/>
    <col min="7467" max="7467" width="9.7109375" style="125" customWidth="1"/>
    <col min="7468" max="7469" width="3.7109375" style="125" customWidth="1"/>
    <col min="7470" max="7470" width="9.7109375" style="125" customWidth="1"/>
    <col min="7471" max="7472" width="3.7109375" style="125" customWidth="1"/>
    <col min="7473" max="7473" width="9.7109375" style="125" customWidth="1"/>
    <col min="7474" max="7475" width="3.7109375" style="125" customWidth="1"/>
    <col min="7476" max="7476" width="9.7109375" style="125" customWidth="1"/>
    <col min="7477" max="7478" width="3.7109375" style="125" customWidth="1"/>
    <col min="7479" max="7479" width="9.7109375" style="125" customWidth="1"/>
    <col min="7480" max="7481" width="3.7109375" style="125" customWidth="1"/>
    <col min="7482" max="7482" width="9.7109375" style="125" customWidth="1"/>
    <col min="7483" max="7484" width="3.7109375" style="125" customWidth="1"/>
    <col min="7485" max="7485" width="9.7109375" style="125" customWidth="1"/>
    <col min="7486" max="7487" width="3.7109375" style="125" customWidth="1"/>
    <col min="7488" max="7488" width="9.7109375" style="125" customWidth="1"/>
    <col min="7489" max="7490" width="3.7109375" style="125" customWidth="1"/>
    <col min="7491" max="7491" width="9.7109375" style="125" customWidth="1"/>
    <col min="7492" max="7493" width="3.7109375" style="125" customWidth="1"/>
    <col min="7494" max="7494" width="9.7109375" style="125" customWidth="1"/>
    <col min="7495" max="7496" width="3.7109375" style="125" customWidth="1"/>
    <col min="7497" max="7497" width="9.7109375" style="125" customWidth="1"/>
    <col min="7498" max="7499" width="3.7109375" style="125" customWidth="1"/>
    <col min="7500" max="7500" width="9.7109375" style="125" customWidth="1"/>
    <col min="7501" max="7502" width="3.7109375" style="125" customWidth="1"/>
    <col min="7503" max="7503" width="9.7109375" style="125" customWidth="1"/>
    <col min="7504" max="7505" width="3.7109375" style="125" customWidth="1"/>
    <col min="7506" max="7506" width="9.7109375" style="125" customWidth="1"/>
    <col min="7507" max="7508" width="3.7109375" style="125" customWidth="1"/>
    <col min="7509" max="7509" width="9.7109375" style="125" customWidth="1"/>
    <col min="7510" max="7511" width="3.7109375" style="125" customWidth="1"/>
    <col min="7512" max="7512" width="9.7109375" style="125" customWidth="1"/>
    <col min="7513" max="7514" width="3.7109375" style="125" customWidth="1"/>
    <col min="7515" max="7515" width="9.7109375" style="125" customWidth="1"/>
    <col min="7516" max="7517" width="3.7109375" style="125" customWidth="1"/>
    <col min="7518" max="7518" width="9.7109375" style="125" customWidth="1"/>
    <col min="7519" max="7520" width="3.7109375" style="125" customWidth="1"/>
    <col min="7521" max="7521" width="9.7109375" style="125" customWidth="1"/>
    <col min="7522" max="7523" width="3.7109375" style="125" customWidth="1"/>
    <col min="7524" max="7524" width="9.7109375" style="125" customWidth="1"/>
    <col min="7525" max="7526" width="3.7109375" style="125" customWidth="1"/>
    <col min="7527" max="7527" width="9.7109375" style="125" customWidth="1"/>
    <col min="7528" max="7529" width="3.7109375" style="125" customWidth="1"/>
    <col min="7530" max="7530" width="9.7109375" style="125" customWidth="1"/>
    <col min="7531" max="7532" width="3.7109375" style="125" customWidth="1"/>
    <col min="7533" max="7533" width="9.7109375" style="125" customWidth="1"/>
    <col min="7534" max="7535" width="3.7109375" style="125" customWidth="1"/>
    <col min="7536" max="7536" width="9.7109375" style="125" customWidth="1"/>
    <col min="7537" max="7538" width="3.7109375" style="125" customWidth="1"/>
    <col min="7539" max="7539" width="9.7109375" style="125" customWidth="1"/>
    <col min="7540" max="7541" width="3.7109375" style="125" customWidth="1"/>
    <col min="7542" max="7542" width="9.7109375" style="125" customWidth="1"/>
    <col min="7543" max="7544" width="3.7109375" style="125" customWidth="1"/>
    <col min="7545" max="7545" width="9.7109375" style="125" customWidth="1"/>
    <col min="7546" max="7547" width="3.7109375" style="125" customWidth="1"/>
    <col min="7548" max="7548" width="9.7109375" style="125" customWidth="1"/>
    <col min="7549" max="7550" width="3.7109375" style="125" customWidth="1"/>
    <col min="7551" max="7551" width="9.7109375" style="125" customWidth="1"/>
    <col min="7552" max="7553" width="3.7109375" style="125" customWidth="1"/>
    <col min="7554" max="7554" width="9.7109375" style="125" customWidth="1"/>
    <col min="7555" max="7556" width="3.7109375" style="125" customWidth="1"/>
    <col min="7557" max="7557" width="9.7109375" style="125" customWidth="1"/>
    <col min="7558" max="7559" width="3.7109375" style="125" customWidth="1"/>
    <col min="7560" max="7560" width="9.7109375" style="125" customWidth="1"/>
    <col min="7561" max="7562" width="3.7109375" style="125" customWidth="1"/>
    <col min="7563" max="7563" width="9.7109375" style="125" customWidth="1"/>
    <col min="7564" max="7565" width="3.7109375" style="125" customWidth="1"/>
    <col min="7566" max="7566" width="9.7109375" style="125" customWidth="1"/>
    <col min="7567" max="7568" width="3.7109375" style="125" customWidth="1"/>
    <col min="7569" max="7569" width="9.7109375" style="125" customWidth="1"/>
    <col min="7570" max="7571" width="3.7109375" style="125" customWidth="1"/>
    <col min="7572" max="7572" width="9.7109375" style="125" customWidth="1"/>
    <col min="7573" max="7574" width="3.7109375" style="125" customWidth="1"/>
    <col min="7575" max="7575" width="9.7109375" style="125" customWidth="1"/>
    <col min="7576" max="7577" width="3.7109375" style="125" customWidth="1"/>
    <col min="7578" max="7578" width="9.7109375" style="125" customWidth="1"/>
    <col min="7579" max="7580" width="3.7109375" style="125" customWidth="1"/>
    <col min="7581" max="7581" width="9.7109375" style="125" customWidth="1"/>
    <col min="7582" max="7583" width="3.7109375" style="125" customWidth="1"/>
    <col min="7584" max="7584" width="9.7109375" style="125" customWidth="1"/>
    <col min="7585" max="7586" width="3.7109375" style="125" customWidth="1"/>
    <col min="7587" max="7587" width="9.7109375" style="125" customWidth="1"/>
    <col min="7588" max="7589" width="3.7109375" style="125" customWidth="1"/>
    <col min="7590" max="7590" width="9.7109375" style="125" customWidth="1"/>
    <col min="7591" max="7592" width="3.7109375" style="125" customWidth="1"/>
    <col min="7593" max="7593" width="9.7109375" style="125" customWidth="1"/>
    <col min="7594" max="7595" width="3.7109375" style="125" customWidth="1"/>
    <col min="7596" max="7596" width="9.7109375" style="125" customWidth="1"/>
    <col min="7597" max="7598" width="3.7109375" style="125" customWidth="1"/>
    <col min="7599" max="7599" width="9.7109375" style="125" customWidth="1"/>
    <col min="7600" max="7601" width="3.7109375" style="125" customWidth="1"/>
    <col min="7602" max="7602" width="9.7109375" style="125" customWidth="1"/>
    <col min="7603" max="7604" width="3.7109375" style="125" customWidth="1"/>
    <col min="7605" max="7605" width="9.7109375" style="125" customWidth="1"/>
    <col min="7606" max="7607" width="3.7109375" style="125" customWidth="1"/>
    <col min="7608" max="7608" width="9.7109375" style="125" customWidth="1"/>
    <col min="7609" max="7610" width="3.7109375" style="125" customWidth="1"/>
    <col min="7611" max="7611" width="9.7109375" style="125" customWidth="1"/>
    <col min="7612" max="7613" width="3.7109375" style="125" customWidth="1"/>
    <col min="7614" max="7614" width="9.7109375" style="125" customWidth="1"/>
    <col min="7615" max="7616" width="3.7109375" style="125" customWidth="1"/>
    <col min="7617" max="7617" width="9.7109375" style="125" customWidth="1"/>
    <col min="7618" max="7619" width="3.7109375" style="125" customWidth="1"/>
    <col min="7620" max="7620" width="9.7109375" style="125" customWidth="1"/>
    <col min="7621" max="7622" width="3.7109375" style="125" customWidth="1"/>
    <col min="7623" max="7623" width="9.7109375" style="125" customWidth="1"/>
    <col min="7624" max="7625" width="3.7109375" style="125" customWidth="1"/>
    <col min="7626" max="7626" width="9.7109375" style="125" customWidth="1"/>
    <col min="7627" max="7628" width="3.7109375" style="125" customWidth="1"/>
    <col min="7629" max="7629" width="9.7109375" style="125" customWidth="1"/>
    <col min="7630" max="7631" width="3.7109375" style="125" customWidth="1"/>
    <col min="7632" max="7632" width="9.7109375" style="125" customWidth="1"/>
    <col min="7633" max="7634" width="3.7109375" style="125" customWidth="1"/>
    <col min="7635" max="7635" width="9.7109375" style="125" customWidth="1"/>
    <col min="7636" max="7637" width="3.7109375" style="125" customWidth="1"/>
    <col min="7638" max="7638" width="9.7109375" style="125" customWidth="1"/>
    <col min="7639" max="7640" width="3.7109375" style="125" customWidth="1"/>
    <col min="7641" max="7641" width="9.7109375" style="125" customWidth="1"/>
    <col min="7642" max="7642" width="3.7109375" style="125" customWidth="1"/>
    <col min="7643" max="7680" width="8" style="125"/>
    <col min="7681" max="7681" width="30.7109375" style="125" customWidth="1"/>
    <col min="7682" max="7682" width="9.7109375" style="125" customWidth="1"/>
    <col min="7683" max="7683" width="3.7109375" style="125" customWidth="1"/>
    <col min="7684" max="7684" width="9.7109375" style="125" customWidth="1"/>
    <col min="7685" max="7686" width="3.7109375" style="125" customWidth="1"/>
    <col min="7687" max="7687" width="9.7109375" style="125" customWidth="1"/>
    <col min="7688" max="7689" width="3.7109375" style="125" customWidth="1"/>
    <col min="7690" max="7690" width="9.7109375" style="125" customWidth="1"/>
    <col min="7691" max="7692" width="3.7109375" style="125" customWidth="1"/>
    <col min="7693" max="7693" width="9.7109375" style="125" customWidth="1"/>
    <col min="7694" max="7695" width="3.7109375" style="125" customWidth="1"/>
    <col min="7696" max="7696" width="9.7109375" style="125" customWidth="1"/>
    <col min="7697" max="7698" width="3.7109375" style="125" customWidth="1"/>
    <col min="7699" max="7699" width="9.7109375" style="125" customWidth="1"/>
    <col min="7700" max="7701" width="3.7109375" style="125" customWidth="1"/>
    <col min="7702" max="7702" width="9.7109375" style="125" customWidth="1"/>
    <col min="7703" max="7704" width="3.7109375" style="125" customWidth="1"/>
    <col min="7705" max="7705" width="9.7109375" style="125" customWidth="1"/>
    <col min="7706" max="7707" width="3.7109375" style="125" customWidth="1"/>
    <col min="7708" max="7708" width="9.7109375" style="125" customWidth="1"/>
    <col min="7709" max="7710" width="3.7109375" style="125" customWidth="1"/>
    <col min="7711" max="7711" width="9.7109375" style="125" customWidth="1"/>
    <col min="7712" max="7713" width="3.7109375" style="125" customWidth="1"/>
    <col min="7714" max="7714" width="9.7109375" style="125" customWidth="1"/>
    <col min="7715" max="7716" width="3.7109375" style="125" customWidth="1"/>
    <col min="7717" max="7717" width="9.7109375" style="125" customWidth="1"/>
    <col min="7718" max="7719" width="3.7109375" style="125" customWidth="1"/>
    <col min="7720" max="7720" width="9.7109375" style="125" customWidth="1"/>
    <col min="7721" max="7722" width="3.7109375" style="125" customWidth="1"/>
    <col min="7723" max="7723" width="9.7109375" style="125" customWidth="1"/>
    <col min="7724" max="7725" width="3.7109375" style="125" customWidth="1"/>
    <col min="7726" max="7726" width="9.7109375" style="125" customWidth="1"/>
    <col min="7727" max="7728" width="3.7109375" style="125" customWidth="1"/>
    <col min="7729" max="7729" width="9.7109375" style="125" customWidth="1"/>
    <col min="7730" max="7731" width="3.7109375" style="125" customWidth="1"/>
    <col min="7732" max="7732" width="9.7109375" style="125" customWidth="1"/>
    <col min="7733" max="7734" width="3.7109375" style="125" customWidth="1"/>
    <col min="7735" max="7735" width="9.7109375" style="125" customWidth="1"/>
    <col min="7736" max="7737" width="3.7109375" style="125" customWidth="1"/>
    <col min="7738" max="7738" width="9.7109375" style="125" customWidth="1"/>
    <col min="7739" max="7740" width="3.7109375" style="125" customWidth="1"/>
    <col min="7741" max="7741" width="9.7109375" style="125" customWidth="1"/>
    <col min="7742" max="7743" width="3.7109375" style="125" customWidth="1"/>
    <col min="7744" max="7744" width="9.7109375" style="125" customWidth="1"/>
    <col min="7745" max="7746" width="3.7109375" style="125" customWidth="1"/>
    <col min="7747" max="7747" width="9.7109375" style="125" customWidth="1"/>
    <col min="7748" max="7749" width="3.7109375" style="125" customWidth="1"/>
    <col min="7750" max="7750" width="9.7109375" style="125" customWidth="1"/>
    <col min="7751" max="7752" width="3.7109375" style="125" customWidth="1"/>
    <col min="7753" max="7753" width="9.7109375" style="125" customWidth="1"/>
    <col min="7754" max="7755" width="3.7109375" style="125" customWidth="1"/>
    <col min="7756" max="7756" width="9.7109375" style="125" customWidth="1"/>
    <col min="7757" max="7758" width="3.7109375" style="125" customWidth="1"/>
    <col min="7759" max="7759" width="9.7109375" style="125" customWidth="1"/>
    <col min="7760" max="7761" width="3.7109375" style="125" customWidth="1"/>
    <col min="7762" max="7762" width="9.7109375" style="125" customWidth="1"/>
    <col min="7763" max="7764" width="3.7109375" style="125" customWidth="1"/>
    <col min="7765" max="7765" width="9.7109375" style="125" customWidth="1"/>
    <col min="7766" max="7767" width="3.7109375" style="125" customWidth="1"/>
    <col min="7768" max="7768" width="9.7109375" style="125" customWidth="1"/>
    <col min="7769" max="7770" width="3.7109375" style="125" customWidth="1"/>
    <col min="7771" max="7771" width="9.7109375" style="125" customWidth="1"/>
    <col min="7772" max="7773" width="3.7109375" style="125" customWidth="1"/>
    <col min="7774" max="7774" width="9.7109375" style="125" customWidth="1"/>
    <col min="7775" max="7776" width="3.7109375" style="125" customWidth="1"/>
    <col min="7777" max="7777" width="9.7109375" style="125" customWidth="1"/>
    <col min="7778" max="7779" width="3.7109375" style="125" customWidth="1"/>
    <col min="7780" max="7780" width="9.7109375" style="125" customWidth="1"/>
    <col min="7781" max="7782" width="3.7109375" style="125" customWidth="1"/>
    <col min="7783" max="7783" width="9.7109375" style="125" customWidth="1"/>
    <col min="7784" max="7785" width="3.7109375" style="125" customWidth="1"/>
    <col min="7786" max="7786" width="9.7109375" style="125" customWidth="1"/>
    <col min="7787" max="7788" width="3.7109375" style="125" customWidth="1"/>
    <col min="7789" max="7789" width="9.7109375" style="125" customWidth="1"/>
    <col min="7790" max="7791" width="3.7109375" style="125" customWidth="1"/>
    <col min="7792" max="7792" width="9.7109375" style="125" customWidth="1"/>
    <col min="7793" max="7794" width="3.7109375" style="125" customWidth="1"/>
    <col min="7795" max="7795" width="9.7109375" style="125" customWidth="1"/>
    <col min="7796" max="7797" width="3.7109375" style="125" customWidth="1"/>
    <col min="7798" max="7798" width="9.7109375" style="125" customWidth="1"/>
    <col min="7799" max="7800" width="3.7109375" style="125" customWidth="1"/>
    <col min="7801" max="7801" width="9.7109375" style="125" customWidth="1"/>
    <col min="7802" max="7803" width="3.7109375" style="125" customWidth="1"/>
    <col min="7804" max="7804" width="9.7109375" style="125" customWidth="1"/>
    <col min="7805" max="7806" width="3.7109375" style="125" customWidth="1"/>
    <col min="7807" max="7807" width="9.7109375" style="125" customWidth="1"/>
    <col min="7808" max="7809" width="3.7109375" style="125" customWidth="1"/>
    <col min="7810" max="7810" width="9.7109375" style="125" customWidth="1"/>
    <col min="7811" max="7812" width="3.7109375" style="125" customWidth="1"/>
    <col min="7813" max="7813" width="9.7109375" style="125" customWidth="1"/>
    <col min="7814" max="7815" width="3.7109375" style="125" customWidth="1"/>
    <col min="7816" max="7816" width="9.7109375" style="125" customWidth="1"/>
    <col min="7817" max="7818" width="3.7109375" style="125" customWidth="1"/>
    <col min="7819" max="7819" width="9.7109375" style="125" customWidth="1"/>
    <col min="7820" max="7821" width="3.7109375" style="125" customWidth="1"/>
    <col min="7822" max="7822" width="9.7109375" style="125" customWidth="1"/>
    <col min="7823" max="7824" width="3.7109375" style="125" customWidth="1"/>
    <col min="7825" max="7825" width="9.7109375" style="125" customWidth="1"/>
    <col min="7826" max="7827" width="3.7109375" style="125" customWidth="1"/>
    <col min="7828" max="7828" width="9.7109375" style="125" customWidth="1"/>
    <col min="7829" max="7830" width="3.7109375" style="125" customWidth="1"/>
    <col min="7831" max="7831" width="9.7109375" style="125" customWidth="1"/>
    <col min="7832" max="7833" width="3.7109375" style="125" customWidth="1"/>
    <col min="7834" max="7834" width="9.7109375" style="125" customWidth="1"/>
    <col min="7835" max="7836" width="3.7109375" style="125" customWidth="1"/>
    <col min="7837" max="7837" width="9.7109375" style="125" customWidth="1"/>
    <col min="7838" max="7839" width="3.7109375" style="125" customWidth="1"/>
    <col min="7840" max="7840" width="9.7109375" style="125" customWidth="1"/>
    <col min="7841" max="7842" width="3.7109375" style="125" customWidth="1"/>
    <col min="7843" max="7843" width="9.7109375" style="125" customWidth="1"/>
    <col min="7844" max="7845" width="3.7109375" style="125" customWidth="1"/>
    <col min="7846" max="7846" width="9.7109375" style="125" customWidth="1"/>
    <col min="7847" max="7848" width="3.7109375" style="125" customWidth="1"/>
    <col min="7849" max="7849" width="9.7109375" style="125" customWidth="1"/>
    <col min="7850" max="7851" width="3.7109375" style="125" customWidth="1"/>
    <col min="7852" max="7852" width="9.7109375" style="125" customWidth="1"/>
    <col min="7853" max="7854" width="3.7109375" style="125" customWidth="1"/>
    <col min="7855" max="7855" width="9.7109375" style="125" customWidth="1"/>
    <col min="7856" max="7857" width="3.7109375" style="125" customWidth="1"/>
    <col min="7858" max="7858" width="9.7109375" style="125" customWidth="1"/>
    <col min="7859" max="7860" width="3.7109375" style="125" customWidth="1"/>
    <col min="7861" max="7861" width="9.7109375" style="125" customWidth="1"/>
    <col min="7862" max="7863" width="3.7109375" style="125" customWidth="1"/>
    <col min="7864" max="7864" width="9.7109375" style="125" customWidth="1"/>
    <col min="7865" max="7866" width="3.7109375" style="125" customWidth="1"/>
    <col min="7867" max="7867" width="9.7109375" style="125" customWidth="1"/>
    <col min="7868" max="7869" width="3.7109375" style="125" customWidth="1"/>
    <col min="7870" max="7870" width="9.7109375" style="125" customWidth="1"/>
    <col min="7871" max="7872" width="3.7109375" style="125" customWidth="1"/>
    <col min="7873" max="7873" width="9.7109375" style="125" customWidth="1"/>
    <col min="7874" max="7875" width="3.7109375" style="125" customWidth="1"/>
    <col min="7876" max="7876" width="9.7109375" style="125" customWidth="1"/>
    <col min="7877" max="7878" width="3.7109375" style="125" customWidth="1"/>
    <col min="7879" max="7879" width="9.7109375" style="125" customWidth="1"/>
    <col min="7880" max="7881" width="3.7109375" style="125" customWidth="1"/>
    <col min="7882" max="7882" width="9.7109375" style="125" customWidth="1"/>
    <col min="7883" max="7884" width="3.7109375" style="125" customWidth="1"/>
    <col min="7885" max="7885" width="9.7109375" style="125" customWidth="1"/>
    <col min="7886" max="7887" width="3.7109375" style="125" customWidth="1"/>
    <col min="7888" max="7888" width="9.7109375" style="125" customWidth="1"/>
    <col min="7889" max="7890" width="3.7109375" style="125" customWidth="1"/>
    <col min="7891" max="7891" width="9.7109375" style="125" customWidth="1"/>
    <col min="7892" max="7893" width="3.7109375" style="125" customWidth="1"/>
    <col min="7894" max="7894" width="9.7109375" style="125" customWidth="1"/>
    <col min="7895" max="7896" width="3.7109375" style="125" customWidth="1"/>
    <col min="7897" max="7897" width="9.7109375" style="125" customWidth="1"/>
    <col min="7898" max="7898" width="3.7109375" style="125" customWidth="1"/>
    <col min="7899" max="7936" width="8" style="125"/>
    <col min="7937" max="7937" width="30.7109375" style="125" customWidth="1"/>
    <col min="7938" max="7938" width="9.7109375" style="125" customWidth="1"/>
    <col min="7939" max="7939" width="3.7109375" style="125" customWidth="1"/>
    <col min="7940" max="7940" width="9.7109375" style="125" customWidth="1"/>
    <col min="7941" max="7942" width="3.7109375" style="125" customWidth="1"/>
    <col min="7943" max="7943" width="9.7109375" style="125" customWidth="1"/>
    <col min="7944" max="7945" width="3.7109375" style="125" customWidth="1"/>
    <col min="7946" max="7946" width="9.7109375" style="125" customWidth="1"/>
    <col min="7947" max="7948" width="3.7109375" style="125" customWidth="1"/>
    <col min="7949" max="7949" width="9.7109375" style="125" customWidth="1"/>
    <col min="7950" max="7951" width="3.7109375" style="125" customWidth="1"/>
    <col min="7952" max="7952" width="9.7109375" style="125" customWidth="1"/>
    <col min="7953" max="7954" width="3.7109375" style="125" customWidth="1"/>
    <col min="7955" max="7955" width="9.7109375" style="125" customWidth="1"/>
    <col min="7956" max="7957" width="3.7109375" style="125" customWidth="1"/>
    <col min="7958" max="7958" width="9.7109375" style="125" customWidth="1"/>
    <col min="7959" max="7960" width="3.7109375" style="125" customWidth="1"/>
    <col min="7961" max="7961" width="9.7109375" style="125" customWidth="1"/>
    <col min="7962" max="7963" width="3.7109375" style="125" customWidth="1"/>
    <col min="7964" max="7964" width="9.7109375" style="125" customWidth="1"/>
    <col min="7965" max="7966" width="3.7109375" style="125" customWidth="1"/>
    <col min="7967" max="7967" width="9.7109375" style="125" customWidth="1"/>
    <col min="7968" max="7969" width="3.7109375" style="125" customWidth="1"/>
    <col min="7970" max="7970" width="9.7109375" style="125" customWidth="1"/>
    <col min="7971" max="7972" width="3.7109375" style="125" customWidth="1"/>
    <col min="7973" max="7973" width="9.7109375" style="125" customWidth="1"/>
    <col min="7974" max="7975" width="3.7109375" style="125" customWidth="1"/>
    <col min="7976" max="7976" width="9.7109375" style="125" customWidth="1"/>
    <col min="7977" max="7978" width="3.7109375" style="125" customWidth="1"/>
    <col min="7979" max="7979" width="9.7109375" style="125" customWidth="1"/>
    <col min="7980" max="7981" width="3.7109375" style="125" customWidth="1"/>
    <col min="7982" max="7982" width="9.7109375" style="125" customWidth="1"/>
    <col min="7983" max="7984" width="3.7109375" style="125" customWidth="1"/>
    <col min="7985" max="7985" width="9.7109375" style="125" customWidth="1"/>
    <col min="7986" max="7987" width="3.7109375" style="125" customWidth="1"/>
    <col min="7988" max="7988" width="9.7109375" style="125" customWidth="1"/>
    <col min="7989" max="7990" width="3.7109375" style="125" customWidth="1"/>
    <col min="7991" max="7991" width="9.7109375" style="125" customWidth="1"/>
    <col min="7992" max="7993" width="3.7109375" style="125" customWidth="1"/>
    <col min="7994" max="7994" width="9.7109375" style="125" customWidth="1"/>
    <col min="7995" max="7996" width="3.7109375" style="125" customWidth="1"/>
    <col min="7997" max="7997" width="9.7109375" style="125" customWidth="1"/>
    <col min="7998" max="7999" width="3.7109375" style="125" customWidth="1"/>
    <col min="8000" max="8000" width="9.7109375" style="125" customWidth="1"/>
    <col min="8001" max="8002" width="3.7109375" style="125" customWidth="1"/>
    <col min="8003" max="8003" width="9.7109375" style="125" customWidth="1"/>
    <col min="8004" max="8005" width="3.7109375" style="125" customWidth="1"/>
    <col min="8006" max="8006" width="9.7109375" style="125" customWidth="1"/>
    <col min="8007" max="8008" width="3.7109375" style="125" customWidth="1"/>
    <col min="8009" max="8009" width="9.7109375" style="125" customWidth="1"/>
    <col min="8010" max="8011" width="3.7109375" style="125" customWidth="1"/>
    <col min="8012" max="8012" width="9.7109375" style="125" customWidth="1"/>
    <col min="8013" max="8014" width="3.7109375" style="125" customWidth="1"/>
    <col min="8015" max="8015" width="9.7109375" style="125" customWidth="1"/>
    <col min="8016" max="8017" width="3.7109375" style="125" customWidth="1"/>
    <col min="8018" max="8018" width="9.7109375" style="125" customWidth="1"/>
    <col min="8019" max="8020" width="3.7109375" style="125" customWidth="1"/>
    <col min="8021" max="8021" width="9.7109375" style="125" customWidth="1"/>
    <col min="8022" max="8023" width="3.7109375" style="125" customWidth="1"/>
    <col min="8024" max="8024" width="9.7109375" style="125" customWidth="1"/>
    <col min="8025" max="8026" width="3.7109375" style="125" customWidth="1"/>
    <col min="8027" max="8027" width="9.7109375" style="125" customWidth="1"/>
    <col min="8028" max="8029" width="3.7109375" style="125" customWidth="1"/>
    <col min="8030" max="8030" width="9.7109375" style="125" customWidth="1"/>
    <col min="8031" max="8032" width="3.7109375" style="125" customWidth="1"/>
    <col min="8033" max="8033" width="9.7109375" style="125" customWidth="1"/>
    <col min="8034" max="8035" width="3.7109375" style="125" customWidth="1"/>
    <col min="8036" max="8036" width="9.7109375" style="125" customWidth="1"/>
    <col min="8037" max="8038" width="3.7109375" style="125" customWidth="1"/>
    <col min="8039" max="8039" width="9.7109375" style="125" customWidth="1"/>
    <col min="8040" max="8041" width="3.7109375" style="125" customWidth="1"/>
    <col min="8042" max="8042" width="9.7109375" style="125" customWidth="1"/>
    <col min="8043" max="8044" width="3.7109375" style="125" customWidth="1"/>
    <col min="8045" max="8045" width="9.7109375" style="125" customWidth="1"/>
    <col min="8046" max="8047" width="3.7109375" style="125" customWidth="1"/>
    <col min="8048" max="8048" width="9.7109375" style="125" customWidth="1"/>
    <col min="8049" max="8050" width="3.7109375" style="125" customWidth="1"/>
    <col min="8051" max="8051" width="9.7109375" style="125" customWidth="1"/>
    <col min="8052" max="8053" width="3.7109375" style="125" customWidth="1"/>
    <col min="8054" max="8054" width="9.7109375" style="125" customWidth="1"/>
    <col min="8055" max="8056" width="3.7109375" style="125" customWidth="1"/>
    <col min="8057" max="8057" width="9.7109375" style="125" customWidth="1"/>
    <col min="8058" max="8059" width="3.7109375" style="125" customWidth="1"/>
    <col min="8060" max="8060" width="9.7109375" style="125" customWidth="1"/>
    <col min="8061" max="8062" width="3.7109375" style="125" customWidth="1"/>
    <col min="8063" max="8063" width="9.7109375" style="125" customWidth="1"/>
    <col min="8064" max="8065" width="3.7109375" style="125" customWidth="1"/>
    <col min="8066" max="8066" width="9.7109375" style="125" customWidth="1"/>
    <col min="8067" max="8068" width="3.7109375" style="125" customWidth="1"/>
    <col min="8069" max="8069" width="9.7109375" style="125" customWidth="1"/>
    <col min="8070" max="8071" width="3.7109375" style="125" customWidth="1"/>
    <col min="8072" max="8072" width="9.7109375" style="125" customWidth="1"/>
    <col min="8073" max="8074" width="3.7109375" style="125" customWidth="1"/>
    <col min="8075" max="8075" width="9.7109375" style="125" customWidth="1"/>
    <col min="8076" max="8077" width="3.7109375" style="125" customWidth="1"/>
    <col min="8078" max="8078" width="9.7109375" style="125" customWidth="1"/>
    <col min="8079" max="8080" width="3.7109375" style="125" customWidth="1"/>
    <col min="8081" max="8081" width="9.7109375" style="125" customWidth="1"/>
    <col min="8082" max="8083" width="3.7109375" style="125" customWidth="1"/>
    <col min="8084" max="8084" width="9.7109375" style="125" customWidth="1"/>
    <col min="8085" max="8086" width="3.7109375" style="125" customWidth="1"/>
    <col min="8087" max="8087" width="9.7109375" style="125" customWidth="1"/>
    <col min="8088" max="8089" width="3.7109375" style="125" customWidth="1"/>
    <col min="8090" max="8090" width="9.7109375" style="125" customWidth="1"/>
    <col min="8091" max="8092" width="3.7109375" style="125" customWidth="1"/>
    <col min="8093" max="8093" width="9.7109375" style="125" customWidth="1"/>
    <col min="8094" max="8095" width="3.7109375" style="125" customWidth="1"/>
    <col min="8096" max="8096" width="9.7109375" style="125" customWidth="1"/>
    <col min="8097" max="8098" width="3.7109375" style="125" customWidth="1"/>
    <col min="8099" max="8099" width="9.7109375" style="125" customWidth="1"/>
    <col min="8100" max="8101" width="3.7109375" style="125" customWidth="1"/>
    <col min="8102" max="8102" width="9.7109375" style="125" customWidth="1"/>
    <col min="8103" max="8104" width="3.7109375" style="125" customWidth="1"/>
    <col min="8105" max="8105" width="9.7109375" style="125" customWidth="1"/>
    <col min="8106" max="8107" width="3.7109375" style="125" customWidth="1"/>
    <col min="8108" max="8108" width="9.7109375" style="125" customWidth="1"/>
    <col min="8109" max="8110" width="3.7109375" style="125" customWidth="1"/>
    <col min="8111" max="8111" width="9.7109375" style="125" customWidth="1"/>
    <col min="8112" max="8113" width="3.7109375" style="125" customWidth="1"/>
    <col min="8114" max="8114" width="9.7109375" style="125" customWidth="1"/>
    <col min="8115" max="8116" width="3.7109375" style="125" customWidth="1"/>
    <col min="8117" max="8117" width="9.7109375" style="125" customWidth="1"/>
    <col min="8118" max="8119" width="3.7109375" style="125" customWidth="1"/>
    <col min="8120" max="8120" width="9.7109375" style="125" customWidth="1"/>
    <col min="8121" max="8122" width="3.7109375" style="125" customWidth="1"/>
    <col min="8123" max="8123" width="9.7109375" style="125" customWidth="1"/>
    <col min="8124" max="8125" width="3.7109375" style="125" customWidth="1"/>
    <col min="8126" max="8126" width="9.7109375" style="125" customWidth="1"/>
    <col min="8127" max="8128" width="3.7109375" style="125" customWidth="1"/>
    <col min="8129" max="8129" width="9.7109375" style="125" customWidth="1"/>
    <col min="8130" max="8131" width="3.7109375" style="125" customWidth="1"/>
    <col min="8132" max="8132" width="9.7109375" style="125" customWidth="1"/>
    <col min="8133" max="8134" width="3.7109375" style="125" customWidth="1"/>
    <col min="8135" max="8135" width="9.7109375" style="125" customWidth="1"/>
    <col min="8136" max="8137" width="3.7109375" style="125" customWidth="1"/>
    <col min="8138" max="8138" width="9.7109375" style="125" customWidth="1"/>
    <col min="8139" max="8140" width="3.7109375" style="125" customWidth="1"/>
    <col min="8141" max="8141" width="9.7109375" style="125" customWidth="1"/>
    <col min="8142" max="8143" width="3.7109375" style="125" customWidth="1"/>
    <col min="8144" max="8144" width="9.7109375" style="125" customWidth="1"/>
    <col min="8145" max="8146" width="3.7109375" style="125" customWidth="1"/>
    <col min="8147" max="8147" width="9.7109375" style="125" customWidth="1"/>
    <col min="8148" max="8149" width="3.7109375" style="125" customWidth="1"/>
    <col min="8150" max="8150" width="9.7109375" style="125" customWidth="1"/>
    <col min="8151" max="8152" width="3.7109375" style="125" customWidth="1"/>
    <col min="8153" max="8153" width="9.7109375" style="125" customWidth="1"/>
    <col min="8154" max="8154" width="3.7109375" style="125" customWidth="1"/>
    <col min="8155" max="8192" width="8" style="125"/>
    <col min="8193" max="8193" width="30.7109375" style="125" customWidth="1"/>
    <col min="8194" max="8194" width="9.7109375" style="125" customWidth="1"/>
    <col min="8195" max="8195" width="3.7109375" style="125" customWidth="1"/>
    <col min="8196" max="8196" width="9.7109375" style="125" customWidth="1"/>
    <col min="8197" max="8198" width="3.7109375" style="125" customWidth="1"/>
    <col min="8199" max="8199" width="9.7109375" style="125" customWidth="1"/>
    <col min="8200" max="8201" width="3.7109375" style="125" customWidth="1"/>
    <col min="8202" max="8202" width="9.7109375" style="125" customWidth="1"/>
    <col min="8203" max="8204" width="3.7109375" style="125" customWidth="1"/>
    <col min="8205" max="8205" width="9.7109375" style="125" customWidth="1"/>
    <col min="8206" max="8207" width="3.7109375" style="125" customWidth="1"/>
    <col min="8208" max="8208" width="9.7109375" style="125" customWidth="1"/>
    <col min="8209" max="8210" width="3.7109375" style="125" customWidth="1"/>
    <col min="8211" max="8211" width="9.7109375" style="125" customWidth="1"/>
    <col min="8212" max="8213" width="3.7109375" style="125" customWidth="1"/>
    <col min="8214" max="8214" width="9.7109375" style="125" customWidth="1"/>
    <col min="8215" max="8216" width="3.7109375" style="125" customWidth="1"/>
    <col min="8217" max="8217" width="9.7109375" style="125" customWidth="1"/>
    <col min="8218" max="8219" width="3.7109375" style="125" customWidth="1"/>
    <col min="8220" max="8220" width="9.7109375" style="125" customWidth="1"/>
    <col min="8221" max="8222" width="3.7109375" style="125" customWidth="1"/>
    <col min="8223" max="8223" width="9.7109375" style="125" customWidth="1"/>
    <col min="8224" max="8225" width="3.7109375" style="125" customWidth="1"/>
    <col min="8226" max="8226" width="9.7109375" style="125" customWidth="1"/>
    <col min="8227" max="8228" width="3.7109375" style="125" customWidth="1"/>
    <col min="8229" max="8229" width="9.7109375" style="125" customWidth="1"/>
    <col min="8230" max="8231" width="3.7109375" style="125" customWidth="1"/>
    <col min="8232" max="8232" width="9.7109375" style="125" customWidth="1"/>
    <col min="8233" max="8234" width="3.7109375" style="125" customWidth="1"/>
    <col min="8235" max="8235" width="9.7109375" style="125" customWidth="1"/>
    <col min="8236" max="8237" width="3.7109375" style="125" customWidth="1"/>
    <col min="8238" max="8238" width="9.7109375" style="125" customWidth="1"/>
    <col min="8239" max="8240" width="3.7109375" style="125" customWidth="1"/>
    <col min="8241" max="8241" width="9.7109375" style="125" customWidth="1"/>
    <col min="8242" max="8243" width="3.7109375" style="125" customWidth="1"/>
    <col min="8244" max="8244" width="9.7109375" style="125" customWidth="1"/>
    <col min="8245" max="8246" width="3.7109375" style="125" customWidth="1"/>
    <col min="8247" max="8247" width="9.7109375" style="125" customWidth="1"/>
    <col min="8248" max="8249" width="3.7109375" style="125" customWidth="1"/>
    <col min="8250" max="8250" width="9.7109375" style="125" customWidth="1"/>
    <col min="8251" max="8252" width="3.7109375" style="125" customWidth="1"/>
    <col min="8253" max="8253" width="9.7109375" style="125" customWidth="1"/>
    <col min="8254" max="8255" width="3.7109375" style="125" customWidth="1"/>
    <col min="8256" max="8256" width="9.7109375" style="125" customWidth="1"/>
    <col min="8257" max="8258" width="3.7109375" style="125" customWidth="1"/>
    <col min="8259" max="8259" width="9.7109375" style="125" customWidth="1"/>
    <col min="8260" max="8261" width="3.7109375" style="125" customWidth="1"/>
    <col min="8262" max="8262" width="9.7109375" style="125" customWidth="1"/>
    <col min="8263" max="8264" width="3.7109375" style="125" customWidth="1"/>
    <col min="8265" max="8265" width="9.7109375" style="125" customWidth="1"/>
    <col min="8266" max="8267" width="3.7109375" style="125" customWidth="1"/>
    <col min="8268" max="8268" width="9.7109375" style="125" customWidth="1"/>
    <col min="8269" max="8270" width="3.7109375" style="125" customWidth="1"/>
    <col min="8271" max="8271" width="9.7109375" style="125" customWidth="1"/>
    <col min="8272" max="8273" width="3.7109375" style="125" customWidth="1"/>
    <col min="8274" max="8274" width="9.7109375" style="125" customWidth="1"/>
    <col min="8275" max="8276" width="3.7109375" style="125" customWidth="1"/>
    <col min="8277" max="8277" width="9.7109375" style="125" customWidth="1"/>
    <col min="8278" max="8279" width="3.7109375" style="125" customWidth="1"/>
    <col min="8280" max="8280" width="9.7109375" style="125" customWidth="1"/>
    <col min="8281" max="8282" width="3.7109375" style="125" customWidth="1"/>
    <col min="8283" max="8283" width="9.7109375" style="125" customWidth="1"/>
    <col min="8284" max="8285" width="3.7109375" style="125" customWidth="1"/>
    <col min="8286" max="8286" width="9.7109375" style="125" customWidth="1"/>
    <col min="8287" max="8288" width="3.7109375" style="125" customWidth="1"/>
    <col min="8289" max="8289" width="9.7109375" style="125" customWidth="1"/>
    <col min="8290" max="8291" width="3.7109375" style="125" customWidth="1"/>
    <col min="8292" max="8292" width="9.7109375" style="125" customWidth="1"/>
    <col min="8293" max="8294" width="3.7109375" style="125" customWidth="1"/>
    <col min="8295" max="8295" width="9.7109375" style="125" customWidth="1"/>
    <col min="8296" max="8297" width="3.7109375" style="125" customWidth="1"/>
    <col min="8298" max="8298" width="9.7109375" style="125" customWidth="1"/>
    <col min="8299" max="8300" width="3.7109375" style="125" customWidth="1"/>
    <col min="8301" max="8301" width="9.7109375" style="125" customWidth="1"/>
    <col min="8302" max="8303" width="3.7109375" style="125" customWidth="1"/>
    <col min="8304" max="8304" width="9.7109375" style="125" customWidth="1"/>
    <col min="8305" max="8306" width="3.7109375" style="125" customWidth="1"/>
    <col min="8307" max="8307" width="9.7109375" style="125" customWidth="1"/>
    <col min="8308" max="8309" width="3.7109375" style="125" customWidth="1"/>
    <col min="8310" max="8310" width="9.7109375" style="125" customWidth="1"/>
    <col min="8311" max="8312" width="3.7109375" style="125" customWidth="1"/>
    <col min="8313" max="8313" width="9.7109375" style="125" customWidth="1"/>
    <col min="8314" max="8315" width="3.7109375" style="125" customWidth="1"/>
    <col min="8316" max="8316" width="9.7109375" style="125" customWidth="1"/>
    <col min="8317" max="8318" width="3.7109375" style="125" customWidth="1"/>
    <col min="8319" max="8319" width="9.7109375" style="125" customWidth="1"/>
    <col min="8320" max="8321" width="3.7109375" style="125" customWidth="1"/>
    <col min="8322" max="8322" width="9.7109375" style="125" customWidth="1"/>
    <col min="8323" max="8324" width="3.7109375" style="125" customWidth="1"/>
    <col min="8325" max="8325" width="9.7109375" style="125" customWidth="1"/>
    <col min="8326" max="8327" width="3.7109375" style="125" customWidth="1"/>
    <col min="8328" max="8328" width="9.7109375" style="125" customWidth="1"/>
    <col min="8329" max="8330" width="3.7109375" style="125" customWidth="1"/>
    <col min="8331" max="8331" width="9.7109375" style="125" customWidth="1"/>
    <col min="8332" max="8333" width="3.7109375" style="125" customWidth="1"/>
    <col min="8334" max="8334" width="9.7109375" style="125" customWidth="1"/>
    <col min="8335" max="8336" width="3.7109375" style="125" customWidth="1"/>
    <col min="8337" max="8337" width="9.7109375" style="125" customWidth="1"/>
    <col min="8338" max="8339" width="3.7109375" style="125" customWidth="1"/>
    <col min="8340" max="8340" width="9.7109375" style="125" customWidth="1"/>
    <col min="8341" max="8342" width="3.7109375" style="125" customWidth="1"/>
    <col min="8343" max="8343" width="9.7109375" style="125" customWidth="1"/>
    <col min="8344" max="8345" width="3.7109375" style="125" customWidth="1"/>
    <col min="8346" max="8346" width="9.7109375" style="125" customWidth="1"/>
    <col min="8347" max="8348" width="3.7109375" style="125" customWidth="1"/>
    <col min="8349" max="8349" width="9.7109375" style="125" customWidth="1"/>
    <col min="8350" max="8351" width="3.7109375" style="125" customWidth="1"/>
    <col min="8352" max="8352" width="9.7109375" style="125" customWidth="1"/>
    <col min="8353" max="8354" width="3.7109375" style="125" customWidth="1"/>
    <col min="8355" max="8355" width="9.7109375" style="125" customWidth="1"/>
    <col min="8356" max="8357" width="3.7109375" style="125" customWidth="1"/>
    <col min="8358" max="8358" width="9.7109375" style="125" customWidth="1"/>
    <col min="8359" max="8360" width="3.7109375" style="125" customWidth="1"/>
    <col min="8361" max="8361" width="9.7109375" style="125" customWidth="1"/>
    <col min="8362" max="8363" width="3.7109375" style="125" customWidth="1"/>
    <col min="8364" max="8364" width="9.7109375" style="125" customWidth="1"/>
    <col min="8365" max="8366" width="3.7109375" style="125" customWidth="1"/>
    <col min="8367" max="8367" width="9.7109375" style="125" customWidth="1"/>
    <col min="8368" max="8369" width="3.7109375" style="125" customWidth="1"/>
    <col min="8370" max="8370" width="9.7109375" style="125" customWidth="1"/>
    <col min="8371" max="8372" width="3.7109375" style="125" customWidth="1"/>
    <col min="8373" max="8373" width="9.7109375" style="125" customWidth="1"/>
    <col min="8374" max="8375" width="3.7109375" style="125" customWidth="1"/>
    <col min="8376" max="8376" width="9.7109375" style="125" customWidth="1"/>
    <col min="8377" max="8378" width="3.7109375" style="125" customWidth="1"/>
    <col min="8379" max="8379" width="9.7109375" style="125" customWidth="1"/>
    <col min="8380" max="8381" width="3.7109375" style="125" customWidth="1"/>
    <col min="8382" max="8382" width="9.7109375" style="125" customWidth="1"/>
    <col min="8383" max="8384" width="3.7109375" style="125" customWidth="1"/>
    <col min="8385" max="8385" width="9.7109375" style="125" customWidth="1"/>
    <col min="8386" max="8387" width="3.7109375" style="125" customWidth="1"/>
    <col min="8388" max="8388" width="9.7109375" style="125" customWidth="1"/>
    <col min="8389" max="8390" width="3.7109375" style="125" customWidth="1"/>
    <col min="8391" max="8391" width="9.7109375" style="125" customWidth="1"/>
    <col min="8392" max="8393" width="3.7109375" style="125" customWidth="1"/>
    <col min="8394" max="8394" width="9.7109375" style="125" customWidth="1"/>
    <col min="8395" max="8396" width="3.7109375" style="125" customWidth="1"/>
    <col min="8397" max="8397" width="9.7109375" style="125" customWidth="1"/>
    <col min="8398" max="8399" width="3.7109375" style="125" customWidth="1"/>
    <col min="8400" max="8400" width="9.7109375" style="125" customWidth="1"/>
    <col min="8401" max="8402" width="3.7109375" style="125" customWidth="1"/>
    <col min="8403" max="8403" width="9.7109375" style="125" customWidth="1"/>
    <col min="8404" max="8405" width="3.7109375" style="125" customWidth="1"/>
    <col min="8406" max="8406" width="9.7109375" style="125" customWidth="1"/>
    <col min="8407" max="8408" width="3.7109375" style="125" customWidth="1"/>
    <col min="8409" max="8409" width="9.7109375" style="125" customWidth="1"/>
    <col min="8410" max="8410" width="3.7109375" style="125" customWidth="1"/>
    <col min="8411" max="8448" width="8" style="125"/>
    <col min="8449" max="8449" width="30.7109375" style="125" customWidth="1"/>
    <col min="8450" max="8450" width="9.7109375" style="125" customWidth="1"/>
    <col min="8451" max="8451" width="3.7109375" style="125" customWidth="1"/>
    <col min="8452" max="8452" width="9.7109375" style="125" customWidth="1"/>
    <col min="8453" max="8454" width="3.7109375" style="125" customWidth="1"/>
    <col min="8455" max="8455" width="9.7109375" style="125" customWidth="1"/>
    <col min="8456" max="8457" width="3.7109375" style="125" customWidth="1"/>
    <col min="8458" max="8458" width="9.7109375" style="125" customWidth="1"/>
    <col min="8459" max="8460" width="3.7109375" style="125" customWidth="1"/>
    <col min="8461" max="8461" width="9.7109375" style="125" customWidth="1"/>
    <col min="8462" max="8463" width="3.7109375" style="125" customWidth="1"/>
    <col min="8464" max="8464" width="9.7109375" style="125" customWidth="1"/>
    <col min="8465" max="8466" width="3.7109375" style="125" customWidth="1"/>
    <col min="8467" max="8467" width="9.7109375" style="125" customWidth="1"/>
    <col min="8468" max="8469" width="3.7109375" style="125" customWidth="1"/>
    <col min="8470" max="8470" width="9.7109375" style="125" customWidth="1"/>
    <col min="8471" max="8472" width="3.7109375" style="125" customWidth="1"/>
    <col min="8473" max="8473" width="9.7109375" style="125" customWidth="1"/>
    <col min="8474" max="8475" width="3.7109375" style="125" customWidth="1"/>
    <col min="8476" max="8476" width="9.7109375" style="125" customWidth="1"/>
    <col min="8477" max="8478" width="3.7109375" style="125" customWidth="1"/>
    <col min="8479" max="8479" width="9.7109375" style="125" customWidth="1"/>
    <col min="8480" max="8481" width="3.7109375" style="125" customWidth="1"/>
    <col min="8482" max="8482" width="9.7109375" style="125" customWidth="1"/>
    <col min="8483" max="8484" width="3.7109375" style="125" customWidth="1"/>
    <col min="8485" max="8485" width="9.7109375" style="125" customWidth="1"/>
    <col min="8486" max="8487" width="3.7109375" style="125" customWidth="1"/>
    <col min="8488" max="8488" width="9.7109375" style="125" customWidth="1"/>
    <col min="8489" max="8490" width="3.7109375" style="125" customWidth="1"/>
    <col min="8491" max="8491" width="9.7109375" style="125" customWidth="1"/>
    <col min="8492" max="8493" width="3.7109375" style="125" customWidth="1"/>
    <col min="8494" max="8494" width="9.7109375" style="125" customWidth="1"/>
    <col min="8495" max="8496" width="3.7109375" style="125" customWidth="1"/>
    <col min="8497" max="8497" width="9.7109375" style="125" customWidth="1"/>
    <col min="8498" max="8499" width="3.7109375" style="125" customWidth="1"/>
    <col min="8500" max="8500" width="9.7109375" style="125" customWidth="1"/>
    <col min="8501" max="8502" width="3.7109375" style="125" customWidth="1"/>
    <col min="8503" max="8503" width="9.7109375" style="125" customWidth="1"/>
    <col min="8504" max="8505" width="3.7109375" style="125" customWidth="1"/>
    <col min="8506" max="8506" width="9.7109375" style="125" customWidth="1"/>
    <col min="8507" max="8508" width="3.7109375" style="125" customWidth="1"/>
    <col min="8509" max="8509" width="9.7109375" style="125" customWidth="1"/>
    <col min="8510" max="8511" width="3.7109375" style="125" customWidth="1"/>
    <col min="8512" max="8512" width="9.7109375" style="125" customWidth="1"/>
    <col min="8513" max="8514" width="3.7109375" style="125" customWidth="1"/>
    <col min="8515" max="8515" width="9.7109375" style="125" customWidth="1"/>
    <col min="8516" max="8517" width="3.7109375" style="125" customWidth="1"/>
    <col min="8518" max="8518" width="9.7109375" style="125" customWidth="1"/>
    <col min="8519" max="8520" width="3.7109375" style="125" customWidth="1"/>
    <col min="8521" max="8521" width="9.7109375" style="125" customWidth="1"/>
    <col min="8522" max="8523" width="3.7109375" style="125" customWidth="1"/>
    <col min="8524" max="8524" width="9.7109375" style="125" customWidth="1"/>
    <col min="8525" max="8526" width="3.7109375" style="125" customWidth="1"/>
    <col min="8527" max="8527" width="9.7109375" style="125" customWidth="1"/>
    <col min="8528" max="8529" width="3.7109375" style="125" customWidth="1"/>
    <col min="8530" max="8530" width="9.7109375" style="125" customWidth="1"/>
    <col min="8531" max="8532" width="3.7109375" style="125" customWidth="1"/>
    <col min="8533" max="8533" width="9.7109375" style="125" customWidth="1"/>
    <col min="8534" max="8535" width="3.7109375" style="125" customWidth="1"/>
    <col min="8536" max="8536" width="9.7109375" style="125" customWidth="1"/>
    <col min="8537" max="8538" width="3.7109375" style="125" customWidth="1"/>
    <col min="8539" max="8539" width="9.7109375" style="125" customWidth="1"/>
    <col min="8540" max="8541" width="3.7109375" style="125" customWidth="1"/>
    <col min="8542" max="8542" width="9.7109375" style="125" customWidth="1"/>
    <col min="8543" max="8544" width="3.7109375" style="125" customWidth="1"/>
    <col min="8545" max="8545" width="9.7109375" style="125" customWidth="1"/>
    <col min="8546" max="8547" width="3.7109375" style="125" customWidth="1"/>
    <col min="8548" max="8548" width="9.7109375" style="125" customWidth="1"/>
    <col min="8549" max="8550" width="3.7109375" style="125" customWidth="1"/>
    <col min="8551" max="8551" width="9.7109375" style="125" customWidth="1"/>
    <col min="8552" max="8553" width="3.7109375" style="125" customWidth="1"/>
    <col min="8554" max="8554" width="9.7109375" style="125" customWidth="1"/>
    <col min="8555" max="8556" width="3.7109375" style="125" customWidth="1"/>
    <col min="8557" max="8557" width="9.7109375" style="125" customWidth="1"/>
    <col min="8558" max="8559" width="3.7109375" style="125" customWidth="1"/>
    <col min="8560" max="8560" width="9.7109375" style="125" customWidth="1"/>
    <col min="8561" max="8562" width="3.7109375" style="125" customWidth="1"/>
    <col min="8563" max="8563" width="9.7109375" style="125" customWidth="1"/>
    <col min="8564" max="8565" width="3.7109375" style="125" customWidth="1"/>
    <col min="8566" max="8566" width="9.7109375" style="125" customWidth="1"/>
    <col min="8567" max="8568" width="3.7109375" style="125" customWidth="1"/>
    <col min="8569" max="8569" width="9.7109375" style="125" customWidth="1"/>
    <col min="8570" max="8571" width="3.7109375" style="125" customWidth="1"/>
    <col min="8572" max="8572" width="9.7109375" style="125" customWidth="1"/>
    <col min="8573" max="8574" width="3.7109375" style="125" customWidth="1"/>
    <col min="8575" max="8575" width="9.7109375" style="125" customWidth="1"/>
    <col min="8576" max="8577" width="3.7109375" style="125" customWidth="1"/>
    <col min="8578" max="8578" width="9.7109375" style="125" customWidth="1"/>
    <col min="8579" max="8580" width="3.7109375" style="125" customWidth="1"/>
    <col min="8581" max="8581" width="9.7109375" style="125" customWidth="1"/>
    <col min="8582" max="8583" width="3.7109375" style="125" customWidth="1"/>
    <col min="8584" max="8584" width="9.7109375" style="125" customWidth="1"/>
    <col min="8585" max="8586" width="3.7109375" style="125" customWidth="1"/>
    <col min="8587" max="8587" width="9.7109375" style="125" customWidth="1"/>
    <col min="8588" max="8589" width="3.7109375" style="125" customWidth="1"/>
    <col min="8590" max="8590" width="9.7109375" style="125" customWidth="1"/>
    <col min="8591" max="8592" width="3.7109375" style="125" customWidth="1"/>
    <col min="8593" max="8593" width="9.7109375" style="125" customWidth="1"/>
    <col min="8594" max="8595" width="3.7109375" style="125" customWidth="1"/>
    <col min="8596" max="8596" width="9.7109375" style="125" customWidth="1"/>
    <col min="8597" max="8598" width="3.7109375" style="125" customWidth="1"/>
    <col min="8599" max="8599" width="9.7109375" style="125" customWidth="1"/>
    <col min="8600" max="8601" width="3.7109375" style="125" customWidth="1"/>
    <col min="8602" max="8602" width="9.7109375" style="125" customWidth="1"/>
    <col min="8603" max="8604" width="3.7109375" style="125" customWidth="1"/>
    <col min="8605" max="8605" width="9.7109375" style="125" customWidth="1"/>
    <col min="8606" max="8607" width="3.7109375" style="125" customWidth="1"/>
    <col min="8608" max="8608" width="9.7109375" style="125" customWidth="1"/>
    <col min="8609" max="8610" width="3.7109375" style="125" customWidth="1"/>
    <col min="8611" max="8611" width="9.7109375" style="125" customWidth="1"/>
    <col min="8612" max="8613" width="3.7109375" style="125" customWidth="1"/>
    <col min="8614" max="8614" width="9.7109375" style="125" customWidth="1"/>
    <col min="8615" max="8616" width="3.7109375" style="125" customWidth="1"/>
    <col min="8617" max="8617" width="9.7109375" style="125" customWidth="1"/>
    <col min="8618" max="8619" width="3.7109375" style="125" customWidth="1"/>
    <col min="8620" max="8620" width="9.7109375" style="125" customWidth="1"/>
    <col min="8621" max="8622" width="3.7109375" style="125" customWidth="1"/>
    <col min="8623" max="8623" width="9.7109375" style="125" customWidth="1"/>
    <col min="8624" max="8625" width="3.7109375" style="125" customWidth="1"/>
    <col min="8626" max="8626" width="9.7109375" style="125" customWidth="1"/>
    <col min="8627" max="8628" width="3.7109375" style="125" customWidth="1"/>
    <col min="8629" max="8629" width="9.7109375" style="125" customWidth="1"/>
    <col min="8630" max="8631" width="3.7109375" style="125" customWidth="1"/>
    <col min="8632" max="8632" width="9.7109375" style="125" customWidth="1"/>
    <col min="8633" max="8634" width="3.7109375" style="125" customWidth="1"/>
    <col min="8635" max="8635" width="9.7109375" style="125" customWidth="1"/>
    <col min="8636" max="8637" width="3.7109375" style="125" customWidth="1"/>
    <col min="8638" max="8638" width="9.7109375" style="125" customWidth="1"/>
    <col min="8639" max="8640" width="3.7109375" style="125" customWidth="1"/>
    <col min="8641" max="8641" width="9.7109375" style="125" customWidth="1"/>
    <col min="8642" max="8643" width="3.7109375" style="125" customWidth="1"/>
    <col min="8644" max="8644" width="9.7109375" style="125" customWidth="1"/>
    <col min="8645" max="8646" width="3.7109375" style="125" customWidth="1"/>
    <col min="8647" max="8647" width="9.7109375" style="125" customWidth="1"/>
    <col min="8648" max="8649" width="3.7109375" style="125" customWidth="1"/>
    <col min="8650" max="8650" width="9.7109375" style="125" customWidth="1"/>
    <col min="8651" max="8652" width="3.7109375" style="125" customWidth="1"/>
    <col min="8653" max="8653" width="9.7109375" style="125" customWidth="1"/>
    <col min="8654" max="8655" width="3.7109375" style="125" customWidth="1"/>
    <col min="8656" max="8656" width="9.7109375" style="125" customWidth="1"/>
    <col min="8657" max="8658" width="3.7109375" style="125" customWidth="1"/>
    <col min="8659" max="8659" width="9.7109375" style="125" customWidth="1"/>
    <col min="8660" max="8661" width="3.7109375" style="125" customWidth="1"/>
    <col min="8662" max="8662" width="9.7109375" style="125" customWidth="1"/>
    <col min="8663" max="8664" width="3.7109375" style="125" customWidth="1"/>
    <col min="8665" max="8665" width="9.7109375" style="125" customWidth="1"/>
    <col min="8666" max="8666" width="3.7109375" style="125" customWidth="1"/>
    <col min="8667" max="8704" width="8" style="125"/>
    <col min="8705" max="8705" width="30.7109375" style="125" customWidth="1"/>
    <col min="8706" max="8706" width="9.7109375" style="125" customWidth="1"/>
    <col min="8707" max="8707" width="3.7109375" style="125" customWidth="1"/>
    <col min="8708" max="8708" width="9.7109375" style="125" customWidth="1"/>
    <col min="8709" max="8710" width="3.7109375" style="125" customWidth="1"/>
    <col min="8711" max="8711" width="9.7109375" style="125" customWidth="1"/>
    <col min="8712" max="8713" width="3.7109375" style="125" customWidth="1"/>
    <col min="8714" max="8714" width="9.7109375" style="125" customWidth="1"/>
    <col min="8715" max="8716" width="3.7109375" style="125" customWidth="1"/>
    <col min="8717" max="8717" width="9.7109375" style="125" customWidth="1"/>
    <col min="8718" max="8719" width="3.7109375" style="125" customWidth="1"/>
    <col min="8720" max="8720" width="9.7109375" style="125" customWidth="1"/>
    <col min="8721" max="8722" width="3.7109375" style="125" customWidth="1"/>
    <col min="8723" max="8723" width="9.7109375" style="125" customWidth="1"/>
    <col min="8724" max="8725" width="3.7109375" style="125" customWidth="1"/>
    <col min="8726" max="8726" width="9.7109375" style="125" customWidth="1"/>
    <col min="8727" max="8728" width="3.7109375" style="125" customWidth="1"/>
    <col min="8729" max="8729" width="9.7109375" style="125" customWidth="1"/>
    <col min="8730" max="8731" width="3.7109375" style="125" customWidth="1"/>
    <col min="8732" max="8732" width="9.7109375" style="125" customWidth="1"/>
    <col min="8733" max="8734" width="3.7109375" style="125" customWidth="1"/>
    <col min="8735" max="8735" width="9.7109375" style="125" customWidth="1"/>
    <col min="8736" max="8737" width="3.7109375" style="125" customWidth="1"/>
    <col min="8738" max="8738" width="9.7109375" style="125" customWidth="1"/>
    <col min="8739" max="8740" width="3.7109375" style="125" customWidth="1"/>
    <col min="8741" max="8741" width="9.7109375" style="125" customWidth="1"/>
    <col min="8742" max="8743" width="3.7109375" style="125" customWidth="1"/>
    <col min="8744" max="8744" width="9.7109375" style="125" customWidth="1"/>
    <col min="8745" max="8746" width="3.7109375" style="125" customWidth="1"/>
    <col min="8747" max="8747" width="9.7109375" style="125" customWidth="1"/>
    <col min="8748" max="8749" width="3.7109375" style="125" customWidth="1"/>
    <col min="8750" max="8750" width="9.7109375" style="125" customWidth="1"/>
    <col min="8751" max="8752" width="3.7109375" style="125" customWidth="1"/>
    <col min="8753" max="8753" width="9.7109375" style="125" customWidth="1"/>
    <col min="8754" max="8755" width="3.7109375" style="125" customWidth="1"/>
    <col min="8756" max="8756" width="9.7109375" style="125" customWidth="1"/>
    <col min="8757" max="8758" width="3.7109375" style="125" customWidth="1"/>
    <col min="8759" max="8759" width="9.7109375" style="125" customWidth="1"/>
    <col min="8760" max="8761" width="3.7109375" style="125" customWidth="1"/>
    <col min="8762" max="8762" width="9.7109375" style="125" customWidth="1"/>
    <col min="8763" max="8764" width="3.7109375" style="125" customWidth="1"/>
    <col min="8765" max="8765" width="9.7109375" style="125" customWidth="1"/>
    <col min="8766" max="8767" width="3.7109375" style="125" customWidth="1"/>
    <col min="8768" max="8768" width="9.7109375" style="125" customWidth="1"/>
    <col min="8769" max="8770" width="3.7109375" style="125" customWidth="1"/>
    <col min="8771" max="8771" width="9.7109375" style="125" customWidth="1"/>
    <col min="8772" max="8773" width="3.7109375" style="125" customWidth="1"/>
    <col min="8774" max="8774" width="9.7109375" style="125" customWidth="1"/>
    <col min="8775" max="8776" width="3.7109375" style="125" customWidth="1"/>
    <col min="8777" max="8777" width="9.7109375" style="125" customWidth="1"/>
    <col min="8778" max="8779" width="3.7109375" style="125" customWidth="1"/>
    <col min="8780" max="8780" width="9.7109375" style="125" customWidth="1"/>
    <col min="8781" max="8782" width="3.7109375" style="125" customWidth="1"/>
    <col min="8783" max="8783" width="9.7109375" style="125" customWidth="1"/>
    <col min="8784" max="8785" width="3.7109375" style="125" customWidth="1"/>
    <col min="8786" max="8786" width="9.7109375" style="125" customWidth="1"/>
    <col min="8787" max="8788" width="3.7109375" style="125" customWidth="1"/>
    <col min="8789" max="8789" width="9.7109375" style="125" customWidth="1"/>
    <col min="8790" max="8791" width="3.7109375" style="125" customWidth="1"/>
    <col min="8792" max="8792" width="9.7109375" style="125" customWidth="1"/>
    <col min="8793" max="8794" width="3.7109375" style="125" customWidth="1"/>
    <col min="8795" max="8795" width="9.7109375" style="125" customWidth="1"/>
    <col min="8796" max="8797" width="3.7109375" style="125" customWidth="1"/>
    <col min="8798" max="8798" width="9.7109375" style="125" customWidth="1"/>
    <col min="8799" max="8800" width="3.7109375" style="125" customWidth="1"/>
    <col min="8801" max="8801" width="9.7109375" style="125" customWidth="1"/>
    <col min="8802" max="8803" width="3.7109375" style="125" customWidth="1"/>
    <col min="8804" max="8804" width="9.7109375" style="125" customWidth="1"/>
    <col min="8805" max="8806" width="3.7109375" style="125" customWidth="1"/>
    <col min="8807" max="8807" width="9.7109375" style="125" customWidth="1"/>
    <col min="8808" max="8809" width="3.7109375" style="125" customWidth="1"/>
    <col min="8810" max="8810" width="9.7109375" style="125" customWidth="1"/>
    <col min="8811" max="8812" width="3.7109375" style="125" customWidth="1"/>
    <col min="8813" max="8813" width="9.7109375" style="125" customWidth="1"/>
    <col min="8814" max="8815" width="3.7109375" style="125" customWidth="1"/>
    <col min="8816" max="8816" width="9.7109375" style="125" customWidth="1"/>
    <col min="8817" max="8818" width="3.7109375" style="125" customWidth="1"/>
    <col min="8819" max="8819" width="9.7109375" style="125" customWidth="1"/>
    <col min="8820" max="8821" width="3.7109375" style="125" customWidth="1"/>
    <col min="8822" max="8822" width="9.7109375" style="125" customWidth="1"/>
    <col min="8823" max="8824" width="3.7109375" style="125" customWidth="1"/>
    <col min="8825" max="8825" width="9.7109375" style="125" customWidth="1"/>
    <col min="8826" max="8827" width="3.7109375" style="125" customWidth="1"/>
    <col min="8828" max="8828" width="9.7109375" style="125" customWidth="1"/>
    <col min="8829" max="8830" width="3.7109375" style="125" customWidth="1"/>
    <col min="8831" max="8831" width="9.7109375" style="125" customWidth="1"/>
    <col min="8832" max="8833" width="3.7109375" style="125" customWidth="1"/>
    <col min="8834" max="8834" width="9.7109375" style="125" customWidth="1"/>
    <col min="8835" max="8836" width="3.7109375" style="125" customWidth="1"/>
    <col min="8837" max="8837" width="9.7109375" style="125" customWidth="1"/>
    <col min="8838" max="8839" width="3.7109375" style="125" customWidth="1"/>
    <col min="8840" max="8840" width="9.7109375" style="125" customWidth="1"/>
    <col min="8841" max="8842" width="3.7109375" style="125" customWidth="1"/>
    <col min="8843" max="8843" width="9.7109375" style="125" customWidth="1"/>
    <col min="8844" max="8845" width="3.7109375" style="125" customWidth="1"/>
    <col min="8846" max="8846" width="9.7109375" style="125" customWidth="1"/>
    <col min="8847" max="8848" width="3.7109375" style="125" customWidth="1"/>
    <col min="8849" max="8849" width="9.7109375" style="125" customWidth="1"/>
    <col min="8850" max="8851" width="3.7109375" style="125" customWidth="1"/>
    <col min="8852" max="8852" width="9.7109375" style="125" customWidth="1"/>
    <col min="8853" max="8854" width="3.7109375" style="125" customWidth="1"/>
    <col min="8855" max="8855" width="9.7109375" style="125" customWidth="1"/>
    <col min="8856" max="8857" width="3.7109375" style="125" customWidth="1"/>
    <col min="8858" max="8858" width="9.7109375" style="125" customWidth="1"/>
    <col min="8859" max="8860" width="3.7109375" style="125" customWidth="1"/>
    <col min="8861" max="8861" width="9.7109375" style="125" customWidth="1"/>
    <col min="8862" max="8863" width="3.7109375" style="125" customWidth="1"/>
    <col min="8864" max="8864" width="9.7109375" style="125" customWidth="1"/>
    <col min="8865" max="8866" width="3.7109375" style="125" customWidth="1"/>
    <col min="8867" max="8867" width="9.7109375" style="125" customWidth="1"/>
    <col min="8868" max="8869" width="3.7109375" style="125" customWidth="1"/>
    <col min="8870" max="8870" width="9.7109375" style="125" customWidth="1"/>
    <col min="8871" max="8872" width="3.7109375" style="125" customWidth="1"/>
    <col min="8873" max="8873" width="9.7109375" style="125" customWidth="1"/>
    <col min="8874" max="8875" width="3.7109375" style="125" customWidth="1"/>
    <col min="8876" max="8876" width="9.7109375" style="125" customWidth="1"/>
    <col min="8877" max="8878" width="3.7109375" style="125" customWidth="1"/>
    <col min="8879" max="8879" width="9.7109375" style="125" customWidth="1"/>
    <col min="8880" max="8881" width="3.7109375" style="125" customWidth="1"/>
    <col min="8882" max="8882" width="9.7109375" style="125" customWidth="1"/>
    <col min="8883" max="8884" width="3.7109375" style="125" customWidth="1"/>
    <col min="8885" max="8885" width="9.7109375" style="125" customWidth="1"/>
    <col min="8886" max="8887" width="3.7109375" style="125" customWidth="1"/>
    <col min="8888" max="8888" width="9.7109375" style="125" customWidth="1"/>
    <col min="8889" max="8890" width="3.7109375" style="125" customWidth="1"/>
    <col min="8891" max="8891" width="9.7109375" style="125" customWidth="1"/>
    <col min="8892" max="8893" width="3.7109375" style="125" customWidth="1"/>
    <col min="8894" max="8894" width="9.7109375" style="125" customWidth="1"/>
    <col min="8895" max="8896" width="3.7109375" style="125" customWidth="1"/>
    <col min="8897" max="8897" width="9.7109375" style="125" customWidth="1"/>
    <col min="8898" max="8899" width="3.7109375" style="125" customWidth="1"/>
    <col min="8900" max="8900" width="9.7109375" style="125" customWidth="1"/>
    <col min="8901" max="8902" width="3.7109375" style="125" customWidth="1"/>
    <col min="8903" max="8903" width="9.7109375" style="125" customWidth="1"/>
    <col min="8904" max="8905" width="3.7109375" style="125" customWidth="1"/>
    <col min="8906" max="8906" width="9.7109375" style="125" customWidth="1"/>
    <col min="8907" max="8908" width="3.7109375" style="125" customWidth="1"/>
    <col min="8909" max="8909" width="9.7109375" style="125" customWidth="1"/>
    <col min="8910" max="8911" width="3.7109375" style="125" customWidth="1"/>
    <col min="8912" max="8912" width="9.7109375" style="125" customWidth="1"/>
    <col min="8913" max="8914" width="3.7109375" style="125" customWidth="1"/>
    <col min="8915" max="8915" width="9.7109375" style="125" customWidth="1"/>
    <col min="8916" max="8917" width="3.7109375" style="125" customWidth="1"/>
    <col min="8918" max="8918" width="9.7109375" style="125" customWidth="1"/>
    <col min="8919" max="8920" width="3.7109375" style="125" customWidth="1"/>
    <col min="8921" max="8921" width="9.7109375" style="125" customWidth="1"/>
    <col min="8922" max="8922" width="3.7109375" style="125" customWidth="1"/>
    <col min="8923" max="8960" width="8" style="125"/>
    <col min="8961" max="8961" width="30.7109375" style="125" customWidth="1"/>
    <col min="8962" max="8962" width="9.7109375" style="125" customWidth="1"/>
    <col min="8963" max="8963" width="3.7109375" style="125" customWidth="1"/>
    <col min="8964" max="8964" width="9.7109375" style="125" customWidth="1"/>
    <col min="8965" max="8966" width="3.7109375" style="125" customWidth="1"/>
    <col min="8967" max="8967" width="9.7109375" style="125" customWidth="1"/>
    <col min="8968" max="8969" width="3.7109375" style="125" customWidth="1"/>
    <col min="8970" max="8970" width="9.7109375" style="125" customWidth="1"/>
    <col min="8971" max="8972" width="3.7109375" style="125" customWidth="1"/>
    <col min="8973" max="8973" width="9.7109375" style="125" customWidth="1"/>
    <col min="8974" max="8975" width="3.7109375" style="125" customWidth="1"/>
    <col min="8976" max="8976" width="9.7109375" style="125" customWidth="1"/>
    <col min="8977" max="8978" width="3.7109375" style="125" customWidth="1"/>
    <col min="8979" max="8979" width="9.7109375" style="125" customWidth="1"/>
    <col min="8980" max="8981" width="3.7109375" style="125" customWidth="1"/>
    <col min="8982" max="8982" width="9.7109375" style="125" customWidth="1"/>
    <col min="8983" max="8984" width="3.7109375" style="125" customWidth="1"/>
    <col min="8985" max="8985" width="9.7109375" style="125" customWidth="1"/>
    <col min="8986" max="8987" width="3.7109375" style="125" customWidth="1"/>
    <col min="8988" max="8988" width="9.7109375" style="125" customWidth="1"/>
    <col min="8989" max="8990" width="3.7109375" style="125" customWidth="1"/>
    <col min="8991" max="8991" width="9.7109375" style="125" customWidth="1"/>
    <col min="8992" max="8993" width="3.7109375" style="125" customWidth="1"/>
    <col min="8994" max="8994" width="9.7109375" style="125" customWidth="1"/>
    <col min="8995" max="8996" width="3.7109375" style="125" customWidth="1"/>
    <col min="8997" max="8997" width="9.7109375" style="125" customWidth="1"/>
    <col min="8998" max="8999" width="3.7109375" style="125" customWidth="1"/>
    <col min="9000" max="9000" width="9.7109375" style="125" customWidth="1"/>
    <col min="9001" max="9002" width="3.7109375" style="125" customWidth="1"/>
    <col min="9003" max="9003" width="9.7109375" style="125" customWidth="1"/>
    <col min="9004" max="9005" width="3.7109375" style="125" customWidth="1"/>
    <col min="9006" max="9006" width="9.7109375" style="125" customWidth="1"/>
    <col min="9007" max="9008" width="3.7109375" style="125" customWidth="1"/>
    <col min="9009" max="9009" width="9.7109375" style="125" customWidth="1"/>
    <col min="9010" max="9011" width="3.7109375" style="125" customWidth="1"/>
    <col min="9012" max="9012" width="9.7109375" style="125" customWidth="1"/>
    <col min="9013" max="9014" width="3.7109375" style="125" customWidth="1"/>
    <col min="9015" max="9015" width="9.7109375" style="125" customWidth="1"/>
    <col min="9016" max="9017" width="3.7109375" style="125" customWidth="1"/>
    <col min="9018" max="9018" width="9.7109375" style="125" customWidth="1"/>
    <col min="9019" max="9020" width="3.7109375" style="125" customWidth="1"/>
    <col min="9021" max="9021" width="9.7109375" style="125" customWidth="1"/>
    <col min="9022" max="9023" width="3.7109375" style="125" customWidth="1"/>
    <col min="9024" max="9024" width="9.7109375" style="125" customWidth="1"/>
    <col min="9025" max="9026" width="3.7109375" style="125" customWidth="1"/>
    <col min="9027" max="9027" width="9.7109375" style="125" customWidth="1"/>
    <col min="9028" max="9029" width="3.7109375" style="125" customWidth="1"/>
    <col min="9030" max="9030" width="9.7109375" style="125" customWidth="1"/>
    <col min="9031" max="9032" width="3.7109375" style="125" customWidth="1"/>
    <col min="9033" max="9033" width="9.7109375" style="125" customWidth="1"/>
    <col min="9034" max="9035" width="3.7109375" style="125" customWidth="1"/>
    <col min="9036" max="9036" width="9.7109375" style="125" customWidth="1"/>
    <col min="9037" max="9038" width="3.7109375" style="125" customWidth="1"/>
    <col min="9039" max="9039" width="9.7109375" style="125" customWidth="1"/>
    <col min="9040" max="9041" width="3.7109375" style="125" customWidth="1"/>
    <col min="9042" max="9042" width="9.7109375" style="125" customWidth="1"/>
    <col min="9043" max="9044" width="3.7109375" style="125" customWidth="1"/>
    <col min="9045" max="9045" width="9.7109375" style="125" customWidth="1"/>
    <col min="9046" max="9047" width="3.7109375" style="125" customWidth="1"/>
    <col min="9048" max="9048" width="9.7109375" style="125" customWidth="1"/>
    <col min="9049" max="9050" width="3.7109375" style="125" customWidth="1"/>
    <col min="9051" max="9051" width="9.7109375" style="125" customWidth="1"/>
    <col min="9052" max="9053" width="3.7109375" style="125" customWidth="1"/>
    <col min="9054" max="9054" width="9.7109375" style="125" customWidth="1"/>
    <col min="9055" max="9056" width="3.7109375" style="125" customWidth="1"/>
    <col min="9057" max="9057" width="9.7109375" style="125" customWidth="1"/>
    <col min="9058" max="9059" width="3.7109375" style="125" customWidth="1"/>
    <col min="9060" max="9060" width="9.7109375" style="125" customWidth="1"/>
    <col min="9061" max="9062" width="3.7109375" style="125" customWidth="1"/>
    <col min="9063" max="9063" width="9.7109375" style="125" customWidth="1"/>
    <col min="9064" max="9065" width="3.7109375" style="125" customWidth="1"/>
    <col min="9066" max="9066" width="9.7109375" style="125" customWidth="1"/>
    <col min="9067" max="9068" width="3.7109375" style="125" customWidth="1"/>
    <col min="9069" max="9069" width="9.7109375" style="125" customWidth="1"/>
    <col min="9070" max="9071" width="3.7109375" style="125" customWidth="1"/>
    <col min="9072" max="9072" width="9.7109375" style="125" customWidth="1"/>
    <col min="9073" max="9074" width="3.7109375" style="125" customWidth="1"/>
    <col min="9075" max="9075" width="9.7109375" style="125" customWidth="1"/>
    <col min="9076" max="9077" width="3.7109375" style="125" customWidth="1"/>
    <col min="9078" max="9078" width="9.7109375" style="125" customWidth="1"/>
    <col min="9079" max="9080" width="3.7109375" style="125" customWidth="1"/>
    <col min="9081" max="9081" width="9.7109375" style="125" customWidth="1"/>
    <col min="9082" max="9083" width="3.7109375" style="125" customWidth="1"/>
    <col min="9084" max="9084" width="9.7109375" style="125" customWidth="1"/>
    <col min="9085" max="9086" width="3.7109375" style="125" customWidth="1"/>
    <col min="9087" max="9087" width="9.7109375" style="125" customWidth="1"/>
    <col min="9088" max="9089" width="3.7109375" style="125" customWidth="1"/>
    <col min="9090" max="9090" width="9.7109375" style="125" customWidth="1"/>
    <col min="9091" max="9092" width="3.7109375" style="125" customWidth="1"/>
    <col min="9093" max="9093" width="9.7109375" style="125" customWidth="1"/>
    <col min="9094" max="9095" width="3.7109375" style="125" customWidth="1"/>
    <col min="9096" max="9096" width="9.7109375" style="125" customWidth="1"/>
    <col min="9097" max="9098" width="3.7109375" style="125" customWidth="1"/>
    <col min="9099" max="9099" width="9.7109375" style="125" customWidth="1"/>
    <col min="9100" max="9101" width="3.7109375" style="125" customWidth="1"/>
    <col min="9102" max="9102" width="9.7109375" style="125" customWidth="1"/>
    <col min="9103" max="9104" width="3.7109375" style="125" customWidth="1"/>
    <col min="9105" max="9105" width="9.7109375" style="125" customWidth="1"/>
    <col min="9106" max="9107" width="3.7109375" style="125" customWidth="1"/>
    <col min="9108" max="9108" width="9.7109375" style="125" customWidth="1"/>
    <col min="9109" max="9110" width="3.7109375" style="125" customWidth="1"/>
    <col min="9111" max="9111" width="9.7109375" style="125" customWidth="1"/>
    <col min="9112" max="9113" width="3.7109375" style="125" customWidth="1"/>
    <col min="9114" max="9114" width="9.7109375" style="125" customWidth="1"/>
    <col min="9115" max="9116" width="3.7109375" style="125" customWidth="1"/>
    <col min="9117" max="9117" width="9.7109375" style="125" customWidth="1"/>
    <col min="9118" max="9119" width="3.7109375" style="125" customWidth="1"/>
    <col min="9120" max="9120" width="9.7109375" style="125" customWidth="1"/>
    <col min="9121" max="9122" width="3.7109375" style="125" customWidth="1"/>
    <col min="9123" max="9123" width="9.7109375" style="125" customWidth="1"/>
    <col min="9124" max="9125" width="3.7109375" style="125" customWidth="1"/>
    <col min="9126" max="9126" width="9.7109375" style="125" customWidth="1"/>
    <col min="9127" max="9128" width="3.7109375" style="125" customWidth="1"/>
    <col min="9129" max="9129" width="9.7109375" style="125" customWidth="1"/>
    <col min="9130" max="9131" width="3.7109375" style="125" customWidth="1"/>
    <col min="9132" max="9132" width="9.7109375" style="125" customWidth="1"/>
    <col min="9133" max="9134" width="3.7109375" style="125" customWidth="1"/>
    <col min="9135" max="9135" width="9.7109375" style="125" customWidth="1"/>
    <col min="9136" max="9137" width="3.7109375" style="125" customWidth="1"/>
    <col min="9138" max="9138" width="9.7109375" style="125" customWidth="1"/>
    <col min="9139" max="9140" width="3.7109375" style="125" customWidth="1"/>
    <col min="9141" max="9141" width="9.7109375" style="125" customWidth="1"/>
    <col min="9142" max="9143" width="3.7109375" style="125" customWidth="1"/>
    <col min="9144" max="9144" width="9.7109375" style="125" customWidth="1"/>
    <col min="9145" max="9146" width="3.7109375" style="125" customWidth="1"/>
    <col min="9147" max="9147" width="9.7109375" style="125" customWidth="1"/>
    <col min="9148" max="9149" width="3.7109375" style="125" customWidth="1"/>
    <col min="9150" max="9150" width="9.7109375" style="125" customWidth="1"/>
    <col min="9151" max="9152" width="3.7109375" style="125" customWidth="1"/>
    <col min="9153" max="9153" width="9.7109375" style="125" customWidth="1"/>
    <col min="9154" max="9155" width="3.7109375" style="125" customWidth="1"/>
    <col min="9156" max="9156" width="9.7109375" style="125" customWidth="1"/>
    <col min="9157" max="9158" width="3.7109375" style="125" customWidth="1"/>
    <col min="9159" max="9159" width="9.7109375" style="125" customWidth="1"/>
    <col min="9160" max="9161" width="3.7109375" style="125" customWidth="1"/>
    <col min="9162" max="9162" width="9.7109375" style="125" customWidth="1"/>
    <col min="9163" max="9164" width="3.7109375" style="125" customWidth="1"/>
    <col min="9165" max="9165" width="9.7109375" style="125" customWidth="1"/>
    <col min="9166" max="9167" width="3.7109375" style="125" customWidth="1"/>
    <col min="9168" max="9168" width="9.7109375" style="125" customWidth="1"/>
    <col min="9169" max="9170" width="3.7109375" style="125" customWidth="1"/>
    <col min="9171" max="9171" width="9.7109375" style="125" customWidth="1"/>
    <col min="9172" max="9173" width="3.7109375" style="125" customWidth="1"/>
    <col min="9174" max="9174" width="9.7109375" style="125" customWidth="1"/>
    <col min="9175" max="9176" width="3.7109375" style="125" customWidth="1"/>
    <col min="9177" max="9177" width="9.7109375" style="125" customWidth="1"/>
    <col min="9178" max="9178" width="3.7109375" style="125" customWidth="1"/>
    <col min="9179" max="9216" width="8" style="125"/>
    <col min="9217" max="9217" width="30.7109375" style="125" customWidth="1"/>
    <col min="9218" max="9218" width="9.7109375" style="125" customWidth="1"/>
    <col min="9219" max="9219" width="3.7109375" style="125" customWidth="1"/>
    <col min="9220" max="9220" width="9.7109375" style="125" customWidth="1"/>
    <col min="9221" max="9222" width="3.7109375" style="125" customWidth="1"/>
    <col min="9223" max="9223" width="9.7109375" style="125" customWidth="1"/>
    <col min="9224" max="9225" width="3.7109375" style="125" customWidth="1"/>
    <col min="9226" max="9226" width="9.7109375" style="125" customWidth="1"/>
    <col min="9227" max="9228" width="3.7109375" style="125" customWidth="1"/>
    <col min="9229" max="9229" width="9.7109375" style="125" customWidth="1"/>
    <col min="9230" max="9231" width="3.7109375" style="125" customWidth="1"/>
    <col min="9232" max="9232" width="9.7109375" style="125" customWidth="1"/>
    <col min="9233" max="9234" width="3.7109375" style="125" customWidth="1"/>
    <col min="9235" max="9235" width="9.7109375" style="125" customWidth="1"/>
    <col min="9236" max="9237" width="3.7109375" style="125" customWidth="1"/>
    <col min="9238" max="9238" width="9.7109375" style="125" customWidth="1"/>
    <col min="9239" max="9240" width="3.7109375" style="125" customWidth="1"/>
    <col min="9241" max="9241" width="9.7109375" style="125" customWidth="1"/>
    <col min="9242" max="9243" width="3.7109375" style="125" customWidth="1"/>
    <col min="9244" max="9244" width="9.7109375" style="125" customWidth="1"/>
    <col min="9245" max="9246" width="3.7109375" style="125" customWidth="1"/>
    <col min="9247" max="9247" width="9.7109375" style="125" customWidth="1"/>
    <col min="9248" max="9249" width="3.7109375" style="125" customWidth="1"/>
    <col min="9250" max="9250" width="9.7109375" style="125" customWidth="1"/>
    <col min="9251" max="9252" width="3.7109375" style="125" customWidth="1"/>
    <col min="9253" max="9253" width="9.7109375" style="125" customWidth="1"/>
    <col min="9254" max="9255" width="3.7109375" style="125" customWidth="1"/>
    <col min="9256" max="9256" width="9.7109375" style="125" customWidth="1"/>
    <col min="9257" max="9258" width="3.7109375" style="125" customWidth="1"/>
    <col min="9259" max="9259" width="9.7109375" style="125" customWidth="1"/>
    <col min="9260" max="9261" width="3.7109375" style="125" customWidth="1"/>
    <col min="9262" max="9262" width="9.7109375" style="125" customWidth="1"/>
    <col min="9263" max="9264" width="3.7109375" style="125" customWidth="1"/>
    <col min="9265" max="9265" width="9.7109375" style="125" customWidth="1"/>
    <col min="9266" max="9267" width="3.7109375" style="125" customWidth="1"/>
    <col min="9268" max="9268" width="9.7109375" style="125" customWidth="1"/>
    <col min="9269" max="9270" width="3.7109375" style="125" customWidth="1"/>
    <col min="9271" max="9271" width="9.7109375" style="125" customWidth="1"/>
    <col min="9272" max="9273" width="3.7109375" style="125" customWidth="1"/>
    <col min="9274" max="9274" width="9.7109375" style="125" customWidth="1"/>
    <col min="9275" max="9276" width="3.7109375" style="125" customWidth="1"/>
    <col min="9277" max="9277" width="9.7109375" style="125" customWidth="1"/>
    <col min="9278" max="9279" width="3.7109375" style="125" customWidth="1"/>
    <col min="9280" max="9280" width="9.7109375" style="125" customWidth="1"/>
    <col min="9281" max="9282" width="3.7109375" style="125" customWidth="1"/>
    <col min="9283" max="9283" width="9.7109375" style="125" customWidth="1"/>
    <col min="9284" max="9285" width="3.7109375" style="125" customWidth="1"/>
    <col min="9286" max="9286" width="9.7109375" style="125" customWidth="1"/>
    <col min="9287" max="9288" width="3.7109375" style="125" customWidth="1"/>
    <col min="9289" max="9289" width="9.7109375" style="125" customWidth="1"/>
    <col min="9290" max="9291" width="3.7109375" style="125" customWidth="1"/>
    <col min="9292" max="9292" width="9.7109375" style="125" customWidth="1"/>
    <col min="9293" max="9294" width="3.7109375" style="125" customWidth="1"/>
    <col min="9295" max="9295" width="9.7109375" style="125" customWidth="1"/>
    <col min="9296" max="9297" width="3.7109375" style="125" customWidth="1"/>
    <col min="9298" max="9298" width="9.7109375" style="125" customWidth="1"/>
    <col min="9299" max="9300" width="3.7109375" style="125" customWidth="1"/>
    <col min="9301" max="9301" width="9.7109375" style="125" customWidth="1"/>
    <col min="9302" max="9303" width="3.7109375" style="125" customWidth="1"/>
    <col min="9304" max="9304" width="9.7109375" style="125" customWidth="1"/>
    <col min="9305" max="9306" width="3.7109375" style="125" customWidth="1"/>
    <col min="9307" max="9307" width="9.7109375" style="125" customWidth="1"/>
    <col min="9308" max="9309" width="3.7109375" style="125" customWidth="1"/>
    <col min="9310" max="9310" width="9.7109375" style="125" customWidth="1"/>
    <col min="9311" max="9312" width="3.7109375" style="125" customWidth="1"/>
    <col min="9313" max="9313" width="9.7109375" style="125" customWidth="1"/>
    <col min="9314" max="9315" width="3.7109375" style="125" customWidth="1"/>
    <col min="9316" max="9316" width="9.7109375" style="125" customWidth="1"/>
    <col min="9317" max="9318" width="3.7109375" style="125" customWidth="1"/>
    <col min="9319" max="9319" width="9.7109375" style="125" customWidth="1"/>
    <col min="9320" max="9321" width="3.7109375" style="125" customWidth="1"/>
    <col min="9322" max="9322" width="9.7109375" style="125" customWidth="1"/>
    <col min="9323" max="9324" width="3.7109375" style="125" customWidth="1"/>
    <col min="9325" max="9325" width="9.7109375" style="125" customWidth="1"/>
    <col min="9326" max="9327" width="3.7109375" style="125" customWidth="1"/>
    <col min="9328" max="9328" width="9.7109375" style="125" customWidth="1"/>
    <col min="9329" max="9330" width="3.7109375" style="125" customWidth="1"/>
    <col min="9331" max="9331" width="9.7109375" style="125" customWidth="1"/>
    <col min="9332" max="9333" width="3.7109375" style="125" customWidth="1"/>
    <col min="9334" max="9334" width="9.7109375" style="125" customWidth="1"/>
    <col min="9335" max="9336" width="3.7109375" style="125" customWidth="1"/>
    <col min="9337" max="9337" width="9.7109375" style="125" customWidth="1"/>
    <col min="9338" max="9339" width="3.7109375" style="125" customWidth="1"/>
    <col min="9340" max="9340" width="9.7109375" style="125" customWidth="1"/>
    <col min="9341" max="9342" width="3.7109375" style="125" customWidth="1"/>
    <col min="9343" max="9343" width="9.7109375" style="125" customWidth="1"/>
    <col min="9344" max="9345" width="3.7109375" style="125" customWidth="1"/>
    <col min="9346" max="9346" width="9.7109375" style="125" customWidth="1"/>
    <col min="9347" max="9348" width="3.7109375" style="125" customWidth="1"/>
    <col min="9349" max="9349" width="9.7109375" style="125" customWidth="1"/>
    <col min="9350" max="9351" width="3.7109375" style="125" customWidth="1"/>
    <col min="9352" max="9352" width="9.7109375" style="125" customWidth="1"/>
    <col min="9353" max="9354" width="3.7109375" style="125" customWidth="1"/>
    <col min="9355" max="9355" width="9.7109375" style="125" customWidth="1"/>
    <col min="9356" max="9357" width="3.7109375" style="125" customWidth="1"/>
    <col min="9358" max="9358" width="9.7109375" style="125" customWidth="1"/>
    <col min="9359" max="9360" width="3.7109375" style="125" customWidth="1"/>
    <col min="9361" max="9361" width="9.7109375" style="125" customWidth="1"/>
    <col min="9362" max="9363" width="3.7109375" style="125" customWidth="1"/>
    <col min="9364" max="9364" width="9.7109375" style="125" customWidth="1"/>
    <col min="9365" max="9366" width="3.7109375" style="125" customWidth="1"/>
    <col min="9367" max="9367" width="9.7109375" style="125" customWidth="1"/>
    <col min="9368" max="9369" width="3.7109375" style="125" customWidth="1"/>
    <col min="9370" max="9370" width="9.7109375" style="125" customWidth="1"/>
    <col min="9371" max="9372" width="3.7109375" style="125" customWidth="1"/>
    <col min="9373" max="9373" width="9.7109375" style="125" customWidth="1"/>
    <col min="9374" max="9375" width="3.7109375" style="125" customWidth="1"/>
    <col min="9376" max="9376" width="9.7109375" style="125" customWidth="1"/>
    <col min="9377" max="9378" width="3.7109375" style="125" customWidth="1"/>
    <col min="9379" max="9379" width="9.7109375" style="125" customWidth="1"/>
    <col min="9380" max="9381" width="3.7109375" style="125" customWidth="1"/>
    <col min="9382" max="9382" width="9.7109375" style="125" customWidth="1"/>
    <col min="9383" max="9384" width="3.7109375" style="125" customWidth="1"/>
    <col min="9385" max="9385" width="9.7109375" style="125" customWidth="1"/>
    <col min="9386" max="9387" width="3.7109375" style="125" customWidth="1"/>
    <col min="9388" max="9388" width="9.7109375" style="125" customWidth="1"/>
    <col min="9389" max="9390" width="3.7109375" style="125" customWidth="1"/>
    <col min="9391" max="9391" width="9.7109375" style="125" customWidth="1"/>
    <col min="9392" max="9393" width="3.7109375" style="125" customWidth="1"/>
    <col min="9394" max="9394" width="9.7109375" style="125" customWidth="1"/>
    <col min="9395" max="9396" width="3.7109375" style="125" customWidth="1"/>
    <col min="9397" max="9397" width="9.7109375" style="125" customWidth="1"/>
    <col min="9398" max="9399" width="3.7109375" style="125" customWidth="1"/>
    <col min="9400" max="9400" width="9.7109375" style="125" customWidth="1"/>
    <col min="9401" max="9402" width="3.7109375" style="125" customWidth="1"/>
    <col min="9403" max="9403" width="9.7109375" style="125" customWidth="1"/>
    <col min="9404" max="9405" width="3.7109375" style="125" customWidth="1"/>
    <col min="9406" max="9406" width="9.7109375" style="125" customWidth="1"/>
    <col min="9407" max="9408" width="3.7109375" style="125" customWidth="1"/>
    <col min="9409" max="9409" width="9.7109375" style="125" customWidth="1"/>
    <col min="9410" max="9411" width="3.7109375" style="125" customWidth="1"/>
    <col min="9412" max="9412" width="9.7109375" style="125" customWidth="1"/>
    <col min="9413" max="9414" width="3.7109375" style="125" customWidth="1"/>
    <col min="9415" max="9415" width="9.7109375" style="125" customWidth="1"/>
    <col min="9416" max="9417" width="3.7109375" style="125" customWidth="1"/>
    <col min="9418" max="9418" width="9.7109375" style="125" customWidth="1"/>
    <col min="9419" max="9420" width="3.7109375" style="125" customWidth="1"/>
    <col min="9421" max="9421" width="9.7109375" style="125" customWidth="1"/>
    <col min="9422" max="9423" width="3.7109375" style="125" customWidth="1"/>
    <col min="9424" max="9424" width="9.7109375" style="125" customWidth="1"/>
    <col min="9425" max="9426" width="3.7109375" style="125" customWidth="1"/>
    <col min="9427" max="9427" width="9.7109375" style="125" customWidth="1"/>
    <col min="9428" max="9429" width="3.7109375" style="125" customWidth="1"/>
    <col min="9430" max="9430" width="9.7109375" style="125" customWidth="1"/>
    <col min="9431" max="9432" width="3.7109375" style="125" customWidth="1"/>
    <col min="9433" max="9433" width="9.7109375" style="125" customWidth="1"/>
    <col min="9434" max="9434" width="3.7109375" style="125" customWidth="1"/>
    <col min="9435" max="9472" width="8" style="125"/>
    <col min="9473" max="9473" width="30.7109375" style="125" customWidth="1"/>
    <col min="9474" max="9474" width="9.7109375" style="125" customWidth="1"/>
    <col min="9475" max="9475" width="3.7109375" style="125" customWidth="1"/>
    <col min="9476" max="9476" width="9.7109375" style="125" customWidth="1"/>
    <col min="9477" max="9478" width="3.7109375" style="125" customWidth="1"/>
    <col min="9479" max="9479" width="9.7109375" style="125" customWidth="1"/>
    <col min="9480" max="9481" width="3.7109375" style="125" customWidth="1"/>
    <col min="9482" max="9482" width="9.7109375" style="125" customWidth="1"/>
    <col min="9483" max="9484" width="3.7109375" style="125" customWidth="1"/>
    <col min="9485" max="9485" width="9.7109375" style="125" customWidth="1"/>
    <col min="9486" max="9487" width="3.7109375" style="125" customWidth="1"/>
    <col min="9488" max="9488" width="9.7109375" style="125" customWidth="1"/>
    <col min="9489" max="9490" width="3.7109375" style="125" customWidth="1"/>
    <col min="9491" max="9491" width="9.7109375" style="125" customWidth="1"/>
    <col min="9492" max="9493" width="3.7109375" style="125" customWidth="1"/>
    <col min="9494" max="9494" width="9.7109375" style="125" customWidth="1"/>
    <col min="9495" max="9496" width="3.7109375" style="125" customWidth="1"/>
    <col min="9497" max="9497" width="9.7109375" style="125" customWidth="1"/>
    <col min="9498" max="9499" width="3.7109375" style="125" customWidth="1"/>
    <col min="9500" max="9500" width="9.7109375" style="125" customWidth="1"/>
    <col min="9501" max="9502" width="3.7109375" style="125" customWidth="1"/>
    <col min="9503" max="9503" width="9.7109375" style="125" customWidth="1"/>
    <col min="9504" max="9505" width="3.7109375" style="125" customWidth="1"/>
    <col min="9506" max="9506" width="9.7109375" style="125" customWidth="1"/>
    <col min="9507" max="9508" width="3.7109375" style="125" customWidth="1"/>
    <col min="9509" max="9509" width="9.7109375" style="125" customWidth="1"/>
    <col min="9510" max="9511" width="3.7109375" style="125" customWidth="1"/>
    <col min="9512" max="9512" width="9.7109375" style="125" customWidth="1"/>
    <col min="9513" max="9514" width="3.7109375" style="125" customWidth="1"/>
    <col min="9515" max="9515" width="9.7109375" style="125" customWidth="1"/>
    <col min="9516" max="9517" width="3.7109375" style="125" customWidth="1"/>
    <col min="9518" max="9518" width="9.7109375" style="125" customWidth="1"/>
    <col min="9519" max="9520" width="3.7109375" style="125" customWidth="1"/>
    <col min="9521" max="9521" width="9.7109375" style="125" customWidth="1"/>
    <col min="9522" max="9523" width="3.7109375" style="125" customWidth="1"/>
    <col min="9524" max="9524" width="9.7109375" style="125" customWidth="1"/>
    <col min="9525" max="9526" width="3.7109375" style="125" customWidth="1"/>
    <col min="9527" max="9527" width="9.7109375" style="125" customWidth="1"/>
    <col min="9528" max="9529" width="3.7109375" style="125" customWidth="1"/>
    <col min="9530" max="9530" width="9.7109375" style="125" customWidth="1"/>
    <col min="9531" max="9532" width="3.7109375" style="125" customWidth="1"/>
    <col min="9533" max="9533" width="9.7109375" style="125" customWidth="1"/>
    <col min="9534" max="9535" width="3.7109375" style="125" customWidth="1"/>
    <col min="9536" max="9536" width="9.7109375" style="125" customWidth="1"/>
    <col min="9537" max="9538" width="3.7109375" style="125" customWidth="1"/>
    <col min="9539" max="9539" width="9.7109375" style="125" customWidth="1"/>
    <col min="9540" max="9541" width="3.7109375" style="125" customWidth="1"/>
    <col min="9542" max="9542" width="9.7109375" style="125" customWidth="1"/>
    <col min="9543" max="9544" width="3.7109375" style="125" customWidth="1"/>
    <col min="9545" max="9545" width="9.7109375" style="125" customWidth="1"/>
    <col min="9546" max="9547" width="3.7109375" style="125" customWidth="1"/>
    <col min="9548" max="9548" width="9.7109375" style="125" customWidth="1"/>
    <col min="9549" max="9550" width="3.7109375" style="125" customWidth="1"/>
    <col min="9551" max="9551" width="9.7109375" style="125" customWidth="1"/>
    <col min="9552" max="9553" width="3.7109375" style="125" customWidth="1"/>
    <col min="9554" max="9554" width="9.7109375" style="125" customWidth="1"/>
    <col min="9555" max="9556" width="3.7109375" style="125" customWidth="1"/>
    <col min="9557" max="9557" width="9.7109375" style="125" customWidth="1"/>
    <col min="9558" max="9559" width="3.7109375" style="125" customWidth="1"/>
    <col min="9560" max="9560" width="9.7109375" style="125" customWidth="1"/>
    <col min="9561" max="9562" width="3.7109375" style="125" customWidth="1"/>
    <col min="9563" max="9563" width="9.7109375" style="125" customWidth="1"/>
    <col min="9564" max="9565" width="3.7109375" style="125" customWidth="1"/>
    <col min="9566" max="9566" width="9.7109375" style="125" customWidth="1"/>
    <col min="9567" max="9568" width="3.7109375" style="125" customWidth="1"/>
    <col min="9569" max="9569" width="9.7109375" style="125" customWidth="1"/>
    <col min="9570" max="9571" width="3.7109375" style="125" customWidth="1"/>
    <col min="9572" max="9572" width="9.7109375" style="125" customWidth="1"/>
    <col min="9573" max="9574" width="3.7109375" style="125" customWidth="1"/>
    <col min="9575" max="9575" width="9.7109375" style="125" customWidth="1"/>
    <col min="9576" max="9577" width="3.7109375" style="125" customWidth="1"/>
    <col min="9578" max="9578" width="9.7109375" style="125" customWidth="1"/>
    <col min="9579" max="9580" width="3.7109375" style="125" customWidth="1"/>
    <col min="9581" max="9581" width="9.7109375" style="125" customWidth="1"/>
    <col min="9582" max="9583" width="3.7109375" style="125" customWidth="1"/>
    <col min="9584" max="9584" width="9.7109375" style="125" customWidth="1"/>
    <col min="9585" max="9586" width="3.7109375" style="125" customWidth="1"/>
    <col min="9587" max="9587" width="9.7109375" style="125" customWidth="1"/>
    <col min="9588" max="9589" width="3.7109375" style="125" customWidth="1"/>
    <col min="9590" max="9590" width="9.7109375" style="125" customWidth="1"/>
    <col min="9591" max="9592" width="3.7109375" style="125" customWidth="1"/>
    <col min="9593" max="9593" width="9.7109375" style="125" customWidth="1"/>
    <col min="9594" max="9595" width="3.7109375" style="125" customWidth="1"/>
    <col min="9596" max="9596" width="9.7109375" style="125" customWidth="1"/>
    <col min="9597" max="9598" width="3.7109375" style="125" customWidth="1"/>
    <col min="9599" max="9599" width="9.7109375" style="125" customWidth="1"/>
    <col min="9600" max="9601" width="3.7109375" style="125" customWidth="1"/>
    <col min="9602" max="9602" width="9.7109375" style="125" customWidth="1"/>
    <col min="9603" max="9604" width="3.7109375" style="125" customWidth="1"/>
    <col min="9605" max="9605" width="9.7109375" style="125" customWidth="1"/>
    <col min="9606" max="9607" width="3.7109375" style="125" customWidth="1"/>
    <col min="9608" max="9608" width="9.7109375" style="125" customWidth="1"/>
    <col min="9609" max="9610" width="3.7109375" style="125" customWidth="1"/>
    <col min="9611" max="9611" width="9.7109375" style="125" customWidth="1"/>
    <col min="9612" max="9613" width="3.7109375" style="125" customWidth="1"/>
    <col min="9614" max="9614" width="9.7109375" style="125" customWidth="1"/>
    <col min="9615" max="9616" width="3.7109375" style="125" customWidth="1"/>
    <col min="9617" max="9617" width="9.7109375" style="125" customWidth="1"/>
    <col min="9618" max="9619" width="3.7109375" style="125" customWidth="1"/>
    <col min="9620" max="9620" width="9.7109375" style="125" customWidth="1"/>
    <col min="9621" max="9622" width="3.7109375" style="125" customWidth="1"/>
    <col min="9623" max="9623" width="9.7109375" style="125" customWidth="1"/>
    <col min="9624" max="9625" width="3.7109375" style="125" customWidth="1"/>
    <col min="9626" max="9626" width="9.7109375" style="125" customWidth="1"/>
    <col min="9627" max="9628" width="3.7109375" style="125" customWidth="1"/>
    <col min="9629" max="9629" width="9.7109375" style="125" customWidth="1"/>
    <col min="9630" max="9631" width="3.7109375" style="125" customWidth="1"/>
    <col min="9632" max="9632" width="9.7109375" style="125" customWidth="1"/>
    <col min="9633" max="9634" width="3.7109375" style="125" customWidth="1"/>
    <col min="9635" max="9635" width="9.7109375" style="125" customWidth="1"/>
    <col min="9636" max="9637" width="3.7109375" style="125" customWidth="1"/>
    <col min="9638" max="9638" width="9.7109375" style="125" customWidth="1"/>
    <col min="9639" max="9640" width="3.7109375" style="125" customWidth="1"/>
    <col min="9641" max="9641" width="9.7109375" style="125" customWidth="1"/>
    <col min="9642" max="9643" width="3.7109375" style="125" customWidth="1"/>
    <col min="9644" max="9644" width="9.7109375" style="125" customWidth="1"/>
    <col min="9645" max="9646" width="3.7109375" style="125" customWidth="1"/>
    <col min="9647" max="9647" width="9.7109375" style="125" customWidth="1"/>
    <col min="9648" max="9649" width="3.7109375" style="125" customWidth="1"/>
    <col min="9650" max="9650" width="9.7109375" style="125" customWidth="1"/>
    <col min="9651" max="9652" width="3.7109375" style="125" customWidth="1"/>
    <col min="9653" max="9653" width="9.7109375" style="125" customWidth="1"/>
    <col min="9654" max="9655" width="3.7109375" style="125" customWidth="1"/>
    <col min="9656" max="9656" width="9.7109375" style="125" customWidth="1"/>
    <col min="9657" max="9658" width="3.7109375" style="125" customWidth="1"/>
    <col min="9659" max="9659" width="9.7109375" style="125" customWidth="1"/>
    <col min="9660" max="9661" width="3.7109375" style="125" customWidth="1"/>
    <col min="9662" max="9662" width="9.7109375" style="125" customWidth="1"/>
    <col min="9663" max="9664" width="3.7109375" style="125" customWidth="1"/>
    <col min="9665" max="9665" width="9.7109375" style="125" customWidth="1"/>
    <col min="9666" max="9667" width="3.7109375" style="125" customWidth="1"/>
    <col min="9668" max="9668" width="9.7109375" style="125" customWidth="1"/>
    <col min="9669" max="9670" width="3.7109375" style="125" customWidth="1"/>
    <col min="9671" max="9671" width="9.7109375" style="125" customWidth="1"/>
    <col min="9672" max="9673" width="3.7109375" style="125" customWidth="1"/>
    <col min="9674" max="9674" width="9.7109375" style="125" customWidth="1"/>
    <col min="9675" max="9676" width="3.7109375" style="125" customWidth="1"/>
    <col min="9677" max="9677" width="9.7109375" style="125" customWidth="1"/>
    <col min="9678" max="9679" width="3.7109375" style="125" customWidth="1"/>
    <col min="9680" max="9680" width="9.7109375" style="125" customWidth="1"/>
    <col min="9681" max="9682" width="3.7109375" style="125" customWidth="1"/>
    <col min="9683" max="9683" width="9.7109375" style="125" customWidth="1"/>
    <col min="9684" max="9685" width="3.7109375" style="125" customWidth="1"/>
    <col min="9686" max="9686" width="9.7109375" style="125" customWidth="1"/>
    <col min="9687" max="9688" width="3.7109375" style="125" customWidth="1"/>
    <col min="9689" max="9689" width="9.7109375" style="125" customWidth="1"/>
    <col min="9690" max="9690" width="3.7109375" style="125" customWidth="1"/>
    <col min="9691" max="9728" width="8" style="125"/>
    <col min="9729" max="9729" width="30.7109375" style="125" customWidth="1"/>
    <col min="9730" max="9730" width="9.7109375" style="125" customWidth="1"/>
    <col min="9731" max="9731" width="3.7109375" style="125" customWidth="1"/>
    <col min="9732" max="9732" width="9.7109375" style="125" customWidth="1"/>
    <col min="9733" max="9734" width="3.7109375" style="125" customWidth="1"/>
    <col min="9735" max="9735" width="9.7109375" style="125" customWidth="1"/>
    <col min="9736" max="9737" width="3.7109375" style="125" customWidth="1"/>
    <col min="9738" max="9738" width="9.7109375" style="125" customWidth="1"/>
    <col min="9739" max="9740" width="3.7109375" style="125" customWidth="1"/>
    <col min="9741" max="9741" width="9.7109375" style="125" customWidth="1"/>
    <col min="9742" max="9743" width="3.7109375" style="125" customWidth="1"/>
    <col min="9744" max="9744" width="9.7109375" style="125" customWidth="1"/>
    <col min="9745" max="9746" width="3.7109375" style="125" customWidth="1"/>
    <col min="9747" max="9747" width="9.7109375" style="125" customWidth="1"/>
    <col min="9748" max="9749" width="3.7109375" style="125" customWidth="1"/>
    <col min="9750" max="9750" width="9.7109375" style="125" customWidth="1"/>
    <col min="9751" max="9752" width="3.7109375" style="125" customWidth="1"/>
    <col min="9753" max="9753" width="9.7109375" style="125" customWidth="1"/>
    <col min="9754" max="9755" width="3.7109375" style="125" customWidth="1"/>
    <col min="9756" max="9756" width="9.7109375" style="125" customWidth="1"/>
    <col min="9757" max="9758" width="3.7109375" style="125" customWidth="1"/>
    <col min="9759" max="9759" width="9.7109375" style="125" customWidth="1"/>
    <col min="9760" max="9761" width="3.7109375" style="125" customWidth="1"/>
    <col min="9762" max="9762" width="9.7109375" style="125" customWidth="1"/>
    <col min="9763" max="9764" width="3.7109375" style="125" customWidth="1"/>
    <col min="9765" max="9765" width="9.7109375" style="125" customWidth="1"/>
    <col min="9766" max="9767" width="3.7109375" style="125" customWidth="1"/>
    <col min="9768" max="9768" width="9.7109375" style="125" customWidth="1"/>
    <col min="9769" max="9770" width="3.7109375" style="125" customWidth="1"/>
    <col min="9771" max="9771" width="9.7109375" style="125" customWidth="1"/>
    <col min="9772" max="9773" width="3.7109375" style="125" customWidth="1"/>
    <col min="9774" max="9774" width="9.7109375" style="125" customWidth="1"/>
    <col min="9775" max="9776" width="3.7109375" style="125" customWidth="1"/>
    <col min="9777" max="9777" width="9.7109375" style="125" customWidth="1"/>
    <col min="9778" max="9779" width="3.7109375" style="125" customWidth="1"/>
    <col min="9780" max="9780" width="9.7109375" style="125" customWidth="1"/>
    <col min="9781" max="9782" width="3.7109375" style="125" customWidth="1"/>
    <col min="9783" max="9783" width="9.7109375" style="125" customWidth="1"/>
    <col min="9784" max="9785" width="3.7109375" style="125" customWidth="1"/>
    <col min="9786" max="9786" width="9.7109375" style="125" customWidth="1"/>
    <col min="9787" max="9788" width="3.7109375" style="125" customWidth="1"/>
    <col min="9789" max="9789" width="9.7109375" style="125" customWidth="1"/>
    <col min="9790" max="9791" width="3.7109375" style="125" customWidth="1"/>
    <col min="9792" max="9792" width="9.7109375" style="125" customWidth="1"/>
    <col min="9793" max="9794" width="3.7109375" style="125" customWidth="1"/>
    <col min="9795" max="9795" width="9.7109375" style="125" customWidth="1"/>
    <col min="9796" max="9797" width="3.7109375" style="125" customWidth="1"/>
    <col min="9798" max="9798" width="9.7109375" style="125" customWidth="1"/>
    <col min="9799" max="9800" width="3.7109375" style="125" customWidth="1"/>
    <col min="9801" max="9801" width="9.7109375" style="125" customWidth="1"/>
    <col min="9802" max="9803" width="3.7109375" style="125" customWidth="1"/>
    <col min="9804" max="9804" width="9.7109375" style="125" customWidth="1"/>
    <col min="9805" max="9806" width="3.7109375" style="125" customWidth="1"/>
    <col min="9807" max="9807" width="9.7109375" style="125" customWidth="1"/>
    <col min="9808" max="9809" width="3.7109375" style="125" customWidth="1"/>
    <col min="9810" max="9810" width="9.7109375" style="125" customWidth="1"/>
    <col min="9811" max="9812" width="3.7109375" style="125" customWidth="1"/>
    <col min="9813" max="9813" width="9.7109375" style="125" customWidth="1"/>
    <col min="9814" max="9815" width="3.7109375" style="125" customWidth="1"/>
    <col min="9816" max="9816" width="9.7109375" style="125" customWidth="1"/>
    <col min="9817" max="9818" width="3.7109375" style="125" customWidth="1"/>
    <col min="9819" max="9819" width="9.7109375" style="125" customWidth="1"/>
    <col min="9820" max="9821" width="3.7109375" style="125" customWidth="1"/>
    <col min="9822" max="9822" width="9.7109375" style="125" customWidth="1"/>
    <col min="9823" max="9824" width="3.7109375" style="125" customWidth="1"/>
    <col min="9825" max="9825" width="9.7109375" style="125" customWidth="1"/>
    <col min="9826" max="9827" width="3.7109375" style="125" customWidth="1"/>
    <col min="9828" max="9828" width="9.7109375" style="125" customWidth="1"/>
    <col min="9829" max="9830" width="3.7109375" style="125" customWidth="1"/>
    <col min="9831" max="9831" width="9.7109375" style="125" customWidth="1"/>
    <col min="9832" max="9833" width="3.7109375" style="125" customWidth="1"/>
    <col min="9834" max="9834" width="9.7109375" style="125" customWidth="1"/>
    <col min="9835" max="9836" width="3.7109375" style="125" customWidth="1"/>
    <col min="9837" max="9837" width="9.7109375" style="125" customWidth="1"/>
    <col min="9838" max="9839" width="3.7109375" style="125" customWidth="1"/>
    <col min="9840" max="9840" width="9.7109375" style="125" customWidth="1"/>
    <col min="9841" max="9842" width="3.7109375" style="125" customWidth="1"/>
    <col min="9843" max="9843" width="9.7109375" style="125" customWidth="1"/>
    <col min="9844" max="9845" width="3.7109375" style="125" customWidth="1"/>
    <col min="9846" max="9846" width="9.7109375" style="125" customWidth="1"/>
    <col min="9847" max="9848" width="3.7109375" style="125" customWidth="1"/>
    <col min="9849" max="9849" width="9.7109375" style="125" customWidth="1"/>
    <col min="9850" max="9851" width="3.7109375" style="125" customWidth="1"/>
    <col min="9852" max="9852" width="9.7109375" style="125" customWidth="1"/>
    <col min="9853" max="9854" width="3.7109375" style="125" customWidth="1"/>
    <col min="9855" max="9855" width="9.7109375" style="125" customWidth="1"/>
    <col min="9856" max="9857" width="3.7109375" style="125" customWidth="1"/>
    <col min="9858" max="9858" width="9.7109375" style="125" customWidth="1"/>
    <col min="9859" max="9860" width="3.7109375" style="125" customWidth="1"/>
    <col min="9861" max="9861" width="9.7109375" style="125" customWidth="1"/>
    <col min="9862" max="9863" width="3.7109375" style="125" customWidth="1"/>
    <col min="9864" max="9864" width="9.7109375" style="125" customWidth="1"/>
    <col min="9865" max="9866" width="3.7109375" style="125" customWidth="1"/>
    <col min="9867" max="9867" width="9.7109375" style="125" customWidth="1"/>
    <col min="9868" max="9869" width="3.7109375" style="125" customWidth="1"/>
    <col min="9870" max="9870" width="9.7109375" style="125" customWidth="1"/>
    <col min="9871" max="9872" width="3.7109375" style="125" customWidth="1"/>
    <col min="9873" max="9873" width="9.7109375" style="125" customWidth="1"/>
    <col min="9874" max="9875" width="3.7109375" style="125" customWidth="1"/>
    <col min="9876" max="9876" width="9.7109375" style="125" customWidth="1"/>
    <col min="9877" max="9878" width="3.7109375" style="125" customWidth="1"/>
    <col min="9879" max="9879" width="9.7109375" style="125" customWidth="1"/>
    <col min="9880" max="9881" width="3.7109375" style="125" customWidth="1"/>
    <col min="9882" max="9882" width="9.7109375" style="125" customWidth="1"/>
    <col min="9883" max="9884" width="3.7109375" style="125" customWidth="1"/>
    <col min="9885" max="9885" width="9.7109375" style="125" customWidth="1"/>
    <col min="9886" max="9887" width="3.7109375" style="125" customWidth="1"/>
    <col min="9888" max="9888" width="9.7109375" style="125" customWidth="1"/>
    <col min="9889" max="9890" width="3.7109375" style="125" customWidth="1"/>
    <col min="9891" max="9891" width="9.7109375" style="125" customWidth="1"/>
    <col min="9892" max="9893" width="3.7109375" style="125" customWidth="1"/>
    <col min="9894" max="9894" width="9.7109375" style="125" customWidth="1"/>
    <col min="9895" max="9896" width="3.7109375" style="125" customWidth="1"/>
    <col min="9897" max="9897" width="9.7109375" style="125" customWidth="1"/>
    <col min="9898" max="9899" width="3.7109375" style="125" customWidth="1"/>
    <col min="9900" max="9900" width="9.7109375" style="125" customWidth="1"/>
    <col min="9901" max="9902" width="3.7109375" style="125" customWidth="1"/>
    <col min="9903" max="9903" width="9.7109375" style="125" customWidth="1"/>
    <col min="9904" max="9905" width="3.7109375" style="125" customWidth="1"/>
    <col min="9906" max="9906" width="9.7109375" style="125" customWidth="1"/>
    <col min="9907" max="9908" width="3.7109375" style="125" customWidth="1"/>
    <col min="9909" max="9909" width="9.7109375" style="125" customWidth="1"/>
    <col min="9910" max="9911" width="3.7109375" style="125" customWidth="1"/>
    <col min="9912" max="9912" width="9.7109375" style="125" customWidth="1"/>
    <col min="9913" max="9914" width="3.7109375" style="125" customWidth="1"/>
    <col min="9915" max="9915" width="9.7109375" style="125" customWidth="1"/>
    <col min="9916" max="9917" width="3.7109375" style="125" customWidth="1"/>
    <col min="9918" max="9918" width="9.7109375" style="125" customWidth="1"/>
    <col min="9919" max="9920" width="3.7109375" style="125" customWidth="1"/>
    <col min="9921" max="9921" width="9.7109375" style="125" customWidth="1"/>
    <col min="9922" max="9923" width="3.7109375" style="125" customWidth="1"/>
    <col min="9924" max="9924" width="9.7109375" style="125" customWidth="1"/>
    <col min="9925" max="9926" width="3.7109375" style="125" customWidth="1"/>
    <col min="9927" max="9927" width="9.7109375" style="125" customWidth="1"/>
    <col min="9928" max="9929" width="3.7109375" style="125" customWidth="1"/>
    <col min="9930" max="9930" width="9.7109375" style="125" customWidth="1"/>
    <col min="9931" max="9932" width="3.7109375" style="125" customWidth="1"/>
    <col min="9933" max="9933" width="9.7109375" style="125" customWidth="1"/>
    <col min="9934" max="9935" width="3.7109375" style="125" customWidth="1"/>
    <col min="9936" max="9936" width="9.7109375" style="125" customWidth="1"/>
    <col min="9937" max="9938" width="3.7109375" style="125" customWidth="1"/>
    <col min="9939" max="9939" width="9.7109375" style="125" customWidth="1"/>
    <col min="9940" max="9941" width="3.7109375" style="125" customWidth="1"/>
    <col min="9942" max="9942" width="9.7109375" style="125" customWidth="1"/>
    <col min="9943" max="9944" width="3.7109375" style="125" customWidth="1"/>
    <col min="9945" max="9945" width="9.7109375" style="125" customWidth="1"/>
    <col min="9946" max="9946" width="3.7109375" style="125" customWidth="1"/>
    <col min="9947" max="9984" width="8" style="125"/>
    <col min="9985" max="9985" width="30.7109375" style="125" customWidth="1"/>
    <col min="9986" max="9986" width="9.7109375" style="125" customWidth="1"/>
    <col min="9987" max="9987" width="3.7109375" style="125" customWidth="1"/>
    <col min="9988" max="9988" width="9.7109375" style="125" customWidth="1"/>
    <col min="9989" max="9990" width="3.7109375" style="125" customWidth="1"/>
    <col min="9991" max="9991" width="9.7109375" style="125" customWidth="1"/>
    <col min="9992" max="9993" width="3.7109375" style="125" customWidth="1"/>
    <col min="9994" max="9994" width="9.7109375" style="125" customWidth="1"/>
    <col min="9995" max="9996" width="3.7109375" style="125" customWidth="1"/>
    <col min="9997" max="9997" width="9.7109375" style="125" customWidth="1"/>
    <col min="9998" max="9999" width="3.7109375" style="125" customWidth="1"/>
    <col min="10000" max="10000" width="9.7109375" style="125" customWidth="1"/>
    <col min="10001" max="10002" width="3.7109375" style="125" customWidth="1"/>
    <col min="10003" max="10003" width="9.7109375" style="125" customWidth="1"/>
    <col min="10004" max="10005" width="3.7109375" style="125" customWidth="1"/>
    <col min="10006" max="10006" width="9.7109375" style="125" customWidth="1"/>
    <col min="10007" max="10008" width="3.7109375" style="125" customWidth="1"/>
    <col min="10009" max="10009" width="9.7109375" style="125" customWidth="1"/>
    <col min="10010" max="10011" width="3.7109375" style="125" customWidth="1"/>
    <col min="10012" max="10012" width="9.7109375" style="125" customWidth="1"/>
    <col min="10013" max="10014" width="3.7109375" style="125" customWidth="1"/>
    <col min="10015" max="10015" width="9.7109375" style="125" customWidth="1"/>
    <col min="10016" max="10017" width="3.7109375" style="125" customWidth="1"/>
    <col min="10018" max="10018" width="9.7109375" style="125" customWidth="1"/>
    <col min="10019" max="10020" width="3.7109375" style="125" customWidth="1"/>
    <col min="10021" max="10021" width="9.7109375" style="125" customWidth="1"/>
    <col min="10022" max="10023" width="3.7109375" style="125" customWidth="1"/>
    <col min="10024" max="10024" width="9.7109375" style="125" customWidth="1"/>
    <col min="10025" max="10026" width="3.7109375" style="125" customWidth="1"/>
    <col min="10027" max="10027" width="9.7109375" style="125" customWidth="1"/>
    <col min="10028" max="10029" width="3.7109375" style="125" customWidth="1"/>
    <col min="10030" max="10030" width="9.7109375" style="125" customWidth="1"/>
    <col min="10031" max="10032" width="3.7109375" style="125" customWidth="1"/>
    <col min="10033" max="10033" width="9.7109375" style="125" customWidth="1"/>
    <col min="10034" max="10035" width="3.7109375" style="125" customWidth="1"/>
    <col min="10036" max="10036" width="9.7109375" style="125" customWidth="1"/>
    <col min="10037" max="10038" width="3.7109375" style="125" customWidth="1"/>
    <col min="10039" max="10039" width="9.7109375" style="125" customWidth="1"/>
    <col min="10040" max="10041" width="3.7109375" style="125" customWidth="1"/>
    <col min="10042" max="10042" width="9.7109375" style="125" customWidth="1"/>
    <col min="10043" max="10044" width="3.7109375" style="125" customWidth="1"/>
    <col min="10045" max="10045" width="9.7109375" style="125" customWidth="1"/>
    <col min="10046" max="10047" width="3.7109375" style="125" customWidth="1"/>
    <col min="10048" max="10048" width="9.7109375" style="125" customWidth="1"/>
    <col min="10049" max="10050" width="3.7109375" style="125" customWidth="1"/>
    <col min="10051" max="10051" width="9.7109375" style="125" customWidth="1"/>
    <col min="10052" max="10053" width="3.7109375" style="125" customWidth="1"/>
    <col min="10054" max="10054" width="9.7109375" style="125" customWidth="1"/>
    <col min="10055" max="10056" width="3.7109375" style="125" customWidth="1"/>
    <col min="10057" max="10057" width="9.7109375" style="125" customWidth="1"/>
    <col min="10058" max="10059" width="3.7109375" style="125" customWidth="1"/>
    <col min="10060" max="10060" width="9.7109375" style="125" customWidth="1"/>
    <col min="10061" max="10062" width="3.7109375" style="125" customWidth="1"/>
    <col min="10063" max="10063" width="9.7109375" style="125" customWidth="1"/>
    <col min="10064" max="10065" width="3.7109375" style="125" customWidth="1"/>
    <col min="10066" max="10066" width="9.7109375" style="125" customWidth="1"/>
    <col min="10067" max="10068" width="3.7109375" style="125" customWidth="1"/>
    <col min="10069" max="10069" width="9.7109375" style="125" customWidth="1"/>
    <col min="10070" max="10071" width="3.7109375" style="125" customWidth="1"/>
    <col min="10072" max="10072" width="9.7109375" style="125" customWidth="1"/>
    <col min="10073" max="10074" width="3.7109375" style="125" customWidth="1"/>
    <col min="10075" max="10075" width="9.7109375" style="125" customWidth="1"/>
    <col min="10076" max="10077" width="3.7109375" style="125" customWidth="1"/>
    <col min="10078" max="10078" width="9.7109375" style="125" customWidth="1"/>
    <col min="10079" max="10080" width="3.7109375" style="125" customWidth="1"/>
    <col min="10081" max="10081" width="9.7109375" style="125" customWidth="1"/>
    <col min="10082" max="10083" width="3.7109375" style="125" customWidth="1"/>
    <col min="10084" max="10084" width="9.7109375" style="125" customWidth="1"/>
    <col min="10085" max="10086" width="3.7109375" style="125" customWidth="1"/>
    <col min="10087" max="10087" width="9.7109375" style="125" customWidth="1"/>
    <col min="10088" max="10089" width="3.7109375" style="125" customWidth="1"/>
    <col min="10090" max="10090" width="9.7109375" style="125" customWidth="1"/>
    <col min="10091" max="10092" width="3.7109375" style="125" customWidth="1"/>
    <col min="10093" max="10093" width="9.7109375" style="125" customWidth="1"/>
    <col min="10094" max="10095" width="3.7109375" style="125" customWidth="1"/>
    <col min="10096" max="10096" width="9.7109375" style="125" customWidth="1"/>
    <col min="10097" max="10098" width="3.7109375" style="125" customWidth="1"/>
    <col min="10099" max="10099" width="9.7109375" style="125" customWidth="1"/>
    <col min="10100" max="10101" width="3.7109375" style="125" customWidth="1"/>
    <col min="10102" max="10102" width="9.7109375" style="125" customWidth="1"/>
    <col min="10103" max="10104" width="3.7109375" style="125" customWidth="1"/>
    <col min="10105" max="10105" width="9.7109375" style="125" customWidth="1"/>
    <col min="10106" max="10107" width="3.7109375" style="125" customWidth="1"/>
    <col min="10108" max="10108" width="9.7109375" style="125" customWidth="1"/>
    <col min="10109" max="10110" width="3.7109375" style="125" customWidth="1"/>
    <col min="10111" max="10111" width="9.7109375" style="125" customWidth="1"/>
    <col min="10112" max="10113" width="3.7109375" style="125" customWidth="1"/>
    <col min="10114" max="10114" width="9.7109375" style="125" customWidth="1"/>
    <col min="10115" max="10116" width="3.7109375" style="125" customWidth="1"/>
    <col min="10117" max="10117" width="9.7109375" style="125" customWidth="1"/>
    <col min="10118" max="10119" width="3.7109375" style="125" customWidth="1"/>
    <col min="10120" max="10120" width="9.7109375" style="125" customWidth="1"/>
    <col min="10121" max="10122" width="3.7109375" style="125" customWidth="1"/>
    <col min="10123" max="10123" width="9.7109375" style="125" customWidth="1"/>
    <col min="10124" max="10125" width="3.7109375" style="125" customWidth="1"/>
    <col min="10126" max="10126" width="9.7109375" style="125" customWidth="1"/>
    <col min="10127" max="10128" width="3.7109375" style="125" customWidth="1"/>
    <col min="10129" max="10129" width="9.7109375" style="125" customWidth="1"/>
    <col min="10130" max="10131" width="3.7109375" style="125" customWidth="1"/>
    <col min="10132" max="10132" width="9.7109375" style="125" customWidth="1"/>
    <col min="10133" max="10134" width="3.7109375" style="125" customWidth="1"/>
    <col min="10135" max="10135" width="9.7109375" style="125" customWidth="1"/>
    <col min="10136" max="10137" width="3.7109375" style="125" customWidth="1"/>
    <col min="10138" max="10138" width="9.7109375" style="125" customWidth="1"/>
    <col min="10139" max="10140" width="3.7109375" style="125" customWidth="1"/>
    <col min="10141" max="10141" width="9.7109375" style="125" customWidth="1"/>
    <col min="10142" max="10143" width="3.7109375" style="125" customWidth="1"/>
    <col min="10144" max="10144" width="9.7109375" style="125" customWidth="1"/>
    <col min="10145" max="10146" width="3.7109375" style="125" customWidth="1"/>
    <col min="10147" max="10147" width="9.7109375" style="125" customWidth="1"/>
    <col min="10148" max="10149" width="3.7109375" style="125" customWidth="1"/>
    <col min="10150" max="10150" width="9.7109375" style="125" customWidth="1"/>
    <col min="10151" max="10152" width="3.7109375" style="125" customWidth="1"/>
    <col min="10153" max="10153" width="9.7109375" style="125" customWidth="1"/>
    <col min="10154" max="10155" width="3.7109375" style="125" customWidth="1"/>
    <col min="10156" max="10156" width="9.7109375" style="125" customWidth="1"/>
    <col min="10157" max="10158" width="3.7109375" style="125" customWidth="1"/>
    <col min="10159" max="10159" width="9.7109375" style="125" customWidth="1"/>
    <col min="10160" max="10161" width="3.7109375" style="125" customWidth="1"/>
    <col min="10162" max="10162" width="9.7109375" style="125" customWidth="1"/>
    <col min="10163" max="10164" width="3.7109375" style="125" customWidth="1"/>
    <col min="10165" max="10165" width="9.7109375" style="125" customWidth="1"/>
    <col min="10166" max="10167" width="3.7109375" style="125" customWidth="1"/>
    <col min="10168" max="10168" width="9.7109375" style="125" customWidth="1"/>
    <col min="10169" max="10170" width="3.7109375" style="125" customWidth="1"/>
    <col min="10171" max="10171" width="9.7109375" style="125" customWidth="1"/>
    <col min="10172" max="10173" width="3.7109375" style="125" customWidth="1"/>
    <col min="10174" max="10174" width="9.7109375" style="125" customWidth="1"/>
    <col min="10175" max="10176" width="3.7109375" style="125" customWidth="1"/>
    <col min="10177" max="10177" width="9.7109375" style="125" customWidth="1"/>
    <col min="10178" max="10179" width="3.7109375" style="125" customWidth="1"/>
    <col min="10180" max="10180" width="9.7109375" style="125" customWidth="1"/>
    <col min="10181" max="10182" width="3.7109375" style="125" customWidth="1"/>
    <col min="10183" max="10183" width="9.7109375" style="125" customWidth="1"/>
    <col min="10184" max="10185" width="3.7109375" style="125" customWidth="1"/>
    <col min="10186" max="10186" width="9.7109375" style="125" customWidth="1"/>
    <col min="10187" max="10188" width="3.7109375" style="125" customWidth="1"/>
    <col min="10189" max="10189" width="9.7109375" style="125" customWidth="1"/>
    <col min="10190" max="10191" width="3.7109375" style="125" customWidth="1"/>
    <col min="10192" max="10192" width="9.7109375" style="125" customWidth="1"/>
    <col min="10193" max="10194" width="3.7109375" style="125" customWidth="1"/>
    <col min="10195" max="10195" width="9.7109375" style="125" customWidth="1"/>
    <col min="10196" max="10197" width="3.7109375" style="125" customWidth="1"/>
    <col min="10198" max="10198" width="9.7109375" style="125" customWidth="1"/>
    <col min="10199" max="10200" width="3.7109375" style="125" customWidth="1"/>
    <col min="10201" max="10201" width="9.7109375" style="125" customWidth="1"/>
    <col min="10202" max="10202" width="3.7109375" style="125" customWidth="1"/>
    <col min="10203" max="10240" width="8" style="125"/>
    <col min="10241" max="10241" width="30.7109375" style="125" customWidth="1"/>
    <col min="10242" max="10242" width="9.7109375" style="125" customWidth="1"/>
    <col min="10243" max="10243" width="3.7109375" style="125" customWidth="1"/>
    <col min="10244" max="10244" width="9.7109375" style="125" customWidth="1"/>
    <col min="10245" max="10246" width="3.7109375" style="125" customWidth="1"/>
    <col min="10247" max="10247" width="9.7109375" style="125" customWidth="1"/>
    <col min="10248" max="10249" width="3.7109375" style="125" customWidth="1"/>
    <col min="10250" max="10250" width="9.7109375" style="125" customWidth="1"/>
    <col min="10251" max="10252" width="3.7109375" style="125" customWidth="1"/>
    <col min="10253" max="10253" width="9.7109375" style="125" customWidth="1"/>
    <col min="10254" max="10255" width="3.7109375" style="125" customWidth="1"/>
    <col min="10256" max="10256" width="9.7109375" style="125" customWidth="1"/>
    <col min="10257" max="10258" width="3.7109375" style="125" customWidth="1"/>
    <col min="10259" max="10259" width="9.7109375" style="125" customWidth="1"/>
    <col min="10260" max="10261" width="3.7109375" style="125" customWidth="1"/>
    <col min="10262" max="10262" width="9.7109375" style="125" customWidth="1"/>
    <col min="10263" max="10264" width="3.7109375" style="125" customWidth="1"/>
    <col min="10265" max="10265" width="9.7109375" style="125" customWidth="1"/>
    <col min="10266" max="10267" width="3.7109375" style="125" customWidth="1"/>
    <col min="10268" max="10268" width="9.7109375" style="125" customWidth="1"/>
    <col min="10269" max="10270" width="3.7109375" style="125" customWidth="1"/>
    <col min="10271" max="10271" width="9.7109375" style="125" customWidth="1"/>
    <col min="10272" max="10273" width="3.7109375" style="125" customWidth="1"/>
    <col min="10274" max="10274" width="9.7109375" style="125" customWidth="1"/>
    <col min="10275" max="10276" width="3.7109375" style="125" customWidth="1"/>
    <col min="10277" max="10277" width="9.7109375" style="125" customWidth="1"/>
    <col min="10278" max="10279" width="3.7109375" style="125" customWidth="1"/>
    <col min="10280" max="10280" width="9.7109375" style="125" customWidth="1"/>
    <col min="10281" max="10282" width="3.7109375" style="125" customWidth="1"/>
    <col min="10283" max="10283" width="9.7109375" style="125" customWidth="1"/>
    <col min="10284" max="10285" width="3.7109375" style="125" customWidth="1"/>
    <col min="10286" max="10286" width="9.7109375" style="125" customWidth="1"/>
    <col min="10287" max="10288" width="3.7109375" style="125" customWidth="1"/>
    <col min="10289" max="10289" width="9.7109375" style="125" customWidth="1"/>
    <col min="10290" max="10291" width="3.7109375" style="125" customWidth="1"/>
    <col min="10292" max="10292" width="9.7109375" style="125" customWidth="1"/>
    <col min="10293" max="10294" width="3.7109375" style="125" customWidth="1"/>
    <col min="10295" max="10295" width="9.7109375" style="125" customWidth="1"/>
    <col min="10296" max="10297" width="3.7109375" style="125" customWidth="1"/>
    <col min="10298" max="10298" width="9.7109375" style="125" customWidth="1"/>
    <col min="10299" max="10300" width="3.7109375" style="125" customWidth="1"/>
    <col min="10301" max="10301" width="9.7109375" style="125" customWidth="1"/>
    <col min="10302" max="10303" width="3.7109375" style="125" customWidth="1"/>
    <col min="10304" max="10304" width="9.7109375" style="125" customWidth="1"/>
    <col min="10305" max="10306" width="3.7109375" style="125" customWidth="1"/>
    <col min="10307" max="10307" width="9.7109375" style="125" customWidth="1"/>
    <col min="10308" max="10309" width="3.7109375" style="125" customWidth="1"/>
    <col min="10310" max="10310" width="9.7109375" style="125" customWidth="1"/>
    <col min="10311" max="10312" width="3.7109375" style="125" customWidth="1"/>
    <col min="10313" max="10313" width="9.7109375" style="125" customWidth="1"/>
    <col min="10314" max="10315" width="3.7109375" style="125" customWidth="1"/>
    <col min="10316" max="10316" width="9.7109375" style="125" customWidth="1"/>
    <col min="10317" max="10318" width="3.7109375" style="125" customWidth="1"/>
    <col min="10319" max="10319" width="9.7109375" style="125" customWidth="1"/>
    <col min="10320" max="10321" width="3.7109375" style="125" customWidth="1"/>
    <col min="10322" max="10322" width="9.7109375" style="125" customWidth="1"/>
    <col min="10323" max="10324" width="3.7109375" style="125" customWidth="1"/>
    <col min="10325" max="10325" width="9.7109375" style="125" customWidth="1"/>
    <col min="10326" max="10327" width="3.7109375" style="125" customWidth="1"/>
    <col min="10328" max="10328" width="9.7109375" style="125" customWidth="1"/>
    <col min="10329" max="10330" width="3.7109375" style="125" customWidth="1"/>
    <col min="10331" max="10331" width="9.7109375" style="125" customWidth="1"/>
    <col min="10332" max="10333" width="3.7109375" style="125" customWidth="1"/>
    <col min="10334" max="10334" width="9.7109375" style="125" customWidth="1"/>
    <col min="10335" max="10336" width="3.7109375" style="125" customWidth="1"/>
    <col min="10337" max="10337" width="9.7109375" style="125" customWidth="1"/>
    <col min="10338" max="10339" width="3.7109375" style="125" customWidth="1"/>
    <col min="10340" max="10340" width="9.7109375" style="125" customWidth="1"/>
    <col min="10341" max="10342" width="3.7109375" style="125" customWidth="1"/>
    <col min="10343" max="10343" width="9.7109375" style="125" customWidth="1"/>
    <col min="10344" max="10345" width="3.7109375" style="125" customWidth="1"/>
    <col min="10346" max="10346" width="9.7109375" style="125" customWidth="1"/>
    <col min="10347" max="10348" width="3.7109375" style="125" customWidth="1"/>
    <col min="10349" max="10349" width="9.7109375" style="125" customWidth="1"/>
    <col min="10350" max="10351" width="3.7109375" style="125" customWidth="1"/>
    <col min="10352" max="10352" width="9.7109375" style="125" customWidth="1"/>
    <col min="10353" max="10354" width="3.7109375" style="125" customWidth="1"/>
    <col min="10355" max="10355" width="9.7109375" style="125" customWidth="1"/>
    <col min="10356" max="10357" width="3.7109375" style="125" customWidth="1"/>
    <col min="10358" max="10358" width="9.7109375" style="125" customWidth="1"/>
    <col min="10359" max="10360" width="3.7109375" style="125" customWidth="1"/>
    <col min="10361" max="10361" width="9.7109375" style="125" customWidth="1"/>
    <col min="10362" max="10363" width="3.7109375" style="125" customWidth="1"/>
    <col min="10364" max="10364" width="9.7109375" style="125" customWidth="1"/>
    <col min="10365" max="10366" width="3.7109375" style="125" customWidth="1"/>
    <col min="10367" max="10367" width="9.7109375" style="125" customWidth="1"/>
    <col min="10368" max="10369" width="3.7109375" style="125" customWidth="1"/>
    <col min="10370" max="10370" width="9.7109375" style="125" customWidth="1"/>
    <col min="10371" max="10372" width="3.7109375" style="125" customWidth="1"/>
    <col min="10373" max="10373" width="9.7109375" style="125" customWidth="1"/>
    <col min="10374" max="10375" width="3.7109375" style="125" customWidth="1"/>
    <col min="10376" max="10376" width="9.7109375" style="125" customWidth="1"/>
    <col min="10377" max="10378" width="3.7109375" style="125" customWidth="1"/>
    <col min="10379" max="10379" width="9.7109375" style="125" customWidth="1"/>
    <col min="10380" max="10381" width="3.7109375" style="125" customWidth="1"/>
    <col min="10382" max="10382" width="9.7109375" style="125" customWidth="1"/>
    <col min="10383" max="10384" width="3.7109375" style="125" customWidth="1"/>
    <col min="10385" max="10385" width="9.7109375" style="125" customWidth="1"/>
    <col min="10386" max="10387" width="3.7109375" style="125" customWidth="1"/>
    <col min="10388" max="10388" width="9.7109375" style="125" customWidth="1"/>
    <col min="10389" max="10390" width="3.7109375" style="125" customWidth="1"/>
    <col min="10391" max="10391" width="9.7109375" style="125" customWidth="1"/>
    <col min="10392" max="10393" width="3.7109375" style="125" customWidth="1"/>
    <col min="10394" max="10394" width="9.7109375" style="125" customWidth="1"/>
    <col min="10395" max="10396" width="3.7109375" style="125" customWidth="1"/>
    <col min="10397" max="10397" width="9.7109375" style="125" customWidth="1"/>
    <col min="10398" max="10399" width="3.7109375" style="125" customWidth="1"/>
    <col min="10400" max="10400" width="9.7109375" style="125" customWidth="1"/>
    <col min="10401" max="10402" width="3.7109375" style="125" customWidth="1"/>
    <col min="10403" max="10403" width="9.7109375" style="125" customWidth="1"/>
    <col min="10404" max="10405" width="3.7109375" style="125" customWidth="1"/>
    <col min="10406" max="10406" width="9.7109375" style="125" customWidth="1"/>
    <col min="10407" max="10408" width="3.7109375" style="125" customWidth="1"/>
    <col min="10409" max="10409" width="9.7109375" style="125" customWidth="1"/>
    <col min="10410" max="10411" width="3.7109375" style="125" customWidth="1"/>
    <col min="10412" max="10412" width="9.7109375" style="125" customWidth="1"/>
    <col min="10413" max="10414" width="3.7109375" style="125" customWidth="1"/>
    <col min="10415" max="10415" width="9.7109375" style="125" customWidth="1"/>
    <col min="10416" max="10417" width="3.7109375" style="125" customWidth="1"/>
    <col min="10418" max="10418" width="9.7109375" style="125" customWidth="1"/>
    <col min="10419" max="10420" width="3.7109375" style="125" customWidth="1"/>
    <col min="10421" max="10421" width="9.7109375" style="125" customWidth="1"/>
    <col min="10422" max="10423" width="3.7109375" style="125" customWidth="1"/>
    <col min="10424" max="10424" width="9.7109375" style="125" customWidth="1"/>
    <col min="10425" max="10426" width="3.7109375" style="125" customWidth="1"/>
    <col min="10427" max="10427" width="9.7109375" style="125" customWidth="1"/>
    <col min="10428" max="10429" width="3.7109375" style="125" customWidth="1"/>
    <col min="10430" max="10430" width="9.7109375" style="125" customWidth="1"/>
    <col min="10431" max="10432" width="3.7109375" style="125" customWidth="1"/>
    <col min="10433" max="10433" width="9.7109375" style="125" customWidth="1"/>
    <col min="10434" max="10435" width="3.7109375" style="125" customWidth="1"/>
    <col min="10436" max="10436" width="9.7109375" style="125" customWidth="1"/>
    <col min="10437" max="10438" width="3.7109375" style="125" customWidth="1"/>
    <col min="10439" max="10439" width="9.7109375" style="125" customWidth="1"/>
    <col min="10440" max="10441" width="3.7109375" style="125" customWidth="1"/>
    <col min="10442" max="10442" width="9.7109375" style="125" customWidth="1"/>
    <col min="10443" max="10444" width="3.7109375" style="125" customWidth="1"/>
    <col min="10445" max="10445" width="9.7109375" style="125" customWidth="1"/>
    <col min="10446" max="10447" width="3.7109375" style="125" customWidth="1"/>
    <col min="10448" max="10448" width="9.7109375" style="125" customWidth="1"/>
    <col min="10449" max="10450" width="3.7109375" style="125" customWidth="1"/>
    <col min="10451" max="10451" width="9.7109375" style="125" customWidth="1"/>
    <col min="10452" max="10453" width="3.7109375" style="125" customWidth="1"/>
    <col min="10454" max="10454" width="9.7109375" style="125" customWidth="1"/>
    <col min="10455" max="10456" width="3.7109375" style="125" customWidth="1"/>
    <col min="10457" max="10457" width="9.7109375" style="125" customWidth="1"/>
    <col min="10458" max="10458" width="3.7109375" style="125" customWidth="1"/>
    <col min="10459" max="10496" width="8" style="125"/>
    <col min="10497" max="10497" width="30.7109375" style="125" customWidth="1"/>
    <col min="10498" max="10498" width="9.7109375" style="125" customWidth="1"/>
    <col min="10499" max="10499" width="3.7109375" style="125" customWidth="1"/>
    <col min="10500" max="10500" width="9.7109375" style="125" customWidth="1"/>
    <col min="10501" max="10502" width="3.7109375" style="125" customWidth="1"/>
    <col min="10503" max="10503" width="9.7109375" style="125" customWidth="1"/>
    <col min="10504" max="10505" width="3.7109375" style="125" customWidth="1"/>
    <col min="10506" max="10506" width="9.7109375" style="125" customWidth="1"/>
    <col min="10507" max="10508" width="3.7109375" style="125" customWidth="1"/>
    <col min="10509" max="10509" width="9.7109375" style="125" customWidth="1"/>
    <col min="10510" max="10511" width="3.7109375" style="125" customWidth="1"/>
    <col min="10512" max="10512" width="9.7109375" style="125" customWidth="1"/>
    <col min="10513" max="10514" width="3.7109375" style="125" customWidth="1"/>
    <col min="10515" max="10515" width="9.7109375" style="125" customWidth="1"/>
    <col min="10516" max="10517" width="3.7109375" style="125" customWidth="1"/>
    <col min="10518" max="10518" width="9.7109375" style="125" customWidth="1"/>
    <col min="10519" max="10520" width="3.7109375" style="125" customWidth="1"/>
    <col min="10521" max="10521" width="9.7109375" style="125" customWidth="1"/>
    <col min="10522" max="10523" width="3.7109375" style="125" customWidth="1"/>
    <col min="10524" max="10524" width="9.7109375" style="125" customWidth="1"/>
    <col min="10525" max="10526" width="3.7109375" style="125" customWidth="1"/>
    <col min="10527" max="10527" width="9.7109375" style="125" customWidth="1"/>
    <col min="10528" max="10529" width="3.7109375" style="125" customWidth="1"/>
    <col min="10530" max="10530" width="9.7109375" style="125" customWidth="1"/>
    <col min="10531" max="10532" width="3.7109375" style="125" customWidth="1"/>
    <col min="10533" max="10533" width="9.7109375" style="125" customWidth="1"/>
    <col min="10534" max="10535" width="3.7109375" style="125" customWidth="1"/>
    <col min="10536" max="10536" width="9.7109375" style="125" customWidth="1"/>
    <col min="10537" max="10538" width="3.7109375" style="125" customWidth="1"/>
    <col min="10539" max="10539" width="9.7109375" style="125" customWidth="1"/>
    <col min="10540" max="10541" width="3.7109375" style="125" customWidth="1"/>
    <col min="10542" max="10542" width="9.7109375" style="125" customWidth="1"/>
    <col min="10543" max="10544" width="3.7109375" style="125" customWidth="1"/>
    <col min="10545" max="10545" width="9.7109375" style="125" customWidth="1"/>
    <col min="10546" max="10547" width="3.7109375" style="125" customWidth="1"/>
    <col min="10548" max="10548" width="9.7109375" style="125" customWidth="1"/>
    <col min="10549" max="10550" width="3.7109375" style="125" customWidth="1"/>
    <col min="10551" max="10551" width="9.7109375" style="125" customWidth="1"/>
    <col min="10552" max="10553" width="3.7109375" style="125" customWidth="1"/>
    <col min="10554" max="10554" width="9.7109375" style="125" customWidth="1"/>
    <col min="10555" max="10556" width="3.7109375" style="125" customWidth="1"/>
    <col min="10557" max="10557" width="9.7109375" style="125" customWidth="1"/>
    <col min="10558" max="10559" width="3.7109375" style="125" customWidth="1"/>
    <col min="10560" max="10560" width="9.7109375" style="125" customWidth="1"/>
    <col min="10561" max="10562" width="3.7109375" style="125" customWidth="1"/>
    <col min="10563" max="10563" width="9.7109375" style="125" customWidth="1"/>
    <col min="10564" max="10565" width="3.7109375" style="125" customWidth="1"/>
    <col min="10566" max="10566" width="9.7109375" style="125" customWidth="1"/>
    <col min="10567" max="10568" width="3.7109375" style="125" customWidth="1"/>
    <col min="10569" max="10569" width="9.7109375" style="125" customWidth="1"/>
    <col min="10570" max="10571" width="3.7109375" style="125" customWidth="1"/>
    <col min="10572" max="10572" width="9.7109375" style="125" customWidth="1"/>
    <col min="10573" max="10574" width="3.7109375" style="125" customWidth="1"/>
    <col min="10575" max="10575" width="9.7109375" style="125" customWidth="1"/>
    <col min="10576" max="10577" width="3.7109375" style="125" customWidth="1"/>
    <col min="10578" max="10578" width="9.7109375" style="125" customWidth="1"/>
    <col min="10579" max="10580" width="3.7109375" style="125" customWidth="1"/>
    <col min="10581" max="10581" width="9.7109375" style="125" customWidth="1"/>
    <col min="10582" max="10583" width="3.7109375" style="125" customWidth="1"/>
    <col min="10584" max="10584" width="9.7109375" style="125" customWidth="1"/>
    <col min="10585" max="10586" width="3.7109375" style="125" customWidth="1"/>
    <col min="10587" max="10587" width="9.7109375" style="125" customWidth="1"/>
    <col min="10588" max="10589" width="3.7109375" style="125" customWidth="1"/>
    <col min="10590" max="10590" width="9.7109375" style="125" customWidth="1"/>
    <col min="10591" max="10592" width="3.7109375" style="125" customWidth="1"/>
    <col min="10593" max="10593" width="9.7109375" style="125" customWidth="1"/>
    <col min="10594" max="10595" width="3.7109375" style="125" customWidth="1"/>
    <col min="10596" max="10596" width="9.7109375" style="125" customWidth="1"/>
    <col min="10597" max="10598" width="3.7109375" style="125" customWidth="1"/>
    <col min="10599" max="10599" width="9.7109375" style="125" customWidth="1"/>
    <col min="10600" max="10601" width="3.7109375" style="125" customWidth="1"/>
    <col min="10602" max="10602" width="9.7109375" style="125" customWidth="1"/>
    <col min="10603" max="10604" width="3.7109375" style="125" customWidth="1"/>
    <col min="10605" max="10605" width="9.7109375" style="125" customWidth="1"/>
    <col min="10606" max="10607" width="3.7109375" style="125" customWidth="1"/>
    <col min="10608" max="10608" width="9.7109375" style="125" customWidth="1"/>
    <col min="10609" max="10610" width="3.7109375" style="125" customWidth="1"/>
    <col min="10611" max="10611" width="9.7109375" style="125" customWidth="1"/>
    <col min="10612" max="10613" width="3.7109375" style="125" customWidth="1"/>
    <col min="10614" max="10614" width="9.7109375" style="125" customWidth="1"/>
    <col min="10615" max="10616" width="3.7109375" style="125" customWidth="1"/>
    <col min="10617" max="10617" width="9.7109375" style="125" customWidth="1"/>
    <col min="10618" max="10619" width="3.7109375" style="125" customWidth="1"/>
    <col min="10620" max="10620" width="9.7109375" style="125" customWidth="1"/>
    <col min="10621" max="10622" width="3.7109375" style="125" customWidth="1"/>
    <col min="10623" max="10623" width="9.7109375" style="125" customWidth="1"/>
    <col min="10624" max="10625" width="3.7109375" style="125" customWidth="1"/>
    <col min="10626" max="10626" width="9.7109375" style="125" customWidth="1"/>
    <col min="10627" max="10628" width="3.7109375" style="125" customWidth="1"/>
    <col min="10629" max="10629" width="9.7109375" style="125" customWidth="1"/>
    <col min="10630" max="10631" width="3.7109375" style="125" customWidth="1"/>
    <col min="10632" max="10632" width="9.7109375" style="125" customWidth="1"/>
    <col min="10633" max="10634" width="3.7109375" style="125" customWidth="1"/>
    <col min="10635" max="10635" width="9.7109375" style="125" customWidth="1"/>
    <col min="10636" max="10637" width="3.7109375" style="125" customWidth="1"/>
    <col min="10638" max="10638" width="9.7109375" style="125" customWidth="1"/>
    <col min="10639" max="10640" width="3.7109375" style="125" customWidth="1"/>
    <col min="10641" max="10641" width="9.7109375" style="125" customWidth="1"/>
    <col min="10642" max="10643" width="3.7109375" style="125" customWidth="1"/>
    <col min="10644" max="10644" width="9.7109375" style="125" customWidth="1"/>
    <col min="10645" max="10646" width="3.7109375" style="125" customWidth="1"/>
    <col min="10647" max="10647" width="9.7109375" style="125" customWidth="1"/>
    <col min="10648" max="10649" width="3.7109375" style="125" customWidth="1"/>
    <col min="10650" max="10650" width="9.7109375" style="125" customWidth="1"/>
    <col min="10651" max="10652" width="3.7109375" style="125" customWidth="1"/>
    <col min="10653" max="10653" width="9.7109375" style="125" customWidth="1"/>
    <col min="10654" max="10655" width="3.7109375" style="125" customWidth="1"/>
    <col min="10656" max="10656" width="9.7109375" style="125" customWidth="1"/>
    <col min="10657" max="10658" width="3.7109375" style="125" customWidth="1"/>
    <col min="10659" max="10659" width="9.7109375" style="125" customWidth="1"/>
    <col min="10660" max="10661" width="3.7109375" style="125" customWidth="1"/>
    <col min="10662" max="10662" width="9.7109375" style="125" customWidth="1"/>
    <col min="10663" max="10664" width="3.7109375" style="125" customWidth="1"/>
    <col min="10665" max="10665" width="9.7109375" style="125" customWidth="1"/>
    <col min="10666" max="10667" width="3.7109375" style="125" customWidth="1"/>
    <col min="10668" max="10668" width="9.7109375" style="125" customWidth="1"/>
    <col min="10669" max="10670" width="3.7109375" style="125" customWidth="1"/>
    <col min="10671" max="10671" width="9.7109375" style="125" customWidth="1"/>
    <col min="10672" max="10673" width="3.7109375" style="125" customWidth="1"/>
    <col min="10674" max="10674" width="9.7109375" style="125" customWidth="1"/>
    <col min="10675" max="10676" width="3.7109375" style="125" customWidth="1"/>
    <col min="10677" max="10677" width="9.7109375" style="125" customWidth="1"/>
    <col min="10678" max="10679" width="3.7109375" style="125" customWidth="1"/>
    <col min="10680" max="10680" width="9.7109375" style="125" customWidth="1"/>
    <col min="10681" max="10682" width="3.7109375" style="125" customWidth="1"/>
    <col min="10683" max="10683" width="9.7109375" style="125" customWidth="1"/>
    <col min="10684" max="10685" width="3.7109375" style="125" customWidth="1"/>
    <col min="10686" max="10686" width="9.7109375" style="125" customWidth="1"/>
    <col min="10687" max="10688" width="3.7109375" style="125" customWidth="1"/>
    <col min="10689" max="10689" width="9.7109375" style="125" customWidth="1"/>
    <col min="10690" max="10691" width="3.7109375" style="125" customWidth="1"/>
    <col min="10692" max="10692" width="9.7109375" style="125" customWidth="1"/>
    <col min="10693" max="10694" width="3.7109375" style="125" customWidth="1"/>
    <col min="10695" max="10695" width="9.7109375" style="125" customWidth="1"/>
    <col min="10696" max="10697" width="3.7109375" style="125" customWidth="1"/>
    <col min="10698" max="10698" width="9.7109375" style="125" customWidth="1"/>
    <col min="10699" max="10700" width="3.7109375" style="125" customWidth="1"/>
    <col min="10701" max="10701" width="9.7109375" style="125" customWidth="1"/>
    <col min="10702" max="10703" width="3.7109375" style="125" customWidth="1"/>
    <col min="10704" max="10704" width="9.7109375" style="125" customWidth="1"/>
    <col min="10705" max="10706" width="3.7109375" style="125" customWidth="1"/>
    <col min="10707" max="10707" width="9.7109375" style="125" customWidth="1"/>
    <col min="10708" max="10709" width="3.7109375" style="125" customWidth="1"/>
    <col min="10710" max="10710" width="9.7109375" style="125" customWidth="1"/>
    <col min="10711" max="10712" width="3.7109375" style="125" customWidth="1"/>
    <col min="10713" max="10713" width="9.7109375" style="125" customWidth="1"/>
    <col min="10714" max="10714" width="3.7109375" style="125" customWidth="1"/>
    <col min="10715" max="10752" width="8" style="125"/>
    <col min="10753" max="10753" width="30.7109375" style="125" customWidth="1"/>
    <col min="10754" max="10754" width="9.7109375" style="125" customWidth="1"/>
    <col min="10755" max="10755" width="3.7109375" style="125" customWidth="1"/>
    <col min="10756" max="10756" width="9.7109375" style="125" customWidth="1"/>
    <col min="10757" max="10758" width="3.7109375" style="125" customWidth="1"/>
    <col min="10759" max="10759" width="9.7109375" style="125" customWidth="1"/>
    <col min="10760" max="10761" width="3.7109375" style="125" customWidth="1"/>
    <col min="10762" max="10762" width="9.7109375" style="125" customWidth="1"/>
    <col min="10763" max="10764" width="3.7109375" style="125" customWidth="1"/>
    <col min="10765" max="10765" width="9.7109375" style="125" customWidth="1"/>
    <col min="10766" max="10767" width="3.7109375" style="125" customWidth="1"/>
    <col min="10768" max="10768" width="9.7109375" style="125" customWidth="1"/>
    <col min="10769" max="10770" width="3.7109375" style="125" customWidth="1"/>
    <col min="10771" max="10771" width="9.7109375" style="125" customWidth="1"/>
    <col min="10772" max="10773" width="3.7109375" style="125" customWidth="1"/>
    <col min="10774" max="10774" width="9.7109375" style="125" customWidth="1"/>
    <col min="10775" max="10776" width="3.7109375" style="125" customWidth="1"/>
    <col min="10777" max="10777" width="9.7109375" style="125" customWidth="1"/>
    <col min="10778" max="10779" width="3.7109375" style="125" customWidth="1"/>
    <col min="10780" max="10780" width="9.7109375" style="125" customWidth="1"/>
    <col min="10781" max="10782" width="3.7109375" style="125" customWidth="1"/>
    <col min="10783" max="10783" width="9.7109375" style="125" customWidth="1"/>
    <col min="10784" max="10785" width="3.7109375" style="125" customWidth="1"/>
    <col min="10786" max="10786" width="9.7109375" style="125" customWidth="1"/>
    <col min="10787" max="10788" width="3.7109375" style="125" customWidth="1"/>
    <col min="10789" max="10789" width="9.7109375" style="125" customWidth="1"/>
    <col min="10790" max="10791" width="3.7109375" style="125" customWidth="1"/>
    <col min="10792" max="10792" width="9.7109375" style="125" customWidth="1"/>
    <col min="10793" max="10794" width="3.7109375" style="125" customWidth="1"/>
    <col min="10795" max="10795" width="9.7109375" style="125" customWidth="1"/>
    <col min="10796" max="10797" width="3.7109375" style="125" customWidth="1"/>
    <col min="10798" max="10798" width="9.7109375" style="125" customWidth="1"/>
    <col min="10799" max="10800" width="3.7109375" style="125" customWidth="1"/>
    <col min="10801" max="10801" width="9.7109375" style="125" customWidth="1"/>
    <col min="10802" max="10803" width="3.7109375" style="125" customWidth="1"/>
    <col min="10804" max="10804" width="9.7109375" style="125" customWidth="1"/>
    <col min="10805" max="10806" width="3.7109375" style="125" customWidth="1"/>
    <col min="10807" max="10807" width="9.7109375" style="125" customWidth="1"/>
    <col min="10808" max="10809" width="3.7109375" style="125" customWidth="1"/>
    <col min="10810" max="10810" width="9.7109375" style="125" customWidth="1"/>
    <col min="10811" max="10812" width="3.7109375" style="125" customWidth="1"/>
    <col min="10813" max="10813" width="9.7109375" style="125" customWidth="1"/>
    <col min="10814" max="10815" width="3.7109375" style="125" customWidth="1"/>
    <col min="10816" max="10816" width="9.7109375" style="125" customWidth="1"/>
    <col min="10817" max="10818" width="3.7109375" style="125" customWidth="1"/>
    <col min="10819" max="10819" width="9.7109375" style="125" customWidth="1"/>
    <col min="10820" max="10821" width="3.7109375" style="125" customWidth="1"/>
    <col min="10822" max="10822" width="9.7109375" style="125" customWidth="1"/>
    <col min="10823" max="10824" width="3.7109375" style="125" customWidth="1"/>
    <col min="10825" max="10825" width="9.7109375" style="125" customWidth="1"/>
    <col min="10826" max="10827" width="3.7109375" style="125" customWidth="1"/>
    <col min="10828" max="10828" width="9.7109375" style="125" customWidth="1"/>
    <col min="10829" max="10830" width="3.7109375" style="125" customWidth="1"/>
    <col min="10831" max="10831" width="9.7109375" style="125" customWidth="1"/>
    <col min="10832" max="10833" width="3.7109375" style="125" customWidth="1"/>
    <col min="10834" max="10834" width="9.7109375" style="125" customWidth="1"/>
    <col min="10835" max="10836" width="3.7109375" style="125" customWidth="1"/>
    <col min="10837" max="10837" width="9.7109375" style="125" customWidth="1"/>
    <col min="10838" max="10839" width="3.7109375" style="125" customWidth="1"/>
    <col min="10840" max="10840" width="9.7109375" style="125" customWidth="1"/>
    <col min="10841" max="10842" width="3.7109375" style="125" customWidth="1"/>
    <col min="10843" max="10843" width="9.7109375" style="125" customWidth="1"/>
    <col min="10844" max="10845" width="3.7109375" style="125" customWidth="1"/>
    <col min="10846" max="10846" width="9.7109375" style="125" customWidth="1"/>
    <col min="10847" max="10848" width="3.7109375" style="125" customWidth="1"/>
    <col min="10849" max="10849" width="9.7109375" style="125" customWidth="1"/>
    <col min="10850" max="10851" width="3.7109375" style="125" customWidth="1"/>
    <col min="10852" max="10852" width="9.7109375" style="125" customWidth="1"/>
    <col min="10853" max="10854" width="3.7109375" style="125" customWidth="1"/>
    <col min="10855" max="10855" width="9.7109375" style="125" customWidth="1"/>
    <col min="10856" max="10857" width="3.7109375" style="125" customWidth="1"/>
    <col min="10858" max="10858" width="9.7109375" style="125" customWidth="1"/>
    <col min="10859" max="10860" width="3.7109375" style="125" customWidth="1"/>
    <col min="10861" max="10861" width="9.7109375" style="125" customWidth="1"/>
    <col min="10862" max="10863" width="3.7109375" style="125" customWidth="1"/>
    <col min="10864" max="10864" width="9.7109375" style="125" customWidth="1"/>
    <col min="10865" max="10866" width="3.7109375" style="125" customWidth="1"/>
    <col min="10867" max="10867" width="9.7109375" style="125" customWidth="1"/>
    <col min="10868" max="10869" width="3.7109375" style="125" customWidth="1"/>
    <col min="10870" max="10870" width="9.7109375" style="125" customWidth="1"/>
    <col min="10871" max="10872" width="3.7109375" style="125" customWidth="1"/>
    <col min="10873" max="10873" width="9.7109375" style="125" customWidth="1"/>
    <col min="10874" max="10875" width="3.7109375" style="125" customWidth="1"/>
    <col min="10876" max="10876" width="9.7109375" style="125" customWidth="1"/>
    <col min="10877" max="10878" width="3.7109375" style="125" customWidth="1"/>
    <col min="10879" max="10879" width="9.7109375" style="125" customWidth="1"/>
    <col min="10880" max="10881" width="3.7109375" style="125" customWidth="1"/>
    <col min="10882" max="10882" width="9.7109375" style="125" customWidth="1"/>
    <col min="10883" max="10884" width="3.7109375" style="125" customWidth="1"/>
    <col min="10885" max="10885" width="9.7109375" style="125" customWidth="1"/>
    <col min="10886" max="10887" width="3.7109375" style="125" customWidth="1"/>
    <col min="10888" max="10888" width="9.7109375" style="125" customWidth="1"/>
    <col min="10889" max="10890" width="3.7109375" style="125" customWidth="1"/>
    <col min="10891" max="10891" width="9.7109375" style="125" customWidth="1"/>
    <col min="10892" max="10893" width="3.7109375" style="125" customWidth="1"/>
    <col min="10894" max="10894" width="9.7109375" style="125" customWidth="1"/>
    <col min="10895" max="10896" width="3.7109375" style="125" customWidth="1"/>
    <col min="10897" max="10897" width="9.7109375" style="125" customWidth="1"/>
    <col min="10898" max="10899" width="3.7109375" style="125" customWidth="1"/>
    <col min="10900" max="10900" width="9.7109375" style="125" customWidth="1"/>
    <col min="10901" max="10902" width="3.7109375" style="125" customWidth="1"/>
    <col min="10903" max="10903" width="9.7109375" style="125" customWidth="1"/>
    <col min="10904" max="10905" width="3.7109375" style="125" customWidth="1"/>
    <col min="10906" max="10906" width="9.7109375" style="125" customWidth="1"/>
    <col min="10907" max="10908" width="3.7109375" style="125" customWidth="1"/>
    <col min="10909" max="10909" width="9.7109375" style="125" customWidth="1"/>
    <col min="10910" max="10911" width="3.7109375" style="125" customWidth="1"/>
    <col min="10912" max="10912" width="9.7109375" style="125" customWidth="1"/>
    <col min="10913" max="10914" width="3.7109375" style="125" customWidth="1"/>
    <col min="10915" max="10915" width="9.7109375" style="125" customWidth="1"/>
    <col min="10916" max="10917" width="3.7109375" style="125" customWidth="1"/>
    <col min="10918" max="10918" width="9.7109375" style="125" customWidth="1"/>
    <col min="10919" max="10920" width="3.7109375" style="125" customWidth="1"/>
    <col min="10921" max="10921" width="9.7109375" style="125" customWidth="1"/>
    <col min="10922" max="10923" width="3.7109375" style="125" customWidth="1"/>
    <col min="10924" max="10924" width="9.7109375" style="125" customWidth="1"/>
    <col min="10925" max="10926" width="3.7109375" style="125" customWidth="1"/>
    <col min="10927" max="10927" width="9.7109375" style="125" customWidth="1"/>
    <col min="10928" max="10929" width="3.7109375" style="125" customWidth="1"/>
    <col min="10930" max="10930" width="9.7109375" style="125" customWidth="1"/>
    <col min="10931" max="10932" width="3.7109375" style="125" customWidth="1"/>
    <col min="10933" max="10933" width="9.7109375" style="125" customWidth="1"/>
    <col min="10934" max="10935" width="3.7109375" style="125" customWidth="1"/>
    <col min="10936" max="10936" width="9.7109375" style="125" customWidth="1"/>
    <col min="10937" max="10938" width="3.7109375" style="125" customWidth="1"/>
    <col min="10939" max="10939" width="9.7109375" style="125" customWidth="1"/>
    <col min="10940" max="10941" width="3.7109375" style="125" customWidth="1"/>
    <col min="10942" max="10942" width="9.7109375" style="125" customWidth="1"/>
    <col min="10943" max="10944" width="3.7109375" style="125" customWidth="1"/>
    <col min="10945" max="10945" width="9.7109375" style="125" customWidth="1"/>
    <col min="10946" max="10947" width="3.7109375" style="125" customWidth="1"/>
    <col min="10948" max="10948" width="9.7109375" style="125" customWidth="1"/>
    <col min="10949" max="10950" width="3.7109375" style="125" customWidth="1"/>
    <col min="10951" max="10951" width="9.7109375" style="125" customWidth="1"/>
    <col min="10952" max="10953" width="3.7109375" style="125" customWidth="1"/>
    <col min="10954" max="10954" width="9.7109375" style="125" customWidth="1"/>
    <col min="10955" max="10956" width="3.7109375" style="125" customWidth="1"/>
    <col min="10957" max="10957" width="9.7109375" style="125" customWidth="1"/>
    <col min="10958" max="10959" width="3.7109375" style="125" customWidth="1"/>
    <col min="10960" max="10960" width="9.7109375" style="125" customWidth="1"/>
    <col min="10961" max="10962" width="3.7109375" style="125" customWidth="1"/>
    <col min="10963" max="10963" width="9.7109375" style="125" customWidth="1"/>
    <col min="10964" max="10965" width="3.7109375" style="125" customWidth="1"/>
    <col min="10966" max="10966" width="9.7109375" style="125" customWidth="1"/>
    <col min="10967" max="10968" width="3.7109375" style="125" customWidth="1"/>
    <col min="10969" max="10969" width="9.7109375" style="125" customWidth="1"/>
    <col min="10970" max="10970" width="3.7109375" style="125" customWidth="1"/>
    <col min="10971" max="11008" width="8" style="125"/>
    <col min="11009" max="11009" width="30.7109375" style="125" customWidth="1"/>
    <col min="11010" max="11010" width="9.7109375" style="125" customWidth="1"/>
    <col min="11011" max="11011" width="3.7109375" style="125" customWidth="1"/>
    <col min="11012" max="11012" width="9.7109375" style="125" customWidth="1"/>
    <col min="11013" max="11014" width="3.7109375" style="125" customWidth="1"/>
    <col min="11015" max="11015" width="9.7109375" style="125" customWidth="1"/>
    <col min="11016" max="11017" width="3.7109375" style="125" customWidth="1"/>
    <col min="11018" max="11018" width="9.7109375" style="125" customWidth="1"/>
    <col min="11019" max="11020" width="3.7109375" style="125" customWidth="1"/>
    <col min="11021" max="11021" width="9.7109375" style="125" customWidth="1"/>
    <col min="11022" max="11023" width="3.7109375" style="125" customWidth="1"/>
    <col min="11024" max="11024" width="9.7109375" style="125" customWidth="1"/>
    <col min="11025" max="11026" width="3.7109375" style="125" customWidth="1"/>
    <col min="11027" max="11027" width="9.7109375" style="125" customWidth="1"/>
    <col min="11028" max="11029" width="3.7109375" style="125" customWidth="1"/>
    <col min="11030" max="11030" width="9.7109375" style="125" customWidth="1"/>
    <col min="11031" max="11032" width="3.7109375" style="125" customWidth="1"/>
    <col min="11033" max="11033" width="9.7109375" style="125" customWidth="1"/>
    <col min="11034" max="11035" width="3.7109375" style="125" customWidth="1"/>
    <col min="11036" max="11036" width="9.7109375" style="125" customWidth="1"/>
    <col min="11037" max="11038" width="3.7109375" style="125" customWidth="1"/>
    <col min="11039" max="11039" width="9.7109375" style="125" customWidth="1"/>
    <col min="11040" max="11041" width="3.7109375" style="125" customWidth="1"/>
    <col min="11042" max="11042" width="9.7109375" style="125" customWidth="1"/>
    <col min="11043" max="11044" width="3.7109375" style="125" customWidth="1"/>
    <col min="11045" max="11045" width="9.7109375" style="125" customWidth="1"/>
    <col min="11046" max="11047" width="3.7109375" style="125" customWidth="1"/>
    <col min="11048" max="11048" width="9.7109375" style="125" customWidth="1"/>
    <col min="11049" max="11050" width="3.7109375" style="125" customWidth="1"/>
    <col min="11051" max="11051" width="9.7109375" style="125" customWidth="1"/>
    <col min="11052" max="11053" width="3.7109375" style="125" customWidth="1"/>
    <col min="11054" max="11054" width="9.7109375" style="125" customWidth="1"/>
    <col min="11055" max="11056" width="3.7109375" style="125" customWidth="1"/>
    <col min="11057" max="11057" width="9.7109375" style="125" customWidth="1"/>
    <col min="11058" max="11059" width="3.7109375" style="125" customWidth="1"/>
    <col min="11060" max="11060" width="9.7109375" style="125" customWidth="1"/>
    <col min="11061" max="11062" width="3.7109375" style="125" customWidth="1"/>
    <col min="11063" max="11063" width="9.7109375" style="125" customWidth="1"/>
    <col min="11064" max="11065" width="3.7109375" style="125" customWidth="1"/>
    <col min="11066" max="11066" width="9.7109375" style="125" customWidth="1"/>
    <col min="11067" max="11068" width="3.7109375" style="125" customWidth="1"/>
    <col min="11069" max="11069" width="9.7109375" style="125" customWidth="1"/>
    <col min="11070" max="11071" width="3.7109375" style="125" customWidth="1"/>
    <col min="11072" max="11072" width="9.7109375" style="125" customWidth="1"/>
    <col min="11073" max="11074" width="3.7109375" style="125" customWidth="1"/>
    <col min="11075" max="11075" width="9.7109375" style="125" customWidth="1"/>
    <col min="11076" max="11077" width="3.7109375" style="125" customWidth="1"/>
    <col min="11078" max="11078" width="9.7109375" style="125" customWidth="1"/>
    <col min="11079" max="11080" width="3.7109375" style="125" customWidth="1"/>
    <col min="11081" max="11081" width="9.7109375" style="125" customWidth="1"/>
    <col min="11082" max="11083" width="3.7109375" style="125" customWidth="1"/>
    <col min="11084" max="11084" width="9.7109375" style="125" customWidth="1"/>
    <col min="11085" max="11086" width="3.7109375" style="125" customWidth="1"/>
    <col min="11087" max="11087" width="9.7109375" style="125" customWidth="1"/>
    <col min="11088" max="11089" width="3.7109375" style="125" customWidth="1"/>
    <col min="11090" max="11090" width="9.7109375" style="125" customWidth="1"/>
    <col min="11091" max="11092" width="3.7109375" style="125" customWidth="1"/>
    <col min="11093" max="11093" width="9.7109375" style="125" customWidth="1"/>
    <col min="11094" max="11095" width="3.7109375" style="125" customWidth="1"/>
    <col min="11096" max="11096" width="9.7109375" style="125" customWidth="1"/>
    <col min="11097" max="11098" width="3.7109375" style="125" customWidth="1"/>
    <col min="11099" max="11099" width="9.7109375" style="125" customWidth="1"/>
    <col min="11100" max="11101" width="3.7109375" style="125" customWidth="1"/>
    <col min="11102" max="11102" width="9.7109375" style="125" customWidth="1"/>
    <col min="11103" max="11104" width="3.7109375" style="125" customWidth="1"/>
    <col min="11105" max="11105" width="9.7109375" style="125" customWidth="1"/>
    <col min="11106" max="11107" width="3.7109375" style="125" customWidth="1"/>
    <col min="11108" max="11108" width="9.7109375" style="125" customWidth="1"/>
    <col min="11109" max="11110" width="3.7109375" style="125" customWidth="1"/>
    <col min="11111" max="11111" width="9.7109375" style="125" customWidth="1"/>
    <col min="11112" max="11113" width="3.7109375" style="125" customWidth="1"/>
    <col min="11114" max="11114" width="9.7109375" style="125" customWidth="1"/>
    <col min="11115" max="11116" width="3.7109375" style="125" customWidth="1"/>
    <col min="11117" max="11117" width="9.7109375" style="125" customWidth="1"/>
    <col min="11118" max="11119" width="3.7109375" style="125" customWidth="1"/>
    <col min="11120" max="11120" width="9.7109375" style="125" customWidth="1"/>
    <col min="11121" max="11122" width="3.7109375" style="125" customWidth="1"/>
    <col min="11123" max="11123" width="9.7109375" style="125" customWidth="1"/>
    <col min="11124" max="11125" width="3.7109375" style="125" customWidth="1"/>
    <col min="11126" max="11126" width="9.7109375" style="125" customWidth="1"/>
    <col min="11127" max="11128" width="3.7109375" style="125" customWidth="1"/>
    <col min="11129" max="11129" width="9.7109375" style="125" customWidth="1"/>
    <col min="11130" max="11131" width="3.7109375" style="125" customWidth="1"/>
    <col min="11132" max="11132" width="9.7109375" style="125" customWidth="1"/>
    <col min="11133" max="11134" width="3.7109375" style="125" customWidth="1"/>
    <col min="11135" max="11135" width="9.7109375" style="125" customWidth="1"/>
    <col min="11136" max="11137" width="3.7109375" style="125" customWidth="1"/>
    <col min="11138" max="11138" width="9.7109375" style="125" customWidth="1"/>
    <col min="11139" max="11140" width="3.7109375" style="125" customWidth="1"/>
    <col min="11141" max="11141" width="9.7109375" style="125" customWidth="1"/>
    <col min="11142" max="11143" width="3.7109375" style="125" customWidth="1"/>
    <col min="11144" max="11144" width="9.7109375" style="125" customWidth="1"/>
    <col min="11145" max="11146" width="3.7109375" style="125" customWidth="1"/>
    <col min="11147" max="11147" width="9.7109375" style="125" customWidth="1"/>
    <col min="11148" max="11149" width="3.7109375" style="125" customWidth="1"/>
    <col min="11150" max="11150" width="9.7109375" style="125" customWidth="1"/>
    <col min="11151" max="11152" width="3.7109375" style="125" customWidth="1"/>
    <col min="11153" max="11153" width="9.7109375" style="125" customWidth="1"/>
    <col min="11154" max="11155" width="3.7109375" style="125" customWidth="1"/>
    <col min="11156" max="11156" width="9.7109375" style="125" customWidth="1"/>
    <col min="11157" max="11158" width="3.7109375" style="125" customWidth="1"/>
    <col min="11159" max="11159" width="9.7109375" style="125" customWidth="1"/>
    <col min="11160" max="11161" width="3.7109375" style="125" customWidth="1"/>
    <col min="11162" max="11162" width="9.7109375" style="125" customWidth="1"/>
    <col min="11163" max="11164" width="3.7109375" style="125" customWidth="1"/>
    <col min="11165" max="11165" width="9.7109375" style="125" customWidth="1"/>
    <col min="11166" max="11167" width="3.7109375" style="125" customWidth="1"/>
    <col min="11168" max="11168" width="9.7109375" style="125" customWidth="1"/>
    <col min="11169" max="11170" width="3.7109375" style="125" customWidth="1"/>
    <col min="11171" max="11171" width="9.7109375" style="125" customWidth="1"/>
    <col min="11172" max="11173" width="3.7109375" style="125" customWidth="1"/>
    <col min="11174" max="11174" width="9.7109375" style="125" customWidth="1"/>
    <col min="11175" max="11176" width="3.7109375" style="125" customWidth="1"/>
    <col min="11177" max="11177" width="9.7109375" style="125" customWidth="1"/>
    <col min="11178" max="11179" width="3.7109375" style="125" customWidth="1"/>
    <col min="11180" max="11180" width="9.7109375" style="125" customWidth="1"/>
    <col min="11181" max="11182" width="3.7109375" style="125" customWidth="1"/>
    <col min="11183" max="11183" width="9.7109375" style="125" customWidth="1"/>
    <col min="11184" max="11185" width="3.7109375" style="125" customWidth="1"/>
    <col min="11186" max="11186" width="9.7109375" style="125" customWidth="1"/>
    <col min="11187" max="11188" width="3.7109375" style="125" customWidth="1"/>
    <col min="11189" max="11189" width="9.7109375" style="125" customWidth="1"/>
    <col min="11190" max="11191" width="3.7109375" style="125" customWidth="1"/>
    <col min="11192" max="11192" width="9.7109375" style="125" customWidth="1"/>
    <col min="11193" max="11194" width="3.7109375" style="125" customWidth="1"/>
    <col min="11195" max="11195" width="9.7109375" style="125" customWidth="1"/>
    <col min="11196" max="11197" width="3.7109375" style="125" customWidth="1"/>
    <col min="11198" max="11198" width="9.7109375" style="125" customWidth="1"/>
    <col min="11199" max="11200" width="3.7109375" style="125" customWidth="1"/>
    <col min="11201" max="11201" width="9.7109375" style="125" customWidth="1"/>
    <col min="11202" max="11203" width="3.7109375" style="125" customWidth="1"/>
    <col min="11204" max="11204" width="9.7109375" style="125" customWidth="1"/>
    <col min="11205" max="11206" width="3.7109375" style="125" customWidth="1"/>
    <col min="11207" max="11207" width="9.7109375" style="125" customWidth="1"/>
    <col min="11208" max="11209" width="3.7109375" style="125" customWidth="1"/>
    <col min="11210" max="11210" width="9.7109375" style="125" customWidth="1"/>
    <col min="11211" max="11212" width="3.7109375" style="125" customWidth="1"/>
    <col min="11213" max="11213" width="9.7109375" style="125" customWidth="1"/>
    <col min="11214" max="11215" width="3.7109375" style="125" customWidth="1"/>
    <col min="11216" max="11216" width="9.7109375" style="125" customWidth="1"/>
    <col min="11217" max="11218" width="3.7109375" style="125" customWidth="1"/>
    <col min="11219" max="11219" width="9.7109375" style="125" customWidth="1"/>
    <col min="11220" max="11221" width="3.7109375" style="125" customWidth="1"/>
    <col min="11222" max="11222" width="9.7109375" style="125" customWidth="1"/>
    <col min="11223" max="11224" width="3.7109375" style="125" customWidth="1"/>
    <col min="11225" max="11225" width="9.7109375" style="125" customWidth="1"/>
    <col min="11226" max="11226" width="3.7109375" style="125" customWidth="1"/>
    <col min="11227" max="11264" width="8" style="125"/>
    <col min="11265" max="11265" width="30.7109375" style="125" customWidth="1"/>
    <col min="11266" max="11266" width="9.7109375" style="125" customWidth="1"/>
    <col min="11267" max="11267" width="3.7109375" style="125" customWidth="1"/>
    <col min="11268" max="11268" width="9.7109375" style="125" customWidth="1"/>
    <col min="11269" max="11270" width="3.7109375" style="125" customWidth="1"/>
    <col min="11271" max="11271" width="9.7109375" style="125" customWidth="1"/>
    <col min="11272" max="11273" width="3.7109375" style="125" customWidth="1"/>
    <col min="11274" max="11274" width="9.7109375" style="125" customWidth="1"/>
    <col min="11275" max="11276" width="3.7109375" style="125" customWidth="1"/>
    <col min="11277" max="11277" width="9.7109375" style="125" customWidth="1"/>
    <col min="11278" max="11279" width="3.7109375" style="125" customWidth="1"/>
    <col min="11280" max="11280" width="9.7109375" style="125" customWidth="1"/>
    <col min="11281" max="11282" width="3.7109375" style="125" customWidth="1"/>
    <col min="11283" max="11283" width="9.7109375" style="125" customWidth="1"/>
    <col min="11284" max="11285" width="3.7109375" style="125" customWidth="1"/>
    <col min="11286" max="11286" width="9.7109375" style="125" customWidth="1"/>
    <col min="11287" max="11288" width="3.7109375" style="125" customWidth="1"/>
    <col min="11289" max="11289" width="9.7109375" style="125" customWidth="1"/>
    <col min="11290" max="11291" width="3.7109375" style="125" customWidth="1"/>
    <col min="11292" max="11292" width="9.7109375" style="125" customWidth="1"/>
    <col min="11293" max="11294" width="3.7109375" style="125" customWidth="1"/>
    <col min="11295" max="11295" width="9.7109375" style="125" customWidth="1"/>
    <col min="11296" max="11297" width="3.7109375" style="125" customWidth="1"/>
    <col min="11298" max="11298" width="9.7109375" style="125" customWidth="1"/>
    <col min="11299" max="11300" width="3.7109375" style="125" customWidth="1"/>
    <col min="11301" max="11301" width="9.7109375" style="125" customWidth="1"/>
    <col min="11302" max="11303" width="3.7109375" style="125" customWidth="1"/>
    <col min="11304" max="11304" width="9.7109375" style="125" customWidth="1"/>
    <col min="11305" max="11306" width="3.7109375" style="125" customWidth="1"/>
    <col min="11307" max="11307" width="9.7109375" style="125" customWidth="1"/>
    <col min="11308" max="11309" width="3.7109375" style="125" customWidth="1"/>
    <col min="11310" max="11310" width="9.7109375" style="125" customWidth="1"/>
    <col min="11311" max="11312" width="3.7109375" style="125" customWidth="1"/>
    <col min="11313" max="11313" width="9.7109375" style="125" customWidth="1"/>
    <col min="11314" max="11315" width="3.7109375" style="125" customWidth="1"/>
    <col min="11316" max="11316" width="9.7109375" style="125" customWidth="1"/>
    <col min="11317" max="11318" width="3.7109375" style="125" customWidth="1"/>
    <col min="11319" max="11319" width="9.7109375" style="125" customWidth="1"/>
    <col min="11320" max="11321" width="3.7109375" style="125" customWidth="1"/>
    <col min="11322" max="11322" width="9.7109375" style="125" customWidth="1"/>
    <col min="11323" max="11324" width="3.7109375" style="125" customWidth="1"/>
    <col min="11325" max="11325" width="9.7109375" style="125" customWidth="1"/>
    <col min="11326" max="11327" width="3.7109375" style="125" customWidth="1"/>
    <col min="11328" max="11328" width="9.7109375" style="125" customWidth="1"/>
    <col min="11329" max="11330" width="3.7109375" style="125" customWidth="1"/>
    <col min="11331" max="11331" width="9.7109375" style="125" customWidth="1"/>
    <col min="11332" max="11333" width="3.7109375" style="125" customWidth="1"/>
    <col min="11334" max="11334" width="9.7109375" style="125" customWidth="1"/>
    <col min="11335" max="11336" width="3.7109375" style="125" customWidth="1"/>
    <col min="11337" max="11337" width="9.7109375" style="125" customWidth="1"/>
    <col min="11338" max="11339" width="3.7109375" style="125" customWidth="1"/>
    <col min="11340" max="11340" width="9.7109375" style="125" customWidth="1"/>
    <col min="11341" max="11342" width="3.7109375" style="125" customWidth="1"/>
    <col min="11343" max="11343" width="9.7109375" style="125" customWidth="1"/>
    <col min="11344" max="11345" width="3.7109375" style="125" customWidth="1"/>
    <col min="11346" max="11346" width="9.7109375" style="125" customWidth="1"/>
    <col min="11347" max="11348" width="3.7109375" style="125" customWidth="1"/>
    <col min="11349" max="11349" width="9.7109375" style="125" customWidth="1"/>
    <col min="11350" max="11351" width="3.7109375" style="125" customWidth="1"/>
    <col min="11352" max="11352" width="9.7109375" style="125" customWidth="1"/>
    <col min="11353" max="11354" width="3.7109375" style="125" customWidth="1"/>
    <col min="11355" max="11355" width="9.7109375" style="125" customWidth="1"/>
    <col min="11356" max="11357" width="3.7109375" style="125" customWidth="1"/>
    <col min="11358" max="11358" width="9.7109375" style="125" customWidth="1"/>
    <col min="11359" max="11360" width="3.7109375" style="125" customWidth="1"/>
    <col min="11361" max="11361" width="9.7109375" style="125" customWidth="1"/>
    <col min="11362" max="11363" width="3.7109375" style="125" customWidth="1"/>
    <col min="11364" max="11364" width="9.7109375" style="125" customWidth="1"/>
    <col min="11365" max="11366" width="3.7109375" style="125" customWidth="1"/>
    <col min="11367" max="11367" width="9.7109375" style="125" customWidth="1"/>
    <col min="11368" max="11369" width="3.7109375" style="125" customWidth="1"/>
    <col min="11370" max="11370" width="9.7109375" style="125" customWidth="1"/>
    <col min="11371" max="11372" width="3.7109375" style="125" customWidth="1"/>
    <col min="11373" max="11373" width="9.7109375" style="125" customWidth="1"/>
    <col min="11374" max="11375" width="3.7109375" style="125" customWidth="1"/>
    <col min="11376" max="11376" width="9.7109375" style="125" customWidth="1"/>
    <col min="11377" max="11378" width="3.7109375" style="125" customWidth="1"/>
    <col min="11379" max="11379" width="9.7109375" style="125" customWidth="1"/>
    <col min="11380" max="11381" width="3.7109375" style="125" customWidth="1"/>
    <col min="11382" max="11382" width="9.7109375" style="125" customWidth="1"/>
    <col min="11383" max="11384" width="3.7109375" style="125" customWidth="1"/>
    <col min="11385" max="11385" width="9.7109375" style="125" customWidth="1"/>
    <col min="11386" max="11387" width="3.7109375" style="125" customWidth="1"/>
    <col min="11388" max="11388" width="9.7109375" style="125" customWidth="1"/>
    <col min="11389" max="11390" width="3.7109375" style="125" customWidth="1"/>
    <col min="11391" max="11391" width="9.7109375" style="125" customWidth="1"/>
    <col min="11392" max="11393" width="3.7109375" style="125" customWidth="1"/>
    <col min="11394" max="11394" width="9.7109375" style="125" customWidth="1"/>
    <col min="11395" max="11396" width="3.7109375" style="125" customWidth="1"/>
    <col min="11397" max="11397" width="9.7109375" style="125" customWidth="1"/>
    <col min="11398" max="11399" width="3.7109375" style="125" customWidth="1"/>
    <col min="11400" max="11400" width="9.7109375" style="125" customWidth="1"/>
    <col min="11401" max="11402" width="3.7109375" style="125" customWidth="1"/>
    <col min="11403" max="11403" width="9.7109375" style="125" customWidth="1"/>
    <col min="11404" max="11405" width="3.7109375" style="125" customWidth="1"/>
    <col min="11406" max="11406" width="9.7109375" style="125" customWidth="1"/>
    <col min="11407" max="11408" width="3.7109375" style="125" customWidth="1"/>
    <col min="11409" max="11409" width="9.7109375" style="125" customWidth="1"/>
    <col min="11410" max="11411" width="3.7109375" style="125" customWidth="1"/>
    <col min="11412" max="11412" width="9.7109375" style="125" customWidth="1"/>
    <col min="11413" max="11414" width="3.7109375" style="125" customWidth="1"/>
    <col min="11415" max="11415" width="9.7109375" style="125" customWidth="1"/>
    <col min="11416" max="11417" width="3.7109375" style="125" customWidth="1"/>
    <col min="11418" max="11418" width="9.7109375" style="125" customWidth="1"/>
    <col min="11419" max="11420" width="3.7109375" style="125" customWidth="1"/>
    <col min="11421" max="11421" width="9.7109375" style="125" customWidth="1"/>
    <col min="11422" max="11423" width="3.7109375" style="125" customWidth="1"/>
    <col min="11424" max="11424" width="9.7109375" style="125" customWidth="1"/>
    <col min="11425" max="11426" width="3.7109375" style="125" customWidth="1"/>
    <col min="11427" max="11427" width="9.7109375" style="125" customWidth="1"/>
    <col min="11428" max="11429" width="3.7109375" style="125" customWidth="1"/>
    <col min="11430" max="11430" width="9.7109375" style="125" customWidth="1"/>
    <col min="11431" max="11432" width="3.7109375" style="125" customWidth="1"/>
    <col min="11433" max="11433" width="9.7109375" style="125" customWidth="1"/>
    <col min="11434" max="11435" width="3.7109375" style="125" customWidth="1"/>
    <col min="11436" max="11436" width="9.7109375" style="125" customWidth="1"/>
    <col min="11437" max="11438" width="3.7109375" style="125" customWidth="1"/>
    <col min="11439" max="11439" width="9.7109375" style="125" customWidth="1"/>
    <col min="11440" max="11441" width="3.7109375" style="125" customWidth="1"/>
    <col min="11442" max="11442" width="9.7109375" style="125" customWidth="1"/>
    <col min="11443" max="11444" width="3.7109375" style="125" customWidth="1"/>
    <col min="11445" max="11445" width="9.7109375" style="125" customWidth="1"/>
    <col min="11446" max="11447" width="3.7109375" style="125" customWidth="1"/>
    <col min="11448" max="11448" width="9.7109375" style="125" customWidth="1"/>
    <col min="11449" max="11450" width="3.7109375" style="125" customWidth="1"/>
    <col min="11451" max="11451" width="9.7109375" style="125" customWidth="1"/>
    <col min="11452" max="11453" width="3.7109375" style="125" customWidth="1"/>
    <col min="11454" max="11454" width="9.7109375" style="125" customWidth="1"/>
    <col min="11455" max="11456" width="3.7109375" style="125" customWidth="1"/>
    <col min="11457" max="11457" width="9.7109375" style="125" customWidth="1"/>
    <col min="11458" max="11459" width="3.7109375" style="125" customWidth="1"/>
    <col min="11460" max="11460" width="9.7109375" style="125" customWidth="1"/>
    <col min="11461" max="11462" width="3.7109375" style="125" customWidth="1"/>
    <col min="11463" max="11463" width="9.7109375" style="125" customWidth="1"/>
    <col min="11464" max="11465" width="3.7109375" style="125" customWidth="1"/>
    <col min="11466" max="11466" width="9.7109375" style="125" customWidth="1"/>
    <col min="11467" max="11468" width="3.7109375" style="125" customWidth="1"/>
    <col min="11469" max="11469" width="9.7109375" style="125" customWidth="1"/>
    <col min="11470" max="11471" width="3.7109375" style="125" customWidth="1"/>
    <col min="11472" max="11472" width="9.7109375" style="125" customWidth="1"/>
    <col min="11473" max="11474" width="3.7109375" style="125" customWidth="1"/>
    <col min="11475" max="11475" width="9.7109375" style="125" customWidth="1"/>
    <col min="11476" max="11477" width="3.7109375" style="125" customWidth="1"/>
    <col min="11478" max="11478" width="9.7109375" style="125" customWidth="1"/>
    <col min="11479" max="11480" width="3.7109375" style="125" customWidth="1"/>
    <col min="11481" max="11481" width="9.7109375" style="125" customWidth="1"/>
    <col min="11482" max="11482" width="3.7109375" style="125" customWidth="1"/>
    <col min="11483" max="11520" width="8" style="125"/>
    <col min="11521" max="11521" width="30.7109375" style="125" customWidth="1"/>
    <col min="11522" max="11522" width="9.7109375" style="125" customWidth="1"/>
    <col min="11523" max="11523" width="3.7109375" style="125" customWidth="1"/>
    <col min="11524" max="11524" width="9.7109375" style="125" customWidth="1"/>
    <col min="11525" max="11526" width="3.7109375" style="125" customWidth="1"/>
    <col min="11527" max="11527" width="9.7109375" style="125" customWidth="1"/>
    <col min="11528" max="11529" width="3.7109375" style="125" customWidth="1"/>
    <col min="11530" max="11530" width="9.7109375" style="125" customWidth="1"/>
    <col min="11531" max="11532" width="3.7109375" style="125" customWidth="1"/>
    <col min="11533" max="11533" width="9.7109375" style="125" customWidth="1"/>
    <col min="11534" max="11535" width="3.7109375" style="125" customWidth="1"/>
    <col min="11536" max="11536" width="9.7109375" style="125" customWidth="1"/>
    <col min="11537" max="11538" width="3.7109375" style="125" customWidth="1"/>
    <col min="11539" max="11539" width="9.7109375" style="125" customWidth="1"/>
    <col min="11540" max="11541" width="3.7109375" style="125" customWidth="1"/>
    <col min="11542" max="11542" width="9.7109375" style="125" customWidth="1"/>
    <col min="11543" max="11544" width="3.7109375" style="125" customWidth="1"/>
    <col min="11545" max="11545" width="9.7109375" style="125" customWidth="1"/>
    <col min="11546" max="11547" width="3.7109375" style="125" customWidth="1"/>
    <col min="11548" max="11548" width="9.7109375" style="125" customWidth="1"/>
    <col min="11549" max="11550" width="3.7109375" style="125" customWidth="1"/>
    <col min="11551" max="11551" width="9.7109375" style="125" customWidth="1"/>
    <col min="11552" max="11553" width="3.7109375" style="125" customWidth="1"/>
    <col min="11554" max="11554" width="9.7109375" style="125" customWidth="1"/>
    <col min="11555" max="11556" width="3.7109375" style="125" customWidth="1"/>
    <col min="11557" max="11557" width="9.7109375" style="125" customWidth="1"/>
    <col min="11558" max="11559" width="3.7109375" style="125" customWidth="1"/>
    <col min="11560" max="11560" width="9.7109375" style="125" customWidth="1"/>
    <col min="11561" max="11562" width="3.7109375" style="125" customWidth="1"/>
    <col min="11563" max="11563" width="9.7109375" style="125" customWidth="1"/>
    <col min="11564" max="11565" width="3.7109375" style="125" customWidth="1"/>
    <col min="11566" max="11566" width="9.7109375" style="125" customWidth="1"/>
    <col min="11567" max="11568" width="3.7109375" style="125" customWidth="1"/>
    <col min="11569" max="11569" width="9.7109375" style="125" customWidth="1"/>
    <col min="11570" max="11571" width="3.7109375" style="125" customWidth="1"/>
    <col min="11572" max="11572" width="9.7109375" style="125" customWidth="1"/>
    <col min="11573" max="11574" width="3.7109375" style="125" customWidth="1"/>
    <col min="11575" max="11575" width="9.7109375" style="125" customWidth="1"/>
    <col min="11576" max="11577" width="3.7109375" style="125" customWidth="1"/>
    <col min="11578" max="11578" width="9.7109375" style="125" customWidth="1"/>
    <col min="11579" max="11580" width="3.7109375" style="125" customWidth="1"/>
    <col min="11581" max="11581" width="9.7109375" style="125" customWidth="1"/>
    <col min="11582" max="11583" width="3.7109375" style="125" customWidth="1"/>
    <col min="11584" max="11584" width="9.7109375" style="125" customWidth="1"/>
    <col min="11585" max="11586" width="3.7109375" style="125" customWidth="1"/>
    <col min="11587" max="11587" width="9.7109375" style="125" customWidth="1"/>
    <col min="11588" max="11589" width="3.7109375" style="125" customWidth="1"/>
    <col min="11590" max="11590" width="9.7109375" style="125" customWidth="1"/>
    <col min="11591" max="11592" width="3.7109375" style="125" customWidth="1"/>
    <col min="11593" max="11593" width="9.7109375" style="125" customWidth="1"/>
    <col min="11594" max="11595" width="3.7109375" style="125" customWidth="1"/>
    <col min="11596" max="11596" width="9.7109375" style="125" customWidth="1"/>
    <col min="11597" max="11598" width="3.7109375" style="125" customWidth="1"/>
    <col min="11599" max="11599" width="9.7109375" style="125" customWidth="1"/>
    <col min="11600" max="11601" width="3.7109375" style="125" customWidth="1"/>
    <col min="11602" max="11602" width="9.7109375" style="125" customWidth="1"/>
    <col min="11603" max="11604" width="3.7109375" style="125" customWidth="1"/>
    <col min="11605" max="11605" width="9.7109375" style="125" customWidth="1"/>
    <col min="11606" max="11607" width="3.7109375" style="125" customWidth="1"/>
    <col min="11608" max="11608" width="9.7109375" style="125" customWidth="1"/>
    <col min="11609" max="11610" width="3.7109375" style="125" customWidth="1"/>
    <col min="11611" max="11611" width="9.7109375" style="125" customWidth="1"/>
    <col min="11612" max="11613" width="3.7109375" style="125" customWidth="1"/>
    <col min="11614" max="11614" width="9.7109375" style="125" customWidth="1"/>
    <col min="11615" max="11616" width="3.7109375" style="125" customWidth="1"/>
    <col min="11617" max="11617" width="9.7109375" style="125" customWidth="1"/>
    <col min="11618" max="11619" width="3.7109375" style="125" customWidth="1"/>
    <col min="11620" max="11620" width="9.7109375" style="125" customWidth="1"/>
    <col min="11621" max="11622" width="3.7109375" style="125" customWidth="1"/>
    <col min="11623" max="11623" width="9.7109375" style="125" customWidth="1"/>
    <col min="11624" max="11625" width="3.7109375" style="125" customWidth="1"/>
    <col min="11626" max="11626" width="9.7109375" style="125" customWidth="1"/>
    <col min="11627" max="11628" width="3.7109375" style="125" customWidth="1"/>
    <col min="11629" max="11629" width="9.7109375" style="125" customWidth="1"/>
    <col min="11630" max="11631" width="3.7109375" style="125" customWidth="1"/>
    <col min="11632" max="11632" width="9.7109375" style="125" customWidth="1"/>
    <col min="11633" max="11634" width="3.7109375" style="125" customWidth="1"/>
    <col min="11635" max="11635" width="9.7109375" style="125" customWidth="1"/>
    <col min="11636" max="11637" width="3.7109375" style="125" customWidth="1"/>
    <col min="11638" max="11638" width="9.7109375" style="125" customWidth="1"/>
    <col min="11639" max="11640" width="3.7109375" style="125" customWidth="1"/>
    <col min="11641" max="11641" width="9.7109375" style="125" customWidth="1"/>
    <col min="11642" max="11643" width="3.7109375" style="125" customWidth="1"/>
    <col min="11644" max="11644" width="9.7109375" style="125" customWidth="1"/>
    <col min="11645" max="11646" width="3.7109375" style="125" customWidth="1"/>
    <col min="11647" max="11647" width="9.7109375" style="125" customWidth="1"/>
    <col min="11648" max="11649" width="3.7109375" style="125" customWidth="1"/>
    <col min="11650" max="11650" width="9.7109375" style="125" customWidth="1"/>
    <col min="11651" max="11652" width="3.7109375" style="125" customWidth="1"/>
    <col min="11653" max="11653" width="9.7109375" style="125" customWidth="1"/>
    <col min="11654" max="11655" width="3.7109375" style="125" customWidth="1"/>
    <col min="11656" max="11656" width="9.7109375" style="125" customWidth="1"/>
    <col min="11657" max="11658" width="3.7109375" style="125" customWidth="1"/>
    <col min="11659" max="11659" width="9.7109375" style="125" customWidth="1"/>
    <col min="11660" max="11661" width="3.7109375" style="125" customWidth="1"/>
    <col min="11662" max="11662" width="9.7109375" style="125" customWidth="1"/>
    <col min="11663" max="11664" width="3.7109375" style="125" customWidth="1"/>
    <col min="11665" max="11665" width="9.7109375" style="125" customWidth="1"/>
    <col min="11666" max="11667" width="3.7109375" style="125" customWidth="1"/>
    <col min="11668" max="11668" width="9.7109375" style="125" customWidth="1"/>
    <col min="11669" max="11670" width="3.7109375" style="125" customWidth="1"/>
    <col min="11671" max="11671" width="9.7109375" style="125" customWidth="1"/>
    <col min="11672" max="11673" width="3.7109375" style="125" customWidth="1"/>
    <col min="11674" max="11674" width="9.7109375" style="125" customWidth="1"/>
    <col min="11675" max="11676" width="3.7109375" style="125" customWidth="1"/>
    <col min="11677" max="11677" width="9.7109375" style="125" customWidth="1"/>
    <col min="11678" max="11679" width="3.7109375" style="125" customWidth="1"/>
    <col min="11680" max="11680" width="9.7109375" style="125" customWidth="1"/>
    <col min="11681" max="11682" width="3.7109375" style="125" customWidth="1"/>
    <col min="11683" max="11683" width="9.7109375" style="125" customWidth="1"/>
    <col min="11684" max="11685" width="3.7109375" style="125" customWidth="1"/>
    <col min="11686" max="11686" width="9.7109375" style="125" customWidth="1"/>
    <col min="11687" max="11688" width="3.7109375" style="125" customWidth="1"/>
    <col min="11689" max="11689" width="9.7109375" style="125" customWidth="1"/>
    <col min="11690" max="11691" width="3.7109375" style="125" customWidth="1"/>
    <col min="11692" max="11692" width="9.7109375" style="125" customWidth="1"/>
    <col min="11693" max="11694" width="3.7109375" style="125" customWidth="1"/>
    <col min="11695" max="11695" width="9.7109375" style="125" customWidth="1"/>
    <col min="11696" max="11697" width="3.7109375" style="125" customWidth="1"/>
    <col min="11698" max="11698" width="9.7109375" style="125" customWidth="1"/>
    <col min="11699" max="11700" width="3.7109375" style="125" customWidth="1"/>
    <col min="11701" max="11701" width="9.7109375" style="125" customWidth="1"/>
    <col min="11702" max="11703" width="3.7109375" style="125" customWidth="1"/>
    <col min="11704" max="11704" width="9.7109375" style="125" customWidth="1"/>
    <col min="11705" max="11706" width="3.7109375" style="125" customWidth="1"/>
    <col min="11707" max="11707" width="9.7109375" style="125" customWidth="1"/>
    <col min="11708" max="11709" width="3.7109375" style="125" customWidth="1"/>
    <col min="11710" max="11710" width="9.7109375" style="125" customWidth="1"/>
    <col min="11711" max="11712" width="3.7109375" style="125" customWidth="1"/>
    <col min="11713" max="11713" width="9.7109375" style="125" customWidth="1"/>
    <col min="11714" max="11715" width="3.7109375" style="125" customWidth="1"/>
    <col min="11716" max="11716" width="9.7109375" style="125" customWidth="1"/>
    <col min="11717" max="11718" width="3.7109375" style="125" customWidth="1"/>
    <col min="11719" max="11719" width="9.7109375" style="125" customWidth="1"/>
    <col min="11720" max="11721" width="3.7109375" style="125" customWidth="1"/>
    <col min="11722" max="11722" width="9.7109375" style="125" customWidth="1"/>
    <col min="11723" max="11724" width="3.7109375" style="125" customWidth="1"/>
    <col min="11725" max="11725" width="9.7109375" style="125" customWidth="1"/>
    <col min="11726" max="11727" width="3.7109375" style="125" customWidth="1"/>
    <col min="11728" max="11728" width="9.7109375" style="125" customWidth="1"/>
    <col min="11729" max="11730" width="3.7109375" style="125" customWidth="1"/>
    <col min="11731" max="11731" width="9.7109375" style="125" customWidth="1"/>
    <col min="11732" max="11733" width="3.7109375" style="125" customWidth="1"/>
    <col min="11734" max="11734" width="9.7109375" style="125" customWidth="1"/>
    <col min="11735" max="11736" width="3.7109375" style="125" customWidth="1"/>
    <col min="11737" max="11737" width="9.7109375" style="125" customWidth="1"/>
    <col min="11738" max="11738" width="3.7109375" style="125" customWidth="1"/>
    <col min="11739" max="11776" width="8" style="125"/>
    <col min="11777" max="11777" width="30.7109375" style="125" customWidth="1"/>
    <col min="11778" max="11778" width="9.7109375" style="125" customWidth="1"/>
    <col min="11779" max="11779" width="3.7109375" style="125" customWidth="1"/>
    <col min="11780" max="11780" width="9.7109375" style="125" customWidth="1"/>
    <col min="11781" max="11782" width="3.7109375" style="125" customWidth="1"/>
    <col min="11783" max="11783" width="9.7109375" style="125" customWidth="1"/>
    <col min="11784" max="11785" width="3.7109375" style="125" customWidth="1"/>
    <col min="11786" max="11786" width="9.7109375" style="125" customWidth="1"/>
    <col min="11787" max="11788" width="3.7109375" style="125" customWidth="1"/>
    <col min="11789" max="11789" width="9.7109375" style="125" customWidth="1"/>
    <col min="11790" max="11791" width="3.7109375" style="125" customWidth="1"/>
    <col min="11792" max="11792" width="9.7109375" style="125" customWidth="1"/>
    <col min="11793" max="11794" width="3.7109375" style="125" customWidth="1"/>
    <col min="11795" max="11795" width="9.7109375" style="125" customWidth="1"/>
    <col min="11796" max="11797" width="3.7109375" style="125" customWidth="1"/>
    <col min="11798" max="11798" width="9.7109375" style="125" customWidth="1"/>
    <col min="11799" max="11800" width="3.7109375" style="125" customWidth="1"/>
    <col min="11801" max="11801" width="9.7109375" style="125" customWidth="1"/>
    <col min="11802" max="11803" width="3.7109375" style="125" customWidth="1"/>
    <col min="11804" max="11804" width="9.7109375" style="125" customWidth="1"/>
    <col min="11805" max="11806" width="3.7109375" style="125" customWidth="1"/>
    <col min="11807" max="11807" width="9.7109375" style="125" customWidth="1"/>
    <col min="11808" max="11809" width="3.7109375" style="125" customWidth="1"/>
    <col min="11810" max="11810" width="9.7109375" style="125" customWidth="1"/>
    <col min="11811" max="11812" width="3.7109375" style="125" customWidth="1"/>
    <col min="11813" max="11813" width="9.7109375" style="125" customWidth="1"/>
    <col min="11814" max="11815" width="3.7109375" style="125" customWidth="1"/>
    <col min="11816" max="11816" width="9.7109375" style="125" customWidth="1"/>
    <col min="11817" max="11818" width="3.7109375" style="125" customWidth="1"/>
    <col min="11819" max="11819" width="9.7109375" style="125" customWidth="1"/>
    <col min="11820" max="11821" width="3.7109375" style="125" customWidth="1"/>
    <col min="11822" max="11822" width="9.7109375" style="125" customWidth="1"/>
    <col min="11823" max="11824" width="3.7109375" style="125" customWidth="1"/>
    <col min="11825" max="11825" width="9.7109375" style="125" customWidth="1"/>
    <col min="11826" max="11827" width="3.7109375" style="125" customWidth="1"/>
    <col min="11828" max="11828" width="9.7109375" style="125" customWidth="1"/>
    <col min="11829" max="11830" width="3.7109375" style="125" customWidth="1"/>
    <col min="11831" max="11831" width="9.7109375" style="125" customWidth="1"/>
    <col min="11832" max="11833" width="3.7109375" style="125" customWidth="1"/>
    <col min="11834" max="11834" width="9.7109375" style="125" customWidth="1"/>
    <col min="11835" max="11836" width="3.7109375" style="125" customWidth="1"/>
    <col min="11837" max="11837" width="9.7109375" style="125" customWidth="1"/>
    <col min="11838" max="11839" width="3.7109375" style="125" customWidth="1"/>
    <col min="11840" max="11840" width="9.7109375" style="125" customWidth="1"/>
    <col min="11841" max="11842" width="3.7109375" style="125" customWidth="1"/>
    <col min="11843" max="11843" width="9.7109375" style="125" customWidth="1"/>
    <col min="11844" max="11845" width="3.7109375" style="125" customWidth="1"/>
    <col min="11846" max="11846" width="9.7109375" style="125" customWidth="1"/>
    <col min="11847" max="11848" width="3.7109375" style="125" customWidth="1"/>
    <col min="11849" max="11849" width="9.7109375" style="125" customWidth="1"/>
    <col min="11850" max="11851" width="3.7109375" style="125" customWidth="1"/>
    <col min="11852" max="11852" width="9.7109375" style="125" customWidth="1"/>
    <col min="11853" max="11854" width="3.7109375" style="125" customWidth="1"/>
    <col min="11855" max="11855" width="9.7109375" style="125" customWidth="1"/>
    <col min="11856" max="11857" width="3.7109375" style="125" customWidth="1"/>
    <col min="11858" max="11858" width="9.7109375" style="125" customWidth="1"/>
    <col min="11859" max="11860" width="3.7109375" style="125" customWidth="1"/>
    <col min="11861" max="11861" width="9.7109375" style="125" customWidth="1"/>
    <col min="11862" max="11863" width="3.7109375" style="125" customWidth="1"/>
    <col min="11864" max="11864" width="9.7109375" style="125" customWidth="1"/>
    <col min="11865" max="11866" width="3.7109375" style="125" customWidth="1"/>
    <col min="11867" max="11867" width="9.7109375" style="125" customWidth="1"/>
    <col min="11868" max="11869" width="3.7109375" style="125" customWidth="1"/>
    <col min="11870" max="11870" width="9.7109375" style="125" customWidth="1"/>
    <col min="11871" max="11872" width="3.7109375" style="125" customWidth="1"/>
    <col min="11873" max="11873" width="9.7109375" style="125" customWidth="1"/>
    <col min="11874" max="11875" width="3.7109375" style="125" customWidth="1"/>
    <col min="11876" max="11876" width="9.7109375" style="125" customWidth="1"/>
    <col min="11877" max="11878" width="3.7109375" style="125" customWidth="1"/>
    <col min="11879" max="11879" width="9.7109375" style="125" customWidth="1"/>
    <col min="11880" max="11881" width="3.7109375" style="125" customWidth="1"/>
    <col min="11882" max="11882" width="9.7109375" style="125" customWidth="1"/>
    <col min="11883" max="11884" width="3.7109375" style="125" customWidth="1"/>
    <col min="11885" max="11885" width="9.7109375" style="125" customWidth="1"/>
    <col min="11886" max="11887" width="3.7109375" style="125" customWidth="1"/>
    <col min="11888" max="11888" width="9.7109375" style="125" customWidth="1"/>
    <col min="11889" max="11890" width="3.7109375" style="125" customWidth="1"/>
    <col min="11891" max="11891" width="9.7109375" style="125" customWidth="1"/>
    <col min="11892" max="11893" width="3.7109375" style="125" customWidth="1"/>
    <col min="11894" max="11894" width="9.7109375" style="125" customWidth="1"/>
    <col min="11895" max="11896" width="3.7109375" style="125" customWidth="1"/>
    <col min="11897" max="11897" width="9.7109375" style="125" customWidth="1"/>
    <col min="11898" max="11899" width="3.7109375" style="125" customWidth="1"/>
    <col min="11900" max="11900" width="9.7109375" style="125" customWidth="1"/>
    <col min="11901" max="11902" width="3.7109375" style="125" customWidth="1"/>
    <col min="11903" max="11903" width="9.7109375" style="125" customWidth="1"/>
    <col min="11904" max="11905" width="3.7109375" style="125" customWidth="1"/>
    <col min="11906" max="11906" width="9.7109375" style="125" customWidth="1"/>
    <col min="11907" max="11908" width="3.7109375" style="125" customWidth="1"/>
    <col min="11909" max="11909" width="9.7109375" style="125" customWidth="1"/>
    <col min="11910" max="11911" width="3.7109375" style="125" customWidth="1"/>
    <col min="11912" max="11912" width="9.7109375" style="125" customWidth="1"/>
    <col min="11913" max="11914" width="3.7109375" style="125" customWidth="1"/>
    <col min="11915" max="11915" width="9.7109375" style="125" customWidth="1"/>
    <col min="11916" max="11917" width="3.7109375" style="125" customWidth="1"/>
    <col min="11918" max="11918" width="9.7109375" style="125" customWidth="1"/>
    <col min="11919" max="11920" width="3.7109375" style="125" customWidth="1"/>
    <col min="11921" max="11921" width="9.7109375" style="125" customWidth="1"/>
    <col min="11922" max="11923" width="3.7109375" style="125" customWidth="1"/>
    <col min="11924" max="11924" width="9.7109375" style="125" customWidth="1"/>
    <col min="11925" max="11926" width="3.7109375" style="125" customWidth="1"/>
    <col min="11927" max="11927" width="9.7109375" style="125" customWidth="1"/>
    <col min="11928" max="11929" width="3.7109375" style="125" customWidth="1"/>
    <col min="11930" max="11930" width="9.7109375" style="125" customWidth="1"/>
    <col min="11931" max="11932" width="3.7109375" style="125" customWidth="1"/>
    <col min="11933" max="11933" width="9.7109375" style="125" customWidth="1"/>
    <col min="11934" max="11935" width="3.7109375" style="125" customWidth="1"/>
    <col min="11936" max="11936" width="9.7109375" style="125" customWidth="1"/>
    <col min="11937" max="11938" width="3.7109375" style="125" customWidth="1"/>
    <col min="11939" max="11939" width="9.7109375" style="125" customWidth="1"/>
    <col min="11940" max="11941" width="3.7109375" style="125" customWidth="1"/>
    <col min="11942" max="11942" width="9.7109375" style="125" customWidth="1"/>
    <col min="11943" max="11944" width="3.7109375" style="125" customWidth="1"/>
    <col min="11945" max="11945" width="9.7109375" style="125" customWidth="1"/>
    <col min="11946" max="11947" width="3.7109375" style="125" customWidth="1"/>
    <col min="11948" max="11948" width="9.7109375" style="125" customWidth="1"/>
    <col min="11949" max="11950" width="3.7109375" style="125" customWidth="1"/>
    <col min="11951" max="11951" width="9.7109375" style="125" customWidth="1"/>
    <col min="11952" max="11953" width="3.7109375" style="125" customWidth="1"/>
    <col min="11954" max="11954" width="9.7109375" style="125" customWidth="1"/>
    <col min="11955" max="11956" width="3.7109375" style="125" customWidth="1"/>
    <col min="11957" max="11957" width="9.7109375" style="125" customWidth="1"/>
    <col min="11958" max="11959" width="3.7109375" style="125" customWidth="1"/>
    <col min="11960" max="11960" width="9.7109375" style="125" customWidth="1"/>
    <col min="11961" max="11962" width="3.7109375" style="125" customWidth="1"/>
    <col min="11963" max="11963" width="9.7109375" style="125" customWidth="1"/>
    <col min="11964" max="11965" width="3.7109375" style="125" customWidth="1"/>
    <col min="11966" max="11966" width="9.7109375" style="125" customWidth="1"/>
    <col min="11967" max="11968" width="3.7109375" style="125" customWidth="1"/>
    <col min="11969" max="11969" width="9.7109375" style="125" customWidth="1"/>
    <col min="11970" max="11971" width="3.7109375" style="125" customWidth="1"/>
    <col min="11972" max="11972" width="9.7109375" style="125" customWidth="1"/>
    <col min="11973" max="11974" width="3.7109375" style="125" customWidth="1"/>
    <col min="11975" max="11975" width="9.7109375" style="125" customWidth="1"/>
    <col min="11976" max="11977" width="3.7109375" style="125" customWidth="1"/>
    <col min="11978" max="11978" width="9.7109375" style="125" customWidth="1"/>
    <col min="11979" max="11980" width="3.7109375" style="125" customWidth="1"/>
    <col min="11981" max="11981" width="9.7109375" style="125" customWidth="1"/>
    <col min="11982" max="11983" width="3.7109375" style="125" customWidth="1"/>
    <col min="11984" max="11984" width="9.7109375" style="125" customWidth="1"/>
    <col min="11985" max="11986" width="3.7109375" style="125" customWidth="1"/>
    <col min="11987" max="11987" width="9.7109375" style="125" customWidth="1"/>
    <col min="11988" max="11989" width="3.7109375" style="125" customWidth="1"/>
    <col min="11990" max="11990" width="9.7109375" style="125" customWidth="1"/>
    <col min="11991" max="11992" width="3.7109375" style="125" customWidth="1"/>
    <col min="11993" max="11993" width="9.7109375" style="125" customWidth="1"/>
    <col min="11994" max="11994" width="3.7109375" style="125" customWidth="1"/>
    <col min="11995" max="12032" width="8" style="125"/>
    <col min="12033" max="12033" width="30.7109375" style="125" customWidth="1"/>
    <col min="12034" max="12034" width="9.7109375" style="125" customWidth="1"/>
    <col min="12035" max="12035" width="3.7109375" style="125" customWidth="1"/>
    <col min="12036" max="12036" width="9.7109375" style="125" customWidth="1"/>
    <col min="12037" max="12038" width="3.7109375" style="125" customWidth="1"/>
    <col min="12039" max="12039" width="9.7109375" style="125" customWidth="1"/>
    <col min="12040" max="12041" width="3.7109375" style="125" customWidth="1"/>
    <col min="12042" max="12042" width="9.7109375" style="125" customWidth="1"/>
    <col min="12043" max="12044" width="3.7109375" style="125" customWidth="1"/>
    <col min="12045" max="12045" width="9.7109375" style="125" customWidth="1"/>
    <col min="12046" max="12047" width="3.7109375" style="125" customWidth="1"/>
    <col min="12048" max="12048" width="9.7109375" style="125" customWidth="1"/>
    <col min="12049" max="12050" width="3.7109375" style="125" customWidth="1"/>
    <col min="12051" max="12051" width="9.7109375" style="125" customWidth="1"/>
    <col min="12052" max="12053" width="3.7109375" style="125" customWidth="1"/>
    <col min="12054" max="12054" width="9.7109375" style="125" customWidth="1"/>
    <col min="12055" max="12056" width="3.7109375" style="125" customWidth="1"/>
    <col min="12057" max="12057" width="9.7109375" style="125" customWidth="1"/>
    <col min="12058" max="12059" width="3.7109375" style="125" customWidth="1"/>
    <col min="12060" max="12060" width="9.7109375" style="125" customWidth="1"/>
    <col min="12061" max="12062" width="3.7109375" style="125" customWidth="1"/>
    <col min="12063" max="12063" width="9.7109375" style="125" customWidth="1"/>
    <col min="12064" max="12065" width="3.7109375" style="125" customWidth="1"/>
    <col min="12066" max="12066" width="9.7109375" style="125" customWidth="1"/>
    <col min="12067" max="12068" width="3.7109375" style="125" customWidth="1"/>
    <col min="12069" max="12069" width="9.7109375" style="125" customWidth="1"/>
    <col min="12070" max="12071" width="3.7109375" style="125" customWidth="1"/>
    <col min="12072" max="12072" width="9.7109375" style="125" customWidth="1"/>
    <col min="12073" max="12074" width="3.7109375" style="125" customWidth="1"/>
    <col min="12075" max="12075" width="9.7109375" style="125" customWidth="1"/>
    <col min="12076" max="12077" width="3.7109375" style="125" customWidth="1"/>
    <col min="12078" max="12078" width="9.7109375" style="125" customWidth="1"/>
    <col min="12079" max="12080" width="3.7109375" style="125" customWidth="1"/>
    <col min="12081" max="12081" width="9.7109375" style="125" customWidth="1"/>
    <col min="12082" max="12083" width="3.7109375" style="125" customWidth="1"/>
    <col min="12084" max="12084" width="9.7109375" style="125" customWidth="1"/>
    <col min="12085" max="12086" width="3.7109375" style="125" customWidth="1"/>
    <col min="12087" max="12087" width="9.7109375" style="125" customWidth="1"/>
    <col min="12088" max="12089" width="3.7109375" style="125" customWidth="1"/>
    <col min="12090" max="12090" width="9.7109375" style="125" customWidth="1"/>
    <col min="12091" max="12092" width="3.7109375" style="125" customWidth="1"/>
    <col min="12093" max="12093" width="9.7109375" style="125" customWidth="1"/>
    <col min="12094" max="12095" width="3.7109375" style="125" customWidth="1"/>
    <col min="12096" max="12096" width="9.7109375" style="125" customWidth="1"/>
    <col min="12097" max="12098" width="3.7109375" style="125" customWidth="1"/>
    <col min="12099" max="12099" width="9.7109375" style="125" customWidth="1"/>
    <col min="12100" max="12101" width="3.7109375" style="125" customWidth="1"/>
    <col min="12102" max="12102" width="9.7109375" style="125" customWidth="1"/>
    <col min="12103" max="12104" width="3.7109375" style="125" customWidth="1"/>
    <col min="12105" max="12105" width="9.7109375" style="125" customWidth="1"/>
    <col min="12106" max="12107" width="3.7109375" style="125" customWidth="1"/>
    <col min="12108" max="12108" width="9.7109375" style="125" customWidth="1"/>
    <col min="12109" max="12110" width="3.7109375" style="125" customWidth="1"/>
    <col min="12111" max="12111" width="9.7109375" style="125" customWidth="1"/>
    <col min="12112" max="12113" width="3.7109375" style="125" customWidth="1"/>
    <col min="12114" max="12114" width="9.7109375" style="125" customWidth="1"/>
    <col min="12115" max="12116" width="3.7109375" style="125" customWidth="1"/>
    <col min="12117" max="12117" width="9.7109375" style="125" customWidth="1"/>
    <col min="12118" max="12119" width="3.7109375" style="125" customWidth="1"/>
    <col min="12120" max="12120" width="9.7109375" style="125" customWidth="1"/>
    <col min="12121" max="12122" width="3.7109375" style="125" customWidth="1"/>
    <col min="12123" max="12123" width="9.7109375" style="125" customWidth="1"/>
    <col min="12124" max="12125" width="3.7109375" style="125" customWidth="1"/>
    <col min="12126" max="12126" width="9.7109375" style="125" customWidth="1"/>
    <col min="12127" max="12128" width="3.7109375" style="125" customWidth="1"/>
    <col min="12129" max="12129" width="9.7109375" style="125" customWidth="1"/>
    <col min="12130" max="12131" width="3.7109375" style="125" customWidth="1"/>
    <col min="12132" max="12132" width="9.7109375" style="125" customWidth="1"/>
    <col min="12133" max="12134" width="3.7109375" style="125" customWidth="1"/>
    <col min="12135" max="12135" width="9.7109375" style="125" customWidth="1"/>
    <col min="12136" max="12137" width="3.7109375" style="125" customWidth="1"/>
    <col min="12138" max="12138" width="9.7109375" style="125" customWidth="1"/>
    <col min="12139" max="12140" width="3.7109375" style="125" customWidth="1"/>
    <col min="12141" max="12141" width="9.7109375" style="125" customWidth="1"/>
    <col min="12142" max="12143" width="3.7109375" style="125" customWidth="1"/>
    <col min="12144" max="12144" width="9.7109375" style="125" customWidth="1"/>
    <col min="12145" max="12146" width="3.7109375" style="125" customWidth="1"/>
    <col min="12147" max="12147" width="9.7109375" style="125" customWidth="1"/>
    <col min="12148" max="12149" width="3.7109375" style="125" customWidth="1"/>
    <col min="12150" max="12150" width="9.7109375" style="125" customWidth="1"/>
    <col min="12151" max="12152" width="3.7109375" style="125" customWidth="1"/>
    <col min="12153" max="12153" width="9.7109375" style="125" customWidth="1"/>
    <col min="12154" max="12155" width="3.7109375" style="125" customWidth="1"/>
    <col min="12156" max="12156" width="9.7109375" style="125" customWidth="1"/>
    <col min="12157" max="12158" width="3.7109375" style="125" customWidth="1"/>
    <col min="12159" max="12159" width="9.7109375" style="125" customWidth="1"/>
    <col min="12160" max="12161" width="3.7109375" style="125" customWidth="1"/>
    <col min="12162" max="12162" width="9.7109375" style="125" customWidth="1"/>
    <col min="12163" max="12164" width="3.7109375" style="125" customWidth="1"/>
    <col min="12165" max="12165" width="9.7109375" style="125" customWidth="1"/>
    <col min="12166" max="12167" width="3.7109375" style="125" customWidth="1"/>
    <col min="12168" max="12168" width="9.7109375" style="125" customWidth="1"/>
    <col min="12169" max="12170" width="3.7109375" style="125" customWidth="1"/>
    <col min="12171" max="12171" width="9.7109375" style="125" customWidth="1"/>
    <col min="12172" max="12173" width="3.7109375" style="125" customWidth="1"/>
    <col min="12174" max="12174" width="9.7109375" style="125" customWidth="1"/>
    <col min="12175" max="12176" width="3.7109375" style="125" customWidth="1"/>
    <col min="12177" max="12177" width="9.7109375" style="125" customWidth="1"/>
    <col min="12178" max="12179" width="3.7109375" style="125" customWidth="1"/>
    <col min="12180" max="12180" width="9.7109375" style="125" customWidth="1"/>
    <col min="12181" max="12182" width="3.7109375" style="125" customWidth="1"/>
    <col min="12183" max="12183" width="9.7109375" style="125" customWidth="1"/>
    <col min="12184" max="12185" width="3.7109375" style="125" customWidth="1"/>
    <col min="12186" max="12186" width="9.7109375" style="125" customWidth="1"/>
    <col min="12187" max="12188" width="3.7109375" style="125" customWidth="1"/>
    <col min="12189" max="12189" width="9.7109375" style="125" customWidth="1"/>
    <col min="12190" max="12191" width="3.7109375" style="125" customWidth="1"/>
    <col min="12192" max="12192" width="9.7109375" style="125" customWidth="1"/>
    <col min="12193" max="12194" width="3.7109375" style="125" customWidth="1"/>
    <col min="12195" max="12195" width="9.7109375" style="125" customWidth="1"/>
    <col min="12196" max="12197" width="3.7109375" style="125" customWidth="1"/>
    <col min="12198" max="12198" width="9.7109375" style="125" customWidth="1"/>
    <col min="12199" max="12200" width="3.7109375" style="125" customWidth="1"/>
    <col min="12201" max="12201" width="9.7109375" style="125" customWidth="1"/>
    <col min="12202" max="12203" width="3.7109375" style="125" customWidth="1"/>
    <col min="12204" max="12204" width="9.7109375" style="125" customWidth="1"/>
    <col min="12205" max="12206" width="3.7109375" style="125" customWidth="1"/>
    <col min="12207" max="12207" width="9.7109375" style="125" customWidth="1"/>
    <col min="12208" max="12209" width="3.7109375" style="125" customWidth="1"/>
    <col min="12210" max="12210" width="9.7109375" style="125" customWidth="1"/>
    <col min="12211" max="12212" width="3.7109375" style="125" customWidth="1"/>
    <col min="12213" max="12213" width="9.7109375" style="125" customWidth="1"/>
    <col min="12214" max="12215" width="3.7109375" style="125" customWidth="1"/>
    <col min="12216" max="12216" width="9.7109375" style="125" customWidth="1"/>
    <col min="12217" max="12218" width="3.7109375" style="125" customWidth="1"/>
    <col min="12219" max="12219" width="9.7109375" style="125" customWidth="1"/>
    <col min="12220" max="12221" width="3.7109375" style="125" customWidth="1"/>
    <col min="12222" max="12222" width="9.7109375" style="125" customWidth="1"/>
    <col min="12223" max="12224" width="3.7109375" style="125" customWidth="1"/>
    <col min="12225" max="12225" width="9.7109375" style="125" customWidth="1"/>
    <col min="12226" max="12227" width="3.7109375" style="125" customWidth="1"/>
    <col min="12228" max="12228" width="9.7109375" style="125" customWidth="1"/>
    <col min="12229" max="12230" width="3.7109375" style="125" customWidth="1"/>
    <col min="12231" max="12231" width="9.7109375" style="125" customWidth="1"/>
    <col min="12232" max="12233" width="3.7109375" style="125" customWidth="1"/>
    <col min="12234" max="12234" width="9.7109375" style="125" customWidth="1"/>
    <col min="12235" max="12236" width="3.7109375" style="125" customWidth="1"/>
    <col min="12237" max="12237" width="9.7109375" style="125" customWidth="1"/>
    <col min="12238" max="12239" width="3.7109375" style="125" customWidth="1"/>
    <col min="12240" max="12240" width="9.7109375" style="125" customWidth="1"/>
    <col min="12241" max="12242" width="3.7109375" style="125" customWidth="1"/>
    <col min="12243" max="12243" width="9.7109375" style="125" customWidth="1"/>
    <col min="12244" max="12245" width="3.7109375" style="125" customWidth="1"/>
    <col min="12246" max="12246" width="9.7109375" style="125" customWidth="1"/>
    <col min="12247" max="12248" width="3.7109375" style="125" customWidth="1"/>
    <col min="12249" max="12249" width="9.7109375" style="125" customWidth="1"/>
    <col min="12250" max="12250" width="3.7109375" style="125" customWidth="1"/>
    <col min="12251" max="12288" width="8" style="125"/>
    <col min="12289" max="12289" width="30.7109375" style="125" customWidth="1"/>
    <col min="12290" max="12290" width="9.7109375" style="125" customWidth="1"/>
    <col min="12291" max="12291" width="3.7109375" style="125" customWidth="1"/>
    <col min="12292" max="12292" width="9.7109375" style="125" customWidth="1"/>
    <col min="12293" max="12294" width="3.7109375" style="125" customWidth="1"/>
    <col min="12295" max="12295" width="9.7109375" style="125" customWidth="1"/>
    <col min="12296" max="12297" width="3.7109375" style="125" customWidth="1"/>
    <col min="12298" max="12298" width="9.7109375" style="125" customWidth="1"/>
    <col min="12299" max="12300" width="3.7109375" style="125" customWidth="1"/>
    <col min="12301" max="12301" width="9.7109375" style="125" customWidth="1"/>
    <col min="12302" max="12303" width="3.7109375" style="125" customWidth="1"/>
    <col min="12304" max="12304" width="9.7109375" style="125" customWidth="1"/>
    <col min="12305" max="12306" width="3.7109375" style="125" customWidth="1"/>
    <col min="12307" max="12307" width="9.7109375" style="125" customWidth="1"/>
    <col min="12308" max="12309" width="3.7109375" style="125" customWidth="1"/>
    <col min="12310" max="12310" width="9.7109375" style="125" customWidth="1"/>
    <col min="12311" max="12312" width="3.7109375" style="125" customWidth="1"/>
    <col min="12313" max="12313" width="9.7109375" style="125" customWidth="1"/>
    <col min="12314" max="12315" width="3.7109375" style="125" customWidth="1"/>
    <col min="12316" max="12316" width="9.7109375" style="125" customWidth="1"/>
    <col min="12317" max="12318" width="3.7109375" style="125" customWidth="1"/>
    <col min="12319" max="12319" width="9.7109375" style="125" customWidth="1"/>
    <col min="12320" max="12321" width="3.7109375" style="125" customWidth="1"/>
    <col min="12322" max="12322" width="9.7109375" style="125" customWidth="1"/>
    <col min="12323" max="12324" width="3.7109375" style="125" customWidth="1"/>
    <col min="12325" max="12325" width="9.7109375" style="125" customWidth="1"/>
    <col min="12326" max="12327" width="3.7109375" style="125" customWidth="1"/>
    <col min="12328" max="12328" width="9.7109375" style="125" customWidth="1"/>
    <col min="12329" max="12330" width="3.7109375" style="125" customWidth="1"/>
    <col min="12331" max="12331" width="9.7109375" style="125" customWidth="1"/>
    <col min="12332" max="12333" width="3.7109375" style="125" customWidth="1"/>
    <col min="12334" max="12334" width="9.7109375" style="125" customWidth="1"/>
    <col min="12335" max="12336" width="3.7109375" style="125" customWidth="1"/>
    <col min="12337" max="12337" width="9.7109375" style="125" customWidth="1"/>
    <col min="12338" max="12339" width="3.7109375" style="125" customWidth="1"/>
    <col min="12340" max="12340" width="9.7109375" style="125" customWidth="1"/>
    <col min="12341" max="12342" width="3.7109375" style="125" customWidth="1"/>
    <col min="12343" max="12343" width="9.7109375" style="125" customWidth="1"/>
    <col min="12344" max="12345" width="3.7109375" style="125" customWidth="1"/>
    <col min="12346" max="12346" width="9.7109375" style="125" customWidth="1"/>
    <col min="12347" max="12348" width="3.7109375" style="125" customWidth="1"/>
    <col min="12349" max="12349" width="9.7109375" style="125" customWidth="1"/>
    <col min="12350" max="12351" width="3.7109375" style="125" customWidth="1"/>
    <col min="12352" max="12352" width="9.7109375" style="125" customWidth="1"/>
    <col min="12353" max="12354" width="3.7109375" style="125" customWidth="1"/>
    <col min="12355" max="12355" width="9.7109375" style="125" customWidth="1"/>
    <col min="12356" max="12357" width="3.7109375" style="125" customWidth="1"/>
    <col min="12358" max="12358" width="9.7109375" style="125" customWidth="1"/>
    <col min="12359" max="12360" width="3.7109375" style="125" customWidth="1"/>
    <col min="12361" max="12361" width="9.7109375" style="125" customWidth="1"/>
    <col min="12362" max="12363" width="3.7109375" style="125" customWidth="1"/>
    <col min="12364" max="12364" width="9.7109375" style="125" customWidth="1"/>
    <col min="12365" max="12366" width="3.7109375" style="125" customWidth="1"/>
    <col min="12367" max="12367" width="9.7109375" style="125" customWidth="1"/>
    <col min="12368" max="12369" width="3.7109375" style="125" customWidth="1"/>
    <col min="12370" max="12370" width="9.7109375" style="125" customWidth="1"/>
    <col min="12371" max="12372" width="3.7109375" style="125" customWidth="1"/>
    <col min="12373" max="12373" width="9.7109375" style="125" customWidth="1"/>
    <col min="12374" max="12375" width="3.7109375" style="125" customWidth="1"/>
    <col min="12376" max="12376" width="9.7109375" style="125" customWidth="1"/>
    <col min="12377" max="12378" width="3.7109375" style="125" customWidth="1"/>
    <col min="12379" max="12379" width="9.7109375" style="125" customWidth="1"/>
    <col min="12380" max="12381" width="3.7109375" style="125" customWidth="1"/>
    <col min="12382" max="12382" width="9.7109375" style="125" customWidth="1"/>
    <col min="12383" max="12384" width="3.7109375" style="125" customWidth="1"/>
    <col min="12385" max="12385" width="9.7109375" style="125" customWidth="1"/>
    <col min="12386" max="12387" width="3.7109375" style="125" customWidth="1"/>
    <col min="12388" max="12388" width="9.7109375" style="125" customWidth="1"/>
    <col min="12389" max="12390" width="3.7109375" style="125" customWidth="1"/>
    <col min="12391" max="12391" width="9.7109375" style="125" customWidth="1"/>
    <col min="12392" max="12393" width="3.7109375" style="125" customWidth="1"/>
    <col min="12394" max="12394" width="9.7109375" style="125" customWidth="1"/>
    <col min="12395" max="12396" width="3.7109375" style="125" customWidth="1"/>
    <col min="12397" max="12397" width="9.7109375" style="125" customWidth="1"/>
    <col min="12398" max="12399" width="3.7109375" style="125" customWidth="1"/>
    <col min="12400" max="12400" width="9.7109375" style="125" customWidth="1"/>
    <col min="12401" max="12402" width="3.7109375" style="125" customWidth="1"/>
    <col min="12403" max="12403" width="9.7109375" style="125" customWidth="1"/>
    <col min="12404" max="12405" width="3.7109375" style="125" customWidth="1"/>
    <col min="12406" max="12406" width="9.7109375" style="125" customWidth="1"/>
    <col min="12407" max="12408" width="3.7109375" style="125" customWidth="1"/>
    <col min="12409" max="12409" width="9.7109375" style="125" customWidth="1"/>
    <col min="12410" max="12411" width="3.7109375" style="125" customWidth="1"/>
    <col min="12412" max="12412" width="9.7109375" style="125" customWidth="1"/>
    <col min="12413" max="12414" width="3.7109375" style="125" customWidth="1"/>
    <col min="12415" max="12415" width="9.7109375" style="125" customWidth="1"/>
    <col min="12416" max="12417" width="3.7109375" style="125" customWidth="1"/>
    <col min="12418" max="12418" width="9.7109375" style="125" customWidth="1"/>
    <col min="12419" max="12420" width="3.7109375" style="125" customWidth="1"/>
    <col min="12421" max="12421" width="9.7109375" style="125" customWidth="1"/>
    <col min="12422" max="12423" width="3.7109375" style="125" customWidth="1"/>
    <col min="12424" max="12424" width="9.7109375" style="125" customWidth="1"/>
    <col min="12425" max="12426" width="3.7109375" style="125" customWidth="1"/>
    <col min="12427" max="12427" width="9.7109375" style="125" customWidth="1"/>
    <col min="12428" max="12429" width="3.7109375" style="125" customWidth="1"/>
    <col min="12430" max="12430" width="9.7109375" style="125" customWidth="1"/>
    <col min="12431" max="12432" width="3.7109375" style="125" customWidth="1"/>
    <col min="12433" max="12433" width="9.7109375" style="125" customWidth="1"/>
    <col min="12434" max="12435" width="3.7109375" style="125" customWidth="1"/>
    <col min="12436" max="12436" width="9.7109375" style="125" customWidth="1"/>
    <col min="12437" max="12438" width="3.7109375" style="125" customWidth="1"/>
    <col min="12439" max="12439" width="9.7109375" style="125" customWidth="1"/>
    <col min="12440" max="12441" width="3.7109375" style="125" customWidth="1"/>
    <col min="12442" max="12442" width="9.7109375" style="125" customWidth="1"/>
    <col min="12443" max="12444" width="3.7109375" style="125" customWidth="1"/>
    <col min="12445" max="12445" width="9.7109375" style="125" customWidth="1"/>
    <col min="12446" max="12447" width="3.7109375" style="125" customWidth="1"/>
    <col min="12448" max="12448" width="9.7109375" style="125" customWidth="1"/>
    <col min="12449" max="12450" width="3.7109375" style="125" customWidth="1"/>
    <col min="12451" max="12451" width="9.7109375" style="125" customWidth="1"/>
    <col min="12452" max="12453" width="3.7109375" style="125" customWidth="1"/>
    <col min="12454" max="12454" width="9.7109375" style="125" customWidth="1"/>
    <col min="12455" max="12456" width="3.7109375" style="125" customWidth="1"/>
    <col min="12457" max="12457" width="9.7109375" style="125" customWidth="1"/>
    <col min="12458" max="12459" width="3.7109375" style="125" customWidth="1"/>
    <col min="12460" max="12460" width="9.7109375" style="125" customWidth="1"/>
    <col min="12461" max="12462" width="3.7109375" style="125" customWidth="1"/>
    <col min="12463" max="12463" width="9.7109375" style="125" customWidth="1"/>
    <col min="12464" max="12465" width="3.7109375" style="125" customWidth="1"/>
    <col min="12466" max="12466" width="9.7109375" style="125" customWidth="1"/>
    <col min="12467" max="12468" width="3.7109375" style="125" customWidth="1"/>
    <col min="12469" max="12469" width="9.7109375" style="125" customWidth="1"/>
    <col min="12470" max="12471" width="3.7109375" style="125" customWidth="1"/>
    <col min="12472" max="12472" width="9.7109375" style="125" customWidth="1"/>
    <col min="12473" max="12474" width="3.7109375" style="125" customWidth="1"/>
    <col min="12475" max="12475" width="9.7109375" style="125" customWidth="1"/>
    <col min="12476" max="12477" width="3.7109375" style="125" customWidth="1"/>
    <col min="12478" max="12478" width="9.7109375" style="125" customWidth="1"/>
    <col min="12479" max="12480" width="3.7109375" style="125" customWidth="1"/>
    <col min="12481" max="12481" width="9.7109375" style="125" customWidth="1"/>
    <col min="12482" max="12483" width="3.7109375" style="125" customWidth="1"/>
    <col min="12484" max="12484" width="9.7109375" style="125" customWidth="1"/>
    <col min="12485" max="12486" width="3.7109375" style="125" customWidth="1"/>
    <col min="12487" max="12487" width="9.7109375" style="125" customWidth="1"/>
    <col min="12488" max="12489" width="3.7109375" style="125" customWidth="1"/>
    <col min="12490" max="12490" width="9.7109375" style="125" customWidth="1"/>
    <col min="12491" max="12492" width="3.7109375" style="125" customWidth="1"/>
    <col min="12493" max="12493" width="9.7109375" style="125" customWidth="1"/>
    <col min="12494" max="12495" width="3.7109375" style="125" customWidth="1"/>
    <col min="12496" max="12496" width="9.7109375" style="125" customWidth="1"/>
    <col min="12497" max="12498" width="3.7109375" style="125" customWidth="1"/>
    <col min="12499" max="12499" width="9.7109375" style="125" customWidth="1"/>
    <col min="12500" max="12501" width="3.7109375" style="125" customWidth="1"/>
    <col min="12502" max="12502" width="9.7109375" style="125" customWidth="1"/>
    <col min="12503" max="12504" width="3.7109375" style="125" customWidth="1"/>
    <col min="12505" max="12505" width="9.7109375" style="125" customWidth="1"/>
    <col min="12506" max="12506" width="3.7109375" style="125" customWidth="1"/>
    <col min="12507" max="12544" width="8" style="125"/>
    <col min="12545" max="12545" width="30.7109375" style="125" customWidth="1"/>
    <col min="12546" max="12546" width="9.7109375" style="125" customWidth="1"/>
    <col min="12547" max="12547" width="3.7109375" style="125" customWidth="1"/>
    <col min="12548" max="12548" width="9.7109375" style="125" customWidth="1"/>
    <col min="12549" max="12550" width="3.7109375" style="125" customWidth="1"/>
    <col min="12551" max="12551" width="9.7109375" style="125" customWidth="1"/>
    <col min="12552" max="12553" width="3.7109375" style="125" customWidth="1"/>
    <col min="12554" max="12554" width="9.7109375" style="125" customWidth="1"/>
    <col min="12555" max="12556" width="3.7109375" style="125" customWidth="1"/>
    <col min="12557" max="12557" width="9.7109375" style="125" customWidth="1"/>
    <col min="12558" max="12559" width="3.7109375" style="125" customWidth="1"/>
    <col min="12560" max="12560" width="9.7109375" style="125" customWidth="1"/>
    <col min="12561" max="12562" width="3.7109375" style="125" customWidth="1"/>
    <col min="12563" max="12563" width="9.7109375" style="125" customWidth="1"/>
    <col min="12564" max="12565" width="3.7109375" style="125" customWidth="1"/>
    <col min="12566" max="12566" width="9.7109375" style="125" customWidth="1"/>
    <col min="12567" max="12568" width="3.7109375" style="125" customWidth="1"/>
    <col min="12569" max="12569" width="9.7109375" style="125" customWidth="1"/>
    <col min="12570" max="12571" width="3.7109375" style="125" customWidth="1"/>
    <col min="12572" max="12572" width="9.7109375" style="125" customWidth="1"/>
    <col min="12573" max="12574" width="3.7109375" style="125" customWidth="1"/>
    <col min="12575" max="12575" width="9.7109375" style="125" customWidth="1"/>
    <col min="12576" max="12577" width="3.7109375" style="125" customWidth="1"/>
    <col min="12578" max="12578" width="9.7109375" style="125" customWidth="1"/>
    <col min="12579" max="12580" width="3.7109375" style="125" customWidth="1"/>
    <col min="12581" max="12581" width="9.7109375" style="125" customWidth="1"/>
    <col min="12582" max="12583" width="3.7109375" style="125" customWidth="1"/>
    <col min="12584" max="12584" width="9.7109375" style="125" customWidth="1"/>
    <col min="12585" max="12586" width="3.7109375" style="125" customWidth="1"/>
    <col min="12587" max="12587" width="9.7109375" style="125" customWidth="1"/>
    <col min="12588" max="12589" width="3.7109375" style="125" customWidth="1"/>
    <col min="12590" max="12590" width="9.7109375" style="125" customWidth="1"/>
    <col min="12591" max="12592" width="3.7109375" style="125" customWidth="1"/>
    <col min="12593" max="12593" width="9.7109375" style="125" customWidth="1"/>
    <col min="12594" max="12595" width="3.7109375" style="125" customWidth="1"/>
    <col min="12596" max="12596" width="9.7109375" style="125" customWidth="1"/>
    <col min="12597" max="12598" width="3.7109375" style="125" customWidth="1"/>
    <col min="12599" max="12599" width="9.7109375" style="125" customWidth="1"/>
    <col min="12600" max="12601" width="3.7109375" style="125" customWidth="1"/>
    <col min="12602" max="12602" width="9.7109375" style="125" customWidth="1"/>
    <col min="12603" max="12604" width="3.7109375" style="125" customWidth="1"/>
    <col min="12605" max="12605" width="9.7109375" style="125" customWidth="1"/>
    <col min="12606" max="12607" width="3.7109375" style="125" customWidth="1"/>
    <col min="12608" max="12608" width="9.7109375" style="125" customWidth="1"/>
    <col min="12609" max="12610" width="3.7109375" style="125" customWidth="1"/>
    <col min="12611" max="12611" width="9.7109375" style="125" customWidth="1"/>
    <col min="12612" max="12613" width="3.7109375" style="125" customWidth="1"/>
    <col min="12614" max="12614" width="9.7109375" style="125" customWidth="1"/>
    <col min="12615" max="12616" width="3.7109375" style="125" customWidth="1"/>
    <col min="12617" max="12617" width="9.7109375" style="125" customWidth="1"/>
    <col min="12618" max="12619" width="3.7109375" style="125" customWidth="1"/>
    <col min="12620" max="12620" width="9.7109375" style="125" customWidth="1"/>
    <col min="12621" max="12622" width="3.7109375" style="125" customWidth="1"/>
    <col min="12623" max="12623" width="9.7109375" style="125" customWidth="1"/>
    <col min="12624" max="12625" width="3.7109375" style="125" customWidth="1"/>
    <col min="12626" max="12626" width="9.7109375" style="125" customWidth="1"/>
    <col min="12627" max="12628" width="3.7109375" style="125" customWidth="1"/>
    <col min="12629" max="12629" width="9.7109375" style="125" customWidth="1"/>
    <col min="12630" max="12631" width="3.7109375" style="125" customWidth="1"/>
    <col min="12632" max="12632" width="9.7109375" style="125" customWidth="1"/>
    <col min="12633" max="12634" width="3.7109375" style="125" customWidth="1"/>
    <col min="12635" max="12635" width="9.7109375" style="125" customWidth="1"/>
    <col min="12636" max="12637" width="3.7109375" style="125" customWidth="1"/>
    <col min="12638" max="12638" width="9.7109375" style="125" customWidth="1"/>
    <col min="12639" max="12640" width="3.7109375" style="125" customWidth="1"/>
    <col min="12641" max="12641" width="9.7109375" style="125" customWidth="1"/>
    <col min="12642" max="12643" width="3.7109375" style="125" customWidth="1"/>
    <col min="12644" max="12644" width="9.7109375" style="125" customWidth="1"/>
    <col min="12645" max="12646" width="3.7109375" style="125" customWidth="1"/>
    <col min="12647" max="12647" width="9.7109375" style="125" customWidth="1"/>
    <col min="12648" max="12649" width="3.7109375" style="125" customWidth="1"/>
    <col min="12650" max="12650" width="9.7109375" style="125" customWidth="1"/>
    <col min="12651" max="12652" width="3.7109375" style="125" customWidth="1"/>
    <col min="12653" max="12653" width="9.7109375" style="125" customWidth="1"/>
    <col min="12654" max="12655" width="3.7109375" style="125" customWidth="1"/>
    <col min="12656" max="12656" width="9.7109375" style="125" customWidth="1"/>
    <col min="12657" max="12658" width="3.7109375" style="125" customWidth="1"/>
    <col min="12659" max="12659" width="9.7109375" style="125" customWidth="1"/>
    <col min="12660" max="12661" width="3.7109375" style="125" customWidth="1"/>
    <col min="12662" max="12662" width="9.7109375" style="125" customWidth="1"/>
    <col min="12663" max="12664" width="3.7109375" style="125" customWidth="1"/>
    <col min="12665" max="12665" width="9.7109375" style="125" customWidth="1"/>
    <col min="12666" max="12667" width="3.7109375" style="125" customWidth="1"/>
    <col min="12668" max="12668" width="9.7109375" style="125" customWidth="1"/>
    <col min="12669" max="12670" width="3.7109375" style="125" customWidth="1"/>
    <col min="12671" max="12671" width="9.7109375" style="125" customWidth="1"/>
    <col min="12672" max="12673" width="3.7109375" style="125" customWidth="1"/>
    <col min="12674" max="12674" width="9.7109375" style="125" customWidth="1"/>
    <col min="12675" max="12676" width="3.7109375" style="125" customWidth="1"/>
    <col min="12677" max="12677" width="9.7109375" style="125" customWidth="1"/>
    <col min="12678" max="12679" width="3.7109375" style="125" customWidth="1"/>
    <col min="12680" max="12680" width="9.7109375" style="125" customWidth="1"/>
    <col min="12681" max="12682" width="3.7109375" style="125" customWidth="1"/>
    <col min="12683" max="12683" width="9.7109375" style="125" customWidth="1"/>
    <col min="12684" max="12685" width="3.7109375" style="125" customWidth="1"/>
    <col min="12686" max="12686" width="9.7109375" style="125" customWidth="1"/>
    <col min="12687" max="12688" width="3.7109375" style="125" customWidth="1"/>
    <col min="12689" max="12689" width="9.7109375" style="125" customWidth="1"/>
    <col min="12690" max="12691" width="3.7109375" style="125" customWidth="1"/>
    <col min="12692" max="12692" width="9.7109375" style="125" customWidth="1"/>
    <col min="12693" max="12694" width="3.7109375" style="125" customWidth="1"/>
    <col min="12695" max="12695" width="9.7109375" style="125" customWidth="1"/>
    <col min="12696" max="12697" width="3.7109375" style="125" customWidth="1"/>
    <col min="12698" max="12698" width="9.7109375" style="125" customWidth="1"/>
    <col min="12699" max="12700" width="3.7109375" style="125" customWidth="1"/>
    <col min="12701" max="12701" width="9.7109375" style="125" customWidth="1"/>
    <col min="12702" max="12703" width="3.7109375" style="125" customWidth="1"/>
    <col min="12704" max="12704" width="9.7109375" style="125" customWidth="1"/>
    <col min="12705" max="12706" width="3.7109375" style="125" customWidth="1"/>
    <col min="12707" max="12707" width="9.7109375" style="125" customWidth="1"/>
    <col min="12708" max="12709" width="3.7109375" style="125" customWidth="1"/>
    <col min="12710" max="12710" width="9.7109375" style="125" customWidth="1"/>
    <col min="12711" max="12712" width="3.7109375" style="125" customWidth="1"/>
    <col min="12713" max="12713" width="9.7109375" style="125" customWidth="1"/>
    <col min="12714" max="12715" width="3.7109375" style="125" customWidth="1"/>
    <col min="12716" max="12716" width="9.7109375" style="125" customWidth="1"/>
    <col min="12717" max="12718" width="3.7109375" style="125" customWidth="1"/>
    <col min="12719" max="12719" width="9.7109375" style="125" customWidth="1"/>
    <col min="12720" max="12721" width="3.7109375" style="125" customWidth="1"/>
    <col min="12722" max="12722" width="9.7109375" style="125" customWidth="1"/>
    <col min="12723" max="12724" width="3.7109375" style="125" customWidth="1"/>
    <col min="12725" max="12725" width="9.7109375" style="125" customWidth="1"/>
    <col min="12726" max="12727" width="3.7109375" style="125" customWidth="1"/>
    <col min="12728" max="12728" width="9.7109375" style="125" customWidth="1"/>
    <col min="12729" max="12730" width="3.7109375" style="125" customWidth="1"/>
    <col min="12731" max="12731" width="9.7109375" style="125" customWidth="1"/>
    <col min="12732" max="12733" width="3.7109375" style="125" customWidth="1"/>
    <col min="12734" max="12734" width="9.7109375" style="125" customWidth="1"/>
    <col min="12735" max="12736" width="3.7109375" style="125" customWidth="1"/>
    <col min="12737" max="12737" width="9.7109375" style="125" customWidth="1"/>
    <col min="12738" max="12739" width="3.7109375" style="125" customWidth="1"/>
    <col min="12740" max="12740" width="9.7109375" style="125" customWidth="1"/>
    <col min="12741" max="12742" width="3.7109375" style="125" customWidth="1"/>
    <col min="12743" max="12743" width="9.7109375" style="125" customWidth="1"/>
    <col min="12744" max="12745" width="3.7109375" style="125" customWidth="1"/>
    <col min="12746" max="12746" width="9.7109375" style="125" customWidth="1"/>
    <col min="12747" max="12748" width="3.7109375" style="125" customWidth="1"/>
    <col min="12749" max="12749" width="9.7109375" style="125" customWidth="1"/>
    <col min="12750" max="12751" width="3.7109375" style="125" customWidth="1"/>
    <col min="12752" max="12752" width="9.7109375" style="125" customWidth="1"/>
    <col min="12753" max="12754" width="3.7109375" style="125" customWidth="1"/>
    <col min="12755" max="12755" width="9.7109375" style="125" customWidth="1"/>
    <col min="12756" max="12757" width="3.7109375" style="125" customWidth="1"/>
    <col min="12758" max="12758" width="9.7109375" style="125" customWidth="1"/>
    <col min="12759" max="12760" width="3.7109375" style="125" customWidth="1"/>
    <col min="12761" max="12761" width="9.7109375" style="125" customWidth="1"/>
    <col min="12762" max="12762" width="3.7109375" style="125" customWidth="1"/>
    <col min="12763" max="12800" width="8" style="125"/>
    <col min="12801" max="12801" width="30.7109375" style="125" customWidth="1"/>
    <col min="12802" max="12802" width="9.7109375" style="125" customWidth="1"/>
    <col min="12803" max="12803" width="3.7109375" style="125" customWidth="1"/>
    <col min="12804" max="12804" width="9.7109375" style="125" customWidth="1"/>
    <col min="12805" max="12806" width="3.7109375" style="125" customWidth="1"/>
    <col min="12807" max="12807" width="9.7109375" style="125" customWidth="1"/>
    <col min="12808" max="12809" width="3.7109375" style="125" customWidth="1"/>
    <col min="12810" max="12810" width="9.7109375" style="125" customWidth="1"/>
    <col min="12811" max="12812" width="3.7109375" style="125" customWidth="1"/>
    <col min="12813" max="12813" width="9.7109375" style="125" customWidth="1"/>
    <col min="12814" max="12815" width="3.7109375" style="125" customWidth="1"/>
    <col min="12816" max="12816" width="9.7109375" style="125" customWidth="1"/>
    <col min="12817" max="12818" width="3.7109375" style="125" customWidth="1"/>
    <col min="12819" max="12819" width="9.7109375" style="125" customWidth="1"/>
    <col min="12820" max="12821" width="3.7109375" style="125" customWidth="1"/>
    <col min="12822" max="12822" width="9.7109375" style="125" customWidth="1"/>
    <col min="12823" max="12824" width="3.7109375" style="125" customWidth="1"/>
    <col min="12825" max="12825" width="9.7109375" style="125" customWidth="1"/>
    <col min="12826" max="12827" width="3.7109375" style="125" customWidth="1"/>
    <col min="12828" max="12828" width="9.7109375" style="125" customWidth="1"/>
    <col min="12829" max="12830" width="3.7109375" style="125" customWidth="1"/>
    <col min="12831" max="12831" width="9.7109375" style="125" customWidth="1"/>
    <col min="12832" max="12833" width="3.7109375" style="125" customWidth="1"/>
    <col min="12834" max="12834" width="9.7109375" style="125" customWidth="1"/>
    <col min="12835" max="12836" width="3.7109375" style="125" customWidth="1"/>
    <col min="12837" max="12837" width="9.7109375" style="125" customWidth="1"/>
    <col min="12838" max="12839" width="3.7109375" style="125" customWidth="1"/>
    <col min="12840" max="12840" width="9.7109375" style="125" customWidth="1"/>
    <col min="12841" max="12842" width="3.7109375" style="125" customWidth="1"/>
    <col min="12843" max="12843" width="9.7109375" style="125" customWidth="1"/>
    <col min="12844" max="12845" width="3.7109375" style="125" customWidth="1"/>
    <col min="12846" max="12846" width="9.7109375" style="125" customWidth="1"/>
    <col min="12847" max="12848" width="3.7109375" style="125" customWidth="1"/>
    <col min="12849" max="12849" width="9.7109375" style="125" customWidth="1"/>
    <col min="12850" max="12851" width="3.7109375" style="125" customWidth="1"/>
    <col min="12852" max="12852" width="9.7109375" style="125" customWidth="1"/>
    <col min="12853" max="12854" width="3.7109375" style="125" customWidth="1"/>
    <col min="12855" max="12855" width="9.7109375" style="125" customWidth="1"/>
    <col min="12856" max="12857" width="3.7109375" style="125" customWidth="1"/>
    <col min="12858" max="12858" width="9.7109375" style="125" customWidth="1"/>
    <col min="12859" max="12860" width="3.7109375" style="125" customWidth="1"/>
    <col min="12861" max="12861" width="9.7109375" style="125" customWidth="1"/>
    <col min="12862" max="12863" width="3.7109375" style="125" customWidth="1"/>
    <col min="12864" max="12864" width="9.7109375" style="125" customWidth="1"/>
    <col min="12865" max="12866" width="3.7109375" style="125" customWidth="1"/>
    <col min="12867" max="12867" width="9.7109375" style="125" customWidth="1"/>
    <col min="12868" max="12869" width="3.7109375" style="125" customWidth="1"/>
    <col min="12870" max="12870" width="9.7109375" style="125" customWidth="1"/>
    <col min="12871" max="12872" width="3.7109375" style="125" customWidth="1"/>
    <col min="12873" max="12873" width="9.7109375" style="125" customWidth="1"/>
    <col min="12874" max="12875" width="3.7109375" style="125" customWidth="1"/>
    <col min="12876" max="12876" width="9.7109375" style="125" customWidth="1"/>
    <col min="12877" max="12878" width="3.7109375" style="125" customWidth="1"/>
    <col min="12879" max="12879" width="9.7109375" style="125" customWidth="1"/>
    <col min="12880" max="12881" width="3.7109375" style="125" customWidth="1"/>
    <col min="12882" max="12882" width="9.7109375" style="125" customWidth="1"/>
    <col min="12883" max="12884" width="3.7109375" style="125" customWidth="1"/>
    <col min="12885" max="12885" width="9.7109375" style="125" customWidth="1"/>
    <col min="12886" max="12887" width="3.7109375" style="125" customWidth="1"/>
    <col min="12888" max="12888" width="9.7109375" style="125" customWidth="1"/>
    <col min="12889" max="12890" width="3.7109375" style="125" customWidth="1"/>
    <col min="12891" max="12891" width="9.7109375" style="125" customWidth="1"/>
    <col min="12892" max="12893" width="3.7109375" style="125" customWidth="1"/>
    <col min="12894" max="12894" width="9.7109375" style="125" customWidth="1"/>
    <col min="12895" max="12896" width="3.7109375" style="125" customWidth="1"/>
    <col min="12897" max="12897" width="9.7109375" style="125" customWidth="1"/>
    <col min="12898" max="12899" width="3.7109375" style="125" customWidth="1"/>
    <col min="12900" max="12900" width="9.7109375" style="125" customWidth="1"/>
    <col min="12901" max="12902" width="3.7109375" style="125" customWidth="1"/>
    <col min="12903" max="12903" width="9.7109375" style="125" customWidth="1"/>
    <col min="12904" max="12905" width="3.7109375" style="125" customWidth="1"/>
    <col min="12906" max="12906" width="9.7109375" style="125" customWidth="1"/>
    <col min="12907" max="12908" width="3.7109375" style="125" customWidth="1"/>
    <col min="12909" max="12909" width="9.7109375" style="125" customWidth="1"/>
    <col min="12910" max="12911" width="3.7109375" style="125" customWidth="1"/>
    <col min="12912" max="12912" width="9.7109375" style="125" customWidth="1"/>
    <col min="12913" max="12914" width="3.7109375" style="125" customWidth="1"/>
    <col min="12915" max="12915" width="9.7109375" style="125" customWidth="1"/>
    <col min="12916" max="12917" width="3.7109375" style="125" customWidth="1"/>
    <col min="12918" max="12918" width="9.7109375" style="125" customWidth="1"/>
    <col min="12919" max="12920" width="3.7109375" style="125" customWidth="1"/>
    <col min="12921" max="12921" width="9.7109375" style="125" customWidth="1"/>
    <col min="12922" max="12923" width="3.7109375" style="125" customWidth="1"/>
    <col min="12924" max="12924" width="9.7109375" style="125" customWidth="1"/>
    <col min="12925" max="12926" width="3.7109375" style="125" customWidth="1"/>
    <col min="12927" max="12927" width="9.7109375" style="125" customWidth="1"/>
    <col min="12928" max="12929" width="3.7109375" style="125" customWidth="1"/>
    <col min="12930" max="12930" width="9.7109375" style="125" customWidth="1"/>
    <col min="12931" max="12932" width="3.7109375" style="125" customWidth="1"/>
    <col min="12933" max="12933" width="9.7109375" style="125" customWidth="1"/>
    <col min="12934" max="12935" width="3.7109375" style="125" customWidth="1"/>
    <col min="12936" max="12936" width="9.7109375" style="125" customWidth="1"/>
    <col min="12937" max="12938" width="3.7109375" style="125" customWidth="1"/>
    <col min="12939" max="12939" width="9.7109375" style="125" customWidth="1"/>
    <col min="12940" max="12941" width="3.7109375" style="125" customWidth="1"/>
    <col min="12942" max="12942" width="9.7109375" style="125" customWidth="1"/>
    <col min="12943" max="12944" width="3.7109375" style="125" customWidth="1"/>
    <col min="12945" max="12945" width="9.7109375" style="125" customWidth="1"/>
    <col min="12946" max="12947" width="3.7109375" style="125" customWidth="1"/>
    <col min="12948" max="12948" width="9.7109375" style="125" customWidth="1"/>
    <col min="12949" max="12950" width="3.7109375" style="125" customWidth="1"/>
    <col min="12951" max="12951" width="9.7109375" style="125" customWidth="1"/>
    <col min="12952" max="12953" width="3.7109375" style="125" customWidth="1"/>
    <col min="12954" max="12954" width="9.7109375" style="125" customWidth="1"/>
    <col min="12955" max="12956" width="3.7109375" style="125" customWidth="1"/>
    <col min="12957" max="12957" width="9.7109375" style="125" customWidth="1"/>
    <col min="12958" max="12959" width="3.7109375" style="125" customWidth="1"/>
    <col min="12960" max="12960" width="9.7109375" style="125" customWidth="1"/>
    <col min="12961" max="12962" width="3.7109375" style="125" customWidth="1"/>
    <col min="12963" max="12963" width="9.7109375" style="125" customWidth="1"/>
    <col min="12964" max="12965" width="3.7109375" style="125" customWidth="1"/>
    <col min="12966" max="12966" width="9.7109375" style="125" customWidth="1"/>
    <col min="12967" max="12968" width="3.7109375" style="125" customWidth="1"/>
    <col min="12969" max="12969" width="9.7109375" style="125" customWidth="1"/>
    <col min="12970" max="12971" width="3.7109375" style="125" customWidth="1"/>
    <col min="12972" max="12972" width="9.7109375" style="125" customWidth="1"/>
    <col min="12973" max="12974" width="3.7109375" style="125" customWidth="1"/>
    <col min="12975" max="12975" width="9.7109375" style="125" customWidth="1"/>
    <col min="12976" max="12977" width="3.7109375" style="125" customWidth="1"/>
    <col min="12978" max="12978" width="9.7109375" style="125" customWidth="1"/>
    <col min="12979" max="12980" width="3.7109375" style="125" customWidth="1"/>
    <col min="12981" max="12981" width="9.7109375" style="125" customWidth="1"/>
    <col min="12982" max="12983" width="3.7109375" style="125" customWidth="1"/>
    <col min="12984" max="12984" width="9.7109375" style="125" customWidth="1"/>
    <col min="12985" max="12986" width="3.7109375" style="125" customWidth="1"/>
    <col min="12987" max="12987" width="9.7109375" style="125" customWidth="1"/>
    <col min="12988" max="12989" width="3.7109375" style="125" customWidth="1"/>
    <col min="12990" max="12990" width="9.7109375" style="125" customWidth="1"/>
    <col min="12991" max="12992" width="3.7109375" style="125" customWidth="1"/>
    <col min="12993" max="12993" width="9.7109375" style="125" customWidth="1"/>
    <col min="12994" max="12995" width="3.7109375" style="125" customWidth="1"/>
    <col min="12996" max="12996" width="9.7109375" style="125" customWidth="1"/>
    <col min="12997" max="12998" width="3.7109375" style="125" customWidth="1"/>
    <col min="12999" max="12999" width="9.7109375" style="125" customWidth="1"/>
    <col min="13000" max="13001" width="3.7109375" style="125" customWidth="1"/>
    <col min="13002" max="13002" width="9.7109375" style="125" customWidth="1"/>
    <col min="13003" max="13004" width="3.7109375" style="125" customWidth="1"/>
    <col min="13005" max="13005" width="9.7109375" style="125" customWidth="1"/>
    <col min="13006" max="13007" width="3.7109375" style="125" customWidth="1"/>
    <col min="13008" max="13008" width="9.7109375" style="125" customWidth="1"/>
    <col min="13009" max="13010" width="3.7109375" style="125" customWidth="1"/>
    <col min="13011" max="13011" width="9.7109375" style="125" customWidth="1"/>
    <col min="13012" max="13013" width="3.7109375" style="125" customWidth="1"/>
    <col min="13014" max="13014" width="9.7109375" style="125" customWidth="1"/>
    <col min="13015" max="13016" width="3.7109375" style="125" customWidth="1"/>
    <col min="13017" max="13017" width="9.7109375" style="125" customWidth="1"/>
    <col min="13018" max="13018" width="3.7109375" style="125" customWidth="1"/>
    <col min="13019" max="13056" width="8" style="125"/>
    <col min="13057" max="13057" width="30.7109375" style="125" customWidth="1"/>
    <col min="13058" max="13058" width="9.7109375" style="125" customWidth="1"/>
    <col min="13059" max="13059" width="3.7109375" style="125" customWidth="1"/>
    <col min="13060" max="13060" width="9.7109375" style="125" customWidth="1"/>
    <col min="13061" max="13062" width="3.7109375" style="125" customWidth="1"/>
    <col min="13063" max="13063" width="9.7109375" style="125" customWidth="1"/>
    <col min="13064" max="13065" width="3.7109375" style="125" customWidth="1"/>
    <col min="13066" max="13066" width="9.7109375" style="125" customWidth="1"/>
    <col min="13067" max="13068" width="3.7109375" style="125" customWidth="1"/>
    <col min="13069" max="13069" width="9.7109375" style="125" customWidth="1"/>
    <col min="13070" max="13071" width="3.7109375" style="125" customWidth="1"/>
    <col min="13072" max="13072" width="9.7109375" style="125" customWidth="1"/>
    <col min="13073" max="13074" width="3.7109375" style="125" customWidth="1"/>
    <col min="13075" max="13075" width="9.7109375" style="125" customWidth="1"/>
    <col min="13076" max="13077" width="3.7109375" style="125" customWidth="1"/>
    <col min="13078" max="13078" width="9.7109375" style="125" customWidth="1"/>
    <col min="13079" max="13080" width="3.7109375" style="125" customWidth="1"/>
    <col min="13081" max="13081" width="9.7109375" style="125" customWidth="1"/>
    <col min="13082" max="13083" width="3.7109375" style="125" customWidth="1"/>
    <col min="13084" max="13084" width="9.7109375" style="125" customWidth="1"/>
    <col min="13085" max="13086" width="3.7109375" style="125" customWidth="1"/>
    <col min="13087" max="13087" width="9.7109375" style="125" customWidth="1"/>
    <col min="13088" max="13089" width="3.7109375" style="125" customWidth="1"/>
    <col min="13090" max="13090" width="9.7109375" style="125" customWidth="1"/>
    <col min="13091" max="13092" width="3.7109375" style="125" customWidth="1"/>
    <col min="13093" max="13093" width="9.7109375" style="125" customWidth="1"/>
    <col min="13094" max="13095" width="3.7109375" style="125" customWidth="1"/>
    <col min="13096" max="13096" width="9.7109375" style="125" customWidth="1"/>
    <col min="13097" max="13098" width="3.7109375" style="125" customWidth="1"/>
    <col min="13099" max="13099" width="9.7109375" style="125" customWidth="1"/>
    <col min="13100" max="13101" width="3.7109375" style="125" customWidth="1"/>
    <col min="13102" max="13102" width="9.7109375" style="125" customWidth="1"/>
    <col min="13103" max="13104" width="3.7109375" style="125" customWidth="1"/>
    <col min="13105" max="13105" width="9.7109375" style="125" customWidth="1"/>
    <col min="13106" max="13107" width="3.7109375" style="125" customWidth="1"/>
    <col min="13108" max="13108" width="9.7109375" style="125" customWidth="1"/>
    <col min="13109" max="13110" width="3.7109375" style="125" customWidth="1"/>
    <col min="13111" max="13111" width="9.7109375" style="125" customWidth="1"/>
    <col min="13112" max="13113" width="3.7109375" style="125" customWidth="1"/>
    <col min="13114" max="13114" width="9.7109375" style="125" customWidth="1"/>
    <col min="13115" max="13116" width="3.7109375" style="125" customWidth="1"/>
    <col min="13117" max="13117" width="9.7109375" style="125" customWidth="1"/>
    <col min="13118" max="13119" width="3.7109375" style="125" customWidth="1"/>
    <col min="13120" max="13120" width="9.7109375" style="125" customWidth="1"/>
    <col min="13121" max="13122" width="3.7109375" style="125" customWidth="1"/>
    <col min="13123" max="13123" width="9.7109375" style="125" customWidth="1"/>
    <col min="13124" max="13125" width="3.7109375" style="125" customWidth="1"/>
    <col min="13126" max="13126" width="9.7109375" style="125" customWidth="1"/>
    <col min="13127" max="13128" width="3.7109375" style="125" customWidth="1"/>
    <col min="13129" max="13129" width="9.7109375" style="125" customWidth="1"/>
    <col min="13130" max="13131" width="3.7109375" style="125" customWidth="1"/>
    <col min="13132" max="13132" width="9.7109375" style="125" customWidth="1"/>
    <col min="13133" max="13134" width="3.7109375" style="125" customWidth="1"/>
    <col min="13135" max="13135" width="9.7109375" style="125" customWidth="1"/>
    <col min="13136" max="13137" width="3.7109375" style="125" customWidth="1"/>
    <col min="13138" max="13138" width="9.7109375" style="125" customWidth="1"/>
    <col min="13139" max="13140" width="3.7109375" style="125" customWidth="1"/>
    <col min="13141" max="13141" width="9.7109375" style="125" customWidth="1"/>
    <col min="13142" max="13143" width="3.7109375" style="125" customWidth="1"/>
    <col min="13144" max="13144" width="9.7109375" style="125" customWidth="1"/>
    <col min="13145" max="13146" width="3.7109375" style="125" customWidth="1"/>
    <col min="13147" max="13147" width="9.7109375" style="125" customWidth="1"/>
    <col min="13148" max="13149" width="3.7109375" style="125" customWidth="1"/>
    <col min="13150" max="13150" width="9.7109375" style="125" customWidth="1"/>
    <col min="13151" max="13152" width="3.7109375" style="125" customWidth="1"/>
    <col min="13153" max="13153" width="9.7109375" style="125" customWidth="1"/>
    <col min="13154" max="13155" width="3.7109375" style="125" customWidth="1"/>
    <col min="13156" max="13156" width="9.7109375" style="125" customWidth="1"/>
    <col min="13157" max="13158" width="3.7109375" style="125" customWidth="1"/>
    <col min="13159" max="13159" width="9.7109375" style="125" customWidth="1"/>
    <col min="13160" max="13161" width="3.7109375" style="125" customWidth="1"/>
    <col min="13162" max="13162" width="9.7109375" style="125" customWidth="1"/>
    <col min="13163" max="13164" width="3.7109375" style="125" customWidth="1"/>
    <col min="13165" max="13165" width="9.7109375" style="125" customWidth="1"/>
    <col min="13166" max="13167" width="3.7109375" style="125" customWidth="1"/>
    <col min="13168" max="13168" width="9.7109375" style="125" customWidth="1"/>
    <col min="13169" max="13170" width="3.7109375" style="125" customWidth="1"/>
    <col min="13171" max="13171" width="9.7109375" style="125" customWidth="1"/>
    <col min="13172" max="13173" width="3.7109375" style="125" customWidth="1"/>
    <col min="13174" max="13174" width="9.7109375" style="125" customWidth="1"/>
    <col min="13175" max="13176" width="3.7109375" style="125" customWidth="1"/>
    <col min="13177" max="13177" width="9.7109375" style="125" customWidth="1"/>
    <col min="13178" max="13179" width="3.7109375" style="125" customWidth="1"/>
    <col min="13180" max="13180" width="9.7109375" style="125" customWidth="1"/>
    <col min="13181" max="13182" width="3.7109375" style="125" customWidth="1"/>
    <col min="13183" max="13183" width="9.7109375" style="125" customWidth="1"/>
    <col min="13184" max="13185" width="3.7109375" style="125" customWidth="1"/>
    <col min="13186" max="13186" width="9.7109375" style="125" customWidth="1"/>
    <col min="13187" max="13188" width="3.7109375" style="125" customWidth="1"/>
    <col min="13189" max="13189" width="9.7109375" style="125" customWidth="1"/>
    <col min="13190" max="13191" width="3.7109375" style="125" customWidth="1"/>
    <col min="13192" max="13192" width="9.7109375" style="125" customWidth="1"/>
    <col min="13193" max="13194" width="3.7109375" style="125" customWidth="1"/>
    <col min="13195" max="13195" width="9.7109375" style="125" customWidth="1"/>
    <col min="13196" max="13197" width="3.7109375" style="125" customWidth="1"/>
    <col min="13198" max="13198" width="9.7109375" style="125" customWidth="1"/>
    <col min="13199" max="13200" width="3.7109375" style="125" customWidth="1"/>
    <col min="13201" max="13201" width="9.7109375" style="125" customWidth="1"/>
    <col min="13202" max="13203" width="3.7109375" style="125" customWidth="1"/>
    <col min="13204" max="13204" width="9.7109375" style="125" customWidth="1"/>
    <col min="13205" max="13206" width="3.7109375" style="125" customWidth="1"/>
    <col min="13207" max="13207" width="9.7109375" style="125" customWidth="1"/>
    <col min="13208" max="13209" width="3.7109375" style="125" customWidth="1"/>
    <col min="13210" max="13210" width="9.7109375" style="125" customWidth="1"/>
    <col min="13211" max="13212" width="3.7109375" style="125" customWidth="1"/>
    <col min="13213" max="13213" width="9.7109375" style="125" customWidth="1"/>
    <col min="13214" max="13215" width="3.7109375" style="125" customWidth="1"/>
    <col min="13216" max="13216" width="9.7109375" style="125" customWidth="1"/>
    <col min="13217" max="13218" width="3.7109375" style="125" customWidth="1"/>
    <col min="13219" max="13219" width="9.7109375" style="125" customWidth="1"/>
    <col min="13220" max="13221" width="3.7109375" style="125" customWidth="1"/>
    <col min="13222" max="13222" width="9.7109375" style="125" customWidth="1"/>
    <col min="13223" max="13224" width="3.7109375" style="125" customWidth="1"/>
    <col min="13225" max="13225" width="9.7109375" style="125" customWidth="1"/>
    <col min="13226" max="13227" width="3.7109375" style="125" customWidth="1"/>
    <col min="13228" max="13228" width="9.7109375" style="125" customWidth="1"/>
    <col min="13229" max="13230" width="3.7109375" style="125" customWidth="1"/>
    <col min="13231" max="13231" width="9.7109375" style="125" customWidth="1"/>
    <col min="13232" max="13233" width="3.7109375" style="125" customWidth="1"/>
    <col min="13234" max="13234" width="9.7109375" style="125" customWidth="1"/>
    <col min="13235" max="13236" width="3.7109375" style="125" customWidth="1"/>
    <col min="13237" max="13237" width="9.7109375" style="125" customWidth="1"/>
    <col min="13238" max="13239" width="3.7109375" style="125" customWidth="1"/>
    <col min="13240" max="13240" width="9.7109375" style="125" customWidth="1"/>
    <col min="13241" max="13242" width="3.7109375" style="125" customWidth="1"/>
    <col min="13243" max="13243" width="9.7109375" style="125" customWidth="1"/>
    <col min="13244" max="13245" width="3.7109375" style="125" customWidth="1"/>
    <col min="13246" max="13246" width="9.7109375" style="125" customWidth="1"/>
    <col min="13247" max="13248" width="3.7109375" style="125" customWidth="1"/>
    <col min="13249" max="13249" width="9.7109375" style="125" customWidth="1"/>
    <col min="13250" max="13251" width="3.7109375" style="125" customWidth="1"/>
    <col min="13252" max="13252" width="9.7109375" style="125" customWidth="1"/>
    <col min="13253" max="13254" width="3.7109375" style="125" customWidth="1"/>
    <col min="13255" max="13255" width="9.7109375" style="125" customWidth="1"/>
    <col min="13256" max="13257" width="3.7109375" style="125" customWidth="1"/>
    <col min="13258" max="13258" width="9.7109375" style="125" customWidth="1"/>
    <col min="13259" max="13260" width="3.7109375" style="125" customWidth="1"/>
    <col min="13261" max="13261" width="9.7109375" style="125" customWidth="1"/>
    <col min="13262" max="13263" width="3.7109375" style="125" customWidth="1"/>
    <col min="13264" max="13264" width="9.7109375" style="125" customWidth="1"/>
    <col min="13265" max="13266" width="3.7109375" style="125" customWidth="1"/>
    <col min="13267" max="13267" width="9.7109375" style="125" customWidth="1"/>
    <col min="13268" max="13269" width="3.7109375" style="125" customWidth="1"/>
    <col min="13270" max="13270" width="9.7109375" style="125" customWidth="1"/>
    <col min="13271" max="13272" width="3.7109375" style="125" customWidth="1"/>
    <col min="13273" max="13273" width="9.7109375" style="125" customWidth="1"/>
    <col min="13274" max="13274" width="3.7109375" style="125" customWidth="1"/>
    <col min="13275" max="13312" width="8" style="125"/>
    <col min="13313" max="13313" width="30.7109375" style="125" customWidth="1"/>
    <col min="13314" max="13314" width="9.7109375" style="125" customWidth="1"/>
    <col min="13315" max="13315" width="3.7109375" style="125" customWidth="1"/>
    <col min="13316" max="13316" width="9.7109375" style="125" customWidth="1"/>
    <col min="13317" max="13318" width="3.7109375" style="125" customWidth="1"/>
    <col min="13319" max="13319" width="9.7109375" style="125" customWidth="1"/>
    <col min="13320" max="13321" width="3.7109375" style="125" customWidth="1"/>
    <col min="13322" max="13322" width="9.7109375" style="125" customWidth="1"/>
    <col min="13323" max="13324" width="3.7109375" style="125" customWidth="1"/>
    <col min="13325" max="13325" width="9.7109375" style="125" customWidth="1"/>
    <col min="13326" max="13327" width="3.7109375" style="125" customWidth="1"/>
    <col min="13328" max="13328" width="9.7109375" style="125" customWidth="1"/>
    <col min="13329" max="13330" width="3.7109375" style="125" customWidth="1"/>
    <col min="13331" max="13331" width="9.7109375" style="125" customWidth="1"/>
    <col min="13332" max="13333" width="3.7109375" style="125" customWidth="1"/>
    <col min="13334" max="13334" width="9.7109375" style="125" customWidth="1"/>
    <col min="13335" max="13336" width="3.7109375" style="125" customWidth="1"/>
    <col min="13337" max="13337" width="9.7109375" style="125" customWidth="1"/>
    <col min="13338" max="13339" width="3.7109375" style="125" customWidth="1"/>
    <col min="13340" max="13340" width="9.7109375" style="125" customWidth="1"/>
    <col min="13341" max="13342" width="3.7109375" style="125" customWidth="1"/>
    <col min="13343" max="13343" width="9.7109375" style="125" customWidth="1"/>
    <col min="13344" max="13345" width="3.7109375" style="125" customWidth="1"/>
    <col min="13346" max="13346" width="9.7109375" style="125" customWidth="1"/>
    <col min="13347" max="13348" width="3.7109375" style="125" customWidth="1"/>
    <col min="13349" max="13349" width="9.7109375" style="125" customWidth="1"/>
    <col min="13350" max="13351" width="3.7109375" style="125" customWidth="1"/>
    <col min="13352" max="13352" width="9.7109375" style="125" customWidth="1"/>
    <col min="13353" max="13354" width="3.7109375" style="125" customWidth="1"/>
    <col min="13355" max="13355" width="9.7109375" style="125" customWidth="1"/>
    <col min="13356" max="13357" width="3.7109375" style="125" customWidth="1"/>
    <col min="13358" max="13358" width="9.7109375" style="125" customWidth="1"/>
    <col min="13359" max="13360" width="3.7109375" style="125" customWidth="1"/>
    <col min="13361" max="13361" width="9.7109375" style="125" customWidth="1"/>
    <col min="13362" max="13363" width="3.7109375" style="125" customWidth="1"/>
    <col min="13364" max="13364" width="9.7109375" style="125" customWidth="1"/>
    <col min="13365" max="13366" width="3.7109375" style="125" customWidth="1"/>
    <col min="13367" max="13367" width="9.7109375" style="125" customWidth="1"/>
    <col min="13368" max="13369" width="3.7109375" style="125" customWidth="1"/>
    <col min="13370" max="13370" width="9.7109375" style="125" customWidth="1"/>
    <col min="13371" max="13372" width="3.7109375" style="125" customWidth="1"/>
    <col min="13373" max="13373" width="9.7109375" style="125" customWidth="1"/>
    <col min="13374" max="13375" width="3.7109375" style="125" customWidth="1"/>
    <col min="13376" max="13376" width="9.7109375" style="125" customWidth="1"/>
    <col min="13377" max="13378" width="3.7109375" style="125" customWidth="1"/>
    <col min="13379" max="13379" width="9.7109375" style="125" customWidth="1"/>
    <col min="13380" max="13381" width="3.7109375" style="125" customWidth="1"/>
    <col min="13382" max="13382" width="9.7109375" style="125" customWidth="1"/>
    <col min="13383" max="13384" width="3.7109375" style="125" customWidth="1"/>
    <col min="13385" max="13385" width="9.7109375" style="125" customWidth="1"/>
    <col min="13386" max="13387" width="3.7109375" style="125" customWidth="1"/>
    <col min="13388" max="13388" width="9.7109375" style="125" customWidth="1"/>
    <col min="13389" max="13390" width="3.7109375" style="125" customWidth="1"/>
    <col min="13391" max="13391" width="9.7109375" style="125" customWidth="1"/>
    <col min="13392" max="13393" width="3.7109375" style="125" customWidth="1"/>
    <col min="13394" max="13394" width="9.7109375" style="125" customWidth="1"/>
    <col min="13395" max="13396" width="3.7109375" style="125" customWidth="1"/>
    <col min="13397" max="13397" width="9.7109375" style="125" customWidth="1"/>
    <col min="13398" max="13399" width="3.7109375" style="125" customWidth="1"/>
    <col min="13400" max="13400" width="9.7109375" style="125" customWidth="1"/>
    <col min="13401" max="13402" width="3.7109375" style="125" customWidth="1"/>
    <col min="13403" max="13403" width="9.7109375" style="125" customWidth="1"/>
    <col min="13404" max="13405" width="3.7109375" style="125" customWidth="1"/>
    <col min="13406" max="13406" width="9.7109375" style="125" customWidth="1"/>
    <col min="13407" max="13408" width="3.7109375" style="125" customWidth="1"/>
    <col min="13409" max="13409" width="9.7109375" style="125" customWidth="1"/>
    <col min="13410" max="13411" width="3.7109375" style="125" customWidth="1"/>
    <col min="13412" max="13412" width="9.7109375" style="125" customWidth="1"/>
    <col min="13413" max="13414" width="3.7109375" style="125" customWidth="1"/>
    <col min="13415" max="13415" width="9.7109375" style="125" customWidth="1"/>
    <col min="13416" max="13417" width="3.7109375" style="125" customWidth="1"/>
    <col min="13418" max="13418" width="9.7109375" style="125" customWidth="1"/>
    <col min="13419" max="13420" width="3.7109375" style="125" customWidth="1"/>
    <col min="13421" max="13421" width="9.7109375" style="125" customWidth="1"/>
    <col min="13422" max="13423" width="3.7109375" style="125" customWidth="1"/>
    <col min="13424" max="13424" width="9.7109375" style="125" customWidth="1"/>
    <col min="13425" max="13426" width="3.7109375" style="125" customWidth="1"/>
    <col min="13427" max="13427" width="9.7109375" style="125" customWidth="1"/>
    <col min="13428" max="13429" width="3.7109375" style="125" customWidth="1"/>
    <col min="13430" max="13430" width="9.7109375" style="125" customWidth="1"/>
    <col min="13431" max="13432" width="3.7109375" style="125" customWidth="1"/>
    <col min="13433" max="13433" width="9.7109375" style="125" customWidth="1"/>
    <col min="13434" max="13435" width="3.7109375" style="125" customWidth="1"/>
    <col min="13436" max="13436" width="9.7109375" style="125" customWidth="1"/>
    <col min="13437" max="13438" width="3.7109375" style="125" customWidth="1"/>
    <col min="13439" max="13439" width="9.7109375" style="125" customWidth="1"/>
    <col min="13440" max="13441" width="3.7109375" style="125" customWidth="1"/>
    <col min="13442" max="13442" width="9.7109375" style="125" customWidth="1"/>
    <col min="13443" max="13444" width="3.7109375" style="125" customWidth="1"/>
    <col min="13445" max="13445" width="9.7109375" style="125" customWidth="1"/>
    <col min="13446" max="13447" width="3.7109375" style="125" customWidth="1"/>
    <col min="13448" max="13448" width="9.7109375" style="125" customWidth="1"/>
    <col min="13449" max="13450" width="3.7109375" style="125" customWidth="1"/>
    <col min="13451" max="13451" width="9.7109375" style="125" customWidth="1"/>
    <col min="13452" max="13453" width="3.7109375" style="125" customWidth="1"/>
    <col min="13454" max="13454" width="9.7109375" style="125" customWidth="1"/>
    <col min="13455" max="13456" width="3.7109375" style="125" customWidth="1"/>
    <col min="13457" max="13457" width="9.7109375" style="125" customWidth="1"/>
    <col min="13458" max="13459" width="3.7109375" style="125" customWidth="1"/>
    <col min="13460" max="13460" width="9.7109375" style="125" customWidth="1"/>
    <col min="13461" max="13462" width="3.7109375" style="125" customWidth="1"/>
    <col min="13463" max="13463" width="9.7109375" style="125" customWidth="1"/>
    <col min="13464" max="13465" width="3.7109375" style="125" customWidth="1"/>
    <col min="13466" max="13466" width="9.7109375" style="125" customWidth="1"/>
    <col min="13467" max="13468" width="3.7109375" style="125" customWidth="1"/>
    <col min="13469" max="13469" width="9.7109375" style="125" customWidth="1"/>
    <col min="13470" max="13471" width="3.7109375" style="125" customWidth="1"/>
    <col min="13472" max="13472" width="9.7109375" style="125" customWidth="1"/>
    <col min="13473" max="13474" width="3.7109375" style="125" customWidth="1"/>
    <col min="13475" max="13475" width="9.7109375" style="125" customWidth="1"/>
    <col min="13476" max="13477" width="3.7109375" style="125" customWidth="1"/>
    <col min="13478" max="13478" width="9.7109375" style="125" customWidth="1"/>
    <col min="13479" max="13480" width="3.7109375" style="125" customWidth="1"/>
    <col min="13481" max="13481" width="9.7109375" style="125" customWidth="1"/>
    <col min="13482" max="13483" width="3.7109375" style="125" customWidth="1"/>
    <col min="13484" max="13484" width="9.7109375" style="125" customWidth="1"/>
    <col min="13485" max="13486" width="3.7109375" style="125" customWidth="1"/>
    <col min="13487" max="13487" width="9.7109375" style="125" customWidth="1"/>
    <col min="13488" max="13489" width="3.7109375" style="125" customWidth="1"/>
    <col min="13490" max="13490" width="9.7109375" style="125" customWidth="1"/>
    <col min="13491" max="13492" width="3.7109375" style="125" customWidth="1"/>
    <col min="13493" max="13493" width="9.7109375" style="125" customWidth="1"/>
    <col min="13494" max="13495" width="3.7109375" style="125" customWidth="1"/>
    <col min="13496" max="13496" width="9.7109375" style="125" customWidth="1"/>
    <col min="13497" max="13498" width="3.7109375" style="125" customWidth="1"/>
    <col min="13499" max="13499" width="9.7109375" style="125" customWidth="1"/>
    <col min="13500" max="13501" width="3.7109375" style="125" customWidth="1"/>
    <col min="13502" max="13502" width="9.7109375" style="125" customWidth="1"/>
    <col min="13503" max="13504" width="3.7109375" style="125" customWidth="1"/>
    <col min="13505" max="13505" width="9.7109375" style="125" customWidth="1"/>
    <col min="13506" max="13507" width="3.7109375" style="125" customWidth="1"/>
    <col min="13508" max="13508" width="9.7109375" style="125" customWidth="1"/>
    <col min="13509" max="13510" width="3.7109375" style="125" customWidth="1"/>
    <col min="13511" max="13511" width="9.7109375" style="125" customWidth="1"/>
    <col min="13512" max="13513" width="3.7109375" style="125" customWidth="1"/>
    <col min="13514" max="13514" width="9.7109375" style="125" customWidth="1"/>
    <col min="13515" max="13516" width="3.7109375" style="125" customWidth="1"/>
    <col min="13517" max="13517" width="9.7109375" style="125" customWidth="1"/>
    <col min="13518" max="13519" width="3.7109375" style="125" customWidth="1"/>
    <col min="13520" max="13520" width="9.7109375" style="125" customWidth="1"/>
    <col min="13521" max="13522" width="3.7109375" style="125" customWidth="1"/>
    <col min="13523" max="13523" width="9.7109375" style="125" customWidth="1"/>
    <col min="13524" max="13525" width="3.7109375" style="125" customWidth="1"/>
    <col min="13526" max="13526" width="9.7109375" style="125" customWidth="1"/>
    <col min="13527" max="13528" width="3.7109375" style="125" customWidth="1"/>
    <col min="13529" max="13529" width="9.7109375" style="125" customWidth="1"/>
    <col min="13530" max="13530" width="3.7109375" style="125" customWidth="1"/>
    <col min="13531" max="13568" width="8" style="125"/>
    <col min="13569" max="13569" width="30.7109375" style="125" customWidth="1"/>
    <col min="13570" max="13570" width="9.7109375" style="125" customWidth="1"/>
    <col min="13571" max="13571" width="3.7109375" style="125" customWidth="1"/>
    <col min="13572" max="13572" width="9.7109375" style="125" customWidth="1"/>
    <col min="13573" max="13574" width="3.7109375" style="125" customWidth="1"/>
    <col min="13575" max="13575" width="9.7109375" style="125" customWidth="1"/>
    <col min="13576" max="13577" width="3.7109375" style="125" customWidth="1"/>
    <col min="13578" max="13578" width="9.7109375" style="125" customWidth="1"/>
    <col min="13579" max="13580" width="3.7109375" style="125" customWidth="1"/>
    <col min="13581" max="13581" width="9.7109375" style="125" customWidth="1"/>
    <col min="13582" max="13583" width="3.7109375" style="125" customWidth="1"/>
    <col min="13584" max="13584" width="9.7109375" style="125" customWidth="1"/>
    <col min="13585" max="13586" width="3.7109375" style="125" customWidth="1"/>
    <col min="13587" max="13587" width="9.7109375" style="125" customWidth="1"/>
    <col min="13588" max="13589" width="3.7109375" style="125" customWidth="1"/>
    <col min="13590" max="13590" width="9.7109375" style="125" customWidth="1"/>
    <col min="13591" max="13592" width="3.7109375" style="125" customWidth="1"/>
    <col min="13593" max="13593" width="9.7109375" style="125" customWidth="1"/>
    <col min="13594" max="13595" width="3.7109375" style="125" customWidth="1"/>
    <col min="13596" max="13596" width="9.7109375" style="125" customWidth="1"/>
    <col min="13597" max="13598" width="3.7109375" style="125" customWidth="1"/>
    <col min="13599" max="13599" width="9.7109375" style="125" customWidth="1"/>
    <col min="13600" max="13601" width="3.7109375" style="125" customWidth="1"/>
    <col min="13602" max="13602" width="9.7109375" style="125" customWidth="1"/>
    <col min="13603" max="13604" width="3.7109375" style="125" customWidth="1"/>
    <col min="13605" max="13605" width="9.7109375" style="125" customWidth="1"/>
    <col min="13606" max="13607" width="3.7109375" style="125" customWidth="1"/>
    <col min="13608" max="13608" width="9.7109375" style="125" customWidth="1"/>
    <col min="13609" max="13610" width="3.7109375" style="125" customWidth="1"/>
    <col min="13611" max="13611" width="9.7109375" style="125" customWidth="1"/>
    <col min="13612" max="13613" width="3.7109375" style="125" customWidth="1"/>
    <col min="13614" max="13614" width="9.7109375" style="125" customWidth="1"/>
    <col min="13615" max="13616" width="3.7109375" style="125" customWidth="1"/>
    <col min="13617" max="13617" width="9.7109375" style="125" customWidth="1"/>
    <col min="13618" max="13619" width="3.7109375" style="125" customWidth="1"/>
    <col min="13620" max="13620" width="9.7109375" style="125" customWidth="1"/>
    <col min="13621" max="13622" width="3.7109375" style="125" customWidth="1"/>
    <col min="13623" max="13623" width="9.7109375" style="125" customWidth="1"/>
    <col min="13624" max="13625" width="3.7109375" style="125" customWidth="1"/>
    <col min="13626" max="13626" width="9.7109375" style="125" customWidth="1"/>
    <col min="13627" max="13628" width="3.7109375" style="125" customWidth="1"/>
    <col min="13629" max="13629" width="9.7109375" style="125" customWidth="1"/>
    <col min="13630" max="13631" width="3.7109375" style="125" customWidth="1"/>
    <col min="13632" max="13632" width="9.7109375" style="125" customWidth="1"/>
    <col min="13633" max="13634" width="3.7109375" style="125" customWidth="1"/>
    <col min="13635" max="13635" width="9.7109375" style="125" customWidth="1"/>
    <col min="13636" max="13637" width="3.7109375" style="125" customWidth="1"/>
    <col min="13638" max="13638" width="9.7109375" style="125" customWidth="1"/>
    <col min="13639" max="13640" width="3.7109375" style="125" customWidth="1"/>
    <col min="13641" max="13641" width="9.7109375" style="125" customWidth="1"/>
    <col min="13642" max="13643" width="3.7109375" style="125" customWidth="1"/>
    <col min="13644" max="13644" width="9.7109375" style="125" customWidth="1"/>
    <col min="13645" max="13646" width="3.7109375" style="125" customWidth="1"/>
    <col min="13647" max="13647" width="9.7109375" style="125" customWidth="1"/>
    <col min="13648" max="13649" width="3.7109375" style="125" customWidth="1"/>
    <col min="13650" max="13650" width="9.7109375" style="125" customWidth="1"/>
    <col min="13651" max="13652" width="3.7109375" style="125" customWidth="1"/>
    <col min="13653" max="13653" width="9.7109375" style="125" customWidth="1"/>
    <col min="13654" max="13655" width="3.7109375" style="125" customWidth="1"/>
    <col min="13656" max="13656" width="9.7109375" style="125" customWidth="1"/>
    <col min="13657" max="13658" width="3.7109375" style="125" customWidth="1"/>
    <col min="13659" max="13659" width="9.7109375" style="125" customWidth="1"/>
    <col min="13660" max="13661" width="3.7109375" style="125" customWidth="1"/>
    <col min="13662" max="13662" width="9.7109375" style="125" customWidth="1"/>
    <col min="13663" max="13664" width="3.7109375" style="125" customWidth="1"/>
    <col min="13665" max="13665" width="9.7109375" style="125" customWidth="1"/>
    <col min="13666" max="13667" width="3.7109375" style="125" customWidth="1"/>
    <col min="13668" max="13668" width="9.7109375" style="125" customWidth="1"/>
    <col min="13669" max="13670" width="3.7109375" style="125" customWidth="1"/>
    <col min="13671" max="13671" width="9.7109375" style="125" customWidth="1"/>
    <col min="13672" max="13673" width="3.7109375" style="125" customWidth="1"/>
    <col min="13674" max="13674" width="9.7109375" style="125" customWidth="1"/>
    <col min="13675" max="13676" width="3.7109375" style="125" customWidth="1"/>
    <col min="13677" max="13677" width="9.7109375" style="125" customWidth="1"/>
    <col min="13678" max="13679" width="3.7109375" style="125" customWidth="1"/>
    <col min="13680" max="13680" width="9.7109375" style="125" customWidth="1"/>
    <col min="13681" max="13682" width="3.7109375" style="125" customWidth="1"/>
    <col min="13683" max="13683" width="9.7109375" style="125" customWidth="1"/>
    <col min="13684" max="13685" width="3.7109375" style="125" customWidth="1"/>
    <col min="13686" max="13686" width="9.7109375" style="125" customWidth="1"/>
    <col min="13687" max="13688" width="3.7109375" style="125" customWidth="1"/>
    <col min="13689" max="13689" width="9.7109375" style="125" customWidth="1"/>
    <col min="13690" max="13691" width="3.7109375" style="125" customWidth="1"/>
    <col min="13692" max="13692" width="9.7109375" style="125" customWidth="1"/>
    <col min="13693" max="13694" width="3.7109375" style="125" customWidth="1"/>
    <col min="13695" max="13695" width="9.7109375" style="125" customWidth="1"/>
    <col min="13696" max="13697" width="3.7109375" style="125" customWidth="1"/>
    <col min="13698" max="13698" width="9.7109375" style="125" customWidth="1"/>
    <col min="13699" max="13700" width="3.7109375" style="125" customWidth="1"/>
    <col min="13701" max="13701" width="9.7109375" style="125" customWidth="1"/>
    <col min="13702" max="13703" width="3.7109375" style="125" customWidth="1"/>
    <col min="13704" max="13704" width="9.7109375" style="125" customWidth="1"/>
    <col min="13705" max="13706" width="3.7109375" style="125" customWidth="1"/>
    <col min="13707" max="13707" width="9.7109375" style="125" customWidth="1"/>
    <col min="13708" max="13709" width="3.7109375" style="125" customWidth="1"/>
    <col min="13710" max="13710" width="9.7109375" style="125" customWidth="1"/>
    <col min="13711" max="13712" width="3.7109375" style="125" customWidth="1"/>
    <col min="13713" max="13713" width="9.7109375" style="125" customWidth="1"/>
    <col min="13714" max="13715" width="3.7109375" style="125" customWidth="1"/>
    <col min="13716" max="13716" width="9.7109375" style="125" customWidth="1"/>
    <col min="13717" max="13718" width="3.7109375" style="125" customWidth="1"/>
    <col min="13719" max="13719" width="9.7109375" style="125" customWidth="1"/>
    <col min="13720" max="13721" width="3.7109375" style="125" customWidth="1"/>
    <col min="13722" max="13722" width="9.7109375" style="125" customWidth="1"/>
    <col min="13723" max="13724" width="3.7109375" style="125" customWidth="1"/>
    <col min="13725" max="13725" width="9.7109375" style="125" customWidth="1"/>
    <col min="13726" max="13727" width="3.7109375" style="125" customWidth="1"/>
    <col min="13728" max="13728" width="9.7109375" style="125" customWidth="1"/>
    <col min="13729" max="13730" width="3.7109375" style="125" customWidth="1"/>
    <col min="13731" max="13731" width="9.7109375" style="125" customWidth="1"/>
    <col min="13732" max="13733" width="3.7109375" style="125" customWidth="1"/>
    <col min="13734" max="13734" width="9.7109375" style="125" customWidth="1"/>
    <col min="13735" max="13736" width="3.7109375" style="125" customWidth="1"/>
    <col min="13737" max="13737" width="9.7109375" style="125" customWidth="1"/>
    <col min="13738" max="13739" width="3.7109375" style="125" customWidth="1"/>
    <col min="13740" max="13740" width="9.7109375" style="125" customWidth="1"/>
    <col min="13741" max="13742" width="3.7109375" style="125" customWidth="1"/>
    <col min="13743" max="13743" width="9.7109375" style="125" customWidth="1"/>
    <col min="13744" max="13745" width="3.7109375" style="125" customWidth="1"/>
    <col min="13746" max="13746" width="9.7109375" style="125" customWidth="1"/>
    <col min="13747" max="13748" width="3.7109375" style="125" customWidth="1"/>
    <col min="13749" max="13749" width="9.7109375" style="125" customWidth="1"/>
    <col min="13750" max="13751" width="3.7109375" style="125" customWidth="1"/>
    <col min="13752" max="13752" width="9.7109375" style="125" customWidth="1"/>
    <col min="13753" max="13754" width="3.7109375" style="125" customWidth="1"/>
    <col min="13755" max="13755" width="9.7109375" style="125" customWidth="1"/>
    <col min="13756" max="13757" width="3.7109375" style="125" customWidth="1"/>
    <col min="13758" max="13758" width="9.7109375" style="125" customWidth="1"/>
    <col min="13759" max="13760" width="3.7109375" style="125" customWidth="1"/>
    <col min="13761" max="13761" width="9.7109375" style="125" customWidth="1"/>
    <col min="13762" max="13763" width="3.7109375" style="125" customWidth="1"/>
    <col min="13764" max="13764" width="9.7109375" style="125" customWidth="1"/>
    <col min="13765" max="13766" width="3.7109375" style="125" customWidth="1"/>
    <col min="13767" max="13767" width="9.7109375" style="125" customWidth="1"/>
    <col min="13768" max="13769" width="3.7109375" style="125" customWidth="1"/>
    <col min="13770" max="13770" width="9.7109375" style="125" customWidth="1"/>
    <col min="13771" max="13772" width="3.7109375" style="125" customWidth="1"/>
    <col min="13773" max="13773" width="9.7109375" style="125" customWidth="1"/>
    <col min="13774" max="13775" width="3.7109375" style="125" customWidth="1"/>
    <col min="13776" max="13776" width="9.7109375" style="125" customWidth="1"/>
    <col min="13777" max="13778" width="3.7109375" style="125" customWidth="1"/>
    <col min="13779" max="13779" width="9.7109375" style="125" customWidth="1"/>
    <col min="13780" max="13781" width="3.7109375" style="125" customWidth="1"/>
    <col min="13782" max="13782" width="9.7109375" style="125" customWidth="1"/>
    <col min="13783" max="13784" width="3.7109375" style="125" customWidth="1"/>
    <col min="13785" max="13785" width="9.7109375" style="125" customWidth="1"/>
    <col min="13786" max="13786" width="3.7109375" style="125" customWidth="1"/>
    <col min="13787" max="13824" width="8" style="125"/>
    <col min="13825" max="13825" width="30.7109375" style="125" customWidth="1"/>
    <col min="13826" max="13826" width="9.7109375" style="125" customWidth="1"/>
    <col min="13827" max="13827" width="3.7109375" style="125" customWidth="1"/>
    <col min="13828" max="13828" width="9.7109375" style="125" customWidth="1"/>
    <col min="13829" max="13830" width="3.7109375" style="125" customWidth="1"/>
    <col min="13831" max="13831" width="9.7109375" style="125" customWidth="1"/>
    <col min="13832" max="13833" width="3.7109375" style="125" customWidth="1"/>
    <col min="13834" max="13834" width="9.7109375" style="125" customWidth="1"/>
    <col min="13835" max="13836" width="3.7109375" style="125" customWidth="1"/>
    <col min="13837" max="13837" width="9.7109375" style="125" customWidth="1"/>
    <col min="13838" max="13839" width="3.7109375" style="125" customWidth="1"/>
    <col min="13840" max="13840" width="9.7109375" style="125" customWidth="1"/>
    <col min="13841" max="13842" width="3.7109375" style="125" customWidth="1"/>
    <col min="13843" max="13843" width="9.7109375" style="125" customWidth="1"/>
    <col min="13844" max="13845" width="3.7109375" style="125" customWidth="1"/>
    <col min="13846" max="13846" width="9.7109375" style="125" customWidth="1"/>
    <col min="13847" max="13848" width="3.7109375" style="125" customWidth="1"/>
    <col min="13849" max="13849" width="9.7109375" style="125" customWidth="1"/>
    <col min="13850" max="13851" width="3.7109375" style="125" customWidth="1"/>
    <col min="13852" max="13852" width="9.7109375" style="125" customWidth="1"/>
    <col min="13853" max="13854" width="3.7109375" style="125" customWidth="1"/>
    <col min="13855" max="13855" width="9.7109375" style="125" customWidth="1"/>
    <col min="13856" max="13857" width="3.7109375" style="125" customWidth="1"/>
    <col min="13858" max="13858" width="9.7109375" style="125" customWidth="1"/>
    <col min="13859" max="13860" width="3.7109375" style="125" customWidth="1"/>
    <col min="13861" max="13861" width="9.7109375" style="125" customWidth="1"/>
    <col min="13862" max="13863" width="3.7109375" style="125" customWidth="1"/>
    <col min="13864" max="13864" width="9.7109375" style="125" customWidth="1"/>
    <col min="13865" max="13866" width="3.7109375" style="125" customWidth="1"/>
    <col min="13867" max="13867" width="9.7109375" style="125" customWidth="1"/>
    <col min="13868" max="13869" width="3.7109375" style="125" customWidth="1"/>
    <col min="13870" max="13870" width="9.7109375" style="125" customWidth="1"/>
    <col min="13871" max="13872" width="3.7109375" style="125" customWidth="1"/>
    <col min="13873" max="13873" width="9.7109375" style="125" customWidth="1"/>
    <col min="13874" max="13875" width="3.7109375" style="125" customWidth="1"/>
    <col min="13876" max="13876" width="9.7109375" style="125" customWidth="1"/>
    <col min="13877" max="13878" width="3.7109375" style="125" customWidth="1"/>
    <col min="13879" max="13879" width="9.7109375" style="125" customWidth="1"/>
    <col min="13880" max="13881" width="3.7109375" style="125" customWidth="1"/>
    <col min="13882" max="13882" width="9.7109375" style="125" customWidth="1"/>
    <col min="13883" max="13884" width="3.7109375" style="125" customWidth="1"/>
    <col min="13885" max="13885" width="9.7109375" style="125" customWidth="1"/>
    <col min="13886" max="13887" width="3.7109375" style="125" customWidth="1"/>
    <col min="13888" max="13888" width="9.7109375" style="125" customWidth="1"/>
    <col min="13889" max="13890" width="3.7109375" style="125" customWidth="1"/>
    <col min="13891" max="13891" width="9.7109375" style="125" customWidth="1"/>
    <col min="13892" max="13893" width="3.7109375" style="125" customWidth="1"/>
    <col min="13894" max="13894" width="9.7109375" style="125" customWidth="1"/>
    <col min="13895" max="13896" width="3.7109375" style="125" customWidth="1"/>
    <col min="13897" max="13897" width="9.7109375" style="125" customWidth="1"/>
    <col min="13898" max="13899" width="3.7109375" style="125" customWidth="1"/>
    <col min="13900" max="13900" width="9.7109375" style="125" customWidth="1"/>
    <col min="13901" max="13902" width="3.7109375" style="125" customWidth="1"/>
    <col min="13903" max="13903" width="9.7109375" style="125" customWidth="1"/>
    <col min="13904" max="13905" width="3.7109375" style="125" customWidth="1"/>
    <col min="13906" max="13906" width="9.7109375" style="125" customWidth="1"/>
    <col min="13907" max="13908" width="3.7109375" style="125" customWidth="1"/>
    <col min="13909" max="13909" width="9.7109375" style="125" customWidth="1"/>
    <col min="13910" max="13911" width="3.7109375" style="125" customWidth="1"/>
    <col min="13912" max="13912" width="9.7109375" style="125" customWidth="1"/>
    <col min="13913" max="13914" width="3.7109375" style="125" customWidth="1"/>
    <col min="13915" max="13915" width="9.7109375" style="125" customWidth="1"/>
    <col min="13916" max="13917" width="3.7109375" style="125" customWidth="1"/>
    <col min="13918" max="13918" width="9.7109375" style="125" customWidth="1"/>
    <col min="13919" max="13920" width="3.7109375" style="125" customWidth="1"/>
    <col min="13921" max="13921" width="9.7109375" style="125" customWidth="1"/>
    <col min="13922" max="13923" width="3.7109375" style="125" customWidth="1"/>
    <col min="13924" max="13924" width="9.7109375" style="125" customWidth="1"/>
    <col min="13925" max="13926" width="3.7109375" style="125" customWidth="1"/>
    <col min="13927" max="13927" width="9.7109375" style="125" customWidth="1"/>
    <col min="13928" max="13929" width="3.7109375" style="125" customWidth="1"/>
    <col min="13930" max="13930" width="9.7109375" style="125" customWidth="1"/>
    <col min="13931" max="13932" width="3.7109375" style="125" customWidth="1"/>
    <col min="13933" max="13933" width="9.7109375" style="125" customWidth="1"/>
    <col min="13934" max="13935" width="3.7109375" style="125" customWidth="1"/>
    <col min="13936" max="13936" width="9.7109375" style="125" customWidth="1"/>
    <col min="13937" max="13938" width="3.7109375" style="125" customWidth="1"/>
    <col min="13939" max="13939" width="9.7109375" style="125" customWidth="1"/>
    <col min="13940" max="13941" width="3.7109375" style="125" customWidth="1"/>
    <col min="13942" max="13942" width="9.7109375" style="125" customWidth="1"/>
    <col min="13943" max="13944" width="3.7109375" style="125" customWidth="1"/>
    <col min="13945" max="13945" width="9.7109375" style="125" customWidth="1"/>
    <col min="13946" max="13947" width="3.7109375" style="125" customWidth="1"/>
    <col min="13948" max="13948" width="9.7109375" style="125" customWidth="1"/>
    <col min="13949" max="13950" width="3.7109375" style="125" customWidth="1"/>
    <col min="13951" max="13951" width="9.7109375" style="125" customWidth="1"/>
    <col min="13952" max="13953" width="3.7109375" style="125" customWidth="1"/>
    <col min="13954" max="13954" width="9.7109375" style="125" customWidth="1"/>
    <col min="13955" max="13956" width="3.7109375" style="125" customWidth="1"/>
    <col min="13957" max="13957" width="9.7109375" style="125" customWidth="1"/>
    <col min="13958" max="13959" width="3.7109375" style="125" customWidth="1"/>
    <col min="13960" max="13960" width="9.7109375" style="125" customWidth="1"/>
    <col min="13961" max="13962" width="3.7109375" style="125" customWidth="1"/>
    <col min="13963" max="13963" width="9.7109375" style="125" customWidth="1"/>
    <col min="13964" max="13965" width="3.7109375" style="125" customWidth="1"/>
    <col min="13966" max="13966" width="9.7109375" style="125" customWidth="1"/>
    <col min="13967" max="13968" width="3.7109375" style="125" customWidth="1"/>
    <col min="13969" max="13969" width="9.7109375" style="125" customWidth="1"/>
    <col min="13970" max="13971" width="3.7109375" style="125" customWidth="1"/>
    <col min="13972" max="13972" width="9.7109375" style="125" customWidth="1"/>
    <col min="13973" max="13974" width="3.7109375" style="125" customWidth="1"/>
    <col min="13975" max="13975" width="9.7109375" style="125" customWidth="1"/>
    <col min="13976" max="13977" width="3.7109375" style="125" customWidth="1"/>
    <col min="13978" max="13978" width="9.7109375" style="125" customWidth="1"/>
    <col min="13979" max="13980" width="3.7109375" style="125" customWidth="1"/>
    <col min="13981" max="13981" width="9.7109375" style="125" customWidth="1"/>
    <col min="13982" max="13983" width="3.7109375" style="125" customWidth="1"/>
    <col min="13984" max="13984" width="9.7109375" style="125" customWidth="1"/>
    <col min="13985" max="13986" width="3.7109375" style="125" customWidth="1"/>
    <col min="13987" max="13987" width="9.7109375" style="125" customWidth="1"/>
    <col min="13988" max="13989" width="3.7109375" style="125" customWidth="1"/>
    <col min="13990" max="13990" width="9.7109375" style="125" customWidth="1"/>
    <col min="13991" max="13992" width="3.7109375" style="125" customWidth="1"/>
    <col min="13993" max="13993" width="9.7109375" style="125" customWidth="1"/>
    <col min="13994" max="13995" width="3.7109375" style="125" customWidth="1"/>
    <col min="13996" max="13996" width="9.7109375" style="125" customWidth="1"/>
    <col min="13997" max="13998" width="3.7109375" style="125" customWidth="1"/>
    <col min="13999" max="13999" width="9.7109375" style="125" customWidth="1"/>
    <col min="14000" max="14001" width="3.7109375" style="125" customWidth="1"/>
    <col min="14002" max="14002" width="9.7109375" style="125" customWidth="1"/>
    <col min="14003" max="14004" width="3.7109375" style="125" customWidth="1"/>
    <col min="14005" max="14005" width="9.7109375" style="125" customWidth="1"/>
    <col min="14006" max="14007" width="3.7109375" style="125" customWidth="1"/>
    <col min="14008" max="14008" width="9.7109375" style="125" customWidth="1"/>
    <col min="14009" max="14010" width="3.7109375" style="125" customWidth="1"/>
    <col min="14011" max="14011" width="9.7109375" style="125" customWidth="1"/>
    <col min="14012" max="14013" width="3.7109375" style="125" customWidth="1"/>
    <col min="14014" max="14014" width="9.7109375" style="125" customWidth="1"/>
    <col min="14015" max="14016" width="3.7109375" style="125" customWidth="1"/>
    <col min="14017" max="14017" width="9.7109375" style="125" customWidth="1"/>
    <col min="14018" max="14019" width="3.7109375" style="125" customWidth="1"/>
    <col min="14020" max="14020" width="9.7109375" style="125" customWidth="1"/>
    <col min="14021" max="14022" width="3.7109375" style="125" customWidth="1"/>
    <col min="14023" max="14023" width="9.7109375" style="125" customWidth="1"/>
    <col min="14024" max="14025" width="3.7109375" style="125" customWidth="1"/>
    <col min="14026" max="14026" width="9.7109375" style="125" customWidth="1"/>
    <col min="14027" max="14028" width="3.7109375" style="125" customWidth="1"/>
    <col min="14029" max="14029" width="9.7109375" style="125" customWidth="1"/>
    <col min="14030" max="14031" width="3.7109375" style="125" customWidth="1"/>
    <col min="14032" max="14032" width="9.7109375" style="125" customWidth="1"/>
    <col min="14033" max="14034" width="3.7109375" style="125" customWidth="1"/>
    <col min="14035" max="14035" width="9.7109375" style="125" customWidth="1"/>
    <col min="14036" max="14037" width="3.7109375" style="125" customWidth="1"/>
    <col min="14038" max="14038" width="9.7109375" style="125" customWidth="1"/>
    <col min="14039" max="14040" width="3.7109375" style="125" customWidth="1"/>
    <col min="14041" max="14041" width="9.7109375" style="125" customWidth="1"/>
    <col min="14042" max="14042" width="3.7109375" style="125" customWidth="1"/>
    <col min="14043" max="14080" width="8" style="125"/>
    <col min="14081" max="14081" width="30.7109375" style="125" customWidth="1"/>
    <col min="14082" max="14082" width="9.7109375" style="125" customWidth="1"/>
    <col min="14083" max="14083" width="3.7109375" style="125" customWidth="1"/>
    <col min="14084" max="14084" width="9.7109375" style="125" customWidth="1"/>
    <col min="14085" max="14086" width="3.7109375" style="125" customWidth="1"/>
    <col min="14087" max="14087" width="9.7109375" style="125" customWidth="1"/>
    <col min="14088" max="14089" width="3.7109375" style="125" customWidth="1"/>
    <col min="14090" max="14090" width="9.7109375" style="125" customWidth="1"/>
    <col min="14091" max="14092" width="3.7109375" style="125" customWidth="1"/>
    <col min="14093" max="14093" width="9.7109375" style="125" customWidth="1"/>
    <col min="14094" max="14095" width="3.7109375" style="125" customWidth="1"/>
    <col min="14096" max="14096" width="9.7109375" style="125" customWidth="1"/>
    <col min="14097" max="14098" width="3.7109375" style="125" customWidth="1"/>
    <col min="14099" max="14099" width="9.7109375" style="125" customWidth="1"/>
    <col min="14100" max="14101" width="3.7109375" style="125" customWidth="1"/>
    <col min="14102" max="14102" width="9.7109375" style="125" customWidth="1"/>
    <col min="14103" max="14104" width="3.7109375" style="125" customWidth="1"/>
    <col min="14105" max="14105" width="9.7109375" style="125" customWidth="1"/>
    <col min="14106" max="14107" width="3.7109375" style="125" customWidth="1"/>
    <col min="14108" max="14108" width="9.7109375" style="125" customWidth="1"/>
    <col min="14109" max="14110" width="3.7109375" style="125" customWidth="1"/>
    <col min="14111" max="14111" width="9.7109375" style="125" customWidth="1"/>
    <col min="14112" max="14113" width="3.7109375" style="125" customWidth="1"/>
    <col min="14114" max="14114" width="9.7109375" style="125" customWidth="1"/>
    <col min="14115" max="14116" width="3.7109375" style="125" customWidth="1"/>
    <col min="14117" max="14117" width="9.7109375" style="125" customWidth="1"/>
    <col min="14118" max="14119" width="3.7109375" style="125" customWidth="1"/>
    <col min="14120" max="14120" width="9.7109375" style="125" customWidth="1"/>
    <col min="14121" max="14122" width="3.7109375" style="125" customWidth="1"/>
    <col min="14123" max="14123" width="9.7109375" style="125" customWidth="1"/>
    <col min="14124" max="14125" width="3.7109375" style="125" customWidth="1"/>
    <col min="14126" max="14126" width="9.7109375" style="125" customWidth="1"/>
    <col min="14127" max="14128" width="3.7109375" style="125" customWidth="1"/>
    <col min="14129" max="14129" width="9.7109375" style="125" customWidth="1"/>
    <col min="14130" max="14131" width="3.7109375" style="125" customWidth="1"/>
    <col min="14132" max="14132" width="9.7109375" style="125" customWidth="1"/>
    <col min="14133" max="14134" width="3.7109375" style="125" customWidth="1"/>
    <col min="14135" max="14135" width="9.7109375" style="125" customWidth="1"/>
    <col min="14136" max="14137" width="3.7109375" style="125" customWidth="1"/>
    <col min="14138" max="14138" width="9.7109375" style="125" customWidth="1"/>
    <col min="14139" max="14140" width="3.7109375" style="125" customWidth="1"/>
    <col min="14141" max="14141" width="9.7109375" style="125" customWidth="1"/>
    <col min="14142" max="14143" width="3.7109375" style="125" customWidth="1"/>
    <col min="14144" max="14144" width="9.7109375" style="125" customWidth="1"/>
    <col min="14145" max="14146" width="3.7109375" style="125" customWidth="1"/>
    <col min="14147" max="14147" width="9.7109375" style="125" customWidth="1"/>
    <col min="14148" max="14149" width="3.7109375" style="125" customWidth="1"/>
    <col min="14150" max="14150" width="9.7109375" style="125" customWidth="1"/>
    <col min="14151" max="14152" width="3.7109375" style="125" customWidth="1"/>
    <col min="14153" max="14153" width="9.7109375" style="125" customWidth="1"/>
    <col min="14154" max="14155" width="3.7109375" style="125" customWidth="1"/>
    <col min="14156" max="14156" width="9.7109375" style="125" customWidth="1"/>
    <col min="14157" max="14158" width="3.7109375" style="125" customWidth="1"/>
    <col min="14159" max="14159" width="9.7109375" style="125" customWidth="1"/>
    <col min="14160" max="14161" width="3.7109375" style="125" customWidth="1"/>
    <col min="14162" max="14162" width="9.7109375" style="125" customWidth="1"/>
    <col min="14163" max="14164" width="3.7109375" style="125" customWidth="1"/>
    <col min="14165" max="14165" width="9.7109375" style="125" customWidth="1"/>
    <col min="14166" max="14167" width="3.7109375" style="125" customWidth="1"/>
    <col min="14168" max="14168" width="9.7109375" style="125" customWidth="1"/>
    <col min="14169" max="14170" width="3.7109375" style="125" customWidth="1"/>
    <col min="14171" max="14171" width="9.7109375" style="125" customWidth="1"/>
    <col min="14172" max="14173" width="3.7109375" style="125" customWidth="1"/>
    <col min="14174" max="14174" width="9.7109375" style="125" customWidth="1"/>
    <col min="14175" max="14176" width="3.7109375" style="125" customWidth="1"/>
    <col min="14177" max="14177" width="9.7109375" style="125" customWidth="1"/>
    <col min="14178" max="14179" width="3.7109375" style="125" customWidth="1"/>
    <col min="14180" max="14180" width="9.7109375" style="125" customWidth="1"/>
    <col min="14181" max="14182" width="3.7109375" style="125" customWidth="1"/>
    <col min="14183" max="14183" width="9.7109375" style="125" customWidth="1"/>
    <col min="14184" max="14185" width="3.7109375" style="125" customWidth="1"/>
    <col min="14186" max="14186" width="9.7109375" style="125" customWidth="1"/>
    <col min="14187" max="14188" width="3.7109375" style="125" customWidth="1"/>
    <col min="14189" max="14189" width="9.7109375" style="125" customWidth="1"/>
    <col min="14190" max="14191" width="3.7109375" style="125" customWidth="1"/>
    <col min="14192" max="14192" width="9.7109375" style="125" customWidth="1"/>
    <col min="14193" max="14194" width="3.7109375" style="125" customWidth="1"/>
    <col min="14195" max="14195" width="9.7109375" style="125" customWidth="1"/>
    <col min="14196" max="14197" width="3.7109375" style="125" customWidth="1"/>
    <col min="14198" max="14198" width="9.7109375" style="125" customWidth="1"/>
    <col min="14199" max="14200" width="3.7109375" style="125" customWidth="1"/>
    <col min="14201" max="14201" width="9.7109375" style="125" customWidth="1"/>
    <col min="14202" max="14203" width="3.7109375" style="125" customWidth="1"/>
    <col min="14204" max="14204" width="9.7109375" style="125" customWidth="1"/>
    <col min="14205" max="14206" width="3.7109375" style="125" customWidth="1"/>
    <col min="14207" max="14207" width="9.7109375" style="125" customWidth="1"/>
    <col min="14208" max="14209" width="3.7109375" style="125" customWidth="1"/>
    <col min="14210" max="14210" width="9.7109375" style="125" customWidth="1"/>
    <col min="14211" max="14212" width="3.7109375" style="125" customWidth="1"/>
    <col min="14213" max="14213" width="9.7109375" style="125" customWidth="1"/>
    <col min="14214" max="14215" width="3.7109375" style="125" customWidth="1"/>
    <col min="14216" max="14216" width="9.7109375" style="125" customWidth="1"/>
    <col min="14217" max="14218" width="3.7109375" style="125" customWidth="1"/>
    <col min="14219" max="14219" width="9.7109375" style="125" customWidth="1"/>
    <col min="14220" max="14221" width="3.7109375" style="125" customWidth="1"/>
    <col min="14222" max="14222" width="9.7109375" style="125" customWidth="1"/>
    <col min="14223" max="14224" width="3.7109375" style="125" customWidth="1"/>
    <col min="14225" max="14225" width="9.7109375" style="125" customWidth="1"/>
    <col min="14226" max="14227" width="3.7109375" style="125" customWidth="1"/>
    <col min="14228" max="14228" width="9.7109375" style="125" customWidth="1"/>
    <col min="14229" max="14230" width="3.7109375" style="125" customWidth="1"/>
    <col min="14231" max="14231" width="9.7109375" style="125" customWidth="1"/>
    <col min="14232" max="14233" width="3.7109375" style="125" customWidth="1"/>
    <col min="14234" max="14234" width="9.7109375" style="125" customWidth="1"/>
    <col min="14235" max="14236" width="3.7109375" style="125" customWidth="1"/>
    <col min="14237" max="14237" width="9.7109375" style="125" customWidth="1"/>
    <col min="14238" max="14239" width="3.7109375" style="125" customWidth="1"/>
    <col min="14240" max="14240" width="9.7109375" style="125" customWidth="1"/>
    <col min="14241" max="14242" width="3.7109375" style="125" customWidth="1"/>
    <col min="14243" max="14243" width="9.7109375" style="125" customWidth="1"/>
    <col min="14244" max="14245" width="3.7109375" style="125" customWidth="1"/>
    <col min="14246" max="14246" width="9.7109375" style="125" customWidth="1"/>
    <col min="14247" max="14248" width="3.7109375" style="125" customWidth="1"/>
    <col min="14249" max="14249" width="9.7109375" style="125" customWidth="1"/>
    <col min="14250" max="14251" width="3.7109375" style="125" customWidth="1"/>
    <col min="14252" max="14252" width="9.7109375" style="125" customWidth="1"/>
    <col min="14253" max="14254" width="3.7109375" style="125" customWidth="1"/>
    <col min="14255" max="14255" width="9.7109375" style="125" customWidth="1"/>
    <col min="14256" max="14257" width="3.7109375" style="125" customWidth="1"/>
    <col min="14258" max="14258" width="9.7109375" style="125" customWidth="1"/>
    <col min="14259" max="14260" width="3.7109375" style="125" customWidth="1"/>
    <col min="14261" max="14261" width="9.7109375" style="125" customWidth="1"/>
    <col min="14262" max="14263" width="3.7109375" style="125" customWidth="1"/>
    <col min="14264" max="14264" width="9.7109375" style="125" customWidth="1"/>
    <col min="14265" max="14266" width="3.7109375" style="125" customWidth="1"/>
    <col min="14267" max="14267" width="9.7109375" style="125" customWidth="1"/>
    <col min="14268" max="14269" width="3.7109375" style="125" customWidth="1"/>
    <col min="14270" max="14270" width="9.7109375" style="125" customWidth="1"/>
    <col min="14271" max="14272" width="3.7109375" style="125" customWidth="1"/>
    <col min="14273" max="14273" width="9.7109375" style="125" customWidth="1"/>
    <col min="14274" max="14275" width="3.7109375" style="125" customWidth="1"/>
    <col min="14276" max="14276" width="9.7109375" style="125" customWidth="1"/>
    <col min="14277" max="14278" width="3.7109375" style="125" customWidth="1"/>
    <col min="14279" max="14279" width="9.7109375" style="125" customWidth="1"/>
    <col min="14280" max="14281" width="3.7109375" style="125" customWidth="1"/>
    <col min="14282" max="14282" width="9.7109375" style="125" customWidth="1"/>
    <col min="14283" max="14284" width="3.7109375" style="125" customWidth="1"/>
    <col min="14285" max="14285" width="9.7109375" style="125" customWidth="1"/>
    <col min="14286" max="14287" width="3.7109375" style="125" customWidth="1"/>
    <col min="14288" max="14288" width="9.7109375" style="125" customWidth="1"/>
    <col min="14289" max="14290" width="3.7109375" style="125" customWidth="1"/>
    <col min="14291" max="14291" width="9.7109375" style="125" customWidth="1"/>
    <col min="14292" max="14293" width="3.7109375" style="125" customWidth="1"/>
    <col min="14294" max="14294" width="9.7109375" style="125" customWidth="1"/>
    <col min="14295" max="14296" width="3.7109375" style="125" customWidth="1"/>
    <col min="14297" max="14297" width="9.7109375" style="125" customWidth="1"/>
    <col min="14298" max="14298" width="3.7109375" style="125" customWidth="1"/>
    <col min="14299" max="14336" width="8" style="125"/>
    <col min="14337" max="14337" width="30.7109375" style="125" customWidth="1"/>
    <col min="14338" max="14338" width="9.7109375" style="125" customWidth="1"/>
    <col min="14339" max="14339" width="3.7109375" style="125" customWidth="1"/>
    <col min="14340" max="14340" width="9.7109375" style="125" customWidth="1"/>
    <col min="14341" max="14342" width="3.7109375" style="125" customWidth="1"/>
    <col min="14343" max="14343" width="9.7109375" style="125" customWidth="1"/>
    <col min="14344" max="14345" width="3.7109375" style="125" customWidth="1"/>
    <col min="14346" max="14346" width="9.7109375" style="125" customWidth="1"/>
    <col min="14347" max="14348" width="3.7109375" style="125" customWidth="1"/>
    <col min="14349" max="14349" width="9.7109375" style="125" customWidth="1"/>
    <col min="14350" max="14351" width="3.7109375" style="125" customWidth="1"/>
    <col min="14352" max="14352" width="9.7109375" style="125" customWidth="1"/>
    <col min="14353" max="14354" width="3.7109375" style="125" customWidth="1"/>
    <col min="14355" max="14355" width="9.7109375" style="125" customWidth="1"/>
    <col min="14356" max="14357" width="3.7109375" style="125" customWidth="1"/>
    <col min="14358" max="14358" width="9.7109375" style="125" customWidth="1"/>
    <col min="14359" max="14360" width="3.7109375" style="125" customWidth="1"/>
    <col min="14361" max="14361" width="9.7109375" style="125" customWidth="1"/>
    <col min="14362" max="14363" width="3.7109375" style="125" customWidth="1"/>
    <col min="14364" max="14364" width="9.7109375" style="125" customWidth="1"/>
    <col min="14365" max="14366" width="3.7109375" style="125" customWidth="1"/>
    <col min="14367" max="14367" width="9.7109375" style="125" customWidth="1"/>
    <col min="14368" max="14369" width="3.7109375" style="125" customWidth="1"/>
    <col min="14370" max="14370" width="9.7109375" style="125" customWidth="1"/>
    <col min="14371" max="14372" width="3.7109375" style="125" customWidth="1"/>
    <col min="14373" max="14373" width="9.7109375" style="125" customWidth="1"/>
    <col min="14374" max="14375" width="3.7109375" style="125" customWidth="1"/>
    <col min="14376" max="14376" width="9.7109375" style="125" customWidth="1"/>
    <col min="14377" max="14378" width="3.7109375" style="125" customWidth="1"/>
    <col min="14379" max="14379" width="9.7109375" style="125" customWidth="1"/>
    <col min="14380" max="14381" width="3.7109375" style="125" customWidth="1"/>
    <col min="14382" max="14382" width="9.7109375" style="125" customWidth="1"/>
    <col min="14383" max="14384" width="3.7109375" style="125" customWidth="1"/>
    <col min="14385" max="14385" width="9.7109375" style="125" customWidth="1"/>
    <col min="14386" max="14387" width="3.7109375" style="125" customWidth="1"/>
    <col min="14388" max="14388" width="9.7109375" style="125" customWidth="1"/>
    <col min="14389" max="14390" width="3.7109375" style="125" customWidth="1"/>
    <col min="14391" max="14391" width="9.7109375" style="125" customWidth="1"/>
    <col min="14392" max="14393" width="3.7109375" style="125" customWidth="1"/>
    <col min="14394" max="14394" width="9.7109375" style="125" customWidth="1"/>
    <col min="14395" max="14396" width="3.7109375" style="125" customWidth="1"/>
    <col min="14397" max="14397" width="9.7109375" style="125" customWidth="1"/>
    <col min="14398" max="14399" width="3.7109375" style="125" customWidth="1"/>
    <col min="14400" max="14400" width="9.7109375" style="125" customWidth="1"/>
    <col min="14401" max="14402" width="3.7109375" style="125" customWidth="1"/>
    <col min="14403" max="14403" width="9.7109375" style="125" customWidth="1"/>
    <col min="14404" max="14405" width="3.7109375" style="125" customWidth="1"/>
    <col min="14406" max="14406" width="9.7109375" style="125" customWidth="1"/>
    <col min="14407" max="14408" width="3.7109375" style="125" customWidth="1"/>
    <col min="14409" max="14409" width="9.7109375" style="125" customWidth="1"/>
    <col min="14410" max="14411" width="3.7109375" style="125" customWidth="1"/>
    <col min="14412" max="14412" width="9.7109375" style="125" customWidth="1"/>
    <col min="14413" max="14414" width="3.7109375" style="125" customWidth="1"/>
    <col min="14415" max="14415" width="9.7109375" style="125" customWidth="1"/>
    <col min="14416" max="14417" width="3.7109375" style="125" customWidth="1"/>
    <col min="14418" max="14418" width="9.7109375" style="125" customWidth="1"/>
    <col min="14419" max="14420" width="3.7109375" style="125" customWidth="1"/>
    <col min="14421" max="14421" width="9.7109375" style="125" customWidth="1"/>
    <col min="14422" max="14423" width="3.7109375" style="125" customWidth="1"/>
    <col min="14424" max="14424" width="9.7109375" style="125" customWidth="1"/>
    <col min="14425" max="14426" width="3.7109375" style="125" customWidth="1"/>
    <col min="14427" max="14427" width="9.7109375" style="125" customWidth="1"/>
    <col min="14428" max="14429" width="3.7109375" style="125" customWidth="1"/>
    <col min="14430" max="14430" width="9.7109375" style="125" customWidth="1"/>
    <col min="14431" max="14432" width="3.7109375" style="125" customWidth="1"/>
    <col min="14433" max="14433" width="9.7109375" style="125" customWidth="1"/>
    <col min="14434" max="14435" width="3.7109375" style="125" customWidth="1"/>
    <col min="14436" max="14436" width="9.7109375" style="125" customWidth="1"/>
    <col min="14437" max="14438" width="3.7109375" style="125" customWidth="1"/>
    <col min="14439" max="14439" width="9.7109375" style="125" customWidth="1"/>
    <col min="14440" max="14441" width="3.7109375" style="125" customWidth="1"/>
    <col min="14442" max="14442" width="9.7109375" style="125" customWidth="1"/>
    <col min="14443" max="14444" width="3.7109375" style="125" customWidth="1"/>
    <col min="14445" max="14445" width="9.7109375" style="125" customWidth="1"/>
    <col min="14446" max="14447" width="3.7109375" style="125" customWidth="1"/>
    <col min="14448" max="14448" width="9.7109375" style="125" customWidth="1"/>
    <col min="14449" max="14450" width="3.7109375" style="125" customWidth="1"/>
    <col min="14451" max="14451" width="9.7109375" style="125" customWidth="1"/>
    <col min="14452" max="14453" width="3.7109375" style="125" customWidth="1"/>
    <col min="14454" max="14454" width="9.7109375" style="125" customWidth="1"/>
    <col min="14455" max="14456" width="3.7109375" style="125" customWidth="1"/>
    <col min="14457" max="14457" width="9.7109375" style="125" customWidth="1"/>
    <col min="14458" max="14459" width="3.7109375" style="125" customWidth="1"/>
    <col min="14460" max="14460" width="9.7109375" style="125" customWidth="1"/>
    <col min="14461" max="14462" width="3.7109375" style="125" customWidth="1"/>
    <col min="14463" max="14463" width="9.7109375" style="125" customWidth="1"/>
    <col min="14464" max="14465" width="3.7109375" style="125" customWidth="1"/>
    <col min="14466" max="14466" width="9.7109375" style="125" customWidth="1"/>
    <col min="14467" max="14468" width="3.7109375" style="125" customWidth="1"/>
    <col min="14469" max="14469" width="9.7109375" style="125" customWidth="1"/>
    <col min="14470" max="14471" width="3.7109375" style="125" customWidth="1"/>
    <col min="14472" max="14472" width="9.7109375" style="125" customWidth="1"/>
    <col min="14473" max="14474" width="3.7109375" style="125" customWidth="1"/>
    <col min="14475" max="14475" width="9.7109375" style="125" customWidth="1"/>
    <col min="14476" max="14477" width="3.7109375" style="125" customWidth="1"/>
    <col min="14478" max="14478" width="9.7109375" style="125" customWidth="1"/>
    <col min="14479" max="14480" width="3.7109375" style="125" customWidth="1"/>
    <col min="14481" max="14481" width="9.7109375" style="125" customWidth="1"/>
    <col min="14482" max="14483" width="3.7109375" style="125" customWidth="1"/>
    <col min="14484" max="14484" width="9.7109375" style="125" customWidth="1"/>
    <col min="14485" max="14486" width="3.7109375" style="125" customWidth="1"/>
    <col min="14487" max="14487" width="9.7109375" style="125" customWidth="1"/>
    <col min="14488" max="14489" width="3.7109375" style="125" customWidth="1"/>
    <col min="14490" max="14490" width="9.7109375" style="125" customWidth="1"/>
    <col min="14491" max="14492" width="3.7109375" style="125" customWidth="1"/>
    <col min="14493" max="14493" width="9.7109375" style="125" customWidth="1"/>
    <col min="14494" max="14495" width="3.7109375" style="125" customWidth="1"/>
    <col min="14496" max="14496" width="9.7109375" style="125" customWidth="1"/>
    <col min="14497" max="14498" width="3.7109375" style="125" customWidth="1"/>
    <col min="14499" max="14499" width="9.7109375" style="125" customWidth="1"/>
    <col min="14500" max="14501" width="3.7109375" style="125" customWidth="1"/>
    <col min="14502" max="14502" width="9.7109375" style="125" customWidth="1"/>
    <col min="14503" max="14504" width="3.7109375" style="125" customWidth="1"/>
    <col min="14505" max="14505" width="9.7109375" style="125" customWidth="1"/>
    <col min="14506" max="14507" width="3.7109375" style="125" customWidth="1"/>
    <col min="14508" max="14508" width="9.7109375" style="125" customWidth="1"/>
    <col min="14509" max="14510" width="3.7109375" style="125" customWidth="1"/>
    <col min="14511" max="14511" width="9.7109375" style="125" customWidth="1"/>
    <col min="14512" max="14513" width="3.7109375" style="125" customWidth="1"/>
    <col min="14514" max="14514" width="9.7109375" style="125" customWidth="1"/>
    <col min="14515" max="14516" width="3.7109375" style="125" customWidth="1"/>
    <col min="14517" max="14517" width="9.7109375" style="125" customWidth="1"/>
    <col min="14518" max="14519" width="3.7109375" style="125" customWidth="1"/>
    <col min="14520" max="14520" width="9.7109375" style="125" customWidth="1"/>
    <col min="14521" max="14522" width="3.7109375" style="125" customWidth="1"/>
    <col min="14523" max="14523" width="9.7109375" style="125" customWidth="1"/>
    <col min="14524" max="14525" width="3.7109375" style="125" customWidth="1"/>
    <col min="14526" max="14526" width="9.7109375" style="125" customWidth="1"/>
    <col min="14527" max="14528" width="3.7109375" style="125" customWidth="1"/>
    <col min="14529" max="14529" width="9.7109375" style="125" customWidth="1"/>
    <col min="14530" max="14531" width="3.7109375" style="125" customWidth="1"/>
    <col min="14532" max="14532" width="9.7109375" style="125" customWidth="1"/>
    <col min="14533" max="14534" width="3.7109375" style="125" customWidth="1"/>
    <col min="14535" max="14535" width="9.7109375" style="125" customWidth="1"/>
    <col min="14536" max="14537" width="3.7109375" style="125" customWidth="1"/>
    <col min="14538" max="14538" width="9.7109375" style="125" customWidth="1"/>
    <col min="14539" max="14540" width="3.7109375" style="125" customWidth="1"/>
    <col min="14541" max="14541" width="9.7109375" style="125" customWidth="1"/>
    <col min="14542" max="14543" width="3.7109375" style="125" customWidth="1"/>
    <col min="14544" max="14544" width="9.7109375" style="125" customWidth="1"/>
    <col min="14545" max="14546" width="3.7109375" style="125" customWidth="1"/>
    <col min="14547" max="14547" width="9.7109375" style="125" customWidth="1"/>
    <col min="14548" max="14549" width="3.7109375" style="125" customWidth="1"/>
    <col min="14550" max="14550" width="9.7109375" style="125" customWidth="1"/>
    <col min="14551" max="14552" width="3.7109375" style="125" customWidth="1"/>
    <col min="14553" max="14553" width="9.7109375" style="125" customWidth="1"/>
    <col min="14554" max="14554" width="3.7109375" style="125" customWidth="1"/>
    <col min="14555" max="14592" width="8" style="125"/>
    <col min="14593" max="14593" width="30.7109375" style="125" customWidth="1"/>
    <col min="14594" max="14594" width="9.7109375" style="125" customWidth="1"/>
    <col min="14595" max="14595" width="3.7109375" style="125" customWidth="1"/>
    <col min="14596" max="14596" width="9.7109375" style="125" customWidth="1"/>
    <col min="14597" max="14598" width="3.7109375" style="125" customWidth="1"/>
    <col min="14599" max="14599" width="9.7109375" style="125" customWidth="1"/>
    <col min="14600" max="14601" width="3.7109375" style="125" customWidth="1"/>
    <col min="14602" max="14602" width="9.7109375" style="125" customWidth="1"/>
    <col min="14603" max="14604" width="3.7109375" style="125" customWidth="1"/>
    <col min="14605" max="14605" width="9.7109375" style="125" customWidth="1"/>
    <col min="14606" max="14607" width="3.7109375" style="125" customWidth="1"/>
    <col min="14608" max="14608" width="9.7109375" style="125" customWidth="1"/>
    <col min="14609" max="14610" width="3.7109375" style="125" customWidth="1"/>
    <col min="14611" max="14611" width="9.7109375" style="125" customWidth="1"/>
    <col min="14612" max="14613" width="3.7109375" style="125" customWidth="1"/>
    <col min="14614" max="14614" width="9.7109375" style="125" customWidth="1"/>
    <col min="14615" max="14616" width="3.7109375" style="125" customWidth="1"/>
    <col min="14617" max="14617" width="9.7109375" style="125" customWidth="1"/>
    <col min="14618" max="14619" width="3.7109375" style="125" customWidth="1"/>
    <col min="14620" max="14620" width="9.7109375" style="125" customWidth="1"/>
    <col min="14621" max="14622" width="3.7109375" style="125" customWidth="1"/>
    <col min="14623" max="14623" width="9.7109375" style="125" customWidth="1"/>
    <col min="14624" max="14625" width="3.7109375" style="125" customWidth="1"/>
    <col min="14626" max="14626" width="9.7109375" style="125" customWidth="1"/>
    <col min="14627" max="14628" width="3.7109375" style="125" customWidth="1"/>
    <col min="14629" max="14629" width="9.7109375" style="125" customWidth="1"/>
    <col min="14630" max="14631" width="3.7109375" style="125" customWidth="1"/>
    <col min="14632" max="14632" width="9.7109375" style="125" customWidth="1"/>
    <col min="14633" max="14634" width="3.7109375" style="125" customWidth="1"/>
    <col min="14635" max="14635" width="9.7109375" style="125" customWidth="1"/>
    <col min="14636" max="14637" width="3.7109375" style="125" customWidth="1"/>
    <col min="14638" max="14638" width="9.7109375" style="125" customWidth="1"/>
    <col min="14639" max="14640" width="3.7109375" style="125" customWidth="1"/>
    <col min="14641" max="14641" width="9.7109375" style="125" customWidth="1"/>
    <col min="14642" max="14643" width="3.7109375" style="125" customWidth="1"/>
    <col min="14644" max="14644" width="9.7109375" style="125" customWidth="1"/>
    <col min="14645" max="14646" width="3.7109375" style="125" customWidth="1"/>
    <col min="14647" max="14647" width="9.7109375" style="125" customWidth="1"/>
    <col min="14648" max="14649" width="3.7109375" style="125" customWidth="1"/>
    <col min="14650" max="14650" width="9.7109375" style="125" customWidth="1"/>
    <col min="14651" max="14652" width="3.7109375" style="125" customWidth="1"/>
    <col min="14653" max="14653" width="9.7109375" style="125" customWidth="1"/>
    <col min="14654" max="14655" width="3.7109375" style="125" customWidth="1"/>
    <col min="14656" max="14656" width="9.7109375" style="125" customWidth="1"/>
    <col min="14657" max="14658" width="3.7109375" style="125" customWidth="1"/>
    <col min="14659" max="14659" width="9.7109375" style="125" customWidth="1"/>
    <col min="14660" max="14661" width="3.7109375" style="125" customWidth="1"/>
    <col min="14662" max="14662" width="9.7109375" style="125" customWidth="1"/>
    <col min="14663" max="14664" width="3.7109375" style="125" customWidth="1"/>
    <col min="14665" max="14665" width="9.7109375" style="125" customWidth="1"/>
    <col min="14666" max="14667" width="3.7109375" style="125" customWidth="1"/>
    <col min="14668" max="14668" width="9.7109375" style="125" customWidth="1"/>
    <col min="14669" max="14670" width="3.7109375" style="125" customWidth="1"/>
    <col min="14671" max="14671" width="9.7109375" style="125" customWidth="1"/>
    <col min="14672" max="14673" width="3.7109375" style="125" customWidth="1"/>
    <col min="14674" max="14674" width="9.7109375" style="125" customWidth="1"/>
    <col min="14675" max="14676" width="3.7109375" style="125" customWidth="1"/>
    <col min="14677" max="14677" width="9.7109375" style="125" customWidth="1"/>
    <col min="14678" max="14679" width="3.7109375" style="125" customWidth="1"/>
    <col min="14680" max="14680" width="9.7109375" style="125" customWidth="1"/>
    <col min="14681" max="14682" width="3.7109375" style="125" customWidth="1"/>
    <col min="14683" max="14683" width="9.7109375" style="125" customWidth="1"/>
    <col min="14684" max="14685" width="3.7109375" style="125" customWidth="1"/>
    <col min="14686" max="14686" width="9.7109375" style="125" customWidth="1"/>
    <col min="14687" max="14688" width="3.7109375" style="125" customWidth="1"/>
    <col min="14689" max="14689" width="9.7109375" style="125" customWidth="1"/>
    <col min="14690" max="14691" width="3.7109375" style="125" customWidth="1"/>
    <col min="14692" max="14692" width="9.7109375" style="125" customWidth="1"/>
    <col min="14693" max="14694" width="3.7109375" style="125" customWidth="1"/>
    <col min="14695" max="14695" width="9.7109375" style="125" customWidth="1"/>
    <col min="14696" max="14697" width="3.7109375" style="125" customWidth="1"/>
    <col min="14698" max="14698" width="9.7109375" style="125" customWidth="1"/>
    <col min="14699" max="14700" width="3.7109375" style="125" customWidth="1"/>
    <col min="14701" max="14701" width="9.7109375" style="125" customWidth="1"/>
    <col min="14702" max="14703" width="3.7109375" style="125" customWidth="1"/>
    <col min="14704" max="14704" width="9.7109375" style="125" customWidth="1"/>
    <col min="14705" max="14706" width="3.7109375" style="125" customWidth="1"/>
    <col min="14707" max="14707" width="9.7109375" style="125" customWidth="1"/>
    <col min="14708" max="14709" width="3.7109375" style="125" customWidth="1"/>
    <col min="14710" max="14710" width="9.7109375" style="125" customWidth="1"/>
    <col min="14711" max="14712" width="3.7109375" style="125" customWidth="1"/>
    <col min="14713" max="14713" width="9.7109375" style="125" customWidth="1"/>
    <col min="14714" max="14715" width="3.7109375" style="125" customWidth="1"/>
    <col min="14716" max="14716" width="9.7109375" style="125" customWidth="1"/>
    <col min="14717" max="14718" width="3.7109375" style="125" customWidth="1"/>
    <col min="14719" max="14719" width="9.7109375" style="125" customWidth="1"/>
    <col min="14720" max="14721" width="3.7109375" style="125" customWidth="1"/>
    <col min="14722" max="14722" width="9.7109375" style="125" customWidth="1"/>
    <col min="14723" max="14724" width="3.7109375" style="125" customWidth="1"/>
    <col min="14725" max="14725" width="9.7109375" style="125" customWidth="1"/>
    <col min="14726" max="14727" width="3.7109375" style="125" customWidth="1"/>
    <col min="14728" max="14728" width="9.7109375" style="125" customWidth="1"/>
    <col min="14729" max="14730" width="3.7109375" style="125" customWidth="1"/>
    <col min="14731" max="14731" width="9.7109375" style="125" customWidth="1"/>
    <col min="14732" max="14733" width="3.7109375" style="125" customWidth="1"/>
    <col min="14734" max="14734" width="9.7109375" style="125" customWidth="1"/>
    <col min="14735" max="14736" width="3.7109375" style="125" customWidth="1"/>
    <col min="14737" max="14737" width="9.7109375" style="125" customWidth="1"/>
    <col min="14738" max="14739" width="3.7109375" style="125" customWidth="1"/>
    <col min="14740" max="14740" width="9.7109375" style="125" customWidth="1"/>
    <col min="14741" max="14742" width="3.7109375" style="125" customWidth="1"/>
    <col min="14743" max="14743" width="9.7109375" style="125" customWidth="1"/>
    <col min="14744" max="14745" width="3.7109375" style="125" customWidth="1"/>
    <col min="14746" max="14746" width="9.7109375" style="125" customWidth="1"/>
    <col min="14747" max="14748" width="3.7109375" style="125" customWidth="1"/>
    <col min="14749" max="14749" width="9.7109375" style="125" customWidth="1"/>
    <col min="14750" max="14751" width="3.7109375" style="125" customWidth="1"/>
    <col min="14752" max="14752" width="9.7109375" style="125" customWidth="1"/>
    <col min="14753" max="14754" width="3.7109375" style="125" customWidth="1"/>
    <col min="14755" max="14755" width="9.7109375" style="125" customWidth="1"/>
    <col min="14756" max="14757" width="3.7109375" style="125" customWidth="1"/>
    <col min="14758" max="14758" width="9.7109375" style="125" customWidth="1"/>
    <col min="14759" max="14760" width="3.7109375" style="125" customWidth="1"/>
    <col min="14761" max="14761" width="9.7109375" style="125" customWidth="1"/>
    <col min="14762" max="14763" width="3.7109375" style="125" customWidth="1"/>
    <col min="14764" max="14764" width="9.7109375" style="125" customWidth="1"/>
    <col min="14765" max="14766" width="3.7109375" style="125" customWidth="1"/>
    <col min="14767" max="14767" width="9.7109375" style="125" customWidth="1"/>
    <col min="14768" max="14769" width="3.7109375" style="125" customWidth="1"/>
    <col min="14770" max="14770" width="9.7109375" style="125" customWidth="1"/>
    <col min="14771" max="14772" width="3.7109375" style="125" customWidth="1"/>
    <col min="14773" max="14773" width="9.7109375" style="125" customWidth="1"/>
    <col min="14774" max="14775" width="3.7109375" style="125" customWidth="1"/>
    <col min="14776" max="14776" width="9.7109375" style="125" customWidth="1"/>
    <col min="14777" max="14778" width="3.7109375" style="125" customWidth="1"/>
    <col min="14779" max="14779" width="9.7109375" style="125" customWidth="1"/>
    <col min="14780" max="14781" width="3.7109375" style="125" customWidth="1"/>
    <col min="14782" max="14782" width="9.7109375" style="125" customWidth="1"/>
    <col min="14783" max="14784" width="3.7109375" style="125" customWidth="1"/>
    <col min="14785" max="14785" width="9.7109375" style="125" customWidth="1"/>
    <col min="14786" max="14787" width="3.7109375" style="125" customWidth="1"/>
    <col min="14788" max="14788" width="9.7109375" style="125" customWidth="1"/>
    <col min="14789" max="14790" width="3.7109375" style="125" customWidth="1"/>
    <col min="14791" max="14791" width="9.7109375" style="125" customWidth="1"/>
    <col min="14792" max="14793" width="3.7109375" style="125" customWidth="1"/>
    <col min="14794" max="14794" width="9.7109375" style="125" customWidth="1"/>
    <col min="14795" max="14796" width="3.7109375" style="125" customWidth="1"/>
    <col min="14797" max="14797" width="9.7109375" style="125" customWidth="1"/>
    <col min="14798" max="14799" width="3.7109375" style="125" customWidth="1"/>
    <col min="14800" max="14800" width="9.7109375" style="125" customWidth="1"/>
    <col min="14801" max="14802" width="3.7109375" style="125" customWidth="1"/>
    <col min="14803" max="14803" width="9.7109375" style="125" customWidth="1"/>
    <col min="14804" max="14805" width="3.7109375" style="125" customWidth="1"/>
    <col min="14806" max="14806" width="9.7109375" style="125" customWidth="1"/>
    <col min="14807" max="14808" width="3.7109375" style="125" customWidth="1"/>
    <col min="14809" max="14809" width="9.7109375" style="125" customWidth="1"/>
    <col min="14810" max="14810" width="3.7109375" style="125" customWidth="1"/>
    <col min="14811" max="14848" width="8" style="125"/>
    <col min="14849" max="14849" width="30.7109375" style="125" customWidth="1"/>
    <col min="14850" max="14850" width="9.7109375" style="125" customWidth="1"/>
    <col min="14851" max="14851" width="3.7109375" style="125" customWidth="1"/>
    <col min="14852" max="14852" width="9.7109375" style="125" customWidth="1"/>
    <col min="14853" max="14854" width="3.7109375" style="125" customWidth="1"/>
    <col min="14855" max="14855" width="9.7109375" style="125" customWidth="1"/>
    <col min="14856" max="14857" width="3.7109375" style="125" customWidth="1"/>
    <col min="14858" max="14858" width="9.7109375" style="125" customWidth="1"/>
    <col min="14859" max="14860" width="3.7109375" style="125" customWidth="1"/>
    <col min="14861" max="14861" width="9.7109375" style="125" customWidth="1"/>
    <col min="14862" max="14863" width="3.7109375" style="125" customWidth="1"/>
    <col min="14864" max="14864" width="9.7109375" style="125" customWidth="1"/>
    <col min="14865" max="14866" width="3.7109375" style="125" customWidth="1"/>
    <col min="14867" max="14867" width="9.7109375" style="125" customWidth="1"/>
    <col min="14868" max="14869" width="3.7109375" style="125" customWidth="1"/>
    <col min="14870" max="14870" width="9.7109375" style="125" customWidth="1"/>
    <col min="14871" max="14872" width="3.7109375" style="125" customWidth="1"/>
    <col min="14873" max="14873" width="9.7109375" style="125" customWidth="1"/>
    <col min="14874" max="14875" width="3.7109375" style="125" customWidth="1"/>
    <col min="14876" max="14876" width="9.7109375" style="125" customWidth="1"/>
    <col min="14877" max="14878" width="3.7109375" style="125" customWidth="1"/>
    <col min="14879" max="14879" width="9.7109375" style="125" customWidth="1"/>
    <col min="14880" max="14881" width="3.7109375" style="125" customWidth="1"/>
    <col min="14882" max="14882" width="9.7109375" style="125" customWidth="1"/>
    <col min="14883" max="14884" width="3.7109375" style="125" customWidth="1"/>
    <col min="14885" max="14885" width="9.7109375" style="125" customWidth="1"/>
    <col min="14886" max="14887" width="3.7109375" style="125" customWidth="1"/>
    <col min="14888" max="14888" width="9.7109375" style="125" customWidth="1"/>
    <col min="14889" max="14890" width="3.7109375" style="125" customWidth="1"/>
    <col min="14891" max="14891" width="9.7109375" style="125" customWidth="1"/>
    <col min="14892" max="14893" width="3.7109375" style="125" customWidth="1"/>
    <col min="14894" max="14894" width="9.7109375" style="125" customWidth="1"/>
    <col min="14895" max="14896" width="3.7109375" style="125" customWidth="1"/>
    <col min="14897" max="14897" width="9.7109375" style="125" customWidth="1"/>
    <col min="14898" max="14899" width="3.7109375" style="125" customWidth="1"/>
    <col min="14900" max="14900" width="9.7109375" style="125" customWidth="1"/>
    <col min="14901" max="14902" width="3.7109375" style="125" customWidth="1"/>
    <col min="14903" max="14903" width="9.7109375" style="125" customWidth="1"/>
    <col min="14904" max="14905" width="3.7109375" style="125" customWidth="1"/>
    <col min="14906" max="14906" width="9.7109375" style="125" customWidth="1"/>
    <col min="14907" max="14908" width="3.7109375" style="125" customWidth="1"/>
    <col min="14909" max="14909" width="9.7109375" style="125" customWidth="1"/>
    <col min="14910" max="14911" width="3.7109375" style="125" customWidth="1"/>
    <col min="14912" max="14912" width="9.7109375" style="125" customWidth="1"/>
    <col min="14913" max="14914" width="3.7109375" style="125" customWidth="1"/>
    <col min="14915" max="14915" width="9.7109375" style="125" customWidth="1"/>
    <col min="14916" max="14917" width="3.7109375" style="125" customWidth="1"/>
    <col min="14918" max="14918" width="9.7109375" style="125" customWidth="1"/>
    <col min="14919" max="14920" width="3.7109375" style="125" customWidth="1"/>
    <col min="14921" max="14921" width="9.7109375" style="125" customWidth="1"/>
    <col min="14922" max="14923" width="3.7109375" style="125" customWidth="1"/>
    <col min="14924" max="14924" width="9.7109375" style="125" customWidth="1"/>
    <col min="14925" max="14926" width="3.7109375" style="125" customWidth="1"/>
    <col min="14927" max="14927" width="9.7109375" style="125" customWidth="1"/>
    <col min="14928" max="14929" width="3.7109375" style="125" customWidth="1"/>
    <col min="14930" max="14930" width="9.7109375" style="125" customWidth="1"/>
    <col min="14931" max="14932" width="3.7109375" style="125" customWidth="1"/>
    <col min="14933" max="14933" width="9.7109375" style="125" customWidth="1"/>
    <col min="14934" max="14935" width="3.7109375" style="125" customWidth="1"/>
    <col min="14936" max="14936" width="9.7109375" style="125" customWidth="1"/>
    <col min="14937" max="14938" width="3.7109375" style="125" customWidth="1"/>
    <col min="14939" max="14939" width="9.7109375" style="125" customWidth="1"/>
    <col min="14940" max="14941" width="3.7109375" style="125" customWidth="1"/>
    <col min="14942" max="14942" width="9.7109375" style="125" customWidth="1"/>
    <col min="14943" max="14944" width="3.7109375" style="125" customWidth="1"/>
    <col min="14945" max="14945" width="9.7109375" style="125" customWidth="1"/>
    <col min="14946" max="14947" width="3.7109375" style="125" customWidth="1"/>
    <col min="14948" max="14948" width="9.7109375" style="125" customWidth="1"/>
    <col min="14949" max="14950" width="3.7109375" style="125" customWidth="1"/>
    <col min="14951" max="14951" width="9.7109375" style="125" customWidth="1"/>
    <col min="14952" max="14953" width="3.7109375" style="125" customWidth="1"/>
    <col min="14954" max="14954" width="9.7109375" style="125" customWidth="1"/>
    <col min="14955" max="14956" width="3.7109375" style="125" customWidth="1"/>
    <col min="14957" max="14957" width="9.7109375" style="125" customWidth="1"/>
    <col min="14958" max="14959" width="3.7109375" style="125" customWidth="1"/>
    <col min="14960" max="14960" width="9.7109375" style="125" customWidth="1"/>
    <col min="14961" max="14962" width="3.7109375" style="125" customWidth="1"/>
    <col min="14963" max="14963" width="9.7109375" style="125" customWidth="1"/>
    <col min="14964" max="14965" width="3.7109375" style="125" customWidth="1"/>
    <col min="14966" max="14966" width="9.7109375" style="125" customWidth="1"/>
    <col min="14967" max="14968" width="3.7109375" style="125" customWidth="1"/>
    <col min="14969" max="14969" width="9.7109375" style="125" customWidth="1"/>
    <col min="14970" max="14971" width="3.7109375" style="125" customWidth="1"/>
    <col min="14972" max="14972" width="9.7109375" style="125" customWidth="1"/>
    <col min="14973" max="14974" width="3.7109375" style="125" customWidth="1"/>
    <col min="14975" max="14975" width="9.7109375" style="125" customWidth="1"/>
    <col min="14976" max="14977" width="3.7109375" style="125" customWidth="1"/>
    <col min="14978" max="14978" width="9.7109375" style="125" customWidth="1"/>
    <col min="14979" max="14980" width="3.7109375" style="125" customWidth="1"/>
    <col min="14981" max="14981" width="9.7109375" style="125" customWidth="1"/>
    <col min="14982" max="14983" width="3.7109375" style="125" customWidth="1"/>
    <col min="14984" max="14984" width="9.7109375" style="125" customWidth="1"/>
    <col min="14985" max="14986" width="3.7109375" style="125" customWidth="1"/>
    <col min="14987" max="14987" width="9.7109375" style="125" customWidth="1"/>
    <col min="14988" max="14989" width="3.7109375" style="125" customWidth="1"/>
    <col min="14990" max="14990" width="9.7109375" style="125" customWidth="1"/>
    <col min="14991" max="14992" width="3.7109375" style="125" customWidth="1"/>
    <col min="14993" max="14993" width="9.7109375" style="125" customWidth="1"/>
    <col min="14994" max="14995" width="3.7109375" style="125" customWidth="1"/>
    <col min="14996" max="14996" width="9.7109375" style="125" customWidth="1"/>
    <col min="14997" max="14998" width="3.7109375" style="125" customWidth="1"/>
    <col min="14999" max="14999" width="9.7109375" style="125" customWidth="1"/>
    <col min="15000" max="15001" width="3.7109375" style="125" customWidth="1"/>
    <col min="15002" max="15002" width="9.7109375" style="125" customWidth="1"/>
    <col min="15003" max="15004" width="3.7109375" style="125" customWidth="1"/>
    <col min="15005" max="15005" width="9.7109375" style="125" customWidth="1"/>
    <col min="15006" max="15007" width="3.7109375" style="125" customWidth="1"/>
    <col min="15008" max="15008" width="9.7109375" style="125" customWidth="1"/>
    <col min="15009" max="15010" width="3.7109375" style="125" customWidth="1"/>
    <col min="15011" max="15011" width="9.7109375" style="125" customWidth="1"/>
    <col min="15012" max="15013" width="3.7109375" style="125" customWidth="1"/>
    <col min="15014" max="15014" width="9.7109375" style="125" customWidth="1"/>
    <col min="15015" max="15016" width="3.7109375" style="125" customWidth="1"/>
    <col min="15017" max="15017" width="9.7109375" style="125" customWidth="1"/>
    <col min="15018" max="15019" width="3.7109375" style="125" customWidth="1"/>
    <col min="15020" max="15020" width="9.7109375" style="125" customWidth="1"/>
    <col min="15021" max="15022" width="3.7109375" style="125" customWidth="1"/>
    <col min="15023" max="15023" width="9.7109375" style="125" customWidth="1"/>
    <col min="15024" max="15025" width="3.7109375" style="125" customWidth="1"/>
    <col min="15026" max="15026" width="9.7109375" style="125" customWidth="1"/>
    <col min="15027" max="15028" width="3.7109375" style="125" customWidth="1"/>
    <col min="15029" max="15029" width="9.7109375" style="125" customWidth="1"/>
    <col min="15030" max="15031" width="3.7109375" style="125" customWidth="1"/>
    <col min="15032" max="15032" width="9.7109375" style="125" customWidth="1"/>
    <col min="15033" max="15034" width="3.7109375" style="125" customWidth="1"/>
    <col min="15035" max="15035" width="9.7109375" style="125" customWidth="1"/>
    <col min="15036" max="15037" width="3.7109375" style="125" customWidth="1"/>
    <col min="15038" max="15038" width="9.7109375" style="125" customWidth="1"/>
    <col min="15039" max="15040" width="3.7109375" style="125" customWidth="1"/>
    <col min="15041" max="15041" width="9.7109375" style="125" customWidth="1"/>
    <col min="15042" max="15043" width="3.7109375" style="125" customWidth="1"/>
    <col min="15044" max="15044" width="9.7109375" style="125" customWidth="1"/>
    <col min="15045" max="15046" width="3.7109375" style="125" customWidth="1"/>
    <col min="15047" max="15047" width="9.7109375" style="125" customWidth="1"/>
    <col min="15048" max="15049" width="3.7109375" style="125" customWidth="1"/>
    <col min="15050" max="15050" width="9.7109375" style="125" customWidth="1"/>
    <col min="15051" max="15052" width="3.7109375" style="125" customWidth="1"/>
    <col min="15053" max="15053" width="9.7109375" style="125" customWidth="1"/>
    <col min="15054" max="15055" width="3.7109375" style="125" customWidth="1"/>
    <col min="15056" max="15056" width="9.7109375" style="125" customWidth="1"/>
    <col min="15057" max="15058" width="3.7109375" style="125" customWidth="1"/>
    <col min="15059" max="15059" width="9.7109375" style="125" customWidth="1"/>
    <col min="15060" max="15061" width="3.7109375" style="125" customWidth="1"/>
    <col min="15062" max="15062" width="9.7109375" style="125" customWidth="1"/>
    <col min="15063" max="15064" width="3.7109375" style="125" customWidth="1"/>
    <col min="15065" max="15065" width="9.7109375" style="125" customWidth="1"/>
    <col min="15066" max="15066" width="3.7109375" style="125" customWidth="1"/>
    <col min="15067" max="15104" width="8" style="125"/>
    <col min="15105" max="15105" width="30.7109375" style="125" customWidth="1"/>
    <col min="15106" max="15106" width="9.7109375" style="125" customWidth="1"/>
    <col min="15107" max="15107" width="3.7109375" style="125" customWidth="1"/>
    <col min="15108" max="15108" width="9.7109375" style="125" customWidth="1"/>
    <col min="15109" max="15110" width="3.7109375" style="125" customWidth="1"/>
    <col min="15111" max="15111" width="9.7109375" style="125" customWidth="1"/>
    <col min="15112" max="15113" width="3.7109375" style="125" customWidth="1"/>
    <col min="15114" max="15114" width="9.7109375" style="125" customWidth="1"/>
    <col min="15115" max="15116" width="3.7109375" style="125" customWidth="1"/>
    <col min="15117" max="15117" width="9.7109375" style="125" customWidth="1"/>
    <col min="15118" max="15119" width="3.7109375" style="125" customWidth="1"/>
    <col min="15120" max="15120" width="9.7109375" style="125" customWidth="1"/>
    <col min="15121" max="15122" width="3.7109375" style="125" customWidth="1"/>
    <col min="15123" max="15123" width="9.7109375" style="125" customWidth="1"/>
    <col min="15124" max="15125" width="3.7109375" style="125" customWidth="1"/>
    <col min="15126" max="15126" width="9.7109375" style="125" customWidth="1"/>
    <col min="15127" max="15128" width="3.7109375" style="125" customWidth="1"/>
    <col min="15129" max="15129" width="9.7109375" style="125" customWidth="1"/>
    <col min="15130" max="15131" width="3.7109375" style="125" customWidth="1"/>
    <col min="15132" max="15132" width="9.7109375" style="125" customWidth="1"/>
    <col min="15133" max="15134" width="3.7109375" style="125" customWidth="1"/>
    <col min="15135" max="15135" width="9.7109375" style="125" customWidth="1"/>
    <col min="15136" max="15137" width="3.7109375" style="125" customWidth="1"/>
    <col min="15138" max="15138" width="9.7109375" style="125" customWidth="1"/>
    <col min="15139" max="15140" width="3.7109375" style="125" customWidth="1"/>
    <col min="15141" max="15141" width="9.7109375" style="125" customWidth="1"/>
    <col min="15142" max="15143" width="3.7109375" style="125" customWidth="1"/>
    <col min="15144" max="15144" width="9.7109375" style="125" customWidth="1"/>
    <col min="15145" max="15146" width="3.7109375" style="125" customWidth="1"/>
    <col min="15147" max="15147" width="9.7109375" style="125" customWidth="1"/>
    <col min="15148" max="15149" width="3.7109375" style="125" customWidth="1"/>
    <col min="15150" max="15150" width="9.7109375" style="125" customWidth="1"/>
    <col min="15151" max="15152" width="3.7109375" style="125" customWidth="1"/>
    <col min="15153" max="15153" width="9.7109375" style="125" customWidth="1"/>
    <col min="15154" max="15155" width="3.7109375" style="125" customWidth="1"/>
    <col min="15156" max="15156" width="9.7109375" style="125" customWidth="1"/>
    <col min="15157" max="15158" width="3.7109375" style="125" customWidth="1"/>
    <col min="15159" max="15159" width="9.7109375" style="125" customWidth="1"/>
    <col min="15160" max="15161" width="3.7109375" style="125" customWidth="1"/>
    <col min="15162" max="15162" width="9.7109375" style="125" customWidth="1"/>
    <col min="15163" max="15164" width="3.7109375" style="125" customWidth="1"/>
    <col min="15165" max="15165" width="9.7109375" style="125" customWidth="1"/>
    <col min="15166" max="15167" width="3.7109375" style="125" customWidth="1"/>
    <col min="15168" max="15168" width="9.7109375" style="125" customWidth="1"/>
    <col min="15169" max="15170" width="3.7109375" style="125" customWidth="1"/>
    <col min="15171" max="15171" width="9.7109375" style="125" customWidth="1"/>
    <col min="15172" max="15173" width="3.7109375" style="125" customWidth="1"/>
    <col min="15174" max="15174" width="9.7109375" style="125" customWidth="1"/>
    <col min="15175" max="15176" width="3.7109375" style="125" customWidth="1"/>
    <col min="15177" max="15177" width="9.7109375" style="125" customWidth="1"/>
    <col min="15178" max="15179" width="3.7109375" style="125" customWidth="1"/>
    <col min="15180" max="15180" width="9.7109375" style="125" customWidth="1"/>
    <col min="15181" max="15182" width="3.7109375" style="125" customWidth="1"/>
    <col min="15183" max="15183" width="9.7109375" style="125" customWidth="1"/>
    <col min="15184" max="15185" width="3.7109375" style="125" customWidth="1"/>
    <col min="15186" max="15186" width="9.7109375" style="125" customWidth="1"/>
    <col min="15187" max="15188" width="3.7109375" style="125" customWidth="1"/>
    <col min="15189" max="15189" width="9.7109375" style="125" customWidth="1"/>
    <col min="15190" max="15191" width="3.7109375" style="125" customWidth="1"/>
    <col min="15192" max="15192" width="9.7109375" style="125" customWidth="1"/>
    <col min="15193" max="15194" width="3.7109375" style="125" customWidth="1"/>
    <col min="15195" max="15195" width="9.7109375" style="125" customWidth="1"/>
    <col min="15196" max="15197" width="3.7109375" style="125" customWidth="1"/>
    <col min="15198" max="15198" width="9.7109375" style="125" customWidth="1"/>
    <col min="15199" max="15200" width="3.7109375" style="125" customWidth="1"/>
    <col min="15201" max="15201" width="9.7109375" style="125" customWidth="1"/>
    <col min="15202" max="15203" width="3.7109375" style="125" customWidth="1"/>
    <col min="15204" max="15204" width="9.7109375" style="125" customWidth="1"/>
    <col min="15205" max="15206" width="3.7109375" style="125" customWidth="1"/>
    <col min="15207" max="15207" width="9.7109375" style="125" customWidth="1"/>
    <col min="15208" max="15209" width="3.7109375" style="125" customWidth="1"/>
    <col min="15210" max="15210" width="9.7109375" style="125" customWidth="1"/>
    <col min="15211" max="15212" width="3.7109375" style="125" customWidth="1"/>
    <col min="15213" max="15213" width="9.7109375" style="125" customWidth="1"/>
    <col min="15214" max="15215" width="3.7109375" style="125" customWidth="1"/>
    <col min="15216" max="15216" width="9.7109375" style="125" customWidth="1"/>
    <col min="15217" max="15218" width="3.7109375" style="125" customWidth="1"/>
    <col min="15219" max="15219" width="9.7109375" style="125" customWidth="1"/>
    <col min="15220" max="15221" width="3.7109375" style="125" customWidth="1"/>
    <col min="15222" max="15222" width="9.7109375" style="125" customWidth="1"/>
    <col min="15223" max="15224" width="3.7109375" style="125" customWidth="1"/>
    <col min="15225" max="15225" width="9.7109375" style="125" customWidth="1"/>
    <col min="15226" max="15227" width="3.7109375" style="125" customWidth="1"/>
    <col min="15228" max="15228" width="9.7109375" style="125" customWidth="1"/>
    <col min="15229" max="15230" width="3.7109375" style="125" customWidth="1"/>
    <col min="15231" max="15231" width="9.7109375" style="125" customWidth="1"/>
    <col min="15232" max="15233" width="3.7109375" style="125" customWidth="1"/>
    <col min="15234" max="15234" width="9.7109375" style="125" customWidth="1"/>
    <col min="15235" max="15236" width="3.7109375" style="125" customWidth="1"/>
    <col min="15237" max="15237" width="9.7109375" style="125" customWidth="1"/>
    <col min="15238" max="15239" width="3.7109375" style="125" customWidth="1"/>
    <col min="15240" max="15240" width="9.7109375" style="125" customWidth="1"/>
    <col min="15241" max="15242" width="3.7109375" style="125" customWidth="1"/>
    <col min="15243" max="15243" width="9.7109375" style="125" customWidth="1"/>
    <col min="15244" max="15245" width="3.7109375" style="125" customWidth="1"/>
    <col min="15246" max="15246" width="9.7109375" style="125" customWidth="1"/>
    <col min="15247" max="15248" width="3.7109375" style="125" customWidth="1"/>
    <col min="15249" max="15249" width="9.7109375" style="125" customWidth="1"/>
    <col min="15250" max="15251" width="3.7109375" style="125" customWidth="1"/>
    <col min="15252" max="15252" width="9.7109375" style="125" customWidth="1"/>
    <col min="15253" max="15254" width="3.7109375" style="125" customWidth="1"/>
    <col min="15255" max="15255" width="9.7109375" style="125" customWidth="1"/>
    <col min="15256" max="15257" width="3.7109375" style="125" customWidth="1"/>
    <col min="15258" max="15258" width="9.7109375" style="125" customWidth="1"/>
    <col min="15259" max="15260" width="3.7109375" style="125" customWidth="1"/>
    <col min="15261" max="15261" width="9.7109375" style="125" customWidth="1"/>
    <col min="15262" max="15263" width="3.7109375" style="125" customWidth="1"/>
    <col min="15264" max="15264" width="9.7109375" style="125" customWidth="1"/>
    <col min="15265" max="15266" width="3.7109375" style="125" customWidth="1"/>
    <col min="15267" max="15267" width="9.7109375" style="125" customWidth="1"/>
    <col min="15268" max="15269" width="3.7109375" style="125" customWidth="1"/>
    <col min="15270" max="15270" width="9.7109375" style="125" customWidth="1"/>
    <col min="15271" max="15272" width="3.7109375" style="125" customWidth="1"/>
    <col min="15273" max="15273" width="9.7109375" style="125" customWidth="1"/>
    <col min="15274" max="15275" width="3.7109375" style="125" customWidth="1"/>
    <col min="15276" max="15276" width="9.7109375" style="125" customWidth="1"/>
    <col min="15277" max="15278" width="3.7109375" style="125" customWidth="1"/>
    <col min="15279" max="15279" width="9.7109375" style="125" customWidth="1"/>
    <col min="15280" max="15281" width="3.7109375" style="125" customWidth="1"/>
    <col min="15282" max="15282" width="9.7109375" style="125" customWidth="1"/>
    <col min="15283" max="15284" width="3.7109375" style="125" customWidth="1"/>
    <col min="15285" max="15285" width="9.7109375" style="125" customWidth="1"/>
    <col min="15286" max="15287" width="3.7109375" style="125" customWidth="1"/>
    <col min="15288" max="15288" width="9.7109375" style="125" customWidth="1"/>
    <col min="15289" max="15290" width="3.7109375" style="125" customWidth="1"/>
    <col min="15291" max="15291" width="9.7109375" style="125" customWidth="1"/>
    <col min="15292" max="15293" width="3.7109375" style="125" customWidth="1"/>
    <col min="15294" max="15294" width="9.7109375" style="125" customWidth="1"/>
    <col min="15295" max="15296" width="3.7109375" style="125" customWidth="1"/>
    <col min="15297" max="15297" width="9.7109375" style="125" customWidth="1"/>
    <col min="15298" max="15299" width="3.7109375" style="125" customWidth="1"/>
    <col min="15300" max="15300" width="9.7109375" style="125" customWidth="1"/>
    <col min="15301" max="15302" width="3.7109375" style="125" customWidth="1"/>
    <col min="15303" max="15303" width="9.7109375" style="125" customWidth="1"/>
    <col min="15304" max="15305" width="3.7109375" style="125" customWidth="1"/>
    <col min="15306" max="15306" width="9.7109375" style="125" customWidth="1"/>
    <col min="15307" max="15308" width="3.7109375" style="125" customWidth="1"/>
    <col min="15309" max="15309" width="9.7109375" style="125" customWidth="1"/>
    <col min="15310" max="15311" width="3.7109375" style="125" customWidth="1"/>
    <col min="15312" max="15312" width="9.7109375" style="125" customWidth="1"/>
    <col min="15313" max="15314" width="3.7109375" style="125" customWidth="1"/>
    <col min="15315" max="15315" width="9.7109375" style="125" customWidth="1"/>
    <col min="15316" max="15317" width="3.7109375" style="125" customWidth="1"/>
    <col min="15318" max="15318" width="9.7109375" style="125" customWidth="1"/>
    <col min="15319" max="15320" width="3.7109375" style="125" customWidth="1"/>
    <col min="15321" max="15321" width="9.7109375" style="125" customWidth="1"/>
    <col min="15322" max="15322" width="3.7109375" style="125" customWidth="1"/>
    <col min="15323" max="15360" width="8" style="125"/>
    <col min="15361" max="15361" width="30.7109375" style="125" customWidth="1"/>
    <col min="15362" max="15362" width="9.7109375" style="125" customWidth="1"/>
    <col min="15363" max="15363" width="3.7109375" style="125" customWidth="1"/>
    <col min="15364" max="15364" width="9.7109375" style="125" customWidth="1"/>
    <col min="15365" max="15366" width="3.7109375" style="125" customWidth="1"/>
    <col min="15367" max="15367" width="9.7109375" style="125" customWidth="1"/>
    <col min="15368" max="15369" width="3.7109375" style="125" customWidth="1"/>
    <col min="15370" max="15370" width="9.7109375" style="125" customWidth="1"/>
    <col min="15371" max="15372" width="3.7109375" style="125" customWidth="1"/>
    <col min="15373" max="15373" width="9.7109375" style="125" customWidth="1"/>
    <col min="15374" max="15375" width="3.7109375" style="125" customWidth="1"/>
    <col min="15376" max="15376" width="9.7109375" style="125" customWidth="1"/>
    <col min="15377" max="15378" width="3.7109375" style="125" customWidth="1"/>
    <col min="15379" max="15379" width="9.7109375" style="125" customWidth="1"/>
    <col min="15380" max="15381" width="3.7109375" style="125" customWidth="1"/>
    <col min="15382" max="15382" width="9.7109375" style="125" customWidth="1"/>
    <col min="15383" max="15384" width="3.7109375" style="125" customWidth="1"/>
    <col min="15385" max="15385" width="9.7109375" style="125" customWidth="1"/>
    <col min="15386" max="15387" width="3.7109375" style="125" customWidth="1"/>
    <col min="15388" max="15388" width="9.7109375" style="125" customWidth="1"/>
    <col min="15389" max="15390" width="3.7109375" style="125" customWidth="1"/>
    <col min="15391" max="15391" width="9.7109375" style="125" customWidth="1"/>
    <col min="15392" max="15393" width="3.7109375" style="125" customWidth="1"/>
    <col min="15394" max="15394" width="9.7109375" style="125" customWidth="1"/>
    <col min="15395" max="15396" width="3.7109375" style="125" customWidth="1"/>
    <col min="15397" max="15397" width="9.7109375" style="125" customWidth="1"/>
    <col min="15398" max="15399" width="3.7109375" style="125" customWidth="1"/>
    <col min="15400" max="15400" width="9.7109375" style="125" customWidth="1"/>
    <col min="15401" max="15402" width="3.7109375" style="125" customWidth="1"/>
    <col min="15403" max="15403" width="9.7109375" style="125" customWidth="1"/>
    <col min="15404" max="15405" width="3.7109375" style="125" customWidth="1"/>
    <col min="15406" max="15406" width="9.7109375" style="125" customWidth="1"/>
    <col min="15407" max="15408" width="3.7109375" style="125" customWidth="1"/>
    <col min="15409" max="15409" width="9.7109375" style="125" customWidth="1"/>
    <col min="15410" max="15411" width="3.7109375" style="125" customWidth="1"/>
    <col min="15412" max="15412" width="9.7109375" style="125" customWidth="1"/>
    <col min="15413" max="15414" width="3.7109375" style="125" customWidth="1"/>
    <col min="15415" max="15415" width="9.7109375" style="125" customWidth="1"/>
    <col min="15416" max="15417" width="3.7109375" style="125" customWidth="1"/>
    <col min="15418" max="15418" width="9.7109375" style="125" customWidth="1"/>
    <col min="15419" max="15420" width="3.7109375" style="125" customWidth="1"/>
    <col min="15421" max="15421" width="9.7109375" style="125" customWidth="1"/>
    <col min="15422" max="15423" width="3.7109375" style="125" customWidth="1"/>
    <col min="15424" max="15424" width="9.7109375" style="125" customWidth="1"/>
    <col min="15425" max="15426" width="3.7109375" style="125" customWidth="1"/>
    <col min="15427" max="15427" width="9.7109375" style="125" customWidth="1"/>
    <col min="15428" max="15429" width="3.7109375" style="125" customWidth="1"/>
    <col min="15430" max="15430" width="9.7109375" style="125" customWidth="1"/>
    <col min="15431" max="15432" width="3.7109375" style="125" customWidth="1"/>
    <col min="15433" max="15433" width="9.7109375" style="125" customWidth="1"/>
    <col min="15434" max="15435" width="3.7109375" style="125" customWidth="1"/>
    <col min="15436" max="15436" width="9.7109375" style="125" customWidth="1"/>
    <col min="15437" max="15438" width="3.7109375" style="125" customWidth="1"/>
    <col min="15439" max="15439" width="9.7109375" style="125" customWidth="1"/>
    <col min="15440" max="15441" width="3.7109375" style="125" customWidth="1"/>
    <col min="15442" max="15442" width="9.7109375" style="125" customWidth="1"/>
    <col min="15443" max="15444" width="3.7109375" style="125" customWidth="1"/>
    <col min="15445" max="15445" width="9.7109375" style="125" customWidth="1"/>
    <col min="15446" max="15447" width="3.7109375" style="125" customWidth="1"/>
    <col min="15448" max="15448" width="9.7109375" style="125" customWidth="1"/>
    <col min="15449" max="15450" width="3.7109375" style="125" customWidth="1"/>
    <col min="15451" max="15451" width="9.7109375" style="125" customWidth="1"/>
    <col min="15452" max="15453" width="3.7109375" style="125" customWidth="1"/>
    <col min="15454" max="15454" width="9.7109375" style="125" customWidth="1"/>
    <col min="15455" max="15456" width="3.7109375" style="125" customWidth="1"/>
    <col min="15457" max="15457" width="9.7109375" style="125" customWidth="1"/>
    <col min="15458" max="15459" width="3.7109375" style="125" customWidth="1"/>
    <col min="15460" max="15460" width="9.7109375" style="125" customWidth="1"/>
    <col min="15461" max="15462" width="3.7109375" style="125" customWidth="1"/>
    <col min="15463" max="15463" width="9.7109375" style="125" customWidth="1"/>
    <col min="15464" max="15465" width="3.7109375" style="125" customWidth="1"/>
    <col min="15466" max="15466" width="9.7109375" style="125" customWidth="1"/>
    <col min="15467" max="15468" width="3.7109375" style="125" customWidth="1"/>
    <col min="15469" max="15469" width="9.7109375" style="125" customWidth="1"/>
    <col min="15470" max="15471" width="3.7109375" style="125" customWidth="1"/>
    <col min="15472" max="15472" width="9.7109375" style="125" customWidth="1"/>
    <col min="15473" max="15474" width="3.7109375" style="125" customWidth="1"/>
    <col min="15475" max="15475" width="9.7109375" style="125" customWidth="1"/>
    <col min="15476" max="15477" width="3.7109375" style="125" customWidth="1"/>
    <col min="15478" max="15478" width="9.7109375" style="125" customWidth="1"/>
    <col min="15479" max="15480" width="3.7109375" style="125" customWidth="1"/>
    <col min="15481" max="15481" width="9.7109375" style="125" customWidth="1"/>
    <col min="15482" max="15483" width="3.7109375" style="125" customWidth="1"/>
    <col min="15484" max="15484" width="9.7109375" style="125" customWidth="1"/>
    <col min="15485" max="15486" width="3.7109375" style="125" customWidth="1"/>
    <col min="15487" max="15487" width="9.7109375" style="125" customWidth="1"/>
    <col min="15488" max="15489" width="3.7109375" style="125" customWidth="1"/>
    <col min="15490" max="15490" width="9.7109375" style="125" customWidth="1"/>
    <col min="15491" max="15492" width="3.7109375" style="125" customWidth="1"/>
    <col min="15493" max="15493" width="9.7109375" style="125" customWidth="1"/>
    <col min="15494" max="15495" width="3.7109375" style="125" customWidth="1"/>
    <col min="15496" max="15496" width="9.7109375" style="125" customWidth="1"/>
    <col min="15497" max="15498" width="3.7109375" style="125" customWidth="1"/>
    <col min="15499" max="15499" width="9.7109375" style="125" customWidth="1"/>
    <col min="15500" max="15501" width="3.7109375" style="125" customWidth="1"/>
    <col min="15502" max="15502" width="9.7109375" style="125" customWidth="1"/>
    <col min="15503" max="15504" width="3.7109375" style="125" customWidth="1"/>
    <col min="15505" max="15505" width="9.7109375" style="125" customWidth="1"/>
    <col min="15506" max="15507" width="3.7109375" style="125" customWidth="1"/>
    <col min="15508" max="15508" width="9.7109375" style="125" customWidth="1"/>
    <col min="15509" max="15510" width="3.7109375" style="125" customWidth="1"/>
    <col min="15511" max="15511" width="9.7109375" style="125" customWidth="1"/>
    <col min="15512" max="15513" width="3.7109375" style="125" customWidth="1"/>
    <col min="15514" max="15514" width="9.7109375" style="125" customWidth="1"/>
    <col min="15515" max="15516" width="3.7109375" style="125" customWidth="1"/>
    <col min="15517" max="15517" width="9.7109375" style="125" customWidth="1"/>
    <col min="15518" max="15519" width="3.7109375" style="125" customWidth="1"/>
    <col min="15520" max="15520" width="9.7109375" style="125" customWidth="1"/>
    <col min="15521" max="15522" width="3.7109375" style="125" customWidth="1"/>
    <col min="15523" max="15523" width="9.7109375" style="125" customWidth="1"/>
    <col min="15524" max="15525" width="3.7109375" style="125" customWidth="1"/>
    <col min="15526" max="15526" width="9.7109375" style="125" customWidth="1"/>
    <col min="15527" max="15528" width="3.7109375" style="125" customWidth="1"/>
    <col min="15529" max="15529" width="9.7109375" style="125" customWidth="1"/>
    <col min="15530" max="15531" width="3.7109375" style="125" customWidth="1"/>
    <col min="15532" max="15532" width="9.7109375" style="125" customWidth="1"/>
    <col min="15533" max="15534" width="3.7109375" style="125" customWidth="1"/>
    <col min="15535" max="15535" width="9.7109375" style="125" customWidth="1"/>
    <col min="15536" max="15537" width="3.7109375" style="125" customWidth="1"/>
    <col min="15538" max="15538" width="9.7109375" style="125" customWidth="1"/>
    <col min="15539" max="15540" width="3.7109375" style="125" customWidth="1"/>
    <col min="15541" max="15541" width="9.7109375" style="125" customWidth="1"/>
    <col min="15542" max="15543" width="3.7109375" style="125" customWidth="1"/>
    <col min="15544" max="15544" width="9.7109375" style="125" customWidth="1"/>
    <col min="15545" max="15546" width="3.7109375" style="125" customWidth="1"/>
    <col min="15547" max="15547" width="9.7109375" style="125" customWidth="1"/>
    <col min="15548" max="15549" width="3.7109375" style="125" customWidth="1"/>
    <col min="15550" max="15550" width="9.7109375" style="125" customWidth="1"/>
    <col min="15551" max="15552" width="3.7109375" style="125" customWidth="1"/>
    <col min="15553" max="15553" width="9.7109375" style="125" customWidth="1"/>
    <col min="15554" max="15555" width="3.7109375" style="125" customWidth="1"/>
    <col min="15556" max="15556" width="9.7109375" style="125" customWidth="1"/>
    <col min="15557" max="15558" width="3.7109375" style="125" customWidth="1"/>
    <col min="15559" max="15559" width="9.7109375" style="125" customWidth="1"/>
    <col min="15560" max="15561" width="3.7109375" style="125" customWidth="1"/>
    <col min="15562" max="15562" width="9.7109375" style="125" customWidth="1"/>
    <col min="15563" max="15564" width="3.7109375" style="125" customWidth="1"/>
    <col min="15565" max="15565" width="9.7109375" style="125" customWidth="1"/>
    <col min="15566" max="15567" width="3.7109375" style="125" customWidth="1"/>
    <col min="15568" max="15568" width="9.7109375" style="125" customWidth="1"/>
    <col min="15569" max="15570" width="3.7109375" style="125" customWidth="1"/>
    <col min="15571" max="15571" width="9.7109375" style="125" customWidth="1"/>
    <col min="15572" max="15573" width="3.7109375" style="125" customWidth="1"/>
    <col min="15574" max="15574" width="9.7109375" style="125" customWidth="1"/>
    <col min="15575" max="15576" width="3.7109375" style="125" customWidth="1"/>
    <col min="15577" max="15577" width="9.7109375" style="125" customWidth="1"/>
    <col min="15578" max="15578" width="3.7109375" style="125" customWidth="1"/>
    <col min="15579" max="15616" width="8" style="125"/>
    <col min="15617" max="15617" width="30.7109375" style="125" customWidth="1"/>
    <col min="15618" max="15618" width="9.7109375" style="125" customWidth="1"/>
    <col min="15619" max="15619" width="3.7109375" style="125" customWidth="1"/>
    <col min="15620" max="15620" width="9.7109375" style="125" customWidth="1"/>
    <col min="15621" max="15622" width="3.7109375" style="125" customWidth="1"/>
    <col min="15623" max="15623" width="9.7109375" style="125" customWidth="1"/>
    <col min="15624" max="15625" width="3.7109375" style="125" customWidth="1"/>
    <col min="15626" max="15626" width="9.7109375" style="125" customWidth="1"/>
    <col min="15627" max="15628" width="3.7109375" style="125" customWidth="1"/>
    <col min="15629" max="15629" width="9.7109375" style="125" customWidth="1"/>
    <col min="15630" max="15631" width="3.7109375" style="125" customWidth="1"/>
    <col min="15632" max="15632" width="9.7109375" style="125" customWidth="1"/>
    <col min="15633" max="15634" width="3.7109375" style="125" customWidth="1"/>
    <col min="15635" max="15635" width="9.7109375" style="125" customWidth="1"/>
    <col min="15636" max="15637" width="3.7109375" style="125" customWidth="1"/>
    <col min="15638" max="15638" width="9.7109375" style="125" customWidth="1"/>
    <col min="15639" max="15640" width="3.7109375" style="125" customWidth="1"/>
    <col min="15641" max="15641" width="9.7109375" style="125" customWidth="1"/>
    <col min="15642" max="15643" width="3.7109375" style="125" customWidth="1"/>
    <col min="15644" max="15644" width="9.7109375" style="125" customWidth="1"/>
    <col min="15645" max="15646" width="3.7109375" style="125" customWidth="1"/>
    <col min="15647" max="15647" width="9.7109375" style="125" customWidth="1"/>
    <col min="15648" max="15649" width="3.7109375" style="125" customWidth="1"/>
    <col min="15650" max="15650" width="9.7109375" style="125" customWidth="1"/>
    <col min="15651" max="15652" width="3.7109375" style="125" customWidth="1"/>
    <col min="15653" max="15653" width="9.7109375" style="125" customWidth="1"/>
    <col min="15654" max="15655" width="3.7109375" style="125" customWidth="1"/>
    <col min="15656" max="15656" width="9.7109375" style="125" customWidth="1"/>
    <col min="15657" max="15658" width="3.7109375" style="125" customWidth="1"/>
    <col min="15659" max="15659" width="9.7109375" style="125" customWidth="1"/>
    <col min="15660" max="15661" width="3.7109375" style="125" customWidth="1"/>
    <col min="15662" max="15662" width="9.7109375" style="125" customWidth="1"/>
    <col min="15663" max="15664" width="3.7109375" style="125" customWidth="1"/>
    <col min="15665" max="15665" width="9.7109375" style="125" customWidth="1"/>
    <col min="15666" max="15667" width="3.7109375" style="125" customWidth="1"/>
    <col min="15668" max="15668" width="9.7109375" style="125" customWidth="1"/>
    <col min="15669" max="15670" width="3.7109375" style="125" customWidth="1"/>
    <col min="15671" max="15671" width="9.7109375" style="125" customWidth="1"/>
    <col min="15672" max="15673" width="3.7109375" style="125" customWidth="1"/>
    <col min="15674" max="15674" width="9.7109375" style="125" customWidth="1"/>
    <col min="15675" max="15676" width="3.7109375" style="125" customWidth="1"/>
    <col min="15677" max="15677" width="9.7109375" style="125" customWidth="1"/>
    <col min="15678" max="15679" width="3.7109375" style="125" customWidth="1"/>
    <col min="15680" max="15680" width="9.7109375" style="125" customWidth="1"/>
    <col min="15681" max="15682" width="3.7109375" style="125" customWidth="1"/>
    <col min="15683" max="15683" width="9.7109375" style="125" customWidth="1"/>
    <col min="15684" max="15685" width="3.7109375" style="125" customWidth="1"/>
    <col min="15686" max="15686" width="9.7109375" style="125" customWidth="1"/>
    <col min="15687" max="15688" width="3.7109375" style="125" customWidth="1"/>
    <col min="15689" max="15689" width="9.7109375" style="125" customWidth="1"/>
    <col min="15690" max="15691" width="3.7109375" style="125" customWidth="1"/>
    <col min="15692" max="15692" width="9.7109375" style="125" customWidth="1"/>
    <col min="15693" max="15694" width="3.7109375" style="125" customWidth="1"/>
    <col min="15695" max="15695" width="9.7109375" style="125" customWidth="1"/>
    <col min="15696" max="15697" width="3.7109375" style="125" customWidth="1"/>
    <col min="15698" max="15698" width="9.7109375" style="125" customWidth="1"/>
    <col min="15699" max="15700" width="3.7109375" style="125" customWidth="1"/>
    <col min="15701" max="15701" width="9.7109375" style="125" customWidth="1"/>
    <col min="15702" max="15703" width="3.7109375" style="125" customWidth="1"/>
    <col min="15704" max="15704" width="9.7109375" style="125" customWidth="1"/>
    <col min="15705" max="15706" width="3.7109375" style="125" customWidth="1"/>
    <col min="15707" max="15707" width="9.7109375" style="125" customWidth="1"/>
    <col min="15708" max="15709" width="3.7109375" style="125" customWidth="1"/>
    <col min="15710" max="15710" width="9.7109375" style="125" customWidth="1"/>
    <col min="15711" max="15712" width="3.7109375" style="125" customWidth="1"/>
    <col min="15713" max="15713" width="9.7109375" style="125" customWidth="1"/>
    <col min="15714" max="15715" width="3.7109375" style="125" customWidth="1"/>
    <col min="15716" max="15716" width="9.7109375" style="125" customWidth="1"/>
    <col min="15717" max="15718" width="3.7109375" style="125" customWidth="1"/>
    <col min="15719" max="15719" width="9.7109375" style="125" customWidth="1"/>
    <col min="15720" max="15721" width="3.7109375" style="125" customWidth="1"/>
    <col min="15722" max="15722" width="9.7109375" style="125" customWidth="1"/>
    <col min="15723" max="15724" width="3.7109375" style="125" customWidth="1"/>
    <col min="15725" max="15725" width="9.7109375" style="125" customWidth="1"/>
    <col min="15726" max="15727" width="3.7109375" style="125" customWidth="1"/>
    <col min="15728" max="15728" width="9.7109375" style="125" customWidth="1"/>
    <col min="15729" max="15730" width="3.7109375" style="125" customWidth="1"/>
    <col min="15731" max="15731" width="9.7109375" style="125" customWidth="1"/>
    <col min="15732" max="15733" width="3.7109375" style="125" customWidth="1"/>
    <col min="15734" max="15734" width="9.7109375" style="125" customWidth="1"/>
    <col min="15735" max="15736" width="3.7109375" style="125" customWidth="1"/>
    <col min="15737" max="15737" width="9.7109375" style="125" customWidth="1"/>
    <col min="15738" max="15739" width="3.7109375" style="125" customWidth="1"/>
    <col min="15740" max="15740" width="9.7109375" style="125" customWidth="1"/>
    <col min="15741" max="15742" width="3.7109375" style="125" customWidth="1"/>
    <col min="15743" max="15743" width="9.7109375" style="125" customWidth="1"/>
    <col min="15744" max="15745" width="3.7109375" style="125" customWidth="1"/>
    <col min="15746" max="15746" width="9.7109375" style="125" customWidth="1"/>
    <col min="15747" max="15748" width="3.7109375" style="125" customWidth="1"/>
    <col min="15749" max="15749" width="9.7109375" style="125" customWidth="1"/>
    <col min="15750" max="15751" width="3.7109375" style="125" customWidth="1"/>
    <col min="15752" max="15752" width="9.7109375" style="125" customWidth="1"/>
    <col min="15753" max="15754" width="3.7109375" style="125" customWidth="1"/>
    <col min="15755" max="15755" width="9.7109375" style="125" customWidth="1"/>
    <col min="15756" max="15757" width="3.7109375" style="125" customWidth="1"/>
    <col min="15758" max="15758" width="9.7109375" style="125" customWidth="1"/>
    <col min="15759" max="15760" width="3.7109375" style="125" customWidth="1"/>
    <col min="15761" max="15761" width="9.7109375" style="125" customWidth="1"/>
    <col min="15762" max="15763" width="3.7109375" style="125" customWidth="1"/>
    <col min="15764" max="15764" width="9.7109375" style="125" customWidth="1"/>
    <col min="15765" max="15766" width="3.7109375" style="125" customWidth="1"/>
    <col min="15767" max="15767" width="9.7109375" style="125" customWidth="1"/>
    <col min="15768" max="15769" width="3.7109375" style="125" customWidth="1"/>
    <col min="15770" max="15770" width="9.7109375" style="125" customWidth="1"/>
    <col min="15771" max="15772" width="3.7109375" style="125" customWidth="1"/>
    <col min="15773" max="15773" width="9.7109375" style="125" customWidth="1"/>
    <col min="15774" max="15775" width="3.7109375" style="125" customWidth="1"/>
    <col min="15776" max="15776" width="9.7109375" style="125" customWidth="1"/>
    <col min="15777" max="15778" width="3.7109375" style="125" customWidth="1"/>
    <col min="15779" max="15779" width="9.7109375" style="125" customWidth="1"/>
    <col min="15780" max="15781" width="3.7109375" style="125" customWidth="1"/>
    <col min="15782" max="15782" width="9.7109375" style="125" customWidth="1"/>
    <col min="15783" max="15784" width="3.7109375" style="125" customWidth="1"/>
    <col min="15785" max="15785" width="9.7109375" style="125" customWidth="1"/>
    <col min="15786" max="15787" width="3.7109375" style="125" customWidth="1"/>
    <col min="15788" max="15788" width="9.7109375" style="125" customWidth="1"/>
    <col min="15789" max="15790" width="3.7109375" style="125" customWidth="1"/>
    <col min="15791" max="15791" width="9.7109375" style="125" customWidth="1"/>
    <col min="15792" max="15793" width="3.7109375" style="125" customWidth="1"/>
    <col min="15794" max="15794" width="9.7109375" style="125" customWidth="1"/>
    <col min="15795" max="15796" width="3.7109375" style="125" customWidth="1"/>
    <col min="15797" max="15797" width="9.7109375" style="125" customWidth="1"/>
    <col min="15798" max="15799" width="3.7109375" style="125" customWidth="1"/>
    <col min="15800" max="15800" width="9.7109375" style="125" customWidth="1"/>
    <col min="15801" max="15802" width="3.7109375" style="125" customWidth="1"/>
    <col min="15803" max="15803" width="9.7109375" style="125" customWidth="1"/>
    <col min="15804" max="15805" width="3.7109375" style="125" customWidth="1"/>
    <col min="15806" max="15806" width="9.7109375" style="125" customWidth="1"/>
    <col min="15807" max="15808" width="3.7109375" style="125" customWidth="1"/>
    <col min="15809" max="15809" width="9.7109375" style="125" customWidth="1"/>
    <col min="15810" max="15811" width="3.7109375" style="125" customWidth="1"/>
    <col min="15812" max="15812" width="9.7109375" style="125" customWidth="1"/>
    <col min="15813" max="15814" width="3.7109375" style="125" customWidth="1"/>
    <col min="15815" max="15815" width="9.7109375" style="125" customWidth="1"/>
    <col min="15816" max="15817" width="3.7109375" style="125" customWidth="1"/>
    <col min="15818" max="15818" width="9.7109375" style="125" customWidth="1"/>
    <col min="15819" max="15820" width="3.7109375" style="125" customWidth="1"/>
    <col min="15821" max="15821" width="9.7109375" style="125" customWidth="1"/>
    <col min="15822" max="15823" width="3.7109375" style="125" customWidth="1"/>
    <col min="15824" max="15824" width="9.7109375" style="125" customWidth="1"/>
    <col min="15825" max="15826" width="3.7109375" style="125" customWidth="1"/>
    <col min="15827" max="15827" width="9.7109375" style="125" customWidth="1"/>
    <col min="15828" max="15829" width="3.7109375" style="125" customWidth="1"/>
    <col min="15830" max="15830" width="9.7109375" style="125" customWidth="1"/>
    <col min="15831" max="15832" width="3.7109375" style="125" customWidth="1"/>
    <col min="15833" max="15833" width="9.7109375" style="125" customWidth="1"/>
    <col min="15834" max="15834" width="3.7109375" style="125" customWidth="1"/>
    <col min="15835" max="15872" width="8" style="125"/>
    <col min="15873" max="15873" width="30.7109375" style="125" customWidth="1"/>
    <col min="15874" max="15874" width="9.7109375" style="125" customWidth="1"/>
    <col min="15875" max="15875" width="3.7109375" style="125" customWidth="1"/>
    <col min="15876" max="15876" width="9.7109375" style="125" customWidth="1"/>
    <col min="15877" max="15878" width="3.7109375" style="125" customWidth="1"/>
    <col min="15879" max="15879" width="9.7109375" style="125" customWidth="1"/>
    <col min="15880" max="15881" width="3.7109375" style="125" customWidth="1"/>
    <col min="15882" max="15882" width="9.7109375" style="125" customWidth="1"/>
    <col min="15883" max="15884" width="3.7109375" style="125" customWidth="1"/>
    <col min="15885" max="15885" width="9.7109375" style="125" customWidth="1"/>
    <col min="15886" max="15887" width="3.7109375" style="125" customWidth="1"/>
    <col min="15888" max="15888" width="9.7109375" style="125" customWidth="1"/>
    <col min="15889" max="15890" width="3.7109375" style="125" customWidth="1"/>
    <col min="15891" max="15891" width="9.7109375" style="125" customWidth="1"/>
    <col min="15892" max="15893" width="3.7109375" style="125" customWidth="1"/>
    <col min="15894" max="15894" width="9.7109375" style="125" customWidth="1"/>
    <col min="15895" max="15896" width="3.7109375" style="125" customWidth="1"/>
    <col min="15897" max="15897" width="9.7109375" style="125" customWidth="1"/>
    <col min="15898" max="15899" width="3.7109375" style="125" customWidth="1"/>
    <col min="15900" max="15900" width="9.7109375" style="125" customWidth="1"/>
    <col min="15901" max="15902" width="3.7109375" style="125" customWidth="1"/>
    <col min="15903" max="15903" width="9.7109375" style="125" customWidth="1"/>
    <col min="15904" max="15905" width="3.7109375" style="125" customWidth="1"/>
    <col min="15906" max="15906" width="9.7109375" style="125" customWidth="1"/>
    <col min="15907" max="15908" width="3.7109375" style="125" customWidth="1"/>
    <col min="15909" max="15909" width="9.7109375" style="125" customWidth="1"/>
    <col min="15910" max="15911" width="3.7109375" style="125" customWidth="1"/>
    <col min="15912" max="15912" width="9.7109375" style="125" customWidth="1"/>
    <col min="15913" max="15914" width="3.7109375" style="125" customWidth="1"/>
    <col min="15915" max="15915" width="9.7109375" style="125" customWidth="1"/>
    <col min="15916" max="15917" width="3.7109375" style="125" customWidth="1"/>
    <col min="15918" max="15918" width="9.7109375" style="125" customWidth="1"/>
    <col min="15919" max="15920" width="3.7109375" style="125" customWidth="1"/>
    <col min="15921" max="15921" width="9.7109375" style="125" customWidth="1"/>
    <col min="15922" max="15923" width="3.7109375" style="125" customWidth="1"/>
    <col min="15924" max="15924" width="9.7109375" style="125" customWidth="1"/>
    <col min="15925" max="15926" width="3.7109375" style="125" customWidth="1"/>
    <col min="15927" max="15927" width="9.7109375" style="125" customWidth="1"/>
    <col min="15928" max="15929" width="3.7109375" style="125" customWidth="1"/>
    <col min="15930" max="15930" width="9.7109375" style="125" customWidth="1"/>
    <col min="15931" max="15932" width="3.7109375" style="125" customWidth="1"/>
    <col min="15933" max="15933" width="9.7109375" style="125" customWidth="1"/>
    <col min="15934" max="15935" width="3.7109375" style="125" customWidth="1"/>
    <col min="15936" max="15936" width="9.7109375" style="125" customWidth="1"/>
    <col min="15937" max="15938" width="3.7109375" style="125" customWidth="1"/>
    <col min="15939" max="15939" width="9.7109375" style="125" customWidth="1"/>
    <col min="15940" max="15941" width="3.7109375" style="125" customWidth="1"/>
    <col min="15942" max="15942" width="9.7109375" style="125" customWidth="1"/>
    <col min="15943" max="15944" width="3.7109375" style="125" customWidth="1"/>
    <col min="15945" max="15945" width="9.7109375" style="125" customWidth="1"/>
    <col min="15946" max="15947" width="3.7109375" style="125" customWidth="1"/>
    <col min="15948" max="15948" width="9.7109375" style="125" customWidth="1"/>
    <col min="15949" max="15950" width="3.7109375" style="125" customWidth="1"/>
    <col min="15951" max="15951" width="9.7109375" style="125" customWidth="1"/>
    <col min="15952" max="15953" width="3.7109375" style="125" customWidth="1"/>
    <col min="15954" max="15954" width="9.7109375" style="125" customWidth="1"/>
    <col min="15955" max="15956" width="3.7109375" style="125" customWidth="1"/>
    <col min="15957" max="15957" width="9.7109375" style="125" customWidth="1"/>
    <col min="15958" max="15959" width="3.7109375" style="125" customWidth="1"/>
    <col min="15960" max="15960" width="9.7109375" style="125" customWidth="1"/>
    <col min="15961" max="15962" width="3.7109375" style="125" customWidth="1"/>
    <col min="15963" max="15963" width="9.7109375" style="125" customWidth="1"/>
    <col min="15964" max="15965" width="3.7109375" style="125" customWidth="1"/>
    <col min="15966" max="15966" width="9.7109375" style="125" customWidth="1"/>
    <col min="15967" max="15968" width="3.7109375" style="125" customWidth="1"/>
    <col min="15969" max="15969" width="9.7109375" style="125" customWidth="1"/>
    <col min="15970" max="15971" width="3.7109375" style="125" customWidth="1"/>
    <col min="15972" max="15972" width="9.7109375" style="125" customWidth="1"/>
    <col min="15973" max="15974" width="3.7109375" style="125" customWidth="1"/>
    <col min="15975" max="15975" width="9.7109375" style="125" customWidth="1"/>
    <col min="15976" max="15977" width="3.7109375" style="125" customWidth="1"/>
    <col min="15978" max="15978" width="9.7109375" style="125" customWidth="1"/>
    <col min="15979" max="15980" width="3.7109375" style="125" customWidth="1"/>
    <col min="15981" max="15981" width="9.7109375" style="125" customWidth="1"/>
    <col min="15982" max="15983" width="3.7109375" style="125" customWidth="1"/>
    <col min="15984" max="15984" width="9.7109375" style="125" customWidth="1"/>
    <col min="15985" max="15986" width="3.7109375" style="125" customWidth="1"/>
    <col min="15987" max="15987" width="9.7109375" style="125" customWidth="1"/>
    <col min="15988" max="15989" width="3.7109375" style="125" customWidth="1"/>
    <col min="15990" max="15990" width="9.7109375" style="125" customWidth="1"/>
    <col min="15991" max="15992" width="3.7109375" style="125" customWidth="1"/>
    <col min="15993" max="15993" width="9.7109375" style="125" customWidth="1"/>
    <col min="15994" max="15995" width="3.7109375" style="125" customWidth="1"/>
    <col min="15996" max="15996" width="9.7109375" style="125" customWidth="1"/>
    <col min="15997" max="15998" width="3.7109375" style="125" customWidth="1"/>
    <col min="15999" max="15999" width="9.7109375" style="125" customWidth="1"/>
    <col min="16000" max="16001" width="3.7109375" style="125" customWidth="1"/>
    <col min="16002" max="16002" width="9.7109375" style="125" customWidth="1"/>
    <col min="16003" max="16004" width="3.7109375" style="125" customWidth="1"/>
    <col min="16005" max="16005" width="9.7109375" style="125" customWidth="1"/>
    <col min="16006" max="16007" width="3.7109375" style="125" customWidth="1"/>
    <col min="16008" max="16008" width="9.7109375" style="125" customWidth="1"/>
    <col min="16009" max="16010" width="3.7109375" style="125" customWidth="1"/>
    <col min="16011" max="16011" width="9.7109375" style="125" customWidth="1"/>
    <col min="16012" max="16013" width="3.7109375" style="125" customWidth="1"/>
    <col min="16014" max="16014" width="9.7109375" style="125" customWidth="1"/>
    <col min="16015" max="16016" width="3.7109375" style="125" customWidth="1"/>
    <col min="16017" max="16017" width="9.7109375" style="125" customWidth="1"/>
    <col min="16018" max="16019" width="3.7109375" style="125" customWidth="1"/>
    <col min="16020" max="16020" width="9.7109375" style="125" customWidth="1"/>
    <col min="16021" max="16022" width="3.7109375" style="125" customWidth="1"/>
    <col min="16023" max="16023" width="9.7109375" style="125" customWidth="1"/>
    <col min="16024" max="16025" width="3.7109375" style="125" customWidth="1"/>
    <col min="16026" max="16026" width="9.7109375" style="125" customWidth="1"/>
    <col min="16027" max="16028" width="3.7109375" style="125" customWidth="1"/>
    <col min="16029" max="16029" width="9.7109375" style="125" customWidth="1"/>
    <col min="16030" max="16031" width="3.7109375" style="125" customWidth="1"/>
    <col min="16032" max="16032" width="9.7109375" style="125" customWidth="1"/>
    <col min="16033" max="16034" width="3.7109375" style="125" customWidth="1"/>
    <col min="16035" max="16035" width="9.7109375" style="125" customWidth="1"/>
    <col min="16036" max="16037" width="3.7109375" style="125" customWidth="1"/>
    <col min="16038" max="16038" width="9.7109375" style="125" customWidth="1"/>
    <col min="16039" max="16040" width="3.7109375" style="125" customWidth="1"/>
    <col min="16041" max="16041" width="9.7109375" style="125" customWidth="1"/>
    <col min="16042" max="16043" width="3.7109375" style="125" customWidth="1"/>
    <col min="16044" max="16044" width="9.7109375" style="125" customWidth="1"/>
    <col min="16045" max="16046" width="3.7109375" style="125" customWidth="1"/>
    <col min="16047" max="16047" width="9.7109375" style="125" customWidth="1"/>
    <col min="16048" max="16049" width="3.7109375" style="125" customWidth="1"/>
    <col min="16050" max="16050" width="9.7109375" style="125" customWidth="1"/>
    <col min="16051" max="16052" width="3.7109375" style="125" customWidth="1"/>
    <col min="16053" max="16053" width="9.7109375" style="125" customWidth="1"/>
    <col min="16054" max="16055" width="3.7109375" style="125" customWidth="1"/>
    <col min="16056" max="16056" width="9.7109375" style="125" customWidth="1"/>
    <col min="16057" max="16058" width="3.7109375" style="125" customWidth="1"/>
    <col min="16059" max="16059" width="9.7109375" style="125" customWidth="1"/>
    <col min="16060" max="16061" width="3.7109375" style="125" customWidth="1"/>
    <col min="16062" max="16062" width="9.7109375" style="125" customWidth="1"/>
    <col min="16063" max="16064" width="3.7109375" style="125" customWidth="1"/>
    <col min="16065" max="16065" width="9.7109375" style="125" customWidth="1"/>
    <col min="16066" max="16067" width="3.7109375" style="125" customWidth="1"/>
    <col min="16068" max="16068" width="9.7109375" style="125" customWidth="1"/>
    <col min="16069" max="16070" width="3.7109375" style="125" customWidth="1"/>
    <col min="16071" max="16071" width="9.7109375" style="125" customWidth="1"/>
    <col min="16072" max="16073" width="3.7109375" style="125" customWidth="1"/>
    <col min="16074" max="16074" width="9.7109375" style="125" customWidth="1"/>
    <col min="16075" max="16076" width="3.7109375" style="125" customWidth="1"/>
    <col min="16077" max="16077" width="9.7109375" style="125" customWidth="1"/>
    <col min="16078" max="16079" width="3.7109375" style="125" customWidth="1"/>
    <col min="16080" max="16080" width="9.7109375" style="125" customWidth="1"/>
    <col min="16081" max="16082" width="3.7109375" style="125" customWidth="1"/>
    <col min="16083" max="16083" width="9.7109375" style="125" customWidth="1"/>
    <col min="16084" max="16085" width="3.7109375" style="125" customWidth="1"/>
    <col min="16086" max="16086" width="9.7109375" style="125" customWidth="1"/>
    <col min="16087" max="16088" width="3.7109375" style="125" customWidth="1"/>
    <col min="16089" max="16089" width="9.7109375" style="125" customWidth="1"/>
    <col min="16090" max="16090" width="3.7109375" style="125" customWidth="1"/>
    <col min="16091" max="16128" width="8" style="125"/>
    <col min="16129" max="16129" width="30.7109375" style="125" customWidth="1"/>
    <col min="16130" max="16130" width="9.7109375" style="125" customWidth="1"/>
    <col min="16131" max="16131" width="3.7109375" style="125" customWidth="1"/>
    <col min="16132" max="16132" width="9.7109375" style="125" customWidth="1"/>
    <col min="16133" max="16134" width="3.7109375" style="125" customWidth="1"/>
    <col min="16135" max="16135" width="9.7109375" style="125" customWidth="1"/>
    <col min="16136" max="16137" width="3.7109375" style="125" customWidth="1"/>
    <col min="16138" max="16138" width="9.7109375" style="125" customWidth="1"/>
    <col min="16139" max="16140" width="3.7109375" style="125" customWidth="1"/>
    <col min="16141" max="16141" width="9.7109375" style="125" customWidth="1"/>
    <col min="16142" max="16143" width="3.7109375" style="125" customWidth="1"/>
    <col min="16144" max="16144" width="9.7109375" style="125" customWidth="1"/>
    <col min="16145" max="16146" width="3.7109375" style="125" customWidth="1"/>
    <col min="16147" max="16147" width="9.7109375" style="125" customWidth="1"/>
    <col min="16148" max="16149" width="3.7109375" style="125" customWidth="1"/>
    <col min="16150" max="16150" width="9.7109375" style="125" customWidth="1"/>
    <col min="16151" max="16152" width="3.7109375" style="125" customWidth="1"/>
    <col min="16153" max="16153" width="9.7109375" style="125" customWidth="1"/>
    <col min="16154" max="16155" width="3.7109375" style="125" customWidth="1"/>
    <col min="16156" max="16156" width="9.7109375" style="125" customWidth="1"/>
    <col min="16157" max="16158" width="3.7109375" style="125" customWidth="1"/>
    <col min="16159" max="16159" width="9.7109375" style="125" customWidth="1"/>
    <col min="16160" max="16161" width="3.7109375" style="125" customWidth="1"/>
    <col min="16162" max="16162" width="9.7109375" style="125" customWidth="1"/>
    <col min="16163" max="16164" width="3.7109375" style="125" customWidth="1"/>
    <col min="16165" max="16165" width="9.7109375" style="125" customWidth="1"/>
    <col min="16166" max="16167" width="3.7109375" style="125" customWidth="1"/>
    <col min="16168" max="16168" width="9.7109375" style="125" customWidth="1"/>
    <col min="16169" max="16170" width="3.7109375" style="125" customWidth="1"/>
    <col min="16171" max="16171" width="9.7109375" style="125" customWidth="1"/>
    <col min="16172" max="16173" width="3.7109375" style="125" customWidth="1"/>
    <col min="16174" max="16174" width="9.7109375" style="125" customWidth="1"/>
    <col min="16175" max="16176" width="3.7109375" style="125" customWidth="1"/>
    <col min="16177" max="16177" width="9.7109375" style="125" customWidth="1"/>
    <col min="16178" max="16179" width="3.7109375" style="125" customWidth="1"/>
    <col min="16180" max="16180" width="9.7109375" style="125" customWidth="1"/>
    <col min="16181" max="16182" width="3.7109375" style="125" customWidth="1"/>
    <col min="16183" max="16183" width="9.7109375" style="125" customWidth="1"/>
    <col min="16184" max="16185" width="3.7109375" style="125" customWidth="1"/>
    <col min="16186" max="16186" width="9.7109375" style="125" customWidth="1"/>
    <col min="16187" max="16188" width="3.7109375" style="125" customWidth="1"/>
    <col min="16189" max="16189" width="9.7109375" style="125" customWidth="1"/>
    <col min="16190" max="16191" width="3.7109375" style="125" customWidth="1"/>
    <col min="16192" max="16192" width="9.7109375" style="125" customWidth="1"/>
    <col min="16193" max="16194" width="3.7109375" style="125" customWidth="1"/>
    <col min="16195" max="16195" width="9.7109375" style="125" customWidth="1"/>
    <col min="16196" max="16197" width="3.7109375" style="125" customWidth="1"/>
    <col min="16198" max="16198" width="9.7109375" style="125" customWidth="1"/>
    <col min="16199" max="16200" width="3.7109375" style="125" customWidth="1"/>
    <col min="16201" max="16201" width="9.7109375" style="125" customWidth="1"/>
    <col min="16202" max="16203" width="3.7109375" style="125" customWidth="1"/>
    <col min="16204" max="16204" width="9.7109375" style="125" customWidth="1"/>
    <col min="16205" max="16206" width="3.7109375" style="125" customWidth="1"/>
    <col min="16207" max="16207" width="9.7109375" style="125" customWidth="1"/>
    <col min="16208" max="16209" width="3.7109375" style="125" customWidth="1"/>
    <col min="16210" max="16210" width="9.7109375" style="125" customWidth="1"/>
    <col min="16211" max="16212" width="3.7109375" style="125" customWidth="1"/>
    <col min="16213" max="16213" width="9.7109375" style="125" customWidth="1"/>
    <col min="16214" max="16215" width="3.7109375" style="125" customWidth="1"/>
    <col min="16216" max="16216" width="9.7109375" style="125" customWidth="1"/>
    <col min="16217" max="16218" width="3.7109375" style="125" customWidth="1"/>
    <col min="16219" max="16219" width="9.7109375" style="125" customWidth="1"/>
    <col min="16220" max="16221" width="3.7109375" style="125" customWidth="1"/>
    <col min="16222" max="16222" width="9.7109375" style="125" customWidth="1"/>
    <col min="16223" max="16224" width="3.7109375" style="125" customWidth="1"/>
    <col min="16225" max="16225" width="9.7109375" style="125" customWidth="1"/>
    <col min="16226" max="16227" width="3.7109375" style="125" customWidth="1"/>
    <col min="16228" max="16228" width="9.7109375" style="125" customWidth="1"/>
    <col min="16229" max="16230" width="3.7109375" style="125" customWidth="1"/>
    <col min="16231" max="16231" width="9.7109375" style="125" customWidth="1"/>
    <col min="16232" max="16233" width="3.7109375" style="125" customWidth="1"/>
    <col min="16234" max="16234" width="9.7109375" style="125" customWidth="1"/>
    <col min="16235" max="16236" width="3.7109375" style="125" customWidth="1"/>
    <col min="16237" max="16237" width="9.7109375" style="125" customWidth="1"/>
    <col min="16238" max="16239" width="3.7109375" style="125" customWidth="1"/>
    <col min="16240" max="16240" width="9.7109375" style="125" customWidth="1"/>
    <col min="16241" max="16242" width="3.7109375" style="125" customWidth="1"/>
    <col min="16243" max="16243" width="9.7109375" style="125" customWidth="1"/>
    <col min="16244" max="16245" width="3.7109375" style="125" customWidth="1"/>
    <col min="16246" max="16246" width="9.7109375" style="125" customWidth="1"/>
    <col min="16247" max="16248" width="3.7109375" style="125" customWidth="1"/>
    <col min="16249" max="16249" width="9.7109375" style="125" customWidth="1"/>
    <col min="16250" max="16251" width="3.7109375" style="125" customWidth="1"/>
    <col min="16252" max="16252" width="9.7109375" style="125" customWidth="1"/>
    <col min="16253" max="16254" width="3.7109375" style="125" customWidth="1"/>
    <col min="16255" max="16255" width="9.7109375" style="125" customWidth="1"/>
    <col min="16256" max="16257" width="3.7109375" style="125" customWidth="1"/>
    <col min="16258" max="16258" width="9.7109375" style="125" customWidth="1"/>
    <col min="16259" max="16260" width="3.7109375" style="125" customWidth="1"/>
    <col min="16261" max="16261" width="9.7109375" style="125" customWidth="1"/>
    <col min="16262" max="16263" width="3.7109375" style="125" customWidth="1"/>
    <col min="16264" max="16264" width="9.7109375" style="125" customWidth="1"/>
    <col min="16265" max="16266" width="3.7109375" style="125" customWidth="1"/>
    <col min="16267" max="16267" width="9.7109375" style="125" customWidth="1"/>
    <col min="16268" max="16269" width="3.7109375" style="125" customWidth="1"/>
    <col min="16270" max="16270" width="9.7109375" style="125" customWidth="1"/>
    <col min="16271" max="16272" width="3.7109375" style="125" customWidth="1"/>
    <col min="16273" max="16273" width="9.7109375" style="125" customWidth="1"/>
    <col min="16274" max="16275" width="3.7109375" style="125" customWidth="1"/>
    <col min="16276" max="16276" width="9.7109375" style="125" customWidth="1"/>
    <col min="16277" max="16278" width="3.7109375" style="125" customWidth="1"/>
    <col min="16279" max="16279" width="9.7109375" style="125" customWidth="1"/>
    <col min="16280" max="16281" width="3.7109375" style="125" customWidth="1"/>
    <col min="16282" max="16282" width="9.7109375" style="125" customWidth="1"/>
    <col min="16283" max="16284" width="3.7109375" style="125" customWidth="1"/>
    <col min="16285" max="16285" width="9.7109375" style="125" customWidth="1"/>
    <col min="16286" max="16287" width="3.7109375" style="125" customWidth="1"/>
    <col min="16288" max="16288" width="9.7109375" style="125" customWidth="1"/>
    <col min="16289" max="16290" width="3.7109375" style="125" customWidth="1"/>
    <col min="16291" max="16291" width="9.7109375" style="125" customWidth="1"/>
    <col min="16292" max="16293" width="3.7109375" style="125" customWidth="1"/>
    <col min="16294" max="16294" width="9.7109375" style="125" customWidth="1"/>
    <col min="16295" max="16296" width="3.7109375" style="125" customWidth="1"/>
    <col min="16297" max="16297" width="9.7109375" style="125" customWidth="1"/>
    <col min="16298" max="16299" width="3.7109375" style="125" customWidth="1"/>
    <col min="16300" max="16300" width="9.7109375" style="125" customWidth="1"/>
    <col min="16301" max="16302" width="3.7109375" style="125" customWidth="1"/>
    <col min="16303" max="16303" width="9.7109375" style="125" customWidth="1"/>
    <col min="16304" max="16305" width="3.7109375" style="125" customWidth="1"/>
    <col min="16306" max="16306" width="9.7109375" style="125" customWidth="1"/>
    <col min="16307" max="16308" width="3.7109375" style="125" customWidth="1"/>
    <col min="16309" max="16309" width="9.7109375" style="125" customWidth="1"/>
    <col min="16310" max="16311" width="3.7109375" style="125" customWidth="1"/>
    <col min="16312" max="16312" width="9.7109375" style="125" customWidth="1"/>
    <col min="16313" max="16314" width="3.7109375" style="125" customWidth="1"/>
    <col min="16315" max="16315" width="9.7109375" style="125" customWidth="1"/>
    <col min="16316" max="16317" width="3.7109375" style="125" customWidth="1"/>
    <col min="16318" max="16318" width="9.7109375" style="125" customWidth="1"/>
    <col min="16319" max="16320" width="3.7109375" style="125" customWidth="1"/>
    <col min="16321" max="16321" width="9.7109375" style="125" customWidth="1"/>
    <col min="16322" max="16323" width="3.7109375" style="125" customWidth="1"/>
    <col min="16324" max="16324" width="9.7109375" style="125" customWidth="1"/>
    <col min="16325" max="16326" width="3.7109375" style="125" customWidth="1"/>
    <col min="16327" max="16327" width="9.7109375" style="125" customWidth="1"/>
    <col min="16328" max="16329" width="3.7109375" style="125" customWidth="1"/>
    <col min="16330" max="16330" width="9.7109375" style="125" customWidth="1"/>
    <col min="16331" max="16332" width="3.7109375" style="125" customWidth="1"/>
    <col min="16333" max="16333" width="9.7109375" style="125" customWidth="1"/>
    <col min="16334" max="16335" width="3.7109375" style="125" customWidth="1"/>
    <col min="16336" max="16336" width="9.7109375" style="125" customWidth="1"/>
    <col min="16337" max="16338" width="3.7109375" style="125" customWidth="1"/>
    <col min="16339" max="16339" width="9.7109375" style="125" customWidth="1"/>
    <col min="16340" max="16341" width="3.7109375" style="125" customWidth="1"/>
    <col min="16342" max="16342" width="9.7109375" style="125" customWidth="1"/>
    <col min="16343" max="16344" width="3.7109375" style="125" customWidth="1"/>
    <col min="16345" max="16345" width="9.7109375" style="125" customWidth="1"/>
    <col min="16346" max="16346" width="3.7109375" style="125" customWidth="1"/>
    <col min="16347" max="16384" width="8" style="125"/>
  </cols>
  <sheetData>
    <row r="3" spans="1:107">
      <c r="A3" s="8" t="s">
        <v>0</v>
      </c>
      <c r="B3" s="124" t="s">
        <v>58</v>
      </c>
    </row>
    <row r="4" spans="1:107">
      <c r="A4" s="8" t="s">
        <v>2</v>
      </c>
      <c r="B4" s="124" t="s">
        <v>59</v>
      </c>
    </row>
    <row r="5" spans="1:107">
      <c r="A5" s="8" t="s">
        <v>4</v>
      </c>
      <c r="B5" s="126" t="s">
        <v>243</v>
      </c>
    </row>
    <row r="6" spans="1:107">
      <c r="A6" s="8" t="s">
        <v>6</v>
      </c>
      <c r="B6" s="7" t="s">
        <v>7</v>
      </c>
    </row>
    <row r="7" spans="1:107">
      <c r="A7" s="8" t="s">
        <v>8</v>
      </c>
      <c r="B7" s="127" t="s">
        <v>9</v>
      </c>
    </row>
    <row r="8" spans="1:107">
      <c r="AP8" s="128"/>
      <c r="AQ8" s="128"/>
      <c r="AR8" s="128"/>
      <c r="AS8" s="128"/>
      <c r="AT8" s="128"/>
      <c r="AU8" s="128"/>
    </row>
    <row r="9" spans="1:107" ht="12.75" customHeight="1">
      <c r="A9" s="129"/>
      <c r="B9" s="130" t="s">
        <v>60</v>
      </c>
      <c r="C9" s="220" t="s">
        <v>244</v>
      </c>
      <c r="D9" s="221"/>
      <c r="E9" s="221"/>
      <c r="F9" s="220" t="s">
        <v>245</v>
      </c>
      <c r="G9" s="221"/>
      <c r="H9" s="221"/>
      <c r="I9" s="220" t="s">
        <v>246</v>
      </c>
      <c r="J9" s="221"/>
      <c r="K9" s="221"/>
      <c r="L9" s="220" t="s">
        <v>247</v>
      </c>
      <c r="M9" s="221"/>
      <c r="N9" s="221"/>
      <c r="O9" s="220" t="s">
        <v>248</v>
      </c>
      <c r="P9" s="221"/>
      <c r="Q9" s="221"/>
      <c r="R9" s="220" t="s">
        <v>249</v>
      </c>
      <c r="S9" s="221"/>
      <c r="T9" s="221"/>
      <c r="U9" s="220" t="s">
        <v>250</v>
      </c>
      <c r="V9" s="221"/>
      <c r="W9" s="221"/>
      <c r="X9" s="220" t="s">
        <v>251</v>
      </c>
      <c r="Y9" s="221"/>
      <c r="Z9" s="221"/>
      <c r="AA9" s="220" t="s">
        <v>252</v>
      </c>
      <c r="AB9" s="221"/>
      <c r="AC9" s="221"/>
      <c r="AD9" s="220" t="s">
        <v>253</v>
      </c>
      <c r="AE9" s="221"/>
      <c r="AF9" s="221"/>
      <c r="AG9" s="220" t="s">
        <v>254</v>
      </c>
      <c r="AH9" s="221"/>
      <c r="AI9" s="221"/>
      <c r="AJ9" s="220" t="s">
        <v>255</v>
      </c>
      <c r="AK9" s="221"/>
      <c r="AL9" s="221"/>
      <c r="AM9" s="220" t="s">
        <v>256</v>
      </c>
      <c r="AN9" s="221"/>
      <c r="AO9" s="221"/>
      <c r="AP9" s="220" t="s">
        <v>257</v>
      </c>
      <c r="AQ9" s="221"/>
      <c r="AR9" s="221"/>
      <c r="AS9" s="220" t="s">
        <v>258</v>
      </c>
      <c r="AT9" s="221"/>
      <c r="AU9" s="221"/>
      <c r="AV9" s="220" t="s">
        <v>259</v>
      </c>
      <c r="AW9" s="221"/>
      <c r="AX9" s="221"/>
      <c r="AY9" s="220" t="s">
        <v>260</v>
      </c>
      <c r="AZ9" s="221"/>
      <c r="BA9" s="221"/>
      <c r="BB9" s="220" t="s">
        <v>261</v>
      </c>
      <c r="BC9" s="221"/>
      <c r="BD9" s="221"/>
      <c r="BE9" s="220" t="s">
        <v>262</v>
      </c>
      <c r="BF9" s="221"/>
      <c r="BG9" s="221"/>
      <c r="BH9" s="220" t="s">
        <v>263</v>
      </c>
      <c r="BI9" s="221"/>
      <c r="BJ9" s="221"/>
      <c r="BK9" s="220" t="s">
        <v>264</v>
      </c>
      <c r="BL9" s="221"/>
      <c r="BM9" s="221"/>
      <c r="BN9" s="220" t="s">
        <v>265</v>
      </c>
      <c r="BO9" s="221"/>
      <c r="BP9" s="221"/>
      <c r="BQ9" s="220" t="s">
        <v>266</v>
      </c>
      <c r="BR9" s="221"/>
      <c r="BS9" s="221"/>
      <c r="BT9" s="220" t="s">
        <v>267</v>
      </c>
      <c r="BU9" s="221"/>
      <c r="BV9" s="221"/>
      <c r="BW9" s="220" t="s">
        <v>268</v>
      </c>
      <c r="BX9" s="221"/>
      <c r="BY9" s="221"/>
      <c r="BZ9" s="220" t="s">
        <v>269</v>
      </c>
      <c r="CA9" s="221"/>
      <c r="CB9" s="221"/>
      <c r="CC9" s="220" t="s">
        <v>270</v>
      </c>
      <c r="CD9" s="221"/>
      <c r="CE9" s="221"/>
      <c r="CF9" s="220" t="s">
        <v>271</v>
      </c>
      <c r="CG9" s="221"/>
      <c r="CH9" s="221"/>
      <c r="CI9" s="220" t="s">
        <v>272</v>
      </c>
      <c r="CJ9" s="221"/>
      <c r="CK9" s="221"/>
      <c r="CL9" s="220" t="s">
        <v>273</v>
      </c>
      <c r="CM9" s="221"/>
      <c r="CN9" s="221"/>
      <c r="CO9" s="220" t="s">
        <v>274</v>
      </c>
      <c r="CP9" s="221"/>
      <c r="CQ9" s="221"/>
      <c r="CR9" s="220" t="s">
        <v>275</v>
      </c>
      <c r="CS9" s="221"/>
      <c r="CT9" s="221"/>
      <c r="CU9" s="220" t="s">
        <v>276</v>
      </c>
      <c r="CV9" s="221"/>
      <c r="CW9" s="221"/>
      <c r="CX9" s="220" t="s">
        <v>277</v>
      </c>
      <c r="CY9" s="221"/>
      <c r="CZ9" s="221"/>
      <c r="DA9" s="220" t="s">
        <v>277</v>
      </c>
      <c r="DB9" s="221"/>
      <c r="DC9" s="221"/>
    </row>
    <row r="10" spans="1:107" ht="12.75" customHeight="1">
      <c r="A10" s="131"/>
      <c r="B10" s="132" t="s">
        <v>115</v>
      </c>
      <c r="C10" s="215" t="s">
        <v>278</v>
      </c>
      <c r="D10" s="216"/>
      <c r="E10" s="216"/>
      <c r="F10" s="215" t="s">
        <v>278</v>
      </c>
      <c r="G10" s="216"/>
      <c r="H10" s="216"/>
      <c r="I10" s="215" t="s">
        <v>278</v>
      </c>
      <c r="J10" s="216"/>
      <c r="K10" s="216"/>
      <c r="L10" s="215" t="s">
        <v>278</v>
      </c>
      <c r="M10" s="216"/>
      <c r="N10" s="216"/>
      <c r="O10" s="215" t="s">
        <v>278</v>
      </c>
      <c r="P10" s="216"/>
      <c r="Q10" s="216"/>
      <c r="R10" s="215" t="s">
        <v>279</v>
      </c>
      <c r="S10" s="216"/>
      <c r="T10" s="216"/>
      <c r="U10" s="215" t="s">
        <v>279</v>
      </c>
      <c r="V10" s="216"/>
      <c r="W10" s="216"/>
      <c r="X10" s="215" t="s">
        <v>279</v>
      </c>
      <c r="Y10" s="216"/>
      <c r="Z10" s="216"/>
      <c r="AA10" s="215" t="s">
        <v>279</v>
      </c>
      <c r="AB10" s="216"/>
      <c r="AC10" s="216"/>
      <c r="AD10" s="215" t="s">
        <v>279</v>
      </c>
      <c r="AE10" s="216"/>
      <c r="AF10" s="216"/>
      <c r="AG10" s="215" t="s">
        <v>279</v>
      </c>
      <c r="AH10" s="216"/>
      <c r="AI10" s="216"/>
      <c r="AJ10" s="215" t="s">
        <v>279</v>
      </c>
      <c r="AK10" s="216"/>
      <c r="AL10" s="216"/>
      <c r="AM10" s="215" t="s">
        <v>279</v>
      </c>
      <c r="AN10" s="216"/>
      <c r="AO10" s="216"/>
      <c r="AP10" s="215" t="s">
        <v>279</v>
      </c>
      <c r="AQ10" s="216"/>
      <c r="AR10" s="216"/>
      <c r="AS10" s="215" t="s">
        <v>279</v>
      </c>
      <c r="AT10" s="216"/>
      <c r="AU10" s="216"/>
      <c r="AV10" s="215" t="s">
        <v>279</v>
      </c>
      <c r="AW10" s="216"/>
      <c r="AX10" s="216"/>
      <c r="AY10" s="215" t="s">
        <v>279</v>
      </c>
      <c r="AZ10" s="216"/>
      <c r="BA10" s="216"/>
      <c r="BB10" s="215" t="s">
        <v>279</v>
      </c>
      <c r="BC10" s="216"/>
      <c r="BD10" s="216"/>
      <c r="BE10" s="215" t="s">
        <v>279</v>
      </c>
      <c r="BF10" s="216"/>
      <c r="BG10" s="216"/>
      <c r="BH10" s="215" t="s">
        <v>279</v>
      </c>
      <c r="BI10" s="216"/>
      <c r="BJ10" s="216"/>
      <c r="BK10" s="215" t="s">
        <v>280</v>
      </c>
      <c r="BL10" s="216"/>
      <c r="BM10" s="216"/>
      <c r="BN10" s="215" t="s">
        <v>280</v>
      </c>
      <c r="BO10" s="216"/>
      <c r="BP10" s="216"/>
      <c r="BQ10" s="215" t="s">
        <v>280</v>
      </c>
      <c r="BR10" s="216"/>
      <c r="BS10" s="216"/>
      <c r="BT10" s="215" t="s">
        <v>280</v>
      </c>
      <c r="BU10" s="216"/>
      <c r="BV10" s="216"/>
      <c r="BW10" s="215" t="s">
        <v>280</v>
      </c>
      <c r="BX10" s="216"/>
      <c r="BY10" s="216"/>
      <c r="BZ10" s="215" t="s">
        <v>280</v>
      </c>
      <c r="CA10" s="216"/>
      <c r="CB10" s="216"/>
      <c r="CC10" s="215" t="s">
        <v>280</v>
      </c>
      <c r="CD10" s="216"/>
      <c r="CE10" s="216"/>
      <c r="CF10" s="215" t="s">
        <v>280</v>
      </c>
      <c r="CG10" s="216"/>
      <c r="CH10" s="216"/>
      <c r="CI10" s="215" t="s">
        <v>280</v>
      </c>
      <c r="CJ10" s="216"/>
      <c r="CK10" s="216"/>
      <c r="CL10" s="215" t="s">
        <v>280</v>
      </c>
      <c r="CM10" s="216"/>
      <c r="CN10" s="216"/>
      <c r="CO10" s="215" t="s">
        <v>280</v>
      </c>
      <c r="CP10" s="216"/>
      <c r="CQ10" s="216"/>
      <c r="CR10" s="215" t="s">
        <v>280</v>
      </c>
      <c r="CS10" s="216"/>
      <c r="CT10" s="216"/>
      <c r="CU10" s="215" t="s">
        <v>280</v>
      </c>
      <c r="CV10" s="216"/>
      <c r="CW10" s="216"/>
      <c r="CX10" s="215" t="s">
        <v>280</v>
      </c>
      <c r="CY10" s="216"/>
      <c r="CZ10" s="216"/>
      <c r="DA10" s="215" t="s">
        <v>280</v>
      </c>
      <c r="DB10" s="216"/>
      <c r="DC10" s="216"/>
    </row>
    <row r="11" spans="1:107">
      <c r="A11" s="131"/>
      <c r="B11" s="132" t="s">
        <v>116</v>
      </c>
      <c r="C11" s="217">
        <v>40483</v>
      </c>
      <c r="D11" s="218"/>
      <c r="E11" s="219"/>
      <c r="F11" s="217">
        <v>40588</v>
      </c>
      <c r="G11" s="218"/>
      <c r="H11" s="219"/>
      <c r="I11" s="217">
        <v>40638</v>
      </c>
      <c r="J11" s="218"/>
      <c r="K11" s="219"/>
      <c r="L11" s="217">
        <v>40865</v>
      </c>
      <c r="M11" s="218"/>
      <c r="N11" s="219"/>
      <c r="O11" s="217">
        <v>40900</v>
      </c>
      <c r="P11" s="218"/>
      <c r="Q11" s="219"/>
      <c r="R11" s="217">
        <v>40483</v>
      </c>
      <c r="S11" s="218"/>
      <c r="T11" s="219"/>
      <c r="U11" s="217">
        <v>40588</v>
      </c>
      <c r="V11" s="218"/>
      <c r="W11" s="219"/>
      <c r="X11" s="217">
        <v>40638</v>
      </c>
      <c r="Y11" s="218"/>
      <c r="Z11" s="219"/>
      <c r="AA11" s="217">
        <v>40865</v>
      </c>
      <c r="AB11" s="218"/>
      <c r="AC11" s="219"/>
      <c r="AD11" s="217">
        <v>40900</v>
      </c>
      <c r="AE11" s="218"/>
      <c r="AF11" s="219"/>
      <c r="AG11" s="217">
        <v>41080</v>
      </c>
      <c r="AH11" s="218"/>
      <c r="AI11" s="219"/>
      <c r="AJ11" s="217">
        <v>41108</v>
      </c>
      <c r="AK11" s="218"/>
      <c r="AL11" s="219"/>
      <c r="AM11" s="217">
        <v>41144</v>
      </c>
      <c r="AN11" s="218"/>
      <c r="AO11" s="219"/>
      <c r="AP11" s="217">
        <v>41172</v>
      </c>
      <c r="AQ11" s="218"/>
      <c r="AR11" s="219"/>
      <c r="AS11" s="217">
        <v>41199</v>
      </c>
      <c r="AT11" s="218"/>
      <c r="AU11" s="219"/>
      <c r="AV11" s="217">
        <v>41226</v>
      </c>
      <c r="AW11" s="218"/>
      <c r="AX11" s="219"/>
      <c r="AY11" s="217">
        <v>41271</v>
      </c>
      <c r="AZ11" s="218"/>
      <c r="BA11" s="219"/>
      <c r="BB11" s="217">
        <v>41297</v>
      </c>
      <c r="BC11" s="218"/>
      <c r="BD11" s="219"/>
      <c r="BE11" s="217">
        <v>41330</v>
      </c>
      <c r="BF11" s="218"/>
      <c r="BG11" s="219"/>
      <c r="BH11" s="217">
        <v>41355</v>
      </c>
      <c r="BI11" s="218"/>
      <c r="BJ11" s="219"/>
      <c r="BK11" s="217">
        <v>40588</v>
      </c>
      <c r="BL11" s="218"/>
      <c r="BM11" s="219"/>
      <c r="BN11" s="217">
        <v>40638</v>
      </c>
      <c r="BO11" s="218"/>
      <c r="BP11" s="219"/>
      <c r="BQ11" s="217">
        <v>40865</v>
      </c>
      <c r="BR11" s="218"/>
      <c r="BS11" s="219"/>
      <c r="BT11" s="217">
        <v>40900</v>
      </c>
      <c r="BU11" s="218"/>
      <c r="BV11" s="219"/>
      <c r="BW11" s="217">
        <v>41080</v>
      </c>
      <c r="BX11" s="218"/>
      <c r="BY11" s="219"/>
      <c r="BZ11" s="217">
        <v>41108</v>
      </c>
      <c r="CA11" s="218"/>
      <c r="CB11" s="219"/>
      <c r="CC11" s="217">
        <v>41144</v>
      </c>
      <c r="CD11" s="218"/>
      <c r="CE11" s="219"/>
      <c r="CF11" s="217">
        <v>41172</v>
      </c>
      <c r="CG11" s="218"/>
      <c r="CH11" s="219"/>
      <c r="CI11" s="217">
        <v>41199</v>
      </c>
      <c r="CJ11" s="218"/>
      <c r="CK11" s="219"/>
      <c r="CL11" s="217">
        <v>41226</v>
      </c>
      <c r="CM11" s="218"/>
      <c r="CN11" s="219"/>
      <c r="CO11" s="217">
        <v>41271</v>
      </c>
      <c r="CP11" s="218"/>
      <c r="CQ11" s="219"/>
      <c r="CR11" s="217">
        <v>41297</v>
      </c>
      <c r="CS11" s="218"/>
      <c r="CT11" s="219"/>
      <c r="CU11" s="217">
        <v>41330</v>
      </c>
      <c r="CV11" s="218"/>
      <c r="CW11" s="219"/>
      <c r="CX11" s="217">
        <v>41355</v>
      </c>
      <c r="CY11" s="218"/>
      <c r="CZ11" s="219"/>
      <c r="DA11" s="217">
        <v>41389</v>
      </c>
      <c r="DB11" s="218"/>
      <c r="DC11" s="219"/>
    </row>
    <row r="12" spans="1:107">
      <c r="A12" s="131"/>
      <c r="B12" s="132" t="s">
        <v>13</v>
      </c>
      <c r="C12" s="211" t="s">
        <v>34</v>
      </c>
      <c r="D12" s="211"/>
      <c r="E12" s="211"/>
      <c r="F12" s="211" t="s">
        <v>34</v>
      </c>
      <c r="G12" s="211"/>
      <c r="H12" s="211"/>
      <c r="I12" s="211" t="s">
        <v>34</v>
      </c>
      <c r="J12" s="211"/>
      <c r="K12" s="211"/>
      <c r="L12" s="211" t="s">
        <v>34</v>
      </c>
      <c r="M12" s="211"/>
      <c r="N12" s="211"/>
      <c r="O12" s="211" t="s">
        <v>34</v>
      </c>
      <c r="P12" s="211"/>
      <c r="Q12" s="211"/>
      <c r="R12" s="211" t="s">
        <v>34</v>
      </c>
      <c r="S12" s="211"/>
      <c r="T12" s="211"/>
      <c r="U12" s="211" t="s">
        <v>34</v>
      </c>
      <c r="V12" s="211"/>
      <c r="W12" s="211"/>
      <c r="X12" s="211" t="s">
        <v>34</v>
      </c>
      <c r="Y12" s="211"/>
      <c r="Z12" s="211"/>
      <c r="AA12" s="211" t="s">
        <v>34</v>
      </c>
      <c r="AB12" s="211"/>
      <c r="AC12" s="211"/>
      <c r="AD12" s="211" t="s">
        <v>34</v>
      </c>
      <c r="AE12" s="211"/>
      <c r="AF12" s="211"/>
      <c r="AG12" s="211" t="s">
        <v>34</v>
      </c>
      <c r="AH12" s="211"/>
      <c r="AI12" s="211"/>
      <c r="AJ12" s="211" t="s">
        <v>34</v>
      </c>
      <c r="AK12" s="211"/>
      <c r="AL12" s="211"/>
      <c r="AM12" s="211" t="s">
        <v>34</v>
      </c>
      <c r="AN12" s="211"/>
      <c r="AO12" s="211"/>
      <c r="AP12" s="211" t="s">
        <v>34</v>
      </c>
      <c r="AQ12" s="211"/>
      <c r="AR12" s="211"/>
      <c r="AS12" s="211" t="s">
        <v>34</v>
      </c>
      <c r="AT12" s="211"/>
      <c r="AU12" s="211"/>
      <c r="AV12" s="211" t="s">
        <v>34</v>
      </c>
      <c r="AW12" s="211"/>
      <c r="AX12" s="211"/>
      <c r="AY12" s="211" t="s">
        <v>34</v>
      </c>
      <c r="AZ12" s="211"/>
      <c r="BA12" s="211"/>
      <c r="BB12" s="211" t="s">
        <v>34</v>
      </c>
      <c r="BC12" s="211"/>
      <c r="BD12" s="211"/>
      <c r="BE12" s="211" t="s">
        <v>34</v>
      </c>
      <c r="BF12" s="211"/>
      <c r="BG12" s="211"/>
      <c r="BH12" s="211" t="s">
        <v>34</v>
      </c>
      <c r="BI12" s="211"/>
      <c r="BJ12" s="211"/>
      <c r="BK12" s="211" t="s">
        <v>34</v>
      </c>
      <c r="BL12" s="211"/>
      <c r="BM12" s="211"/>
      <c r="BN12" s="211" t="s">
        <v>34</v>
      </c>
      <c r="BO12" s="211"/>
      <c r="BP12" s="211"/>
      <c r="BQ12" s="211" t="s">
        <v>34</v>
      </c>
      <c r="BR12" s="211"/>
      <c r="BS12" s="211"/>
      <c r="BT12" s="211" t="s">
        <v>34</v>
      </c>
      <c r="BU12" s="211"/>
      <c r="BV12" s="211"/>
      <c r="BW12" s="211" t="s">
        <v>34</v>
      </c>
      <c r="BX12" s="211"/>
      <c r="BY12" s="211"/>
      <c r="BZ12" s="211" t="s">
        <v>34</v>
      </c>
      <c r="CA12" s="211"/>
      <c r="CB12" s="211"/>
      <c r="CC12" s="211" t="s">
        <v>34</v>
      </c>
      <c r="CD12" s="211"/>
      <c r="CE12" s="211"/>
      <c r="CF12" s="211" t="s">
        <v>34</v>
      </c>
      <c r="CG12" s="211"/>
      <c r="CH12" s="211"/>
      <c r="CI12" s="211" t="s">
        <v>34</v>
      </c>
      <c r="CJ12" s="211"/>
      <c r="CK12" s="211"/>
      <c r="CL12" s="211" t="s">
        <v>34</v>
      </c>
      <c r="CM12" s="211"/>
      <c r="CN12" s="211"/>
      <c r="CO12" s="211" t="s">
        <v>34</v>
      </c>
      <c r="CP12" s="211"/>
      <c r="CQ12" s="211"/>
      <c r="CR12" s="211" t="s">
        <v>34</v>
      </c>
      <c r="CS12" s="211"/>
      <c r="CT12" s="211"/>
      <c r="CU12" s="211" t="s">
        <v>34</v>
      </c>
      <c r="CV12" s="211"/>
      <c r="CW12" s="211"/>
      <c r="CX12" s="211" t="s">
        <v>34</v>
      </c>
      <c r="CY12" s="211"/>
      <c r="CZ12" s="211"/>
      <c r="DA12" s="211" t="s">
        <v>34</v>
      </c>
      <c r="DB12" s="211"/>
      <c r="DC12" s="211"/>
    </row>
    <row r="13" spans="1:107">
      <c r="A13" s="131"/>
      <c r="B13" s="132" t="s">
        <v>122</v>
      </c>
      <c r="C13" s="211" t="s">
        <v>281</v>
      </c>
      <c r="D13" s="211"/>
      <c r="E13" s="211"/>
      <c r="F13" s="211" t="s">
        <v>281</v>
      </c>
      <c r="G13" s="211"/>
      <c r="H13" s="211"/>
      <c r="I13" s="211" t="s">
        <v>281</v>
      </c>
      <c r="J13" s="211"/>
      <c r="K13" s="211"/>
      <c r="L13" s="211" t="s">
        <v>281</v>
      </c>
      <c r="M13" s="211"/>
      <c r="N13" s="211"/>
      <c r="O13" s="211" t="s">
        <v>281</v>
      </c>
      <c r="P13" s="211"/>
      <c r="Q13" s="211"/>
      <c r="R13" s="211" t="s">
        <v>281</v>
      </c>
      <c r="S13" s="211"/>
      <c r="T13" s="211"/>
      <c r="U13" s="211" t="s">
        <v>281</v>
      </c>
      <c r="V13" s="211"/>
      <c r="W13" s="211"/>
      <c r="X13" s="211" t="s">
        <v>281</v>
      </c>
      <c r="Y13" s="211"/>
      <c r="Z13" s="211"/>
      <c r="AA13" s="211" t="s">
        <v>281</v>
      </c>
      <c r="AB13" s="211"/>
      <c r="AC13" s="211"/>
      <c r="AD13" s="211" t="s">
        <v>281</v>
      </c>
      <c r="AE13" s="211"/>
      <c r="AF13" s="211"/>
      <c r="AG13" s="211" t="s">
        <v>281</v>
      </c>
      <c r="AH13" s="211"/>
      <c r="AI13" s="211"/>
      <c r="AJ13" s="211" t="s">
        <v>281</v>
      </c>
      <c r="AK13" s="211"/>
      <c r="AL13" s="211"/>
      <c r="AM13" s="211" t="s">
        <v>281</v>
      </c>
      <c r="AN13" s="211"/>
      <c r="AO13" s="211"/>
      <c r="AP13" s="211" t="s">
        <v>281</v>
      </c>
      <c r="AQ13" s="211"/>
      <c r="AR13" s="211"/>
      <c r="AS13" s="211" t="s">
        <v>281</v>
      </c>
      <c r="AT13" s="211"/>
      <c r="AU13" s="211"/>
      <c r="AV13" s="211" t="s">
        <v>281</v>
      </c>
      <c r="AW13" s="211"/>
      <c r="AX13" s="211"/>
      <c r="AY13" s="211" t="s">
        <v>281</v>
      </c>
      <c r="AZ13" s="211"/>
      <c r="BA13" s="211"/>
      <c r="BB13" s="211" t="s">
        <v>281</v>
      </c>
      <c r="BC13" s="211"/>
      <c r="BD13" s="211"/>
      <c r="BE13" s="211" t="s">
        <v>281</v>
      </c>
      <c r="BF13" s="211"/>
      <c r="BG13" s="211"/>
      <c r="BH13" s="211" t="s">
        <v>281</v>
      </c>
      <c r="BI13" s="211"/>
      <c r="BJ13" s="211"/>
      <c r="BK13" s="211" t="s">
        <v>281</v>
      </c>
      <c r="BL13" s="211"/>
      <c r="BM13" s="211"/>
      <c r="BN13" s="211" t="s">
        <v>281</v>
      </c>
      <c r="BO13" s="211"/>
      <c r="BP13" s="211"/>
      <c r="BQ13" s="211" t="s">
        <v>281</v>
      </c>
      <c r="BR13" s="211"/>
      <c r="BS13" s="211"/>
      <c r="BT13" s="211" t="s">
        <v>281</v>
      </c>
      <c r="BU13" s="211"/>
      <c r="BV13" s="211"/>
      <c r="BW13" s="211" t="s">
        <v>281</v>
      </c>
      <c r="BX13" s="211"/>
      <c r="BY13" s="211"/>
      <c r="BZ13" s="211" t="s">
        <v>281</v>
      </c>
      <c r="CA13" s="211"/>
      <c r="CB13" s="211"/>
      <c r="CC13" s="211" t="s">
        <v>281</v>
      </c>
      <c r="CD13" s="211"/>
      <c r="CE13" s="211"/>
      <c r="CF13" s="211" t="s">
        <v>281</v>
      </c>
      <c r="CG13" s="211"/>
      <c r="CH13" s="211"/>
      <c r="CI13" s="211" t="s">
        <v>281</v>
      </c>
      <c r="CJ13" s="211"/>
      <c r="CK13" s="211"/>
      <c r="CL13" s="211" t="s">
        <v>281</v>
      </c>
      <c r="CM13" s="211"/>
      <c r="CN13" s="211"/>
      <c r="CO13" s="211" t="s">
        <v>281</v>
      </c>
      <c r="CP13" s="211"/>
      <c r="CQ13" s="211"/>
      <c r="CR13" s="211" t="s">
        <v>281</v>
      </c>
      <c r="CS13" s="211"/>
      <c r="CT13" s="211"/>
      <c r="CU13" s="211" t="s">
        <v>281</v>
      </c>
      <c r="CV13" s="211"/>
      <c r="CW13" s="211"/>
      <c r="CX13" s="211" t="s">
        <v>281</v>
      </c>
      <c r="CY13" s="211"/>
      <c r="CZ13" s="211"/>
      <c r="DA13" s="211" t="s">
        <v>281</v>
      </c>
      <c r="DB13" s="211"/>
      <c r="DC13" s="211"/>
    </row>
    <row r="14" spans="1:107">
      <c r="A14" s="131"/>
      <c r="B14" s="132" t="s">
        <v>124</v>
      </c>
      <c r="C14" s="211" t="s">
        <v>242</v>
      </c>
      <c r="D14" s="211"/>
      <c r="E14" s="211"/>
      <c r="F14" s="211" t="s">
        <v>242</v>
      </c>
      <c r="G14" s="211"/>
      <c r="H14" s="211"/>
      <c r="I14" s="211" t="s">
        <v>242</v>
      </c>
      <c r="J14" s="211"/>
      <c r="K14" s="211"/>
      <c r="L14" s="211" t="s">
        <v>242</v>
      </c>
      <c r="M14" s="211"/>
      <c r="N14" s="211"/>
      <c r="O14" s="211" t="s">
        <v>242</v>
      </c>
      <c r="P14" s="211"/>
      <c r="Q14" s="211"/>
      <c r="R14" s="211" t="s">
        <v>242</v>
      </c>
      <c r="S14" s="211"/>
      <c r="T14" s="211"/>
      <c r="U14" s="211" t="s">
        <v>242</v>
      </c>
      <c r="V14" s="211"/>
      <c r="W14" s="211"/>
      <c r="X14" s="211" t="s">
        <v>242</v>
      </c>
      <c r="Y14" s="211"/>
      <c r="Z14" s="211"/>
      <c r="AA14" s="211" t="s">
        <v>242</v>
      </c>
      <c r="AB14" s="211"/>
      <c r="AC14" s="211"/>
      <c r="AD14" s="211" t="s">
        <v>242</v>
      </c>
      <c r="AE14" s="211"/>
      <c r="AF14" s="211"/>
      <c r="AG14" s="211" t="s">
        <v>242</v>
      </c>
      <c r="AH14" s="211"/>
      <c r="AI14" s="211"/>
      <c r="AJ14" s="211" t="s">
        <v>242</v>
      </c>
      <c r="AK14" s="211"/>
      <c r="AL14" s="211"/>
      <c r="AM14" s="211" t="s">
        <v>242</v>
      </c>
      <c r="AN14" s="211"/>
      <c r="AO14" s="211"/>
      <c r="AP14" s="211" t="s">
        <v>242</v>
      </c>
      <c r="AQ14" s="211"/>
      <c r="AR14" s="211"/>
      <c r="AS14" s="211" t="s">
        <v>242</v>
      </c>
      <c r="AT14" s="211"/>
      <c r="AU14" s="211"/>
      <c r="AV14" s="211" t="s">
        <v>242</v>
      </c>
      <c r="AW14" s="211"/>
      <c r="AX14" s="211"/>
      <c r="AY14" s="211" t="s">
        <v>242</v>
      </c>
      <c r="AZ14" s="211"/>
      <c r="BA14" s="211"/>
      <c r="BB14" s="211" t="s">
        <v>242</v>
      </c>
      <c r="BC14" s="211"/>
      <c r="BD14" s="211"/>
      <c r="BE14" s="211" t="s">
        <v>242</v>
      </c>
      <c r="BF14" s="211"/>
      <c r="BG14" s="211"/>
      <c r="BH14" s="211" t="s">
        <v>242</v>
      </c>
      <c r="BI14" s="211"/>
      <c r="BJ14" s="211"/>
      <c r="BK14" s="211" t="s">
        <v>125</v>
      </c>
      <c r="BL14" s="211"/>
      <c r="BM14" s="211"/>
      <c r="BN14" s="211" t="s">
        <v>125</v>
      </c>
      <c r="BO14" s="211"/>
      <c r="BP14" s="211"/>
      <c r="BQ14" s="211" t="s">
        <v>125</v>
      </c>
      <c r="BR14" s="211"/>
      <c r="BS14" s="211"/>
      <c r="BT14" s="211" t="s">
        <v>125</v>
      </c>
      <c r="BU14" s="211"/>
      <c r="BV14" s="211"/>
      <c r="BW14" s="211" t="s">
        <v>125</v>
      </c>
      <c r="BX14" s="211"/>
      <c r="BY14" s="211"/>
      <c r="BZ14" s="211" t="s">
        <v>125</v>
      </c>
      <c r="CA14" s="211"/>
      <c r="CB14" s="211"/>
      <c r="CC14" s="211" t="s">
        <v>125</v>
      </c>
      <c r="CD14" s="211"/>
      <c r="CE14" s="211"/>
      <c r="CF14" s="211" t="s">
        <v>125</v>
      </c>
      <c r="CG14" s="211"/>
      <c r="CH14" s="211"/>
      <c r="CI14" s="211" t="s">
        <v>125</v>
      </c>
      <c r="CJ14" s="211"/>
      <c r="CK14" s="211"/>
      <c r="CL14" s="211" t="s">
        <v>125</v>
      </c>
      <c r="CM14" s="211"/>
      <c r="CN14" s="211"/>
      <c r="CO14" s="211" t="s">
        <v>125</v>
      </c>
      <c r="CP14" s="211"/>
      <c r="CQ14" s="211"/>
      <c r="CR14" s="211" t="s">
        <v>125</v>
      </c>
      <c r="CS14" s="211"/>
      <c r="CT14" s="211"/>
      <c r="CU14" s="211" t="s">
        <v>125</v>
      </c>
      <c r="CV14" s="211"/>
      <c r="CW14" s="211"/>
      <c r="CX14" s="211" t="s">
        <v>125</v>
      </c>
      <c r="CY14" s="211"/>
      <c r="CZ14" s="211"/>
      <c r="DA14" s="211" t="s">
        <v>125</v>
      </c>
      <c r="DB14" s="211"/>
      <c r="DC14" s="211"/>
    </row>
    <row r="15" spans="1:107">
      <c r="A15" s="131"/>
      <c r="B15" s="132" t="s">
        <v>126</v>
      </c>
      <c r="C15" s="211" t="s">
        <v>128</v>
      </c>
      <c r="D15" s="211"/>
      <c r="E15" s="211"/>
      <c r="F15" s="211" t="s">
        <v>128</v>
      </c>
      <c r="G15" s="211"/>
      <c r="H15" s="211"/>
      <c r="I15" s="211" t="s">
        <v>128</v>
      </c>
      <c r="J15" s="211"/>
      <c r="K15" s="211"/>
      <c r="L15" s="211" t="s">
        <v>128</v>
      </c>
      <c r="M15" s="211"/>
      <c r="N15" s="211"/>
      <c r="O15" s="211" t="s">
        <v>128</v>
      </c>
      <c r="P15" s="211"/>
      <c r="Q15" s="211"/>
      <c r="R15" s="211" t="s">
        <v>128</v>
      </c>
      <c r="S15" s="211"/>
      <c r="T15" s="211"/>
      <c r="U15" s="211" t="s">
        <v>128</v>
      </c>
      <c r="V15" s="211"/>
      <c r="W15" s="211"/>
      <c r="X15" s="211" t="s">
        <v>128</v>
      </c>
      <c r="Y15" s="211"/>
      <c r="Z15" s="211"/>
      <c r="AA15" s="211" t="s">
        <v>128</v>
      </c>
      <c r="AB15" s="211"/>
      <c r="AC15" s="211"/>
      <c r="AD15" s="211" t="s">
        <v>128</v>
      </c>
      <c r="AE15" s="211"/>
      <c r="AF15" s="211"/>
      <c r="AG15" s="211" t="s">
        <v>128</v>
      </c>
      <c r="AH15" s="211"/>
      <c r="AI15" s="211"/>
      <c r="AJ15" s="211" t="s">
        <v>128</v>
      </c>
      <c r="AK15" s="211"/>
      <c r="AL15" s="211"/>
      <c r="AM15" s="211" t="s">
        <v>128</v>
      </c>
      <c r="AN15" s="211"/>
      <c r="AO15" s="211"/>
      <c r="AP15" s="211" t="s">
        <v>128</v>
      </c>
      <c r="AQ15" s="211"/>
      <c r="AR15" s="211"/>
      <c r="AS15" s="211" t="s">
        <v>128</v>
      </c>
      <c r="AT15" s="211"/>
      <c r="AU15" s="211"/>
      <c r="AV15" s="211" t="s">
        <v>128</v>
      </c>
      <c r="AW15" s="211"/>
      <c r="AX15" s="211"/>
      <c r="AY15" s="211" t="s">
        <v>128</v>
      </c>
      <c r="AZ15" s="211"/>
      <c r="BA15" s="211"/>
      <c r="BB15" s="211" t="s">
        <v>128</v>
      </c>
      <c r="BC15" s="211"/>
      <c r="BD15" s="211"/>
      <c r="BE15" s="211" t="s">
        <v>128</v>
      </c>
      <c r="BF15" s="211"/>
      <c r="BG15" s="211"/>
      <c r="BH15" s="211" t="s">
        <v>128</v>
      </c>
      <c r="BI15" s="211"/>
      <c r="BJ15" s="211"/>
      <c r="BK15" s="211" t="s">
        <v>128</v>
      </c>
      <c r="BL15" s="211"/>
      <c r="BM15" s="211"/>
      <c r="BN15" s="211" t="s">
        <v>128</v>
      </c>
      <c r="BO15" s="211"/>
      <c r="BP15" s="211"/>
      <c r="BQ15" s="211" t="s">
        <v>128</v>
      </c>
      <c r="BR15" s="211"/>
      <c r="BS15" s="211"/>
      <c r="BT15" s="211" t="s">
        <v>128</v>
      </c>
      <c r="BU15" s="211"/>
      <c r="BV15" s="211"/>
      <c r="BW15" s="211" t="s">
        <v>128</v>
      </c>
      <c r="BX15" s="211"/>
      <c r="BY15" s="211"/>
      <c r="BZ15" s="211" t="s">
        <v>128</v>
      </c>
      <c r="CA15" s="211"/>
      <c r="CB15" s="211"/>
      <c r="CC15" s="211" t="s">
        <v>128</v>
      </c>
      <c r="CD15" s="211"/>
      <c r="CE15" s="211"/>
      <c r="CF15" s="211" t="s">
        <v>128</v>
      </c>
      <c r="CG15" s="211"/>
      <c r="CH15" s="211"/>
      <c r="CI15" s="211" t="s">
        <v>128</v>
      </c>
      <c r="CJ15" s="211"/>
      <c r="CK15" s="211"/>
      <c r="CL15" s="211" t="s">
        <v>128</v>
      </c>
      <c r="CM15" s="211"/>
      <c r="CN15" s="211"/>
      <c r="CO15" s="211" t="s">
        <v>128</v>
      </c>
      <c r="CP15" s="211"/>
      <c r="CQ15" s="211"/>
      <c r="CR15" s="211" t="s">
        <v>128</v>
      </c>
      <c r="CS15" s="211"/>
      <c r="CT15" s="211"/>
      <c r="CU15" s="211" t="s">
        <v>128</v>
      </c>
      <c r="CV15" s="211"/>
      <c r="CW15" s="211"/>
      <c r="CX15" s="211" t="s">
        <v>128</v>
      </c>
      <c r="CY15" s="211"/>
      <c r="CZ15" s="211"/>
      <c r="DA15" s="211" t="s">
        <v>128</v>
      </c>
      <c r="DB15" s="211"/>
      <c r="DC15" s="211"/>
    </row>
    <row r="16" spans="1:107">
      <c r="A16" s="131"/>
      <c r="B16" s="132" t="s">
        <v>131</v>
      </c>
      <c r="C16" s="211" t="s">
        <v>282</v>
      </c>
      <c r="D16" s="211"/>
      <c r="E16" s="211"/>
      <c r="F16" s="211" t="s">
        <v>282</v>
      </c>
      <c r="G16" s="211"/>
      <c r="H16" s="211"/>
      <c r="I16" s="211" t="s">
        <v>282</v>
      </c>
      <c r="J16" s="211"/>
      <c r="K16" s="211"/>
      <c r="L16" s="211" t="s">
        <v>282</v>
      </c>
      <c r="M16" s="211"/>
      <c r="N16" s="211"/>
      <c r="O16" s="211" t="s">
        <v>282</v>
      </c>
      <c r="P16" s="211"/>
      <c r="Q16" s="211"/>
      <c r="R16" s="211" t="s">
        <v>282</v>
      </c>
      <c r="S16" s="211"/>
      <c r="T16" s="211"/>
      <c r="U16" s="211" t="s">
        <v>282</v>
      </c>
      <c r="V16" s="211"/>
      <c r="W16" s="211"/>
      <c r="X16" s="211" t="s">
        <v>282</v>
      </c>
      <c r="Y16" s="211"/>
      <c r="Z16" s="211"/>
      <c r="AA16" s="211" t="s">
        <v>282</v>
      </c>
      <c r="AB16" s="211"/>
      <c r="AC16" s="211"/>
      <c r="AD16" s="211" t="s">
        <v>282</v>
      </c>
      <c r="AE16" s="211"/>
      <c r="AF16" s="211"/>
      <c r="AG16" s="211" t="s">
        <v>282</v>
      </c>
      <c r="AH16" s="211"/>
      <c r="AI16" s="211"/>
      <c r="AJ16" s="211" t="s">
        <v>282</v>
      </c>
      <c r="AK16" s="211"/>
      <c r="AL16" s="211"/>
      <c r="AM16" s="211" t="s">
        <v>282</v>
      </c>
      <c r="AN16" s="211"/>
      <c r="AO16" s="211"/>
      <c r="AP16" s="211" t="s">
        <v>282</v>
      </c>
      <c r="AQ16" s="211"/>
      <c r="AR16" s="211"/>
      <c r="AS16" s="211" t="s">
        <v>282</v>
      </c>
      <c r="AT16" s="211"/>
      <c r="AU16" s="211"/>
      <c r="AV16" s="211" t="s">
        <v>282</v>
      </c>
      <c r="AW16" s="211"/>
      <c r="AX16" s="211"/>
      <c r="AY16" s="211" t="s">
        <v>282</v>
      </c>
      <c r="AZ16" s="211"/>
      <c r="BA16" s="211"/>
      <c r="BB16" s="211" t="s">
        <v>282</v>
      </c>
      <c r="BC16" s="211"/>
      <c r="BD16" s="211"/>
      <c r="BE16" s="211" t="s">
        <v>282</v>
      </c>
      <c r="BF16" s="211"/>
      <c r="BG16" s="211"/>
      <c r="BH16" s="211" t="s">
        <v>282</v>
      </c>
      <c r="BI16" s="211"/>
      <c r="BJ16" s="211"/>
      <c r="BK16" s="211" t="s">
        <v>283</v>
      </c>
      <c r="BL16" s="211"/>
      <c r="BM16" s="211"/>
      <c r="BN16" s="211" t="s">
        <v>283</v>
      </c>
      <c r="BO16" s="211"/>
      <c r="BP16" s="211"/>
      <c r="BQ16" s="211" t="s">
        <v>283</v>
      </c>
      <c r="BR16" s="211"/>
      <c r="BS16" s="211"/>
      <c r="BT16" s="211" t="s">
        <v>283</v>
      </c>
      <c r="BU16" s="211"/>
      <c r="BV16" s="211"/>
      <c r="BW16" s="211" t="s">
        <v>283</v>
      </c>
      <c r="BX16" s="211"/>
      <c r="BY16" s="211"/>
      <c r="BZ16" s="211" t="s">
        <v>283</v>
      </c>
      <c r="CA16" s="211"/>
      <c r="CB16" s="211"/>
      <c r="CC16" s="211" t="s">
        <v>283</v>
      </c>
      <c r="CD16" s="211"/>
      <c r="CE16" s="211"/>
      <c r="CF16" s="211" t="s">
        <v>283</v>
      </c>
      <c r="CG16" s="211"/>
      <c r="CH16" s="211"/>
      <c r="CI16" s="211" t="s">
        <v>283</v>
      </c>
      <c r="CJ16" s="211"/>
      <c r="CK16" s="211"/>
      <c r="CL16" s="211" t="s">
        <v>283</v>
      </c>
      <c r="CM16" s="211"/>
      <c r="CN16" s="211"/>
      <c r="CO16" s="211" t="s">
        <v>283</v>
      </c>
      <c r="CP16" s="211"/>
      <c r="CQ16" s="211"/>
      <c r="CR16" s="211" t="s">
        <v>283</v>
      </c>
      <c r="CS16" s="211"/>
      <c r="CT16" s="211"/>
      <c r="CU16" s="211" t="s">
        <v>283</v>
      </c>
      <c r="CV16" s="211"/>
      <c r="CW16" s="211"/>
      <c r="CX16" s="211" t="s">
        <v>283</v>
      </c>
      <c r="CY16" s="211"/>
      <c r="CZ16" s="211"/>
      <c r="DA16" s="211" t="s">
        <v>283</v>
      </c>
      <c r="DB16" s="211"/>
      <c r="DC16" s="211"/>
    </row>
    <row r="17" spans="1:107" ht="19.5" customHeight="1" thickBot="1">
      <c r="A17" s="133" t="s">
        <v>133</v>
      </c>
      <c r="B17" s="134" t="s">
        <v>134</v>
      </c>
      <c r="C17" s="212"/>
      <c r="D17" s="213"/>
      <c r="E17" s="214"/>
      <c r="F17" s="212"/>
      <c r="G17" s="213"/>
      <c r="H17" s="214"/>
      <c r="I17" s="212"/>
      <c r="J17" s="213"/>
      <c r="K17" s="214"/>
      <c r="L17" s="212"/>
      <c r="M17" s="213"/>
      <c r="N17" s="214"/>
      <c r="O17" s="212"/>
      <c r="P17" s="213"/>
      <c r="Q17" s="214"/>
      <c r="R17" s="212"/>
      <c r="S17" s="213"/>
      <c r="T17" s="214"/>
      <c r="U17" s="212"/>
      <c r="V17" s="213"/>
      <c r="W17" s="214"/>
      <c r="X17" s="212"/>
      <c r="Y17" s="213"/>
      <c r="Z17" s="214"/>
      <c r="AA17" s="212"/>
      <c r="AB17" s="213"/>
      <c r="AC17" s="214"/>
      <c r="AD17" s="212"/>
      <c r="AE17" s="213"/>
      <c r="AF17" s="214"/>
      <c r="AG17" s="212"/>
      <c r="AH17" s="213"/>
      <c r="AI17" s="214"/>
      <c r="AJ17" s="212"/>
      <c r="AK17" s="213"/>
      <c r="AL17" s="214"/>
      <c r="AM17" s="212"/>
      <c r="AN17" s="213"/>
      <c r="AO17" s="214"/>
      <c r="AP17" s="212"/>
      <c r="AQ17" s="213"/>
      <c r="AR17" s="214"/>
      <c r="AS17" s="212"/>
      <c r="AT17" s="213"/>
      <c r="AU17" s="214"/>
      <c r="AV17" s="212"/>
      <c r="AW17" s="213"/>
      <c r="AX17" s="214"/>
      <c r="AY17" s="212"/>
      <c r="AZ17" s="213"/>
      <c r="BA17" s="214"/>
      <c r="BB17" s="212"/>
      <c r="BC17" s="213"/>
      <c r="BD17" s="214"/>
      <c r="BE17" s="212"/>
      <c r="BF17" s="213"/>
      <c r="BG17" s="214"/>
      <c r="BH17" s="212"/>
      <c r="BI17" s="213"/>
      <c r="BJ17" s="214"/>
      <c r="BK17" s="212"/>
      <c r="BL17" s="213"/>
      <c r="BM17" s="214"/>
      <c r="BN17" s="212"/>
      <c r="BO17" s="213"/>
      <c r="BP17" s="214"/>
      <c r="BQ17" s="212"/>
      <c r="BR17" s="213"/>
      <c r="BS17" s="214"/>
      <c r="BT17" s="212"/>
      <c r="BU17" s="213"/>
      <c r="BV17" s="214"/>
      <c r="BW17" s="212"/>
      <c r="BX17" s="213"/>
      <c r="BY17" s="214"/>
      <c r="BZ17" s="212"/>
      <c r="CA17" s="213"/>
      <c r="CB17" s="214"/>
      <c r="CC17" s="212"/>
      <c r="CD17" s="213"/>
      <c r="CE17" s="214"/>
      <c r="CF17" s="212"/>
      <c r="CG17" s="213"/>
      <c r="CH17" s="214"/>
      <c r="CI17" s="212"/>
      <c r="CJ17" s="213"/>
      <c r="CK17" s="214"/>
      <c r="CL17" s="212"/>
      <c r="CM17" s="213"/>
      <c r="CN17" s="214"/>
      <c r="CO17" s="212"/>
      <c r="CP17" s="213"/>
      <c r="CQ17" s="214"/>
      <c r="CR17" s="212"/>
      <c r="CS17" s="213"/>
      <c r="CT17" s="214"/>
      <c r="CU17" s="212"/>
      <c r="CV17" s="213"/>
      <c r="CW17" s="214"/>
      <c r="CX17" s="212"/>
      <c r="CY17" s="213"/>
      <c r="CZ17" s="214"/>
      <c r="DA17" s="212"/>
      <c r="DB17" s="213"/>
      <c r="DC17" s="214"/>
    </row>
    <row r="18" spans="1:107">
      <c r="A18" s="135" t="s">
        <v>135</v>
      </c>
      <c r="B18" s="136"/>
      <c r="C18" s="137"/>
      <c r="D18" s="138"/>
      <c r="E18" s="139"/>
      <c r="F18" s="137"/>
      <c r="G18" s="138"/>
      <c r="H18" s="139"/>
      <c r="I18" s="137"/>
      <c r="J18" s="138"/>
      <c r="K18" s="139"/>
      <c r="L18" s="137"/>
      <c r="M18" s="138"/>
      <c r="N18" s="139"/>
      <c r="O18" s="137"/>
      <c r="P18" s="138"/>
      <c r="Q18" s="139"/>
      <c r="R18" s="137"/>
      <c r="S18" s="138"/>
      <c r="T18" s="139"/>
      <c r="U18" s="137"/>
      <c r="V18" s="138"/>
      <c r="W18" s="139"/>
      <c r="X18" s="137"/>
      <c r="Y18" s="138"/>
      <c r="Z18" s="139"/>
      <c r="AA18" s="137"/>
      <c r="AB18" s="138"/>
      <c r="AC18" s="139"/>
      <c r="AD18" s="137"/>
      <c r="AE18" s="138"/>
      <c r="AF18" s="139"/>
      <c r="AG18" s="137"/>
      <c r="AH18" s="138"/>
      <c r="AI18" s="139"/>
      <c r="AJ18" s="137"/>
      <c r="AK18" s="138"/>
      <c r="AL18" s="139"/>
      <c r="AM18" s="137"/>
      <c r="AN18" s="138"/>
      <c r="AO18" s="139"/>
      <c r="AP18" s="137"/>
      <c r="AQ18" s="138"/>
      <c r="AR18" s="139"/>
      <c r="AS18" s="137"/>
      <c r="AT18" s="138"/>
      <c r="AU18" s="139"/>
      <c r="AV18" s="137"/>
      <c r="AW18" s="138"/>
      <c r="AX18" s="139"/>
      <c r="AY18" s="137"/>
      <c r="AZ18" s="138"/>
      <c r="BA18" s="139"/>
      <c r="BB18" s="137"/>
      <c r="BC18" s="138"/>
      <c r="BD18" s="139"/>
      <c r="BE18" s="137"/>
      <c r="BF18" s="138"/>
      <c r="BG18" s="139"/>
      <c r="BH18" s="137"/>
      <c r="BI18" s="138"/>
      <c r="BJ18" s="139"/>
      <c r="BK18" s="137"/>
      <c r="BL18" s="138"/>
      <c r="BM18" s="139"/>
      <c r="BN18" s="137"/>
      <c r="BO18" s="138"/>
      <c r="BP18" s="139"/>
      <c r="BQ18" s="137"/>
      <c r="BR18" s="138"/>
      <c r="BS18" s="139"/>
      <c r="BT18" s="137"/>
      <c r="BU18" s="138"/>
      <c r="BV18" s="139"/>
      <c r="BW18" s="137"/>
      <c r="BX18" s="138"/>
      <c r="BY18" s="139"/>
      <c r="BZ18" s="137"/>
      <c r="CA18" s="138"/>
      <c r="CB18" s="139"/>
      <c r="CC18" s="137"/>
      <c r="CD18" s="138"/>
      <c r="CE18" s="139"/>
      <c r="CF18" s="137"/>
      <c r="CG18" s="138"/>
      <c r="CH18" s="139"/>
      <c r="CI18" s="137"/>
      <c r="CJ18" s="138"/>
      <c r="CK18" s="139"/>
      <c r="CL18" s="137"/>
      <c r="CM18" s="138"/>
      <c r="CN18" s="139"/>
      <c r="CO18" s="137"/>
      <c r="CP18" s="138"/>
      <c r="CQ18" s="139"/>
      <c r="CR18" s="137"/>
      <c r="CS18" s="138"/>
      <c r="CT18" s="139"/>
      <c r="CU18" s="137"/>
      <c r="CV18" s="138"/>
      <c r="CW18" s="139"/>
      <c r="CX18" s="137"/>
      <c r="CY18" s="138"/>
      <c r="CZ18" s="139"/>
      <c r="DA18" s="137"/>
      <c r="DB18" s="138"/>
      <c r="DC18" s="139"/>
    </row>
    <row r="19" spans="1:107">
      <c r="A19" s="140" t="s">
        <v>136</v>
      </c>
      <c r="B19" s="141" t="s">
        <v>137</v>
      </c>
      <c r="C19" s="142" t="s">
        <v>138</v>
      </c>
      <c r="D19" s="143">
        <v>5</v>
      </c>
      <c r="E19" s="144"/>
      <c r="F19" s="142" t="s">
        <v>138</v>
      </c>
      <c r="G19" s="143">
        <v>5</v>
      </c>
      <c r="H19" s="144"/>
      <c r="I19" s="142" t="s">
        <v>138</v>
      </c>
      <c r="J19" s="143">
        <v>5</v>
      </c>
      <c r="K19" s="144"/>
      <c r="L19" s="142" t="s">
        <v>138</v>
      </c>
      <c r="M19" s="143">
        <v>2</v>
      </c>
      <c r="N19" s="144"/>
      <c r="O19" s="142" t="s">
        <v>138</v>
      </c>
      <c r="P19" s="143">
        <v>2</v>
      </c>
      <c r="Q19" s="144"/>
      <c r="R19" s="142" t="s">
        <v>138</v>
      </c>
      <c r="S19" s="143">
        <v>5</v>
      </c>
      <c r="T19" s="144"/>
      <c r="U19" s="142" t="s">
        <v>138</v>
      </c>
      <c r="V19" s="143">
        <v>5</v>
      </c>
      <c r="W19" s="144"/>
      <c r="X19" s="142" t="s">
        <v>138</v>
      </c>
      <c r="Y19" s="143">
        <v>5</v>
      </c>
      <c r="Z19" s="144"/>
      <c r="AA19" s="142" t="s">
        <v>138</v>
      </c>
      <c r="AB19" s="143">
        <v>2</v>
      </c>
      <c r="AC19" s="144"/>
      <c r="AD19" s="142" t="s">
        <v>138</v>
      </c>
      <c r="AE19" s="143">
        <v>2</v>
      </c>
      <c r="AF19" s="144"/>
      <c r="AG19" s="142" t="s">
        <v>138</v>
      </c>
      <c r="AH19" s="143">
        <v>2</v>
      </c>
      <c r="AI19" s="144"/>
      <c r="AJ19" s="142" t="s">
        <v>138</v>
      </c>
      <c r="AK19" s="143">
        <v>5</v>
      </c>
      <c r="AL19" s="144"/>
      <c r="AM19" s="142" t="s">
        <v>138</v>
      </c>
      <c r="AN19" s="143">
        <v>2</v>
      </c>
      <c r="AO19" s="144"/>
      <c r="AP19" s="142" t="s">
        <v>138</v>
      </c>
      <c r="AQ19" s="143">
        <v>2</v>
      </c>
      <c r="AR19" s="144"/>
      <c r="AS19" s="142" t="s">
        <v>138</v>
      </c>
      <c r="AT19" s="143">
        <v>2</v>
      </c>
      <c r="AU19" s="144"/>
      <c r="AV19" s="142" t="s">
        <v>138</v>
      </c>
      <c r="AW19" s="143">
        <v>2</v>
      </c>
      <c r="AX19" s="144"/>
      <c r="AY19" s="142" t="s">
        <v>138</v>
      </c>
      <c r="AZ19" s="143">
        <v>2</v>
      </c>
      <c r="BA19" s="144"/>
      <c r="BB19" s="142" t="s">
        <v>138</v>
      </c>
      <c r="BC19" s="143">
        <v>2</v>
      </c>
      <c r="BD19" s="144"/>
      <c r="BE19" s="142" t="s">
        <v>138</v>
      </c>
      <c r="BF19" s="143">
        <v>2</v>
      </c>
      <c r="BG19" s="144"/>
      <c r="BH19" s="142" t="s">
        <v>138</v>
      </c>
      <c r="BI19" s="143">
        <v>2</v>
      </c>
      <c r="BJ19" s="144"/>
      <c r="BK19" s="142" t="s">
        <v>138</v>
      </c>
      <c r="BL19" s="143">
        <v>5</v>
      </c>
      <c r="BM19" s="144"/>
      <c r="BN19" s="142" t="s">
        <v>138</v>
      </c>
      <c r="BO19" s="143">
        <v>5</v>
      </c>
      <c r="BP19" s="144"/>
      <c r="BQ19" s="142" t="s">
        <v>138</v>
      </c>
      <c r="BR19" s="143">
        <v>2</v>
      </c>
      <c r="BS19" s="144"/>
      <c r="BT19" s="142" t="s">
        <v>138</v>
      </c>
      <c r="BU19" s="143">
        <v>2</v>
      </c>
      <c r="BV19" s="144"/>
      <c r="BW19" s="142" t="s">
        <v>138</v>
      </c>
      <c r="BX19" s="143">
        <v>2</v>
      </c>
      <c r="BY19" s="144"/>
      <c r="BZ19" s="142" t="s">
        <v>138</v>
      </c>
      <c r="CA19" s="143">
        <v>5</v>
      </c>
      <c r="CB19" s="144"/>
      <c r="CC19" s="142" t="s">
        <v>138</v>
      </c>
      <c r="CD19" s="143">
        <v>5</v>
      </c>
      <c r="CE19" s="144"/>
      <c r="CF19" s="142" t="s">
        <v>138</v>
      </c>
      <c r="CG19" s="143">
        <v>2</v>
      </c>
      <c r="CH19" s="144"/>
      <c r="CI19" s="142" t="s">
        <v>138</v>
      </c>
      <c r="CJ19" s="143">
        <v>2</v>
      </c>
      <c r="CK19" s="144"/>
      <c r="CL19" s="142" t="s">
        <v>138</v>
      </c>
      <c r="CM19" s="143">
        <v>2</v>
      </c>
      <c r="CN19" s="144"/>
      <c r="CO19" s="142" t="s">
        <v>138</v>
      </c>
      <c r="CP19" s="143">
        <v>2</v>
      </c>
      <c r="CQ19" s="144"/>
      <c r="CR19" s="142" t="s">
        <v>138</v>
      </c>
      <c r="CS19" s="143">
        <v>2</v>
      </c>
      <c r="CT19" s="144"/>
      <c r="CU19" s="142" t="s">
        <v>138</v>
      </c>
      <c r="CV19" s="143">
        <v>2</v>
      </c>
      <c r="CW19" s="144"/>
      <c r="CX19" s="142" t="s">
        <v>138</v>
      </c>
      <c r="CY19" s="143">
        <v>2</v>
      </c>
      <c r="CZ19" s="144"/>
      <c r="DA19" s="142" t="s">
        <v>138</v>
      </c>
      <c r="DB19" s="143">
        <v>2</v>
      </c>
      <c r="DC19" s="144"/>
    </row>
    <row r="20" spans="1:107">
      <c r="A20" s="149" t="s">
        <v>139</v>
      </c>
      <c r="B20" s="150" t="s">
        <v>140</v>
      </c>
      <c r="C20" s="142" t="s">
        <v>138</v>
      </c>
      <c r="D20" s="143">
        <v>5</v>
      </c>
      <c r="E20" s="144"/>
      <c r="F20" s="142" t="s">
        <v>138</v>
      </c>
      <c r="G20" s="143">
        <v>5</v>
      </c>
      <c r="H20" s="144"/>
      <c r="I20" s="142" t="s">
        <v>138</v>
      </c>
      <c r="J20" s="143">
        <v>5</v>
      </c>
      <c r="K20" s="144"/>
      <c r="L20" s="142" t="s">
        <v>138</v>
      </c>
      <c r="M20" s="143">
        <v>2</v>
      </c>
      <c r="N20" s="144"/>
      <c r="O20" s="142" t="s">
        <v>138</v>
      </c>
      <c r="P20" s="143">
        <v>2</v>
      </c>
      <c r="Q20" s="144"/>
      <c r="R20" s="142" t="s">
        <v>138</v>
      </c>
      <c r="S20" s="143">
        <v>5</v>
      </c>
      <c r="T20" s="144"/>
      <c r="U20" s="142" t="s">
        <v>138</v>
      </c>
      <c r="V20" s="143">
        <v>5</v>
      </c>
      <c r="W20" s="144"/>
      <c r="X20" s="142" t="s">
        <v>138</v>
      </c>
      <c r="Y20" s="143">
        <v>5</v>
      </c>
      <c r="Z20" s="144"/>
      <c r="AA20" s="142" t="s">
        <v>138</v>
      </c>
      <c r="AB20" s="143">
        <v>2</v>
      </c>
      <c r="AC20" s="144"/>
      <c r="AD20" s="142" t="s">
        <v>138</v>
      </c>
      <c r="AE20" s="143">
        <v>2</v>
      </c>
      <c r="AF20" s="144"/>
      <c r="AG20" s="142" t="s">
        <v>138</v>
      </c>
      <c r="AH20" s="143">
        <v>2</v>
      </c>
      <c r="AI20" s="144"/>
      <c r="AJ20" s="142" t="s">
        <v>138</v>
      </c>
      <c r="AK20" s="143">
        <v>2</v>
      </c>
      <c r="AL20" s="144"/>
      <c r="AM20" s="142" t="s">
        <v>138</v>
      </c>
      <c r="AN20" s="143">
        <v>2</v>
      </c>
      <c r="AO20" s="144"/>
      <c r="AP20" s="142" t="s">
        <v>138</v>
      </c>
      <c r="AQ20" s="143">
        <v>2</v>
      </c>
      <c r="AR20" s="144"/>
      <c r="AS20" s="142" t="s">
        <v>138</v>
      </c>
      <c r="AT20" s="143">
        <v>2</v>
      </c>
      <c r="AU20" s="144"/>
      <c r="AV20" s="142" t="s">
        <v>138</v>
      </c>
      <c r="AW20" s="143">
        <v>2</v>
      </c>
      <c r="AX20" s="144"/>
      <c r="AY20" s="142" t="s">
        <v>138</v>
      </c>
      <c r="AZ20" s="143">
        <v>2</v>
      </c>
      <c r="BA20" s="144"/>
      <c r="BB20" s="142" t="s">
        <v>138</v>
      </c>
      <c r="BC20" s="143">
        <v>2</v>
      </c>
      <c r="BD20" s="144"/>
      <c r="BE20" s="142" t="s">
        <v>138</v>
      </c>
      <c r="BF20" s="143">
        <v>2</v>
      </c>
      <c r="BG20" s="144"/>
      <c r="BH20" s="142" t="s">
        <v>138</v>
      </c>
      <c r="BI20" s="143">
        <v>2</v>
      </c>
      <c r="BJ20" s="144"/>
      <c r="BK20" s="142" t="s">
        <v>138</v>
      </c>
      <c r="BL20" s="143">
        <v>5</v>
      </c>
      <c r="BM20" s="144"/>
      <c r="BN20" s="142" t="s">
        <v>138</v>
      </c>
      <c r="BO20" s="143">
        <v>5</v>
      </c>
      <c r="BP20" s="144"/>
      <c r="BQ20" s="142" t="s">
        <v>138</v>
      </c>
      <c r="BR20" s="143">
        <v>2</v>
      </c>
      <c r="BS20" s="144"/>
      <c r="BT20" s="142" t="s">
        <v>138</v>
      </c>
      <c r="BU20" s="143">
        <v>2</v>
      </c>
      <c r="BV20" s="144"/>
      <c r="BW20" s="142" t="s">
        <v>138</v>
      </c>
      <c r="BX20" s="143">
        <v>2</v>
      </c>
      <c r="BY20" s="144"/>
      <c r="BZ20" s="142" t="s">
        <v>138</v>
      </c>
      <c r="CA20" s="143">
        <v>2</v>
      </c>
      <c r="CB20" s="144"/>
      <c r="CC20" s="142" t="s">
        <v>138</v>
      </c>
      <c r="CD20" s="143">
        <v>2</v>
      </c>
      <c r="CE20" s="144"/>
      <c r="CF20" s="142" t="s">
        <v>138</v>
      </c>
      <c r="CG20" s="143">
        <v>2</v>
      </c>
      <c r="CH20" s="144"/>
      <c r="CI20" s="142" t="s">
        <v>138</v>
      </c>
      <c r="CJ20" s="143">
        <v>2</v>
      </c>
      <c r="CK20" s="144"/>
      <c r="CL20" s="142" t="s">
        <v>138</v>
      </c>
      <c r="CM20" s="143">
        <v>2</v>
      </c>
      <c r="CN20" s="144"/>
      <c r="CO20" s="142" t="s">
        <v>138</v>
      </c>
      <c r="CP20" s="143">
        <v>2</v>
      </c>
      <c r="CQ20" s="144"/>
      <c r="CR20" s="142" t="s">
        <v>138</v>
      </c>
      <c r="CS20" s="143">
        <v>2</v>
      </c>
      <c r="CT20" s="144"/>
      <c r="CU20" s="142" t="s">
        <v>138</v>
      </c>
      <c r="CV20" s="143">
        <v>2</v>
      </c>
      <c r="CW20" s="144"/>
      <c r="CX20" s="142" t="s">
        <v>138</v>
      </c>
      <c r="CY20" s="143">
        <v>2</v>
      </c>
      <c r="CZ20" s="144"/>
      <c r="DA20" s="142" t="s">
        <v>138</v>
      </c>
      <c r="DB20" s="143">
        <v>2</v>
      </c>
      <c r="DC20" s="144"/>
    </row>
    <row r="21" spans="1:107">
      <c r="A21" s="149" t="s">
        <v>141</v>
      </c>
      <c r="B21" s="150" t="s">
        <v>142</v>
      </c>
      <c r="C21" s="142" t="s">
        <v>138</v>
      </c>
      <c r="D21" s="143">
        <v>5</v>
      </c>
      <c r="E21" s="152"/>
      <c r="F21" s="142" t="s">
        <v>138</v>
      </c>
      <c r="G21" s="143">
        <v>5</v>
      </c>
      <c r="H21" s="152"/>
      <c r="I21" s="142" t="s">
        <v>138</v>
      </c>
      <c r="J21" s="143">
        <v>5</v>
      </c>
      <c r="K21" s="152"/>
      <c r="L21" s="142" t="s">
        <v>138</v>
      </c>
      <c r="M21" s="143">
        <v>2</v>
      </c>
      <c r="N21" s="152"/>
      <c r="O21" s="142" t="s">
        <v>138</v>
      </c>
      <c r="P21" s="143">
        <v>2</v>
      </c>
      <c r="Q21" s="152"/>
      <c r="R21" s="142" t="s">
        <v>138</v>
      </c>
      <c r="S21" s="143">
        <v>5</v>
      </c>
      <c r="T21" s="152"/>
      <c r="U21" s="142" t="s">
        <v>138</v>
      </c>
      <c r="V21" s="143">
        <v>5</v>
      </c>
      <c r="W21" s="152"/>
      <c r="X21" s="142" t="s">
        <v>138</v>
      </c>
      <c r="Y21" s="143">
        <v>5</v>
      </c>
      <c r="Z21" s="152"/>
      <c r="AA21" s="142" t="s">
        <v>138</v>
      </c>
      <c r="AB21" s="143">
        <v>2</v>
      </c>
      <c r="AC21" s="152"/>
      <c r="AD21" s="142" t="s">
        <v>138</v>
      </c>
      <c r="AE21" s="143">
        <v>2</v>
      </c>
      <c r="AF21" s="152"/>
      <c r="AG21" s="142" t="s">
        <v>138</v>
      </c>
      <c r="AH21" s="143">
        <v>2</v>
      </c>
      <c r="AI21" s="152"/>
      <c r="AJ21" s="142" t="s">
        <v>138</v>
      </c>
      <c r="AK21" s="143">
        <v>2</v>
      </c>
      <c r="AL21" s="152"/>
      <c r="AM21" s="142" t="s">
        <v>138</v>
      </c>
      <c r="AN21" s="143">
        <v>2</v>
      </c>
      <c r="AO21" s="152"/>
      <c r="AP21" s="142" t="s">
        <v>138</v>
      </c>
      <c r="AQ21" s="143">
        <v>2</v>
      </c>
      <c r="AR21" s="152"/>
      <c r="AS21" s="142" t="s">
        <v>138</v>
      </c>
      <c r="AT21" s="143">
        <v>2</v>
      </c>
      <c r="AU21" s="152"/>
      <c r="AV21" s="142" t="s">
        <v>138</v>
      </c>
      <c r="AW21" s="143">
        <v>2</v>
      </c>
      <c r="AX21" s="152"/>
      <c r="AY21" s="142" t="s">
        <v>138</v>
      </c>
      <c r="AZ21" s="143">
        <v>2</v>
      </c>
      <c r="BA21" s="152"/>
      <c r="BB21" s="142" t="s">
        <v>138</v>
      </c>
      <c r="BC21" s="143">
        <v>2</v>
      </c>
      <c r="BD21" s="152"/>
      <c r="BE21" s="142" t="s">
        <v>138</v>
      </c>
      <c r="BF21" s="143">
        <v>2</v>
      </c>
      <c r="BG21" s="152"/>
      <c r="BH21" s="142" t="s">
        <v>138</v>
      </c>
      <c r="BI21" s="143">
        <v>2</v>
      </c>
      <c r="BJ21" s="152"/>
      <c r="BK21" s="142" t="s">
        <v>138</v>
      </c>
      <c r="BL21" s="143">
        <v>5</v>
      </c>
      <c r="BM21" s="152"/>
      <c r="BN21" s="142" t="s">
        <v>138</v>
      </c>
      <c r="BO21" s="143">
        <v>5</v>
      </c>
      <c r="BP21" s="152"/>
      <c r="BQ21" s="142" t="s">
        <v>138</v>
      </c>
      <c r="BR21" s="143">
        <v>2</v>
      </c>
      <c r="BS21" s="152"/>
      <c r="BT21" s="142" t="s">
        <v>138</v>
      </c>
      <c r="BU21" s="143">
        <v>2</v>
      </c>
      <c r="BV21" s="152"/>
      <c r="BW21" s="142" t="s">
        <v>138</v>
      </c>
      <c r="BX21" s="143">
        <v>2</v>
      </c>
      <c r="BY21" s="152"/>
      <c r="BZ21" s="142" t="s">
        <v>138</v>
      </c>
      <c r="CA21" s="143">
        <v>2</v>
      </c>
      <c r="CB21" s="152"/>
      <c r="CC21" s="142" t="s">
        <v>138</v>
      </c>
      <c r="CD21" s="143">
        <v>2</v>
      </c>
      <c r="CE21" s="152"/>
      <c r="CF21" s="142" t="s">
        <v>138</v>
      </c>
      <c r="CG21" s="143">
        <v>2</v>
      </c>
      <c r="CH21" s="152"/>
      <c r="CI21" s="142" t="s">
        <v>138</v>
      </c>
      <c r="CJ21" s="143">
        <v>2</v>
      </c>
      <c r="CK21" s="152"/>
      <c r="CL21" s="142" t="s">
        <v>138</v>
      </c>
      <c r="CM21" s="143">
        <v>2</v>
      </c>
      <c r="CN21" s="152"/>
      <c r="CO21" s="142" t="s">
        <v>138</v>
      </c>
      <c r="CP21" s="143">
        <v>2</v>
      </c>
      <c r="CQ21" s="152"/>
      <c r="CR21" s="142" t="s">
        <v>138</v>
      </c>
      <c r="CS21" s="143">
        <v>2</v>
      </c>
      <c r="CT21" s="152"/>
      <c r="CU21" s="142" t="s">
        <v>138</v>
      </c>
      <c r="CV21" s="143">
        <v>2</v>
      </c>
      <c r="CW21" s="152"/>
      <c r="CX21" s="142" t="s">
        <v>138</v>
      </c>
      <c r="CY21" s="143">
        <v>2</v>
      </c>
      <c r="CZ21" s="152"/>
      <c r="DA21" s="142" t="s">
        <v>138</v>
      </c>
      <c r="DB21" s="143">
        <v>2</v>
      </c>
      <c r="DC21" s="152"/>
    </row>
    <row r="22" spans="1:107">
      <c r="A22" s="149" t="s">
        <v>143</v>
      </c>
      <c r="B22" s="150" t="s">
        <v>144</v>
      </c>
      <c r="C22" s="142" t="s">
        <v>138</v>
      </c>
      <c r="D22" s="143">
        <v>5</v>
      </c>
      <c r="E22" s="152"/>
      <c r="F22" s="142" t="s">
        <v>138</v>
      </c>
      <c r="G22" s="143">
        <v>5</v>
      </c>
      <c r="H22" s="152"/>
      <c r="I22" s="142" t="s">
        <v>138</v>
      </c>
      <c r="J22" s="143">
        <v>5</v>
      </c>
      <c r="K22" s="152"/>
      <c r="L22" s="142" t="s">
        <v>138</v>
      </c>
      <c r="M22" s="143">
        <v>2</v>
      </c>
      <c r="N22" s="152"/>
      <c r="O22" s="142" t="s">
        <v>138</v>
      </c>
      <c r="P22" s="143">
        <v>2</v>
      </c>
      <c r="Q22" s="152"/>
      <c r="R22" s="142" t="s">
        <v>138</v>
      </c>
      <c r="S22" s="143">
        <v>5</v>
      </c>
      <c r="T22" s="152"/>
      <c r="U22" s="142" t="s">
        <v>138</v>
      </c>
      <c r="V22" s="143">
        <v>5</v>
      </c>
      <c r="W22" s="152"/>
      <c r="X22" s="142" t="s">
        <v>138</v>
      </c>
      <c r="Y22" s="143">
        <v>5</v>
      </c>
      <c r="Z22" s="152"/>
      <c r="AA22" s="142" t="s">
        <v>138</v>
      </c>
      <c r="AB22" s="143">
        <v>2</v>
      </c>
      <c r="AC22" s="152"/>
      <c r="AD22" s="142" t="s">
        <v>138</v>
      </c>
      <c r="AE22" s="143">
        <v>2</v>
      </c>
      <c r="AF22" s="152"/>
      <c r="AG22" s="142" t="s">
        <v>138</v>
      </c>
      <c r="AH22" s="143">
        <v>2</v>
      </c>
      <c r="AI22" s="152"/>
      <c r="AJ22" s="142" t="s">
        <v>138</v>
      </c>
      <c r="AK22" s="143">
        <v>2</v>
      </c>
      <c r="AL22" s="152"/>
      <c r="AM22" s="142" t="s">
        <v>138</v>
      </c>
      <c r="AN22" s="143">
        <v>2</v>
      </c>
      <c r="AO22" s="152"/>
      <c r="AP22" s="142" t="s">
        <v>138</v>
      </c>
      <c r="AQ22" s="143">
        <v>2</v>
      </c>
      <c r="AR22" s="152"/>
      <c r="AS22" s="142" t="s">
        <v>138</v>
      </c>
      <c r="AT22" s="143">
        <v>2</v>
      </c>
      <c r="AU22" s="152"/>
      <c r="AV22" s="142" t="s">
        <v>138</v>
      </c>
      <c r="AW22" s="143">
        <v>2</v>
      </c>
      <c r="AX22" s="152"/>
      <c r="AY22" s="142" t="s">
        <v>138</v>
      </c>
      <c r="AZ22" s="143">
        <v>2</v>
      </c>
      <c r="BA22" s="152"/>
      <c r="BB22" s="142" t="s">
        <v>138</v>
      </c>
      <c r="BC22" s="143">
        <v>2</v>
      </c>
      <c r="BD22" s="152"/>
      <c r="BE22" s="142" t="s">
        <v>138</v>
      </c>
      <c r="BF22" s="143">
        <v>2</v>
      </c>
      <c r="BG22" s="152"/>
      <c r="BH22" s="142" t="s">
        <v>138</v>
      </c>
      <c r="BI22" s="143">
        <v>2</v>
      </c>
      <c r="BJ22" s="152"/>
      <c r="BK22" s="142" t="s">
        <v>138</v>
      </c>
      <c r="BL22" s="143">
        <v>5</v>
      </c>
      <c r="BM22" s="152"/>
      <c r="BN22" s="142" t="s">
        <v>138</v>
      </c>
      <c r="BO22" s="143">
        <v>5</v>
      </c>
      <c r="BP22" s="152"/>
      <c r="BQ22" s="142" t="s">
        <v>138</v>
      </c>
      <c r="BR22" s="143">
        <v>2</v>
      </c>
      <c r="BS22" s="152"/>
      <c r="BT22" s="142" t="s">
        <v>138</v>
      </c>
      <c r="BU22" s="143">
        <v>2</v>
      </c>
      <c r="BV22" s="152"/>
      <c r="BW22" s="142" t="s">
        <v>138</v>
      </c>
      <c r="BX22" s="143">
        <v>2</v>
      </c>
      <c r="BY22" s="152"/>
      <c r="BZ22" s="142" t="s">
        <v>138</v>
      </c>
      <c r="CA22" s="143">
        <v>2</v>
      </c>
      <c r="CB22" s="152"/>
      <c r="CC22" s="142" t="s">
        <v>138</v>
      </c>
      <c r="CD22" s="143">
        <v>2</v>
      </c>
      <c r="CE22" s="152"/>
      <c r="CF22" s="142" t="s">
        <v>138</v>
      </c>
      <c r="CG22" s="143">
        <v>2</v>
      </c>
      <c r="CH22" s="152"/>
      <c r="CI22" s="142" t="s">
        <v>138</v>
      </c>
      <c r="CJ22" s="143">
        <v>2</v>
      </c>
      <c r="CK22" s="152"/>
      <c r="CL22" s="142" t="s">
        <v>138</v>
      </c>
      <c r="CM22" s="143">
        <v>2</v>
      </c>
      <c r="CN22" s="152"/>
      <c r="CO22" s="142" t="s">
        <v>138</v>
      </c>
      <c r="CP22" s="143">
        <v>2</v>
      </c>
      <c r="CQ22" s="152"/>
      <c r="CR22" s="142" t="s">
        <v>138</v>
      </c>
      <c r="CS22" s="143">
        <v>2</v>
      </c>
      <c r="CT22" s="152"/>
      <c r="CU22" s="142" t="s">
        <v>138</v>
      </c>
      <c r="CV22" s="143">
        <v>2</v>
      </c>
      <c r="CW22" s="152"/>
      <c r="CX22" s="142" t="s">
        <v>138</v>
      </c>
      <c r="CY22" s="143">
        <v>2</v>
      </c>
      <c r="CZ22" s="152"/>
      <c r="DA22" s="142" t="s">
        <v>138</v>
      </c>
      <c r="DB22" s="143">
        <v>2</v>
      </c>
      <c r="DC22" s="152"/>
    </row>
    <row r="23" spans="1:107">
      <c r="A23" s="149" t="s">
        <v>145</v>
      </c>
      <c r="B23" s="150" t="s">
        <v>146</v>
      </c>
      <c r="C23" s="142" t="s">
        <v>138</v>
      </c>
      <c r="D23" s="143">
        <v>5</v>
      </c>
      <c r="E23" s="144"/>
      <c r="F23" s="142" t="s">
        <v>138</v>
      </c>
      <c r="G23" s="143">
        <v>5</v>
      </c>
      <c r="H23" s="144"/>
      <c r="I23" s="142" t="s">
        <v>138</v>
      </c>
      <c r="J23" s="143">
        <v>5</v>
      </c>
      <c r="K23" s="144"/>
      <c r="L23" s="142" t="s">
        <v>138</v>
      </c>
      <c r="M23" s="143">
        <v>2</v>
      </c>
      <c r="N23" s="144"/>
      <c r="O23" s="142" t="s">
        <v>138</v>
      </c>
      <c r="P23" s="143">
        <v>2</v>
      </c>
      <c r="Q23" s="144"/>
      <c r="R23" s="142" t="s">
        <v>138</v>
      </c>
      <c r="S23" s="143">
        <v>5</v>
      </c>
      <c r="T23" s="144"/>
      <c r="U23" s="142" t="s">
        <v>138</v>
      </c>
      <c r="V23" s="143">
        <v>5</v>
      </c>
      <c r="W23" s="144"/>
      <c r="X23" s="142" t="s">
        <v>138</v>
      </c>
      <c r="Y23" s="143">
        <v>5</v>
      </c>
      <c r="Z23" s="144"/>
      <c r="AA23" s="142" t="s">
        <v>138</v>
      </c>
      <c r="AB23" s="143">
        <v>2</v>
      </c>
      <c r="AC23" s="144"/>
      <c r="AD23" s="142" t="s">
        <v>138</v>
      </c>
      <c r="AE23" s="143">
        <v>2</v>
      </c>
      <c r="AF23" s="144"/>
      <c r="AG23" s="142" t="s">
        <v>138</v>
      </c>
      <c r="AH23" s="143">
        <v>2</v>
      </c>
      <c r="AI23" s="144"/>
      <c r="AJ23" s="142" t="s">
        <v>138</v>
      </c>
      <c r="AK23" s="143">
        <v>2</v>
      </c>
      <c r="AL23" s="144"/>
      <c r="AM23" s="142" t="s">
        <v>138</v>
      </c>
      <c r="AN23" s="143">
        <v>2</v>
      </c>
      <c r="AO23" s="144"/>
      <c r="AP23" s="142" t="s">
        <v>138</v>
      </c>
      <c r="AQ23" s="143">
        <v>2</v>
      </c>
      <c r="AR23" s="144"/>
      <c r="AS23" s="142" t="s">
        <v>138</v>
      </c>
      <c r="AT23" s="143">
        <v>2</v>
      </c>
      <c r="AU23" s="144"/>
      <c r="AV23" s="142" t="s">
        <v>138</v>
      </c>
      <c r="AW23" s="143">
        <v>2</v>
      </c>
      <c r="AX23" s="144"/>
      <c r="AY23" s="142" t="s">
        <v>138</v>
      </c>
      <c r="AZ23" s="143">
        <v>2</v>
      </c>
      <c r="BA23" s="144"/>
      <c r="BB23" s="142" t="s">
        <v>138</v>
      </c>
      <c r="BC23" s="143">
        <v>2</v>
      </c>
      <c r="BD23" s="144"/>
      <c r="BE23" s="142" t="s">
        <v>138</v>
      </c>
      <c r="BF23" s="143">
        <v>2</v>
      </c>
      <c r="BG23" s="144"/>
      <c r="BH23" s="142" t="s">
        <v>138</v>
      </c>
      <c r="BI23" s="143">
        <v>2</v>
      </c>
      <c r="BJ23" s="144"/>
      <c r="BK23" s="142" t="s">
        <v>138</v>
      </c>
      <c r="BL23" s="143">
        <v>5</v>
      </c>
      <c r="BM23" s="144"/>
      <c r="BN23" s="142" t="s">
        <v>138</v>
      </c>
      <c r="BO23" s="143">
        <v>5</v>
      </c>
      <c r="BP23" s="144"/>
      <c r="BQ23" s="142" t="s">
        <v>138</v>
      </c>
      <c r="BR23" s="143">
        <v>2</v>
      </c>
      <c r="BS23" s="144"/>
      <c r="BT23" s="142" t="s">
        <v>138</v>
      </c>
      <c r="BU23" s="143">
        <v>2</v>
      </c>
      <c r="BV23" s="144"/>
      <c r="BW23" s="142" t="s">
        <v>138</v>
      </c>
      <c r="BX23" s="143">
        <v>2</v>
      </c>
      <c r="BY23" s="144"/>
      <c r="BZ23" s="142" t="s">
        <v>138</v>
      </c>
      <c r="CA23" s="143">
        <v>2</v>
      </c>
      <c r="CB23" s="144"/>
      <c r="CC23" s="142" t="s">
        <v>138</v>
      </c>
      <c r="CD23" s="143">
        <v>2</v>
      </c>
      <c r="CE23" s="144"/>
      <c r="CF23" s="142" t="s">
        <v>138</v>
      </c>
      <c r="CG23" s="143">
        <v>2</v>
      </c>
      <c r="CH23" s="144"/>
      <c r="CI23" s="142" t="s">
        <v>138</v>
      </c>
      <c r="CJ23" s="143">
        <v>2</v>
      </c>
      <c r="CK23" s="144"/>
      <c r="CL23" s="142" t="s">
        <v>138</v>
      </c>
      <c r="CM23" s="143">
        <v>2</v>
      </c>
      <c r="CN23" s="144"/>
      <c r="CO23" s="142" t="s">
        <v>138</v>
      </c>
      <c r="CP23" s="143">
        <v>2</v>
      </c>
      <c r="CQ23" s="144"/>
      <c r="CR23" s="142" t="s">
        <v>138</v>
      </c>
      <c r="CS23" s="143">
        <v>2</v>
      </c>
      <c r="CT23" s="144"/>
      <c r="CU23" s="142" t="s">
        <v>138</v>
      </c>
      <c r="CV23" s="143">
        <v>2</v>
      </c>
      <c r="CW23" s="144"/>
      <c r="CX23" s="142" t="s">
        <v>138</v>
      </c>
      <c r="CY23" s="143">
        <v>2</v>
      </c>
      <c r="CZ23" s="144"/>
      <c r="DA23" s="142" t="s">
        <v>138</v>
      </c>
      <c r="DB23" s="143">
        <v>2</v>
      </c>
      <c r="DC23" s="144"/>
    </row>
    <row r="24" spans="1:107">
      <c r="A24" s="149" t="s">
        <v>147</v>
      </c>
      <c r="B24" s="150" t="s">
        <v>148</v>
      </c>
      <c r="C24" s="142" t="s">
        <v>138</v>
      </c>
      <c r="D24" s="143">
        <v>5</v>
      </c>
      <c r="E24" s="144"/>
      <c r="F24" s="142" t="s">
        <v>138</v>
      </c>
      <c r="G24" s="143">
        <v>5</v>
      </c>
      <c r="H24" s="144"/>
      <c r="I24" s="142" t="s">
        <v>138</v>
      </c>
      <c r="J24" s="143">
        <v>5</v>
      </c>
      <c r="K24" s="144"/>
      <c r="L24" s="142" t="s">
        <v>138</v>
      </c>
      <c r="M24" s="143">
        <v>2</v>
      </c>
      <c r="N24" s="144"/>
      <c r="O24" s="142" t="s">
        <v>138</v>
      </c>
      <c r="P24" s="143">
        <v>2</v>
      </c>
      <c r="Q24" s="144"/>
      <c r="R24" s="142" t="s">
        <v>138</v>
      </c>
      <c r="S24" s="143">
        <v>5</v>
      </c>
      <c r="T24" s="144"/>
      <c r="U24" s="142" t="s">
        <v>138</v>
      </c>
      <c r="V24" s="143">
        <v>5</v>
      </c>
      <c r="W24" s="144"/>
      <c r="X24" s="142" t="s">
        <v>138</v>
      </c>
      <c r="Y24" s="143">
        <v>5</v>
      </c>
      <c r="Z24" s="144"/>
      <c r="AA24" s="142" t="s">
        <v>138</v>
      </c>
      <c r="AB24" s="143">
        <v>2</v>
      </c>
      <c r="AC24" s="144"/>
      <c r="AD24" s="142" t="s">
        <v>138</v>
      </c>
      <c r="AE24" s="143">
        <v>2</v>
      </c>
      <c r="AF24" s="144"/>
      <c r="AG24" s="142" t="s">
        <v>138</v>
      </c>
      <c r="AH24" s="143">
        <v>2</v>
      </c>
      <c r="AI24" s="144"/>
      <c r="AJ24" s="142" t="s">
        <v>138</v>
      </c>
      <c r="AK24" s="143">
        <v>2</v>
      </c>
      <c r="AL24" s="144"/>
      <c r="AM24" s="142" t="s">
        <v>138</v>
      </c>
      <c r="AN24" s="143">
        <v>2</v>
      </c>
      <c r="AO24" s="144"/>
      <c r="AP24" s="142" t="s">
        <v>138</v>
      </c>
      <c r="AQ24" s="143">
        <v>2</v>
      </c>
      <c r="AR24" s="144"/>
      <c r="AS24" s="142" t="s">
        <v>138</v>
      </c>
      <c r="AT24" s="143">
        <v>2</v>
      </c>
      <c r="AU24" s="144"/>
      <c r="AV24" s="142" t="s">
        <v>138</v>
      </c>
      <c r="AW24" s="143">
        <v>2</v>
      </c>
      <c r="AX24" s="144"/>
      <c r="AY24" s="142" t="s">
        <v>138</v>
      </c>
      <c r="AZ24" s="143">
        <v>2</v>
      </c>
      <c r="BA24" s="144"/>
      <c r="BB24" s="142" t="s">
        <v>138</v>
      </c>
      <c r="BC24" s="143">
        <v>2</v>
      </c>
      <c r="BD24" s="144"/>
      <c r="BE24" s="142" t="s">
        <v>138</v>
      </c>
      <c r="BF24" s="143">
        <v>2</v>
      </c>
      <c r="BG24" s="144"/>
      <c r="BH24" s="142" t="s">
        <v>138</v>
      </c>
      <c r="BI24" s="143">
        <v>2</v>
      </c>
      <c r="BJ24" s="144"/>
      <c r="BK24" s="142" t="s">
        <v>138</v>
      </c>
      <c r="BL24" s="143">
        <v>5</v>
      </c>
      <c r="BM24" s="144"/>
      <c r="BN24" s="142" t="s">
        <v>138</v>
      </c>
      <c r="BO24" s="143">
        <v>5</v>
      </c>
      <c r="BP24" s="144"/>
      <c r="BQ24" s="142" t="s">
        <v>138</v>
      </c>
      <c r="BR24" s="143">
        <v>2</v>
      </c>
      <c r="BS24" s="144"/>
      <c r="BT24" s="142" t="s">
        <v>138</v>
      </c>
      <c r="BU24" s="143">
        <v>2</v>
      </c>
      <c r="BV24" s="144"/>
      <c r="BW24" s="142" t="s">
        <v>138</v>
      </c>
      <c r="BX24" s="143">
        <v>2</v>
      </c>
      <c r="BY24" s="144"/>
      <c r="BZ24" s="142" t="s">
        <v>138</v>
      </c>
      <c r="CA24" s="143">
        <v>2</v>
      </c>
      <c r="CB24" s="144"/>
      <c r="CC24" s="142" t="s">
        <v>138</v>
      </c>
      <c r="CD24" s="143">
        <v>2</v>
      </c>
      <c r="CE24" s="144"/>
      <c r="CF24" s="142" t="s">
        <v>138</v>
      </c>
      <c r="CG24" s="143">
        <v>2</v>
      </c>
      <c r="CH24" s="144"/>
      <c r="CI24" s="142" t="s">
        <v>138</v>
      </c>
      <c r="CJ24" s="143">
        <v>2</v>
      </c>
      <c r="CK24" s="144"/>
      <c r="CL24" s="142" t="s">
        <v>138</v>
      </c>
      <c r="CM24" s="143">
        <v>2</v>
      </c>
      <c r="CN24" s="144"/>
      <c r="CO24" s="142" t="s">
        <v>138</v>
      </c>
      <c r="CP24" s="143">
        <v>2</v>
      </c>
      <c r="CQ24" s="144"/>
      <c r="CR24" s="142" t="s">
        <v>138</v>
      </c>
      <c r="CS24" s="143">
        <v>2</v>
      </c>
      <c r="CT24" s="144"/>
      <c r="CU24" s="142" t="s">
        <v>138</v>
      </c>
      <c r="CV24" s="143">
        <v>2</v>
      </c>
      <c r="CW24" s="144"/>
      <c r="CX24" s="142" t="s">
        <v>138</v>
      </c>
      <c r="CY24" s="143">
        <v>2</v>
      </c>
      <c r="CZ24" s="144"/>
      <c r="DA24" s="142" t="s">
        <v>138</v>
      </c>
      <c r="DB24" s="143">
        <v>2</v>
      </c>
      <c r="DC24" s="144"/>
    </row>
    <row r="25" spans="1:107">
      <c r="A25" s="149" t="s">
        <v>149</v>
      </c>
      <c r="B25" s="150" t="s">
        <v>150</v>
      </c>
      <c r="C25" s="142" t="s">
        <v>138</v>
      </c>
      <c r="D25" s="143">
        <v>5</v>
      </c>
      <c r="E25" s="144"/>
      <c r="F25" s="142" t="s">
        <v>138</v>
      </c>
      <c r="G25" s="143">
        <v>5</v>
      </c>
      <c r="H25" s="144"/>
      <c r="I25" s="142" t="s">
        <v>138</v>
      </c>
      <c r="J25" s="143">
        <v>5</v>
      </c>
      <c r="K25" s="144"/>
      <c r="L25" s="142" t="s">
        <v>138</v>
      </c>
      <c r="M25" s="143">
        <v>2</v>
      </c>
      <c r="N25" s="144"/>
      <c r="O25" s="142" t="s">
        <v>138</v>
      </c>
      <c r="P25" s="143">
        <v>2</v>
      </c>
      <c r="Q25" s="144"/>
      <c r="R25" s="142" t="s">
        <v>138</v>
      </c>
      <c r="S25" s="143">
        <v>5</v>
      </c>
      <c r="T25" s="144"/>
      <c r="U25" s="142" t="s">
        <v>138</v>
      </c>
      <c r="V25" s="143">
        <v>5</v>
      </c>
      <c r="W25" s="144"/>
      <c r="X25" s="142" t="s">
        <v>138</v>
      </c>
      <c r="Y25" s="143">
        <v>5</v>
      </c>
      <c r="Z25" s="144"/>
      <c r="AA25" s="142" t="s">
        <v>138</v>
      </c>
      <c r="AB25" s="143">
        <v>2</v>
      </c>
      <c r="AC25" s="144"/>
      <c r="AD25" s="142" t="s">
        <v>138</v>
      </c>
      <c r="AE25" s="143">
        <v>2</v>
      </c>
      <c r="AF25" s="144"/>
      <c r="AG25" s="142" t="s">
        <v>138</v>
      </c>
      <c r="AH25" s="143">
        <v>2</v>
      </c>
      <c r="AI25" s="144"/>
      <c r="AJ25" s="142" t="s">
        <v>138</v>
      </c>
      <c r="AK25" s="143">
        <v>2</v>
      </c>
      <c r="AL25" s="144"/>
      <c r="AM25" s="142" t="s">
        <v>138</v>
      </c>
      <c r="AN25" s="143">
        <v>2</v>
      </c>
      <c r="AO25" s="144"/>
      <c r="AP25" s="142" t="s">
        <v>138</v>
      </c>
      <c r="AQ25" s="143">
        <v>2</v>
      </c>
      <c r="AR25" s="144"/>
      <c r="AS25" s="142" t="s">
        <v>138</v>
      </c>
      <c r="AT25" s="143">
        <v>2</v>
      </c>
      <c r="AU25" s="144"/>
      <c r="AV25" s="142" t="s">
        <v>138</v>
      </c>
      <c r="AW25" s="143">
        <v>2</v>
      </c>
      <c r="AX25" s="144"/>
      <c r="AY25" s="142" t="s">
        <v>138</v>
      </c>
      <c r="AZ25" s="143">
        <v>2</v>
      </c>
      <c r="BA25" s="144"/>
      <c r="BB25" s="142" t="s">
        <v>138</v>
      </c>
      <c r="BC25" s="143">
        <v>2</v>
      </c>
      <c r="BD25" s="144"/>
      <c r="BE25" s="142" t="s">
        <v>138</v>
      </c>
      <c r="BF25" s="143">
        <v>2</v>
      </c>
      <c r="BG25" s="144"/>
      <c r="BH25" s="142" t="s">
        <v>138</v>
      </c>
      <c r="BI25" s="143">
        <v>2</v>
      </c>
      <c r="BJ25" s="144"/>
      <c r="BK25" s="142"/>
      <c r="BL25" s="148">
        <v>34</v>
      </c>
      <c r="BM25" s="144"/>
      <c r="BN25" s="142"/>
      <c r="BO25" s="148">
        <v>22</v>
      </c>
      <c r="BP25" s="144"/>
      <c r="BQ25" s="142"/>
      <c r="BR25" s="148">
        <v>18</v>
      </c>
      <c r="BS25" s="144"/>
      <c r="BT25" s="142"/>
      <c r="BU25" s="148">
        <v>18</v>
      </c>
      <c r="BV25" s="144"/>
      <c r="BW25" s="142"/>
      <c r="BX25" s="148">
        <v>19</v>
      </c>
      <c r="BY25" s="144"/>
      <c r="BZ25" s="142"/>
      <c r="CA25" s="148">
        <v>30</v>
      </c>
      <c r="CB25" s="144"/>
      <c r="CC25" s="142"/>
      <c r="CD25" s="148">
        <v>21</v>
      </c>
      <c r="CE25" s="144"/>
      <c r="CF25" s="142"/>
      <c r="CG25" s="148">
        <v>26</v>
      </c>
      <c r="CH25" s="144"/>
      <c r="CI25" s="142"/>
      <c r="CJ25" s="148">
        <v>25</v>
      </c>
      <c r="CK25" s="144"/>
      <c r="CL25" s="142"/>
      <c r="CM25" s="148">
        <v>23</v>
      </c>
      <c r="CN25" s="144"/>
      <c r="CO25" s="142"/>
      <c r="CP25" s="148">
        <v>24</v>
      </c>
      <c r="CQ25" s="144"/>
      <c r="CR25" s="142"/>
      <c r="CS25" s="148">
        <v>24</v>
      </c>
      <c r="CT25" s="144"/>
      <c r="CU25" s="142"/>
      <c r="CV25" s="148">
        <v>24</v>
      </c>
      <c r="CW25" s="144"/>
      <c r="CX25" s="142"/>
      <c r="CY25" s="148">
        <v>21</v>
      </c>
      <c r="CZ25" s="144"/>
      <c r="DA25" s="142"/>
      <c r="DB25" s="148">
        <v>20</v>
      </c>
      <c r="DC25" s="144"/>
    </row>
    <row r="26" spans="1:107">
      <c r="A26" s="155" t="s">
        <v>151</v>
      </c>
      <c r="B26" s="156" t="s">
        <v>152</v>
      </c>
      <c r="C26" s="142" t="s">
        <v>138</v>
      </c>
      <c r="D26" s="143">
        <v>5</v>
      </c>
      <c r="E26" s="144"/>
      <c r="F26" s="142" t="s">
        <v>138</v>
      </c>
      <c r="G26" s="143">
        <v>5</v>
      </c>
      <c r="H26" s="144"/>
      <c r="I26" s="142" t="s">
        <v>138</v>
      </c>
      <c r="J26" s="143">
        <v>5</v>
      </c>
      <c r="K26" s="144"/>
      <c r="L26" s="142" t="s">
        <v>138</v>
      </c>
      <c r="M26" s="143">
        <v>2</v>
      </c>
      <c r="N26" s="144"/>
      <c r="O26" s="142" t="s">
        <v>138</v>
      </c>
      <c r="P26" s="143">
        <v>2</v>
      </c>
      <c r="Q26" s="144"/>
      <c r="R26" s="142" t="s">
        <v>138</v>
      </c>
      <c r="S26" s="143">
        <v>5</v>
      </c>
      <c r="T26" s="144"/>
      <c r="U26" s="142" t="s">
        <v>138</v>
      </c>
      <c r="V26" s="143">
        <v>5</v>
      </c>
      <c r="W26" s="144"/>
      <c r="X26" s="142" t="s">
        <v>138</v>
      </c>
      <c r="Y26" s="143">
        <v>5</v>
      </c>
      <c r="Z26" s="144"/>
      <c r="AA26" s="142" t="s">
        <v>138</v>
      </c>
      <c r="AB26" s="143">
        <v>2</v>
      </c>
      <c r="AC26" s="144"/>
      <c r="AD26" s="142" t="s">
        <v>138</v>
      </c>
      <c r="AE26" s="143">
        <v>2</v>
      </c>
      <c r="AF26" s="144"/>
      <c r="AG26" s="142" t="s">
        <v>138</v>
      </c>
      <c r="AH26" s="143">
        <v>2</v>
      </c>
      <c r="AI26" s="144"/>
      <c r="AJ26" s="142" t="s">
        <v>138</v>
      </c>
      <c r="AK26" s="143">
        <v>2</v>
      </c>
      <c r="AL26" s="144"/>
      <c r="AM26" s="142" t="s">
        <v>138</v>
      </c>
      <c r="AN26" s="143">
        <v>2</v>
      </c>
      <c r="AO26" s="144"/>
      <c r="AP26" s="142" t="s">
        <v>138</v>
      </c>
      <c r="AQ26" s="143">
        <v>2</v>
      </c>
      <c r="AR26" s="144"/>
      <c r="AS26" s="142" t="s">
        <v>138</v>
      </c>
      <c r="AT26" s="143">
        <v>2</v>
      </c>
      <c r="AU26" s="144"/>
      <c r="AV26" s="142" t="s">
        <v>138</v>
      </c>
      <c r="AW26" s="143">
        <v>2</v>
      </c>
      <c r="AX26" s="144"/>
      <c r="AY26" s="142" t="s">
        <v>138</v>
      </c>
      <c r="AZ26" s="143">
        <v>2</v>
      </c>
      <c r="BA26" s="144"/>
      <c r="BB26" s="142" t="s">
        <v>138</v>
      </c>
      <c r="BC26" s="143">
        <v>2</v>
      </c>
      <c r="BD26" s="144"/>
      <c r="BE26" s="142" t="s">
        <v>138</v>
      </c>
      <c r="BF26" s="143">
        <v>2</v>
      </c>
      <c r="BG26" s="144"/>
      <c r="BH26" s="142" t="s">
        <v>138</v>
      </c>
      <c r="BI26" s="143">
        <v>2</v>
      </c>
      <c r="BJ26" s="144"/>
      <c r="BK26" s="142" t="s">
        <v>138</v>
      </c>
      <c r="BL26" s="143">
        <v>5</v>
      </c>
      <c r="BM26" s="144"/>
      <c r="BN26" s="142" t="s">
        <v>138</v>
      </c>
      <c r="BO26" s="143">
        <v>5</v>
      </c>
      <c r="BP26" s="144"/>
      <c r="BQ26" s="142" t="s">
        <v>138</v>
      </c>
      <c r="BR26" s="143">
        <v>2</v>
      </c>
      <c r="BS26" s="144"/>
      <c r="BT26" s="142" t="s">
        <v>138</v>
      </c>
      <c r="BU26" s="143">
        <v>2</v>
      </c>
      <c r="BV26" s="144"/>
      <c r="BW26" s="142" t="s">
        <v>138</v>
      </c>
      <c r="BX26" s="143">
        <v>2</v>
      </c>
      <c r="BY26" s="144"/>
      <c r="BZ26" s="142" t="s">
        <v>138</v>
      </c>
      <c r="CA26" s="143">
        <v>2</v>
      </c>
      <c r="CB26" s="144"/>
      <c r="CC26" s="142" t="s">
        <v>138</v>
      </c>
      <c r="CD26" s="143">
        <v>2</v>
      </c>
      <c r="CE26" s="144"/>
      <c r="CF26" s="142" t="s">
        <v>138</v>
      </c>
      <c r="CG26" s="143">
        <v>2</v>
      </c>
      <c r="CH26" s="144"/>
      <c r="CI26" s="142" t="s">
        <v>138</v>
      </c>
      <c r="CJ26" s="143">
        <v>2</v>
      </c>
      <c r="CK26" s="144"/>
      <c r="CL26" s="142" t="s">
        <v>138</v>
      </c>
      <c r="CM26" s="143">
        <v>2</v>
      </c>
      <c r="CN26" s="144"/>
      <c r="CO26" s="142" t="s">
        <v>138</v>
      </c>
      <c r="CP26" s="143">
        <v>2</v>
      </c>
      <c r="CQ26" s="144"/>
      <c r="CR26" s="142" t="s">
        <v>138</v>
      </c>
      <c r="CS26" s="143">
        <v>2</v>
      </c>
      <c r="CT26" s="144"/>
      <c r="CU26" s="142" t="s">
        <v>138</v>
      </c>
      <c r="CV26" s="143">
        <v>2</v>
      </c>
      <c r="CW26" s="144"/>
      <c r="CX26" s="142" t="s">
        <v>138</v>
      </c>
      <c r="CY26" s="143">
        <v>2</v>
      </c>
      <c r="CZ26" s="144"/>
      <c r="DA26" s="142" t="s">
        <v>138</v>
      </c>
      <c r="DB26" s="143">
        <v>2</v>
      </c>
      <c r="DC26" s="144"/>
    </row>
    <row r="27" spans="1:107">
      <c r="A27" s="157" t="s">
        <v>153</v>
      </c>
      <c r="B27" s="158" t="s">
        <v>154</v>
      </c>
      <c r="C27" s="142" t="s">
        <v>138</v>
      </c>
      <c r="D27" s="143">
        <v>5</v>
      </c>
      <c r="E27" s="159"/>
      <c r="F27" s="142" t="s">
        <v>138</v>
      </c>
      <c r="G27" s="143">
        <v>5</v>
      </c>
      <c r="H27" s="159"/>
      <c r="I27" s="142" t="s">
        <v>138</v>
      </c>
      <c r="J27" s="143">
        <v>5</v>
      </c>
      <c r="K27" s="159"/>
      <c r="L27" s="142" t="s">
        <v>138</v>
      </c>
      <c r="M27" s="143">
        <v>2</v>
      </c>
      <c r="N27" s="159"/>
      <c r="O27" s="142" t="s">
        <v>138</v>
      </c>
      <c r="P27" s="143">
        <v>2</v>
      </c>
      <c r="Q27" s="159"/>
      <c r="R27" s="142" t="s">
        <v>138</v>
      </c>
      <c r="S27" s="143">
        <v>5</v>
      </c>
      <c r="T27" s="159"/>
      <c r="U27" s="142" t="s">
        <v>138</v>
      </c>
      <c r="V27" s="143">
        <v>5</v>
      </c>
      <c r="W27" s="159"/>
      <c r="X27" s="142" t="s">
        <v>138</v>
      </c>
      <c r="Y27" s="143">
        <v>5</v>
      </c>
      <c r="Z27" s="159"/>
      <c r="AA27" s="142" t="s">
        <v>138</v>
      </c>
      <c r="AB27" s="143">
        <v>2</v>
      </c>
      <c r="AC27" s="159"/>
      <c r="AD27" s="142" t="s">
        <v>138</v>
      </c>
      <c r="AE27" s="143">
        <v>2</v>
      </c>
      <c r="AF27" s="159"/>
      <c r="AG27" s="142" t="s">
        <v>138</v>
      </c>
      <c r="AH27" s="143">
        <v>2</v>
      </c>
      <c r="AI27" s="159"/>
      <c r="AJ27" s="142" t="s">
        <v>138</v>
      </c>
      <c r="AK27" s="143">
        <v>2</v>
      </c>
      <c r="AL27" s="159"/>
      <c r="AM27" s="142" t="s">
        <v>138</v>
      </c>
      <c r="AN27" s="143">
        <v>2</v>
      </c>
      <c r="AO27" s="159"/>
      <c r="AP27" s="142" t="s">
        <v>138</v>
      </c>
      <c r="AQ27" s="143">
        <v>2</v>
      </c>
      <c r="AR27" s="159"/>
      <c r="AS27" s="142" t="s">
        <v>138</v>
      </c>
      <c r="AT27" s="143">
        <v>2</v>
      </c>
      <c r="AU27" s="159"/>
      <c r="AV27" s="142" t="s">
        <v>138</v>
      </c>
      <c r="AW27" s="143">
        <v>2</v>
      </c>
      <c r="AX27" s="159"/>
      <c r="AY27" s="142" t="s">
        <v>138</v>
      </c>
      <c r="AZ27" s="143">
        <v>2</v>
      </c>
      <c r="BA27" s="159"/>
      <c r="BB27" s="142" t="s">
        <v>138</v>
      </c>
      <c r="BC27" s="143">
        <v>2</v>
      </c>
      <c r="BD27" s="159"/>
      <c r="BE27" s="142" t="s">
        <v>138</v>
      </c>
      <c r="BF27" s="143">
        <v>2</v>
      </c>
      <c r="BG27" s="159"/>
      <c r="BH27" s="142" t="s">
        <v>138</v>
      </c>
      <c r="BI27" s="143">
        <v>2</v>
      </c>
      <c r="BJ27" s="159"/>
      <c r="BK27" s="142" t="s">
        <v>138</v>
      </c>
      <c r="BL27" s="143">
        <v>5</v>
      </c>
      <c r="BM27" s="159"/>
      <c r="BN27" s="142" t="s">
        <v>138</v>
      </c>
      <c r="BO27" s="143">
        <v>5</v>
      </c>
      <c r="BP27" s="159"/>
      <c r="BQ27" s="142" t="s">
        <v>138</v>
      </c>
      <c r="BR27" s="143">
        <v>2</v>
      </c>
      <c r="BS27" s="159"/>
      <c r="BT27" s="142" t="s">
        <v>138</v>
      </c>
      <c r="BU27" s="143">
        <v>2</v>
      </c>
      <c r="BV27" s="159"/>
      <c r="BW27" s="142" t="s">
        <v>138</v>
      </c>
      <c r="BX27" s="143">
        <v>2</v>
      </c>
      <c r="BY27" s="159"/>
      <c r="BZ27" s="142" t="s">
        <v>138</v>
      </c>
      <c r="CA27" s="143">
        <v>2</v>
      </c>
      <c r="CB27" s="159"/>
      <c r="CC27" s="142" t="s">
        <v>138</v>
      </c>
      <c r="CD27" s="143">
        <v>2</v>
      </c>
      <c r="CE27" s="159"/>
      <c r="CF27" s="142" t="s">
        <v>138</v>
      </c>
      <c r="CG27" s="143">
        <v>2</v>
      </c>
      <c r="CH27" s="159"/>
      <c r="CI27" s="142" t="s">
        <v>138</v>
      </c>
      <c r="CJ27" s="143">
        <v>2</v>
      </c>
      <c r="CK27" s="159"/>
      <c r="CL27" s="142" t="s">
        <v>138</v>
      </c>
      <c r="CM27" s="143">
        <v>2</v>
      </c>
      <c r="CN27" s="159"/>
      <c r="CO27" s="142" t="s">
        <v>138</v>
      </c>
      <c r="CP27" s="143">
        <v>2</v>
      </c>
      <c r="CQ27" s="159"/>
      <c r="CR27" s="142" t="s">
        <v>138</v>
      </c>
      <c r="CS27" s="143">
        <v>2</v>
      </c>
      <c r="CT27" s="159"/>
      <c r="CU27" s="142" t="s">
        <v>138</v>
      </c>
      <c r="CV27" s="143">
        <v>2</v>
      </c>
      <c r="CW27" s="159"/>
      <c r="CX27" s="142" t="s">
        <v>138</v>
      </c>
      <c r="CY27" s="143">
        <v>2</v>
      </c>
      <c r="CZ27" s="159"/>
      <c r="DA27" s="142" t="s">
        <v>138</v>
      </c>
      <c r="DB27" s="143">
        <v>2</v>
      </c>
      <c r="DC27" s="159"/>
    </row>
    <row r="28" spans="1:107">
      <c r="A28" s="164" t="s">
        <v>155</v>
      </c>
      <c r="B28" s="165"/>
      <c r="C28" s="166"/>
      <c r="D28" s="167"/>
      <c r="E28" s="144"/>
      <c r="F28" s="166"/>
      <c r="G28" s="167"/>
      <c r="H28" s="144"/>
      <c r="I28" s="166"/>
      <c r="J28" s="167"/>
      <c r="K28" s="144"/>
      <c r="L28" s="166"/>
      <c r="M28" s="167"/>
      <c r="N28" s="144"/>
      <c r="O28" s="166"/>
      <c r="P28" s="167"/>
      <c r="Q28" s="144"/>
      <c r="R28" s="166"/>
      <c r="S28" s="167"/>
      <c r="T28" s="144"/>
      <c r="U28" s="166"/>
      <c r="V28" s="167"/>
      <c r="W28" s="144"/>
      <c r="X28" s="166"/>
      <c r="Y28" s="167"/>
      <c r="Z28" s="144"/>
      <c r="AA28" s="166"/>
      <c r="AB28" s="167"/>
      <c r="AC28" s="144"/>
      <c r="AD28" s="166"/>
      <c r="AE28" s="167"/>
      <c r="AF28" s="144"/>
      <c r="AG28" s="166"/>
      <c r="AH28" s="167"/>
      <c r="AI28" s="144"/>
      <c r="AJ28" s="166"/>
      <c r="AK28" s="167"/>
      <c r="AL28" s="144"/>
      <c r="AM28" s="166"/>
      <c r="AN28" s="167"/>
      <c r="AO28" s="144"/>
      <c r="AP28" s="166"/>
      <c r="AQ28" s="167"/>
      <c r="AR28" s="144"/>
      <c r="AS28" s="166"/>
      <c r="AT28" s="167"/>
      <c r="AU28" s="144"/>
      <c r="AV28" s="166"/>
      <c r="AW28" s="167"/>
      <c r="AX28" s="144"/>
      <c r="AY28" s="166"/>
      <c r="AZ28" s="167"/>
      <c r="BA28" s="144"/>
      <c r="BB28" s="166"/>
      <c r="BC28" s="167"/>
      <c r="BD28" s="144"/>
      <c r="BE28" s="166"/>
      <c r="BF28" s="167"/>
      <c r="BG28" s="144"/>
      <c r="BH28" s="166"/>
      <c r="BI28" s="167"/>
      <c r="BJ28" s="144"/>
      <c r="BK28" s="166"/>
      <c r="BL28" s="167"/>
      <c r="BM28" s="144"/>
      <c r="BN28" s="166"/>
      <c r="BO28" s="167"/>
      <c r="BP28" s="144"/>
      <c r="BQ28" s="166"/>
      <c r="BR28" s="167"/>
      <c r="BS28" s="144"/>
      <c r="BT28" s="166"/>
      <c r="BU28" s="167"/>
      <c r="BV28" s="144"/>
      <c r="BW28" s="166"/>
      <c r="BX28" s="167"/>
      <c r="BY28" s="144"/>
      <c r="BZ28" s="166"/>
      <c r="CA28" s="167"/>
      <c r="CB28" s="144"/>
      <c r="CC28" s="166"/>
      <c r="CD28" s="167"/>
      <c r="CE28" s="144"/>
      <c r="CF28" s="166"/>
      <c r="CG28" s="167"/>
      <c r="CH28" s="144"/>
      <c r="CI28" s="166"/>
      <c r="CJ28" s="167"/>
      <c r="CK28" s="144"/>
      <c r="CL28" s="166"/>
      <c r="CM28" s="167"/>
      <c r="CN28" s="144"/>
      <c r="CO28" s="166"/>
      <c r="CP28" s="167"/>
      <c r="CQ28" s="144"/>
      <c r="CR28" s="166"/>
      <c r="CS28" s="167"/>
      <c r="CT28" s="144"/>
      <c r="CU28" s="166"/>
      <c r="CV28" s="167"/>
      <c r="CW28" s="144"/>
      <c r="CX28" s="166"/>
      <c r="CY28" s="167"/>
      <c r="CZ28" s="144"/>
      <c r="DA28" s="166"/>
      <c r="DB28" s="167"/>
      <c r="DC28" s="144"/>
    </row>
    <row r="29" spans="1:107">
      <c r="A29" s="149" t="s">
        <v>156</v>
      </c>
      <c r="B29" s="150" t="s">
        <v>157</v>
      </c>
      <c r="C29" s="142"/>
      <c r="D29" s="169" t="s">
        <v>158</v>
      </c>
      <c r="E29" s="170"/>
      <c r="F29" s="142"/>
      <c r="G29" s="169" t="s">
        <v>158</v>
      </c>
      <c r="H29" s="170"/>
      <c r="I29" s="142"/>
      <c r="J29" s="169" t="s">
        <v>158</v>
      </c>
      <c r="K29" s="170"/>
      <c r="L29" s="142"/>
      <c r="M29" s="169" t="s">
        <v>158</v>
      </c>
      <c r="N29" s="170"/>
      <c r="O29" s="142"/>
      <c r="P29" s="169" t="s">
        <v>158</v>
      </c>
      <c r="Q29" s="170"/>
      <c r="R29" s="142"/>
      <c r="S29" s="169" t="s">
        <v>158</v>
      </c>
      <c r="T29" s="170"/>
      <c r="U29" s="142"/>
      <c r="V29" s="169" t="s">
        <v>158</v>
      </c>
      <c r="W29" s="170"/>
      <c r="X29" s="142"/>
      <c r="Y29" s="169" t="s">
        <v>158</v>
      </c>
      <c r="Z29" s="170"/>
      <c r="AA29" s="142"/>
      <c r="AB29" s="169" t="s">
        <v>158</v>
      </c>
      <c r="AC29" s="170"/>
      <c r="AD29" s="142"/>
      <c r="AE29" s="169" t="s">
        <v>158</v>
      </c>
      <c r="AF29" s="170"/>
      <c r="AG29" s="142"/>
      <c r="AH29" s="169" t="s">
        <v>158</v>
      </c>
      <c r="AI29" s="170"/>
      <c r="AJ29" s="142"/>
      <c r="AK29" s="169" t="s">
        <v>158</v>
      </c>
      <c r="AL29" s="170"/>
      <c r="AM29" s="142"/>
      <c r="AN29" s="169" t="s">
        <v>158</v>
      </c>
      <c r="AO29" s="170"/>
      <c r="AP29" s="142"/>
      <c r="AQ29" s="169" t="s">
        <v>158</v>
      </c>
      <c r="AR29" s="170"/>
      <c r="AS29" s="142"/>
      <c r="AT29" s="169" t="s">
        <v>158</v>
      </c>
      <c r="AU29" s="170"/>
      <c r="AV29" s="142"/>
      <c r="AW29" s="169" t="s">
        <v>158</v>
      </c>
      <c r="AX29" s="170"/>
      <c r="AY29" s="142"/>
      <c r="AZ29" s="169" t="s">
        <v>158</v>
      </c>
      <c r="BA29" s="170"/>
      <c r="BB29" s="142"/>
      <c r="BC29" s="169" t="s">
        <v>158</v>
      </c>
      <c r="BD29" s="170"/>
      <c r="BE29" s="142"/>
      <c r="BF29" s="169" t="s">
        <v>158</v>
      </c>
      <c r="BG29" s="170"/>
      <c r="BH29" s="142"/>
      <c r="BI29" s="169" t="s">
        <v>158</v>
      </c>
      <c r="BJ29" s="170"/>
      <c r="BK29" s="142"/>
      <c r="BL29" s="169" t="s">
        <v>158</v>
      </c>
      <c r="BM29" s="170"/>
      <c r="BN29" s="142"/>
      <c r="BO29" s="169" t="s">
        <v>158</v>
      </c>
      <c r="BP29" s="170"/>
      <c r="BQ29" s="142"/>
      <c r="BR29" s="169" t="s">
        <v>158</v>
      </c>
      <c r="BS29" s="170"/>
      <c r="BT29" s="142"/>
      <c r="BU29" s="169" t="s">
        <v>158</v>
      </c>
      <c r="BV29" s="170"/>
      <c r="BW29" s="142"/>
      <c r="BX29" s="169" t="s">
        <v>158</v>
      </c>
      <c r="BY29" s="170"/>
      <c r="BZ29" s="142"/>
      <c r="CA29" s="169" t="s">
        <v>158</v>
      </c>
      <c r="CB29" s="170"/>
      <c r="CC29" s="142"/>
      <c r="CD29" s="169" t="s">
        <v>158</v>
      </c>
      <c r="CE29" s="170"/>
      <c r="CF29" s="142"/>
      <c r="CG29" s="169" t="s">
        <v>158</v>
      </c>
      <c r="CH29" s="170"/>
      <c r="CI29" s="142"/>
      <c r="CJ29" s="169" t="s">
        <v>158</v>
      </c>
      <c r="CK29" s="170"/>
      <c r="CL29" s="142"/>
      <c r="CM29" s="169" t="s">
        <v>158</v>
      </c>
      <c r="CN29" s="170"/>
      <c r="CO29" s="142"/>
      <c r="CP29" s="169" t="s">
        <v>158</v>
      </c>
      <c r="CQ29" s="170"/>
      <c r="CR29" s="142"/>
      <c r="CS29" s="169" t="s">
        <v>158</v>
      </c>
      <c r="CT29" s="170"/>
      <c r="CU29" s="142"/>
      <c r="CV29" s="169" t="s">
        <v>158</v>
      </c>
      <c r="CW29" s="170"/>
      <c r="CX29" s="142"/>
      <c r="CY29" s="169" t="s">
        <v>158</v>
      </c>
      <c r="CZ29" s="170"/>
      <c r="DA29" s="142"/>
      <c r="DB29" s="169" t="s">
        <v>158</v>
      </c>
      <c r="DC29" s="170"/>
    </row>
    <row r="30" spans="1:107">
      <c r="A30" s="149" t="s">
        <v>159</v>
      </c>
      <c r="B30" s="150" t="s">
        <v>160</v>
      </c>
      <c r="C30" s="142"/>
      <c r="D30" s="169" t="s">
        <v>158</v>
      </c>
      <c r="E30" s="170"/>
      <c r="F30" s="142"/>
      <c r="G30" s="169" t="s">
        <v>158</v>
      </c>
      <c r="H30" s="170"/>
      <c r="I30" s="142"/>
      <c r="J30" s="169" t="s">
        <v>158</v>
      </c>
      <c r="K30" s="170"/>
      <c r="L30" s="142"/>
      <c r="M30" s="169" t="s">
        <v>158</v>
      </c>
      <c r="N30" s="170"/>
      <c r="O30" s="142"/>
      <c r="P30" s="169" t="s">
        <v>158</v>
      </c>
      <c r="Q30" s="170"/>
      <c r="R30" s="142"/>
      <c r="S30" s="169" t="s">
        <v>158</v>
      </c>
      <c r="T30" s="170"/>
      <c r="U30" s="142"/>
      <c r="V30" s="169" t="s">
        <v>158</v>
      </c>
      <c r="W30" s="170"/>
      <c r="X30" s="142"/>
      <c r="Y30" s="169" t="s">
        <v>158</v>
      </c>
      <c r="Z30" s="170"/>
      <c r="AA30" s="142"/>
      <c r="AB30" s="169" t="s">
        <v>158</v>
      </c>
      <c r="AC30" s="170"/>
      <c r="AD30" s="142"/>
      <c r="AE30" s="169" t="s">
        <v>158</v>
      </c>
      <c r="AF30" s="170"/>
      <c r="AG30" s="142"/>
      <c r="AH30" s="169" t="s">
        <v>158</v>
      </c>
      <c r="AI30" s="170"/>
      <c r="AJ30" s="142"/>
      <c r="AK30" s="169" t="s">
        <v>158</v>
      </c>
      <c r="AL30" s="170"/>
      <c r="AM30" s="142"/>
      <c r="AN30" s="169" t="s">
        <v>158</v>
      </c>
      <c r="AO30" s="170"/>
      <c r="AP30" s="142"/>
      <c r="AQ30" s="169" t="s">
        <v>158</v>
      </c>
      <c r="AR30" s="170"/>
      <c r="AS30" s="142"/>
      <c r="AT30" s="169" t="s">
        <v>158</v>
      </c>
      <c r="AU30" s="170"/>
      <c r="AV30" s="142"/>
      <c r="AW30" s="169" t="s">
        <v>158</v>
      </c>
      <c r="AX30" s="170"/>
      <c r="AY30" s="142"/>
      <c r="AZ30" s="169" t="s">
        <v>158</v>
      </c>
      <c r="BA30" s="170"/>
      <c r="BB30" s="142"/>
      <c r="BC30" s="169" t="s">
        <v>158</v>
      </c>
      <c r="BD30" s="170"/>
      <c r="BE30" s="142"/>
      <c r="BF30" s="169" t="s">
        <v>158</v>
      </c>
      <c r="BG30" s="170"/>
      <c r="BH30" s="142"/>
      <c r="BI30" s="169" t="s">
        <v>158</v>
      </c>
      <c r="BJ30" s="170"/>
      <c r="BK30" s="142"/>
      <c r="BL30" s="169" t="s">
        <v>158</v>
      </c>
      <c r="BM30" s="170"/>
      <c r="BN30" s="142"/>
      <c r="BO30" s="169" t="s">
        <v>158</v>
      </c>
      <c r="BP30" s="170"/>
      <c r="BQ30" s="142"/>
      <c r="BR30" s="169" t="s">
        <v>158</v>
      </c>
      <c r="BS30" s="170"/>
      <c r="BT30" s="142"/>
      <c r="BU30" s="169" t="s">
        <v>158</v>
      </c>
      <c r="BV30" s="170"/>
      <c r="BW30" s="142"/>
      <c r="BX30" s="169" t="s">
        <v>158</v>
      </c>
      <c r="BY30" s="170"/>
      <c r="BZ30" s="142"/>
      <c r="CA30" s="169" t="s">
        <v>158</v>
      </c>
      <c r="CB30" s="170"/>
      <c r="CC30" s="142"/>
      <c r="CD30" s="169" t="s">
        <v>158</v>
      </c>
      <c r="CE30" s="170"/>
      <c r="CF30" s="142"/>
      <c r="CG30" s="169" t="s">
        <v>158</v>
      </c>
      <c r="CH30" s="170"/>
      <c r="CI30" s="142"/>
      <c r="CJ30" s="169" t="s">
        <v>158</v>
      </c>
      <c r="CK30" s="170"/>
      <c r="CL30" s="142"/>
      <c r="CM30" s="169" t="s">
        <v>158</v>
      </c>
      <c r="CN30" s="170"/>
      <c r="CO30" s="142"/>
      <c r="CP30" s="169" t="s">
        <v>158</v>
      </c>
      <c r="CQ30" s="170"/>
      <c r="CR30" s="142"/>
      <c r="CS30" s="169" t="s">
        <v>158</v>
      </c>
      <c r="CT30" s="170"/>
      <c r="CU30" s="142"/>
      <c r="CV30" s="169" t="s">
        <v>158</v>
      </c>
      <c r="CW30" s="170"/>
      <c r="CX30" s="142"/>
      <c r="CY30" s="169" t="s">
        <v>158</v>
      </c>
      <c r="CZ30" s="170"/>
      <c r="DA30" s="142"/>
      <c r="DB30" s="169" t="s">
        <v>158</v>
      </c>
      <c r="DC30" s="170"/>
    </row>
    <row r="31" spans="1:107">
      <c r="A31" s="149" t="s">
        <v>161</v>
      </c>
      <c r="B31" s="150" t="s">
        <v>160</v>
      </c>
      <c r="C31" s="142"/>
      <c r="D31" s="169" t="s">
        <v>158</v>
      </c>
      <c r="E31" s="170"/>
      <c r="F31" s="142"/>
      <c r="G31" s="169" t="s">
        <v>158</v>
      </c>
      <c r="H31" s="170"/>
      <c r="I31" s="142"/>
      <c r="J31" s="169" t="s">
        <v>158</v>
      </c>
      <c r="K31" s="170"/>
      <c r="L31" s="142"/>
      <c r="M31" s="169" t="s">
        <v>158</v>
      </c>
      <c r="N31" s="170"/>
      <c r="O31" s="142"/>
      <c r="P31" s="169" t="s">
        <v>158</v>
      </c>
      <c r="Q31" s="170"/>
      <c r="R31" s="142"/>
      <c r="S31" s="169" t="s">
        <v>158</v>
      </c>
      <c r="T31" s="170"/>
      <c r="U31" s="142"/>
      <c r="V31" s="169" t="s">
        <v>158</v>
      </c>
      <c r="W31" s="170"/>
      <c r="X31" s="142"/>
      <c r="Y31" s="169" t="s">
        <v>158</v>
      </c>
      <c r="Z31" s="170"/>
      <c r="AA31" s="142"/>
      <c r="AB31" s="169" t="s">
        <v>158</v>
      </c>
      <c r="AC31" s="170"/>
      <c r="AD31" s="142"/>
      <c r="AE31" s="169" t="s">
        <v>158</v>
      </c>
      <c r="AF31" s="170"/>
      <c r="AG31" s="142"/>
      <c r="AH31" s="169" t="s">
        <v>158</v>
      </c>
      <c r="AI31" s="170"/>
      <c r="AJ31" s="142"/>
      <c r="AK31" s="169" t="s">
        <v>158</v>
      </c>
      <c r="AL31" s="170"/>
      <c r="AM31" s="142"/>
      <c r="AN31" s="169" t="s">
        <v>158</v>
      </c>
      <c r="AO31" s="170"/>
      <c r="AP31" s="142"/>
      <c r="AQ31" s="169" t="s">
        <v>158</v>
      </c>
      <c r="AR31" s="170"/>
      <c r="AS31" s="142"/>
      <c r="AT31" s="169" t="s">
        <v>158</v>
      </c>
      <c r="AU31" s="170"/>
      <c r="AV31" s="142"/>
      <c r="AW31" s="169" t="s">
        <v>158</v>
      </c>
      <c r="AX31" s="170"/>
      <c r="AY31" s="142"/>
      <c r="AZ31" s="169" t="s">
        <v>158</v>
      </c>
      <c r="BA31" s="170"/>
      <c r="BB31" s="142"/>
      <c r="BC31" s="169" t="s">
        <v>158</v>
      </c>
      <c r="BD31" s="170"/>
      <c r="BE31" s="142"/>
      <c r="BF31" s="169" t="s">
        <v>158</v>
      </c>
      <c r="BG31" s="170"/>
      <c r="BH31" s="142"/>
      <c r="BI31" s="169" t="s">
        <v>158</v>
      </c>
      <c r="BJ31" s="170"/>
      <c r="BK31" s="142"/>
      <c r="BL31" s="169" t="s">
        <v>158</v>
      </c>
      <c r="BM31" s="170"/>
      <c r="BN31" s="142"/>
      <c r="BO31" s="169" t="s">
        <v>158</v>
      </c>
      <c r="BP31" s="170"/>
      <c r="BQ31" s="142"/>
      <c r="BR31" s="169" t="s">
        <v>158</v>
      </c>
      <c r="BS31" s="170"/>
      <c r="BT31" s="142"/>
      <c r="BU31" s="169" t="s">
        <v>158</v>
      </c>
      <c r="BV31" s="170"/>
      <c r="BW31" s="142"/>
      <c r="BX31" s="169" t="s">
        <v>158</v>
      </c>
      <c r="BY31" s="170"/>
      <c r="BZ31" s="142"/>
      <c r="CA31" s="169" t="s">
        <v>158</v>
      </c>
      <c r="CB31" s="170"/>
      <c r="CC31" s="142"/>
      <c r="CD31" s="169" t="s">
        <v>158</v>
      </c>
      <c r="CE31" s="170"/>
      <c r="CF31" s="142"/>
      <c r="CG31" s="169" t="s">
        <v>158</v>
      </c>
      <c r="CH31" s="170"/>
      <c r="CI31" s="142"/>
      <c r="CJ31" s="169" t="s">
        <v>158</v>
      </c>
      <c r="CK31" s="170"/>
      <c r="CL31" s="142"/>
      <c r="CM31" s="169" t="s">
        <v>158</v>
      </c>
      <c r="CN31" s="170"/>
      <c r="CO31" s="142"/>
      <c r="CP31" s="169" t="s">
        <v>158</v>
      </c>
      <c r="CQ31" s="170"/>
      <c r="CR31" s="142"/>
      <c r="CS31" s="169" t="s">
        <v>158</v>
      </c>
      <c r="CT31" s="170"/>
      <c r="CU31" s="142"/>
      <c r="CV31" s="169" t="s">
        <v>158</v>
      </c>
      <c r="CW31" s="170"/>
      <c r="CX31" s="142"/>
      <c r="CY31" s="169" t="s">
        <v>158</v>
      </c>
      <c r="CZ31" s="170"/>
      <c r="DA31" s="142"/>
      <c r="DB31" s="169" t="s">
        <v>158</v>
      </c>
      <c r="DC31" s="170"/>
    </row>
    <row r="32" spans="1:107">
      <c r="A32" s="149" t="s">
        <v>162</v>
      </c>
      <c r="B32" s="150" t="s">
        <v>160</v>
      </c>
      <c r="C32" s="142"/>
      <c r="D32" s="169" t="s">
        <v>158</v>
      </c>
      <c r="E32" s="170"/>
      <c r="F32" s="142"/>
      <c r="G32" s="169" t="s">
        <v>158</v>
      </c>
      <c r="H32" s="170"/>
      <c r="I32" s="142"/>
      <c r="J32" s="169" t="s">
        <v>158</v>
      </c>
      <c r="K32" s="170"/>
      <c r="L32" s="142"/>
      <c r="M32" s="169" t="s">
        <v>158</v>
      </c>
      <c r="N32" s="170"/>
      <c r="O32" s="142"/>
      <c r="P32" s="169" t="s">
        <v>158</v>
      </c>
      <c r="Q32" s="170"/>
      <c r="R32" s="142"/>
      <c r="S32" s="169" t="s">
        <v>158</v>
      </c>
      <c r="T32" s="170"/>
      <c r="U32" s="142"/>
      <c r="V32" s="169" t="s">
        <v>158</v>
      </c>
      <c r="W32" s="170"/>
      <c r="X32" s="142"/>
      <c r="Y32" s="169" t="s">
        <v>158</v>
      </c>
      <c r="Z32" s="170"/>
      <c r="AA32" s="142"/>
      <c r="AB32" s="169" t="s">
        <v>158</v>
      </c>
      <c r="AC32" s="170"/>
      <c r="AD32" s="142"/>
      <c r="AE32" s="169" t="s">
        <v>158</v>
      </c>
      <c r="AF32" s="170"/>
      <c r="AG32" s="142"/>
      <c r="AH32" s="169" t="s">
        <v>158</v>
      </c>
      <c r="AI32" s="170"/>
      <c r="AJ32" s="142"/>
      <c r="AK32" s="169" t="s">
        <v>158</v>
      </c>
      <c r="AL32" s="170"/>
      <c r="AM32" s="142"/>
      <c r="AN32" s="169" t="s">
        <v>158</v>
      </c>
      <c r="AO32" s="170"/>
      <c r="AP32" s="142"/>
      <c r="AQ32" s="169" t="s">
        <v>158</v>
      </c>
      <c r="AR32" s="170"/>
      <c r="AS32" s="142"/>
      <c r="AT32" s="169" t="s">
        <v>158</v>
      </c>
      <c r="AU32" s="170"/>
      <c r="AV32" s="142"/>
      <c r="AW32" s="169" t="s">
        <v>158</v>
      </c>
      <c r="AX32" s="170"/>
      <c r="AY32" s="142"/>
      <c r="AZ32" s="169" t="s">
        <v>158</v>
      </c>
      <c r="BA32" s="170"/>
      <c r="BB32" s="142"/>
      <c r="BC32" s="169" t="s">
        <v>158</v>
      </c>
      <c r="BD32" s="170"/>
      <c r="BE32" s="142"/>
      <c r="BF32" s="169" t="s">
        <v>158</v>
      </c>
      <c r="BG32" s="170"/>
      <c r="BH32" s="142"/>
      <c r="BI32" s="169" t="s">
        <v>158</v>
      </c>
      <c r="BJ32" s="170"/>
      <c r="BK32" s="142"/>
      <c r="BL32" s="169" t="s">
        <v>158</v>
      </c>
      <c r="BM32" s="170"/>
      <c r="BN32" s="142"/>
      <c r="BO32" s="169" t="s">
        <v>158</v>
      </c>
      <c r="BP32" s="170"/>
      <c r="BQ32" s="142"/>
      <c r="BR32" s="169" t="s">
        <v>158</v>
      </c>
      <c r="BS32" s="170"/>
      <c r="BT32" s="142"/>
      <c r="BU32" s="169" t="s">
        <v>158</v>
      </c>
      <c r="BV32" s="170"/>
      <c r="BW32" s="142"/>
      <c r="BX32" s="169" t="s">
        <v>158</v>
      </c>
      <c r="BY32" s="170"/>
      <c r="BZ32" s="142"/>
      <c r="CA32" s="169" t="s">
        <v>158</v>
      </c>
      <c r="CB32" s="170"/>
      <c r="CC32" s="142"/>
      <c r="CD32" s="169" t="s">
        <v>158</v>
      </c>
      <c r="CE32" s="170"/>
      <c r="CF32" s="142"/>
      <c r="CG32" s="169" t="s">
        <v>158</v>
      </c>
      <c r="CH32" s="170"/>
      <c r="CI32" s="142"/>
      <c r="CJ32" s="169" t="s">
        <v>158</v>
      </c>
      <c r="CK32" s="170"/>
      <c r="CL32" s="142"/>
      <c r="CM32" s="169" t="s">
        <v>158</v>
      </c>
      <c r="CN32" s="170"/>
      <c r="CO32" s="142"/>
      <c r="CP32" s="169" t="s">
        <v>158</v>
      </c>
      <c r="CQ32" s="170"/>
      <c r="CR32" s="142"/>
      <c r="CS32" s="169" t="s">
        <v>158</v>
      </c>
      <c r="CT32" s="170"/>
      <c r="CU32" s="142"/>
      <c r="CV32" s="169" t="s">
        <v>158</v>
      </c>
      <c r="CW32" s="170"/>
      <c r="CX32" s="142"/>
      <c r="CY32" s="169" t="s">
        <v>158</v>
      </c>
      <c r="CZ32" s="170"/>
      <c r="DA32" s="142"/>
      <c r="DB32" s="169" t="s">
        <v>158</v>
      </c>
      <c r="DC32" s="170"/>
    </row>
    <row r="33" spans="1:107">
      <c r="A33" s="149" t="s">
        <v>163</v>
      </c>
      <c r="B33" s="150" t="s">
        <v>160</v>
      </c>
      <c r="C33" s="142"/>
      <c r="D33" s="169" t="s">
        <v>158</v>
      </c>
      <c r="E33" s="170"/>
      <c r="F33" s="142"/>
      <c r="G33" s="169" t="s">
        <v>158</v>
      </c>
      <c r="H33" s="170"/>
      <c r="I33" s="142"/>
      <c r="J33" s="169" t="s">
        <v>158</v>
      </c>
      <c r="K33" s="170"/>
      <c r="L33" s="142"/>
      <c r="M33" s="169" t="s">
        <v>158</v>
      </c>
      <c r="N33" s="170"/>
      <c r="O33" s="142"/>
      <c r="P33" s="169" t="s">
        <v>158</v>
      </c>
      <c r="Q33" s="170"/>
      <c r="R33" s="142"/>
      <c r="S33" s="169" t="s">
        <v>158</v>
      </c>
      <c r="T33" s="170"/>
      <c r="U33" s="142"/>
      <c r="V33" s="169" t="s">
        <v>158</v>
      </c>
      <c r="W33" s="170"/>
      <c r="X33" s="142"/>
      <c r="Y33" s="169" t="s">
        <v>158</v>
      </c>
      <c r="Z33" s="170"/>
      <c r="AA33" s="142"/>
      <c r="AB33" s="169" t="s">
        <v>158</v>
      </c>
      <c r="AC33" s="170"/>
      <c r="AD33" s="142"/>
      <c r="AE33" s="169" t="s">
        <v>158</v>
      </c>
      <c r="AF33" s="170"/>
      <c r="AG33" s="142"/>
      <c r="AH33" s="169" t="s">
        <v>158</v>
      </c>
      <c r="AI33" s="170"/>
      <c r="AJ33" s="142"/>
      <c r="AK33" s="169" t="s">
        <v>158</v>
      </c>
      <c r="AL33" s="170"/>
      <c r="AM33" s="142"/>
      <c r="AN33" s="169" t="s">
        <v>158</v>
      </c>
      <c r="AO33" s="170"/>
      <c r="AP33" s="142"/>
      <c r="AQ33" s="169" t="s">
        <v>158</v>
      </c>
      <c r="AR33" s="170"/>
      <c r="AS33" s="142"/>
      <c r="AT33" s="169" t="s">
        <v>158</v>
      </c>
      <c r="AU33" s="170"/>
      <c r="AV33" s="142"/>
      <c r="AW33" s="169" t="s">
        <v>158</v>
      </c>
      <c r="AX33" s="170"/>
      <c r="AY33" s="142"/>
      <c r="AZ33" s="169" t="s">
        <v>158</v>
      </c>
      <c r="BA33" s="170"/>
      <c r="BB33" s="142"/>
      <c r="BC33" s="169" t="s">
        <v>158</v>
      </c>
      <c r="BD33" s="170"/>
      <c r="BE33" s="142"/>
      <c r="BF33" s="169" t="s">
        <v>158</v>
      </c>
      <c r="BG33" s="170"/>
      <c r="BH33" s="142"/>
      <c r="BI33" s="169" t="s">
        <v>158</v>
      </c>
      <c r="BJ33" s="170"/>
      <c r="BK33" s="142"/>
      <c r="BL33" s="169" t="s">
        <v>158</v>
      </c>
      <c r="BM33" s="170"/>
      <c r="BN33" s="142"/>
      <c r="BO33" s="169" t="s">
        <v>158</v>
      </c>
      <c r="BP33" s="170"/>
      <c r="BQ33" s="142"/>
      <c r="BR33" s="169" t="s">
        <v>158</v>
      </c>
      <c r="BS33" s="170"/>
      <c r="BT33" s="142"/>
      <c r="BU33" s="169" t="s">
        <v>158</v>
      </c>
      <c r="BV33" s="170"/>
      <c r="BW33" s="142"/>
      <c r="BX33" s="169" t="s">
        <v>158</v>
      </c>
      <c r="BY33" s="170"/>
      <c r="BZ33" s="142"/>
      <c r="CA33" s="169" t="s">
        <v>158</v>
      </c>
      <c r="CB33" s="170"/>
      <c r="CC33" s="142"/>
      <c r="CD33" s="169" t="s">
        <v>158</v>
      </c>
      <c r="CE33" s="170"/>
      <c r="CF33" s="142"/>
      <c r="CG33" s="169" t="s">
        <v>158</v>
      </c>
      <c r="CH33" s="170"/>
      <c r="CI33" s="142"/>
      <c r="CJ33" s="169" t="s">
        <v>158</v>
      </c>
      <c r="CK33" s="170"/>
      <c r="CL33" s="142"/>
      <c r="CM33" s="169" t="s">
        <v>158</v>
      </c>
      <c r="CN33" s="170"/>
      <c r="CO33" s="142"/>
      <c r="CP33" s="169" t="s">
        <v>158</v>
      </c>
      <c r="CQ33" s="170"/>
      <c r="CR33" s="142"/>
      <c r="CS33" s="169" t="s">
        <v>158</v>
      </c>
      <c r="CT33" s="170"/>
      <c r="CU33" s="142"/>
      <c r="CV33" s="169" t="s">
        <v>158</v>
      </c>
      <c r="CW33" s="170"/>
      <c r="CX33" s="142"/>
      <c r="CY33" s="169" t="s">
        <v>158</v>
      </c>
      <c r="CZ33" s="170"/>
      <c r="DA33" s="142"/>
      <c r="DB33" s="169" t="s">
        <v>158</v>
      </c>
      <c r="DC33" s="170"/>
    </row>
    <row r="34" spans="1:107">
      <c r="A34" s="149" t="s">
        <v>164</v>
      </c>
      <c r="B34" s="150" t="s">
        <v>160</v>
      </c>
      <c r="C34" s="142"/>
      <c r="D34" s="169" t="s">
        <v>158</v>
      </c>
      <c r="E34" s="170"/>
      <c r="F34" s="142"/>
      <c r="G34" s="169" t="s">
        <v>158</v>
      </c>
      <c r="H34" s="170"/>
      <c r="I34" s="142"/>
      <c r="J34" s="169" t="s">
        <v>158</v>
      </c>
      <c r="K34" s="170"/>
      <c r="L34" s="142"/>
      <c r="M34" s="169" t="s">
        <v>158</v>
      </c>
      <c r="N34" s="170"/>
      <c r="O34" s="142"/>
      <c r="P34" s="169" t="s">
        <v>158</v>
      </c>
      <c r="Q34" s="170"/>
      <c r="R34" s="142"/>
      <c r="S34" s="169" t="s">
        <v>158</v>
      </c>
      <c r="T34" s="170"/>
      <c r="U34" s="142"/>
      <c r="V34" s="169" t="s">
        <v>158</v>
      </c>
      <c r="W34" s="170"/>
      <c r="X34" s="142"/>
      <c r="Y34" s="169" t="s">
        <v>158</v>
      </c>
      <c r="Z34" s="170"/>
      <c r="AA34" s="142"/>
      <c r="AB34" s="169" t="s">
        <v>158</v>
      </c>
      <c r="AC34" s="170"/>
      <c r="AD34" s="142"/>
      <c r="AE34" s="169" t="s">
        <v>158</v>
      </c>
      <c r="AF34" s="170"/>
      <c r="AG34" s="142"/>
      <c r="AH34" s="169" t="s">
        <v>158</v>
      </c>
      <c r="AI34" s="170"/>
      <c r="AJ34" s="142"/>
      <c r="AK34" s="169" t="s">
        <v>158</v>
      </c>
      <c r="AL34" s="170"/>
      <c r="AM34" s="142"/>
      <c r="AN34" s="169" t="s">
        <v>158</v>
      </c>
      <c r="AO34" s="170"/>
      <c r="AP34" s="142"/>
      <c r="AQ34" s="169" t="s">
        <v>158</v>
      </c>
      <c r="AR34" s="170"/>
      <c r="AS34" s="142"/>
      <c r="AT34" s="169" t="s">
        <v>158</v>
      </c>
      <c r="AU34" s="170"/>
      <c r="AV34" s="142"/>
      <c r="AW34" s="169" t="s">
        <v>158</v>
      </c>
      <c r="AX34" s="170"/>
      <c r="AY34" s="142"/>
      <c r="AZ34" s="169" t="s">
        <v>158</v>
      </c>
      <c r="BA34" s="170"/>
      <c r="BB34" s="142"/>
      <c r="BC34" s="169" t="s">
        <v>158</v>
      </c>
      <c r="BD34" s="170"/>
      <c r="BE34" s="142"/>
      <c r="BF34" s="169" t="s">
        <v>158</v>
      </c>
      <c r="BG34" s="170"/>
      <c r="BH34" s="142"/>
      <c r="BI34" s="169" t="s">
        <v>158</v>
      </c>
      <c r="BJ34" s="170"/>
      <c r="BK34" s="142"/>
      <c r="BL34" s="169" t="s">
        <v>158</v>
      </c>
      <c r="BM34" s="170"/>
      <c r="BN34" s="142"/>
      <c r="BO34" s="169" t="s">
        <v>158</v>
      </c>
      <c r="BP34" s="170"/>
      <c r="BQ34" s="142"/>
      <c r="BR34" s="169" t="s">
        <v>158</v>
      </c>
      <c r="BS34" s="170"/>
      <c r="BT34" s="142"/>
      <c r="BU34" s="169" t="s">
        <v>158</v>
      </c>
      <c r="BV34" s="170"/>
      <c r="BW34" s="142"/>
      <c r="BX34" s="169" t="s">
        <v>158</v>
      </c>
      <c r="BY34" s="170"/>
      <c r="BZ34" s="142"/>
      <c r="CA34" s="169" t="s">
        <v>158</v>
      </c>
      <c r="CB34" s="170"/>
      <c r="CC34" s="142"/>
      <c r="CD34" s="169" t="s">
        <v>158</v>
      </c>
      <c r="CE34" s="170"/>
      <c r="CF34" s="142"/>
      <c r="CG34" s="169" t="s">
        <v>158</v>
      </c>
      <c r="CH34" s="170"/>
      <c r="CI34" s="142"/>
      <c r="CJ34" s="169" t="s">
        <v>158</v>
      </c>
      <c r="CK34" s="170"/>
      <c r="CL34" s="142"/>
      <c r="CM34" s="169" t="s">
        <v>158</v>
      </c>
      <c r="CN34" s="170"/>
      <c r="CO34" s="142"/>
      <c r="CP34" s="169" t="s">
        <v>158</v>
      </c>
      <c r="CQ34" s="170"/>
      <c r="CR34" s="142"/>
      <c r="CS34" s="169" t="s">
        <v>158</v>
      </c>
      <c r="CT34" s="170"/>
      <c r="CU34" s="142"/>
      <c r="CV34" s="169" t="s">
        <v>158</v>
      </c>
      <c r="CW34" s="170"/>
      <c r="CX34" s="142"/>
      <c r="CY34" s="169" t="s">
        <v>158</v>
      </c>
      <c r="CZ34" s="170"/>
      <c r="DA34" s="142"/>
      <c r="DB34" s="169" t="s">
        <v>158</v>
      </c>
      <c r="DC34" s="170"/>
    </row>
    <row r="35" spans="1:107">
      <c r="A35" s="149" t="s">
        <v>165</v>
      </c>
      <c r="B35" s="150" t="s">
        <v>160</v>
      </c>
      <c r="C35" s="142"/>
      <c r="D35" s="169" t="s">
        <v>158</v>
      </c>
      <c r="E35" s="170"/>
      <c r="F35" s="142"/>
      <c r="G35" s="169" t="s">
        <v>158</v>
      </c>
      <c r="H35" s="170"/>
      <c r="I35" s="142"/>
      <c r="J35" s="169" t="s">
        <v>158</v>
      </c>
      <c r="K35" s="170"/>
      <c r="L35" s="142"/>
      <c r="M35" s="169" t="s">
        <v>158</v>
      </c>
      <c r="N35" s="170"/>
      <c r="O35" s="142"/>
      <c r="P35" s="169" t="s">
        <v>158</v>
      </c>
      <c r="Q35" s="170"/>
      <c r="R35" s="142"/>
      <c r="S35" s="169" t="s">
        <v>158</v>
      </c>
      <c r="T35" s="170"/>
      <c r="U35" s="142"/>
      <c r="V35" s="169" t="s">
        <v>158</v>
      </c>
      <c r="W35" s="170"/>
      <c r="X35" s="142"/>
      <c r="Y35" s="169" t="s">
        <v>158</v>
      </c>
      <c r="Z35" s="170"/>
      <c r="AA35" s="142"/>
      <c r="AB35" s="169" t="s">
        <v>158</v>
      </c>
      <c r="AC35" s="170"/>
      <c r="AD35" s="142"/>
      <c r="AE35" s="169" t="s">
        <v>158</v>
      </c>
      <c r="AF35" s="170"/>
      <c r="AG35" s="142"/>
      <c r="AH35" s="169" t="s">
        <v>158</v>
      </c>
      <c r="AI35" s="170"/>
      <c r="AJ35" s="142"/>
      <c r="AK35" s="169" t="s">
        <v>158</v>
      </c>
      <c r="AL35" s="170"/>
      <c r="AM35" s="142"/>
      <c r="AN35" s="169" t="s">
        <v>158</v>
      </c>
      <c r="AO35" s="170"/>
      <c r="AP35" s="142"/>
      <c r="AQ35" s="169" t="s">
        <v>158</v>
      </c>
      <c r="AR35" s="170"/>
      <c r="AS35" s="142"/>
      <c r="AT35" s="169" t="s">
        <v>158</v>
      </c>
      <c r="AU35" s="170"/>
      <c r="AV35" s="142"/>
      <c r="AW35" s="169" t="s">
        <v>158</v>
      </c>
      <c r="AX35" s="170"/>
      <c r="AY35" s="142"/>
      <c r="AZ35" s="169" t="s">
        <v>158</v>
      </c>
      <c r="BA35" s="170"/>
      <c r="BB35" s="142"/>
      <c r="BC35" s="169" t="s">
        <v>158</v>
      </c>
      <c r="BD35" s="170"/>
      <c r="BE35" s="142"/>
      <c r="BF35" s="169" t="s">
        <v>158</v>
      </c>
      <c r="BG35" s="170"/>
      <c r="BH35" s="142"/>
      <c r="BI35" s="169" t="s">
        <v>158</v>
      </c>
      <c r="BJ35" s="170"/>
      <c r="BK35" s="142"/>
      <c r="BL35" s="169" t="s">
        <v>158</v>
      </c>
      <c r="BM35" s="170"/>
      <c r="BN35" s="142"/>
      <c r="BO35" s="169" t="s">
        <v>158</v>
      </c>
      <c r="BP35" s="170"/>
      <c r="BQ35" s="142"/>
      <c r="BR35" s="169" t="s">
        <v>158</v>
      </c>
      <c r="BS35" s="170"/>
      <c r="BT35" s="142"/>
      <c r="BU35" s="169" t="s">
        <v>158</v>
      </c>
      <c r="BV35" s="170"/>
      <c r="BW35" s="142"/>
      <c r="BX35" s="169" t="s">
        <v>158</v>
      </c>
      <c r="BY35" s="170"/>
      <c r="BZ35" s="142"/>
      <c r="CA35" s="169" t="s">
        <v>158</v>
      </c>
      <c r="CB35" s="170"/>
      <c r="CC35" s="142"/>
      <c r="CD35" s="169" t="s">
        <v>158</v>
      </c>
      <c r="CE35" s="170"/>
      <c r="CF35" s="142"/>
      <c r="CG35" s="169" t="s">
        <v>158</v>
      </c>
      <c r="CH35" s="170"/>
      <c r="CI35" s="142"/>
      <c r="CJ35" s="169" t="s">
        <v>158</v>
      </c>
      <c r="CK35" s="170"/>
      <c r="CL35" s="142"/>
      <c r="CM35" s="169" t="s">
        <v>158</v>
      </c>
      <c r="CN35" s="170"/>
      <c r="CO35" s="142"/>
      <c r="CP35" s="169" t="s">
        <v>158</v>
      </c>
      <c r="CQ35" s="170"/>
      <c r="CR35" s="142"/>
      <c r="CS35" s="169" t="s">
        <v>158</v>
      </c>
      <c r="CT35" s="170"/>
      <c r="CU35" s="142"/>
      <c r="CV35" s="169" t="s">
        <v>158</v>
      </c>
      <c r="CW35" s="170"/>
      <c r="CX35" s="142"/>
      <c r="CY35" s="169" t="s">
        <v>158</v>
      </c>
      <c r="CZ35" s="170"/>
      <c r="DA35" s="142"/>
      <c r="DB35" s="169" t="s">
        <v>158</v>
      </c>
      <c r="DC35" s="170"/>
    </row>
    <row r="36" spans="1:107">
      <c r="A36" s="149" t="s">
        <v>166</v>
      </c>
      <c r="B36" s="150" t="s">
        <v>160</v>
      </c>
      <c r="C36" s="142"/>
      <c r="D36" s="169" t="s">
        <v>158</v>
      </c>
      <c r="E36" s="170"/>
      <c r="F36" s="142"/>
      <c r="G36" s="169" t="s">
        <v>158</v>
      </c>
      <c r="H36" s="170"/>
      <c r="I36" s="142"/>
      <c r="J36" s="169" t="s">
        <v>158</v>
      </c>
      <c r="K36" s="170"/>
      <c r="L36" s="142"/>
      <c r="M36" s="169" t="s">
        <v>158</v>
      </c>
      <c r="N36" s="170"/>
      <c r="O36" s="142"/>
      <c r="P36" s="169" t="s">
        <v>158</v>
      </c>
      <c r="Q36" s="170"/>
      <c r="R36" s="142"/>
      <c r="S36" s="169" t="s">
        <v>158</v>
      </c>
      <c r="T36" s="170"/>
      <c r="U36" s="142"/>
      <c r="V36" s="169" t="s">
        <v>158</v>
      </c>
      <c r="W36" s="170"/>
      <c r="X36" s="142"/>
      <c r="Y36" s="169" t="s">
        <v>158</v>
      </c>
      <c r="Z36" s="170"/>
      <c r="AA36" s="142"/>
      <c r="AB36" s="169" t="s">
        <v>158</v>
      </c>
      <c r="AC36" s="170"/>
      <c r="AD36" s="142"/>
      <c r="AE36" s="169" t="s">
        <v>158</v>
      </c>
      <c r="AF36" s="170"/>
      <c r="AG36" s="142"/>
      <c r="AH36" s="169" t="s">
        <v>158</v>
      </c>
      <c r="AI36" s="170"/>
      <c r="AJ36" s="142"/>
      <c r="AK36" s="169" t="s">
        <v>158</v>
      </c>
      <c r="AL36" s="170"/>
      <c r="AM36" s="142"/>
      <c r="AN36" s="169" t="s">
        <v>158</v>
      </c>
      <c r="AO36" s="170"/>
      <c r="AP36" s="142"/>
      <c r="AQ36" s="169" t="s">
        <v>158</v>
      </c>
      <c r="AR36" s="170"/>
      <c r="AS36" s="142"/>
      <c r="AT36" s="169" t="s">
        <v>158</v>
      </c>
      <c r="AU36" s="170"/>
      <c r="AV36" s="142"/>
      <c r="AW36" s="169" t="s">
        <v>158</v>
      </c>
      <c r="AX36" s="170"/>
      <c r="AY36" s="142"/>
      <c r="AZ36" s="169" t="s">
        <v>158</v>
      </c>
      <c r="BA36" s="170"/>
      <c r="BB36" s="142"/>
      <c r="BC36" s="169" t="s">
        <v>158</v>
      </c>
      <c r="BD36" s="170"/>
      <c r="BE36" s="142"/>
      <c r="BF36" s="169" t="s">
        <v>158</v>
      </c>
      <c r="BG36" s="170"/>
      <c r="BH36" s="142"/>
      <c r="BI36" s="169" t="s">
        <v>158</v>
      </c>
      <c r="BJ36" s="170"/>
      <c r="BK36" s="142"/>
      <c r="BL36" s="169" t="s">
        <v>158</v>
      </c>
      <c r="BM36" s="170"/>
      <c r="BN36" s="142"/>
      <c r="BO36" s="169" t="s">
        <v>158</v>
      </c>
      <c r="BP36" s="170"/>
      <c r="BQ36" s="142"/>
      <c r="BR36" s="169" t="s">
        <v>158</v>
      </c>
      <c r="BS36" s="170"/>
      <c r="BT36" s="142"/>
      <c r="BU36" s="169" t="s">
        <v>158</v>
      </c>
      <c r="BV36" s="170"/>
      <c r="BW36" s="142"/>
      <c r="BX36" s="169" t="s">
        <v>158</v>
      </c>
      <c r="BY36" s="170"/>
      <c r="BZ36" s="142"/>
      <c r="CA36" s="169" t="s">
        <v>158</v>
      </c>
      <c r="CB36" s="170"/>
      <c r="CC36" s="142"/>
      <c r="CD36" s="169" t="s">
        <v>158</v>
      </c>
      <c r="CE36" s="170"/>
      <c r="CF36" s="142"/>
      <c r="CG36" s="169" t="s">
        <v>158</v>
      </c>
      <c r="CH36" s="170"/>
      <c r="CI36" s="142"/>
      <c r="CJ36" s="169" t="s">
        <v>158</v>
      </c>
      <c r="CK36" s="170"/>
      <c r="CL36" s="142"/>
      <c r="CM36" s="169" t="s">
        <v>158</v>
      </c>
      <c r="CN36" s="170"/>
      <c r="CO36" s="142"/>
      <c r="CP36" s="169" t="s">
        <v>158</v>
      </c>
      <c r="CQ36" s="170"/>
      <c r="CR36" s="142"/>
      <c r="CS36" s="169" t="s">
        <v>158</v>
      </c>
      <c r="CT36" s="170"/>
      <c r="CU36" s="142"/>
      <c r="CV36" s="169" t="s">
        <v>158</v>
      </c>
      <c r="CW36" s="170"/>
      <c r="CX36" s="142"/>
      <c r="CY36" s="169" t="s">
        <v>158</v>
      </c>
      <c r="CZ36" s="170"/>
      <c r="DA36" s="142"/>
      <c r="DB36" s="169" t="s">
        <v>158</v>
      </c>
      <c r="DC36" s="170"/>
    </row>
    <row r="37" spans="1:107">
      <c r="A37" s="172" t="s">
        <v>167</v>
      </c>
      <c r="B37" s="173" t="s">
        <v>168</v>
      </c>
      <c r="C37" s="160"/>
      <c r="D37" s="174" t="s">
        <v>158</v>
      </c>
      <c r="E37" s="175"/>
      <c r="F37" s="160"/>
      <c r="G37" s="174" t="s">
        <v>158</v>
      </c>
      <c r="H37" s="175"/>
      <c r="I37" s="160"/>
      <c r="J37" s="174" t="s">
        <v>158</v>
      </c>
      <c r="K37" s="175"/>
      <c r="L37" s="160"/>
      <c r="M37" s="174" t="s">
        <v>158</v>
      </c>
      <c r="N37" s="175"/>
      <c r="O37" s="160"/>
      <c r="P37" s="174" t="s">
        <v>158</v>
      </c>
      <c r="Q37" s="175"/>
      <c r="R37" s="160"/>
      <c r="S37" s="174" t="s">
        <v>158</v>
      </c>
      <c r="T37" s="175"/>
      <c r="U37" s="160"/>
      <c r="V37" s="174" t="s">
        <v>158</v>
      </c>
      <c r="W37" s="175"/>
      <c r="X37" s="160"/>
      <c r="Y37" s="174" t="s">
        <v>158</v>
      </c>
      <c r="Z37" s="175"/>
      <c r="AA37" s="160"/>
      <c r="AB37" s="174" t="s">
        <v>158</v>
      </c>
      <c r="AC37" s="175"/>
      <c r="AD37" s="160"/>
      <c r="AE37" s="174" t="s">
        <v>158</v>
      </c>
      <c r="AF37" s="175"/>
      <c r="AG37" s="160"/>
      <c r="AH37" s="174" t="s">
        <v>158</v>
      </c>
      <c r="AI37" s="175"/>
      <c r="AJ37" s="160"/>
      <c r="AK37" s="174" t="s">
        <v>158</v>
      </c>
      <c r="AL37" s="175"/>
      <c r="AM37" s="160"/>
      <c r="AN37" s="174" t="s">
        <v>158</v>
      </c>
      <c r="AO37" s="175"/>
      <c r="AP37" s="160"/>
      <c r="AQ37" s="174" t="s">
        <v>158</v>
      </c>
      <c r="AR37" s="175"/>
      <c r="AS37" s="160"/>
      <c r="AT37" s="174" t="s">
        <v>158</v>
      </c>
      <c r="AU37" s="175"/>
      <c r="AV37" s="160"/>
      <c r="AW37" s="174" t="s">
        <v>158</v>
      </c>
      <c r="AX37" s="175"/>
      <c r="AY37" s="160"/>
      <c r="AZ37" s="174" t="s">
        <v>158</v>
      </c>
      <c r="BA37" s="175"/>
      <c r="BB37" s="160"/>
      <c r="BC37" s="174" t="s">
        <v>158</v>
      </c>
      <c r="BD37" s="175"/>
      <c r="BE37" s="160"/>
      <c r="BF37" s="174" t="s">
        <v>158</v>
      </c>
      <c r="BG37" s="175"/>
      <c r="BH37" s="160"/>
      <c r="BI37" s="174" t="s">
        <v>158</v>
      </c>
      <c r="BJ37" s="175"/>
      <c r="BK37" s="160"/>
      <c r="BL37" s="174" t="s">
        <v>158</v>
      </c>
      <c r="BM37" s="175"/>
      <c r="BN37" s="160"/>
      <c r="BO37" s="174" t="s">
        <v>158</v>
      </c>
      <c r="BP37" s="175"/>
      <c r="BQ37" s="160"/>
      <c r="BR37" s="174" t="s">
        <v>158</v>
      </c>
      <c r="BS37" s="175"/>
      <c r="BT37" s="160"/>
      <c r="BU37" s="174" t="s">
        <v>158</v>
      </c>
      <c r="BV37" s="175"/>
      <c r="BW37" s="160"/>
      <c r="BX37" s="174" t="s">
        <v>158</v>
      </c>
      <c r="BY37" s="175"/>
      <c r="BZ37" s="160"/>
      <c r="CA37" s="174" t="s">
        <v>158</v>
      </c>
      <c r="CB37" s="175"/>
      <c r="CC37" s="160"/>
      <c r="CD37" s="174" t="s">
        <v>158</v>
      </c>
      <c r="CE37" s="175"/>
      <c r="CF37" s="160"/>
      <c r="CG37" s="174" t="s">
        <v>158</v>
      </c>
      <c r="CH37" s="175"/>
      <c r="CI37" s="160"/>
      <c r="CJ37" s="174" t="s">
        <v>158</v>
      </c>
      <c r="CK37" s="175"/>
      <c r="CL37" s="160"/>
      <c r="CM37" s="174" t="s">
        <v>158</v>
      </c>
      <c r="CN37" s="175"/>
      <c r="CO37" s="160"/>
      <c r="CP37" s="174" t="s">
        <v>158</v>
      </c>
      <c r="CQ37" s="175"/>
      <c r="CR37" s="160"/>
      <c r="CS37" s="174" t="s">
        <v>158</v>
      </c>
      <c r="CT37" s="175"/>
      <c r="CU37" s="160"/>
      <c r="CV37" s="174" t="s">
        <v>158</v>
      </c>
      <c r="CW37" s="175"/>
      <c r="CX37" s="160"/>
      <c r="CY37" s="174" t="s">
        <v>158</v>
      </c>
      <c r="CZ37" s="175"/>
      <c r="DA37" s="160"/>
      <c r="DB37" s="174" t="s">
        <v>158</v>
      </c>
      <c r="DC37" s="175"/>
    </row>
    <row r="38" spans="1:107">
      <c r="A38" s="177" t="s">
        <v>169</v>
      </c>
      <c r="B38" s="150"/>
      <c r="C38" s="166"/>
      <c r="D38" s="167"/>
      <c r="E38" s="144"/>
      <c r="F38" s="166"/>
      <c r="G38" s="167"/>
      <c r="H38" s="144"/>
      <c r="I38" s="166"/>
      <c r="J38" s="167"/>
      <c r="K38" s="144"/>
      <c r="L38" s="166"/>
      <c r="M38" s="167"/>
      <c r="N38" s="144"/>
      <c r="O38" s="166"/>
      <c r="P38" s="167"/>
      <c r="Q38" s="144"/>
      <c r="R38" s="166"/>
      <c r="S38" s="167"/>
      <c r="T38" s="144"/>
      <c r="U38" s="166"/>
      <c r="V38" s="167"/>
      <c r="W38" s="144"/>
      <c r="X38" s="166"/>
      <c r="Y38" s="167"/>
      <c r="Z38" s="144"/>
      <c r="AA38" s="166"/>
      <c r="AB38" s="167"/>
      <c r="AC38" s="144"/>
      <c r="AD38" s="166"/>
      <c r="AE38" s="167"/>
      <c r="AF38" s="144"/>
      <c r="AG38" s="166"/>
      <c r="AH38" s="167"/>
      <c r="AI38" s="144"/>
      <c r="AJ38" s="166"/>
      <c r="AK38" s="167"/>
      <c r="AL38" s="144"/>
      <c r="AM38" s="166"/>
      <c r="AN38" s="167"/>
      <c r="AO38" s="144"/>
      <c r="AP38" s="166"/>
      <c r="AQ38" s="167"/>
      <c r="AR38" s="144"/>
      <c r="AS38" s="166"/>
      <c r="AT38" s="167"/>
      <c r="AU38" s="144"/>
      <c r="AV38" s="166"/>
      <c r="AW38" s="167"/>
      <c r="AX38" s="144"/>
      <c r="AY38" s="166"/>
      <c r="AZ38" s="167"/>
      <c r="BA38" s="144"/>
      <c r="BB38" s="166"/>
      <c r="BC38" s="167"/>
      <c r="BD38" s="144"/>
      <c r="BE38" s="166"/>
      <c r="BF38" s="167"/>
      <c r="BG38" s="144"/>
      <c r="BH38" s="166"/>
      <c r="BI38" s="167"/>
      <c r="BJ38" s="144"/>
      <c r="BK38" s="166"/>
      <c r="BL38" s="167"/>
      <c r="BM38" s="144"/>
      <c r="BN38" s="166"/>
      <c r="BO38" s="167"/>
      <c r="BP38" s="144"/>
      <c r="BQ38" s="166"/>
      <c r="BR38" s="167"/>
      <c r="BS38" s="144"/>
      <c r="BT38" s="166"/>
      <c r="BU38" s="167"/>
      <c r="BV38" s="144"/>
      <c r="BW38" s="166"/>
      <c r="BX38" s="167"/>
      <c r="BY38" s="144"/>
      <c r="BZ38" s="166"/>
      <c r="CA38" s="167"/>
      <c r="CB38" s="144"/>
      <c r="CC38" s="166"/>
      <c r="CD38" s="167"/>
      <c r="CE38" s="144"/>
      <c r="CF38" s="166"/>
      <c r="CG38" s="167"/>
      <c r="CH38" s="144"/>
      <c r="CI38" s="166"/>
      <c r="CJ38" s="167"/>
      <c r="CK38" s="144"/>
      <c r="CL38" s="166"/>
      <c r="CM38" s="167"/>
      <c r="CN38" s="144"/>
      <c r="CO38" s="166"/>
      <c r="CP38" s="167"/>
      <c r="CQ38" s="144"/>
      <c r="CR38" s="166"/>
      <c r="CS38" s="167"/>
      <c r="CT38" s="144"/>
      <c r="CU38" s="166"/>
      <c r="CV38" s="167"/>
      <c r="CW38" s="144"/>
      <c r="CX38" s="166"/>
      <c r="CY38" s="167"/>
      <c r="CZ38" s="144"/>
      <c r="DA38" s="166"/>
      <c r="DB38" s="167"/>
      <c r="DC38" s="144"/>
    </row>
    <row r="39" spans="1:107">
      <c r="A39" s="149" t="s">
        <v>167</v>
      </c>
      <c r="B39" s="150" t="s">
        <v>170</v>
      </c>
      <c r="C39" s="179"/>
      <c r="D39" s="168" t="s">
        <v>158</v>
      </c>
      <c r="E39" s="144"/>
      <c r="F39" s="179"/>
      <c r="G39" s="168" t="s">
        <v>158</v>
      </c>
      <c r="H39" s="144"/>
      <c r="I39" s="179"/>
      <c r="J39" s="168" t="s">
        <v>158</v>
      </c>
      <c r="K39" s="144"/>
      <c r="L39" s="179"/>
      <c r="M39" s="168" t="s">
        <v>158</v>
      </c>
      <c r="N39" s="144"/>
      <c r="O39" s="179"/>
      <c r="P39" s="168" t="s">
        <v>158</v>
      </c>
      <c r="Q39" s="144"/>
      <c r="R39" s="179"/>
      <c r="S39" s="168" t="s">
        <v>158</v>
      </c>
      <c r="T39" s="144"/>
      <c r="U39" s="179"/>
      <c r="V39" s="168" t="s">
        <v>158</v>
      </c>
      <c r="W39" s="144"/>
      <c r="X39" s="179"/>
      <c r="Y39" s="168" t="s">
        <v>158</v>
      </c>
      <c r="Z39" s="144"/>
      <c r="AA39" s="179"/>
      <c r="AB39" s="168" t="s">
        <v>158</v>
      </c>
      <c r="AC39" s="144"/>
      <c r="AD39" s="179"/>
      <c r="AE39" s="168" t="s">
        <v>158</v>
      </c>
      <c r="AF39" s="144"/>
      <c r="AG39" s="179"/>
      <c r="AH39" s="168" t="s">
        <v>158</v>
      </c>
      <c r="AI39" s="144"/>
      <c r="AJ39" s="179"/>
      <c r="AK39" s="168" t="s">
        <v>158</v>
      </c>
      <c r="AL39" s="144"/>
      <c r="AM39" s="179"/>
      <c r="AN39" s="168" t="s">
        <v>158</v>
      </c>
      <c r="AO39" s="144"/>
      <c r="AP39" s="179"/>
      <c r="AQ39" s="168" t="s">
        <v>158</v>
      </c>
      <c r="AR39" s="144"/>
      <c r="AS39" s="179"/>
      <c r="AT39" s="168" t="s">
        <v>158</v>
      </c>
      <c r="AU39" s="144"/>
      <c r="AV39" s="179"/>
      <c r="AW39" s="168" t="s">
        <v>158</v>
      </c>
      <c r="AX39" s="144"/>
      <c r="AY39" s="179"/>
      <c r="AZ39" s="168" t="s">
        <v>158</v>
      </c>
      <c r="BA39" s="144"/>
      <c r="BB39" s="179"/>
      <c r="BC39" s="168" t="s">
        <v>158</v>
      </c>
      <c r="BD39" s="144"/>
      <c r="BE39" s="179"/>
      <c r="BF39" s="168" t="s">
        <v>158</v>
      </c>
      <c r="BG39" s="144"/>
      <c r="BH39" s="179"/>
      <c r="BI39" s="168" t="s">
        <v>158</v>
      </c>
      <c r="BJ39" s="144"/>
      <c r="BK39" s="179"/>
      <c r="BL39" s="168" t="s">
        <v>158</v>
      </c>
      <c r="BM39" s="144"/>
      <c r="BN39" s="179"/>
      <c r="BO39" s="168" t="s">
        <v>158</v>
      </c>
      <c r="BP39" s="144"/>
      <c r="BQ39" s="179"/>
      <c r="BR39" s="168" t="s">
        <v>158</v>
      </c>
      <c r="BS39" s="144"/>
      <c r="BT39" s="179"/>
      <c r="BU39" s="168" t="s">
        <v>158</v>
      </c>
      <c r="BV39" s="144"/>
      <c r="BW39" s="179"/>
      <c r="BX39" s="168" t="s">
        <v>158</v>
      </c>
      <c r="BY39" s="144"/>
      <c r="BZ39" s="179"/>
      <c r="CA39" s="168" t="s">
        <v>158</v>
      </c>
      <c r="CB39" s="144"/>
      <c r="CC39" s="179"/>
      <c r="CD39" s="168" t="s">
        <v>158</v>
      </c>
      <c r="CE39" s="144"/>
      <c r="CF39" s="179"/>
      <c r="CG39" s="168" t="s">
        <v>158</v>
      </c>
      <c r="CH39" s="144"/>
      <c r="CI39" s="179"/>
      <c r="CJ39" s="168" t="s">
        <v>158</v>
      </c>
      <c r="CK39" s="144"/>
      <c r="CL39" s="179"/>
      <c r="CM39" s="168" t="s">
        <v>158</v>
      </c>
      <c r="CN39" s="144"/>
      <c r="CO39" s="179"/>
      <c r="CP39" s="168" t="s">
        <v>158</v>
      </c>
      <c r="CQ39" s="144"/>
      <c r="CR39" s="179"/>
      <c r="CS39" s="168" t="s">
        <v>158</v>
      </c>
      <c r="CT39" s="144"/>
      <c r="CU39" s="179"/>
      <c r="CV39" s="168" t="s">
        <v>158</v>
      </c>
      <c r="CW39" s="144"/>
      <c r="CX39" s="179"/>
      <c r="CY39" s="168" t="s">
        <v>158</v>
      </c>
      <c r="CZ39" s="144"/>
      <c r="DA39" s="179"/>
      <c r="DB39" s="168" t="s">
        <v>158</v>
      </c>
      <c r="DC39" s="144"/>
    </row>
    <row r="40" spans="1:107">
      <c r="A40" s="149" t="s">
        <v>171</v>
      </c>
      <c r="B40" s="150" t="s">
        <v>172</v>
      </c>
      <c r="C40" s="179"/>
      <c r="D40" s="168" t="s">
        <v>158</v>
      </c>
      <c r="E40" s="144"/>
      <c r="F40" s="179"/>
      <c r="G40" s="168" t="s">
        <v>158</v>
      </c>
      <c r="H40" s="144"/>
      <c r="I40" s="179"/>
      <c r="J40" s="168" t="s">
        <v>158</v>
      </c>
      <c r="K40" s="144"/>
      <c r="L40" s="179"/>
      <c r="M40" s="168" t="s">
        <v>158</v>
      </c>
      <c r="N40" s="144"/>
      <c r="O40" s="179"/>
      <c r="P40" s="168" t="s">
        <v>158</v>
      </c>
      <c r="Q40" s="144"/>
      <c r="R40" s="179"/>
      <c r="S40" s="168" t="s">
        <v>158</v>
      </c>
      <c r="T40" s="144"/>
      <c r="U40" s="179"/>
      <c r="V40" s="168" t="s">
        <v>158</v>
      </c>
      <c r="W40" s="144"/>
      <c r="X40" s="179"/>
      <c r="Y40" s="168" t="s">
        <v>158</v>
      </c>
      <c r="Z40" s="144"/>
      <c r="AA40" s="179"/>
      <c r="AB40" s="168" t="s">
        <v>158</v>
      </c>
      <c r="AC40" s="144"/>
      <c r="AD40" s="179"/>
      <c r="AE40" s="168" t="s">
        <v>158</v>
      </c>
      <c r="AF40" s="144"/>
      <c r="AG40" s="179"/>
      <c r="AH40" s="168" t="s">
        <v>158</v>
      </c>
      <c r="AI40" s="144"/>
      <c r="AJ40" s="179"/>
      <c r="AK40" s="168" t="s">
        <v>158</v>
      </c>
      <c r="AL40" s="144"/>
      <c r="AM40" s="179"/>
      <c r="AN40" s="168" t="s">
        <v>158</v>
      </c>
      <c r="AO40" s="144"/>
      <c r="AP40" s="179"/>
      <c r="AQ40" s="168" t="s">
        <v>158</v>
      </c>
      <c r="AR40" s="144"/>
      <c r="AS40" s="179"/>
      <c r="AT40" s="168" t="s">
        <v>158</v>
      </c>
      <c r="AU40" s="144"/>
      <c r="AV40" s="179"/>
      <c r="AW40" s="168" t="s">
        <v>158</v>
      </c>
      <c r="AX40" s="144"/>
      <c r="AY40" s="179"/>
      <c r="AZ40" s="168" t="s">
        <v>158</v>
      </c>
      <c r="BA40" s="144"/>
      <c r="BB40" s="179"/>
      <c r="BC40" s="168" t="s">
        <v>158</v>
      </c>
      <c r="BD40" s="144"/>
      <c r="BE40" s="179"/>
      <c r="BF40" s="168" t="s">
        <v>158</v>
      </c>
      <c r="BG40" s="144"/>
      <c r="BH40" s="179"/>
      <c r="BI40" s="168" t="s">
        <v>158</v>
      </c>
      <c r="BJ40" s="144"/>
      <c r="BK40" s="179"/>
      <c r="BL40" s="168" t="s">
        <v>158</v>
      </c>
      <c r="BM40" s="144"/>
      <c r="BN40" s="179"/>
      <c r="BO40" s="168" t="s">
        <v>158</v>
      </c>
      <c r="BP40" s="144"/>
      <c r="BQ40" s="179"/>
      <c r="BR40" s="168" t="s">
        <v>158</v>
      </c>
      <c r="BS40" s="144"/>
      <c r="BT40" s="179"/>
      <c r="BU40" s="168" t="s">
        <v>158</v>
      </c>
      <c r="BV40" s="144"/>
      <c r="BW40" s="179"/>
      <c r="BX40" s="168" t="s">
        <v>158</v>
      </c>
      <c r="BY40" s="144"/>
      <c r="BZ40" s="179"/>
      <c r="CA40" s="168" t="s">
        <v>158</v>
      </c>
      <c r="CB40" s="144"/>
      <c r="CC40" s="179"/>
      <c r="CD40" s="168" t="s">
        <v>158</v>
      </c>
      <c r="CE40" s="144"/>
      <c r="CF40" s="179"/>
      <c r="CG40" s="168" t="s">
        <v>158</v>
      </c>
      <c r="CH40" s="144"/>
      <c r="CI40" s="179"/>
      <c r="CJ40" s="168" t="s">
        <v>158</v>
      </c>
      <c r="CK40" s="144"/>
      <c r="CL40" s="179"/>
      <c r="CM40" s="168" t="s">
        <v>158</v>
      </c>
      <c r="CN40" s="144"/>
      <c r="CO40" s="179"/>
      <c r="CP40" s="168" t="s">
        <v>158</v>
      </c>
      <c r="CQ40" s="144"/>
      <c r="CR40" s="179"/>
      <c r="CS40" s="168" t="s">
        <v>158</v>
      </c>
      <c r="CT40" s="144"/>
      <c r="CU40" s="179"/>
      <c r="CV40" s="168" t="s">
        <v>158</v>
      </c>
      <c r="CW40" s="144"/>
      <c r="CX40" s="179"/>
      <c r="CY40" s="168" t="s">
        <v>158</v>
      </c>
      <c r="CZ40" s="144"/>
      <c r="DA40" s="179"/>
      <c r="DB40" s="168" t="s">
        <v>158</v>
      </c>
      <c r="DC40" s="144"/>
    </row>
    <row r="41" spans="1:107">
      <c r="A41" s="149" t="s">
        <v>173</v>
      </c>
      <c r="B41" s="150" t="s">
        <v>174</v>
      </c>
      <c r="C41" s="179"/>
      <c r="D41" s="182" t="s">
        <v>158</v>
      </c>
      <c r="E41" s="144"/>
      <c r="F41" s="179"/>
      <c r="G41" s="182" t="s">
        <v>158</v>
      </c>
      <c r="H41" s="144"/>
      <c r="I41" s="179"/>
      <c r="J41" s="182" t="s">
        <v>158</v>
      </c>
      <c r="K41" s="144"/>
      <c r="L41" s="179"/>
      <c r="M41" s="182" t="s">
        <v>158</v>
      </c>
      <c r="N41" s="144"/>
      <c r="O41" s="179"/>
      <c r="P41" s="182" t="s">
        <v>158</v>
      </c>
      <c r="Q41" s="144"/>
      <c r="R41" s="179"/>
      <c r="S41" s="182" t="s">
        <v>158</v>
      </c>
      <c r="T41" s="144"/>
      <c r="U41" s="179"/>
      <c r="V41" s="182" t="s">
        <v>158</v>
      </c>
      <c r="W41" s="144"/>
      <c r="X41" s="179"/>
      <c r="Y41" s="182" t="s">
        <v>158</v>
      </c>
      <c r="Z41" s="144"/>
      <c r="AA41" s="179"/>
      <c r="AB41" s="182" t="s">
        <v>158</v>
      </c>
      <c r="AC41" s="144"/>
      <c r="AD41" s="179"/>
      <c r="AE41" s="182" t="s">
        <v>158</v>
      </c>
      <c r="AF41" s="144"/>
      <c r="AG41" s="179"/>
      <c r="AH41" s="182" t="s">
        <v>158</v>
      </c>
      <c r="AI41" s="144"/>
      <c r="AJ41" s="179"/>
      <c r="AK41" s="182" t="s">
        <v>158</v>
      </c>
      <c r="AL41" s="144"/>
      <c r="AM41" s="179"/>
      <c r="AN41" s="182" t="s">
        <v>158</v>
      </c>
      <c r="AO41" s="144"/>
      <c r="AP41" s="179"/>
      <c r="AQ41" s="182" t="s">
        <v>158</v>
      </c>
      <c r="AR41" s="144"/>
      <c r="AS41" s="179"/>
      <c r="AT41" s="182" t="s">
        <v>158</v>
      </c>
      <c r="AU41" s="144"/>
      <c r="AV41" s="179"/>
      <c r="AW41" s="182" t="s">
        <v>158</v>
      </c>
      <c r="AX41" s="144"/>
      <c r="AY41" s="179"/>
      <c r="AZ41" s="182" t="s">
        <v>158</v>
      </c>
      <c r="BA41" s="144"/>
      <c r="BB41" s="179"/>
      <c r="BC41" s="182" t="s">
        <v>158</v>
      </c>
      <c r="BD41" s="144"/>
      <c r="BE41" s="179"/>
      <c r="BF41" s="182" t="s">
        <v>158</v>
      </c>
      <c r="BG41" s="144"/>
      <c r="BH41" s="179"/>
      <c r="BI41" s="182" t="s">
        <v>158</v>
      </c>
      <c r="BJ41" s="144"/>
      <c r="BK41" s="179"/>
      <c r="BL41" s="182" t="s">
        <v>158</v>
      </c>
      <c r="BM41" s="144"/>
      <c r="BN41" s="179"/>
      <c r="BO41" s="182" t="s">
        <v>158</v>
      </c>
      <c r="BP41" s="144"/>
      <c r="BQ41" s="179"/>
      <c r="BR41" s="182" t="s">
        <v>158</v>
      </c>
      <c r="BS41" s="144"/>
      <c r="BT41" s="179"/>
      <c r="BU41" s="182" t="s">
        <v>158</v>
      </c>
      <c r="BV41" s="144"/>
      <c r="BW41" s="179"/>
      <c r="BX41" s="182" t="s">
        <v>158</v>
      </c>
      <c r="BY41" s="144"/>
      <c r="BZ41" s="179"/>
      <c r="CA41" s="182" t="s">
        <v>158</v>
      </c>
      <c r="CB41" s="144"/>
      <c r="CC41" s="179"/>
      <c r="CD41" s="182" t="s">
        <v>158</v>
      </c>
      <c r="CE41" s="144"/>
      <c r="CF41" s="179"/>
      <c r="CG41" s="182" t="s">
        <v>158</v>
      </c>
      <c r="CH41" s="144"/>
      <c r="CI41" s="179"/>
      <c r="CJ41" s="182" t="s">
        <v>158</v>
      </c>
      <c r="CK41" s="144"/>
      <c r="CL41" s="179"/>
      <c r="CM41" s="182" t="s">
        <v>158</v>
      </c>
      <c r="CN41" s="144"/>
      <c r="CO41" s="179"/>
      <c r="CP41" s="182" t="s">
        <v>158</v>
      </c>
      <c r="CQ41" s="144"/>
      <c r="CR41" s="179"/>
      <c r="CS41" s="182" t="s">
        <v>158</v>
      </c>
      <c r="CT41" s="144"/>
      <c r="CU41" s="179"/>
      <c r="CV41" s="182" t="s">
        <v>158</v>
      </c>
      <c r="CW41" s="144"/>
      <c r="CX41" s="179"/>
      <c r="CY41" s="182" t="s">
        <v>158</v>
      </c>
      <c r="CZ41" s="144"/>
      <c r="DA41" s="179"/>
      <c r="DB41" s="182" t="s">
        <v>158</v>
      </c>
      <c r="DC41" s="144"/>
    </row>
    <row r="42" spans="1:107">
      <c r="A42" s="149" t="s">
        <v>175</v>
      </c>
      <c r="B42" s="150" t="s">
        <v>160</v>
      </c>
      <c r="C42" s="179"/>
      <c r="D42" s="168" t="s">
        <v>158</v>
      </c>
      <c r="E42" s="144"/>
      <c r="F42" s="179"/>
      <c r="G42" s="168" t="s">
        <v>158</v>
      </c>
      <c r="H42" s="144"/>
      <c r="I42" s="179"/>
      <c r="J42" s="168" t="s">
        <v>158</v>
      </c>
      <c r="K42" s="144"/>
      <c r="L42" s="179"/>
      <c r="M42" s="168" t="s">
        <v>158</v>
      </c>
      <c r="N42" s="144"/>
      <c r="O42" s="179"/>
      <c r="P42" s="168" t="s">
        <v>158</v>
      </c>
      <c r="Q42" s="144"/>
      <c r="R42" s="179"/>
      <c r="S42" s="168" t="s">
        <v>158</v>
      </c>
      <c r="T42" s="144"/>
      <c r="U42" s="179"/>
      <c r="V42" s="168" t="s">
        <v>158</v>
      </c>
      <c r="W42" s="144"/>
      <c r="X42" s="179"/>
      <c r="Y42" s="168" t="s">
        <v>158</v>
      </c>
      <c r="Z42" s="144"/>
      <c r="AA42" s="179"/>
      <c r="AB42" s="168" t="s">
        <v>158</v>
      </c>
      <c r="AC42" s="144"/>
      <c r="AD42" s="179"/>
      <c r="AE42" s="168" t="s">
        <v>158</v>
      </c>
      <c r="AF42" s="144"/>
      <c r="AG42" s="179"/>
      <c r="AH42" s="168" t="s">
        <v>158</v>
      </c>
      <c r="AI42" s="144"/>
      <c r="AJ42" s="179"/>
      <c r="AK42" s="168" t="s">
        <v>158</v>
      </c>
      <c r="AL42" s="144"/>
      <c r="AM42" s="179"/>
      <c r="AN42" s="168" t="s">
        <v>158</v>
      </c>
      <c r="AO42" s="144"/>
      <c r="AP42" s="179"/>
      <c r="AQ42" s="168" t="s">
        <v>158</v>
      </c>
      <c r="AR42" s="144"/>
      <c r="AS42" s="179"/>
      <c r="AT42" s="168" t="s">
        <v>158</v>
      </c>
      <c r="AU42" s="144"/>
      <c r="AV42" s="179"/>
      <c r="AW42" s="168" t="s">
        <v>158</v>
      </c>
      <c r="AX42" s="144"/>
      <c r="AY42" s="179"/>
      <c r="AZ42" s="168" t="s">
        <v>158</v>
      </c>
      <c r="BA42" s="144"/>
      <c r="BB42" s="179"/>
      <c r="BC42" s="168" t="s">
        <v>158</v>
      </c>
      <c r="BD42" s="144"/>
      <c r="BE42" s="179"/>
      <c r="BF42" s="168" t="s">
        <v>158</v>
      </c>
      <c r="BG42" s="144"/>
      <c r="BH42" s="179"/>
      <c r="BI42" s="168" t="s">
        <v>158</v>
      </c>
      <c r="BJ42" s="144"/>
      <c r="BK42" s="179"/>
      <c r="BL42" s="168" t="s">
        <v>158</v>
      </c>
      <c r="BM42" s="144"/>
      <c r="BN42" s="179"/>
      <c r="BO42" s="168" t="s">
        <v>158</v>
      </c>
      <c r="BP42" s="144"/>
      <c r="BQ42" s="179"/>
      <c r="BR42" s="168" t="s">
        <v>158</v>
      </c>
      <c r="BS42" s="144"/>
      <c r="BT42" s="179"/>
      <c r="BU42" s="168" t="s">
        <v>158</v>
      </c>
      <c r="BV42" s="144"/>
      <c r="BW42" s="179"/>
      <c r="BX42" s="168" t="s">
        <v>158</v>
      </c>
      <c r="BY42" s="144"/>
      <c r="BZ42" s="179"/>
      <c r="CA42" s="168" t="s">
        <v>158</v>
      </c>
      <c r="CB42" s="144"/>
      <c r="CC42" s="179"/>
      <c r="CD42" s="168" t="s">
        <v>158</v>
      </c>
      <c r="CE42" s="144"/>
      <c r="CF42" s="179"/>
      <c r="CG42" s="168" t="s">
        <v>158</v>
      </c>
      <c r="CH42" s="144"/>
      <c r="CI42" s="179"/>
      <c r="CJ42" s="168" t="s">
        <v>158</v>
      </c>
      <c r="CK42" s="144"/>
      <c r="CL42" s="179"/>
      <c r="CM42" s="168" t="s">
        <v>158</v>
      </c>
      <c r="CN42" s="144"/>
      <c r="CO42" s="179"/>
      <c r="CP42" s="168" t="s">
        <v>158</v>
      </c>
      <c r="CQ42" s="144"/>
      <c r="CR42" s="179"/>
      <c r="CS42" s="168" t="s">
        <v>158</v>
      </c>
      <c r="CT42" s="144"/>
      <c r="CU42" s="179"/>
      <c r="CV42" s="168" t="s">
        <v>158</v>
      </c>
      <c r="CW42" s="144"/>
      <c r="CX42" s="179"/>
      <c r="CY42" s="168" t="s">
        <v>158</v>
      </c>
      <c r="CZ42" s="144"/>
      <c r="DA42" s="179"/>
      <c r="DB42" s="168" t="s">
        <v>158</v>
      </c>
      <c r="DC42" s="144"/>
    </row>
    <row r="43" spans="1:107">
      <c r="A43" s="149" t="s">
        <v>176</v>
      </c>
      <c r="B43" s="150" t="s">
        <v>177</v>
      </c>
      <c r="C43" s="179"/>
      <c r="D43" s="168" t="s">
        <v>158</v>
      </c>
      <c r="E43" s="144"/>
      <c r="F43" s="179"/>
      <c r="G43" s="168" t="s">
        <v>158</v>
      </c>
      <c r="H43" s="144"/>
      <c r="I43" s="179"/>
      <c r="J43" s="168" t="s">
        <v>158</v>
      </c>
      <c r="K43" s="144"/>
      <c r="L43" s="179"/>
      <c r="M43" s="168" t="s">
        <v>158</v>
      </c>
      <c r="N43" s="144"/>
      <c r="O43" s="179"/>
      <c r="P43" s="168" t="s">
        <v>158</v>
      </c>
      <c r="Q43" s="144"/>
      <c r="R43" s="179"/>
      <c r="S43" s="168" t="s">
        <v>158</v>
      </c>
      <c r="T43" s="144"/>
      <c r="U43" s="179"/>
      <c r="V43" s="168" t="s">
        <v>158</v>
      </c>
      <c r="W43" s="144"/>
      <c r="X43" s="179"/>
      <c r="Y43" s="168" t="s">
        <v>158</v>
      </c>
      <c r="Z43" s="144"/>
      <c r="AA43" s="179"/>
      <c r="AB43" s="168" t="s">
        <v>158</v>
      </c>
      <c r="AC43" s="144"/>
      <c r="AD43" s="179"/>
      <c r="AE43" s="168" t="s">
        <v>158</v>
      </c>
      <c r="AF43" s="144"/>
      <c r="AG43" s="179"/>
      <c r="AH43" s="168" t="s">
        <v>158</v>
      </c>
      <c r="AI43" s="144"/>
      <c r="AJ43" s="179"/>
      <c r="AK43" s="168" t="s">
        <v>158</v>
      </c>
      <c r="AL43" s="144"/>
      <c r="AM43" s="179"/>
      <c r="AN43" s="168" t="s">
        <v>158</v>
      </c>
      <c r="AO43" s="144"/>
      <c r="AP43" s="179"/>
      <c r="AQ43" s="168" t="s">
        <v>158</v>
      </c>
      <c r="AR43" s="144"/>
      <c r="AS43" s="179"/>
      <c r="AT43" s="168" t="s">
        <v>158</v>
      </c>
      <c r="AU43" s="144"/>
      <c r="AV43" s="179"/>
      <c r="AW43" s="168" t="s">
        <v>158</v>
      </c>
      <c r="AX43" s="144"/>
      <c r="AY43" s="179"/>
      <c r="AZ43" s="168" t="s">
        <v>158</v>
      </c>
      <c r="BA43" s="144"/>
      <c r="BB43" s="179"/>
      <c r="BC43" s="168" t="s">
        <v>158</v>
      </c>
      <c r="BD43" s="144"/>
      <c r="BE43" s="179"/>
      <c r="BF43" s="168" t="s">
        <v>158</v>
      </c>
      <c r="BG43" s="144"/>
      <c r="BH43" s="179"/>
      <c r="BI43" s="168" t="s">
        <v>158</v>
      </c>
      <c r="BJ43" s="144"/>
      <c r="BK43" s="179"/>
      <c r="BL43" s="168" t="s">
        <v>158</v>
      </c>
      <c r="BM43" s="144"/>
      <c r="BN43" s="179"/>
      <c r="BO43" s="168" t="s">
        <v>158</v>
      </c>
      <c r="BP43" s="144"/>
      <c r="BQ43" s="179"/>
      <c r="BR43" s="168" t="s">
        <v>158</v>
      </c>
      <c r="BS43" s="144"/>
      <c r="BT43" s="179"/>
      <c r="BU43" s="168" t="s">
        <v>158</v>
      </c>
      <c r="BV43" s="144"/>
      <c r="BW43" s="179"/>
      <c r="BX43" s="168" t="s">
        <v>158</v>
      </c>
      <c r="BY43" s="144"/>
      <c r="BZ43" s="179"/>
      <c r="CA43" s="168" t="s">
        <v>158</v>
      </c>
      <c r="CB43" s="144"/>
      <c r="CC43" s="179"/>
      <c r="CD43" s="168" t="s">
        <v>158</v>
      </c>
      <c r="CE43" s="144"/>
      <c r="CF43" s="179"/>
      <c r="CG43" s="168" t="s">
        <v>158</v>
      </c>
      <c r="CH43" s="144"/>
      <c r="CI43" s="179"/>
      <c r="CJ43" s="168" t="s">
        <v>158</v>
      </c>
      <c r="CK43" s="144"/>
      <c r="CL43" s="179"/>
      <c r="CM43" s="168" t="s">
        <v>158</v>
      </c>
      <c r="CN43" s="144"/>
      <c r="CO43" s="179"/>
      <c r="CP43" s="168" t="s">
        <v>158</v>
      </c>
      <c r="CQ43" s="144"/>
      <c r="CR43" s="179"/>
      <c r="CS43" s="168" t="s">
        <v>158</v>
      </c>
      <c r="CT43" s="144"/>
      <c r="CU43" s="179"/>
      <c r="CV43" s="168" t="s">
        <v>158</v>
      </c>
      <c r="CW43" s="144"/>
      <c r="CX43" s="179"/>
      <c r="CY43" s="168" t="s">
        <v>158</v>
      </c>
      <c r="CZ43" s="144"/>
      <c r="DA43" s="179"/>
      <c r="DB43" s="168" t="s">
        <v>158</v>
      </c>
      <c r="DC43" s="144"/>
    </row>
    <row r="44" spans="1:107">
      <c r="A44" s="149" t="s">
        <v>178</v>
      </c>
      <c r="B44" s="150" t="s">
        <v>179</v>
      </c>
      <c r="C44" s="179"/>
      <c r="D44" s="184" t="s">
        <v>158</v>
      </c>
      <c r="E44" s="144"/>
      <c r="F44" s="179"/>
      <c r="G44" s="184" t="s">
        <v>158</v>
      </c>
      <c r="H44" s="144"/>
      <c r="I44" s="179"/>
      <c r="J44" s="184" t="s">
        <v>158</v>
      </c>
      <c r="K44" s="144"/>
      <c r="L44" s="179"/>
      <c r="M44" s="184" t="s">
        <v>158</v>
      </c>
      <c r="N44" s="144"/>
      <c r="O44" s="179"/>
      <c r="P44" s="184" t="s">
        <v>158</v>
      </c>
      <c r="Q44" s="144"/>
      <c r="R44" s="179"/>
      <c r="S44" s="184" t="s">
        <v>158</v>
      </c>
      <c r="T44" s="144"/>
      <c r="U44" s="179"/>
      <c r="V44" s="184" t="s">
        <v>158</v>
      </c>
      <c r="W44" s="144"/>
      <c r="X44" s="179"/>
      <c r="Y44" s="184" t="s">
        <v>158</v>
      </c>
      <c r="Z44" s="144"/>
      <c r="AA44" s="179"/>
      <c r="AB44" s="184" t="s">
        <v>158</v>
      </c>
      <c r="AC44" s="144"/>
      <c r="AD44" s="179"/>
      <c r="AE44" s="184" t="s">
        <v>158</v>
      </c>
      <c r="AF44" s="144"/>
      <c r="AG44" s="179"/>
      <c r="AH44" s="184" t="s">
        <v>158</v>
      </c>
      <c r="AI44" s="144"/>
      <c r="AJ44" s="179"/>
      <c r="AK44" s="184" t="s">
        <v>158</v>
      </c>
      <c r="AL44" s="144"/>
      <c r="AM44" s="179"/>
      <c r="AN44" s="184" t="s">
        <v>158</v>
      </c>
      <c r="AO44" s="144"/>
      <c r="AP44" s="179"/>
      <c r="AQ44" s="184" t="s">
        <v>158</v>
      </c>
      <c r="AR44" s="144"/>
      <c r="AS44" s="179"/>
      <c r="AT44" s="184" t="s">
        <v>158</v>
      </c>
      <c r="AU44" s="144"/>
      <c r="AV44" s="179"/>
      <c r="AW44" s="184" t="s">
        <v>158</v>
      </c>
      <c r="AX44" s="144"/>
      <c r="AY44" s="179"/>
      <c r="AZ44" s="184" t="s">
        <v>158</v>
      </c>
      <c r="BA44" s="144"/>
      <c r="BB44" s="179"/>
      <c r="BC44" s="184" t="s">
        <v>158</v>
      </c>
      <c r="BD44" s="144"/>
      <c r="BE44" s="179"/>
      <c r="BF44" s="184" t="s">
        <v>158</v>
      </c>
      <c r="BG44" s="144"/>
      <c r="BH44" s="179"/>
      <c r="BI44" s="184" t="s">
        <v>158</v>
      </c>
      <c r="BJ44" s="144"/>
      <c r="BK44" s="179"/>
      <c r="BL44" s="184" t="s">
        <v>158</v>
      </c>
      <c r="BM44" s="144"/>
      <c r="BN44" s="179"/>
      <c r="BO44" s="184" t="s">
        <v>158</v>
      </c>
      <c r="BP44" s="144"/>
      <c r="BQ44" s="179"/>
      <c r="BR44" s="184" t="s">
        <v>158</v>
      </c>
      <c r="BS44" s="144"/>
      <c r="BT44" s="179"/>
      <c r="BU44" s="184" t="s">
        <v>158</v>
      </c>
      <c r="BV44" s="144"/>
      <c r="BW44" s="179"/>
      <c r="BX44" s="184" t="s">
        <v>158</v>
      </c>
      <c r="BY44" s="144"/>
      <c r="BZ44" s="179"/>
      <c r="CA44" s="184" t="s">
        <v>158</v>
      </c>
      <c r="CB44" s="144"/>
      <c r="CC44" s="179"/>
      <c r="CD44" s="184" t="s">
        <v>158</v>
      </c>
      <c r="CE44" s="144"/>
      <c r="CF44" s="179"/>
      <c r="CG44" s="184" t="s">
        <v>158</v>
      </c>
      <c r="CH44" s="144"/>
      <c r="CI44" s="179"/>
      <c r="CJ44" s="184" t="s">
        <v>158</v>
      </c>
      <c r="CK44" s="144"/>
      <c r="CL44" s="179"/>
      <c r="CM44" s="184" t="s">
        <v>158</v>
      </c>
      <c r="CN44" s="144"/>
      <c r="CO44" s="179"/>
      <c r="CP44" s="184" t="s">
        <v>158</v>
      </c>
      <c r="CQ44" s="144"/>
      <c r="CR44" s="179"/>
      <c r="CS44" s="184" t="s">
        <v>158</v>
      </c>
      <c r="CT44" s="144"/>
      <c r="CU44" s="179"/>
      <c r="CV44" s="184" t="s">
        <v>158</v>
      </c>
      <c r="CW44" s="144"/>
      <c r="CX44" s="179"/>
      <c r="CY44" s="184" t="s">
        <v>158</v>
      </c>
      <c r="CZ44" s="144"/>
      <c r="DA44" s="179"/>
      <c r="DB44" s="184" t="s">
        <v>158</v>
      </c>
      <c r="DC44" s="144"/>
    </row>
    <row r="45" spans="1:107">
      <c r="A45" s="149" t="s">
        <v>180</v>
      </c>
      <c r="B45" s="150" t="s">
        <v>181</v>
      </c>
      <c r="C45" s="179"/>
      <c r="D45" s="180" t="s">
        <v>158</v>
      </c>
      <c r="E45" s="144"/>
      <c r="F45" s="179"/>
      <c r="G45" s="180" t="s">
        <v>158</v>
      </c>
      <c r="H45" s="144"/>
      <c r="I45" s="179"/>
      <c r="J45" s="180" t="s">
        <v>158</v>
      </c>
      <c r="K45" s="144"/>
      <c r="L45" s="179"/>
      <c r="M45" s="180" t="s">
        <v>158</v>
      </c>
      <c r="N45" s="144"/>
      <c r="O45" s="179"/>
      <c r="P45" s="180" t="s">
        <v>158</v>
      </c>
      <c r="Q45" s="144"/>
      <c r="R45" s="179"/>
      <c r="S45" s="180" t="s">
        <v>158</v>
      </c>
      <c r="T45" s="144"/>
      <c r="U45" s="179"/>
      <c r="V45" s="180" t="s">
        <v>158</v>
      </c>
      <c r="W45" s="144"/>
      <c r="X45" s="179"/>
      <c r="Y45" s="180" t="s">
        <v>158</v>
      </c>
      <c r="Z45" s="144"/>
      <c r="AA45" s="179"/>
      <c r="AB45" s="180" t="s">
        <v>158</v>
      </c>
      <c r="AC45" s="144"/>
      <c r="AD45" s="179"/>
      <c r="AE45" s="180" t="s">
        <v>158</v>
      </c>
      <c r="AF45" s="144"/>
      <c r="AG45" s="179"/>
      <c r="AH45" s="180" t="s">
        <v>158</v>
      </c>
      <c r="AI45" s="144"/>
      <c r="AJ45" s="179"/>
      <c r="AK45" s="180" t="s">
        <v>158</v>
      </c>
      <c r="AL45" s="144"/>
      <c r="AM45" s="179"/>
      <c r="AN45" s="180" t="s">
        <v>158</v>
      </c>
      <c r="AO45" s="144"/>
      <c r="AP45" s="179"/>
      <c r="AQ45" s="180" t="s">
        <v>158</v>
      </c>
      <c r="AR45" s="144"/>
      <c r="AS45" s="179"/>
      <c r="AT45" s="180" t="s">
        <v>158</v>
      </c>
      <c r="AU45" s="144"/>
      <c r="AV45" s="179"/>
      <c r="AW45" s="180" t="s">
        <v>158</v>
      </c>
      <c r="AX45" s="144"/>
      <c r="AY45" s="179"/>
      <c r="AZ45" s="180" t="s">
        <v>158</v>
      </c>
      <c r="BA45" s="144"/>
      <c r="BB45" s="179"/>
      <c r="BC45" s="180" t="s">
        <v>158</v>
      </c>
      <c r="BD45" s="144"/>
      <c r="BE45" s="179"/>
      <c r="BF45" s="180" t="s">
        <v>158</v>
      </c>
      <c r="BG45" s="144"/>
      <c r="BH45" s="179"/>
      <c r="BI45" s="180" t="s">
        <v>158</v>
      </c>
      <c r="BJ45" s="144"/>
      <c r="BK45" s="179"/>
      <c r="BL45" s="180" t="s">
        <v>158</v>
      </c>
      <c r="BM45" s="144"/>
      <c r="BN45" s="179"/>
      <c r="BO45" s="180" t="s">
        <v>158</v>
      </c>
      <c r="BP45" s="144"/>
      <c r="BQ45" s="179"/>
      <c r="BR45" s="180" t="s">
        <v>158</v>
      </c>
      <c r="BS45" s="144"/>
      <c r="BT45" s="179"/>
      <c r="BU45" s="180" t="s">
        <v>158</v>
      </c>
      <c r="BV45" s="144"/>
      <c r="BW45" s="179"/>
      <c r="BX45" s="180" t="s">
        <v>158</v>
      </c>
      <c r="BY45" s="144"/>
      <c r="BZ45" s="179"/>
      <c r="CA45" s="180" t="s">
        <v>158</v>
      </c>
      <c r="CB45" s="144"/>
      <c r="CC45" s="179"/>
      <c r="CD45" s="180" t="s">
        <v>158</v>
      </c>
      <c r="CE45" s="144"/>
      <c r="CF45" s="179"/>
      <c r="CG45" s="180" t="s">
        <v>158</v>
      </c>
      <c r="CH45" s="144"/>
      <c r="CI45" s="179"/>
      <c r="CJ45" s="180" t="s">
        <v>158</v>
      </c>
      <c r="CK45" s="144"/>
      <c r="CL45" s="179"/>
      <c r="CM45" s="180" t="s">
        <v>158</v>
      </c>
      <c r="CN45" s="144"/>
      <c r="CO45" s="179"/>
      <c r="CP45" s="180" t="s">
        <v>158</v>
      </c>
      <c r="CQ45" s="144"/>
      <c r="CR45" s="179"/>
      <c r="CS45" s="180" t="s">
        <v>158</v>
      </c>
      <c r="CT45" s="144"/>
      <c r="CU45" s="179"/>
      <c r="CV45" s="180" t="s">
        <v>158</v>
      </c>
      <c r="CW45" s="144"/>
      <c r="CX45" s="179"/>
      <c r="CY45" s="180" t="s">
        <v>158</v>
      </c>
      <c r="CZ45" s="144"/>
      <c r="DA45" s="179"/>
      <c r="DB45" s="180" t="s">
        <v>158</v>
      </c>
      <c r="DC45" s="144"/>
    </row>
    <row r="46" spans="1:107">
      <c r="A46" s="149" t="s">
        <v>166</v>
      </c>
      <c r="B46" s="150" t="s">
        <v>182</v>
      </c>
      <c r="C46" s="179"/>
      <c r="D46" s="168" t="s">
        <v>158</v>
      </c>
      <c r="E46" s="144"/>
      <c r="F46" s="179"/>
      <c r="G46" s="168" t="s">
        <v>158</v>
      </c>
      <c r="H46" s="144"/>
      <c r="I46" s="179"/>
      <c r="J46" s="168" t="s">
        <v>158</v>
      </c>
      <c r="K46" s="144"/>
      <c r="L46" s="179"/>
      <c r="M46" s="168" t="s">
        <v>158</v>
      </c>
      <c r="N46" s="144"/>
      <c r="O46" s="179"/>
      <c r="P46" s="168" t="s">
        <v>158</v>
      </c>
      <c r="Q46" s="144"/>
      <c r="R46" s="179"/>
      <c r="S46" s="168" t="s">
        <v>158</v>
      </c>
      <c r="T46" s="144"/>
      <c r="U46" s="179"/>
      <c r="V46" s="168" t="s">
        <v>158</v>
      </c>
      <c r="W46" s="144"/>
      <c r="X46" s="179"/>
      <c r="Y46" s="168" t="s">
        <v>158</v>
      </c>
      <c r="Z46" s="144"/>
      <c r="AA46" s="179"/>
      <c r="AB46" s="168" t="s">
        <v>158</v>
      </c>
      <c r="AC46" s="144"/>
      <c r="AD46" s="179"/>
      <c r="AE46" s="168" t="s">
        <v>158</v>
      </c>
      <c r="AF46" s="144"/>
      <c r="AG46" s="179"/>
      <c r="AH46" s="168" t="s">
        <v>158</v>
      </c>
      <c r="AI46" s="144"/>
      <c r="AJ46" s="179"/>
      <c r="AK46" s="168" t="s">
        <v>158</v>
      </c>
      <c r="AL46" s="144"/>
      <c r="AM46" s="179"/>
      <c r="AN46" s="168" t="s">
        <v>158</v>
      </c>
      <c r="AO46" s="144"/>
      <c r="AP46" s="179"/>
      <c r="AQ46" s="168" t="s">
        <v>158</v>
      </c>
      <c r="AR46" s="144"/>
      <c r="AS46" s="179"/>
      <c r="AT46" s="168" t="s">
        <v>158</v>
      </c>
      <c r="AU46" s="144"/>
      <c r="AV46" s="179"/>
      <c r="AW46" s="168" t="s">
        <v>158</v>
      </c>
      <c r="AX46" s="144"/>
      <c r="AY46" s="179"/>
      <c r="AZ46" s="168" t="s">
        <v>158</v>
      </c>
      <c r="BA46" s="144"/>
      <c r="BB46" s="179"/>
      <c r="BC46" s="168" t="s">
        <v>158</v>
      </c>
      <c r="BD46" s="144"/>
      <c r="BE46" s="179"/>
      <c r="BF46" s="168" t="s">
        <v>158</v>
      </c>
      <c r="BG46" s="144"/>
      <c r="BH46" s="179"/>
      <c r="BI46" s="168" t="s">
        <v>158</v>
      </c>
      <c r="BJ46" s="144"/>
      <c r="BK46" s="179"/>
      <c r="BL46" s="168" t="s">
        <v>158</v>
      </c>
      <c r="BM46" s="144"/>
      <c r="BN46" s="179"/>
      <c r="BO46" s="168" t="s">
        <v>158</v>
      </c>
      <c r="BP46" s="144"/>
      <c r="BQ46" s="179"/>
      <c r="BR46" s="168" t="s">
        <v>158</v>
      </c>
      <c r="BS46" s="144"/>
      <c r="BT46" s="179"/>
      <c r="BU46" s="168" t="s">
        <v>158</v>
      </c>
      <c r="BV46" s="144"/>
      <c r="BW46" s="179"/>
      <c r="BX46" s="168" t="s">
        <v>158</v>
      </c>
      <c r="BY46" s="144"/>
      <c r="BZ46" s="179"/>
      <c r="CA46" s="168" t="s">
        <v>158</v>
      </c>
      <c r="CB46" s="144"/>
      <c r="CC46" s="179"/>
      <c r="CD46" s="168" t="s">
        <v>158</v>
      </c>
      <c r="CE46" s="144"/>
      <c r="CF46" s="179"/>
      <c r="CG46" s="168" t="s">
        <v>158</v>
      </c>
      <c r="CH46" s="144"/>
      <c r="CI46" s="179"/>
      <c r="CJ46" s="168" t="s">
        <v>158</v>
      </c>
      <c r="CK46" s="144"/>
      <c r="CL46" s="179"/>
      <c r="CM46" s="168" t="s">
        <v>158</v>
      </c>
      <c r="CN46" s="144"/>
      <c r="CO46" s="179"/>
      <c r="CP46" s="168" t="s">
        <v>158</v>
      </c>
      <c r="CQ46" s="144"/>
      <c r="CR46" s="179"/>
      <c r="CS46" s="168" t="s">
        <v>158</v>
      </c>
      <c r="CT46" s="144"/>
      <c r="CU46" s="179"/>
      <c r="CV46" s="168" t="s">
        <v>158</v>
      </c>
      <c r="CW46" s="144"/>
      <c r="CX46" s="179"/>
      <c r="CY46" s="168" t="s">
        <v>158</v>
      </c>
      <c r="CZ46" s="144"/>
      <c r="DA46" s="179"/>
      <c r="DB46" s="168" t="s">
        <v>158</v>
      </c>
      <c r="DC46" s="144"/>
    </row>
    <row r="47" spans="1:107">
      <c r="A47" s="149" t="s">
        <v>183</v>
      </c>
      <c r="B47" s="150" t="s">
        <v>9</v>
      </c>
      <c r="C47" s="179"/>
      <c r="D47" s="184" t="s">
        <v>158</v>
      </c>
      <c r="E47" s="144"/>
      <c r="F47" s="179"/>
      <c r="G47" s="184" t="s">
        <v>158</v>
      </c>
      <c r="H47" s="144"/>
      <c r="I47" s="179"/>
      <c r="J47" s="184" t="s">
        <v>158</v>
      </c>
      <c r="K47" s="144"/>
      <c r="L47" s="179"/>
      <c r="M47" s="184" t="s">
        <v>158</v>
      </c>
      <c r="N47" s="144"/>
      <c r="O47" s="179"/>
      <c r="P47" s="184" t="s">
        <v>158</v>
      </c>
      <c r="Q47" s="144"/>
      <c r="R47" s="179"/>
      <c r="S47" s="184" t="s">
        <v>158</v>
      </c>
      <c r="T47" s="144"/>
      <c r="U47" s="179"/>
      <c r="V47" s="184" t="s">
        <v>158</v>
      </c>
      <c r="W47" s="144"/>
      <c r="X47" s="179"/>
      <c r="Y47" s="184" t="s">
        <v>158</v>
      </c>
      <c r="Z47" s="144"/>
      <c r="AA47" s="179"/>
      <c r="AB47" s="184" t="s">
        <v>158</v>
      </c>
      <c r="AC47" s="144"/>
      <c r="AD47" s="179"/>
      <c r="AE47" s="184" t="s">
        <v>158</v>
      </c>
      <c r="AF47" s="144"/>
      <c r="AG47" s="179"/>
      <c r="AH47" s="184" t="s">
        <v>158</v>
      </c>
      <c r="AI47" s="144"/>
      <c r="AJ47" s="179"/>
      <c r="AK47" s="184" t="s">
        <v>158</v>
      </c>
      <c r="AL47" s="144"/>
      <c r="AM47" s="179"/>
      <c r="AN47" s="184" t="s">
        <v>158</v>
      </c>
      <c r="AO47" s="144"/>
      <c r="AP47" s="179"/>
      <c r="AQ47" s="184" t="s">
        <v>158</v>
      </c>
      <c r="AR47" s="144"/>
      <c r="AS47" s="179"/>
      <c r="AT47" s="184" t="s">
        <v>158</v>
      </c>
      <c r="AU47" s="144"/>
      <c r="AV47" s="179"/>
      <c r="AW47" s="184" t="s">
        <v>158</v>
      </c>
      <c r="AX47" s="144"/>
      <c r="AY47" s="179"/>
      <c r="AZ47" s="184" t="s">
        <v>158</v>
      </c>
      <c r="BA47" s="144"/>
      <c r="BB47" s="179"/>
      <c r="BC47" s="184" t="s">
        <v>158</v>
      </c>
      <c r="BD47" s="144"/>
      <c r="BE47" s="179"/>
      <c r="BF47" s="184" t="s">
        <v>158</v>
      </c>
      <c r="BG47" s="144"/>
      <c r="BH47" s="179"/>
      <c r="BI47" s="184" t="s">
        <v>158</v>
      </c>
      <c r="BJ47" s="144"/>
      <c r="BK47" s="179"/>
      <c r="BL47" s="184" t="s">
        <v>158</v>
      </c>
      <c r="BM47" s="144"/>
      <c r="BN47" s="179"/>
      <c r="BO47" s="184" t="s">
        <v>158</v>
      </c>
      <c r="BP47" s="144"/>
      <c r="BQ47" s="179"/>
      <c r="BR47" s="184" t="s">
        <v>158</v>
      </c>
      <c r="BS47" s="144"/>
      <c r="BT47" s="179"/>
      <c r="BU47" s="184" t="s">
        <v>158</v>
      </c>
      <c r="BV47" s="144"/>
      <c r="BW47" s="179"/>
      <c r="BX47" s="184" t="s">
        <v>158</v>
      </c>
      <c r="BY47" s="144"/>
      <c r="BZ47" s="179"/>
      <c r="CA47" s="184" t="s">
        <v>158</v>
      </c>
      <c r="CB47" s="144"/>
      <c r="CC47" s="179"/>
      <c r="CD47" s="184" t="s">
        <v>158</v>
      </c>
      <c r="CE47" s="144"/>
      <c r="CF47" s="179"/>
      <c r="CG47" s="184" t="s">
        <v>158</v>
      </c>
      <c r="CH47" s="144"/>
      <c r="CI47" s="179"/>
      <c r="CJ47" s="184" t="s">
        <v>158</v>
      </c>
      <c r="CK47" s="144"/>
      <c r="CL47" s="179"/>
      <c r="CM47" s="184" t="s">
        <v>158</v>
      </c>
      <c r="CN47" s="144"/>
      <c r="CO47" s="179"/>
      <c r="CP47" s="184" t="s">
        <v>158</v>
      </c>
      <c r="CQ47" s="144"/>
      <c r="CR47" s="179"/>
      <c r="CS47" s="184" t="s">
        <v>158</v>
      </c>
      <c r="CT47" s="144"/>
      <c r="CU47" s="179"/>
      <c r="CV47" s="184" t="s">
        <v>158</v>
      </c>
      <c r="CW47" s="144"/>
      <c r="CX47" s="179"/>
      <c r="CY47" s="184" t="s">
        <v>158</v>
      </c>
      <c r="CZ47" s="144"/>
      <c r="DA47" s="179"/>
      <c r="DB47" s="184" t="s">
        <v>158</v>
      </c>
      <c r="DC47" s="144"/>
    </row>
    <row r="48" spans="1:107">
      <c r="A48" s="172" t="s">
        <v>184</v>
      </c>
      <c r="B48" s="173" t="s">
        <v>185</v>
      </c>
      <c r="C48" s="185"/>
      <c r="D48" s="186" t="s">
        <v>158</v>
      </c>
      <c r="E48" s="159"/>
      <c r="F48" s="185"/>
      <c r="G48" s="186" t="s">
        <v>158</v>
      </c>
      <c r="H48" s="159"/>
      <c r="I48" s="185"/>
      <c r="J48" s="186" t="s">
        <v>158</v>
      </c>
      <c r="K48" s="159"/>
      <c r="L48" s="185"/>
      <c r="M48" s="186" t="s">
        <v>158</v>
      </c>
      <c r="N48" s="159"/>
      <c r="O48" s="185"/>
      <c r="P48" s="186" t="s">
        <v>158</v>
      </c>
      <c r="Q48" s="159"/>
      <c r="R48" s="185"/>
      <c r="S48" s="186" t="s">
        <v>158</v>
      </c>
      <c r="T48" s="159"/>
      <c r="U48" s="185"/>
      <c r="V48" s="186" t="s">
        <v>158</v>
      </c>
      <c r="W48" s="159"/>
      <c r="X48" s="185"/>
      <c r="Y48" s="186" t="s">
        <v>158</v>
      </c>
      <c r="Z48" s="159"/>
      <c r="AA48" s="185"/>
      <c r="AB48" s="186" t="s">
        <v>158</v>
      </c>
      <c r="AC48" s="159"/>
      <c r="AD48" s="185"/>
      <c r="AE48" s="186" t="s">
        <v>158</v>
      </c>
      <c r="AF48" s="159"/>
      <c r="AG48" s="185"/>
      <c r="AH48" s="186" t="s">
        <v>158</v>
      </c>
      <c r="AI48" s="159"/>
      <c r="AJ48" s="185"/>
      <c r="AK48" s="186" t="s">
        <v>158</v>
      </c>
      <c r="AL48" s="159"/>
      <c r="AM48" s="185"/>
      <c r="AN48" s="186" t="s">
        <v>158</v>
      </c>
      <c r="AO48" s="159"/>
      <c r="AP48" s="185"/>
      <c r="AQ48" s="186" t="s">
        <v>158</v>
      </c>
      <c r="AR48" s="159"/>
      <c r="AS48" s="185"/>
      <c r="AT48" s="186" t="s">
        <v>158</v>
      </c>
      <c r="AU48" s="159"/>
      <c r="AV48" s="185"/>
      <c r="AW48" s="186" t="s">
        <v>158</v>
      </c>
      <c r="AX48" s="159"/>
      <c r="AY48" s="185"/>
      <c r="AZ48" s="186" t="s">
        <v>158</v>
      </c>
      <c r="BA48" s="159"/>
      <c r="BB48" s="185"/>
      <c r="BC48" s="186" t="s">
        <v>158</v>
      </c>
      <c r="BD48" s="159"/>
      <c r="BE48" s="185"/>
      <c r="BF48" s="186" t="s">
        <v>158</v>
      </c>
      <c r="BG48" s="159"/>
      <c r="BH48" s="185"/>
      <c r="BI48" s="186" t="s">
        <v>158</v>
      </c>
      <c r="BJ48" s="159"/>
      <c r="BK48" s="185"/>
      <c r="BL48" s="186" t="s">
        <v>158</v>
      </c>
      <c r="BM48" s="159"/>
      <c r="BN48" s="185"/>
      <c r="BO48" s="186" t="s">
        <v>158</v>
      </c>
      <c r="BP48" s="159"/>
      <c r="BQ48" s="185"/>
      <c r="BR48" s="186" t="s">
        <v>158</v>
      </c>
      <c r="BS48" s="159"/>
      <c r="BT48" s="185"/>
      <c r="BU48" s="186" t="s">
        <v>158</v>
      </c>
      <c r="BV48" s="159"/>
      <c r="BW48" s="185"/>
      <c r="BX48" s="186" t="s">
        <v>158</v>
      </c>
      <c r="BY48" s="159"/>
      <c r="BZ48" s="185"/>
      <c r="CA48" s="186" t="s">
        <v>158</v>
      </c>
      <c r="CB48" s="159"/>
      <c r="CC48" s="185"/>
      <c r="CD48" s="186" t="s">
        <v>158</v>
      </c>
      <c r="CE48" s="159"/>
      <c r="CF48" s="185"/>
      <c r="CG48" s="186" t="s">
        <v>158</v>
      </c>
      <c r="CH48" s="159"/>
      <c r="CI48" s="185"/>
      <c r="CJ48" s="186" t="s">
        <v>158</v>
      </c>
      <c r="CK48" s="159"/>
      <c r="CL48" s="185"/>
      <c r="CM48" s="186" t="s">
        <v>158</v>
      </c>
      <c r="CN48" s="159"/>
      <c r="CO48" s="185"/>
      <c r="CP48" s="186" t="s">
        <v>158</v>
      </c>
      <c r="CQ48" s="159"/>
      <c r="CR48" s="185"/>
      <c r="CS48" s="186" t="s">
        <v>158</v>
      </c>
      <c r="CT48" s="159"/>
      <c r="CU48" s="185"/>
      <c r="CV48" s="186" t="s">
        <v>158</v>
      </c>
      <c r="CW48" s="159"/>
      <c r="CX48" s="185"/>
      <c r="CY48" s="186" t="s">
        <v>158</v>
      </c>
      <c r="CZ48" s="159"/>
      <c r="DA48" s="185"/>
      <c r="DB48" s="186" t="s">
        <v>158</v>
      </c>
      <c r="DC48" s="159"/>
    </row>
    <row r="49" spans="1:41">
      <c r="A49" s="128"/>
      <c r="B49" s="187"/>
      <c r="C49" s="168"/>
      <c r="D49" s="188"/>
      <c r="E49" s="189"/>
      <c r="F49" s="168"/>
      <c r="G49" s="188"/>
      <c r="H49" s="189"/>
      <c r="I49" s="168"/>
      <c r="J49" s="188"/>
      <c r="K49" s="189"/>
      <c r="L49" s="168"/>
      <c r="M49" s="188"/>
      <c r="N49" s="189"/>
      <c r="O49" s="168"/>
      <c r="P49" s="188"/>
      <c r="Q49" s="189"/>
      <c r="R49" s="168"/>
      <c r="S49" s="188"/>
      <c r="T49" s="189"/>
      <c r="U49" s="168"/>
      <c r="V49" s="188"/>
      <c r="W49" s="189"/>
      <c r="X49" s="168"/>
      <c r="Y49" s="188"/>
      <c r="Z49" s="189"/>
      <c r="AA49" s="168"/>
      <c r="AB49" s="188"/>
      <c r="AC49" s="189"/>
      <c r="AD49" s="168"/>
      <c r="AE49" s="188"/>
      <c r="AF49" s="189"/>
      <c r="AG49" s="168"/>
      <c r="AH49" s="188"/>
      <c r="AI49" s="189"/>
      <c r="AJ49" s="168"/>
      <c r="AK49" s="188"/>
      <c r="AL49" s="189"/>
      <c r="AM49" s="168"/>
      <c r="AN49" s="188"/>
      <c r="AO49" s="189"/>
    </row>
    <row r="50" spans="1:41">
      <c r="A50" s="190" t="s">
        <v>186</v>
      </c>
    </row>
    <row r="51" spans="1:41">
      <c r="A51" s="191" t="s">
        <v>187</v>
      </c>
    </row>
    <row r="52" spans="1:41">
      <c r="A52" s="193" t="s">
        <v>188</v>
      </c>
    </row>
  </sheetData>
  <mergeCells count="315">
    <mergeCell ref="CF17:CH17"/>
    <mergeCell ref="CI17:CK17"/>
    <mergeCell ref="CL17:CN17"/>
    <mergeCell ref="C17:E17"/>
    <mergeCell ref="F17:H17"/>
    <mergeCell ref="I17:K17"/>
    <mergeCell ref="L17:N17"/>
    <mergeCell ref="O17:Q17"/>
    <mergeCell ref="R17:T17"/>
    <mergeCell ref="BE17:BG17"/>
    <mergeCell ref="BH17:BJ17"/>
    <mergeCell ref="BK17:BM17"/>
    <mergeCell ref="AM17:AO17"/>
    <mergeCell ref="AP17:AR17"/>
    <mergeCell ref="AS17:AU17"/>
    <mergeCell ref="AV17:AX17"/>
    <mergeCell ref="AY17:BA17"/>
    <mergeCell ref="BB17:BD17"/>
    <mergeCell ref="DA16:DC16"/>
    <mergeCell ref="BT16:BV16"/>
    <mergeCell ref="BW16:BY16"/>
    <mergeCell ref="BZ16:CB16"/>
    <mergeCell ref="CC16:CE16"/>
    <mergeCell ref="CF16:CH16"/>
    <mergeCell ref="CI16:CK16"/>
    <mergeCell ref="U17:W17"/>
    <mergeCell ref="X17:Z17"/>
    <mergeCell ref="AA17:AC17"/>
    <mergeCell ref="AD17:AF17"/>
    <mergeCell ref="AG17:AI17"/>
    <mergeCell ref="AJ17:AL17"/>
    <mergeCell ref="BN17:BP17"/>
    <mergeCell ref="BQ17:BS17"/>
    <mergeCell ref="BT17:BV17"/>
    <mergeCell ref="CO17:CQ17"/>
    <mergeCell ref="CR17:CT17"/>
    <mergeCell ref="CU17:CW17"/>
    <mergeCell ref="CX17:CZ17"/>
    <mergeCell ref="DA17:DC17"/>
    <mergeCell ref="BW17:BY17"/>
    <mergeCell ref="BZ17:CB17"/>
    <mergeCell ref="CC17:CE17"/>
    <mergeCell ref="AP16:AR16"/>
    <mergeCell ref="AS16:AU16"/>
    <mergeCell ref="AV16:AX16"/>
    <mergeCell ref="AY16:BA16"/>
    <mergeCell ref="CL16:CN16"/>
    <mergeCell ref="CO16:CQ16"/>
    <mergeCell ref="CR16:CT16"/>
    <mergeCell ref="CU16:CW16"/>
    <mergeCell ref="CX16:CZ16"/>
    <mergeCell ref="R16:T16"/>
    <mergeCell ref="U16:W16"/>
    <mergeCell ref="X16:Z16"/>
    <mergeCell ref="AA16:AC16"/>
    <mergeCell ref="AD16:AF16"/>
    <mergeCell ref="AG16:AI16"/>
    <mergeCell ref="CO15:CQ15"/>
    <mergeCell ref="CR15:CT15"/>
    <mergeCell ref="CU15:CW15"/>
    <mergeCell ref="BB15:BD15"/>
    <mergeCell ref="U15:W15"/>
    <mergeCell ref="X15:Z15"/>
    <mergeCell ref="AA15:AC15"/>
    <mergeCell ref="AD15:AF15"/>
    <mergeCell ref="AG15:AI15"/>
    <mergeCell ref="AJ15:AL15"/>
    <mergeCell ref="BB16:BD16"/>
    <mergeCell ref="BE16:BG16"/>
    <mergeCell ref="BH16:BJ16"/>
    <mergeCell ref="BK16:BM16"/>
    <mergeCell ref="BN16:BP16"/>
    <mergeCell ref="BQ16:BS16"/>
    <mergeCell ref="AJ16:AL16"/>
    <mergeCell ref="AM16:AO16"/>
    <mergeCell ref="CX15:CZ15"/>
    <mergeCell ref="DA15:DC15"/>
    <mergeCell ref="C16:E16"/>
    <mergeCell ref="F16:H16"/>
    <mergeCell ref="I16:K16"/>
    <mergeCell ref="L16:N16"/>
    <mergeCell ref="O16:Q16"/>
    <mergeCell ref="BW15:BY15"/>
    <mergeCell ref="BZ15:CB15"/>
    <mergeCell ref="CC15:CE15"/>
    <mergeCell ref="CF15:CH15"/>
    <mergeCell ref="CI15:CK15"/>
    <mergeCell ref="CL15:CN15"/>
    <mergeCell ref="BE15:BG15"/>
    <mergeCell ref="BH15:BJ15"/>
    <mergeCell ref="BK15:BM15"/>
    <mergeCell ref="BN15:BP15"/>
    <mergeCell ref="BQ15:BS15"/>
    <mergeCell ref="BT15:BV15"/>
    <mergeCell ref="AM15:AO15"/>
    <mergeCell ref="AP15:AR15"/>
    <mergeCell ref="AS15:AU15"/>
    <mergeCell ref="AV15:AX15"/>
    <mergeCell ref="AY15:BA15"/>
    <mergeCell ref="C15:E15"/>
    <mergeCell ref="F15:H15"/>
    <mergeCell ref="I15:K15"/>
    <mergeCell ref="L15:N15"/>
    <mergeCell ref="O15:Q15"/>
    <mergeCell ref="R15:T15"/>
    <mergeCell ref="CL14:CN14"/>
    <mergeCell ref="CO14:CQ14"/>
    <mergeCell ref="CR14:CT14"/>
    <mergeCell ref="BB14:BD14"/>
    <mergeCell ref="BE14:BG14"/>
    <mergeCell ref="BH14:BJ14"/>
    <mergeCell ref="BK14:BM14"/>
    <mergeCell ref="BN14:BP14"/>
    <mergeCell ref="BQ14:BS14"/>
    <mergeCell ref="AJ14:AL14"/>
    <mergeCell ref="AM14:AO14"/>
    <mergeCell ref="AP14:AR14"/>
    <mergeCell ref="AS14:AU14"/>
    <mergeCell ref="AV14:AX14"/>
    <mergeCell ref="AY14:BA14"/>
    <mergeCell ref="R14:T14"/>
    <mergeCell ref="U14:W14"/>
    <mergeCell ref="X14:Z14"/>
    <mergeCell ref="CU14:CW14"/>
    <mergeCell ref="CX14:CZ14"/>
    <mergeCell ref="DA14:DC14"/>
    <mergeCell ref="BT14:BV14"/>
    <mergeCell ref="BW14:BY14"/>
    <mergeCell ref="BZ14:CB14"/>
    <mergeCell ref="CC14:CE14"/>
    <mergeCell ref="CF14:CH14"/>
    <mergeCell ref="CI14:CK14"/>
    <mergeCell ref="AA14:AC14"/>
    <mergeCell ref="AD14:AF14"/>
    <mergeCell ref="AG14:AI14"/>
    <mergeCell ref="CO13:CQ13"/>
    <mergeCell ref="CR13:CT13"/>
    <mergeCell ref="CU13:CW13"/>
    <mergeCell ref="CX13:CZ13"/>
    <mergeCell ref="DA13:DC13"/>
    <mergeCell ref="C14:E14"/>
    <mergeCell ref="F14:H14"/>
    <mergeCell ref="I14:K14"/>
    <mergeCell ref="L14:N14"/>
    <mergeCell ref="O14:Q14"/>
    <mergeCell ref="BW13:BY13"/>
    <mergeCell ref="BZ13:CB13"/>
    <mergeCell ref="CC13:CE13"/>
    <mergeCell ref="CF13:CH13"/>
    <mergeCell ref="CI13:CK13"/>
    <mergeCell ref="CL13:CN13"/>
    <mergeCell ref="BE13:BG13"/>
    <mergeCell ref="BH13:BJ13"/>
    <mergeCell ref="BK13:BM13"/>
    <mergeCell ref="BN13:BP13"/>
    <mergeCell ref="BQ13:BS13"/>
    <mergeCell ref="BT13:BV13"/>
    <mergeCell ref="AM13:AO13"/>
    <mergeCell ref="AP13:AR13"/>
    <mergeCell ref="AS13:AU13"/>
    <mergeCell ref="AV13:AX13"/>
    <mergeCell ref="AY13:BA13"/>
    <mergeCell ref="BB13:BD13"/>
    <mergeCell ref="U13:W13"/>
    <mergeCell ref="X13:Z13"/>
    <mergeCell ref="AA13:AC13"/>
    <mergeCell ref="AD13:AF13"/>
    <mergeCell ref="AG13:AI13"/>
    <mergeCell ref="AJ13:AL13"/>
    <mergeCell ref="C13:E13"/>
    <mergeCell ref="F13:H13"/>
    <mergeCell ref="I13:K13"/>
    <mergeCell ref="L13:N13"/>
    <mergeCell ref="O13:Q13"/>
    <mergeCell ref="R13:T13"/>
    <mergeCell ref="CL12:CN12"/>
    <mergeCell ref="CO12:CQ12"/>
    <mergeCell ref="CR12:CT12"/>
    <mergeCell ref="BB12:BD12"/>
    <mergeCell ref="BE12:BG12"/>
    <mergeCell ref="BH12:BJ12"/>
    <mergeCell ref="BK12:BM12"/>
    <mergeCell ref="BN12:BP12"/>
    <mergeCell ref="BQ12:BS12"/>
    <mergeCell ref="AJ12:AL12"/>
    <mergeCell ref="AM12:AO12"/>
    <mergeCell ref="AP12:AR12"/>
    <mergeCell ref="AS12:AU12"/>
    <mergeCell ref="AV12:AX12"/>
    <mergeCell ref="AY12:BA12"/>
    <mergeCell ref="R12:T12"/>
    <mergeCell ref="U12:W12"/>
    <mergeCell ref="X12:Z12"/>
    <mergeCell ref="CU12:CW12"/>
    <mergeCell ref="CX12:CZ12"/>
    <mergeCell ref="DA12:DC12"/>
    <mergeCell ref="BT12:BV12"/>
    <mergeCell ref="BW12:BY12"/>
    <mergeCell ref="BZ12:CB12"/>
    <mergeCell ref="CC12:CE12"/>
    <mergeCell ref="CF12:CH12"/>
    <mergeCell ref="CI12:CK12"/>
    <mergeCell ref="AA12:AC12"/>
    <mergeCell ref="AD12:AF12"/>
    <mergeCell ref="AG12:AI12"/>
    <mergeCell ref="CO11:CQ11"/>
    <mergeCell ref="CR11:CT11"/>
    <mergeCell ref="CU11:CW11"/>
    <mergeCell ref="CX11:CZ11"/>
    <mergeCell ref="DA11:DC11"/>
    <mergeCell ref="C12:E12"/>
    <mergeCell ref="F12:H12"/>
    <mergeCell ref="I12:K12"/>
    <mergeCell ref="L12:N12"/>
    <mergeCell ref="O12:Q12"/>
    <mergeCell ref="BW11:BY11"/>
    <mergeCell ref="BZ11:CB11"/>
    <mergeCell ref="CC11:CE11"/>
    <mergeCell ref="CF11:CH11"/>
    <mergeCell ref="CI11:CK11"/>
    <mergeCell ref="CL11:CN11"/>
    <mergeCell ref="BE11:BG11"/>
    <mergeCell ref="BH11:BJ11"/>
    <mergeCell ref="BK11:BM11"/>
    <mergeCell ref="BN11:BP11"/>
    <mergeCell ref="BQ11:BS11"/>
    <mergeCell ref="BT11:BV11"/>
    <mergeCell ref="AM11:AO11"/>
    <mergeCell ref="AP11:AR11"/>
    <mergeCell ref="AS11:AU11"/>
    <mergeCell ref="AV11:AX11"/>
    <mergeCell ref="AY11:BA11"/>
    <mergeCell ref="BB11:BD11"/>
    <mergeCell ref="U11:W11"/>
    <mergeCell ref="X11:Z11"/>
    <mergeCell ref="AA11:AC11"/>
    <mergeCell ref="AD11:AF11"/>
    <mergeCell ref="AG11:AI11"/>
    <mergeCell ref="AJ11:AL11"/>
    <mergeCell ref="C11:E11"/>
    <mergeCell ref="F11:H11"/>
    <mergeCell ref="I11:K11"/>
    <mergeCell ref="L11:N11"/>
    <mergeCell ref="O11:Q11"/>
    <mergeCell ref="R11:T11"/>
    <mergeCell ref="CL10:CN10"/>
    <mergeCell ref="CO10:CQ10"/>
    <mergeCell ref="CR10:CT10"/>
    <mergeCell ref="BB10:BD10"/>
    <mergeCell ref="BE10:BG10"/>
    <mergeCell ref="BH10:BJ10"/>
    <mergeCell ref="BK10:BM10"/>
    <mergeCell ref="BN10:BP10"/>
    <mergeCell ref="BQ10:BS10"/>
    <mergeCell ref="AJ10:AL10"/>
    <mergeCell ref="AM10:AO10"/>
    <mergeCell ref="AP10:AR10"/>
    <mergeCell ref="AS10:AU10"/>
    <mergeCell ref="AV10:AX10"/>
    <mergeCell ref="AY10:BA10"/>
    <mergeCell ref="R10:T10"/>
    <mergeCell ref="U10:W10"/>
    <mergeCell ref="X10:Z10"/>
    <mergeCell ref="CU10:CW10"/>
    <mergeCell ref="CX10:CZ10"/>
    <mergeCell ref="DA10:DC10"/>
    <mergeCell ref="BT10:BV10"/>
    <mergeCell ref="BW10:BY10"/>
    <mergeCell ref="BZ10:CB10"/>
    <mergeCell ref="CC10:CE10"/>
    <mergeCell ref="CF10:CH10"/>
    <mergeCell ref="CI10:CK10"/>
    <mergeCell ref="AA10:AC10"/>
    <mergeCell ref="AD10:AF10"/>
    <mergeCell ref="AG10:AI10"/>
    <mergeCell ref="CO9:CQ9"/>
    <mergeCell ref="CR9:CT9"/>
    <mergeCell ref="CU9:CW9"/>
    <mergeCell ref="CX9:CZ9"/>
    <mergeCell ref="DA9:DC9"/>
    <mergeCell ref="C10:E10"/>
    <mergeCell ref="F10:H10"/>
    <mergeCell ref="I10:K10"/>
    <mergeCell ref="L10:N10"/>
    <mergeCell ref="O10:Q10"/>
    <mergeCell ref="BW9:BY9"/>
    <mergeCell ref="BZ9:CB9"/>
    <mergeCell ref="CC9:CE9"/>
    <mergeCell ref="CF9:CH9"/>
    <mergeCell ref="CI9:CK9"/>
    <mergeCell ref="CL9:CN9"/>
    <mergeCell ref="BE9:BG9"/>
    <mergeCell ref="BH9:BJ9"/>
    <mergeCell ref="BK9:BM9"/>
    <mergeCell ref="BN9:BP9"/>
    <mergeCell ref="BQ9:BS9"/>
    <mergeCell ref="C9:E9"/>
    <mergeCell ref="F9:H9"/>
    <mergeCell ref="I9:K9"/>
    <mergeCell ref="L9:N9"/>
    <mergeCell ref="O9:Q9"/>
    <mergeCell ref="R9:T9"/>
    <mergeCell ref="BT9:BV9"/>
    <mergeCell ref="AM9:AO9"/>
    <mergeCell ref="AP9:AR9"/>
    <mergeCell ref="AS9:AU9"/>
    <mergeCell ref="AV9:AX9"/>
    <mergeCell ref="AY9:BA9"/>
    <mergeCell ref="BB9:BD9"/>
    <mergeCell ref="U9:W9"/>
    <mergeCell ref="X9:Z9"/>
    <mergeCell ref="AA9:AC9"/>
    <mergeCell ref="AD9:AF9"/>
    <mergeCell ref="AG9:AI9"/>
    <mergeCell ref="AJ9:AL9"/>
  </mergeCells>
  <printOptions horizontalCentered="1"/>
  <pageMargins left="0.5" right="0.5" top="1.6" bottom="0.85" header="0.8" footer="0.5"/>
  <pageSetup scale="28" orientation="landscape" r:id="rId1"/>
  <headerFooter alignWithMargins="0">
    <oddHeader>&amp;C&amp;"Times New Roman,Bold"&amp;12 Table X
Groundwater Analytical Data
&amp;10Site Characterization Report
Bernard III Land Company, Inc. - Indiana Site, PADEP Facility ID #32-32708</oddHeader>
    <oddFooter>&amp;L&amp;"Times New Roman,Regular"&amp;8&amp;T&amp;  on &amp;D
&amp;C&amp;"Times New Roman,Regular"&amp;8&amp;P&amp;  of &amp;N
&amp;R&amp;"Times New Roman, Regular"&amp;8&amp;F
&amp;Z</oddFooter>
  </headerFooter>
  <rowBreaks count="1" manualBreakCount="1">
    <brk id="8" max="16383" man="1"/>
  </rowBreaks>
  <colBreaks count="3" manualBreakCount="3">
    <brk id="32" max="1048575" man="1"/>
    <brk id="62" max="1048575" man="1"/>
    <brk id="19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13</vt:i4>
      </vt:variant>
    </vt:vector>
  </HeadingPairs>
  <TitlesOfParts>
    <vt:vector size="17" baseType="lpstr">
      <vt:lpstr>WL Data</vt:lpstr>
      <vt:lpstr>GW Data MW-01 to MW-05</vt:lpstr>
      <vt:lpstr>GW Data MW-06 to MW-13</vt:lpstr>
      <vt:lpstr>Supply Well Data</vt:lpstr>
      <vt:lpstr>'GW Data MW-06 to MW-13'!ChemNameCol</vt:lpstr>
      <vt:lpstr>'Supply Well Data'!ChemNameCol</vt:lpstr>
      <vt:lpstr>ChemNameCol</vt:lpstr>
      <vt:lpstr>'GW Data MW-06 to MW-13'!CompHeader</vt:lpstr>
      <vt:lpstr>'Supply Well Data'!CompHeader</vt:lpstr>
      <vt:lpstr>CompHeader</vt:lpstr>
      <vt:lpstr>'GW Data MW-01 to MW-05'!Print_Area</vt:lpstr>
      <vt:lpstr>'GW Data MW-06 to MW-13'!Print_Area</vt:lpstr>
      <vt:lpstr>'Supply Well Data'!Print_Area</vt:lpstr>
      <vt:lpstr>'WL Data'!Print_Area</vt:lpstr>
      <vt:lpstr>'GW Data MW-01 to MW-05'!Print_Titles</vt:lpstr>
      <vt:lpstr>'GW Data MW-06 to MW-13'!Print_Titles</vt:lpstr>
      <vt:lpstr>'Supply Well Data'!Print_Titles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Hoffman</dc:creator>
  <cp:lastModifiedBy>Amy Steiner</cp:lastModifiedBy>
  <cp:lastPrinted>2013-05-03T17:51:41Z</cp:lastPrinted>
  <dcterms:created xsi:type="dcterms:W3CDTF">2013-05-03T17:49:00Z</dcterms:created>
  <dcterms:modified xsi:type="dcterms:W3CDTF">2013-09-12T14:00:10Z</dcterms:modified>
</cp:coreProperties>
</file>