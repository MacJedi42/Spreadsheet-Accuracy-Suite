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35" windowHeight="1411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Sheet1!$A$1:$I$87</definedName>
  </definedNames>
  <calcPr calcId="145621"/>
</workbook>
</file>

<file path=xl/calcChain.xml><?xml version="1.0" encoding="utf-8"?>
<calcChain xmlns="http://schemas.openxmlformats.org/spreadsheetml/2006/main">
  <c r="E84" i="1" l="1"/>
  <c r="F79" i="1"/>
  <c r="F84" i="1" s="1"/>
  <c r="E75" i="1"/>
  <c r="F72" i="1"/>
  <c r="F71" i="1"/>
  <c r="F67" i="1"/>
  <c r="F75" i="1" s="1"/>
  <c r="F64" i="1"/>
  <c r="E64" i="1"/>
  <c r="F58" i="1"/>
  <c r="E58" i="1"/>
  <c r="H48" i="1"/>
  <c r="H86" i="1" s="1"/>
  <c r="E48" i="1"/>
  <c r="E86" i="1" s="1"/>
  <c r="G60" i="1"/>
  <c r="F54" i="1"/>
  <c r="F39" i="1" l="1"/>
  <c r="G39" i="1" s="1"/>
  <c r="F36" i="1"/>
  <c r="G36" i="1" s="1"/>
  <c r="F31" i="1"/>
  <c r="G31" i="1" s="1"/>
  <c r="F25" i="1"/>
  <c r="G25" i="1" s="1"/>
  <c r="F23" i="1"/>
  <c r="G23" i="1" s="1"/>
  <c r="F20" i="1"/>
  <c r="G20" i="1" s="1"/>
  <c r="F16" i="1"/>
  <c r="G16" i="1" s="1"/>
  <c r="F15" i="1"/>
  <c r="G15" i="1" s="1"/>
  <c r="F12" i="1"/>
  <c r="G12" i="1" s="1"/>
  <c r="F11" i="1"/>
  <c r="G11" i="1" s="1"/>
  <c r="F9" i="1"/>
  <c r="F7" i="1"/>
  <c r="G8" i="1"/>
  <c r="G9" i="1"/>
  <c r="G10" i="1"/>
  <c r="G13" i="1"/>
  <c r="G14" i="1"/>
  <c r="G17" i="1"/>
  <c r="G18" i="1"/>
  <c r="G19" i="1"/>
  <c r="G21" i="1"/>
  <c r="G22" i="1"/>
  <c r="G24" i="1"/>
  <c r="G26" i="1"/>
  <c r="G27" i="1"/>
  <c r="G28" i="1"/>
  <c r="G29" i="1"/>
  <c r="G30" i="1"/>
  <c r="G32" i="1"/>
  <c r="G33" i="1"/>
  <c r="G34" i="1"/>
  <c r="G35" i="1"/>
  <c r="G37" i="1"/>
  <c r="G38" i="1"/>
  <c r="G40" i="1"/>
  <c r="G41" i="1"/>
  <c r="G42" i="1"/>
  <c r="G43" i="1"/>
  <c r="G44" i="1"/>
  <c r="G45" i="1"/>
  <c r="G46" i="1"/>
  <c r="G49" i="1"/>
  <c r="G50" i="1"/>
  <c r="G51" i="1"/>
  <c r="G52" i="1"/>
  <c r="G53" i="1"/>
  <c r="G54" i="1"/>
  <c r="G55" i="1"/>
  <c r="G56" i="1"/>
  <c r="G59" i="1"/>
  <c r="G61" i="1"/>
  <c r="G62" i="1"/>
  <c r="G63" i="1"/>
  <c r="G66" i="1"/>
  <c r="G67" i="1"/>
  <c r="G68" i="1"/>
  <c r="G69" i="1"/>
  <c r="G70" i="1"/>
  <c r="G71" i="1"/>
  <c r="G72" i="1"/>
  <c r="G73" i="1"/>
  <c r="G76" i="1"/>
  <c r="G77" i="1"/>
  <c r="G78" i="1"/>
  <c r="G79" i="1"/>
  <c r="G80" i="1"/>
  <c r="G81" i="1"/>
  <c r="G82" i="1"/>
  <c r="G85" i="1"/>
  <c r="G87" i="1"/>
  <c r="G84" i="1" l="1"/>
  <c r="G75" i="1"/>
  <c r="F48" i="1"/>
  <c r="F86" i="1" s="1"/>
  <c r="G7" i="1"/>
  <c r="G48" i="1" s="1"/>
  <c r="G86" i="1" s="1"/>
  <c r="G64" i="1"/>
  <c r="G58" i="1"/>
</calcChain>
</file>

<file path=xl/sharedStrings.xml><?xml version="1.0" encoding="utf-8"?>
<sst xmlns="http://schemas.openxmlformats.org/spreadsheetml/2006/main" count="209" uniqueCount="109">
  <si>
    <t>Grant Name</t>
  </si>
  <si>
    <t>Cost Center</t>
  </si>
  <si>
    <t>Notes</t>
  </si>
  <si>
    <t>Matriculation</t>
  </si>
  <si>
    <t>Non-Credit Matric</t>
  </si>
  <si>
    <t>MESA</t>
  </si>
  <si>
    <t>MESA Foundation</t>
  </si>
  <si>
    <t>EOPS</t>
  </si>
  <si>
    <t>Care</t>
  </si>
  <si>
    <t>Federal Financing</t>
  </si>
  <si>
    <t>State BFAP Admn</t>
  </si>
  <si>
    <t>State BFAP Supplemental</t>
  </si>
  <si>
    <t>State BFAP 2%</t>
  </si>
  <si>
    <t>Pell Grant</t>
  </si>
  <si>
    <t>Access Trio</t>
  </si>
  <si>
    <t>AANAPISI T3PA</t>
  </si>
  <si>
    <t>AANAPISI T3PF</t>
  </si>
  <si>
    <t>DSPS</t>
  </si>
  <si>
    <t>RN Valley Foundation</t>
  </si>
  <si>
    <t>Kaiser SEIU</t>
  </si>
  <si>
    <t>LVN2RN Qsen</t>
  </si>
  <si>
    <t>NCAETC Marketing Hub</t>
  </si>
  <si>
    <t>CTE Strategic</t>
  </si>
  <si>
    <t>Puente Grant</t>
  </si>
  <si>
    <t>VTEA [Combined]</t>
  </si>
  <si>
    <t>CTE Transition</t>
  </si>
  <si>
    <t>Tech Prep</t>
  </si>
  <si>
    <t>East West'</t>
  </si>
  <si>
    <t>RHORC HIT</t>
  </si>
  <si>
    <t>PHCAST</t>
  </si>
  <si>
    <t>RHORC</t>
  </si>
  <si>
    <t>Career Tech Ed</t>
  </si>
  <si>
    <t>Mission City</t>
  </si>
  <si>
    <t>NCAETC</t>
  </si>
  <si>
    <t>EWD JDITF</t>
  </si>
  <si>
    <t>Calworks</t>
  </si>
  <si>
    <t>TANF</t>
  </si>
  <si>
    <t>SCC Calworks</t>
  </si>
  <si>
    <t>Mc Preschool</t>
  </si>
  <si>
    <t>MC Child Development</t>
  </si>
  <si>
    <t>Tax Bailout</t>
  </si>
  <si>
    <t>Food Program</t>
  </si>
  <si>
    <t>Consortium Grant</t>
  </si>
  <si>
    <t>Fund 120</t>
  </si>
  <si>
    <t>Child Development        Fund 330</t>
  </si>
  <si>
    <t>Student Health Services Fund 121</t>
  </si>
  <si>
    <t>Subtotal:</t>
  </si>
  <si>
    <t>Health Center</t>
  </si>
  <si>
    <t>MAA</t>
  </si>
  <si>
    <t>Community Service</t>
  </si>
  <si>
    <t>Ca Concerto Weekend</t>
  </si>
  <si>
    <t>International Student Svcs</t>
  </si>
  <si>
    <t>Community Education       Fund 591</t>
  </si>
  <si>
    <t>IIS Insurance</t>
  </si>
  <si>
    <t>Pharmacy Tech</t>
  </si>
  <si>
    <t>SARC</t>
  </si>
  <si>
    <t xml:space="preserve">Interest Income </t>
  </si>
  <si>
    <t>Contract Education           Fund 595</t>
  </si>
  <si>
    <t>ACCESS E-Trade</t>
  </si>
  <si>
    <t>Community Outreach</t>
  </si>
  <si>
    <t>HWI-CNA-TESTING</t>
  </si>
  <si>
    <t>CTED Child Development</t>
  </si>
  <si>
    <t xml:space="preserve">Contract Education </t>
  </si>
  <si>
    <t>NCAETC CTED</t>
  </si>
  <si>
    <t>Grant dates: Oct 1st thru September 30th</t>
  </si>
  <si>
    <t>Awarded amount MUST be spent by June 30th:No Carryovers allowed</t>
  </si>
  <si>
    <t>Grant Closed as of December 31st, 2012: No reapplication</t>
  </si>
  <si>
    <t>Prior Year Carryover</t>
  </si>
  <si>
    <t>Local Grant</t>
  </si>
  <si>
    <t>Prior Year Carryover. Grant now closed</t>
  </si>
  <si>
    <t>A one time local grant for the LVN2RN Program</t>
  </si>
  <si>
    <t>New grant This fiscal year</t>
  </si>
  <si>
    <t>No carryover allowed. Grant award for second year in Tentative Budget</t>
  </si>
  <si>
    <t>Closed Grant: Replaced by CTE Transitions</t>
  </si>
  <si>
    <t>Awarded amount MUST be spent by June 30th:No Carryovers allowed: Awaiting word from Chancellor's Office as to whether this grant will continue in 2014</t>
  </si>
  <si>
    <t>Local Grant/Closed</t>
  </si>
  <si>
    <t>Grant dates: Oct 1st thru September 30th: awaiting word for another grant year</t>
  </si>
  <si>
    <t>2012 grant year. To be closed by June 30th</t>
  </si>
  <si>
    <t>2013 Grant year. To be carried forward</t>
  </si>
  <si>
    <t>New grant awards in FY 2014</t>
  </si>
  <si>
    <t>New grant awards in FY 2014: used to be SCCGAIN</t>
  </si>
  <si>
    <t>Child Development LAB view as a program whole</t>
  </si>
  <si>
    <t>Grant with no carryovers</t>
  </si>
  <si>
    <t>Child Tuition is source of revenue/2% towards Fund Balance</t>
  </si>
  <si>
    <t>Yearly Grant to assist Child Development Program Students</t>
  </si>
  <si>
    <t>2013 grant year. To be closed by June 30th</t>
  </si>
  <si>
    <t>From outside activities thru Foundation</t>
  </si>
  <si>
    <t>Federal;State;Local Grant</t>
  </si>
  <si>
    <t>S</t>
  </si>
  <si>
    <t>L</t>
  </si>
  <si>
    <t>F</t>
  </si>
  <si>
    <t>Student Fees</t>
  </si>
  <si>
    <t>Tied to Grant</t>
  </si>
  <si>
    <t xml:space="preserve">Laurel J. </t>
  </si>
  <si>
    <t>Mission College Grant Listing with Notes</t>
  </si>
  <si>
    <t>for CBAC Committee</t>
  </si>
  <si>
    <t>report Figures: As of 4/1/13</t>
  </si>
  <si>
    <t>To Fund Balance:Actual Revenue less Actual Expenses</t>
  </si>
  <si>
    <t>Grand Total of Funds Listed</t>
  </si>
  <si>
    <t>No carryover : Have been in the past but no longer</t>
  </si>
  <si>
    <t>Planned to be spent this fiscal year</t>
  </si>
  <si>
    <t>2013 Budget</t>
  </si>
  <si>
    <t>2013 Expenses</t>
  </si>
  <si>
    <t>2013 Net Remaining</t>
  </si>
  <si>
    <t>Carryover Amount into 2014</t>
  </si>
  <si>
    <t>OnGoing</t>
  </si>
  <si>
    <t>N/A</t>
  </si>
  <si>
    <t>Completed</t>
  </si>
  <si>
    <t>Grant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</si>
</sst>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Comic Sans MS"/>
      <family val="2"/>
    </font>
    <font>
      <sz val="11"/>
      <color theme="1"/>
      <name val="Comic Sans MS"/>
      <family val="2"/>
    </font>
    <font>
      <b/>
      <sz val="11"/>
      <color theme="1"/>
      <name val="Comic Sans MS"/>
      <family val="4"/>
    </font>
    <font>
      <b/>
      <u/>
      <sz val="11"/>
      <color theme="1"/>
      <name val="Comic Sans MS"/>
      <family val="4"/>
    </font>
    <font>
      <b/>
      <u val="singleAccounting"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0"/>
      <color theme="1"/>
      <name val="Comic Sans MS"/>
      <family val="4"/>
    </font>
    <font>
      <b/>
      <sz val="9"/>
      <color theme="1"/>
      <name val="Comic Sans MS"/>
      <family val="4"/>
    </font>
    <font>
      <b/>
      <sz val="8"/>
      <color theme="1"/>
      <name val="Comic Sans MS"/>
      <family val="4"/>
    </font>
    <font>
      <sz val="16"/>
      <color theme="1"/>
      <name val="Comic Sans MS"/>
      <family val="2"/>
    </font>
    <font>
      <b/>
      <u/>
      <sz val="12"/>
      <color theme="1"/>
      <name val="MS PMincho"/>
      <family val="1"/>
    </font>
    <font>
      <b/>
      <u/>
      <sz val="14"/>
      <color theme="1"/>
      <name val="MS PMincho"/>
      <family val="1"/>
    </font>
    <font>
      <b/>
      <i/>
      <u/>
      <sz val="11"/>
      <color theme="1"/>
      <name val="Comic Sans MS"/>
      <family val="4"/>
    </font>
    <font>
      <b/>
      <u/>
      <sz val="16"/>
      <color theme="1"/>
      <name val="MS PMincho"/>
      <family val="1"/>
    </font>
  </fonts>
  <fills count="4">
    <fill>
      <patternFill patternType="none"/>
    </fill>
    <fill>
      <patternFill patternType="gray125"/>
    </fill>
    <fill>
      <gradientFill type="path">
        <stop position="0">
          <color rgb="FF66FFFF"/>
        </stop>
        <stop position="1">
          <color rgb="FF99FF99"/>
        </stop>
      </gradientFill>
    </fill>
    <fill>
      <gradientFill type="path">
        <stop position="0">
          <color theme="0"/>
        </stop>
        <stop position="1">
          <color theme="0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5" fillId="0" borderId="1" xfId="0" applyFont="1" applyBorder="1"/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4" fillId="0" borderId="1" xfId="1" applyNumberFormat="1" applyFont="1" applyBorder="1"/>
    <xf numFmtId="0" fontId="3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164" fontId="2" fillId="0" borderId="3" xfId="1" applyNumberFormat="1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FF9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>
      <selection activeCell="A66" sqref="A66"/>
    </sheetView>
  </sheetViews>
  <sheetFormatPr defaultRowHeight="18" x14ac:dyDescent="0.35"/>
  <cols>
    <col min="1" max="1" width="22.44140625" bestFit="1" customWidth="1"/>
    <col min="2" max="2" width="11.33203125" style="26" customWidth="1"/>
    <col min="3" max="3" width="10.44140625" style="2" customWidth="1"/>
    <col min="4" max="4" width="8.21875" style="26" customWidth="1"/>
    <col min="5" max="6" width="12" bestFit="1" customWidth="1"/>
    <col min="7" max="7" width="12.5546875" bestFit="1" customWidth="1"/>
    <col min="8" max="8" width="12" customWidth="1"/>
    <col min="9" max="9" width="56" bestFit="1" customWidth="1"/>
  </cols>
  <sheetData>
    <row r="1" spans="1:9" ht="25.5" customHeight="1" x14ac:dyDescent="0.45">
      <c r="A1" s="31" t="s">
        <v>94</v>
      </c>
      <c r="B1" s="31"/>
      <c r="C1" s="31"/>
      <c r="D1" s="31"/>
      <c r="E1" s="31"/>
      <c r="F1" s="31"/>
      <c r="G1" s="31"/>
      <c r="H1" s="31"/>
    </row>
    <row r="2" spans="1:9" ht="18" customHeight="1" x14ac:dyDescent="0.3">
      <c r="A2" s="32" t="s">
        <v>95</v>
      </c>
      <c r="B2" s="32"/>
      <c r="C2" s="32"/>
      <c r="D2" s="32"/>
      <c r="E2" s="32"/>
      <c r="F2" s="32"/>
      <c r="G2" s="32"/>
      <c r="H2" s="32"/>
    </row>
    <row r="3" spans="1:9" ht="18" customHeight="1" x14ac:dyDescent="0.3">
      <c r="A3" s="32" t="s">
        <v>96</v>
      </c>
      <c r="B3" s="32"/>
      <c r="C3" s="32"/>
      <c r="D3" s="32"/>
      <c r="E3" s="32"/>
      <c r="F3" s="32"/>
      <c r="G3" s="32"/>
      <c r="H3" s="32"/>
    </row>
    <row r="4" spans="1:9" ht="18.75" thickBot="1" x14ac:dyDescent="0.4"/>
    <row r="5" spans="1:9" s="3" customFormat="1" ht="51" customHeight="1" x14ac:dyDescent="0.3">
      <c r="A5" s="6" t="s">
        <v>0</v>
      </c>
      <c r="B5" s="6" t="s">
        <v>108</v>
      </c>
      <c r="C5" s="7" t="s">
        <v>87</v>
      </c>
      <c r="D5" s="6" t="s">
        <v>1</v>
      </c>
      <c r="E5" s="6" t="s">
        <v>101</v>
      </c>
      <c r="F5" s="6" t="s">
        <v>102</v>
      </c>
      <c r="G5" s="6" t="s">
        <v>103</v>
      </c>
      <c r="H5" s="6" t="s">
        <v>104</v>
      </c>
      <c r="I5" s="6" t="s">
        <v>2</v>
      </c>
    </row>
    <row r="6" spans="1:9" s="4" customFormat="1" ht="24" customHeight="1" x14ac:dyDescent="0.3">
      <c r="A6" s="41" t="s">
        <v>43</v>
      </c>
      <c r="B6" s="37"/>
      <c r="C6" s="8"/>
      <c r="D6" s="9"/>
      <c r="E6" s="9"/>
      <c r="F6" s="9"/>
      <c r="G6" s="9"/>
      <c r="H6" s="9"/>
      <c r="I6" s="9"/>
    </row>
    <row r="7" spans="1:9" x14ac:dyDescent="0.35">
      <c r="A7" s="10" t="s">
        <v>3</v>
      </c>
      <c r="B7" s="38">
        <v>41547</v>
      </c>
      <c r="C7" s="11" t="s">
        <v>88</v>
      </c>
      <c r="D7" s="35">
        <v>250900</v>
      </c>
      <c r="E7" s="13">
        <v>311287</v>
      </c>
      <c r="F7" s="13">
        <f>332819-109938</f>
        <v>222881</v>
      </c>
      <c r="G7" s="13">
        <f t="shared" ref="G7:G46" si="0">+E7-F7</f>
        <v>88406</v>
      </c>
      <c r="H7" s="13">
        <v>45000</v>
      </c>
      <c r="I7" s="12" t="s">
        <v>64</v>
      </c>
    </row>
    <row r="8" spans="1:9" x14ac:dyDescent="0.35">
      <c r="A8" s="10" t="s">
        <v>4</v>
      </c>
      <c r="B8" s="38">
        <v>41547</v>
      </c>
      <c r="C8" s="11" t="s">
        <v>88</v>
      </c>
      <c r="D8" s="35">
        <v>250910</v>
      </c>
      <c r="E8" s="13">
        <v>39989</v>
      </c>
      <c r="F8" s="13">
        <v>0</v>
      </c>
      <c r="G8" s="13">
        <f t="shared" si="0"/>
        <v>39989</v>
      </c>
      <c r="H8" s="13">
        <v>39989</v>
      </c>
      <c r="I8" s="12" t="s">
        <v>64</v>
      </c>
    </row>
    <row r="9" spans="1:9" x14ac:dyDescent="0.35">
      <c r="A9" s="10" t="s">
        <v>5</v>
      </c>
      <c r="B9" s="38">
        <v>41455</v>
      </c>
      <c r="C9" s="11" t="s">
        <v>88</v>
      </c>
      <c r="D9" s="35">
        <v>252910</v>
      </c>
      <c r="E9" s="13">
        <v>50500</v>
      </c>
      <c r="F9" s="13">
        <f>34840.86+1388.58</f>
        <v>36229.440000000002</v>
      </c>
      <c r="G9" s="13">
        <f t="shared" si="0"/>
        <v>14270.559999999998</v>
      </c>
      <c r="H9" s="13">
        <v>0</v>
      </c>
      <c r="I9" s="12" t="s">
        <v>85</v>
      </c>
    </row>
    <row r="10" spans="1:9" x14ac:dyDescent="0.35">
      <c r="A10" s="10" t="s">
        <v>6</v>
      </c>
      <c r="B10" s="35" t="s">
        <v>105</v>
      </c>
      <c r="C10" s="11" t="s">
        <v>89</v>
      </c>
      <c r="D10" s="35">
        <v>252925</v>
      </c>
      <c r="E10" s="13">
        <v>768</v>
      </c>
      <c r="F10" s="13">
        <v>0</v>
      </c>
      <c r="G10" s="13">
        <f t="shared" si="0"/>
        <v>768</v>
      </c>
      <c r="H10" s="13">
        <v>768</v>
      </c>
      <c r="I10" s="12" t="s">
        <v>86</v>
      </c>
    </row>
    <row r="11" spans="1:9" x14ac:dyDescent="0.35">
      <c r="A11" s="10" t="s">
        <v>7</v>
      </c>
      <c r="B11" s="38">
        <v>41547</v>
      </c>
      <c r="C11" s="11" t="s">
        <v>88</v>
      </c>
      <c r="D11" s="35">
        <v>253000</v>
      </c>
      <c r="E11" s="13">
        <v>480852</v>
      </c>
      <c r="F11" s="13">
        <f>379593-49785</f>
        <v>329808</v>
      </c>
      <c r="G11" s="13">
        <f t="shared" si="0"/>
        <v>151044</v>
      </c>
      <c r="H11" s="13">
        <v>100000</v>
      </c>
      <c r="I11" s="14" t="s">
        <v>64</v>
      </c>
    </row>
    <row r="12" spans="1:9" x14ac:dyDescent="0.35">
      <c r="A12" s="10" t="s">
        <v>8</v>
      </c>
      <c r="B12" s="38">
        <v>41547</v>
      </c>
      <c r="C12" s="11" t="s">
        <v>88</v>
      </c>
      <c r="D12" s="35">
        <v>253200</v>
      </c>
      <c r="E12" s="13">
        <v>61755</v>
      </c>
      <c r="F12" s="13">
        <f>29539+10128</f>
        <v>39667</v>
      </c>
      <c r="G12" s="13">
        <f t="shared" si="0"/>
        <v>22088</v>
      </c>
      <c r="H12" s="13">
        <v>15000</v>
      </c>
      <c r="I12" s="14" t="s">
        <v>64</v>
      </c>
    </row>
    <row r="13" spans="1:9" x14ac:dyDescent="0.35">
      <c r="A13" s="10" t="s">
        <v>9</v>
      </c>
      <c r="B13" s="38">
        <v>41455</v>
      </c>
      <c r="C13" s="11" t="s">
        <v>90</v>
      </c>
      <c r="D13" s="35">
        <v>254100</v>
      </c>
      <c r="E13" s="13">
        <v>17602</v>
      </c>
      <c r="F13" s="13">
        <v>17602</v>
      </c>
      <c r="G13" s="13">
        <f t="shared" si="0"/>
        <v>0</v>
      </c>
      <c r="H13" s="13">
        <v>0</v>
      </c>
      <c r="I13" s="12" t="s">
        <v>99</v>
      </c>
    </row>
    <row r="14" spans="1:9" x14ac:dyDescent="0.35">
      <c r="A14" s="10" t="s">
        <v>10</v>
      </c>
      <c r="B14" s="38">
        <v>41455</v>
      </c>
      <c r="C14" s="11" t="s">
        <v>90</v>
      </c>
      <c r="D14" s="35">
        <v>254200</v>
      </c>
      <c r="E14" s="13">
        <v>81797</v>
      </c>
      <c r="F14" s="13">
        <v>45017</v>
      </c>
      <c r="G14" s="13">
        <f t="shared" si="0"/>
        <v>36780</v>
      </c>
      <c r="H14" s="13">
        <v>0</v>
      </c>
      <c r="I14" s="12" t="s">
        <v>99</v>
      </c>
    </row>
    <row r="15" spans="1:9" x14ac:dyDescent="0.35">
      <c r="A15" s="10" t="s">
        <v>11</v>
      </c>
      <c r="B15" s="38">
        <v>41455</v>
      </c>
      <c r="C15" s="11" t="s">
        <v>90</v>
      </c>
      <c r="D15" s="35">
        <v>254210</v>
      </c>
      <c r="E15" s="13">
        <v>205763</v>
      </c>
      <c r="F15" s="13">
        <f>148689+9423</f>
        <v>158112</v>
      </c>
      <c r="G15" s="13">
        <f t="shared" si="0"/>
        <v>47651</v>
      </c>
      <c r="H15" s="13">
        <v>0</v>
      </c>
      <c r="I15" s="12" t="s">
        <v>99</v>
      </c>
    </row>
    <row r="16" spans="1:9" x14ac:dyDescent="0.35">
      <c r="A16" s="10" t="s">
        <v>12</v>
      </c>
      <c r="B16" s="38">
        <v>41455</v>
      </c>
      <c r="C16" s="11" t="s">
        <v>90</v>
      </c>
      <c r="D16" s="35">
        <v>254220</v>
      </c>
      <c r="E16" s="13">
        <v>91095</v>
      </c>
      <c r="F16" s="13">
        <f>13996+15538</f>
        <v>29534</v>
      </c>
      <c r="G16" s="13">
        <f t="shared" si="0"/>
        <v>61561</v>
      </c>
      <c r="H16" s="13">
        <v>0</v>
      </c>
      <c r="I16" s="12" t="s">
        <v>99</v>
      </c>
    </row>
    <row r="17" spans="1:9" x14ac:dyDescent="0.35">
      <c r="A17" s="10" t="s">
        <v>13</v>
      </c>
      <c r="B17" s="38">
        <v>41455</v>
      </c>
      <c r="C17" s="11" t="s">
        <v>90</v>
      </c>
      <c r="D17" s="35">
        <v>254300</v>
      </c>
      <c r="E17" s="13">
        <v>15000</v>
      </c>
      <c r="F17" s="13">
        <v>3961</v>
      </c>
      <c r="G17" s="13">
        <f t="shared" si="0"/>
        <v>11039</v>
      </c>
      <c r="H17" s="13">
        <v>0</v>
      </c>
      <c r="I17" s="12" t="s">
        <v>99</v>
      </c>
    </row>
    <row r="18" spans="1:9" x14ac:dyDescent="0.35">
      <c r="A18" s="10" t="s">
        <v>14</v>
      </c>
      <c r="B18" s="38">
        <v>41547</v>
      </c>
      <c r="C18" s="11" t="s">
        <v>90</v>
      </c>
      <c r="D18" s="35">
        <v>258010</v>
      </c>
      <c r="E18" s="13">
        <v>267595</v>
      </c>
      <c r="F18" s="13">
        <v>121085</v>
      </c>
      <c r="G18" s="13">
        <f t="shared" si="0"/>
        <v>146510</v>
      </c>
      <c r="H18" s="13">
        <v>75000</v>
      </c>
      <c r="I18" s="14" t="s">
        <v>64</v>
      </c>
    </row>
    <row r="19" spans="1:9" x14ac:dyDescent="0.35">
      <c r="A19" s="10" t="s">
        <v>58</v>
      </c>
      <c r="B19" s="35" t="s">
        <v>105</v>
      </c>
      <c r="C19" s="11" t="s">
        <v>89</v>
      </c>
      <c r="D19" s="35">
        <v>258200</v>
      </c>
      <c r="E19" s="13">
        <v>1961</v>
      </c>
      <c r="F19" s="13">
        <v>0</v>
      </c>
      <c r="G19" s="13">
        <f t="shared" si="0"/>
        <v>1961</v>
      </c>
      <c r="H19" s="13">
        <v>0</v>
      </c>
      <c r="I19" s="12" t="s">
        <v>100</v>
      </c>
    </row>
    <row r="20" spans="1:9" x14ac:dyDescent="0.35">
      <c r="A20" s="10" t="s">
        <v>15</v>
      </c>
      <c r="B20" s="38">
        <v>41547</v>
      </c>
      <c r="C20" s="11" t="s">
        <v>90</v>
      </c>
      <c r="D20" s="35">
        <v>258500</v>
      </c>
      <c r="E20" s="13">
        <v>286716</v>
      </c>
      <c r="F20" s="13">
        <f>171890+1362</f>
        <v>173252</v>
      </c>
      <c r="G20" s="13">
        <f t="shared" si="0"/>
        <v>113464</v>
      </c>
      <c r="H20" s="13">
        <v>0</v>
      </c>
      <c r="I20" s="12" t="s">
        <v>64</v>
      </c>
    </row>
    <row r="21" spans="1:9" x14ac:dyDescent="0.35">
      <c r="A21" s="10" t="s">
        <v>15</v>
      </c>
      <c r="B21" s="38">
        <v>41547</v>
      </c>
      <c r="C21" s="11" t="s">
        <v>90</v>
      </c>
      <c r="D21" s="35">
        <v>258500</v>
      </c>
      <c r="E21" s="13">
        <v>448665</v>
      </c>
      <c r="F21" s="13">
        <v>91763</v>
      </c>
      <c r="G21" s="13">
        <f t="shared" si="0"/>
        <v>356902</v>
      </c>
      <c r="H21" s="13">
        <v>300000</v>
      </c>
      <c r="I21" s="12" t="s">
        <v>64</v>
      </c>
    </row>
    <row r="22" spans="1:9" x14ac:dyDescent="0.35">
      <c r="A22" s="10" t="s">
        <v>16</v>
      </c>
      <c r="B22" s="38">
        <v>41547</v>
      </c>
      <c r="C22" s="11" t="s">
        <v>90</v>
      </c>
      <c r="D22" s="35">
        <v>258600</v>
      </c>
      <c r="E22" s="13">
        <v>400000</v>
      </c>
      <c r="F22" s="13">
        <v>93320</v>
      </c>
      <c r="G22" s="13">
        <f t="shared" si="0"/>
        <v>306680</v>
      </c>
      <c r="H22" s="13">
        <v>250000</v>
      </c>
      <c r="I22" s="12" t="s">
        <v>64</v>
      </c>
    </row>
    <row r="23" spans="1:9" x14ac:dyDescent="0.35">
      <c r="A23" s="10" t="s">
        <v>17</v>
      </c>
      <c r="B23" s="38">
        <v>41547</v>
      </c>
      <c r="C23" s="11" t="s">
        <v>88</v>
      </c>
      <c r="D23" s="35">
        <v>259000</v>
      </c>
      <c r="E23" s="13">
        <v>300353</v>
      </c>
      <c r="F23" s="13">
        <f>322124-78590</f>
        <v>243534</v>
      </c>
      <c r="G23" s="13">
        <f t="shared" si="0"/>
        <v>56819</v>
      </c>
      <c r="H23" s="13">
        <v>36000</v>
      </c>
      <c r="I23" s="12" t="s">
        <v>64</v>
      </c>
    </row>
    <row r="24" spans="1:9" x14ac:dyDescent="0.35">
      <c r="A24" s="10" t="s">
        <v>18</v>
      </c>
      <c r="B24" s="35" t="s">
        <v>105</v>
      </c>
      <c r="C24" s="11" t="s">
        <v>89</v>
      </c>
      <c r="D24" s="35">
        <v>280207</v>
      </c>
      <c r="E24" s="13">
        <v>21136</v>
      </c>
      <c r="F24" s="13">
        <v>2463</v>
      </c>
      <c r="G24" s="13">
        <f t="shared" si="0"/>
        <v>18673</v>
      </c>
      <c r="H24" s="13">
        <v>12000</v>
      </c>
      <c r="I24" s="12" t="s">
        <v>70</v>
      </c>
    </row>
    <row r="25" spans="1:9" x14ac:dyDescent="0.35">
      <c r="A25" s="10" t="s">
        <v>19</v>
      </c>
      <c r="B25" s="35" t="s">
        <v>105</v>
      </c>
      <c r="C25" s="11" t="s">
        <v>89</v>
      </c>
      <c r="D25" s="35">
        <v>280211</v>
      </c>
      <c r="E25" s="13">
        <v>58895</v>
      </c>
      <c r="F25" s="13">
        <f>13493+2833</f>
        <v>16326</v>
      </c>
      <c r="G25" s="13">
        <f t="shared" si="0"/>
        <v>42569</v>
      </c>
      <c r="H25" s="13">
        <v>35000</v>
      </c>
      <c r="I25" s="12" t="s">
        <v>70</v>
      </c>
    </row>
    <row r="26" spans="1:9" x14ac:dyDescent="0.35">
      <c r="A26" s="10" t="s">
        <v>20</v>
      </c>
      <c r="B26" s="35" t="s">
        <v>105</v>
      </c>
      <c r="C26" s="11" t="s">
        <v>89</v>
      </c>
      <c r="D26" s="35">
        <v>280213</v>
      </c>
      <c r="E26" s="13">
        <v>1353</v>
      </c>
      <c r="F26" s="13">
        <v>0</v>
      </c>
      <c r="G26" s="13">
        <f t="shared" si="0"/>
        <v>1353</v>
      </c>
      <c r="H26" s="13">
        <v>1353</v>
      </c>
      <c r="I26" s="12" t="s">
        <v>70</v>
      </c>
    </row>
    <row r="27" spans="1:9" x14ac:dyDescent="0.35">
      <c r="A27" s="10" t="s">
        <v>21</v>
      </c>
      <c r="B27" s="38">
        <v>41455</v>
      </c>
      <c r="C27" s="11" t="s">
        <v>88</v>
      </c>
      <c r="D27" s="35">
        <v>280220</v>
      </c>
      <c r="E27" s="13">
        <v>50000</v>
      </c>
      <c r="F27" s="13">
        <v>0</v>
      </c>
      <c r="G27" s="13">
        <f t="shared" si="0"/>
        <v>50000</v>
      </c>
      <c r="H27" s="13">
        <v>50000</v>
      </c>
      <c r="I27" s="12" t="s">
        <v>71</v>
      </c>
    </row>
    <row r="28" spans="1:9" x14ac:dyDescent="0.35">
      <c r="A28" s="10" t="s">
        <v>22</v>
      </c>
      <c r="B28" s="38">
        <v>41455</v>
      </c>
      <c r="C28" s="11" t="s">
        <v>88</v>
      </c>
      <c r="D28" s="35">
        <v>280222</v>
      </c>
      <c r="E28" s="13">
        <v>150000</v>
      </c>
      <c r="F28" s="13">
        <v>0</v>
      </c>
      <c r="G28" s="13">
        <f t="shared" si="0"/>
        <v>150000</v>
      </c>
      <c r="H28" s="13">
        <v>150000</v>
      </c>
      <c r="I28" s="12" t="s">
        <v>71</v>
      </c>
    </row>
    <row r="29" spans="1:9" x14ac:dyDescent="0.35">
      <c r="A29" s="10" t="s">
        <v>23</v>
      </c>
      <c r="B29" s="38">
        <v>41455</v>
      </c>
      <c r="C29" s="11" t="s">
        <v>89</v>
      </c>
      <c r="D29" s="35">
        <v>280520</v>
      </c>
      <c r="E29" s="13">
        <v>35000</v>
      </c>
      <c r="F29" s="13">
        <v>54</v>
      </c>
      <c r="G29" s="13">
        <f t="shared" si="0"/>
        <v>34946</v>
      </c>
      <c r="H29" s="13">
        <v>0</v>
      </c>
      <c r="I29" s="12" t="s">
        <v>72</v>
      </c>
    </row>
    <row r="30" spans="1:9" x14ac:dyDescent="0.35">
      <c r="A30" s="10" t="s">
        <v>24</v>
      </c>
      <c r="B30" s="38">
        <v>41455</v>
      </c>
      <c r="C30" s="11" t="s">
        <v>90</v>
      </c>
      <c r="D30" s="35">
        <v>280800</v>
      </c>
      <c r="E30" s="13">
        <v>262889</v>
      </c>
      <c r="F30" s="13">
        <v>262889</v>
      </c>
      <c r="G30" s="13">
        <f t="shared" si="0"/>
        <v>0</v>
      </c>
      <c r="H30" s="13">
        <v>0</v>
      </c>
      <c r="I30" s="12" t="s">
        <v>65</v>
      </c>
    </row>
    <row r="31" spans="1:9" s="5" customFormat="1" ht="49.5" x14ac:dyDescent="0.3">
      <c r="A31" s="15" t="s">
        <v>25</v>
      </c>
      <c r="B31" s="39">
        <v>41455</v>
      </c>
      <c r="C31" s="16" t="s">
        <v>88</v>
      </c>
      <c r="D31" s="36">
        <v>280909</v>
      </c>
      <c r="E31" s="17">
        <v>49389</v>
      </c>
      <c r="F31" s="17">
        <f>24363+14440</f>
        <v>38803</v>
      </c>
      <c r="G31" s="17">
        <f t="shared" si="0"/>
        <v>10586</v>
      </c>
      <c r="H31" s="17">
        <v>0</v>
      </c>
      <c r="I31" s="18" t="s">
        <v>74</v>
      </c>
    </row>
    <row r="32" spans="1:9" x14ac:dyDescent="0.35">
      <c r="A32" s="10" t="s">
        <v>26</v>
      </c>
      <c r="B32" s="35" t="s">
        <v>106</v>
      </c>
      <c r="C32" s="11" t="s">
        <v>90</v>
      </c>
      <c r="D32" s="35">
        <v>280910</v>
      </c>
      <c r="E32" s="13">
        <v>0</v>
      </c>
      <c r="F32" s="13">
        <v>0</v>
      </c>
      <c r="G32" s="13">
        <f t="shared" si="0"/>
        <v>0</v>
      </c>
      <c r="H32" s="13">
        <v>0</v>
      </c>
      <c r="I32" s="12" t="s">
        <v>73</v>
      </c>
    </row>
    <row r="33" spans="1:9" x14ac:dyDescent="0.35">
      <c r="A33" s="10" t="s">
        <v>27</v>
      </c>
      <c r="B33" s="35" t="s">
        <v>107</v>
      </c>
      <c r="C33" s="11" t="s">
        <v>89</v>
      </c>
      <c r="D33" s="35">
        <v>280917</v>
      </c>
      <c r="E33" s="13">
        <v>1500</v>
      </c>
      <c r="F33" s="13">
        <v>1500</v>
      </c>
      <c r="G33" s="13">
        <f t="shared" si="0"/>
        <v>0</v>
      </c>
      <c r="H33" s="13">
        <v>0</v>
      </c>
      <c r="I33" s="12" t="s">
        <v>75</v>
      </c>
    </row>
    <row r="34" spans="1:9" x14ac:dyDescent="0.35">
      <c r="A34" s="10" t="s">
        <v>28</v>
      </c>
      <c r="B34" s="35" t="s">
        <v>107</v>
      </c>
      <c r="C34" s="11" t="s">
        <v>89</v>
      </c>
      <c r="D34" s="35">
        <v>280947</v>
      </c>
      <c r="E34" s="13">
        <v>120000</v>
      </c>
      <c r="F34" s="13">
        <v>120000</v>
      </c>
      <c r="G34" s="13">
        <f t="shared" si="0"/>
        <v>0</v>
      </c>
      <c r="H34" s="13">
        <v>0</v>
      </c>
      <c r="I34" s="12" t="s">
        <v>66</v>
      </c>
    </row>
    <row r="35" spans="1:9" x14ac:dyDescent="0.35">
      <c r="A35" s="10" t="s">
        <v>29</v>
      </c>
      <c r="B35" s="35" t="s">
        <v>107</v>
      </c>
      <c r="C35" s="11" t="s">
        <v>88</v>
      </c>
      <c r="D35" s="35">
        <v>280949</v>
      </c>
      <c r="E35" s="13">
        <v>25987</v>
      </c>
      <c r="F35" s="13">
        <v>25987</v>
      </c>
      <c r="G35" s="13">
        <f t="shared" si="0"/>
        <v>0</v>
      </c>
      <c r="H35" s="13">
        <v>0</v>
      </c>
      <c r="I35" s="12" t="s">
        <v>67</v>
      </c>
    </row>
    <row r="36" spans="1:9" ht="33.75" x14ac:dyDescent="0.35">
      <c r="A36" s="10" t="s">
        <v>29</v>
      </c>
      <c r="B36" s="38">
        <v>41547</v>
      </c>
      <c r="C36" s="11" t="s">
        <v>88</v>
      </c>
      <c r="D36" s="35">
        <v>280949</v>
      </c>
      <c r="E36" s="13">
        <v>74770</v>
      </c>
      <c r="F36" s="13">
        <f>17827+1718</f>
        <v>19545</v>
      </c>
      <c r="G36" s="13">
        <f t="shared" si="0"/>
        <v>55225</v>
      </c>
      <c r="H36" s="13">
        <v>35000</v>
      </c>
      <c r="I36" s="19" t="s">
        <v>76</v>
      </c>
    </row>
    <row r="37" spans="1:9" x14ac:dyDescent="0.35">
      <c r="A37" s="10" t="s">
        <v>30</v>
      </c>
      <c r="B37" s="38">
        <v>41455</v>
      </c>
      <c r="C37" s="11" t="s">
        <v>88</v>
      </c>
      <c r="D37" s="35">
        <v>280950</v>
      </c>
      <c r="E37" s="13">
        <v>170336</v>
      </c>
      <c r="F37" s="13">
        <v>117518</v>
      </c>
      <c r="G37" s="13">
        <f t="shared" si="0"/>
        <v>52818</v>
      </c>
      <c r="H37" s="13">
        <v>0</v>
      </c>
      <c r="I37" s="12" t="s">
        <v>77</v>
      </c>
    </row>
    <row r="38" spans="1:9" x14ac:dyDescent="0.35">
      <c r="A38" s="10" t="s">
        <v>30</v>
      </c>
      <c r="B38" s="38">
        <v>41455</v>
      </c>
      <c r="C38" s="11" t="s">
        <v>88</v>
      </c>
      <c r="D38" s="35">
        <v>280950</v>
      </c>
      <c r="E38" s="13">
        <v>205000</v>
      </c>
      <c r="F38" s="13">
        <v>104963</v>
      </c>
      <c r="G38" s="13">
        <f t="shared" si="0"/>
        <v>100037</v>
      </c>
      <c r="H38" s="13">
        <v>125000</v>
      </c>
      <c r="I38" s="12" t="s">
        <v>78</v>
      </c>
    </row>
    <row r="39" spans="1:9" x14ac:dyDescent="0.35">
      <c r="A39" s="10" t="s">
        <v>31</v>
      </c>
      <c r="B39" s="38">
        <v>41455</v>
      </c>
      <c r="C39" s="11" t="s">
        <v>88</v>
      </c>
      <c r="D39" s="35">
        <v>280976</v>
      </c>
      <c r="E39" s="13">
        <v>146687</v>
      </c>
      <c r="F39" s="13">
        <f>1064+68780</f>
        <v>69844</v>
      </c>
      <c r="G39" s="13">
        <f t="shared" si="0"/>
        <v>76843</v>
      </c>
      <c r="H39" s="13">
        <v>55000</v>
      </c>
      <c r="I39" s="12" t="s">
        <v>78</v>
      </c>
    </row>
    <row r="40" spans="1:9" x14ac:dyDescent="0.35">
      <c r="A40" s="10" t="s">
        <v>32</v>
      </c>
      <c r="B40" s="35" t="s">
        <v>105</v>
      </c>
      <c r="C40" s="11" t="s">
        <v>89</v>
      </c>
      <c r="D40" s="35">
        <v>280990</v>
      </c>
      <c r="E40" s="13">
        <v>3500</v>
      </c>
      <c r="F40" s="13"/>
      <c r="G40" s="13">
        <f t="shared" si="0"/>
        <v>3500</v>
      </c>
      <c r="H40" s="13">
        <v>3500</v>
      </c>
      <c r="I40" s="12" t="s">
        <v>68</v>
      </c>
    </row>
    <row r="41" spans="1:9" x14ac:dyDescent="0.35">
      <c r="A41" s="10" t="s">
        <v>33</v>
      </c>
      <c r="B41" s="38">
        <v>41638</v>
      </c>
      <c r="C41" s="11" t="s">
        <v>88</v>
      </c>
      <c r="D41" s="35">
        <v>282100</v>
      </c>
      <c r="E41" s="13">
        <v>205000</v>
      </c>
      <c r="F41" s="13">
        <v>109560</v>
      </c>
      <c r="G41" s="13">
        <f t="shared" si="0"/>
        <v>95440</v>
      </c>
      <c r="H41" s="13">
        <v>175000</v>
      </c>
      <c r="I41" s="12" t="s">
        <v>78</v>
      </c>
    </row>
    <row r="42" spans="1:9" x14ac:dyDescent="0.35">
      <c r="A42" s="10" t="s">
        <v>34</v>
      </c>
      <c r="B42" s="35" t="s">
        <v>107</v>
      </c>
      <c r="C42" s="11" t="s">
        <v>88</v>
      </c>
      <c r="D42" s="35">
        <v>282150</v>
      </c>
      <c r="E42" s="13">
        <v>178961</v>
      </c>
      <c r="F42" s="13">
        <v>178961</v>
      </c>
      <c r="G42" s="13">
        <f t="shared" si="0"/>
        <v>0</v>
      </c>
      <c r="H42" s="13">
        <v>0</v>
      </c>
      <c r="I42" s="12" t="s">
        <v>69</v>
      </c>
    </row>
    <row r="43" spans="1:9" x14ac:dyDescent="0.35">
      <c r="A43" s="10" t="s">
        <v>34</v>
      </c>
      <c r="B43" s="38">
        <v>41638</v>
      </c>
      <c r="C43" s="11" t="s">
        <v>88</v>
      </c>
      <c r="D43" s="35">
        <v>282150</v>
      </c>
      <c r="E43" s="13">
        <v>234680</v>
      </c>
      <c r="F43" s="13">
        <v>0</v>
      </c>
      <c r="G43" s="13">
        <f t="shared" si="0"/>
        <v>234680</v>
      </c>
      <c r="H43" s="13">
        <v>234680</v>
      </c>
      <c r="I43" s="12" t="s">
        <v>78</v>
      </c>
    </row>
    <row r="44" spans="1:9" x14ac:dyDescent="0.35">
      <c r="A44" s="10" t="s">
        <v>35</v>
      </c>
      <c r="B44" s="38">
        <v>41455</v>
      </c>
      <c r="C44" s="11" t="s">
        <v>89</v>
      </c>
      <c r="D44" s="35">
        <v>283000</v>
      </c>
      <c r="E44" s="13">
        <v>168408</v>
      </c>
      <c r="F44" s="13">
        <v>168408</v>
      </c>
      <c r="G44" s="13">
        <f t="shared" si="0"/>
        <v>0</v>
      </c>
      <c r="H44" s="13">
        <v>0</v>
      </c>
      <c r="I44" s="12" t="s">
        <v>79</v>
      </c>
    </row>
    <row r="45" spans="1:9" x14ac:dyDescent="0.35">
      <c r="A45" s="10" t="s">
        <v>36</v>
      </c>
      <c r="B45" s="38">
        <v>41455</v>
      </c>
      <c r="C45" s="11" t="s">
        <v>89</v>
      </c>
      <c r="D45" s="35">
        <v>283100</v>
      </c>
      <c r="E45" s="13">
        <v>46479</v>
      </c>
      <c r="F45" s="13">
        <v>46479</v>
      </c>
      <c r="G45" s="13">
        <f t="shared" si="0"/>
        <v>0</v>
      </c>
      <c r="H45" s="13">
        <v>0</v>
      </c>
      <c r="I45" s="12" t="s">
        <v>79</v>
      </c>
    </row>
    <row r="46" spans="1:9" x14ac:dyDescent="0.35">
      <c r="A46" s="10" t="s">
        <v>37</v>
      </c>
      <c r="B46" s="38">
        <v>41455</v>
      </c>
      <c r="C46" s="11" t="s">
        <v>89</v>
      </c>
      <c r="D46" s="35">
        <v>283400</v>
      </c>
      <c r="E46" s="13">
        <v>110511</v>
      </c>
      <c r="F46" s="13">
        <v>110511</v>
      </c>
      <c r="G46" s="13">
        <f t="shared" si="0"/>
        <v>0</v>
      </c>
      <c r="H46" s="13">
        <v>0</v>
      </c>
      <c r="I46" s="12" t="s">
        <v>80</v>
      </c>
    </row>
    <row r="47" spans="1:9" x14ac:dyDescent="0.35">
      <c r="A47" s="12"/>
      <c r="B47" s="35"/>
      <c r="C47" s="11"/>
      <c r="D47" s="35"/>
      <c r="E47" s="13"/>
      <c r="F47" s="13"/>
      <c r="G47" s="13"/>
      <c r="H47" s="13"/>
      <c r="I47" s="12"/>
    </row>
    <row r="48" spans="1:9" ht="20.25" x14ac:dyDescent="0.5">
      <c r="A48" s="20" t="s">
        <v>46</v>
      </c>
      <c r="B48" s="21"/>
      <c r="C48" s="21"/>
      <c r="D48" s="35"/>
      <c r="E48" s="22">
        <f>SUM(E7:E47)</f>
        <v>5382179</v>
      </c>
      <c r="F48" s="22">
        <f>SUM(F7:F47)</f>
        <v>2999576.44</v>
      </c>
      <c r="G48" s="22">
        <f>SUM(G7:G47)</f>
        <v>2382602.56</v>
      </c>
      <c r="H48" s="22">
        <f>SUM(H7:H47)</f>
        <v>1738290</v>
      </c>
      <c r="I48" s="12"/>
    </row>
    <row r="49" spans="1:9" x14ac:dyDescent="0.35">
      <c r="A49" s="12"/>
      <c r="B49" s="35"/>
      <c r="C49" s="11"/>
      <c r="D49" s="35"/>
      <c r="E49" s="13"/>
      <c r="F49" s="13"/>
      <c r="G49" s="13">
        <f t="shared" ref="G49:G72" si="1">+E49-F49</f>
        <v>0</v>
      </c>
      <c r="H49" s="13"/>
      <c r="I49" s="12"/>
    </row>
    <row r="50" spans="1:9" ht="38.25" customHeight="1" x14ac:dyDescent="0.35">
      <c r="A50" s="42" t="s">
        <v>44</v>
      </c>
      <c r="B50" s="40"/>
      <c r="C50" s="23"/>
      <c r="D50" s="35"/>
      <c r="E50" s="13"/>
      <c r="F50" s="13"/>
      <c r="G50" s="13">
        <f t="shared" si="1"/>
        <v>0</v>
      </c>
      <c r="H50" s="13"/>
      <c r="I50" s="27" t="s">
        <v>81</v>
      </c>
    </row>
    <row r="51" spans="1:9" x14ac:dyDescent="0.35">
      <c r="A51" s="10" t="s">
        <v>39</v>
      </c>
      <c r="B51" s="38">
        <v>41455</v>
      </c>
      <c r="C51" s="11" t="s">
        <v>88</v>
      </c>
      <c r="D51" s="35">
        <v>281000</v>
      </c>
      <c r="E51" s="13">
        <v>46774</v>
      </c>
      <c r="F51" s="13">
        <v>22001</v>
      </c>
      <c r="G51" s="13">
        <f t="shared" si="1"/>
        <v>24773</v>
      </c>
      <c r="H51" s="13">
        <v>0</v>
      </c>
      <c r="I51" s="12" t="s">
        <v>82</v>
      </c>
    </row>
    <row r="52" spans="1:9" x14ac:dyDescent="0.35">
      <c r="A52" s="10" t="s">
        <v>38</v>
      </c>
      <c r="B52" s="38">
        <v>41455</v>
      </c>
      <c r="C52" s="11" t="s">
        <v>88</v>
      </c>
      <c r="D52" s="35">
        <v>281100</v>
      </c>
      <c r="E52" s="13">
        <v>204868</v>
      </c>
      <c r="F52" s="13">
        <v>132965</v>
      </c>
      <c r="G52" s="13">
        <f t="shared" si="1"/>
        <v>71903</v>
      </c>
      <c r="H52" s="13">
        <v>0</v>
      </c>
      <c r="I52" s="14" t="s">
        <v>82</v>
      </c>
    </row>
    <row r="53" spans="1:9" x14ac:dyDescent="0.35">
      <c r="A53" s="10" t="s">
        <v>40</v>
      </c>
      <c r="B53" s="38">
        <v>41455</v>
      </c>
      <c r="C53" s="11" t="s">
        <v>88</v>
      </c>
      <c r="D53" s="35">
        <v>281200</v>
      </c>
      <c r="E53" s="13">
        <v>24650</v>
      </c>
      <c r="F53" s="13">
        <v>131219</v>
      </c>
      <c r="G53" s="13">
        <f t="shared" si="1"/>
        <v>-106569</v>
      </c>
      <c r="H53" s="13">
        <v>0</v>
      </c>
      <c r="I53" s="14" t="s">
        <v>82</v>
      </c>
    </row>
    <row r="54" spans="1:9" x14ac:dyDescent="0.35">
      <c r="A54" s="10" t="s">
        <v>41</v>
      </c>
      <c r="B54" s="38">
        <v>41455</v>
      </c>
      <c r="C54" s="11" t="s">
        <v>88</v>
      </c>
      <c r="D54" s="35">
        <v>281210</v>
      </c>
      <c r="E54" s="13">
        <v>32000</v>
      </c>
      <c r="F54" s="13">
        <f>23794+23495</f>
        <v>47289</v>
      </c>
      <c r="G54" s="13">
        <f t="shared" si="1"/>
        <v>-15289</v>
      </c>
      <c r="H54" s="13">
        <v>0</v>
      </c>
      <c r="I54" s="14" t="s">
        <v>82</v>
      </c>
    </row>
    <row r="55" spans="1:9" x14ac:dyDescent="0.35">
      <c r="A55" s="10" t="s">
        <v>59</v>
      </c>
      <c r="B55" s="35"/>
      <c r="C55" s="11" t="s">
        <v>89</v>
      </c>
      <c r="D55" s="35">
        <v>281220</v>
      </c>
      <c r="E55" s="13">
        <v>875000</v>
      </c>
      <c r="F55" s="13">
        <v>588924</v>
      </c>
      <c r="G55" s="13">
        <f t="shared" si="1"/>
        <v>286076</v>
      </c>
      <c r="H55" s="13">
        <v>0</v>
      </c>
      <c r="I55" s="14" t="s">
        <v>83</v>
      </c>
    </row>
    <row r="56" spans="1:9" x14ac:dyDescent="0.35">
      <c r="A56" s="10" t="s">
        <v>42</v>
      </c>
      <c r="B56" s="38">
        <v>41455</v>
      </c>
      <c r="C56" s="11" t="s">
        <v>89</v>
      </c>
      <c r="D56" s="35">
        <v>281400</v>
      </c>
      <c r="E56" s="13">
        <v>8750</v>
      </c>
      <c r="F56" s="13">
        <v>8750</v>
      </c>
      <c r="G56" s="13">
        <f t="shared" si="1"/>
        <v>0</v>
      </c>
      <c r="H56" s="13">
        <v>0</v>
      </c>
      <c r="I56" s="14" t="s">
        <v>84</v>
      </c>
    </row>
    <row r="57" spans="1:9" x14ac:dyDescent="0.35">
      <c r="A57" s="12"/>
      <c r="B57" s="35"/>
      <c r="C57" s="11"/>
      <c r="D57" s="35"/>
      <c r="E57" s="13"/>
      <c r="F57" s="13"/>
      <c r="G57" s="13"/>
      <c r="H57" s="13"/>
      <c r="I57" s="12"/>
    </row>
    <row r="58" spans="1:9" ht="20.25" x14ac:dyDescent="0.5">
      <c r="A58" s="20" t="s">
        <v>46</v>
      </c>
      <c r="B58" s="21"/>
      <c r="C58" s="21"/>
      <c r="D58" s="35"/>
      <c r="E58" s="22">
        <f>SUM(E51:E57)</f>
        <v>1192042</v>
      </c>
      <c r="F58" s="22">
        <f t="shared" ref="F58:G58" si="2">SUM(F51:F57)</f>
        <v>931148</v>
      </c>
      <c r="G58" s="22">
        <f t="shared" si="2"/>
        <v>260894</v>
      </c>
      <c r="H58" s="13"/>
      <c r="I58" s="12"/>
    </row>
    <row r="59" spans="1:9" x14ac:dyDescent="0.35">
      <c r="A59" s="12"/>
      <c r="B59" s="35"/>
      <c r="C59" s="11"/>
      <c r="D59" s="35"/>
      <c r="E59" s="13"/>
      <c r="F59" s="13"/>
      <c r="G59" s="13">
        <f t="shared" si="1"/>
        <v>0</v>
      </c>
      <c r="H59" s="13"/>
      <c r="I59" s="12"/>
    </row>
    <row r="60" spans="1:9" ht="39.75" customHeight="1" x14ac:dyDescent="0.35">
      <c r="A60" s="28" t="s">
        <v>45</v>
      </c>
      <c r="B60" s="40"/>
      <c r="C60" s="23"/>
      <c r="D60" s="35"/>
      <c r="E60" s="13"/>
      <c r="F60" s="13"/>
      <c r="G60" s="13">
        <f t="shared" ref="G60" si="3">+E60-F60</f>
        <v>0</v>
      </c>
      <c r="H60" s="13"/>
      <c r="I60" s="12"/>
    </row>
    <row r="61" spans="1:9" ht="16.5" x14ac:dyDescent="0.3">
      <c r="A61" s="10" t="s">
        <v>47</v>
      </c>
      <c r="B61" s="35"/>
      <c r="C61" s="24" t="s">
        <v>91</v>
      </c>
      <c r="D61" s="35">
        <v>255000</v>
      </c>
      <c r="E61" s="13">
        <v>424000</v>
      </c>
      <c r="F61" s="13">
        <v>353151</v>
      </c>
      <c r="G61" s="13">
        <f t="shared" si="1"/>
        <v>70849</v>
      </c>
      <c r="H61" s="13">
        <v>0</v>
      </c>
      <c r="I61" s="12" t="s">
        <v>97</v>
      </c>
    </row>
    <row r="62" spans="1:9" x14ac:dyDescent="0.35">
      <c r="A62" s="10" t="s">
        <v>48</v>
      </c>
      <c r="B62" s="35"/>
      <c r="C62" s="11" t="s">
        <v>90</v>
      </c>
      <c r="D62" s="35">
        <v>255100</v>
      </c>
      <c r="E62" s="13">
        <v>20000</v>
      </c>
      <c r="F62" s="13">
        <v>20000</v>
      </c>
      <c r="G62" s="13">
        <f t="shared" si="1"/>
        <v>0</v>
      </c>
      <c r="H62" s="13">
        <v>0</v>
      </c>
      <c r="I62" s="12" t="s">
        <v>97</v>
      </c>
    </row>
    <row r="63" spans="1:9" x14ac:dyDescent="0.35">
      <c r="A63" s="12"/>
      <c r="B63" s="35"/>
      <c r="C63" s="11"/>
      <c r="D63" s="35"/>
      <c r="E63" s="13"/>
      <c r="F63" s="13"/>
      <c r="G63" s="13">
        <f t="shared" si="1"/>
        <v>0</v>
      </c>
      <c r="H63" s="13"/>
      <c r="I63" s="12"/>
    </row>
    <row r="64" spans="1:9" ht="20.25" x14ac:dyDescent="0.5">
      <c r="A64" s="20" t="s">
        <v>46</v>
      </c>
      <c r="B64" s="21"/>
      <c r="C64" s="21"/>
      <c r="D64" s="35"/>
      <c r="E64" s="22">
        <f>SUM(E61:E63)</f>
        <v>444000</v>
      </c>
      <c r="F64" s="22">
        <f t="shared" ref="F64:G64" si="4">SUM(F61:F63)</f>
        <v>373151</v>
      </c>
      <c r="G64" s="22">
        <f t="shared" si="4"/>
        <v>70849</v>
      </c>
      <c r="H64" s="13">
        <v>0</v>
      </c>
      <c r="I64" s="12"/>
    </row>
    <row r="65" spans="1:9" x14ac:dyDescent="0.35">
      <c r="A65" s="12"/>
      <c r="B65" s="35"/>
      <c r="C65" s="11"/>
      <c r="D65" s="35"/>
      <c r="E65" s="13"/>
      <c r="F65" s="13"/>
      <c r="G65" s="13"/>
      <c r="H65" s="13"/>
      <c r="I65" s="12"/>
    </row>
    <row r="66" spans="1:9" ht="49.5" customHeight="1" x14ac:dyDescent="0.35">
      <c r="A66" s="29" t="s">
        <v>52</v>
      </c>
      <c r="B66" s="40"/>
      <c r="C66" s="23"/>
      <c r="D66" s="35"/>
      <c r="E66" s="13"/>
      <c r="F66" s="13"/>
      <c r="G66" s="13">
        <f t="shared" si="1"/>
        <v>0</v>
      </c>
      <c r="H66" s="13"/>
      <c r="I66" s="12"/>
    </row>
    <row r="67" spans="1:9" x14ac:dyDescent="0.35">
      <c r="A67" s="10" t="s">
        <v>49</v>
      </c>
      <c r="B67" s="35"/>
      <c r="C67" s="11"/>
      <c r="D67" s="35">
        <v>260000</v>
      </c>
      <c r="E67" s="13">
        <v>269514</v>
      </c>
      <c r="F67" s="13">
        <f>92405+43122</f>
        <v>135527</v>
      </c>
      <c r="G67" s="13">
        <f t="shared" si="1"/>
        <v>133987</v>
      </c>
      <c r="H67" s="13">
        <v>0</v>
      </c>
      <c r="I67" s="12" t="s">
        <v>97</v>
      </c>
    </row>
    <row r="68" spans="1:9" ht="16.5" x14ac:dyDescent="0.3">
      <c r="A68" s="10" t="s">
        <v>50</v>
      </c>
      <c r="B68" s="35"/>
      <c r="C68" s="24" t="s">
        <v>91</v>
      </c>
      <c r="D68" s="35">
        <v>260075</v>
      </c>
      <c r="E68" s="13">
        <v>10950</v>
      </c>
      <c r="F68" s="13">
        <v>10950</v>
      </c>
      <c r="G68" s="13">
        <f t="shared" si="1"/>
        <v>0</v>
      </c>
      <c r="H68" s="13">
        <v>0</v>
      </c>
      <c r="I68" s="12"/>
    </row>
    <row r="69" spans="1:9" ht="16.5" x14ac:dyDescent="0.3">
      <c r="A69" s="10" t="s">
        <v>51</v>
      </c>
      <c r="B69" s="35"/>
      <c r="C69" s="24" t="s">
        <v>91</v>
      </c>
      <c r="D69" s="35">
        <v>260100</v>
      </c>
      <c r="E69" s="13">
        <v>715000</v>
      </c>
      <c r="F69" s="13">
        <v>509261</v>
      </c>
      <c r="G69" s="13">
        <f t="shared" si="1"/>
        <v>205739</v>
      </c>
      <c r="H69" s="13">
        <v>0</v>
      </c>
      <c r="I69" s="12" t="s">
        <v>97</v>
      </c>
    </row>
    <row r="70" spans="1:9" ht="16.5" x14ac:dyDescent="0.3">
      <c r="A70" s="10" t="s">
        <v>53</v>
      </c>
      <c r="B70" s="35"/>
      <c r="C70" s="24" t="s">
        <v>91</v>
      </c>
      <c r="D70" s="35">
        <v>260150</v>
      </c>
      <c r="E70" s="13">
        <v>205152</v>
      </c>
      <c r="F70" s="13">
        <v>205152</v>
      </c>
      <c r="G70" s="13">
        <f t="shared" si="1"/>
        <v>0</v>
      </c>
      <c r="H70" s="13">
        <v>0</v>
      </c>
      <c r="I70" s="12" t="s">
        <v>97</v>
      </c>
    </row>
    <row r="71" spans="1:9" x14ac:dyDescent="0.35">
      <c r="A71" s="10" t="s">
        <v>54</v>
      </c>
      <c r="B71" s="35"/>
      <c r="C71" s="11"/>
      <c r="D71" s="35">
        <v>260400</v>
      </c>
      <c r="E71" s="13">
        <v>425327</v>
      </c>
      <c r="F71" s="13">
        <f>186703+31959</f>
        <v>218662</v>
      </c>
      <c r="G71" s="13">
        <f t="shared" si="1"/>
        <v>206665</v>
      </c>
      <c r="H71" s="13">
        <v>0</v>
      </c>
      <c r="I71" s="12" t="s">
        <v>97</v>
      </c>
    </row>
    <row r="72" spans="1:9" x14ac:dyDescent="0.35">
      <c r="A72" s="10" t="s">
        <v>55</v>
      </c>
      <c r="B72" s="35"/>
      <c r="C72" s="11"/>
      <c r="D72" s="35">
        <v>260920</v>
      </c>
      <c r="E72" s="13">
        <v>565650</v>
      </c>
      <c r="F72" s="13">
        <f>338095+34453</f>
        <v>372548</v>
      </c>
      <c r="G72" s="13">
        <f t="shared" si="1"/>
        <v>193102</v>
      </c>
      <c r="H72" s="13">
        <v>0</v>
      </c>
      <c r="I72" s="12" t="s">
        <v>97</v>
      </c>
    </row>
    <row r="73" spans="1:9" x14ac:dyDescent="0.35">
      <c r="A73" s="10" t="s">
        <v>56</v>
      </c>
      <c r="B73" s="35"/>
      <c r="C73" s="11" t="s">
        <v>93</v>
      </c>
      <c r="D73" s="35">
        <v>261200</v>
      </c>
      <c r="E73" s="13">
        <v>37714</v>
      </c>
      <c r="F73" s="13"/>
      <c r="G73" s="13">
        <f t="shared" ref="G73:G87" si="5">+E73-F73</f>
        <v>37714</v>
      </c>
      <c r="H73" s="13">
        <v>0</v>
      </c>
      <c r="I73" s="12" t="s">
        <v>97</v>
      </c>
    </row>
    <row r="74" spans="1:9" x14ac:dyDescent="0.35">
      <c r="A74" s="12"/>
      <c r="B74" s="35"/>
      <c r="C74" s="11"/>
      <c r="D74" s="35"/>
      <c r="E74" s="13"/>
      <c r="F74" s="13"/>
      <c r="G74" s="13"/>
      <c r="H74" s="13"/>
      <c r="I74" s="12"/>
    </row>
    <row r="75" spans="1:9" ht="20.25" x14ac:dyDescent="0.5">
      <c r="A75" s="20" t="s">
        <v>46</v>
      </c>
      <c r="B75" s="21"/>
      <c r="C75" s="21"/>
      <c r="D75" s="35"/>
      <c r="E75" s="22">
        <f>SUM(E67:E74)</f>
        <v>2229307</v>
      </c>
      <c r="F75" s="22">
        <f t="shared" ref="F75:G75" si="6">SUM(F67:F74)</f>
        <v>1452100</v>
      </c>
      <c r="G75" s="22">
        <f t="shared" si="6"/>
        <v>777207</v>
      </c>
      <c r="H75" s="13"/>
      <c r="I75" s="12"/>
    </row>
    <row r="76" spans="1:9" x14ac:dyDescent="0.35">
      <c r="A76" s="12"/>
      <c r="B76" s="35"/>
      <c r="C76" s="11"/>
      <c r="D76" s="35"/>
      <c r="E76" s="13"/>
      <c r="F76" s="13"/>
      <c r="G76" s="13">
        <f t="shared" si="5"/>
        <v>0</v>
      </c>
      <c r="H76" s="13"/>
      <c r="I76" s="12"/>
    </row>
    <row r="77" spans="1:9" ht="36.75" customHeight="1" x14ac:dyDescent="0.35">
      <c r="A77" s="28" t="s">
        <v>57</v>
      </c>
      <c r="B77" s="40"/>
      <c r="C77" s="23"/>
      <c r="D77" s="35"/>
      <c r="E77" s="13"/>
      <c r="F77" s="13"/>
      <c r="G77" s="13">
        <f t="shared" si="5"/>
        <v>0</v>
      </c>
      <c r="H77" s="13"/>
      <c r="I77" s="12"/>
    </row>
    <row r="78" spans="1:9" ht="16.5" x14ac:dyDescent="0.3">
      <c r="A78" s="10" t="s">
        <v>30</v>
      </c>
      <c r="B78" s="35"/>
      <c r="C78" s="25" t="s">
        <v>92</v>
      </c>
      <c r="D78" s="35">
        <v>280950</v>
      </c>
      <c r="E78" s="13">
        <v>65000</v>
      </c>
      <c r="F78" s="13">
        <v>39011</v>
      </c>
      <c r="G78" s="13">
        <f t="shared" si="5"/>
        <v>25989</v>
      </c>
      <c r="H78" s="13">
        <v>0</v>
      </c>
      <c r="I78" s="12" t="s">
        <v>97</v>
      </c>
    </row>
    <row r="79" spans="1:9" ht="16.5" x14ac:dyDescent="0.3">
      <c r="A79" s="10" t="s">
        <v>60</v>
      </c>
      <c r="B79" s="35"/>
      <c r="C79" s="25" t="s">
        <v>92</v>
      </c>
      <c r="D79" s="35">
        <v>280959</v>
      </c>
      <c r="E79" s="13">
        <v>115000</v>
      </c>
      <c r="F79" s="13">
        <f>87000+14555</f>
        <v>101555</v>
      </c>
      <c r="G79" s="13">
        <f t="shared" si="5"/>
        <v>13445</v>
      </c>
      <c r="H79" s="13">
        <v>0</v>
      </c>
      <c r="I79" s="12" t="s">
        <v>97</v>
      </c>
    </row>
    <row r="80" spans="1:9" ht="16.5" x14ac:dyDescent="0.3">
      <c r="A80" s="10" t="s">
        <v>61</v>
      </c>
      <c r="B80" s="35"/>
      <c r="C80" s="25"/>
      <c r="D80" s="35">
        <v>281010</v>
      </c>
      <c r="E80" s="13">
        <v>1500</v>
      </c>
      <c r="F80" s="13">
        <v>0</v>
      </c>
      <c r="G80" s="13">
        <f t="shared" si="5"/>
        <v>1500</v>
      </c>
      <c r="H80" s="13">
        <v>0</v>
      </c>
      <c r="I80" s="12" t="s">
        <v>97</v>
      </c>
    </row>
    <row r="81" spans="1:9" ht="16.5" x14ac:dyDescent="0.3">
      <c r="A81" s="10" t="s">
        <v>62</v>
      </c>
      <c r="B81" s="35"/>
      <c r="C81" s="25"/>
      <c r="D81" s="35">
        <v>286000</v>
      </c>
      <c r="E81" s="13">
        <v>115200</v>
      </c>
      <c r="F81" s="13">
        <v>22150</v>
      </c>
      <c r="G81" s="13">
        <f t="shared" si="5"/>
        <v>93050</v>
      </c>
      <c r="H81" s="13">
        <v>0</v>
      </c>
      <c r="I81" s="12" t="s">
        <v>97</v>
      </c>
    </row>
    <row r="82" spans="1:9" ht="16.5" x14ac:dyDescent="0.3">
      <c r="A82" s="10" t="s">
        <v>63</v>
      </c>
      <c r="B82" s="35"/>
      <c r="C82" s="25" t="s">
        <v>92</v>
      </c>
      <c r="D82" s="35">
        <v>286400</v>
      </c>
      <c r="E82" s="13">
        <v>221000</v>
      </c>
      <c r="F82" s="13">
        <v>138456</v>
      </c>
      <c r="G82" s="13">
        <f t="shared" si="5"/>
        <v>82544</v>
      </c>
      <c r="H82" s="13">
        <v>0</v>
      </c>
      <c r="I82" s="12" t="s">
        <v>97</v>
      </c>
    </row>
    <row r="83" spans="1:9" ht="16.5" x14ac:dyDescent="0.3">
      <c r="A83" s="10"/>
      <c r="B83" s="35"/>
      <c r="C83" s="25"/>
      <c r="D83" s="35"/>
      <c r="E83" s="13"/>
      <c r="F83" s="13"/>
      <c r="G83" s="13"/>
      <c r="H83" s="13"/>
      <c r="I83" s="12"/>
    </row>
    <row r="84" spans="1:9" ht="20.25" x14ac:dyDescent="0.5">
      <c r="A84" s="20" t="s">
        <v>46</v>
      </c>
      <c r="B84" s="21"/>
      <c r="C84" s="21"/>
      <c r="D84" s="35"/>
      <c r="E84" s="22">
        <f>SUM(E77:E83)</f>
        <v>517700</v>
      </c>
      <c r="F84" s="22">
        <f t="shared" ref="F84" si="7">SUM(F77:F83)</f>
        <v>301172</v>
      </c>
      <c r="G84" s="22">
        <f t="shared" ref="G84" si="8">SUM(G77:G83)</f>
        <v>216528</v>
      </c>
      <c r="H84" s="13"/>
      <c r="I84" s="12"/>
    </row>
    <row r="85" spans="1:9" x14ac:dyDescent="0.35">
      <c r="A85" s="12"/>
      <c r="B85" s="35"/>
      <c r="C85" s="11"/>
      <c r="D85" s="35"/>
      <c r="E85" s="13"/>
      <c r="F85" s="13"/>
      <c r="G85" s="13">
        <f t="shared" si="5"/>
        <v>0</v>
      </c>
      <c r="H85" s="13"/>
      <c r="I85" s="12"/>
    </row>
    <row r="86" spans="1:9" ht="18.75" thickBot="1" x14ac:dyDescent="0.4">
      <c r="A86" s="33" t="s">
        <v>98</v>
      </c>
      <c r="B86" s="34"/>
      <c r="C86" s="34"/>
      <c r="D86" s="34"/>
      <c r="E86" s="30">
        <f>+E84+E75+E64+E58+E48</f>
        <v>9765228</v>
      </c>
      <c r="F86" s="30">
        <f t="shared" ref="F86:H86" si="9">+F84+F75+F64+F58+F48</f>
        <v>6057147.4399999995</v>
      </c>
      <c r="G86" s="30">
        <f t="shared" si="9"/>
        <v>3708080.56</v>
      </c>
      <c r="H86" s="30">
        <f t="shared" si="9"/>
        <v>1738290</v>
      </c>
    </row>
    <row r="87" spans="1:9" ht="18.75" thickTop="1" x14ac:dyDescent="0.35">
      <c r="E87" s="1"/>
      <c r="F87" s="1"/>
      <c r="G87" s="1">
        <f t="shared" si="5"/>
        <v>0</v>
      </c>
      <c r="H87" s="1"/>
    </row>
    <row r="88" spans="1:9" x14ac:dyDescent="0.35">
      <c r="E88" s="1"/>
      <c r="F88" s="1"/>
      <c r="G88" s="1"/>
      <c r="H88" s="1"/>
    </row>
    <row r="89" spans="1:9" x14ac:dyDescent="0.35">
      <c r="E89" s="1"/>
      <c r="F89" s="1"/>
      <c r="G89" s="1"/>
      <c r="H89" s="1"/>
    </row>
    <row r="90" spans="1:9" x14ac:dyDescent="0.35">
      <c r="E90" s="1"/>
      <c r="F90" s="1"/>
      <c r="G90" s="1"/>
      <c r="H90" s="1"/>
    </row>
    <row r="91" spans="1:9" x14ac:dyDescent="0.35">
      <c r="E91" s="1"/>
      <c r="F91" s="1"/>
      <c r="G91" s="1"/>
      <c r="H91" s="1"/>
    </row>
    <row r="92" spans="1:9" x14ac:dyDescent="0.35">
      <c r="E92" s="1"/>
      <c r="F92" s="1"/>
      <c r="G92" s="1"/>
      <c r="H92" s="1"/>
    </row>
    <row r="93" spans="1:9" x14ac:dyDescent="0.35">
      <c r="E93" s="1"/>
      <c r="F93" s="1"/>
      <c r="G93" s="1"/>
      <c r="H93" s="1"/>
    </row>
    <row r="94" spans="1:9" x14ac:dyDescent="0.35">
      <c r="E94" s="1"/>
      <c r="F94" s="1"/>
      <c r="G94" s="1"/>
      <c r="H94" s="1"/>
    </row>
    <row r="95" spans="1:9" x14ac:dyDescent="0.35">
      <c r="E95" s="1"/>
      <c r="F95" s="1"/>
      <c r="G95" s="1"/>
      <c r="H95" s="1"/>
    </row>
  </sheetData>
  <sortState ref="A7:I46">
    <sortCondition ref="D7:D46"/>
  </sortState>
  <mergeCells count="4">
    <mergeCell ref="A1:H1"/>
    <mergeCell ref="A2:H2"/>
    <mergeCell ref="A3:H3"/>
    <mergeCell ref="A86:D86"/>
  </mergeCells>
  <printOptions horizontalCentered="1"/>
  <pageMargins left="0" right="0" top="0" bottom="0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Sheet1!Print_Area</vt:lpstr>
    </vt:vector>
  </TitlesOfParts>
  <Company>wvmccd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Masury/WED</dc:creator>
  <cp:lastModifiedBy>Doug Masury/WED</cp:lastModifiedBy>
  <cp:lastPrinted>2013-04-03T22:15:08Z</cp:lastPrinted>
  <dcterms:created xsi:type="dcterms:W3CDTF">2013-04-03T17:24:30Z</dcterms:created>
  <dcterms:modified xsi:type="dcterms:W3CDTF">2013-04-09T16:14:12Z</dcterms:modified>
</cp:coreProperties>
</file>