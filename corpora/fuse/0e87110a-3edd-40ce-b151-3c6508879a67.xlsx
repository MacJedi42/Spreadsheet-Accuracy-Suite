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3955" windowHeight="12330"/>
  </bookViews>
  <sheets>
    <sheet name="Operating Trust" sheetId="7" r:id="rId1"/>
    <sheet name="A &amp;E" sheetId="8" r:id="rId2"/>
  </sheets>
  <definedNames>
    <definedName name="_xlnm.Print_Area" localSheetId="1">'A &amp;E'!$A$1:$H$60</definedName>
    <definedName name="_xlnm.Print_Area" localSheetId="0">'Operating Trust'!$A$1:$C$45</definedName>
    <definedName name="_xlnm.Print_Titles" localSheetId="1">'A &amp;E'!$3:$3</definedName>
  </definedNames>
  <calcPr calcId="125725"/>
</workbook>
</file>

<file path=xl/calcChain.xml><?xml version="1.0" encoding="utf-8"?>
<calcChain xmlns="http://schemas.openxmlformats.org/spreadsheetml/2006/main">
  <c r="G42" i="8"/>
  <c r="E42"/>
  <c r="G43"/>
  <c r="E43"/>
  <c r="G41"/>
  <c r="E41"/>
  <c r="G8"/>
  <c r="E8"/>
  <c r="G40"/>
  <c r="E40"/>
  <c r="G39"/>
  <c r="E39"/>
  <c r="G7"/>
  <c r="E7"/>
  <c r="G6"/>
  <c r="E6"/>
  <c r="G9"/>
  <c r="E9"/>
  <c r="G4"/>
  <c r="E4"/>
  <c r="G18"/>
  <c r="E18"/>
  <c r="G16"/>
  <c r="E16"/>
  <c r="G15"/>
  <c r="E15"/>
  <c r="G14"/>
  <c r="E14"/>
  <c r="G12"/>
  <c r="E12"/>
  <c r="G13"/>
  <c r="E13"/>
  <c r="G11"/>
  <c r="E11"/>
  <c r="G24"/>
  <c r="E24"/>
  <c r="G23"/>
  <c r="E23"/>
  <c r="G37"/>
  <c r="E37"/>
  <c r="G10"/>
  <c r="E10"/>
  <c r="G17"/>
  <c r="E17"/>
  <c r="G22"/>
  <c r="E22"/>
  <c r="G21"/>
  <c r="E21"/>
  <c r="G20"/>
  <c r="E20"/>
  <c r="G27"/>
  <c r="E27"/>
  <c r="G26"/>
  <c r="E26"/>
  <c r="G25"/>
  <c r="E25"/>
  <c r="G36"/>
  <c r="E36"/>
  <c r="G35"/>
  <c r="E35"/>
  <c r="G19"/>
  <c r="E19"/>
  <c r="G34"/>
  <c r="E34"/>
  <c r="G33"/>
  <c r="E33"/>
  <c r="G29"/>
  <c r="E29"/>
  <c r="G32"/>
  <c r="E32"/>
  <c r="G31"/>
  <c r="E31"/>
  <c r="G30"/>
  <c r="E30"/>
  <c r="G28"/>
  <c r="E28"/>
  <c r="G58"/>
  <c r="E58"/>
  <c r="G57"/>
  <c r="E57"/>
  <c r="G56"/>
  <c r="E56"/>
  <c r="G60"/>
  <c r="E60"/>
  <c r="G59"/>
  <c r="E59"/>
  <c r="G55"/>
  <c r="E55"/>
  <c r="G54"/>
  <c r="E54"/>
  <c r="G50"/>
  <c r="E50"/>
  <c r="G49"/>
  <c r="E49"/>
  <c r="G47"/>
  <c r="E47"/>
  <c r="G51"/>
  <c r="E51"/>
  <c r="G53"/>
  <c r="E53"/>
  <c r="G48"/>
  <c r="E48"/>
  <c r="G46"/>
  <c r="E46"/>
  <c r="G52"/>
  <c r="E52"/>
  <c r="G45"/>
  <c r="E45"/>
  <c r="G44"/>
  <c r="E44"/>
  <c r="G38"/>
  <c r="E38"/>
  <c r="C60"/>
  <c r="A60"/>
  <c r="C59"/>
  <c r="A59"/>
  <c r="C58"/>
  <c r="A58"/>
  <c r="C57"/>
  <c r="A57"/>
  <c r="C56"/>
  <c r="A56"/>
  <c r="C55"/>
  <c r="A55"/>
  <c r="C54"/>
  <c r="A54"/>
  <c r="C53"/>
  <c r="A53"/>
  <c r="C52"/>
  <c r="A52"/>
  <c r="C50"/>
  <c r="A50"/>
  <c r="C49"/>
  <c r="A49"/>
  <c r="C48"/>
  <c r="A48"/>
  <c r="C47"/>
  <c r="A47"/>
  <c r="C46"/>
  <c r="A46"/>
  <c r="C45"/>
  <c r="A45"/>
  <c r="C44"/>
  <c r="A44"/>
  <c r="C43"/>
  <c r="A43"/>
  <c r="C42"/>
  <c r="A42"/>
  <c r="C41"/>
  <c r="A41"/>
  <c r="C40"/>
  <c r="A40"/>
  <c r="C39"/>
  <c r="A39"/>
  <c r="C38"/>
  <c r="A38"/>
  <c r="C37"/>
  <c r="A37"/>
  <c r="C36"/>
  <c r="A36"/>
  <c r="C35"/>
  <c r="A35"/>
  <c r="C34"/>
  <c r="A34"/>
  <c r="C33"/>
  <c r="A33"/>
  <c r="C32"/>
  <c r="A32"/>
  <c r="C31"/>
  <c r="A31"/>
  <c r="C30"/>
  <c r="A30"/>
  <c r="C29"/>
  <c r="A29"/>
  <c r="C28"/>
  <c r="A28"/>
  <c r="C27"/>
  <c r="A27"/>
  <c r="C26"/>
  <c r="A26"/>
  <c r="C25"/>
  <c r="A25"/>
  <c r="C24"/>
  <c r="A24"/>
  <c r="C23"/>
  <c r="A23"/>
  <c r="C22"/>
  <c r="A22"/>
  <c r="C21"/>
  <c r="A21"/>
  <c r="C20"/>
  <c r="A20"/>
  <c r="C19"/>
  <c r="A19"/>
  <c r="C18"/>
  <c r="A18"/>
  <c r="C17"/>
  <c r="A17"/>
  <c r="C16"/>
  <c r="A16"/>
  <c r="C15"/>
  <c r="A15"/>
  <c r="C14"/>
  <c r="A14"/>
  <c r="C13"/>
  <c r="A13"/>
  <c r="C12"/>
  <c r="A12"/>
  <c r="C11"/>
  <c r="A11"/>
  <c r="C10"/>
  <c r="A10"/>
  <c r="C9"/>
  <c r="A9"/>
  <c r="C8"/>
  <c r="A8"/>
  <c r="C7"/>
  <c r="A7"/>
  <c r="C6"/>
  <c r="A6"/>
  <c r="C5"/>
  <c r="A5"/>
  <c r="C4"/>
  <c r="A4"/>
  <c r="B45" i="7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6"/>
  <c r="B5"/>
  <c r="B4"/>
  <c r="B3"/>
</calcChain>
</file>

<file path=xl/sharedStrings.xml><?xml version="1.0" encoding="utf-8"?>
<sst xmlns="http://schemas.openxmlformats.org/spreadsheetml/2006/main" count="330" uniqueCount="158">
  <si>
    <t>Fund Fdescr</t>
  </si>
  <si>
    <t>Dept Fdescr</t>
  </si>
  <si>
    <t>48485 - General Operating Fund 485</t>
  </si>
  <si>
    <t>10000 - Mechanical Engineering</t>
  </si>
  <si>
    <t>10500 - Engineering Technology</t>
  </si>
  <si>
    <t>11000 - Marine Transportation</t>
  </si>
  <si>
    <t>11200 - Naval Science</t>
  </si>
  <si>
    <t>11400 - Maritime Policy and Management</t>
  </si>
  <si>
    <t>11550 - Science and Mathematics</t>
  </si>
  <si>
    <t>11600 - Training Ship Golden Bear</t>
  </si>
  <si>
    <t>11650 - Waterfront</t>
  </si>
  <si>
    <t>11700 - Leadership Development</t>
  </si>
  <si>
    <t>12500 - Simulators</t>
  </si>
  <si>
    <t>13000 - Cntr for Engmnt, Teach &amp; Learn</t>
  </si>
  <si>
    <t>13500 - Academic Senate</t>
  </si>
  <si>
    <t>20000 - Library</t>
  </si>
  <si>
    <t>20600 - CSU Community Programs</t>
  </si>
  <si>
    <t>21000 - Academic Computing</t>
  </si>
  <si>
    <t>22150 - Academic Support - Faculty Dev</t>
  </si>
  <si>
    <t>31000 - Health Center</t>
  </si>
  <si>
    <t>31500 - Financial Aid Administration</t>
  </si>
  <si>
    <t>32000 - Dean of Students</t>
  </si>
  <si>
    <t>32500 - Athletics</t>
  </si>
  <si>
    <t>33000 - Admissions and Outreach</t>
  </si>
  <si>
    <t>33500 - Registrar's Office</t>
  </si>
  <si>
    <t>40000 - Office of the President</t>
  </si>
  <si>
    <t>40250 - Public Relations</t>
  </si>
  <si>
    <t>40375 - Unity Council</t>
  </si>
  <si>
    <t>40500 - Provost/VP Academic Affairs</t>
  </si>
  <si>
    <t>41500 - VP Administration &amp; Finance</t>
  </si>
  <si>
    <t>41600 - Campus Reserve</t>
  </si>
  <si>
    <t>42000 - Budget Department</t>
  </si>
  <si>
    <t>42500 - Financial Operations</t>
  </si>
  <si>
    <t>44500 - Telecommunications</t>
  </si>
  <si>
    <t>45000 - Motor Vehicles Operations</t>
  </si>
  <si>
    <t>45500 - Campus Police</t>
  </si>
  <si>
    <t>46000 - Administrative Computing</t>
  </si>
  <si>
    <t>46500 - PeopleSoft Implementation</t>
  </si>
  <si>
    <t>50250 - Campus Planning</t>
  </si>
  <si>
    <t>50500 - Building Maintenance</t>
  </si>
  <si>
    <t>51000 - Custodial</t>
  </si>
  <si>
    <t>52000 - Utilities</t>
  </si>
  <si>
    <t>53000 - AcademyWide</t>
  </si>
  <si>
    <t>53050 - Risk Management</t>
  </si>
  <si>
    <t>60000 - Grants and Scholarships</t>
  </si>
  <si>
    <t>70573 - Continuing Education</t>
  </si>
  <si>
    <t>76044 - Bond Fund 60482</t>
  </si>
  <si>
    <t>60482 - Cap Outlay for Sim Bldg:321</t>
  </si>
  <si>
    <t>76047 - Sim Ctr Cap Construction</t>
  </si>
  <si>
    <t>60414 - Sim Ctr Cap Const: 320</t>
  </si>
  <si>
    <t>75601 - Housing Group II Equipment</t>
  </si>
  <si>
    <t>57601 - Dorm Construction Fund :221</t>
  </si>
  <si>
    <t>75442 - CMA Food Service Capital Proj</t>
  </si>
  <si>
    <t>54403 - Food Svc Capital Const: 533</t>
  </si>
  <si>
    <t>70533 - Housing: Capital Projects</t>
  </si>
  <si>
    <t>75440 - Food Service Operations &amp; Rev</t>
  </si>
  <si>
    <t>54400 - Food Svc Revenue &amp; Ops :531</t>
  </si>
  <si>
    <t>70532 - Housing: Maintenance &amp; Repair</t>
  </si>
  <si>
    <t>53300 - Housing Capital Const :533</t>
  </si>
  <si>
    <t>70531 - Housing: Operations &amp; Revenue</t>
  </si>
  <si>
    <t>53200 - Housing Mtnc &amp; Repair :532</t>
  </si>
  <si>
    <t>70539 - Debt Service - McAllister Hall</t>
  </si>
  <si>
    <t>53190 - Housing Debt Service:531</t>
  </si>
  <si>
    <t>53100 - Housing Revenue &amp; Ops :531</t>
  </si>
  <si>
    <t>72000 - Student Fees</t>
  </si>
  <si>
    <t>49802 - Student Fee Revenue :485</t>
  </si>
  <si>
    <t>70584 - Parking Fines &amp; Forfeitures</t>
  </si>
  <si>
    <t>48584 - Parking Fines :471</t>
  </si>
  <si>
    <t>70583 - Parking Permits</t>
  </si>
  <si>
    <t>48583 - Parking Fees :472</t>
  </si>
  <si>
    <t>70581 - Health Facilities Rev Fund 581</t>
  </si>
  <si>
    <t>48581 - Health Facilities :452</t>
  </si>
  <si>
    <t>70574 - MSTEM:Marine Transportation</t>
  </si>
  <si>
    <t>48574 - CERF Graduate Programs: 441</t>
  </si>
  <si>
    <t>48573 - CERF Extended Ed :441</t>
  </si>
  <si>
    <t>70575 - Open University</t>
  </si>
  <si>
    <t>72637 - Offshore Sailing</t>
  </si>
  <si>
    <t>48537 - Foundation Sailing :496</t>
  </si>
  <si>
    <t>48527 - CMA Sailing Trust :496</t>
  </si>
  <si>
    <t>72627 - Sailing</t>
  </si>
  <si>
    <t>74910 - Facility Emergency Cap Repairs</t>
  </si>
  <si>
    <t>48491 - CMS Invest Capital Proj :491</t>
  </si>
  <si>
    <t>70839 - Lottery</t>
  </si>
  <si>
    <t>48481 - Lottery AB2812 :481</t>
  </si>
  <si>
    <t>72404 - IRA - ME Design</t>
  </si>
  <si>
    <t>48463 - IRA Sports &amp; Rec :463</t>
  </si>
  <si>
    <t>72402 - IRA- Field Trips</t>
  </si>
  <si>
    <t>72400 - IRA - Admin</t>
  </si>
  <si>
    <t>72862 - Student Medical Insurance</t>
  </si>
  <si>
    <t>48462 - Medical Insurance :485</t>
  </si>
  <si>
    <t>48461 - ASB Admin :461</t>
  </si>
  <si>
    <t>72810 - ASB - Clubs</t>
  </si>
  <si>
    <t>72800 - ASB- Admin</t>
  </si>
  <si>
    <t>72940 - CMA Foundation Scholarships</t>
  </si>
  <si>
    <t>48440 - CMA Foundation Scholarship:435</t>
  </si>
  <si>
    <t>72939 - Student Secured Scholarships</t>
  </si>
  <si>
    <t>48439 - Student Secured Scholarshp:436</t>
  </si>
  <si>
    <t>72250 - Ship Support - Trust</t>
  </si>
  <si>
    <t>48435 - TSGB Cruise Trust :496</t>
  </si>
  <si>
    <t>72932 - Future Scholars Trust</t>
  </si>
  <si>
    <t>48432 - Future Scholars :435</t>
  </si>
  <si>
    <t>72924 - Cal Grant Trust</t>
  </si>
  <si>
    <t>48424 - Cal Grant Prog :424</t>
  </si>
  <si>
    <t>72902 - Direct Loan</t>
  </si>
  <si>
    <t>48412 - Direct Loans : 410</t>
  </si>
  <si>
    <t>72909 - College Work Study - Trust</t>
  </si>
  <si>
    <t>48409 - College Work Study :409</t>
  </si>
  <si>
    <t>72908 - Pell Trust</t>
  </si>
  <si>
    <t>48408 - Pell Grant :408</t>
  </si>
  <si>
    <t>72903 - Perkins - Trust</t>
  </si>
  <si>
    <t>48403 - Perkins :403</t>
  </si>
  <si>
    <t>72901 - FSEOG Trust</t>
  </si>
  <si>
    <t>48401 - FSEOG :401</t>
  </si>
  <si>
    <t>76409 - Steris R&amp;D on TSGB</t>
  </si>
  <si>
    <t>46409 - Steris VHP: 465</t>
  </si>
  <si>
    <t>76408 - Trojan Ballast Project (BWMS)</t>
  </si>
  <si>
    <t>46408 - Trojan Technologies:465</t>
  </si>
  <si>
    <t>76407 - Powerboat Training Center</t>
  </si>
  <si>
    <t>46407 - U.S. Sailing Association:465</t>
  </si>
  <si>
    <t>76413 - E-NAV II</t>
  </si>
  <si>
    <t>46406 - IAMU E-NAV II R&amp;D :465</t>
  </si>
  <si>
    <t>76412 - IAMU E NAVIGATION</t>
  </si>
  <si>
    <t>46405 - IAMU - E Navigation:465</t>
  </si>
  <si>
    <t>76404 - Contracts Ballast Testing</t>
  </si>
  <si>
    <t>46404 - Ballast Treatment Testing: 465</t>
  </si>
  <si>
    <t>76227 - 2010/11 Boating &amp; Waterways</t>
  </si>
  <si>
    <t>46210 - Boating &amp; Waterways YR3:465</t>
  </si>
  <si>
    <t>76120 - ETV Test Platform</t>
  </si>
  <si>
    <t>46120 - MARAD Phase VI ETV:465</t>
  </si>
  <si>
    <t>76119 - GB Facility 2011/12</t>
  </si>
  <si>
    <t>46119 - MARAD Phase VII GBF:465</t>
  </si>
  <si>
    <t>76112 - 2009 Facility Surveillance TWI</t>
  </si>
  <si>
    <t>46118 - 2009 FEMA Port Security K032</t>
  </si>
  <si>
    <t>46116 - MARSEC Cal EMA UASI:465</t>
  </si>
  <si>
    <t>76121 - MARSEC 2009 UASI</t>
  </si>
  <si>
    <t>76138 - PSI Phase IV: STDN Underway</t>
  </si>
  <si>
    <t>46114 - PSI Phase IV Support:465</t>
  </si>
  <si>
    <t>76118 - PSI Startup costs</t>
  </si>
  <si>
    <t>46112 - PSI Phase II Startup:465</t>
  </si>
  <si>
    <t>76110 - 2008 Port &amp; Incident Response</t>
  </si>
  <si>
    <t>46111 - 2008 FEMA Port Security: K063</t>
  </si>
  <si>
    <t>76134 - MARAD</t>
  </si>
  <si>
    <t>46110 - MARAD :465</t>
  </si>
  <si>
    <t>76109 - EXCET:Ballast Testing</t>
  </si>
  <si>
    <t>46109 - Naval Research Lab: 465</t>
  </si>
  <si>
    <t>76108 - PSI Construction</t>
  </si>
  <si>
    <t>46108 - PSI Phase I Construction:465</t>
  </si>
  <si>
    <t>75338 - EMS &amp; Mechanical Controls Upgr</t>
  </si>
  <si>
    <t>33801 - 1988 Higher Ed Cap Outlay :338</t>
  </si>
  <si>
    <t>Operating Trust Departments</t>
  </si>
  <si>
    <t>Dept #</t>
  </si>
  <si>
    <t>Fund</t>
  </si>
  <si>
    <t>Sorted by Fund</t>
  </si>
  <si>
    <t>Enterprise &amp; Auxiliary Fund/ Department</t>
  </si>
  <si>
    <t>53101 - Residential Life Ops: 531</t>
  </si>
  <si>
    <t>71531 - Housing Residential Life</t>
  </si>
  <si>
    <t>Sorted by Department</t>
  </si>
  <si>
    <t>11300 - Culture and Communications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</si>
</sst>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2"/>
      <color theme="3" tint="0.59999389629810485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8" fillId="33" borderId="0" xfId="0" applyFont="1" applyFill="1"/>
    <xf numFmtId="0" fontId="0" fillId="0" borderId="0" xfId="0" applyFont="1"/>
    <xf numFmtId="14" fontId="19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  <xf numFmtId="0" fontId="20" fillId="0" borderId="0" xfId="0" applyFont="1"/>
    <xf numFmtId="0" fontId="18" fillId="33" borderId="10" xfId="0" applyFont="1" applyFill="1" applyBorder="1"/>
    <xf numFmtId="0" fontId="0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>
      <selection activeCell="A7" sqref="A7"/>
    </sheetView>
  </sheetViews>
  <sheetFormatPr defaultRowHeight="15"/>
  <cols>
    <col min="1" max="1" width="36.5703125" customWidth="1"/>
    <col min="2" max="2" width="11.42578125" customWidth="1"/>
    <col min="3" max="3" width="38.28515625" bestFit="1" customWidth="1"/>
  </cols>
  <sheetData>
    <row r="1" spans="1:3" ht="18.75">
      <c r="A1" s="1" t="s">
        <v>149</v>
      </c>
      <c r="C1" s="4">
        <v>41117</v>
      </c>
    </row>
    <row r="2" spans="1:3" ht="18.75">
      <c r="A2" s="2" t="s">
        <v>0</v>
      </c>
      <c r="B2" s="2" t="s">
        <v>150</v>
      </c>
      <c r="C2" s="2" t="s">
        <v>1</v>
      </c>
    </row>
    <row r="3" spans="1:3">
      <c r="A3" s="3" t="s">
        <v>2</v>
      </c>
      <c r="B3" s="5" t="str">
        <f t="shared" ref="B3:B45" si="0">LEFT(C3,5)</f>
        <v>10000</v>
      </c>
      <c r="C3" s="3" t="s">
        <v>3</v>
      </c>
    </row>
    <row r="4" spans="1:3">
      <c r="A4" s="3" t="s">
        <v>2</v>
      </c>
      <c r="B4" s="5" t="str">
        <f t="shared" si="0"/>
        <v>10500</v>
      </c>
      <c r="C4" s="3" t="s">
        <v>4</v>
      </c>
    </row>
    <row r="5" spans="1:3">
      <c r="A5" s="3" t="s">
        <v>2</v>
      </c>
      <c r="B5" s="5" t="str">
        <f t="shared" si="0"/>
        <v>11000</v>
      </c>
      <c r="C5" s="3" t="s">
        <v>5</v>
      </c>
    </row>
    <row r="6" spans="1:3">
      <c r="A6" s="3" t="s">
        <v>2</v>
      </c>
      <c r="B6" s="5" t="str">
        <f t="shared" si="0"/>
        <v>11200</v>
      </c>
      <c r="C6" s="3" t="s">
        <v>6</v>
      </c>
    </row>
    <row r="7" spans="1:3">
      <c r="A7" s="3" t="s">
        <v>2</v>
      </c>
      <c r="B7" s="5">
        <v>11300</v>
      </c>
      <c r="C7" s="3" t="s">
        <v>157</v>
      </c>
    </row>
    <row r="8" spans="1:3">
      <c r="A8" s="3" t="s">
        <v>2</v>
      </c>
      <c r="B8" s="5" t="str">
        <f t="shared" si="0"/>
        <v>11400</v>
      </c>
      <c r="C8" s="3" t="s">
        <v>7</v>
      </c>
    </row>
    <row r="9" spans="1:3">
      <c r="A9" s="3" t="s">
        <v>2</v>
      </c>
      <c r="B9" s="5" t="str">
        <f t="shared" si="0"/>
        <v>11550</v>
      </c>
      <c r="C9" s="3" t="s">
        <v>8</v>
      </c>
    </row>
    <row r="10" spans="1:3">
      <c r="A10" s="3" t="s">
        <v>2</v>
      </c>
      <c r="B10" s="5" t="str">
        <f t="shared" si="0"/>
        <v>11600</v>
      </c>
      <c r="C10" s="3" t="s">
        <v>9</v>
      </c>
    </row>
    <row r="11" spans="1:3">
      <c r="A11" s="3" t="s">
        <v>2</v>
      </c>
      <c r="B11" s="5" t="str">
        <f t="shared" si="0"/>
        <v>11650</v>
      </c>
      <c r="C11" s="3" t="s">
        <v>10</v>
      </c>
    </row>
    <row r="12" spans="1:3">
      <c r="A12" s="3" t="s">
        <v>2</v>
      </c>
      <c r="B12" s="5" t="str">
        <f t="shared" si="0"/>
        <v>11700</v>
      </c>
      <c r="C12" s="3" t="s">
        <v>11</v>
      </c>
    </row>
    <row r="13" spans="1:3">
      <c r="A13" s="3" t="s">
        <v>2</v>
      </c>
      <c r="B13" s="5" t="str">
        <f t="shared" si="0"/>
        <v>12500</v>
      </c>
      <c r="C13" s="3" t="s">
        <v>12</v>
      </c>
    </row>
    <row r="14" spans="1:3">
      <c r="A14" s="3" t="s">
        <v>2</v>
      </c>
      <c r="B14" s="5" t="str">
        <f t="shared" si="0"/>
        <v>13000</v>
      </c>
      <c r="C14" s="3" t="s">
        <v>13</v>
      </c>
    </row>
    <row r="15" spans="1:3">
      <c r="A15" s="3" t="s">
        <v>2</v>
      </c>
      <c r="B15" s="5" t="str">
        <f t="shared" si="0"/>
        <v>13500</v>
      </c>
      <c r="C15" s="3" t="s">
        <v>14</v>
      </c>
    </row>
    <row r="16" spans="1:3">
      <c r="A16" s="3" t="s">
        <v>2</v>
      </c>
      <c r="B16" s="5" t="str">
        <f t="shared" si="0"/>
        <v>20000</v>
      </c>
      <c r="C16" s="3" t="s">
        <v>15</v>
      </c>
    </row>
    <row r="17" spans="1:3">
      <c r="A17" s="3" t="s">
        <v>2</v>
      </c>
      <c r="B17" s="5" t="str">
        <f t="shared" si="0"/>
        <v>20600</v>
      </c>
      <c r="C17" s="3" t="s">
        <v>16</v>
      </c>
    </row>
    <row r="18" spans="1:3">
      <c r="A18" s="3" t="s">
        <v>2</v>
      </c>
      <c r="B18" s="5" t="str">
        <f t="shared" si="0"/>
        <v>21000</v>
      </c>
      <c r="C18" s="3" t="s">
        <v>17</v>
      </c>
    </row>
    <row r="19" spans="1:3">
      <c r="A19" s="3" t="s">
        <v>2</v>
      </c>
      <c r="B19" s="5" t="str">
        <f t="shared" si="0"/>
        <v>22150</v>
      </c>
      <c r="C19" s="3" t="s">
        <v>18</v>
      </c>
    </row>
    <row r="20" spans="1:3">
      <c r="A20" s="3" t="s">
        <v>2</v>
      </c>
      <c r="B20" s="5" t="str">
        <f t="shared" si="0"/>
        <v>31000</v>
      </c>
      <c r="C20" s="3" t="s">
        <v>19</v>
      </c>
    </row>
    <row r="21" spans="1:3">
      <c r="A21" s="3" t="s">
        <v>2</v>
      </c>
      <c r="B21" s="5" t="str">
        <f t="shared" si="0"/>
        <v>31500</v>
      </c>
      <c r="C21" s="3" t="s">
        <v>20</v>
      </c>
    </row>
    <row r="22" spans="1:3">
      <c r="A22" s="3" t="s">
        <v>2</v>
      </c>
      <c r="B22" s="5" t="str">
        <f t="shared" si="0"/>
        <v>32000</v>
      </c>
      <c r="C22" s="3" t="s">
        <v>21</v>
      </c>
    </row>
    <row r="23" spans="1:3">
      <c r="A23" s="3" t="s">
        <v>2</v>
      </c>
      <c r="B23" s="5" t="str">
        <f t="shared" si="0"/>
        <v>32500</v>
      </c>
      <c r="C23" s="3" t="s">
        <v>22</v>
      </c>
    </row>
    <row r="24" spans="1:3">
      <c r="A24" s="3" t="s">
        <v>2</v>
      </c>
      <c r="B24" s="5" t="str">
        <f t="shared" si="0"/>
        <v>33000</v>
      </c>
      <c r="C24" s="3" t="s">
        <v>23</v>
      </c>
    </row>
    <row r="25" spans="1:3">
      <c r="A25" s="3" t="s">
        <v>2</v>
      </c>
      <c r="B25" s="5" t="str">
        <f t="shared" si="0"/>
        <v>33500</v>
      </c>
      <c r="C25" s="3" t="s">
        <v>24</v>
      </c>
    </row>
    <row r="26" spans="1:3">
      <c r="A26" s="3" t="s">
        <v>2</v>
      </c>
      <c r="B26" s="5" t="str">
        <f t="shared" si="0"/>
        <v>40000</v>
      </c>
      <c r="C26" s="3" t="s">
        <v>25</v>
      </c>
    </row>
    <row r="27" spans="1:3">
      <c r="A27" s="3" t="s">
        <v>2</v>
      </c>
      <c r="B27" s="5" t="str">
        <f t="shared" si="0"/>
        <v>40250</v>
      </c>
      <c r="C27" s="3" t="s">
        <v>26</v>
      </c>
    </row>
    <row r="28" spans="1:3">
      <c r="A28" s="3" t="s">
        <v>2</v>
      </c>
      <c r="B28" s="5" t="str">
        <f t="shared" si="0"/>
        <v>40375</v>
      </c>
      <c r="C28" s="3" t="s">
        <v>27</v>
      </c>
    </row>
    <row r="29" spans="1:3">
      <c r="A29" s="3" t="s">
        <v>2</v>
      </c>
      <c r="B29" s="5" t="str">
        <f t="shared" si="0"/>
        <v>40500</v>
      </c>
      <c r="C29" s="3" t="s">
        <v>28</v>
      </c>
    </row>
    <row r="30" spans="1:3">
      <c r="A30" s="3" t="s">
        <v>2</v>
      </c>
      <c r="B30" s="5" t="str">
        <f t="shared" si="0"/>
        <v>41500</v>
      </c>
      <c r="C30" s="3" t="s">
        <v>29</v>
      </c>
    </row>
    <row r="31" spans="1:3">
      <c r="A31" s="3" t="s">
        <v>2</v>
      </c>
      <c r="B31" s="5" t="str">
        <f t="shared" si="0"/>
        <v>41600</v>
      </c>
      <c r="C31" s="3" t="s">
        <v>30</v>
      </c>
    </row>
    <row r="32" spans="1:3">
      <c r="A32" s="3" t="s">
        <v>2</v>
      </c>
      <c r="B32" s="5" t="str">
        <f t="shared" si="0"/>
        <v>42000</v>
      </c>
      <c r="C32" s="3" t="s">
        <v>31</v>
      </c>
    </row>
    <row r="33" spans="1:3">
      <c r="A33" s="3" t="s">
        <v>2</v>
      </c>
      <c r="B33" s="5" t="str">
        <f t="shared" si="0"/>
        <v>42500</v>
      </c>
      <c r="C33" s="3" t="s">
        <v>32</v>
      </c>
    </row>
    <row r="34" spans="1:3">
      <c r="A34" s="3" t="s">
        <v>2</v>
      </c>
      <c r="B34" s="5" t="str">
        <f t="shared" si="0"/>
        <v>44500</v>
      </c>
      <c r="C34" s="3" t="s">
        <v>33</v>
      </c>
    </row>
    <row r="35" spans="1:3">
      <c r="A35" s="3" t="s">
        <v>2</v>
      </c>
      <c r="B35" s="5" t="str">
        <f t="shared" si="0"/>
        <v>45000</v>
      </c>
      <c r="C35" s="3" t="s">
        <v>34</v>
      </c>
    </row>
    <row r="36" spans="1:3">
      <c r="A36" s="3" t="s">
        <v>2</v>
      </c>
      <c r="B36" s="5" t="str">
        <f t="shared" si="0"/>
        <v>45500</v>
      </c>
      <c r="C36" s="3" t="s">
        <v>35</v>
      </c>
    </row>
    <row r="37" spans="1:3">
      <c r="A37" s="3" t="s">
        <v>2</v>
      </c>
      <c r="B37" s="5" t="str">
        <f t="shared" si="0"/>
        <v>46000</v>
      </c>
      <c r="C37" s="3" t="s">
        <v>36</v>
      </c>
    </row>
    <row r="38" spans="1:3">
      <c r="A38" s="3" t="s">
        <v>2</v>
      </c>
      <c r="B38" s="5" t="str">
        <f t="shared" si="0"/>
        <v>46500</v>
      </c>
      <c r="C38" s="3" t="s">
        <v>37</v>
      </c>
    </row>
    <row r="39" spans="1:3">
      <c r="A39" s="3" t="s">
        <v>2</v>
      </c>
      <c r="B39" s="5" t="str">
        <f t="shared" si="0"/>
        <v>50250</v>
      </c>
      <c r="C39" s="3" t="s">
        <v>38</v>
      </c>
    </row>
    <row r="40" spans="1:3">
      <c r="A40" s="3" t="s">
        <v>2</v>
      </c>
      <c r="B40" s="5" t="str">
        <f t="shared" si="0"/>
        <v>50500</v>
      </c>
      <c r="C40" s="3" t="s">
        <v>39</v>
      </c>
    </row>
    <row r="41" spans="1:3">
      <c r="A41" s="3" t="s">
        <v>2</v>
      </c>
      <c r="B41" s="5" t="str">
        <f t="shared" si="0"/>
        <v>51000</v>
      </c>
      <c r="C41" s="3" t="s">
        <v>40</v>
      </c>
    </row>
    <row r="42" spans="1:3">
      <c r="A42" s="3" t="s">
        <v>2</v>
      </c>
      <c r="B42" s="5" t="str">
        <f t="shared" si="0"/>
        <v>52000</v>
      </c>
      <c r="C42" s="3" t="s">
        <v>41</v>
      </c>
    </row>
    <row r="43" spans="1:3">
      <c r="A43" s="3" t="s">
        <v>2</v>
      </c>
      <c r="B43" s="5" t="str">
        <f t="shared" si="0"/>
        <v>53000</v>
      </c>
      <c r="C43" s="3" t="s">
        <v>42</v>
      </c>
    </row>
    <row r="44" spans="1:3">
      <c r="A44" s="3" t="s">
        <v>2</v>
      </c>
      <c r="B44" s="5" t="str">
        <f t="shared" si="0"/>
        <v>53050</v>
      </c>
      <c r="C44" s="3" t="s">
        <v>43</v>
      </c>
    </row>
    <row r="45" spans="1:3">
      <c r="A45" s="3" t="s">
        <v>2</v>
      </c>
      <c r="B45" s="5" t="str">
        <f t="shared" si="0"/>
        <v>60000</v>
      </c>
      <c r="C45" s="3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23"/>
  <sheetViews>
    <sheetView workbookViewId="0">
      <selection activeCell="D1" sqref="D1"/>
    </sheetView>
  </sheetViews>
  <sheetFormatPr defaultRowHeight="15"/>
  <cols>
    <col min="1" max="1" width="10" customWidth="1"/>
    <col min="2" max="2" width="37.28515625" bestFit="1" customWidth="1"/>
    <col min="3" max="3" width="8.7109375" bestFit="1" customWidth="1"/>
    <col min="4" max="4" width="36.85546875" bestFit="1" customWidth="1"/>
    <col min="5" max="5" width="10" customWidth="1"/>
    <col min="6" max="6" width="37.28515625" bestFit="1" customWidth="1"/>
    <col min="7" max="7" width="8.7109375" bestFit="1" customWidth="1"/>
    <col min="8" max="8" width="36.85546875" bestFit="1" customWidth="1"/>
  </cols>
  <sheetData>
    <row r="1" spans="1:8" s="3" customFormat="1" ht="18.75">
      <c r="A1" s="1" t="s">
        <v>153</v>
      </c>
      <c r="D1" s="4"/>
      <c r="E1" s="1" t="s">
        <v>153</v>
      </c>
      <c r="H1" s="4">
        <v>41117</v>
      </c>
    </row>
    <row r="2" spans="1:8" s="3" customFormat="1" ht="15.75">
      <c r="A2" s="7" t="s">
        <v>152</v>
      </c>
      <c r="D2" s="4"/>
      <c r="E2" s="7" t="s">
        <v>156</v>
      </c>
      <c r="H2" s="4"/>
    </row>
    <row r="3" spans="1:8" s="3" customFormat="1" ht="18.75">
      <c r="A3" s="6" t="s">
        <v>151</v>
      </c>
      <c r="B3" s="2" t="s">
        <v>0</v>
      </c>
      <c r="C3" s="2" t="s">
        <v>150</v>
      </c>
      <c r="D3" s="8" t="s">
        <v>1</v>
      </c>
      <c r="E3" s="6" t="s">
        <v>151</v>
      </c>
      <c r="F3" s="2" t="s">
        <v>0</v>
      </c>
      <c r="G3" s="2" t="s">
        <v>150</v>
      </c>
      <c r="H3" s="2" t="s">
        <v>1</v>
      </c>
    </row>
    <row r="4" spans="1:8" s="3" customFormat="1">
      <c r="A4" s="5" t="str">
        <f t="shared" ref="A4:A50" si="0">LEFT(+B4,5)</f>
        <v>33801</v>
      </c>
      <c r="B4" s="3" t="s">
        <v>148</v>
      </c>
      <c r="C4" s="5" t="str">
        <f t="shared" ref="C4:C50" si="1">LEFT(D4,5)</f>
        <v>75338</v>
      </c>
      <c r="D4" s="9" t="s">
        <v>147</v>
      </c>
      <c r="E4" s="5" t="str">
        <f>LEFT(+F4,5)</f>
        <v>53100</v>
      </c>
      <c r="F4" s="3" t="s">
        <v>63</v>
      </c>
      <c r="G4" s="5" t="str">
        <f>LEFT(H4,5)</f>
        <v>70531</v>
      </c>
      <c r="H4" s="3" t="s">
        <v>59</v>
      </c>
    </row>
    <row r="5" spans="1:8" s="3" customFormat="1">
      <c r="A5" s="5" t="str">
        <f t="shared" si="0"/>
        <v>46108</v>
      </c>
      <c r="B5" s="3" t="s">
        <v>146</v>
      </c>
      <c r="C5" s="5" t="str">
        <f t="shared" si="1"/>
        <v>76108</v>
      </c>
      <c r="D5" s="9" t="s">
        <v>145</v>
      </c>
      <c r="E5" s="5">
        <v>53101</v>
      </c>
      <c r="F5" t="s">
        <v>154</v>
      </c>
      <c r="G5" s="5">
        <v>71531</v>
      </c>
      <c r="H5" t="s">
        <v>155</v>
      </c>
    </row>
    <row r="6" spans="1:8" s="1" customFormat="1" ht="18.75">
      <c r="A6" s="5" t="str">
        <f t="shared" si="0"/>
        <v>46109</v>
      </c>
      <c r="B6" s="3" t="s">
        <v>144</v>
      </c>
      <c r="C6" s="5" t="str">
        <f t="shared" si="1"/>
        <v>76109</v>
      </c>
      <c r="D6" s="9" t="s">
        <v>143</v>
      </c>
      <c r="E6" s="5" t="str">
        <f t="shared" ref="E6:E37" si="2">LEFT(+F6,5)</f>
        <v>53200</v>
      </c>
      <c r="F6" s="3" t="s">
        <v>60</v>
      </c>
      <c r="G6" s="5" t="str">
        <f t="shared" ref="G6:G37" si="3">LEFT(H6,5)</f>
        <v>70532</v>
      </c>
      <c r="H6" s="3" t="s">
        <v>57</v>
      </c>
    </row>
    <row r="7" spans="1:8" s="3" customFormat="1">
      <c r="A7" s="5" t="str">
        <f t="shared" si="0"/>
        <v>46110</v>
      </c>
      <c r="B7" s="3" t="s">
        <v>142</v>
      </c>
      <c r="C7" s="5" t="str">
        <f t="shared" si="1"/>
        <v>76134</v>
      </c>
      <c r="D7" s="9" t="s">
        <v>141</v>
      </c>
      <c r="E7" s="5" t="str">
        <f t="shared" si="2"/>
        <v>53300</v>
      </c>
      <c r="F7" s="3" t="s">
        <v>58</v>
      </c>
      <c r="G7" s="5" t="str">
        <f t="shared" si="3"/>
        <v>70533</v>
      </c>
      <c r="H7" s="3" t="s">
        <v>54</v>
      </c>
    </row>
    <row r="8" spans="1:8" s="3" customFormat="1">
      <c r="A8" s="5" t="str">
        <f t="shared" si="0"/>
        <v>46111</v>
      </c>
      <c r="B8" s="3" t="s">
        <v>140</v>
      </c>
      <c r="C8" s="5" t="str">
        <f t="shared" si="1"/>
        <v>76110</v>
      </c>
      <c r="D8" s="9" t="s">
        <v>139</v>
      </c>
      <c r="E8" s="5" t="str">
        <f t="shared" si="2"/>
        <v>54403</v>
      </c>
      <c r="F8" s="3" t="s">
        <v>53</v>
      </c>
      <c r="G8" s="5" t="str">
        <f t="shared" si="3"/>
        <v>70533</v>
      </c>
      <c r="H8" s="3" t="s">
        <v>54</v>
      </c>
    </row>
    <row r="9" spans="1:8" s="3" customFormat="1">
      <c r="A9" s="5" t="str">
        <f t="shared" si="0"/>
        <v>46112</v>
      </c>
      <c r="B9" s="3" t="s">
        <v>138</v>
      </c>
      <c r="C9" s="5" t="str">
        <f t="shared" si="1"/>
        <v>76118</v>
      </c>
      <c r="D9" s="9" t="s">
        <v>137</v>
      </c>
      <c r="E9" s="5" t="str">
        <f t="shared" si="2"/>
        <v>53190</v>
      </c>
      <c r="F9" s="3" t="s">
        <v>62</v>
      </c>
      <c r="G9" s="5" t="str">
        <f t="shared" si="3"/>
        <v>70539</v>
      </c>
      <c r="H9" s="3" t="s">
        <v>61</v>
      </c>
    </row>
    <row r="10" spans="1:8" s="3" customFormat="1">
      <c r="A10" s="5" t="str">
        <f t="shared" si="0"/>
        <v>46114</v>
      </c>
      <c r="B10" s="3" t="s">
        <v>136</v>
      </c>
      <c r="C10" s="5" t="str">
        <f t="shared" si="1"/>
        <v>76138</v>
      </c>
      <c r="D10" s="9" t="s">
        <v>135</v>
      </c>
      <c r="E10" s="5" t="str">
        <f t="shared" si="2"/>
        <v>48485</v>
      </c>
      <c r="F10" s="3" t="s">
        <v>2</v>
      </c>
      <c r="G10" s="5" t="str">
        <f t="shared" si="3"/>
        <v>70573</v>
      </c>
      <c r="H10" s="3" t="s">
        <v>45</v>
      </c>
    </row>
    <row r="11" spans="1:8" s="3" customFormat="1">
      <c r="A11" s="5" t="str">
        <f t="shared" si="0"/>
        <v>46116</v>
      </c>
      <c r="B11" s="3" t="s">
        <v>133</v>
      </c>
      <c r="C11" s="5" t="str">
        <f t="shared" si="1"/>
        <v>76121</v>
      </c>
      <c r="D11" s="9" t="s">
        <v>134</v>
      </c>
      <c r="E11" s="5" t="str">
        <f t="shared" si="2"/>
        <v>48573</v>
      </c>
      <c r="F11" s="3" t="s">
        <v>74</v>
      </c>
      <c r="G11" s="5" t="str">
        <f t="shared" si="3"/>
        <v>70573</v>
      </c>
      <c r="H11" s="3" t="s">
        <v>45</v>
      </c>
    </row>
    <row r="12" spans="1:8" s="3" customFormat="1">
      <c r="A12" s="5" t="str">
        <f t="shared" si="0"/>
        <v>46118</v>
      </c>
      <c r="B12" s="3" t="s">
        <v>132</v>
      </c>
      <c r="C12" s="5" t="str">
        <f t="shared" si="1"/>
        <v>76112</v>
      </c>
      <c r="D12" s="9" t="s">
        <v>131</v>
      </c>
      <c r="E12" s="5" t="str">
        <f t="shared" si="2"/>
        <v>48574</v>
      </c>
      <c r="F12" s="3" t="s">
        <v>73</v>
      </c>
      <c r="G12" s="5" t="str">
        <f t="shared" si="3"/>
        <v>70574</v>
      </c>
      <c r="H12" s="3" t="s">
        <v>72</v>
      </c>
    </row>
    <row r="13" spans="1:8" s="3" customFormat="1">
      <c r="A13" s="5" t="str">
        <f t="shared" si="0"/>
        <v>46119</v>
      </c>
      <c r="B13" s="3" t="s">
        <v>130</v>
      </c>
      <c r="C13" s="5" t="str">
        <f t="shared" si="1"/>
        <v>76119</v>
      </c>
      <c r="D13" s="9" t="s">
        <v>129</v>
      </c>
      <c r="E13" s="5" t="str">
        <f t="shared" si="2"/>
        <v>48573</v>
      </c>
      <c r="F13" s="3" t="s">
        <v>74</v>
      </c>
      <c r="G13" s="5" t="str">
        <f t="shared" si="3"/>
        <v>70575</v>
      </c>
      <c r="H13" s="3" t="s">
        <v>75</v>
      </c>
    </row>
    <row r="14" spans="1:8" s="3" customFormat="1">
      <c r="A14" s="5" t="str">
        <f t="shared" si="0"/>
        <v>46120</v>
      </c>
      <c r="B14" s="3" t="s">
        <v>128</v>
      </c>
      <c r="C14" s="5" t="str">
        <f t="shared" si="1"/>
        <v>76120</v>
      </c>
      <c r="D14" s="9" t="s">
        <v>127</v>
      </c>
      <c r="E14" s="5" t="str">
        <f t="shared" si="2"/>
        <v>48581</v>
      </c>
      <c r="F14" s="3" t="s">
        <v>71</v>
      </c>
      <c r="G14" s="5" t="str">
        <f t="shared" si="3"/>
        <v>70581</v>
      </c>
      <c r="H14" s="3" t="s">
        <v>70</v>
      </c>
    </row>
    <row r="15" spans="1:8" s="3" customFormat="1">
      <c r="A15" s="5" t="str">
        <f t="shared" si="0"/>
        <v>46210</v>
      </c>
      <c r="B15" s="3" t="s">
        <v>126</v>
      </c>
      <c r="C15" s="5" t="str">
        <f t="shared" si="1"/>
        <v>76227</v>
      </c>
      <c r="D15" s="9" t="s">
        <v>125</v>
      </c>
      <c r="E15" s="5" t="str">
        <f t="shared" si="2"/>
        <v>48583</v>
      </c>
      <c r="F15" s="3" t="s">
        <v>69</v>
      </c>
      <c r="G15" s="5" t="str">
        <f t="shared" si="3"/>
        <v>70583</v>
      </c>
      <c r="H15" s="3" t="s">
        <v>68</v>
      </c>
    </row>
    <row r="16" spans="1:8" s="3" customFormat="1">
      <c r="A16" s="5" t="str">
        <f t="shared" si="0"/>
        <v>46404</v>
      </c>
      <c r="B16" s="3" t="s">
        <v>124</v>
      </c>
      <c r="C16" s="5" t="str">
        <f t="shared" si="1"/>
        <v>76404</v>
      </c>
      <c r="D16" s="9" t="s">
        <v>123</v>
      </c>
      <c r="E16" s="5" t="str">
        <f t="shared" si="2"/>
        <v>48584</v>
      </c>
      <c r="F16" s="3" t="s">
        <v>67</v>
      </c>
      <c r="G16" s="5" t="str">
        <f t="shared" si="3"/>
        <v>70584</v>
      </c>
      <c r="H16" s="3" t="s">
        <v>66</v>
      </c>
    </row>
    <row r="17" spans="1:8" s="3" customFormat="1">
      <c r="A17" s="5" t="str">
        <f t="shared" si="0"/>
        <v>46405</v>
      </c>
      <c r="B17" s="3" t="s">
        <v>122</v>
      </c>
      <c r="C17" s="5" t="str">
        <f t="shared" si="1"/>
        <v>76412</v>
      </c>
      <c r="D17" s="9" t="s">
        <v>121</v>
      </c>
      <c r="E17" s="5" t="str">
        <f t="shared" si="2"/>
        <v>48481</v>
      </c>
      <c r="F17" s="3" t="s">
        <v>83</v>
      </c>
      <c r="G17" s="5" t="str">
        <f t="shared" si="3"/>
        <v>70839</v>
      </c>
      <c r="H17" s="3" t="s">
        <v>82</v>
      </c>
    </row>
    <row r="18" spans="1:8" s="3" customFormat="1">
      <c r="A18" s="5" t="str">
        <f t="shared" si="0"/>
        <v>46406</v>
      </c>
      <c r="B18" s="3" t="s">
        <v>120</v>
      </c>
      <c r="C18" s="5" t="str">
        <f t="shared" si="1"/>
        <v>76413</v>
      </c>
      <c r="D18" s="9" t="s">
        <v>119</v>
      </c>
      <c r="E18" s="5" t="str">
        <f t="shared" si="2"/>
        <v>49802</v>
      </c>
      <c r="F18" s="3" t="s">
        <v>65</v>
      </c>
      <c r="G18" s="5" t="str">
        <f t="shared" si="3"/>
        <v>72000</v>
      </c>
      <c r="H18" s="3" t="s">
        <v>64</v>
      </c>
    </row>
    <row r="19" spans="1:8" s="3" customFormat="1">
      <c r="A19" s="5" t="str">
        <f t="shared" si="0"/>
        <v>46407</v>
      </c>
      <c r="B19" s="3" t="s">
        <v>118</v>
      </c>
      <c r="C19" s="5" t="str">
        <f t="shared" si="1"/>
        <v>76407</v>
      </c>
      <c r="D19" s="9" t="s">
        <v>117</v>
      </c>
      <c r="E19" s="5" t="str">
        <f t="shared" si="2"/>
        <v>48435</v>
      </c>
      <c r="F19" s="3" t="s">
        <v>98</v>
      </c>
      <c r="G19" s="5" t="str">
        <f t="shared" si="3"/>
        <v>72250</v>
      </c>
      <c r="H19" s="3" t="s">
        <v>97</v>
      </c>
    </row>
    <row r="20" spans="1:8" s="3" customFormat="1">
      <c r="A20" s="5" t="str">
        <f t="shared" si="0"/>
        <v>46408</v>
      </c>
      <c r="B20" s="3" t="s">
        <v>116</v>
      </c>
      <c r="C20" s="5" t="str">
        <f t="shared" si="1"/>
        <v>76408</v>
      </c>
      <c r="D20" s="9" t="s">
        <v>115</v>
      </c>
      <c r="E20" s="5" t="str">
        <f t="shared" si="2"/>
        <v>48463</v>
      </c>
      <c r="F20" s="3" t="s">
        <v>85</v>
      </c>
      <c r="G20" s="5" t="str">
        <f t="shared" si="3"/>
        <v>72400</v>
      </c>
      <c r="H20" s="3" t="s">
        <v>87</v>
      </c>
    </row>
    <row r="21" spans="1:8" s="3" customFormat="1">
      <c r="A21" s="5" t="str">
        <f t="shared" si="0"/>
        <v>46409</v>
      </c>
      <c r="B21" s="3" t="s">
        <v>114</v>
      </c>
      <c r="C21" s="5" t="str">
        <f t="shared" si="1"/>
        <v>76409</v>
      </c>
      <c r="D21" s="9" t="s">
        <v>113</v>
      </c>
      <c r="E21" s="5" t="str">
        <f t="shared" si="2"/>
        <v>48463</v>
      </c>
      <c r="F21" s="3" t="s">
        <v>85</v>
      </c>
      <c r="G21" s="5" t="str">
        <f t="shared" si="3"/>
        <v>72402</v>
      </c>
      <c r="H21" s="3" t="s">
        <v>86</v>
      </c>
    </row>
    <row r="22" spans="1:8" s="3" customFormat="1">
      <c r="A22" s="5" t="str">
        <f t="shared" si="0"/>
        <v>48401</v>
      </c>
      <c r="B22" s="3" t="s">
        <v>112</v>
      </c>
      <c r="C22" s="5" t="str">
        <f t="shared" si="1"/>
        <v>72901</v>
      </c>
      <c r="D22" s="9" t="s">
        <v>111</v>
      </c>
      <c r="E22" s="5" t="str">
        <f t="shared" si="2"/>
        <v>48463</v>
      </c>
      <c r="F22" s="3" t="s">
        <v>85</v>
      </c>
      <c r="G22" s="5" t="str">
        <f t="shared" si="3"/>
        <v>72404</v>
      </c>
      <c r="H22" s="3" t="s">
        <v>84</v>
      </c>
    </row>
    <row r="23" spans="1:8" s="3" customFormat="1">
      <c r="A23" s="5" t="str">
        <f t="shared" si="0"/>
        <v>48403</v>
      </c>
      <c r="B23" s="3" t="s">
        <v>110</v>
      </c>
      <c r="C23" s="5" t="str">
        <f t="shared" si="1"/>
        <v>72903</v>
      </c>
      <c r="D23" s="9" t="s">
        <v>109</v>
      </c>
      <c r="E23" s="5" t="str">
        <f t="shared" si="2"/>
        <v>48527</v>
      </c>
      <c r="F23" s="3" t="s">
        <v>78</v>
      </c>
      <c r="G23" s="5" t="str">
        <f t="shared" si="3"/>
        <v>72627</v>
      </c>
      <c r="H23" s="3" t="s">
        <v>79</v>
      </c>
    </row>
    <row r="24" spans="1:8" s="3" customFormat="1">
      <c r="A24" s="5" t="str">
        <f t="shared" si="0"/>
        <v>48408</v>
      </c>
      <c r="B24" s="3" t="s">
        <v>108</v>
      </c>
      <c r="C24" s="5" t="str">
        <f t="shared" si="1"/>
        <v>72908</v>
      </c>
      <c r="D24" s="9" t="s">
        <v>107</v>
      </c>
      <c r="E24" s="5" t="str">
        <f t="shared" si="2"/>
        <v>48537</v>
      </c>
      <c r="F24" s="3" t="s">
        <v>77</v>
      </c>
      <c r="G24" s="5" t="str">
        <f t="shared" si="3"/>
        <v>72637</v>
      </c>
      <c r="H24" s="3" t="s">
        <v>76</v>
      </c>
    </row>
    <row r="25" spans="1:8" s="3" customFormat="1">
      <c r="A25" s="5" t="str">
        <f t="shared" si="0"/>
        <v>48409</v>
      </c>
      <c r="B25" s="3" t="s">
        <v>106</v>
      </c>
      <c r="C25" s="5" t="str">
        <f t="shared" si="1"/>
        <v>72909</v>
      </c>
      <c r="D25" s="9" t="s">
        <v>105</v>
      </c>
      <c r="E25" s="5" t="str">
        <f t="shared" si="2"/>
        <v>48461</v>
      </c>
      <c r="F25" s="3" t="s">
        <v>90</v>
      </c>
      <c r="G25" s="5" t="str">
        <f t="shared" si="3"/>
        <v>72800</v>
      </c>
      <c r="H25" s="3" t="s">
        <v>92</v>
      </c>
    </row>
    <row r="26" spans="1:8" s="3" customFormat="1">
      <c r="A26" s="5" t="str">
        <f t="shared" si="0"/>
        <v>48412</v>
      </c>
      <c r="B26" s="3" t="s">
        <v>104</v>
      </c>
      <c r="C26" s="5" t="str">
        <f t="shared" si="1"/>
        <v>72902</v>
      </c>
      <c r="D26" s="9" t="s">
        <v>103</v>
      </c>
      <c r="E26" s="5" t="str">
        <f t="shared" si="2"/>
        <v>48461</v>
      </c>
      <c r="F26" s="3" t="s">
        <v>90</v>
      </c>
      <c r="G26" s="5" t="str">
        <f t="shared" si="3"/>
        <v>72810</v>
      </c>
      <c r="H26" s="3" t="s">
        <v>91</v>
      </c>
    </row>
    <row r="27" spans="1:8" s="3" customFormat="1">
      <c r="A27" s="5" t="str">
        <f t="shared" si="0"/>
        <v>48424</v>
      </c>
      <c r="B27" s="3" t="s">
        <v>102</v>
      </c>
      <c r="C27" s="5" t="str">
        <f t="shared" si="1"/>
        <v>72924</v>
      </c>
      <c r="D27" s="9" t="s">
        <v>101</v>
      </c>
      <c r="E27" s="5" t="str">
        <f t="shared" si="2"/>
        <v>48462</v>
      </c>
      <c r="F27" s="3" t="s">
        <v>89</v>
      </c>
      <c r="G27" s="5" t="str">
        <f t="shared" si="3"/>
        <v>72862</v>
      </c>
      <c r="H27" s="3" t="s">
        <v>88</v>
      </c>
    </row>
    <row r="28" spans="1:8" s="3" customFormat="1">
      <c r="A28" s="5" t="str">
        <f t="shared" si="0"/>
        <v>48432</v>
      </c>
      <c r="B28" s="3" t="s">
        <v>100</v>
      </c>
      <c r="C28" s="5" t="str">
        <f t="shared" si="1"/>
        <v>72932</v>
      </c>
      <c r="D28" s="9" t="s">
        <v>99</v>
      </c>
      <c r="E28" s="5" t="str">
        <f t="shared" si="2"/>
        <v>48401</v>
      </c>
      <c r="F28" s="3" t="s">
        <v>112</v>
      </c>
      <c r="G28" s="5" t="str">
        <f t="shared" si="3"/>
        <v>72901</v>
      </c>
      <c r="H28" s="3" t="s">
        <v>111</v>
      </c>
    </row>
    <row r="29" spans="1:8" s="3" customFormat="1">
      <c r="A29" s="5" t="str">
        <f t="shared" si="0"/>
        <v>48435</v>
      </c>
      <c r="B29" s="3" t="s">
        <v>98</v>
      </c>
      <c r="C29" s="5" t="str">
        <f t="shared" si="1"/>
        <v>72250</v>
      </c>
      <c r="D29" s="9" t="s">
        <v>97</v>
      </c>
      <c r="E29" s="5" t="str">
        <f t="shared" si="2"/>
        <v>48412</v>
      </c>
      <c r="F29" s="3" t="s">
        <v>104</v>
      </c>
      <c r="G29" s="5" t="str">
        <f t="shared" si="3"/>
        <v>72902</v>
      </c>
      <c r="H29" s="3" t="s">
        <v>103</v>
      </c>
    </row>
    <row r="30" spans="1:8" s="3" customFormat="1">
      <c r="A30" s="5" t="str">
        <f t="shared" si="0"/>
        <v>48439</v>
      </c>
      <c r="B30" s="3" t="s">
        <v>96</v>
      </c>
      <c r="C30" s="5" t="str">
        <f t="shared" si="1"/>
        <v>72939</v>
      </c>
      <c r="D30" s="9" t="s">
        <v>95</v>
      </c>
      <c r="E30" s="5" t="str">
        <f t="shared" si="2"/>
        <v>48403</v>
      </c>
      <c r="F30" s="3" t="s">
        <v>110</v>
      </c>
      <c r="G30" s="5" t="str">
        <f t="shared" si="3"/>
        <v>72903</v>
      </c>
      <c r="H30" s="3" t="s">
        <v>109</v>
      </c>
    </row>
    <row r="31" spans="1:8" s="3" customFormat="1">
      <c r="A31" s="5" t="str">
        <f t="shared" si="0"/>
        <v>48440</v>
      </c>
      <c r="B31" s="3" t="s">
        <v>94</v>
      </c>
      <c r="C31" s="5" t="str">
        <f t="shared" si="1"/>
        <v>72940</v>
      </c>
      <c r="D31" s="9" t="s">
        <v>93</v>
      </c>
      <c r="E31" s="5" t="str">
        <f t="shared" si="2"/>
        <v>48408</v>
      </c>
      <c r="F31" s="3" t="s">
        <v>108</v>
      </c>
      <c r="G31" s="5" t="str">
        <f t="shared" si="3"/>
        <v>72908</v>
      </c>
      <c r="H31" s="3" t="s">
        <v>107</v>
      </c>
    </row>
    <row r="32" spans="1:8" s="3" customFormat="1">
      <c r="A32" s="5" t="str">
        <f t="shared" si="0"/>
        <v>48461</v>
      </c>
      <c r="B32" s="3" t="s">
        <v>90</v>
      </c>
      <c r="C32" s="5" t="str">
        <f t="shared" si="1"/>
        <v>72800</v>
      </c>
      <c r="D32" s="9" t="s">
        <v>92</v>
      </c>
      <c r="E32" s="5" t="str">
        <f t="shared" si="2"/>
        <v>48409</v>
      </c>
      <c r="F32" s="3" t="s">
        <v>106</v>
      </c>
      <c r="G32" s="5" t="str">
        <f t="shared" si="3"/>
        <v>72909</v>
      </c>
      <c r="H32" s="3" t="s">
        <v>105</v>
      </c>
    </row>
    <row r="33" spans="1:8" s="3" customFormat="1">
      <c r="A33" s="5" t="str">
        <f t="shared" si="0"/>
        <v>48461</v>
      </c>
      <c r="B33" s="3" t="s">
        <v>90</v>
      </c>
      <c r="C33" s="5" t="str">
        <f t="shared" si="1"/>
        <v>72810</v>
      </c>
      <c r="D33" s="9" t="s">
        <v>91</v>
      </c>
      <c r="E33" s="5" t="str">
        <f t="shared" si="2"/>
        <v>48424</v>
      </c>
      <c r="F33" s="3" t="s">
        <v>102</v>
      </c>
      <c r="G33" s="5" t="str">
        <f t="shared" si="3"/>
        <v>72924</v>
      </c>
      <c r="H33" s="3" t="s">
        <v>101</v>
      </c>
    </row>
    <row r="34" spans="1:8" s="3" customFormat="1">
      <c r="A34" s="5" t="str">
        <f t="shared" si="0"/>
        <v>48462</v>
      </c>
      <c r="B34" s="3" t="s">
        <v>89</v>
      </c>
      <c r="C34" s="5" t="str">
        <f t="shared" si="1"/>
        <v>72862</v>
      </c>
      <c r="D34" s="9" t="s">
        <v>88</v>
      </c>
      <c r="E34" s="5" t="str">
        <f t="shared" si="2"/>
        <v>48432</v>
      </c>
      <c r="F34" s="3" t="s">
        <v>100</v>
      </c>
      <c r="G34" s="5" t="str">
        <f t="shared" si="3"/>
        <v>72932</v>
      </c>
      <c r="H34" s="3" t="s">
        <v>99</v>
      </c>
    </row>
    <row r="35" spans="1:8" s="3" customFormat="1">
      <c r="A35" s="5" t="str">
        <f t="shared" si="0"/>
        <v>48463</v>
      </c>
      <c r="B35" s="3" t="s">
        <v>85</v>
      </c>
      <c r="C35" s="5" t="str">
        <f t="shared" si="1"/>
        <v>72400</v>
      </c>
      <c r="D35" s="9" t="s">
        <v>87</v>
      </c>
      <c r="E35" s="5" t="str">
        <f t="shared" si="2"/>
        <v>48439</v>
      </c>
      <c r="F35" s="3" t="s">
        <v>96</v>
      </c>
      <c r="G35" s="5" t="str">
        <f t="shared" si="3"/>
        <v>72939</v>
      </c>
      <c r="H35" s="3" t="s">
        <v>95</v>
      </c>
    </row>
    <row r="36" spans="1:8" s="3" customFormat="1">
      <c r="A36" s="5" t="str">
        <f t="shared" si="0"/>
        <v>48463</v>
      </c>
      <c r="B36" s="3" t="s">
        <v>85</v>
      </c>
      <c r="C36" s="5" t="str">
        <f t="shared" si="1"/>
        <v>72402</v>
      </c>
      <c r="D36" s="9" t="s">
        <v>86</v>
      </c>
      <c r="E36" s="5" t="str">
        <f t="shared" si="2"/>
        <v>48440</v>
      </c>
      <c r="F36" s="3" t="s">
        <v>94</v>
      </c>
      <c r="G36" s="5" t="str">
        <f t="shared" si="3"/>
        <v>72940</v>
      </c>
      <c r="H36" s="3" t="s">
        <v>93</v>
      </c>
    </row>
    <row r="37" spans="1:8" s="3" customFormat="1">
      <c r="A37" s="5" t="str">
        <f t="shared" si="0"/>
        <v>48463</v>
      </c>
      <c r="B37" s="3" t="s">
        <v>85</v>
      </c>
      <c r="C37" s="5" t="str">
        <f t="shared" si="1"/>
        <v>72404</v>
      </c>
      <c r="D37" s="9" t="s">
        <v>84</v>
      </c>
      <c r="E37" s="5" t="str">
        <f t="shared" si="2"/>
        <v>48491</v>
      </c>
      <c r="F37" s="3" t="s">
        <v>81</v>
      </c>
      <c r="G37" s="5" t="str">
        <f t="shared" si="3"/>
        <v>74910</v>
      </c>
      <c r="H37" s="3" t="s">
        <v>80</v>
      </c>
    </row>
    <row r="38" spans="1:8" s="3" customFormat="1">
      <c r="A38" s="5" t="str">
        <f t="shared" si="0"/>
        <v>48481</v>
      </c>
      <c r="B38" s="3" t="s">
        <v>83</v>
      </c>
      <c r="C38" s="5" t="str">
        <f t="shared" si="1"/>
        <v>70839</v>
      </c>
      <c r="D38" s="9" t="s">
        <v>82</v>
      </c>
      <c r="E38" s="5" t="str">
        <f t="shared" ref="E38:E69" si="4">LEFT(+F38,5)</f>
        <v>33801</v>
      </c>
      <c r="F38" s="3" t="s">
        <v>148</v>
      </c>
      <c r="G38" s="5" t="str">
        <f t="shared" ref="G38:G69" si="5">LEFT(H38,5)</f>
        <v>75338</v>
      </c>
      <c r="H38" s="3" t="s">
        <v>147</v>
      </c>
    </row>
    <row r="39" spans="1:8" s="3" customFormat="1">
      <c r="A39" s="5" t="str">
        <f t="shared" si="0"/>
        <v>48485</v>
      </c>
      <c r="B39" s="3" t="s">
        <v>2</v>
      </c>
      <c r="C39" s="5" t="str">
        <f t="shared" si="1"/>
        <v>70573</v>
      </c>
      <c r="D39" s="9" t="s">
        <v>45</v>
      </c>
      <c r="E39" s="5" t="str">
        <f t="shared" si="4"/>
        <v>54400</v>
      </c>
      <c r="F39" s="3" t="s">
        <v>56</v>
      </c>
      <c r="G39" s="5" t="str">
        <f t="shared" si="5"/>
        <v>75440</v>
      </c>
      <c r="H39" s="3" t="s">
        <v>55</v>
      </c>
    </row>
    <row r="40" spans="1:8" s="3" customFormat="1">
      <c r="A40" s="5" t="str">
        <f t="shared" si="0"/>
        <v>48491</v>
      </c>
      <c r="B40" s="3" t="s">
        <v>81</v>
      </c>
      <c r="C40" s="5" t="str">
        <f t="shared" si="1"/>
        <v>74910</v>
      </c>
      <c r="D40" s="9" t="s">
        <v>80</v>
      </c>
      <c r="E40" s="5" t="str">
        <f t="shared" si="4"/>
        <v>54403</v>
      </c>
      <c r="F40" s="3" t="s">
        <v>53</v>
      </c>
      <c r="G40" s="5" t="str">
        <f t="shared" si="5"/>
        <v>75442</v>
      </c>
      <c r="H40" s="3" t="s">
        <v>52</v>
      </c>
    </row>
    <row r="41" spans="1:8" s="3" customFormat="1">
      <c r="A41" s="5" t="str">
        <f t="shared" si="0"/>
        <v>48527</v>
      </c>
      <c r="B41" s="3" t="s">
        <v>78</v>
      </c>
      <c r="C41" s="5" t="str">
        <f t="shared" si="1"/>
        <v>72627</v>
      </c>
      <c r="D41" s="9" t="s">
        <v>79</v>
      </c>
      <c r="E41" s="5" t="str">
        <f t="shared" si="4"/>
        <v>57601</v>
      </c>
      <c r="F41" s="3" t="s">
        <v>51</v>
      </c>
      <c r="G41" s="5" t="str">
        <f t="shared" si="5"/>
        <v>75601</v>
      </c>
      <c r="H41" s="3" t="s">
        <v>50</v>
      </c>
    </row>
    <row r="42" spans="1:8" s="3" customFormat="1">
      <c r="A42" s="5" t="str">
        <f t="shared" si="0"/>
        <v>48537</v>
      </c>
      <c r="B42" s="3" t="s">
        <v>77</v>
      </c>
      <c r="C42" s="5" t="str">
        <f t="shared" si="1"/>
        <v>72637</v>
      </c>
      <c r="D42" s="9" t="s">
        <v>76</v>
      </c>
      <c r="E42" s="5" t="str">
        <f t="shared" si="4"/>
        <v>60482</v>
      </c>
      <c r="F42" s="3" t="s">
        <v>47</v>
      </c>
      <c r="G42" s="5" t="str">
        <f t="shared" si="5"/>
        <v>76044</v>
      </c>
      <c r="H42" s="3" t="s">
        <v>46</v>
      </c>
    </row>
    <row r="43" spans="1:8" s="3" customFormat="1">
      <c r="A43" s="5" t="str">
        <f t="shared" si="0"/>
        <v>48573</v>
      </c>
      <c r="B43" s="3" t="s">
        <v>74</v>
      </c>
      <c r="C43" s="5" t="str">
        <f t="shared" si="1"/>
        <v>70573</v>
      </c>
      <c r="D43" s="9" t="s">
        <v>45</v>
      </c>
      <c r="E43" s="5" t="str">
        <f t="shared" si="4"/>
        <v>60414</v>
      </c>
      <c r="F43" s="3" t="s">
        <v>49</v>
      </c>
      <c r="G43" s="5" t="str">
        <f t="shared" si="5"/>
        <v>76047</v>
      </c>
      <c r="H43" s="3" t="s">
        <v>48</v>
      </c>
    </row>
    <row r="44" spans="1:8" s="3" customFormat="1">
      <c r="A44" s="5" t="str">
        <f t="shared" si="0"/>
        <v>48573</v>
      </c>
      <c r="B44" s="3" t="s">
        <v>74</v>
      </c>
      <c r="C44" s="5" t="str">
        <f t="shared" si="1"/>
        <v>70575</v>
      </c>
      <c r="D44" s="9" t="s">
        <v>75</v>
      </c>
      <c r="E44" s="5" t="str">
        <f t="shared" si="4"/>
        <v>46108</v>
      </c>
      <c r="F44" s="3" t="s">
        <v>146</v>
      </c>
      <c r="G44" s="5" t="str">
        <f t="shared" si="5"/>
        <v>76108</v>
      </c>
      <c r="H44" s="3" t="s">
        <v>145</v>
      </c>
    </row>
    <row r="45" spans="1:8" s="3" customFormat="1">
      <c r="A45" s="5" t="str">
        <f t="shared" si="0"/>
        <v>48574</v>
      </c>
      <c r="B45" s="3" t="s">
        <v>73</v>
      </c>
      <c r="C45" s="5" t="str">
        <f t="shared" si="1"/>
        <v>70574</v>
      </c>
      <c r="D45" s="9" t="s">
        <v>72</v>
      </c>
      <c r="E45" s="5" t="str">
        <f t="shared" si="4"/>
        <v>46109</v>
      </c>
      <c r="F45" s="3" t="s">
        <v>144</v>
      </c>
      <c r="G45" s="5" t="str">
        <f t="shared" si="5"/>
        <v>76109</v>
      </c>
      <c r="H45" s="3" t="s">
        <v>143</v>
      </c>
    </row>
    <row r="46" spans="1:8" s="3" customFormat="1">
      <c r="A46" s="5" t="str">
        <f t="shared" si="0"/>
        <v>48581</v>
      </c>
      <c r="B46" s="3" t="s">
        <v>71</v>
      </c>
      <c r="C46" s="5" t="str">
        <f t="shared" si="1"/>
        <v>70581</v>
      </c>
      <c r="D46" s="9" t="s">
        <v>70</v>
      </c>
      <c r="E46" s="5" t="str">
        <f t="shared" si="4"/>
        <v>46111</v>
      </c>
      <c r="F46" s="3" t="s">
        <v>140</v>
      </c>
      <c r="G46" s="5" t="str">
        <f t="shared" si="5"/>
        <v>76110</v>
      </c>
      <c r="H46" s="3" t="s">
        <v>139</v>
      </c>
    </row>
    <row r="47" spans="1:8" s="3" customFormat="1">
      <c r="A47" s="5" t="str">
        <f t="shared" si="0"/>
        <v>48583</v>
      </c>
      <c r="B47" s="3" t="s">
        <v>69</v>
      </c>
      <c r="C47" s="5" t="str">
        <f t="shared" si="1"/>
        <v>70583</v>
      </c>
      <c r="D47" s="9" t="s">
        <v>68</v>
      </c>
      <c r="E47" s="5" t="str">
        <f t="shared" si="4"/>
        <v>46118</v>
      </c>
      <c r="F47" s="3" t="s">
        <v>132</v>
      </c>
      <c r="G47" s="5" t="str">
        <f t="shared" si="5"/>
        <v>76112</v>
      </c>
      <c r="H47" s="3" t="s">
        <v>131</v>
      </c>
    </row>
    <row r="48" spans="1:8" s="3" customFormat="1">
      <c r="A48" s="5" t="str">
        <f t="shared" si="0"/>
        <v>48584</v>
      </c>
      <c r="B48" s="3" t="s">
        <v>67</v>
      </c>
      <c r="C48" s="5" t="str">
        <f t="shared" si="1"/>
        <v>70584</v>
      </c>
      <c r="D48" s="9" t="s">
        <v>66</v>
      </c>
      <c r="E48" s="5" t="str">
        <f t="shared" si="4"/>
        <v>46112</v>
      </c>
      <c r="F48" s="3" t="s">
        <v>138</v>
      </c>
      <c r="G48" s="5" t="str">
        <f t="shared" si="5"/>
        <v>76118</v>
      </c>
      <c r="H48" s="3" t="s">
        <v>137</v>
      </c>
    </row>
    <row r="49" spans="1:8" s="3" customFormat="1">
      <c r="A49" s="5" t="str">
        <f t="shared" si="0"/>
        <v>49802</v>
      </c>
      <c r="B49" s="3" t="s">
        <v>65</v>
      </c>
      <c r="C49" s="5" t="str">
        <f t="shared" si="1"/>
        <v>72000</v>
      </c>
      <c r="D49" s="9" t="s">
        <v>64</v>
      </c>
      <c r="E49" s="5" t="str">
        <f t="shared" si="4"/>
        <v>46119</v>
      </c>
      <c r="F49" s="3" t="s">
        <v>130</v>
      </c>
      <c r="G49" s="5" t="str">
        <f t="shared" si="5"/>
        <v>76119</v>
      </c>
      <c r="H49" s="3" t="s">
        <v>129</v>
      </c>
    </row>
    <row r="50" spans="1:8" s="3" customFormat="1">
      <c r="A50" s="5" t="str">
        <f t="shared" si="0"/>
        <v>53100</v>
      </c>
      <c r="B50" s="3" t="s">
        <v>63</v>
      </c>
      <c r="C50" s="5" t="str">
        <f t="shared" si="1"/>
        <v>70531</v>
      </c>
      <c r="D50" s="9" t="s">
        <v>59</v>
      </c>
      <c r="E50" s="5" t="str">
        <f t="shared" si="4"/>
        <v>46120</v>
      </c>
      <c r="F50" s="3" t="s">
        <v>128</v>
      </c>
      <c r="G50" s="5" t="str">
        <f t="shared" si="5"/>
        <v>76120</v>
      </c>
      <c r="H50" s="3" t="s">
        <v>127</v>
      </c>
    </row>
    <row r="51" spans="1:8" s="3" customFormat="1">
      <c r="A51" s="5">
        <v>53101</v>
      </c>
      <c r="B51" t="s">
        <v>154</v>
      </c>
      <c r="C51" s="5">
        <v>71531</v>
      </c>
      <c r="D51" s="10" t="s">
        <v>155</v>
      </c>
      <c r="E51" s="5" t="str">
        <f t="shared" si="4"/>
        <v>46116</v>
      </c>
      <c r="F51" s="3" t="s">
        <v>133</v>
      </c>
      <c r="G51" s="5" t="str">
        <f t="shared" si="5"/>
        <v>76121</v>
      </c>
      <c r="H51" s="3" t="s">
        <v>134</v>
      </c>
    </row>
    <row r="52" spans="1:8" s="3" customFormat="1">
      <c r="A52" s="5" t="str">
        <f t="shared" ref="A52:A60" si="6">LEFT(+B52,5)</f>
        <v>53190</v>
      </c>
      <c r="B52" s="3" t="s">
        <v>62</v>
      </c>
      <c r="C52" s="5" t="str">
        <f t="shared" ref="C52:C60" si="7">LEFT(D52,5)</f>
        <v>70539</v>
      </c>
      <c r="D52" s="9" t="s">
        <v>61</v>
      </c>
      <c r="E52" s="5" t="str">
        <f t="shared" si="4"/>
        <v>46110</v>
      </c>
      <c r="F52" s="3" t="s">
        <v>142</v>
      </c>
      <c r="G52" s="5" t="str">
        <f t="shared" si="5"/>
        <v>76134</v>
      </c>
      <c r="H52" s="3" t="s">
        <v>141</v>
      </c>
    </row>
    <row r="53" spans="1:8" s="3" customFormat="1">
      <c r="A53" s="5" t="str">
        <f t="shared" si="6"/>
        <v>53200</v>
      </c>
      <c r="B53" s="3" t="s">
        <v>60</v>
      </c>
      <c r="C53" s="5" t="str">
        <f t="shared" si="7"/>
        <v>70532</v>
      </c>
      <c r="D53" s="9" t="s">
        <v>57</v>
      </c>
      <c r="E53" s="5" t="str">
        <f t="shared" si="4"/>
        <v>46114</v>
      </c>
      <c r="F53" s="3" t="s">
        <v>136</v>
      </c>
      <c r="G53" s="5" t="str">
        <f t="shared" si="5"/>
        <v>76138</v>
      </c>
      <c r="H53" s="3" t="s">
        <v>135</v>
      </c>
    </row>
    <row r="54" spans="1:8" s="3" customFormat="1">
      <c r="A54" s="5" t="str">
        <f t="shared" si="6"/>
        <v>53300</v>
      </c>
      <c r="B54" s="3" t="s">
        <v>58</v>
      </c>
      <c r="C54" s="5" t="str">
        <f t="shared" si="7"/>
        <v>70533</v>
      </c>
      <c r="D54" s="9" t="s">
        <v>54</v>
      </c>
      <c r="E54" s="5" t="str">
        <f t="shared" si="4"/>
        <v>46210</v>
      </c>
      <c r="F54" s="3" t="s">
        <v>126</v>
      </c>
      <c r="G54" s="5" t="str">
        <f t="shared" si="5"/>
        <v>76227</v>
      </c>
      <c r="H54" s="3" t="s">
        <v>125</v>
      </c>
    </row>
    <row r="55" spans="1:8" s="3" customFormat="1">
      <c r="A55" s="5" t="str">
        <f t="shared" si="6"/>
        <v>54400</v>
      </c>
      <c r="B55" s="3" t="s">
        <v>56</v>
      </c>
      <c r="C55" s="5" t="str">
        <f t="shared" si="7"/>
        <v>75440</v>
      </c>
      <c r="D55" s="9" t="s">
        <v>55</v>
      </c>
      <c r="E55" s="5" t="str">
        <f t="shared" si="4"/>
        <v>46404</v>
      </c>
      <c r="F55" s="3" t="s">
        <v>124</v>
      </c>
      <c r="G55" s="5" t="str">
        <f t="shared" si="5"/>
        <v>76404</v>
      </c>
      <c r="H55" s="3" t="s">
        <v>123</v>
      </c>
    </row>
    <row r="56" spans="1:8" s="3" customFormat="1">
      <c r="A56" s="5" t="str">
        <f t="shared" si="6"/>
        <v>54403</v>
      </c>
      <c r="B56" s="3" t="s">
        <v>53</v>
      </c>
      <c r="C56" s="5" t="str">
        <f t="shared" si="7"/>
        <v>75442</v>
      </c>
      <c r="D56" s="9" t="s">
        <v>52</v>
      </c>
      <c r="E56" s="5" t="str">
        <f t="shared" si="4"/>
        <v>46407</v>
      </c>
      <c r="F56" s="3" t="s">
        <v>118</v>
      </c>
      <c r="G56" s="5" t="str">
        <f t="shared" si="5"/>
        <v>76407</v>
      </c>
      <c r="H56" s="3" t="s">
        <v>117</v>
      </c>
    </row>
    <row r="57" spans="1:8" s="3" customFormat="1">
      <c r="A57" s="5" t="str">
        <f t="shared" si="6"/>
        <v>54403</v>
      </c>
      <c r="B57" s="3" t="s">
        <v>53</v>
      </c>
      <c r="C57" s="5" t="str">
        <f t="shared" si="7"/>
        <v>70533</v>
      </c>
      <c r="D57" s="9" t="s">
        <v>54</v>
      </c>
      <c r="E57" s="5" t="str">
        <f t="shared" si="4"/>
        <v>46408</v>
      </c>
      <c r="F57" s="3" t="s">
        <v>116</v>
      </c>
      <c r="G57" s="5" t="str">
        <f t="shared" si="5"/>
        <v>76408</v>
      </c>
      <c r="H57" s="3" t="s">
        <v>115</v>
      </c>
    </row>
    <row r="58" spans="1:8" s="3" customFormat="1">
      <c r="A58" s="5" t="str">
        <f t="shared" si="6"/>
        <v>57601</v>
      </c>
      <c r="B58" s="3" t="s">
        <v>51</v>
      </c>
      <c r="C58" s="5" t="str">
        <f t="shared" si="7"/>
        <v>75601</v>
      </c>
      <c r="D58" s="9" t="s">
        <v>50</v>
      </c>
      <c r="E58" s="5" t="str">
        <f t="shared" si="4"/>
        <v>46409</v>
      </c>
      <c r="F58" s="3" t="s">
        <v>114</v>
      </c>
      <c r="G58" s="5" t="str">
        <f t="shared" si="5"/>
        <v>76409</v>
      </c>
      <c r="H58" s="3" t="s">
        <v>113</v>
      </c>
    </row>
    <row r="59" spans="1:8" s="3" customFormat="1">
      <c r="A59" s="5" t="str">
        <f t="shared" si="6"/>
        <v>60414</v>
      </c>
      <c r="B59" s="3" t="s">
        <v>49</v>
      </c>
      <c r="C59" s="5" t="str">
        <f t="shared" si="7"/>
        <v>76047</v>
      </c>
      <c r="D59" s="9" t="s">
        <v>48</v>
      </c>
      <c r="E59" s="5" t="str">
        <f t="shared" si="4"/>
        <v>46405</v>
      </c>
      <c r="F59" s="3" t="s">
        <v>122</v>
      </c>
      <c r="G59" s="5" t="str">
        <f t="shared" si="5"/>
        <v>76412</v>
      </c>
      <c r="H59" s="3" t="s">
        <v>121</v>
      </c>
    </row>
    <row r="60" spans="1:8" s="3" customFormat="1">
      <c r="A60" s="5" t="str">
        <f t="shared" si="6"/>
        <v>60482</v>
      </c>
      <c r="B60" s="3" t="s">
        <v>47</v>
      </c>
      <c r="C60" s="5" t="str">
        <f t="shared" si="7"/>
        <v>76044</v>
      </c>
      <c r="D60" s="9" t="s">
        <v>46</v>
      </c>
      <c r="E60" s="5" t="str">
        <f t="shared" si="4"/>
        <v>46406</v>
      </c>
      <c r="F60" s="3" t="s">
        <v>120</v>
      </c>
      <c r="G60" s="5" t="str">
        <f t="shared" si="5"/>
        <v>76413</v>
      </c>
      <c r="H60" s="3" t="s">
        <v>119</v>
      </c>
    </row>
    <row r="61" spans="1:8" s="3" customFormat="1"/>
    <row r="62" spans="1:8" s="3" customFormat="1"/>
    <row r="63" spans="1:8" s="3" customFormat="1"/>
    <row r="64" spans="1:8" s="3" customFormat="1"/>
    <row r="65" s="3" customFormat="1"/>
    <row r="66" s="3" customFormat="1"/>
    <row r="67" s="3" customFormat="1"/>
    <row r="68" s="3" customFormat="1"/>
    <row r="69" s="3" customFormat="1"/>
    <row r="70" s="3" customFormat="1"/>
    <row r="71" s="3" customFormat="1"/>
    <row r="72" s="3" customFormat="1"/>
    <row r="73" s="3" customFormat="1"/>
    <row r="74" s="3" customFormat="1"/>
    <row r="75" s="3" customFormat="1"/>
    <row r="76" s="3" customFormat="1"/>
    <row r="77" s="3" customFormat="1"/>
    <row r="78" s="3" customFormat="1"/>
    <row r="79" s="3" customFormat="1"/>
    <row r="80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3" customFormat="1"/>
    <row r="88" s="3" customFormat="1"/>
    <row r="89" s="3" customFormat="1"/>
    <row r="90" s="3" customFormat="1"/>
    <row r="91" s="3" customFormat="1"/>
    <row r="92" s="3" customFormat="1"/>
    <row r="93" s="3" customFormat="1"/>
    <row r="94" s="3" customFormat="1"/>
    <row r="95" s="3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</sheetData>
  <sortState ref="E4:H59">
    <sortCondition ref="H4:H59"/>
  </sortState>
  <pageMargins left="0.2" right="0" top="0.75" bottom="0.5" header="0.3" footer="0.05"/>
  <pageSetup scale="73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Operating Trust</vt:lpstr>
      <vt:lpstr>A &amp;E</vt:lpstr>
      <vt:lpstr>'A &amp;E'!Print_Area</vt:lpstr>
      <vt:lpstr>'Operating Trust'!Print_Area</vt:lpstr>
      <vt:lpstr>'A &amp;E'!Print_Titles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Kipp, Sylvia</dc:creator>
  <cp:lastModifiedBy>Sylvia Kipp</cp:lastModifiedBy>
  <cp:lastPrinted>2012-07-27T19:40:40Z</cp:lastPrinted>
  <dcterms:created xsi:type="dcterms:W3CDTF">2012-07-26T16:17:33Z</dcterms:created>
  <dcterms:modified xsi:type="dcterms:W3CDTF">2012-07-27T19:43:20Z</dcterms:modified>
</cp:coreProperties>
</file>