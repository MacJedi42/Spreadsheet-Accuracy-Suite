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5480" windowHeight="9120" activeTab="2"/>
  </bookViews>
  <sheets>
    <sheet name="LELANG APBN &amp; APBD" sheetId="1" r:id="rId1"/>
    <sheet name="PENGADAAN LANGSUNG APBN" sheetId="2" r:id="rId2"/>
    <sheet name="PENGADAAN LANGSUNG APBD" sheetId="3" r:id="rId3"/>
    <sheet name="Pengadaan Barang Jasa APBD" sheetId="4" r:id="rId4"/>
    <sheet name="Pengadaan Barang Jasa APBN" sheetId="5" r:id="rId5"/>
  </sheets>
  <definedNames>
    <definedName name="_xlnm.Print_Titles" localSheetId="0">'LELANG APBN &amp; APBD'!$11:$15</definedName>
    <definedName name="_xlnm.Print_Titles" localSheetId="2">'PENGADAAN LANGSUNG APBD'!$11:$15</definedName>
    <definedName name="_xlnm.Print_Titles" localSheetId="1">'PENGADAAN LANGSUNG APBN'!$11:$15</definedName>
  </definedNames>
  <calcPr calcId="124519"/>
</workbook>
</file>

<file path=xl/calcChain.xml><?xml version="1.0" encoding="utf-8"?>
<calcChain xmlns="http://schemas.openxmlformats.org/spreadsheetml/2006/main">
  <c r="I15" i="5"/>
  <c r="I14"/>
  <c r="I13"/>
  <c r="I35"/>
  <c r="I60"/>
  <c r="I61"/>
  <c r="I58"/>
  <c r="I48"/>
  <c r="I43"/>
  <c r="I57"/>
  <c r="I56"/>
  <c r="I55"/>
  <c r="I34"/>
  <c r="I26"/>
  <c r="I22"/>
  <c r="I23"/>
  <c r="I20"/>
  <c r="I21"/>
  <c r="I43" i="4"/>
  <c r="I18"/>
  <c r="I16"/>
  <c r="I13"/>
  <c r="Y51" i="3"/>
  <c r="I44" i="4"/>
  <c r="I54" i="5"/>
  <c r="I52"/>
  <c r="I51"/>
  <c r="I50"/>
  <c r="I49"/>
  <c r="I47"/>
  <c r="I46"/>
  <c r="I45"/>
  <c r="I44"/>
  <c r="I42"/>
  <c r="I41"/>
  <c r="I40"/>
  <c r="I39"/>
  <c r="I38"/>
  <c r="I37"/>
  <c r="I36"/>
  <c r="I33"/>
  <c r="I32"/>
  <c r="I31"/>
  <c r="I30"/>
  <c r="I29"/>
  <c r="I28"/>
  <c r="I27"/>
  <c r="I25"/>
  <c r="I24"/>
  <c r="I19"/>
  <c r="I18"/>
  <c r="I17"/>
  <c r="I14" i="4"/>
  <c r="I19"/>
  <c r="I20"/>
  <c r="I21"/>
  <c r="I22"/>
  <c r="I23"/>
  <c r="I24"/>
  <c r="I26"/>
  <c r="I27"/>
  <c r="I28"/>
  <c r="I29"/>
  <c r="I30"/>
  <c r="I31"/>
  <c r="I32"/>
  <c r="I33"/>
  <c r="I34"/>
  <c r="I35"/>
  <c r="I36"/>
  <c r="I37"/>
  <c r="I38"/>
  <c r="I39"/>
  <c r="I40"/>
  <c r="I42"/>
  <c r="I45" l="1"/>
  <c r="I62" i="5"/>
</calcChain>
</file>

<file path=xl/sharedStrings.xml><?xml version="1.0" encoding="utf-8"?>
<sst xmlns="http://schemas.openxmlformats.org/spreadsheetml/2006/main" count="1153" uniqueCount="346">
  <si>
    <t>NO</t>
  </si>
  <si>
    <t>KODE</t>
  </si>
  <si>
    <t>NAMA</t>
  </si>
  <si>
    <t>NAMA PAKET PENGADAAN</t>
  </si>
  <si>
    <t>KEGIATAN</t>
  </si>
  <si>
    <t>JENIS BELANJA</t>
  </si>
  <si>
    <t>JENIS PENGADAAN</t>
  </si>
  <si>
    <t>PENUNJUKAN LANGSUNG / PENGADAAN LANGSUNG</t>
  </si>
  <si>
    <t>PEMBELIAN SECARA ELEKTRONIK</t>
  </si>
  <si>
    <t>VOLUME</t>
  </si>
  <si>
    <t>LOKASI PEKERJAAN</t>
  </si>
  <si>
    <t>SUMBER DANA (APBN/APBD/PHLN)</t>
  </si>
  <si>
    <t>AWAL (TANGGAL)</t>
  </si>
  <si>
    <t>SELESAI (TANGGAL)</t>
  </si>
  <si>
    <t>SATUAN KERJA</t>
  </si>
  <si>
    <t>PERKIRAAN BIAYA (Rp)</t>
  </si>
  <si>
    <t>PELAKSANAAN PEMILIHAN PENYEDIA</t>
  </si>
  <si>
    <t>PELAKSANAAN PEKERJAAN</t>
  </si>
  <si>
    <t>DKP Prov. SULUT</t>
  </si>
  <si>
    <t>Belanja Barang Fisik</t>
  </si>
  <si>
    <t>Konstruksi</t>
  </si>
  <si>
    <t>Pembangunan Kapal Perikanan &gt; 30 GT di Kab. Bolmut</t>
  </si>
  <si>
    <t>LELEANG/SELEKSI (Rp)</t>
  </si>
  <si>
    <t>1 Unit</t>
  </si>
  <si>
    <t>Kab. Bolaang Mongondow</t>
  </si>
  <si>
    <t>APBN</t>
  </si>
  <si>
    <t>4 Unit</t>
  </si>
  <si>
    <t>Pembangunan Kapal Perikanan &gt; 30 GT di Kab. Bolmong</t>
  </si>
  <si>
    <t>Kab. Bolaang Mongondow Utara</t>
  </si>
  <si>
    <t>Pembangunan Kapal Perikanan &gt; 30 GT di Kab. Boltim</t>
  </si>
  <si>
    <t>Kab. Bolaang Mongondow Timur</t>
  </si>
  <si>
    <t>Pembangunan Kapal Perikanan &gt; 30 GT di Kota Manado</t>
  </si>
  <si>
    <t>Kota Manado</t>
  </si>
  <si>
    <t>Pembangunan Kapal Perikanan &gt; 30 GT di Kab. Minahasa</t>
  </si>
  <si>
    <t>Kab. Minahasa</t>
  </si>
  <si>
    <t>Pembangunan Kapal Perikanan &gt; 30 GT di Kab. Minsel</t>
  </si>
  <si>
    <t>Kab. Minahasa Selatan</t>
  </si>
  <si>
    <t>Pembangunan Kapal Perikanan &gt; 30 GT di Kab. Mitra</t>
  </si>
  <si>
    <t>Kab. Minahasa Tenggara</t>
  </si>
  <si>
    <t>032.03.06.2337.036.011.52</t>
  </si>
  <si>
    <t>Laminasi Kapal &gt; 30 GT</t>
  </si>
  <si>
    <t>Laminasi Kapal &lt; 30 GT</t>
  </si>
  <si>
    <t>Palkanisasi Kapal</t>
  </si>
  <si>
    <t>10 Unit</t>
  </si>
  <si>
    <t>25 Unit</t>
  </si>
  <si>
    <t>24 Paket</t>
  </si>
  <si>
    <t>032.03.06.2337.045.011.52</t>
  </si>
  <si>
    <t>Pengadaan Sarana Penangan Ikan diatas Kapal (Cool Box dan Keranjang Ikan)</t>
  </si>
  <si>
    <t>36 Paket &amp; 65 Paket)</t>
  </si>
  <si>
    <t>Barang</t>
  </si>
  <si>
    <t>Belanja Barang Non Operasional Lainnya</t>
  </si>
  <si>
    <t>Pembangunan Kapal Perikanan &gt; 30 GT Untuk Nelayan</t>
  </si>
  <si>
    <t>Laminasi Kapal dan Pengadaan Sarana Penanganan Ikan diatas Kapal</t>
  </si>
  <si>
    <t>Se Prov. SULUT</t>
  </si>
  <si>
    <t>032.03.06.2341.042.011.52</t>
  </si>
  <si>
    <t>Pembangunan Rumah Ikan</t>
  </si>
  <si>
    <t xml:space="preserve">Pemulihan Sumberdaya Ikan </t>
  </si>
  <si>
    <t>Fasilitasi Pengembangan Industri Pengolahan Hasil</t>
  </si>
  <si>
    <t>Pembangunan Miniplant</t>
  </si>
  <si>
    <t>032.06.2358.014.011.C.52</t>
  </si>
  <si>
    <t>032.06.2358.014.011.D.52</t>
  </si>
  <si>
    <t>Pembangunan Pabrik Es</t>
  </si>
  <si>
    <t>Belanja Gedung dan Bangunan untuk diserahkan kepada masyrakat/Pemda</t>
  </si>
  <si>
    <t>1 Paket</t>
  </si>
  <si>
    <t>2.05.2.05.01.21.07.5.2.3.05.04</t>
  </si>
  <si>
    <t>Pengembangan Sarana Perikanan Tangkap</t>
  </si>
  <si>
    <t>Belanja Modal</t>
  </si>
  <si>
    <t>Pengadaan Kapal dan Alat Tangkap Purse Seine &gt; 30 GT di Kab. Minut</t>
  </si>
  <si>
    <t>Pengadaan Kapal dan Alat Tangkap Purse Seine &gt; 30 GT di Kab. Kep. Sangihe</t>
  </si>
  <si>
    <t>Pengadaan Kapal dan Alat Tangkap Purse Seine &gt; 30 GT di Kab. Kep. Sitaro</t>
  </si>
  <si>
    <t>Pengadaan Kapal dan Alat Tangkap Purse Seine &gt; 30 GT di Kab. Kep. Talaud</t>
  </si>
  <si>
    <t>Kabupaten Minahasa Utara</t>
  </si>
  <si>
    <t>Kabupaten Kepulauan Sangihe</t>
  </si>
  <si>
    <t>Kabupaten Kepulauan Sitaro</t>
  </si>
  <si>
    <t>Kabupaten Kepulauan Talaud</t>
  </si>
  <si>
    <t>APBD</t>
  </si>
  <si>
    <t>2.05.2.05.01.21.09.5.2.2.23.01</t>
  </si>
  <si>
    <t>Pengadaan Motor Katinting`</t>
  </si>
  <si>
    <t>184 Unit</t>
  </si>
  <si>
    <t>Pengadaan Cool Box</t>
  </si>
  <si>
    <t>Pengembangan Usaha Perikanan Tangkap Skala Kecil</t>
  </si>
  <si>
    <t>Penerapan Sistem Rantai Dingin untuk Penangan Hasil Tangkapan dari ditangkap sampai Konsumen/Industri Pengolahan</t>
  </si>
  <si>
    <t>2.05.2.05.01.21.11.5.2.2.23.01</t>
  </si>
  <si>
    <t>Belanja Barang dan Jasa</t>
  </si>
  <si>
    <t>Pengadaan Media Regensia</t>
  </si>
  <si>
    <t>190 Unit</t>
  </si>
  <si>
    <t>PENGUMUMAN</t>
  </si>
  <si>
    <t>Nomor</t>
  </si>
  <si>
    <t>Tanggal</t>
  </si>
  <si>
    <t>http://www.dkpsulut.wordpress.com, E-Mail : dkpsulut@ymail.com ; sulutdkp@gmail.com</t>
  </si>
  <si>
    <t>KOMPLEKS PERKANTORAN PERTANIAN KALASEY TELEPON 838639, FAX 838640</t>
  </si>
  <si>
    <t>: 523/DKP/P3HP/112/2013</t>
  </si>
  <si>
    <t>:  21 Januari 2013</t>
  </si>
  <si>
    <t>Mengumumkan Rencana Umum Pengadaan Barang/Jasa Untuk Pelaksanaan Kegiatan Tahun Anggaran 2013, Seperti Tersebut dibawah ini :</t>
  </si>
  <si>
    <t>Ir. RONALD T. H. SORONGAN, M.Si</t>
  </si>
  <si>
    <t>PEMBINA TINGKAT I</t>
  </si>
  <si>
    <t>NIP. 19650722 199203 1 006</t>
  </si>
  <si>
    <t>PENGGUNA ANGGARAN DINAS KELAUTAN DAN PERIKANAN PROVINSI SULAWESI UTARA</t>
  </si>
  <si>
    <t>RENCANA UMUM PENGADAAN BARANG/JASA PEMERINTAH PADA DINAS KELAUTAN DAN PERIKANAN PROVINSI SULAWESI UTARA</t>
  </si>
  <si>
    <t>SUMBER DANA (APBN/ APBD/ PHLN)</t>
  </si>
  <si>
    <t>032.01.01.2325.996.011.52</t>
  </si>
  <si>
    <t>Notebook</t>
  </si>
  <si>
    <t>Perangkat Pengolah Data dan Komunikasi</t>
  </si>
  <si>
    <t>Belanja Barang Penunjang Kegiatan Dekonsentrasi untuk diserahkan kepada Pemda</t>
  </si>
  <si>
    <t>032.01.01.2325.997.011.52</t>
  </si>
  <si>
    <t>Lemari Arsip</t>
  </si>
  <si>
    <t>Perlatan Fasilitas Perkantoran</t>
  </si>
  <si>
    <t>2 Unit</t>
  </si>
  <si>
    <t>032.01.01.2325.997.012.52</t>
  </si>
  <si>
    <t>Kamera Underwater</t>
  </si>
  <si>
    <t>Pengadaan Kamera</t>
  </si>
  <si>
    <t>Laminasi Kapal dan Pengadaan Sarana Penangan Ikan dalam rangka industrialisasi KP</t>
  </si>
  <si>
    <t>Pekerjaan Pengawasan</t>
  </si>
  <si>
    <t>Konsultan</t>
  </si>
  <si>
    <t>Se Sulut</t>
  </si>
  <si>
    <t>032.03.06.2340.026.001.011.52</t>
  </si>
  <si>
    <t>Palstic Card Printer (3 bh printer dan 15 bh tinta printer)</t>
  </si>
  <si>
    <t>Belanja Jasa Konsultan</t>
  </si>
  <si>
    <t>Kartu Nelayan</t>
  </si>
  <si>
    <t>3 Buah</t>
  </si>
  <si>
    <t>032.04.07.2343.001.012.52</t>
  </si>
  <si>
    <t>Pengadaan Calon Induk Nila GPS</t>
  </si>
  <si>
    <t>Produksi Induk Unggul</t>
  </si>
  <si>
    <t>2 Paket</t>
  </si>
  <si>
    <t>Se-Sulut</t>
  </si>
  <si>
    <t>Pengadaan Calon Induk Ikan Lele</t>
  </si>
  <si>
    <t>Pengadaan Calon Induk Ikan Patin</t>
  </si>
  <si>
    <t>Pengadaan Calon Induk Ikan Mas</t>
  </si>
  <si>
    <t>032.04.07.2344.002.011.52</t>
  </si>
  <si>
    <t>Pengadaan Kendaraan Fungsional Pengangkutan Benih</t>
  </si>
  <si>
    <t>Jumlah Benih dengan Mutu Terjamin</t>
  </si>
  <si>
    <t>235.000.000</t>
  </si>
  <si>
    <t>032.04.07.2344.003.011.A.52</t>
  </si>
  <si>
    <t>Model Penerapan Teknologi Anjuran Komoditas Rumput Laut</t>
  </si>
  <si>
    <t>Jumlah Produksi Bibit Rumput Laut</t>
  </si>
  <si>
    <t>Kab. Minut</t>
  </si>
  <si>
    <t>032.04.07.2344.003.011.B.52</t>
  </si>
  <si>
    <t>Kab. Mitra</t>
  </si>
  <si>
    <t>Jumlah Pembudidaya Yang Menerapkan Teknologi Anjuran Perikanan Budidaya</t>
  </si>
  <si>
    <t>032.04.07.2346.002.014.A.52</t>
  </si>
  <si>
    <t>Pengadaan Paket Ikan Hias</t>
  </si>
  <si>
    <t>Pengadaan Paket Minapadi</t>
  </si>
  <si>
    <t>Pengadaan Paket Budidaya Ikan Patin</t>
  </si>
  <si>
    <t>Pengadaan Paket Ikan Nila</t>
  </si>
  <si>
    <t>Pengadaan Paket Ikan Mas</t>
  </si>
  <si>
    <t>Pengadaan Paket Ikan Lele</t>
  </si>
  <si>
    <t>Pengadaan Paket Ikan Sidat</t>
  </si>
  <si>
    <t>6 Paket</t>
  </si>
  <si>
    <t>5 Paket</t>
  </si>
  <si>
    <t>032.04.07.2346.002.014.B.52</t>
  </si>
  <si>
    <t>Pengadaan Pakeet Budidaya Udang/Bandeng (Payau)</t>
  </si>
  <si>
    <t>032.04.07.2346.002.014.C.52</t>
  </si>
  <si>
    <t>Pengadaan Paket Budidaya KJA Kerapu</t>
  </si>
  <si>
    <t>Pengadaan Paket Budidaya KJA Kuwe</t>
  </si>
  <si>
    <t>032.05.10.2354.002.011.52</t>
  </si>
  <si>
    <t>Peningkatan Operasional Pemantauan SDKP dan Pengembangan Infrastruktur Pengawasan</t>
  </si>
  <si>
    <t>Pengadaan Peralatan test kit, formalin, boraks, rhodamin B</t>
  </si>
  <si>
    <t>Kamera SLR</t>
  </si>
  <si>
    <t>032.05.10.2354.004.011.52</t>
  </si>
  <si>
    <t>Pengadaan Peta Wilayah Pencemaran Laut</t>
  </si>
  <si>
    <t>3 Unit</t>
  </si>
  <si>
    <t>032.06.08.2356.013.011.52</t>
  </si>
  <si>
    <t>Pengadaan Sarana Pemasaran</t>
  </si>
  <si>
    <t>Fasilitasi Penguatan dan Pengembangan Pemasaran Dalam Negeri Hasil Perikanan</t>
  </si>
  <si>
    <t>032.06.08.2358.022.011.52</t>
  </si>
  <si>
    <t>Media Regensia Untuk Kualitas Air dan Daya Simpan Produk</t>
  </si>
  <si>
    <t>Belanja Bahan</t>
  </si>
  <si>
    <t>Media Regensia Untuk Pengujian Proxomat</t>
  </si>
  <si>
    <t>032.07.09.2364.001.012.C.52</t>
  </si>
  <si>
    <t>Pengadaan Citra Satelit Resolusi Tinggi</t>
  </si>
  <si>
    <t>Pengelolaan dan Pengembangan Konsevasi Yang dirancang, diidentifikasi, dilindungi, dilestarikan dan dimanfaatkan secara berkelanjutan</t>
  </si>
  <si>
    <t>Laptop</t>
  </si>
  <si>
    <t>Program Pengembangan Karantina Ikan, Pengendalian Mutu dan Keamanan Hasil Perikanan</t>
  </si>
  <si>
    <t>Bahan Sampel</t>
  </si>
  <si>
    <t>2.05.2.05.01.03.02.5.2.2.12.02</t>
  </si>
  <si>
    <t>Pakaian Sipil Harian/Pakaian Sipil Resmi</t>
  </si>
  <si>
    <t>11 Stel</t>
  </si>
  <si>
    <t>2.05.2.05.01.03.02.5.2.2.12.04</t>
  </si>
  <si>
    <t>Pengadaan Pakaian Dinas Harian (PDH)</t>
  </si>
  <si>
    <t>2.05.2.05.01.15.03.5.2.2.02.02</t>
  </si>
  <si>
    <t>Paket Bantuan Budidaya Rumput Laut</t>
  </si>
  <si>
    <t>Belanja Bahan/Material</t>
  </si>
  <si>
    <t>137 Stel</t>
  </si>
  <si>
    <t>2.05.2.05.01.15.04.5.2.2.02.02</t>
  </si>
  <si>
    <t>Sosialisasi Suaka/Jenis Ikan yang dilindungi di kawasan Konservasi</t>
  </si>
  <si>
    <t>Pengadaan dan Peneanaman Bibit Mangrove/Ketapang</t>
  </si>
  <si>
    <t>Restorasi Terumbu Karang</t>
  </si>
  <si>
    <t>Belanja Bahan/bibit tanaman</t>
  </si>
  <si>
    <t>2.05.2.05.01.15.05.5.2.2.02.09</t>
  </si>
  <si>
    <t>Pemberdayaan Perempuan Pesisir</t>
  </si>
  <si>
    <t>Paket Bantuan Pengolahan Hasil Perikanan</t>
  </si>
  <si>
    <t>2.05.2.05.01.15.07.5.2.2.02.09</t>
  </si>
  <si>
    <t>Gerakan Bersih Pantai dan Laut</t>
  </si>
  <si>
    <t>Peralatan Bersih pantai</t>
  </si>
  <si>
    <t>1 Dihitung</t>
  </si>
  <si>
    <t>2.05.2.05.01.16.10.5.2.2.02.04</t>
  </si>
  <si>
    <t>Pengawasan Bahan Aditif pada ikan dan Produk Perikanan</t>
  </si>
  <si>
    <t>Pengadaan Formalin Test Kit, Boraks, Rodamin B</t>
  </si>
  <si>
    <t xml:space="preserve">1 Paket </t>
  </si>
  <si>
    <t>2.05.2.05.01.20.04.5.2.2.02.03</t>
  </si>
  <si>
    <t>Restocking (Minahasa, Boltim, Minsel)</t>
  </si>
  <si>
    <t>Pengembangan Intensifikasi Budidaya Ikan (INBUDKAN)</t>
  </si>
  <si>
    <t>4 Paket</t>
  </si>
  <si>
    <t>Pakan Ikan</t>
  </si>
  <si>
    <t>Belanja Bahan Obat-Obatan</t>
  </si>
  <si>
    <t>2.05.2.05.01.20.04.5.2.2.23.01</t>
  </si>
  <si>
    <t>Paket Percontohan Budidaya Rumput Laut</t>
  </si>
  <si>
    <t>Belanja Barang yang akan diserhkan pada pihak ketiga</t>
  </si>
  <si>
    <t>8 Paket</t>
  </si>
  <si>
    <t>Paket Percontohan Lobster Air Tawar</t>
  </si>
  <si>
    <t>Paket Percontohan Budidaya Ikan Bandeng</t>
  </si>
  <si>
    <t>Paket Percontohan  Budidaya Ikan Kuwe</t>
  </si>
  <si>
    <t>Paket Percontohan Budidaya Ikan Kerapu</t>
  </si>
  <si>
    <t>Paket Percontohan Budidaya Udang Vaname</t>
  </si>
  <si>
    <t>Paket Percontohan Budidaya Udang Windu</t>
  </si>
  <si>
    <t>Paket Percontohan Minapadi</t>
  </si>
  <si>
    <t>Paket Percontohan Budidaya Ikan Mas</t>
  </si>
  <si>
    <t>Paket Percontohan Budidaya Ikan Nila</t>
  </si>
  <si>
    <t>Paket Percontohan Budidaya Ikan Patin</t>
  </si>
  <si>
    <t>Paket Percontohan Budidaya Ikan Lele</t>
  </si>
  <si>
    <t xml:space="preserve"> KEPALA DINAS,</t>
  </si>
  <si>
    <t>2.05.2.05.01.22.01.22.01.5.2.2.21.01</t>
  </si>
  <si>
    <t>Belanja Jasa Konsultasi</t>
  </si>
  <si>
    <t>1 dihitung</t>
  </si>
  <si>
    <t>KEPALA DINAS</t>
  </si>
  <si>
    <t>PENGADAAN BARANG DAN JASA (APBD) DINAS KELAUTAN DAN PERIKANAN</t>
  </si>
  <si>
    <t>PROVINSI SULUT TAHUN 2013</t>
  </si>
  <si>
    <t>SKPD</t>
  </si>
  <si>
    <t>ALAMAT</t>
  </si>
  <si>
    <t>:</t>
  </si>
  <si>
    <t>URAIAN</t>
  </si>
  <si>
    <t>SATUAN</t>
  </si>
  <si>
    <t>JUMLAH BIAYA</t>
  </si>
  <si>
    <t>SUMBER DANA</t>
  </si>
  <si>
    <t>LOKASI</t>
  </si>
  <si>
    <t>METODE PENGADAAN</t>
  </si>
  <si>
    <t>KET</t>
  </si>
  <si>
    <t>PL</t>
  </si>
  <si>
    <t>PEMILIHAN</t>
  </si>
  <si>
    <t>LELANG</t>
  </si>
  <si>
    <t>SEKRETARIAT</t>
  </si>
  <si>
    <t>Pakaian Dinas Harian</t>
  </si>
  <si>
    <t>KP3K</t>
  </si>
  <si>
    <t>BUDIDAYA</t>
  </si>
  <si>
    <t>Paket Percontohan Budidaya Ikan Kuwe</t>
  </si>
  <si>
    <t>Paket Percontohan Budidaya Ikan Kerapuh</t>
  </si>
  <si>
    <t>Paket Percontohan BudidayaUdang Windu</t>
  </si>
  <si>
    <t>PERIKANAN TANGKAP</t>
  </si>
  <si>
    <t>Pengadaan Motor Katinting</t>
  </si>
  <si>
    <t>Cool Box</t>
  </si>
  <si>
    <t>P2HP</t>
  </si>
  <si>
    <t>Restocking</t>
  </si>
  <si>
    <t>Unit</t>
  </si>
  <si>
    <t>Stel</t>
  </si>
  <si>
    <t>Pkt</t>
  </si>
  <si>
    <t>unit</t>
  </si>
  <si>
    <t>pkt</t>
  </si>
  <si>
    <t>DINAS KELAUTAN DAN PERIKANAN PROVINSI SULAWESI UTARA</t>
  </si>
  <si>
    <t>Kompleks Perkantoran Kalasey</t>
  </si>
  <si>
    <t>KEPALA DINAS,</t>
  </si>
  <si>
    <t>NIP. 19650722 199203 1 008</t>
  </si>
  <si>
    <t>Konsultan Manajemen Konstruksi</t>
  </si>
  <si>
    <t>Pembangunan Kapal Perikanan &gt; 30 GT</t>
  </si>
  <si>
    <t>Laminasi Kapal</t>
  </si>
  <si>
    <t>Plastic Card Printer</t>
  </si>
  <si>
    <t>Paket Stimulan Peralatan Produksi Pengembangan Defersifikasi Usaha Bagi KUB Nelayan Wanita/Nelayan</t>
  </si>
  <si>
    <t>Pengadaan Rumah Ikan</t>
  </si>
  <si>
    <t>PERIKANAN BUDIDAYA</t>
  </si>
  <si>
    <t>Penyediaan Peralatan Uji Keskanling di Lab Penyakit</t>
  </si>
  <si>
    <t>Pengadaan Calon Induk  Ikan Mas</t>
  </si>
  <si>
    <t>Paket Pengadaan Ikan Hias</t>
  </si>
  <si>
    <t>Pengadaan Paket Budidaya KJA Kerapuh</t>
  </si>
  <si>
    <t>Media Regensia untuk Pengujian Proximat</t>
  </si>
  <si>
    <t>Sarana Non Konsumsi</t>
  </si>
  <si>
    <t>Miniplant</t>
  </si>
  <si>
    <t>Pabrik Es</t>
  </si>
  <si>
    <t>Identifikasi dan Penilaian Potensi CKKP di Kab. Minahasa - Sulawesi Utara</t>
  </si>
  <si>
    <t>buah</t>
  </si>
  <si>
    <t>Kajian Sistem Penyuluhan Perikanan</t>
  </si>
  <si>
    <t>Buku Kajian Pendangkalan di PP Tumumpa</t>
  </si>
  <si>
    <t>2.05.2.05.01.21.09.5.2.2.21.01</t>
  </si>
  <si>
    <t>FS DD PPP Tumumpa</t>
  </si>
  <si>
    <t>Belanja Jasa Konsultansi</t>
  </si>
  <si>
    <t>Konsultan Manajemen konstruksi</t>
  </si>
  <si>
    <t>Pembangunan Kapal Perikanan &gt; 30 GT untuk Nelayan</t>
  </si>
  <si>
    <t>032.03.06.2340.028.001.012.52</t>
  </si>
  <si>
    <t>Paket Stimulan Peralatan Produksi Pengembangan Diversifikasi Usaha Bagi KUB Nelayan/Wanita Nelayan</t>
  </si>
  <si>
    <t>Pengembangan Diversifikasi Usaha Nelayan</t>
  </si>
  <si>
    <t>Belanja Peralatan dan Mesin untuk diserahkan kepada masyarakat/pemda</t>
  </si>
  <si>
    <t>3 paket</t>
  </si>
  <si>
    <t>032.07.09.2362.004.012.52</t>
  </si>
  <si>
    <t>Identifikasi dan Penilaian potensi CKKP di Kab. Minahasa - Sulawesi Utara</t>
  </si>
  <si>
    <t>stel</t>
  </si>
  <si>
    <t>Pakaian Sipil Harian/pakaian sipil resmi</t>
  </si>
  <si>
    <t>Pengadaan dan Penanaman Bibit Mangrove</t>
  </si>
  <si>
    <t>Peralatan Bersih Pantai</t>
  </si>
  <si>
    <t>Pengadaan Kapal dan Alat Tangkap Pursein &gt; 30 GT</t>
  </si>
  <si>
    <t>ü</t>
  </si>
  <si>
    <t>032.04.07.2343.003.011.52</t>
  </si>
  <si>
    <t>Pengembangan Kapasitas Laboratorium Kesehatan Ikan dan Lingkungan</t>
  </si>
  <si>
    <t>Penyediaan Peralatan Uji Keskanling  di lab penyakit</t>
  </si>
  <si>
    <t>Keranjang Ikan</t>
  </si>
  <si>
    <t>Laminasi Kapal dan Pengadaan Sarana Penanganan Ikan dalam rangka Industrialisasi KP</t>
  </si>
  <si>
    <t>Pengadaan Paket Budidaya Udang/Bandeng</t>
  </si>
  <si>
    <t>Media Regensia untuk Kualitas Air dan Daya simpan Produk</t>
  </si>
  <si>
    <t>032.13.11.3990.007.012.52</t>
  </si>
  <si>
    <t>032.13.11.3989.007.012.52</t>
  </si>
  <si>
    <t>Surveilen UPI oleh LPPMHP dalam rangka Penerbitan HC</t>
  </si>
  <si>
    <t>Program Dukungan Manajemen dan Pelaksanaan Tugas Teknis Lainnya KKP</t>
  </si>
  <si>
    <t>2.05.2.05.01.02.07.5.2.3.11.02</t>
  </si>
  <si>
    <t>Pengadaan Perlengkapan Gedung Kantor</t>
  </si>
  <si>
    <t>10 unit</t>
  </si>
  <si>
    <t>AC Standing</t>
  </si>
  <si>
    <t>2.05.2.05.01.02.07.5.2.3.11.07</t>
  </si>
  <si>
    <t>2.05.2.05.01.02.07.5.2.3.08.05</t>
  </si>
  <si>
    <t>Genset Portable</t>
  </si>
  <si>
    <t>1 unit</t>
  </si>
  <si>
    <t>4 unit</t>
  </si>
  <si>
    <t>5 unit</t>
  </si>
  <si>
    <t>Televisi</t>
  </si>
  <si>
    <t>2.05.2.05.01.02.07.5.2.3.17.08</t>
  </si>
  <si>
    <t>2 unit</t>
  </si>
  <si>
    <t>2.05.2.05.01.02.09.5.2.3.10.01</t>
  </si>
  <si>
    <t>Mesin Tik</t>
  </si>
  <si>
    <t>Pengadaan Peralatan Gedung Kantor</t>
  </si>
  <si>
    <t xml:space="preserve">AC </t>
  </si>
  <si>
    <t>Komputer/PC</t>
  </si>
  <si>
    <t>2.05.2.05.01.02.09.5.2.3.12.02</t>
  </si>
  <si>
    <t>2.05.2.05.01.02.09.5.2.3.12.03</t>
  </si>
  <si>
    <t>2.05.2.05.01.02.09.5.2.3.12.04</t>
  </si>
  <si>
    <t>Printer</t>
  </si>
  <si>
    <t>3 unit</t>
  </si>
  <si>
    <t>2.05.2.05.01.02.09.5.2.3.16.01</t>
  </si>
  <si>
    <t>Kamera</t>
  </si>
  <si>
    <t>Mebeulair</t>
  </si>
  <si>
    <t>2.05.2.05.01.02.10.5.2.3.13.01</t>
  </si>
  <si>
    <t>Pengadaan Mebeulair</t>
  </si>
  <si>
    <t>26 unit</t>
  </si>
  <si>
    <t>2.05.2.05.01.02.22.5.2.2.02.01</t>
  </si>
  <si>
    <t>Pengecetan Gedung</t>
  </si>
  <si>
    <t xml:space="preserve">Pemeliharaan Rutin Berkala Gedung Kantor </t>
  </si>
  <si>
    <t xml:space="preserve">Bahan Material </t>
  </si>
  <si>
    <t>Peng.Pakaian Dinas Beserta Perlengkapan</t>
  </si>
  <si>
    <t>Pengem. Mata Pencaharian Alternatif</t>
  </si>
  <si>
    <t>: 523/DKP/ P3HP/112 /2013</t>
  </si>
  <si>
    <t>: 21 Januari 2013</t>
  </si>
</sst>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mm/dd/yy;@"/>
    <numFmt numFmtId="168" formatCode="dd/m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Wingdings"/>
      <charset val="2"/>
    </font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u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1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165" fontId="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5" fillId="0" borderId="1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165" fontId="10" fillId="0" borderId="1" xfId="1" applyNumberFormat="1" applyFont="1" applyBorder="1" applyAlignment="1">
      <alignment horizontal="right" vertical="center" wrapText="1"/>
    </xf>
    <xf numFmtId="165" fontId="10" fillId="0" borderId="1" xfId="1" applyNumberFormat="1" applyFont="1" applyBorder="1" applyAlignment="1">
      <alignment vertical="center" wrapText="1"/>
    </xf>
    <xf numFmtId="14" fontId="10" fillId="0" borderId="1" xfId="0" applyNumberFormat="1" applyFont="1" applyBorder="1" applyAlignment="1">
      <alignment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14" fontId="10" fillId="0" borderId="0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66" fontId="0" fillId="0" borderId="0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6" fontId="0" fillId="0" borderId="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166" fontId="0" fillId="0" borderId="16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10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165" fontId="10" fillId="0" borderId="1" xfId="1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5" fontId="10" fillId="0" borderId="0" xfId="1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165" fontId="5" fillId="0" borderId="0" xfId="1" applyNumberFormat="1" applyFont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1" applyNumberFormat="1" applyFont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165" fontId="5" fillId="0" borderId="19" xfId="1" applyNumberFormat="1" applyFont="1" applyBorder="1" applyAlignment="1">
      <alignment horizontal="righ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14" fontId="5" fillId="0" borderId="19" xfId="0" applyNumberFormat="1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165" fontId="5" fillId="0" borderId="3" xfId="1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4" fillId="0" borderId="23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 wrapText="1"/>
    </xf>
    <xf numFmtId="0" fontId="4" fillId="0" borderId="24" xfId="0" applyNumberFormat="1" applyFont="1" applyBorder="1" applyAlignment="1">
      <alignment horizontal="center" vertical="center"/>
    </xf>
    <xf numFmtId="165" fontId="4" fillId="0" borderId="24" xfId="1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165" fontId="5" fillId="0" borderId="19" xfId="1" applyNumberFormat="1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left" vertical="center" wrapText="1"/>
    </xf>
    <xf numFmtId="165" fontId="10" fillId="0" borderId="19" xfId="1" applyNumberFormat="1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167" fontId="10" fillId="0" borderId="19" xfId="0" applyNumberFormat="1" applyFont="1" applyBorder="1" applyAlignment="1">
      <alignment vertical="center" wrapText="1"/>
    </xf>
    <xf numFmtId="14" fontId="10" fillId="0" borderId="19" xfId="0" applyNumberFormat="1" applyFont="1" applyBorder="1" applyAlignment="1">
      <alignment vertical="center" wrapText="1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165" fontId="10" fillId="0" borderId="3" xfId="1" applyNumberFormat="1" applyFont="1" applyBorder="1" applyAlignment="1">
      <alignment horizontal="right" vertical="center" wrapText="1"/>
    </xf>
    <xf numFmtId="165" fontId="10" fillId="0" borderId="3" xfId="1" applyNumberFormat="1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167" fontId="10" fillId="0" borderId="3" xfId="0" applyNumberFormat="1" applyFont="1" applyBorder="1" applyAlignment="1">
      <alignment vertical="center" wrapText="1"/>
    </xf>
    <xf numFmtId="14" fontId="10" fillId="0" borderId="3" xfId="0" applyNumberFormat="1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0" borderId="23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 wrapText="1"/>
    </xf>
    <xf numFmtId="0" fontId="9" fillId="0" borderId="24" xfId="0" applyNumberFormat="1" applyFont="1" applyBorder="1" applyAlignment="1">
      <alignment horizontal="center" vertical="center"/>
    </xf>
    <xf numFmtId="165" fontId="9" fillId="0" borderId="24" xfId="1" applyNumberFormat="1" applyFont="1" applyBorder="1" applyAlignment="1">
      <alignment horizontal="center" vertical="center"/>
    </xf>
    <xf numFmtId="0" fontId="9" fillId="0" borderId="25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165" fontId="5" fillId="0" borderId="19" xfId="1" applyNumberFormat="1" applyFont="1" applyBorder="1" applyAlignment="1">
      <alignment vertical="center"/>
    </xf>
    <xf numFmtId="165" fontId="5" fillId="0" borderId="3" xfId="1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0" fillId="0" borderId="3" xfId="0" applyNumberFormat="1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6" fontId="7" fillId="0" borderId="16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8" fontId="5" fillId="0" borderId="3" xfId="0" applyNumberFormat="1" applyFont="1" applyBorder="1" applyAlignment="1">
      <alignment vertical="center" wrapText="1"/>
    </xf>
    <xf numFmtId="168" fontId="5" fillId="0" borderId="19" xfId="0" applyNumberFormat="1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165" fontId="9" fillId="0" borderId="2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4" fillId="0" borderId="35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5" fillId="0" borderId="27" xfId="0" applyNumberFormat="1" applyFont="1" applyBorder="1" applyAlignment="1">
      <alignment horizontal="center" vertical="center"/>
    </xf>
    <xf numFmtId="0" fontId="5" fillId="0" borderId="27" xfId="0" applyNumberFormat="1" applyFont="1" applyBorder="1" applyAlignment="1">
      <alignment horizontal="center" vertical="center" wrapText="1"/>
    </xf>
    <xf numFmtId="165" fontId="5" fillId="0" borderId="27" xfId="1" applyNumberFormat="1" applyFont="1" applyBorder="1" applyAlignment="1">
      <alignment horizontal="center" vertical="center"/>
    </xf>
    <xf numFmtId="14" fontId="5" fillId="0" borderId="27" xfId="0" applyNumberFormat="1" applyFont="1" applyBorder="1" applyAlignment="1">
      <alignment vertical="center" wrapText="1"/>
    </xf>
    <xf numFmtId="0" fontId="4" fillId="0" borderId="28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5" fontId="5" fillId="0" borderId="2" xfId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8" fontId="5" fillId="0" borderId="6" xfId="0" applyNumberFormat="1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68" fontId="5" fillId="0" borderId="1" xfId="0" applyNumberFormat="1" applyFont="1" applyBorder="1" applyAlignment="1">
      <alignment vertical="center" wrapText="1"/>
    </xf>
    <xf numFmtId="165" fontId="5" fillId="0" borderId="3" xfId="1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X47"/>
  <sheetViews>
    <sheetView view="pageLayout" workbookViewId="0">
      <selection activeCell="H17" sqref="H17"/>
    </sheetView>
  </sheetViews>
  <sheetFormatPr defaultRowHeight="15"/>
  <cols>
    <col min="1" max="1" width="1.28515625" customWidth="1"/>
    <col min="2" max="2" width="3.140625" style="4" customWidth="1"/>
    <col min="3" max="3" width="8" style="5" customWidth="1"/>
    <col min="4" max="4" width="5.5703125" style="1" customWidth="1"/>
    <col min="5" max="5" width="12.5703125" style="1" customWidth="1"/>
    <col min="6" max="6" width="13.28515625" style="3" customWidth="1"/>
    <col min="7" max="7" width="9.5703125" style="1" customWidth="1"/>
    <col min="8" max="8" width="10.140625" style="1" customWidth="1"/>
    <col min="9" max="9" width="13.5703125" style="2" customWidth="1"/>
    <col min="10" max="10" width="10.85546875" style="1" customWidth="1"/>
    <col min="11" max="11" width="7.140625" style="1" customWidth="1"/>
    <col min="12" max="12" width="7" style="4" customWidth="1"/>
    <col min="13" max="13" width="9.42578125" style="1" customWidth="1"/>
    <col min="14" max="14" width="8.5703125" style="4" customWidth="1"/>
    <col min="15" max="15" width="9.7109375" style="1" customWidth="1"/>
    <col min="16" max="17" width="9.42578125" style="1" customWidth="1"/>
    <col min="18" max="18" width="9.5703125" style="1" customWidth="1"/>
    <col min="19" max="19" width="3.85546875" style="1" customWidth="1"/>
    <col min="24" max="24" width="16.28515625" bestFit="1" customWidth="1"/>
  </cols>
  <sheetData>
    <row r="1" spans="2:24" ht="15.75">
      <c r="B1" s="185" t="s">
        <v>86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2:24" ht="15.75">
      <c r="B2" s="185" t="s">
        <v>98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2:24" ht="10.5" customHeight="1"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</row>
    <row r="4" spans="2:24">
      <c r="B4" s="6"/>
      <c r="C4" s="6"/>
      <c r="D4" s="6"/>
      <c r="E4" s="6"/>
      <c r="F4" s="6"/>
      <c r="G4" s="7"/>
      <c r="H4" s="8" t="s">
        <v>87</v>
      </c>
      <c r="I4" s="173" t="s">
        <v>344</v>
      </c>
      <c r="J4" s="6"/>
      <c r="K4" s="6"/>
      <c r="L4" s="6"/>
      <c r="M4" s="6"/>
      <c r="N4" s="6"/>
      <c r="O4" s="6"/>
      <c r="P4" s="6"/>
      <c r="Q4" s="6"/>
      <c r="R4" s="6"/>
      <c r="S4" s="6"/>
    </row>
    <row r="5" spans="2:24">
      <c r="B5" s="6"/>
      <c r="C5" s="6"/>
      <c r="D5" s="6"/>
      <c r="E5" s="6"/>
      <c r="F5" s="6"/>
      <c r="G5" s="7"/>
      <c r="H5" s="8" t="s">
        <v>88</v>
      </c>
      <c r="I5" s="173" t="s">
        <v>345</v>
      </c>
      <c r="J5" s="6"/>
      <c r="K5" s="6"/>
      <c r="L5" s="6"/>
      <c r="M5" s="6"/>
      <c r="N5" s="6"/>
      <c r="O5" s="6"/>
      <c r="P5" s="6"/>
      <c r="Q5" s="6"/>
      <c r="R5" s="6"/>
      <c r="S5" s="6"/>
    </row>
    <row r="6" spans="2:24" ht="15" customHeight="1">
      <c r="B6" s="176" t="s">
        <v>97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</row>
    <row r="7" spans="2:24" ht="15" customHeight="1">
      <c r="B7" s="176" t="s">
        <v>90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</row>
    <row r="8" spans="2:24" ht="15" customHeight="1">
      <c r="B8" s="176" t="s">
        <v>89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</row>
    <row r="9" spans="2:24" ht="15" customHeight="1">
      <c r="B9" s="176" t="s">
        <v>93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</row>
    <row r="10" spans="2:24" ht="15.75" thickBot="1">
      <c r="C10" s="4"/>
      <c r="D10" s="4"/>
      <c r="E10" s="4"/>
      <c r="F10" s="4"/>
      <c r="G10" s="4"/>
      <c r="H10" s="4"/>
      <c r="I10" s="4"/>
      <c r="J10" s="4"/>
      <c r="K10" s="4"/>
      <c r="M10" s="4"/>
      <c r="O10" s="4"/>
      <c r="P10" s="4"/>
      <c r="Q10" s="4"/>
      <c r="R10" s="4"/>
      <c r="S10" s="4"/>
    </row>
    <row r="11" spans="2:24" s="47" customFormat="1" ht="23.25" customHeight="1">
      <c r="B11" s="180" t="s">
        <v>0</v>
      </c>
      <c r="C11" s="177" t="s">
        <v>14</v>
      </c>
      <c r="D11" s="177"/>
      <c r="E11" s="177" t="s">
        <v>3</v>
      </c>
      <c r="F11" s="177" t="s">
        <v>4</v>
      </c>
      <c r="G11" s="177" t="s">
        <v>5</v>
      </c>
      <c r="H11" s="177" t="s">
        <v>6</v>
      </c>
      <c r="I11" s="177" t="s">
        <v>15</v>
      </c>
      <c r="J11" s="177"/>
      <c r="K11" s="177"/>
      <c r="L11" s="177" t="s">
        <v>9</v>
      </c>
      <c r="M11" s="177" t="s">
        <v>10</v>
      </c>
      <c r="N11" s="177" t="s">
        <v>11</v>
      </c>
      <c r="O11" s="177" t="s">
        <v>16</v>
      </c>
      <c r="P11" s="177"/>
      <c r="Q11" s="177" t="s">
        <v>17</v>
      </c>
      <c r="R11" s="177"/>
      <c r="S11" s="188" t="s">
        <v>236</v>
      </c>
      <c r="X11" s="85"/>
    </row>
    <row r="12" spans="2:24" s="47" customFormat="1">
      <c r="B12" s="181"/>
      <c r="C12" s="178" t="s">
        <v>1</v>
      </c>
      <c r="D12" s="178" t="s">
        <v>2</v>
      </c>
      <c r="E12" s="178"/>
      <c r="F12" s="178"/>
      <c r="G12" s="178"/>
      <c r="H12" s="178"/>
      <c r="I12" s="183" t="s">
        <v>22</v>
      </c>
      <c r="J12" s="178" t="s">
        <v>7</v>
      </c>
      <c r="K12" s="178" t="s">
        <v>8</v>
      </c>
      <c r="L12" s="178"/>
      <c r="M12" s="178"/>
      <c r="N12" s="178"/>
      <c r="O12" s="178" t="s">
        <v>12</v>
      </c>
      <c r="P12" s="178" t="s">
        <v>13</v>
      </c>
      <c r="Q12" s="178" t="s">
        <v>12</v>
      </c>
      <c r="R12" s="178" t="s">
        <v>13</v>
      </c>
      <c r="S12" s="189"/>
      <c r="X12" s="85"/>
    </row>
    <row r="13" spans="2:24" s="47" customFormat="1">
      <c r="B13" s="181"/>
      <c r="C13" s="178"/>
      <c r="D13" s="178"/>
      <c r="E13" s="178"/>
      <c r="F13" s="178"/>
      <c r="G13" s="178"/>
      <c r="H13" s="178"/>
      <c r="I13" s="183"/>
      <c r="J13" s="178"/>
      <c r="K13" s="178"/>
      <c r="L13" s="178"/>
      <c r="M13" s="178"/>
      <c r="N13" s="178"/>
      <c r="O13" s="178"/>
      <c r="P13" s="178"/>
      <c r="Q13" s="178"/>
      <c r="R13" s="178"/>
      <c r="S13" s="189"/>
    </row>
    <row r="14" spans="2:24" s="47" customFormat="1" ht="28.5" customHeight="1" thickBot="1">
      <c r="B14" s="182"/>
      <c r="C14" s="179"/>
      <c r="D14" s="179"/>
      <c r="E14" s="179"/>
      <c r="F14" s="179"/>
      <c r="G14" s="179"/>
      <c r="H14" s="179"/>
      <c r="I14" s="184"/>
      <c r="J14" s="179"/>
      <c r="K14" s="179"/>
      <c r="L14" s="179"/>
      <c r="M14" s="179"/>
      <c r="N14" s="179"/>
      <c r="O14" s="179"/>
      <c r="P14" s="179"/>
      <c r="Q14" s="179"/>
      <c r="R14" s="179"/>
      <c r="S14" s="190"/>
    </row>
    <row r="15" spans="2:24" s="47" customFormat="1" ht="16.5" thickTop="1" thickBot="1">
      <c r="B15" s="113">
        <v>1</v>
      </c>
      <c r="C15" s="114">
        <v>2</v>
      </c>
      <c r="D15" s="115">
        <v>3</v>
      </c>
      <c r="E15" s="115">
        <v>4</v>
      </c>
      <c r="F15" s="115">
        <v>5</v>
      </c>
      <c r="G15" s="115">
        <v>6</v>
      </c>
      <c r="H15" s="115">
        <v>7</v>
      </c>
      <c r="I15" s="116">
        <v>8</v>
      </c>
      <c r="J15" s="115">
        <v>9</v>
      </c>
      <c r="K15" s="115">
        <v>10</v>
      </c>
      <c r="L15" s="115">
        <v>11</v>
      </c>
      <c r="M15" s="115">
        <v>12</v>
      </c>
      <c r="N15" s="115">
        <v>13</v>
      </c>
      <c r="O15" s="115">
        <v>14</v>
      </c>
      <c r="P15" s="115">
        <v>15</v>
      </c>
      <c r="Q15" s="115">
        <v>16</v>
      </c>
      <c r="R15" s="115">
        <v>17</v>
      </c>
      <c r="S15" s="117">
        <v>18</v>
      </c>
    </row>
    <row r="16" spans="2:24" s="47" customFormat="1" ht="60.75" thickTop="1">
      <c r="B16" s="106">
        <v>1</v>
      </c>
      <c r="C16" s="107" t="s">
        <v>39</v>
      </c>
      <c r="D16" s="107" t="s">
        <v>18</v>
      </c>
      <c r="E16" s="107" t="s">
        <v>27</v>
      </c>
      <c r="F16" s="107" t="s">
        <v>51</v>
      </c>
      <c r="G16" s="107" t="s">
        <v>19</v>
      </c>
      <c r="H16" s="108" t="s">
        <v>20</v>
      </c>
      <c r="I16" s="109">
        <v>1486000000</v>
      </c>
      <c r="J16" s="107"/>
      <c r="K16" s="107"/>
      <c r="L16" s="110" t="s">
        <v>23</v>
      </c>
      <c r="M16" s="108" t="s">
        <v>24</v>
      </c>
      <c r="N16" s="110" t="s">
        <v>25</v>
      </c>
      <c r="O16" s="174">
        <v>41302</v>
      </c>
      <c r="P16" s="174">
        <v>41330</v>
      </c>
      <c r="Q16" s="174">
        <v>41333</v>
      </c>
      <c r="R16" s="174">
        <v>41545</v>
      </c>
      <c r="S16" s="112"/>
    </row>
    <row r="17" spans="2:19" s="47" customFormat="1" ht="60">
      <c r="B17" s="97">
        <v>2</v>
      </c>
      <c r="C17" s="11" t="s">
        <v>39</v>
      </c>
      <c r="D17" s="11" t="s">
        <v>18</v>
      </c>
      <c r="E17" s="11" t="s">
        <v>21</v>
      </c>
      <c r="F17" s="11" t="s">
        <v>51</v>
      </c>
      <c r="G17" s="11" t="s">
        <v>19</v>
      </c>
      <c r="H17" s="11" t="s">
        <v>20</v>
      </c>
      <c r="I17" s="12">
        <v>1486000000</v>
      </c>
      <c r="J17" s="11"/>
      <c r="K17" s="11"/>
      <c r="L17" s="10" t="s">
        <v>23</v>
      </c>
      <c r="M17" s="15" t="s">
        <v>28</v>
      </c>
      <c r="N17" s="10" t="s">
        <v>25</v>
      </c>
      <c r="O17" s="174">
        <v>41302</v>
      </c>
      <c r="P17" s="174">
        <v>41330</v>
      </c>
      <c r="Q17" s="174">
        <v>41333</v>
      </c>
      <c r="R17" s="174">
        <v>41545</v>
      </c>
      <c r="S17" s="98"/>
    </row>
    <row r="18" spans="2:19" s="47" customFormat="1" ht="60">
      <c r="B18" s="97">
        <v>3</v>
      </c>
      <c r="C18" s="11" t="s">
        <v>39</v>
      </c>
      <c r="D18" s="11" t="s">
        <v>18</v>
      </c>
      <c r="E18" s="11" t="s">
        <v>29</v>
      </c>
      <c r="F18" s="11" t="s">
        <v>51</v>
      </c>
      <c r="G18" s="11" t="s">
        <v>19</v>
      </c>
      <c r="H18" s="11" t="s">
        <v>20</v>
      </c>
      <c r="I18" s="12">
        <v>1486000000</v>
      </c>
      <c r="J18" s="11"/>
      <c r="K18" s="11"/>
      <c r="L18" s="10" t="s">
        <v>23</v>
      </c>
      <c r="M18" s="15" t="s">
        <v>30</v>
      </c>
      <c r="N18" s="10" t="s">
        <v>25</v>
      </c>
      <c r="O18" s="174">
        <v>41302</v>
      </c>
      <c r="P18" s="174">
        <v>41330</v>
      </c>
      <c r="Q18" s="174">
        <v>41333</v>
      </c>
      <c r="R18" s="174">
        <v>41545</v>
      </c>
      <c r="S18" s="98"/>
    </row>
    <row r="19" spans="2:19" s="47" customFormat="1" ht="60.75" thickBot="1">
      <c r="B19" s="99">
        <v>4</v>
      </c>
      <c r="C19" s="100" t="s">
        <v>39</v>
      </c>
      <c r="D19" s="100" t="s">
        <v>18</v>
      </c>
      <c r="E19" s="100" t="s">
        <v>31</v>
      </c>
      <c r="F19" s="100" t="s">
        <v>51</v>
      </c>
      <c r="G19" s="100" t="s">
        <v>19</v>
      </c>
      <c r="H19" s="100" t="s">
        <v>20</v>
      </c>
      <c r="I19" s="101">
        <v>1486000000</v>
      </c>
      <c r="J19" s="100"/>
      <c r="K19" s="100"/>
      <c r="L19" s="102" t="s">
        <v>23</v>
      </c>
      <c r="M19" s="103" t="s">
        <v>32</v>
      </c>
      <c r="N19" s="102" t="s">
        <v>25</v>
      </c>
      <c r="O19" s="175">
        <v>41302</v>
      </c>
      <c r="P19" s="175">
        <v>41330</v>
      </c>
      <c r="Q19" s="175">
        <v>41333</v>
      </c>
      <c r="R19" s="175">
        <v>41545</v>
      </c>
      <c r="S19" s="105"/>
    </row>
    <row r="20" spans="2:19" s="47" customFormat="1" ht="21.75" customHeight="1">
      <c r="B20" s="16"/>
      <c r="C20" s="17"/>
      <c r="D20" s="17"/>
      <c r="E20" s="17"/>
      <c r="F20" s="17"/>
      <c r="G20" s="17"/>
      <c r="H20" s="17"/>
      <c r="I20" s="22"/>
      <c r="J20" s="17"/>
      <c r="K20" s="17"/>
      <c r="L20" s="16"/>
      <c r="M20" s="17"/>
      <c r="N20" s="16"/>
      <c r="O20" s="19"/>
      <c r="P20" s="19"/>
      <c r="Q20" s="19"/>
      <c r="R20" s="19"/>
      <c r="S20" s="17"/>
    </row>
    <row r="21" spans="2:19" s="47" customFormat="1" ht="60">
      <c r="B21" s="106">
        <v>5</v>
      </c>
      <c r="C21" s="107" t="s">
        <v>39</v>
      </c>
      <c r="D21" s="107" t="s">
        <v>18</v>
      </c>
      <c r="E21" s="107" t="s">
        <v>33</v>
      </c>
      <c r="F21" s="107" t="s">
        <v>51</v>
      </c>
      <c r="G21" s="107" t="s">
        <v>19</v>
      </c>
      <c r="H21" s="107" t="s">
        <v>20</v>
      </c>
      <c r="I21" s="109">
        <v>1486000000</v>
      </c>
      <c r="J21" s="107"/>
      <c r="K21" s="107"/>
      <c r="L21" s="110" t="s">
        <v>23</v>
      </c>
      <c r="M21" s="108" t="s">
        <v>34</v>
      </c>
      <c r="N21" s="110" t="s">
        <v>25</v>
      </c>
      <c r="O21" s="174">
        <v>41302</v>
      </c>
      <c r="P21" s="174">
        <v>41330</v>
      </c>
      <c r="Q21" s="174">
        <v>41333</v>
      </c>
      <c r="R21" s="174">
        <v>41545</v>
      </c>
      <c r="S21" s="112"/>
    </row>
    <row r="22" spans="2:19" s="47" customFormat="1" ht="60">
      <c r="B22" s="97">
        <v>6</v>
      </c>
      <c r="C22" s="11" t="s">
        <v>39</v>
      </c>
      <c r="D22" s="11" t="s">
        <v>18</v>
      </c>
      <c r="E22" s="11" t="s">
        <v>35</v>
      </c>
      <c r="F22" s="11" t="s">
        <v>51</v>
      </c>
      <c r="G22" s="11" t="s">
        <v>19</v>
      </c>
      <c r="H22" s="11" t="s">
        <v>20</v>
      </c>
      <c r="I22" s="12">
        <v>1486000000</v>
      </c>
      <c r="J22" s="11"/>
      <c r="K22" s="11"/>
      <c r="L22" s="10" t="s">
        <v>23</v>
      </c>
      <c r="M22" s="15" t="s">
        <v>36</v>
      </c>
      <c r="N22" s="10" t="s">
        <v>25</v>
      </c>
      <c r="O22" s="174">
        <v>41302</v>
      </c>
      <c r="P22" s="174">
        <v>41330</v>
      </c>
      <c r="Q22" s="174">
        <v>41333</v>
      </c>
      <c r="R22" s="174">
        <v>41545</v>
      </c>
      <c r="S22" s="98"/>
    </row>
    <row r="23" spans="2:19" s="47" customFormat="1" ht="60">
      <c r="B23" s="97">
        <v>7</v>
      </c>
      <c r="C23" s="11" t="s">
        <v>39</v>
      </c>
      <c r="D23" s="11" t="s">
        <v>18</v>
      </c>
      <c r="E23" s="11" t="s">
        <v>37</v>
      </c>
      <c r="F23" s="11" t="s">
        <v>51</v>
      </c>
      <c r="G23" s="11" t="s">
        <v>19</v>
      </c>
      <c r="H23" s="11" t="s">
        <v>20</v>
      </c>
      <c r="I23" s="12">
        <v>1486000000</v>
      </c>
      <c r="J23" s="11"/>
      <c r="K23" s="11"/>
      <c r="L23" s="10" t="s">
        <v>23</v>
      </c>
      <c r="M23" s="15" t="s">
        <v>38</v>
      </c>
      <c r="N23" s="10" t="s">
        <v>25</v>
      </c>
      <c r="O23" s="174">
        <v>41302</v>
      </c>
      <c r="P23" s="174">
        <v>41330</v>
      </c>
      <c r="Q23" s="174">
        <v>41333</v>
      </c>
      <c r="R23" s="174">
        <v>41545</v>
      </c>
      <c r="S23" s="98"/>
    </row>
    <row r="24" spans="2:19" s="47" customFormat="1" ht="86.25" customHeight="1">
      <c r="B24" s="97">
        <v>8</v>
      </c>
      <c r="C24" s="11" t="s">
        <v>46</v>
      </c>
      <c r="D24" s="11" t="s">
        <v>18</v>
      </c>
      <c r="E24" s="11" t="s">
        <v>40</v>
      </c>
      <c r="F24" s="11" t="s">
        <v>52</v>
      </c>
      <c r="G24" s="11" t="s">
        <v>50</v>
      </c>
      <c r="H24" s="11" t="s">
        <v>20</v>
      </c>
      <c r="I24" s="27">
        <v>500000000</v>
      </c>
      <c r="J24" s="11"/>
      <c r="K24" s="11"/>
      <c r="L24" s="10" t="s">
        <v>43</v>
      </c>
      <c r="M24" s="15" t="s">
        <v>53</v>
      </c>
      <c r="N24" s="10" t="s">
        <v>25</v>
      </c>
      <c r="O24" s="174">
        <v>41302</v>
      </c>
      <c r="P24" s="174">
        <v>41330</v>
      </c>
      <c r="Q24" s="174">
        <v>41333</v>
      </c>
      <c r="R24" s="174">
        <v>41483</v>
      </c>
      <c r="S24" s="98"/>
    </row>
    <row r="25" spans="2:19" s="47" customFormat="1" ht="85.5" customHeight="1">
      <c r="B25" s="97">
        <v>9</v>
      </c>
      <c r="C25" s="11" t="s">
        <v>46</v>
      </c>
      <c r="D25" s="11" t="s">
        <v>18</v>
      </c>
      <c r="E25" s="11" t="s">
        <v>41</v>
      </c>
      <c r="F25" s="11" t="s">
        <v>52</v>
      </c>
      <c r="G25" s="11" t="s">
        <v>50</v>
      </c>
      <c r="H25" s="11" t="s">
        <v>20</v>
      </c>
      <c r="I25" s="27">
        <v>750000000</v>
      </c>
      <c r="J25" s="11"/>
      <c r="K25" s="11"/>
      <c r="L25" s="10" t="s">
        <v>44</v>
      </c>
      <c r="M25" s="15" t="s">
        <v>53</v>
      </c>
      <c r="N25" s="10" t="s">
        <v>25</v>
      </c>
      <c r="O25" s="174">
        <v>41302</v>
      </c>
      <c r="P25" s="174">
        <v>41330</v>
      </c>
      <c r="Q25" s="174">
        <v>41333</v>
      </c>
      <c r="R25" s="174">
        <v>41483</v>
      </c>
      <c r="S25" s="98"/>
    </row>
    <row r="26" spans="2:19" s="47" customFormat="1" ht="90" customHeight="1">
      <c r="B26" s="259">
        <v>10</v>
      </c>
      <c r="C26" s="260" t="s">
        <v>46</v>
      </c>
      <c r="D26" s="260" t="s">
        <v>18</v>
      </c>
      <c r="E26" s="260" t="s">
        <v>42</v>
      </c>
      <c r="F26" s="260" t="s">
        <v>52</v>
      </c>
      <c r="G26" s="260" t="s">
        <v>50</v>
      </c>
      <c r="H26" s="260" t="s">
        <v>20</v>
      </c>
      <c r="I26" s="261">
        <v>242400000</v>
      </c>
      <c r="J26" s="260"/>
      <c r="K26" s="260"/>
      <c r="L26" s="262" t="s">
        <v>45</v>
      </c>
      <c r="M26" s="263" t="s">
        <v>53</v>
      </c>
      <c r="N26" s="262" t="s">
        <v>25</v>
      </c>
      <c r="O26" s="264">
        <v>41302</v>
      </c>
      <c r="P26" s="264">
        <v>41330</v>
      </c>
      <c r="Q26" s="264">
        <v>41333</v>
      </c>
      <c r="R26" s="264">
        <v>41483</v>
      </c>
      <c r="S26" s="265"/>
    </row>
    <row r="27" spans="2:19" s="47" customFormat="1" ht="72" customHeight="1">
      <c r="B27" s="97">
        <v>11</v>
      </c>
      <c r="C27" s="11" t="s">
        <v>46</v>
      </c>
      <c r="D27" s="11" t="s">
        <v>18</v>
      </c>
      <c r="E27" s="11" t="s">
        <v>47</v>
      </c>
      <c r="F27" s="11" t="s">
        <v>52</v>
      </c>
      <c r="G27" s="11" t="s">
        <v>50</v>
      </c>
      <c r="H27" s="11" t="s">
        <v>49</v>
      </c>
      <c r="I27" s="27">
        <v>438500000</v>
      </c>
      <c r="J27" s="11"/>
      <c r="K27" s="11"/>
      <c r="L27" s="10" t="s">
        <v>48</v>
      </c>
      <c r="M27" s="15" t="s">
        <v>53</v>
      </c>
      <c r="N27" s="10" t="s">
        <v>25</v>
      </c>
      <c r="O27" s="266">
        <v>41302</v>
      </c>
      <c r="P27" s="266">
        <v>41330</v>
      </c>
      <c r="Q27" s="266">
        <v>41333</v>
      </c>
      <c r="R27" s="266">
        <v>41392</v>
      </c>
      <c r="S27" s="98"/>
    </row>
    <row r="28" spans="2:19" s="47" customFormat="1" ht="60" customHeight="1">
      <c r="B28" s="106">
        <v>12</v>
      </c>
      <c r="C28" s="107" t="s">
        <v>54</v>
      </c>
      <c r="D28" s="107" t="s">
        <v>18</v>
      </c>
      <c r="E28" s="107" t="s">
        <v>55</v>
      </c>
      <c r="F28" s="107" t="s">
        <v>56</v>
      </c>
      <c r="G28" s="108" t="s">
        <v>19</v>
      </c>
      <c r="H28" s="107" t="s">
        <v>20</v>
      </c>
      <c r="I28" s="150">
        <v>800000000</v>
      </c>
      <c r="J28" s="107"/>
      <c r="K28" s="107"/>
      <c r="L28" s="110" t="s">
        <v>26</v>
      </c>
      <c r="M28" s="108" t="s">
        <v>53</v>
      </c>
      <c r="N28" s="110" t="s">
        <v>25</v>
      </c>
      <c r="O28" s="174">
        <v>41302</v>
      </c>
      <c r="P28" s="174">
        <v>41330</v>
      </c>
      <c r="Q28" s="174">
        <v>41333</v>
      </c>
      <c r="R28" s="174">
        <v>41483</v>
      </c>
      <c r="S28" s="112"/>
    </row>
    <row r="29" spans="2:19" s="47" customFormat="1" ht="132">
      <c r="B29" s="97">
        <v>13</v>
      </c>
      <c r="C29" s="11" t="s">
        <v>59</v>
      </c>
      <c r="D29" s="11" t="s">
        <v>18</v>
      </c>
      <c r="E29" s="11" t="s">
        <v>58</v>
      </c>
      <c r="F29" s="11" t="s">
        <v>57</v>
      </c>
      <c r="G29" s="15" t="s">
        <v>62</v>
      </c>
      <c r="H29" s="11" t="s">
        <v>20</v>
      </c>
      <c r="I29" s="83">
        <v>500000000</v>
      </c>
      <c r="J29" s="84"/>
      <c r="K29" s="84"/>
      <c r="L29" s="14" t="s">
        <v>63</v>
      </c>
      <c r="M29" s="15" t="s">
        <v>53</v>
      </c>
      <c r="N29" s="10" t="s">
        <v>25</v>
      </c>
      <c r="O29" s="174">
        <v>41327</v>
      </c>
      <c r="P29" s="174">
        <v>41353</v>
      </c>
      <c r="Q29" s="174">
        <v>41353</v>
      </c>
      <c r="R29" s="174">
        <v>41537</v>
      </c>
      <c r="S29" s="120"/>
    </row>
    <row r="30" spans="2:19" s="47" customFormat="1" ht="132">
      <c r="B30" s="97">
        <v>14</v>
      </c>
      <c r="C30" s="11" t="s">
        <v>60</v>
      </c>
      <c r="D30" s="11" t="s">
        <v>18</v>
      </c>
      <c r="E30" s="11" t="s">
        <v>61</v>
      </c>
      <c r="F30" s="11" t="s">
        <v>57</v>
      </c>
      <c r="G30" s="15" t="s">
        <v>62</v>
      </c>
      <c r="H30" s="15" t="s">
        <v>20</v>
      </c>
      <c r="I30" s="83">
        <v>2120020000</v>
      </c>
      <c r="J30" s="84"/>
      <c r="K30" s="84"/>
      <c r="L30" s="14" t="s">
        <v>63</v>
      </c>
      <c r="M30" s="15" t="s">
        <v>53</v>
      </c>
      <c r="N30" s="10" t="s">
        <v>25</v>
      </c>
      <c r="O30" s="174">
        <v>41327</v>
      </c>
      <c r="P30" s="174">
        <v>41353</v>
      </c>
      <c r="Q30" s="174">
        <v>41353</v>
      </c>
      <c r="R30" s="174">
        <v>41537</v>
      </c>
      <c r="S30" s="120"/>
    </row>
    <row r="31" spans="2:19" s="47" customFormat="1" ht="60" customHeight="1">
      <c r="B31" s="97">
        <v>15</v>
      </c>
      <c r="C31" s="11" t="s">
        <v>64</v>
      </c>
      <c r="D31" s="11" t="s">
        <v>18</v>
      </c>
      <c r="E31" s="11" t="s">
        <v>67</v>
      </c>
      <c r="F31" s="11" t="s">
        <v>65</v>
      </c>
      <c r="G31" s="11" t="s">
        <v>66</v>
      </c>
      <c r="H31" s="11" t="s">
        <v>20</v>
      </c>
      <c r="I31" s="83">
        <v>1660000000</v>
      </c>
      <c r="J31" s="84"/>
      <c r="K31" s="84"/>
      <c r="L31" s="14" t="s">
        <v>23</v>
      </c>
      <c r="M31" s="15" t="s">
        <v>71</v>
      </c>
      <c r="N31" s="14" t="s">
        <v>75</v>
      </c>
      <c r="O31" s="174">
        <v>41302</v>
      </c>
      <c r="P31" s="174">
        <v>41330</v>
      </c>
      <c r="Q31" s="174">
        <v>41333</v>
      </c>
      <c r="R31" s="174">
        <v>41545</v>
      </c>
      <c r="S31" s="120"/>
    </row>
    <row r="32" spans="2:19" s="47" customFormat="1" ht="72">
      <c r="B32" s="97">
        <v>16</v>
      </c>
      <c r="C32" s="11" t="s">
        <v>64</v>
      </c>
      <c r="D32" s="11" t="s">
        <v>18</v>
      </c>
      <c r="E32" s="11" t="s">
        <v>68</v>
      </c>
      <c r="F32" s="11" t="s">
        <v>65</v>
      </c>
      <c r="G32" s="11" t="s">
        <v>66</v>
      </c>
      <c r="H32" s="11" t="s">
        <v>20</v>
      </c>
      <c r="I32" s="83">
        <v>1660000000</v>
      </c>
      <c r="J32" s="84"/>
      <c r="K32" s="84"/>
      <c r="L32" s="14" t="s">
        <v>23</v>
      </c>
      <c r="M32" s="15" t="s">
        <v>72</v>
      </c>
      <c r="N32" s="14" t="s">
        <v>75</v>
      </c>
      <c r="O32" s="174">
        <v>41302</v>
      </c>
      <c r="P32" s="174">
        <v>41330</v>
      </c>
      <c r="Q32" s="174">
        <v>41333</v>
      </c>
      <c r="R32" s="174">
        <v>41545</v>
      </c>
      <c r="S32" s="120"/>
    </row>
    <row r="33" spans="2:19" s="47" customFormat="1" ht="61.5" customHeight="1">
      <c r="B33" s="97">
        <v>17</v>
      </c>
      <c r="C33" s="11" t="s">
        <v>64</v>
      </c>
      <c r="D33" s="11" t="s">
        <v>18</v>
      </c>
      <c r="E33" s="11" t="s">
        <v>69</v>
      </c>
      <c r="F33" s="11" t="s">
        <v>65</v>
      </c>
      <c r="G33" s="11" t="s">
        <v>66</v>
      </c>
      <c r="H33" s="11" t="s">
        <v>20</v>
      </c>
      <c r="I33" s="83">
        <v>1660000000</v>
      </c>
      <c r="J33" s="84"/>
      <c r="K33" s="84"/>
      <c r="L33" s="14" t="s">
        <v>23</v>
      </c>
      <c r="M33" s="15" t="s">
        <v>73</v>
      </c>
      <c r="N33" s="14" t="s">
        <v>75</v>
      </c>
      <c r="O33" s="174">
        <v>41302</v>
      </c>
      <c r="P33" s="174">
        <v>41330</v>
      </c>
      <c r="Q33" s="174">
        <v>41333</v>
      </c>
      <c r="R33" s="174">
        <v>41545</v>
      </c>
      <c r="S33" s="120"/>
    </row>
    <row r="34" spans="2:19" s="47" customFormat="1" ht="60" customHeight="1">
      <c r="B34" s="97">
        <v>18</v>
      </c>
      <c r="C34" s="11" t="s">
        <v>64</v>
      </c>
      <c r="D34" s="11" t="s">
        <v>18</v>
      </c>
      <c r="E34" s="11" t="s">
        <v>70</v>
      </c>
      <c r="F34" s="11" t="s">
        <v>65</v>
      </c>
      <c r="G34" s="11" t="s">
        <v>66</v>
      </c>
      <c r="H34" s="11" t="s">
        <v>20</v>
      </c>
      <c r="I34" s="83">
        <v>1660000000</v>
      </c>
      <c r="J34" s="84"/>
      <c r="K34" s="84"/>
      <c r="L34" s="14" t="s">
        <v>23</v>
      </c>
      <c r="M34" s="15" t="s">
        <v>74</v>
      </c>
      <c r="N34" s="14" t="s">
        <v>75</v>
      </c>
      <c r="O34" s="174">
        <v>41302</v>
      </c>
      <c r="P34" s="174">
        <v>41330</v>
      </c>
      <c r="Q34" s="174">
        <v>41333</v>
      </c>
      <c r="R34" s="174">
        <v>41545</v>
      </c>
      <c r="S34" s="120"/>
    </row>
    <row r="35" spans="2:19" s="47" customFormat="1" ht="36" customHeight="1">
      <c r="B35" s="97">
        <v>19</v>
      </c>
      <c r="C35" s="11" t="s">
        <v>76</v>
      </c>
      <c r="D35" s="11" t="s">
        <v>18</v>
      </c>
      <c r="E35" s="11" t="s">
        <v>77</v>
      </c>
      <c r="F35" s="11" t="s">
        <v>80</v>
      </c>
      <c r="G35" s="11" t="s">
        <v>83</v>
      </c>
      <c r="H35" s="84" t="s">
        <v>49</v>
      </c>
      <c r="I35" s="83">
        <v>1104000000</v>
      </c>
      <c r="J35" s="84"/>
      <c r="K35" s="84"/>
      <c r="L35" s="14" t="s">
        <v>78</v>
      </c>
      <c r="M35" s="15" t="s">
        <v>53</v>
      </c>
      <c r="N35" s="14" t="s">
        <v>75</v>
      </c>
      <c r="O35" s="266">
        <v>41302</v>
      </c>
      <c r="P35" s="266">
        <v>41330</v>
      </c>
      <c r="Q35" s="266">
        <v>41333</v>
      </c>
      <c r="R35" s="266">
        <v>41392</v>
      </c>
      <c r="S35" s="120"/>
    </row>
    <row r="36" spans="2:19" s="47" customFormat="1" ht="49.5" customHeight="1">
      <c r="B36" s="106">
        <v>20</v>
      </c>
      <c r="C36" s="107" t="s">
        <v>82</v>
      </c>
      <c r="D36" s="107" t="s">
        <v>18</v>
      </c>
      <c r="E36" s="107" t="s">
        <v>79</v>
      </c>
      <c r="F36" s="107" t="s">
        <v>81</v>
      </c>
      <c r="G36" s="107" t="s">
        <v>83</v>
      </c>
      <c r="H36" s="247" t="s">
        <v>49</v>
      </c>
      <c r="I36" s="267">
        <v>570000000</v>
      </c>
      <c r="J36" s="247"/>
      <c r="K36" s="247"/>
      <c r="L36" s="268" t="s">
        <v>85</v>
      </c>
      <c r="M36" s="108" t="s">
        <v>53</v>
      </c>
      <c r="N36" s="268" t="s">
        <v>75</v>
      </c>
      <c r="O36" s="174">
        <v>41302</v>
      </c>
      <c r="P36" s="174">
        <v>41330</v>
      </c>
      <c r="Q36" s="174">
        <v>41333</v>
      </c>
      <c r="R36" s="174">
        <v>41392</v>
      </c>
      <c r="S36" s="269"/>
    </row>
    <row r="37" spans="2:19" s="47" customFormat="1" ht="48">
      <c r="B37" s="97">
        <v>21</v>
      </c>
      <c r="C37" s="11"/>
      <c r="D37" s="11" t="s">
        <v>18</v>
      </c>
      <c r="E37" s="11" t="s">
        <v>84</v>
      </c>
      <c r="F37" s="84"/>
      <c r="G37" s="11" t="s">
        <v>83</v>
      </c>
      <c r="H37" s="84" t="s">
        <v>49</v>
      </c>
      <c r="I37" s="83">
        <v>483000000</v>
      </c>
      <c r="J37" s="84"/>
      <c r="K37" s="84"/>
      <c r="L37" s="14" t="s">
        <v>63</v>
      </c>
      <c r="M37" s="11" t="s">
        <v>53</v>
      </c>
      <c r="N37" s="14" t="s">
        <v>75</v>
      </c>
      <c r="O37" s="174">
        <v>41302</v>
      </c>
      <c r="P37" s="174">
        <v>41330</v>
      </c>
      <c r="Q37" s="174">
        <v>41333</v>
      </c>
      <c r="R37" s="174">
        <v>41422</v>
      </c>
      <c r="S37" s="120"/>
    </row>
    <row r="38" spans="2:19" s="47" customFormat="1" ht="144.75" thickBot="1">
      <c r="B38" s="99">
        <v>22</v>
      </c>
      <c r="C38" s="100" t="s">
        <v>128</v>
      </c>
      <c r="D38" s="100" t="s">
        <v>18</v>
      </c>
      <c r="E38" s="100" t="s">
        <v>129</v>
      </c>
      <c r="F38" s="100" t="s">
        <v>130</v>
      </c>
      <c r="G38" s="100" t="s">
        <v>103</v>
      </c>
      <c r="H38" s="103" t="s">
        <v>49</v>
      </c>
      <c r="I38" s="101" t="s">
        <v>131</v>
      </c>
      <c r="J38" s="118"/>
      <c r="K38" s="100"/>
      <c r="L38" s="102" t="s">
        <v>23</v>
      </c>
      <c r="M38" s="100" t="s">
        <v>124</v>
      </c>
      <c r="N38" s="102" t="s">
        <v>25</v>
      </c>
      <c r="O38" s="175">
        <v>41361</v>
      </c>
      <c r="P38" s="175">
        <v>41358</v>
      </c>
      <c r="Q38" s="175">
        <v>41361</v>
      </c>
      <c r="R38" s="175">
        <v>41422</v>
      </c>
      <c r="S38" s="121"/>
    </row>
    <row r="39" spans="2:19" s="47" customFormat="1">
      <c r="B39" s="20"/>
      <c r="C39" s="78"/>
      <c r="D39" s="21"/>
      <c r="E39" s="21"/>
      <c r="F39" s="21"/>
      <c r="G39" s="21"/>
      <c r="H39" s="21"/>
      <c r="I39" s="79"/>
      <c r="J39" s="21"/>
      <c r="K39" s="21"/>
      <c r="L39" s="20"/>
      <c r="M39" s="21"/>
      <c r="N39" s="20"/>
      <c r="O39" s="21"/>
      <c r="P39" s="21"/>
      <c r="Q39" s="21"/>
      <c r="R39" s="21"/>
      <c r="S39" s="21"/>
    </row>
    <row r="40" spans="2:19" s="47" customFormat="1" ht="15.75">
      <c r="B40" s="20"/>
      <c r="C40" s="78"/>
      <c r="D40" s="21"/>
      <c r="E40" s="21"/>
      <c r="F40" s="21"/>
      <c r="G40" s="21"/>
      <c r="H40" s="21"/>
      <c r="I40" s="79"/>
      <c r="J40" s="21"/>
      <c r="K40" s="21"/>
      <c r="L40" s="20"/>
      <c r="M40" s="21"/>
      <c r="N40" s="185" t="s">
        <v>220</v>
      </c>
      <c r="O40" s="185"/>
      <c r="P40" s="185"/>
      <c r="Q40" s="185"/>
      <c r="R40" s="185"/>
      <c r="S40" s="185"/>
    </row>
    <row r="41" spans="2:19" s="47" customFormat="1" ht="15.75">
      <c r="B41" s="20"/>
      <c r="C41" s="78"/>
      <c r="D41" s="21"/>
      <c r="F41" s="21"/>
      <c r="G41" s="21"/>
      <c r="H41" s="21"/>
      <c r="I41" s="79"/>
      <c r="J41" s="21"/>
      <c r="K41" s="21"/>
      <c r="L41" s="20"/>
      <c r="M41" s="21"/>
      <c r="N41" s="86"/>
      <c r="O41" s="92"/>
      <c r="P41" s="92"/>
      <c r="Q41" s="92"/>
      <c r="R41" s="92"/>
      <c r="S41" s="92"/>
    </row>
    <row r="42" spans="2:19" s="47" customFormat="1" ht="15.75">
      <c r="B42" s="20"/>
      <c r="C42" s="78"/>
      <c r="D42" s="21"/>
      <c r="F42" s="21"/>
      <c r="G42" s="21"/>
      <c r="H42" s="21"/>
      <c r="I42" s="79"/>
      <c r="J42" s="21"/>
      <c r="K42" s="21"/>
      <c r="L42" s="20"/>
      <c r="M42" s="21"/>
      <c r="N42" s="86"/>
      <c r="O42" s="92"/>
      <c r="P42" s="92"/>
      <c r="Q42" s="92"/>
      <c r="R42" s="92"/>
      <c r="S42" s="92"/>
    </row>
    <row r="43" spans="2:19" s="47" customFormat="1" ht="15.75">
      <c r="B43" s="20"/>
      <c r="C43" s="78"/>
      <c r="D43" s="21"/>
      <c r="E43" s="21"/>
      <c r="F43" s="21"/>
      <c r="G43" s="21"/>
      <c r="H43" s="21"/>
      <c r="I43" s="79"/>
      <c r="J43" s="21"/>
      <c r="K43" s="21"/>
      <c r="L43" s="20"/>
      <c r="M43" s="21"/>
      <c r="N43" s="86"/>
      <c r="O43" s="92"/>
      <c r="P43" s="92"/>
      <c r="Q43" s="92"/>
      <c r="R43" s="92"/>
      <c r="S43" s="92"/>
    </row>
    <row r="44" spans="2:19" s="47" customFormat="1" ht="12" customHeight="1">
      <c r="B44" s="20"/>
      <c r="C44" s="78"/>
      <c r="D44" s="21"/>
      <c r="E44" s="21"/>
      <c r="F44" s="21"/>
      <c r="G44" s="21"/>
      <c r="H44" s="21"/>
      <c r="I44" s="79"/>
      <c r="J44" s="21"/>
      <c r="K44" s="21"/>
      <c r="L44" s="20"/>
      <c r="M44" s="21"/>
      <c r="N44" s="186" t="s">
        <v>94</v>
      </c>
      <c r="O44" s="186"/>
      <c r="P44" s="186"/>
      <c r="Q44" s="186"/>
      <c r="R44" s="186"/>
      <c r="S44" s="186"/>
    </row>
    <row r="45" spans="2:19" s="47" customFormat="1" ht="12.75" customHeight="1">
      <c r="B45" s="20"/>
      <c r="C45" s="78"/>
      <c r="D45" s="21"/>
      <c r="E45" s="21"/>
      <c r="F45" s="21"/>
      <c r="G45" s="21"/>
      <c r="H45" s="21"/>
      <c r="I45" s="79"/>
      <c r="J45" s="21"/>
      <c r="K45" s="21"/>
      <c r="L45" s="20"/>
      <c r="M45" s="21"/>
      <c r="N45" s="185" t="s">
        <v>95</v>
      </c>
      <c r="O45" s="185"/>
      <c r="P45" s="185"/>
      <c r="Q45" s="185"/>
      <c r="R45" s="185"/>
      <c r="S45" s="185"/>
    </row>
    <row r="46" spans="2:19" s="47" customFormat="1" ht="15.75">
      <c r="B46" s="20"/>
      <c r="C46" s="78"/>
      <c r="D46" s="21"/>
      <c r="E46" s="21"/>
      <c r="F46" s="21"/>
      <c r="G46" s="21"/>
      <c r="H46" s="21"/>
      <c r="I46" s="79"/>
      <c r="J46" s="21"/>
      <c r="K46" s="21"/>
      <c r="L46" s="20"/>
      <c r="M46" s="21"/>
      <c r="N46" s="185" t="s">
        <v>96</v>
      </c>
      <c r="O46" s="185"/>
      <c r="P46" s="185"/>
      <c r="Q46" s="185"/>
      <c r="R46" s="185"/>
      <c r="S46" s="185"/>
    </row>
    <row r="47" spans="2:19" s="47" customFormat="1">
      <c r="B47" s="87"/>
      <c r="C47" s="81"/>
      <c r="D47" s="3"/>
      <c r="E47" s="3"/>
      <c r="F47" s="3"/>
      <c r="G47" s="3"/>
      <c r="H47" s="3"/>
      <c r="I47" s="82"/>
      <c r="J47" s="3"/>
      <c r="K47" s="3"/>
      <c r="L47" s="87"/>
      <c r="M47" s="3"/>
      <c r="N47" s="87"/>
      <c r="O47" s="3"/>
      <c r="P47" s="3"/>
      <c r="Q47" s="3"/>
      <c r="R47" s="3"/>
      <c r="S47" s="3"/>
    </row>
  </sheetData>
  <mergeCells count="33">
    <mergeCell ref="B1:S1"/>
    <mergeCell ref="B2:S2"/>
    <mergeCell ref="B3:S3"/>
    <mergeCell ref="O12:O14"/>
    <mergeCell ref="P12:P14"/>
    <mergeCell ref="Q12:Q14"/>
    <mergeCell ref="R12:R14"/>
    <mergeCell ref="S11:S14"/>
    <mergeCell ref="K12:K14"/>
    <mergeCell ref="O11:P11"/>
    <mergeCell ref="Q11:R11"/>
    <mergeCell ref="N11:N14"/>
    <mergeCell ref="C11:D11"/>
    <mergeCell ref="B6:S6"/>
    <mergeCell ref="B7:S7"/>
    <mergeCell ref="B8:S8"/>
    <mergeCell ref="N40:S40"/>
    <mergeCell ref="N44:S44"/>
    <mergeCell ref="N45:S45"/>
    <mergeCell ref="N46:S46"/>
    <mergeCell ref="I11:K11"/>
    <mergeCell ref="B9:S9"/>
    <mergeCell ref="F11:F14"/>
    <mergeCell ref="E11:E14"/>
    <mergeCell ref="D12:D14"/>
    <mergeCell ref="C12:C14"/>
    <mergeCell ref="B11:B14"/>
    <mergeCell ref="J12:J14"/>
    <mergeCell ref="I12:I14"/>
    <mergeCell ref="H11:H14"/>
    <mergeCell ref="G11:G14"/>
    <mergeCell ref="M11:M14"/>
    <mergeCell ref="L11:L14"/>
  </mergeCells>
  <pageMargins left="0.12" right="0.2" top="0.74803149606299202" bottom="0.74803149606299202" header="0.31496062992126" footer="0.31496062992126"/>
  <pageSetup paperSize="5" orientation="landscape" r:id="rId1"/>
  <headerFooter>
    <oddHeader>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S61"/>
  <sheetViews>
    <sheetView view="pageLayout" workbookViewId="0">
      <selection activeCell="J20" sqref="J20"/>
    </sheetView>
  </sheetViews>
  <sheetFormatPr defaultRowHeight="15"/>
  <cols>
    <col min="1" max="1" width="3.28515625" style="44" customWidth="1"/>
    <col min="2" max="2" width="6.28515625" style="81" customWidth="1"/>
    <col min="3" max="3" width="6" style="3" customWidth="1"/>
    <col min="4" max="4" width="11.140625" style="3" customWidth="1"/>
    <col min="5" max="5" width="11.85546875" style="3" customWidth="1"/>
    <col min="6" max="6" width="16.140625" style="3" customWidth="1"/>
    <col min="7" max="7" width="10" style="3" customWidth="1"/>
    <col min="8" max="8" width="6.5703125" style="82" customWidth="1"/>
    <col min="9" max="9" width="13" style="82" customWidth="1"/>
    <col min="10" max="10" width="6.5703125" style="3" customWidth="1"/>
    <col min="11" max="11" width="7.7109375" style="44" customWidth="1"/>
    <col min="12" max="12" width="9.42578125" style="3" customWidth="1"/>
    <col min="13" max="13" width="7.140625" style="44" customWidth="1"/>
    <col min="14" max="14" width="8.7109375" style="3" customWidth="1"/>
    <col min="15" max="15" width="8.85546875" style="3" customWidth="1"/>
    <col min="16" max="16" width="9.42578125" style="3" customWidth="1"/>
    <col min="17" max="17" width="9.7109375" style="3" customWidth="1"/>
    <col min="18" max="18" width="6.140625" style="3" customWidth="1"/>
    <col min="19" max="16384" width="9.140625" style="47"/>
  </cols>
  <sheetData>
    <row r="1" spans="1:18" ht="15.75">
      <c r="A1" s="185" t="s">
        <v>86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spans="1:18" ht="15.75">
      <c r="A2" s="185" t="s">
        <v>98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8" ht="10.5" customHeight="1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</row>
    <row r="4" spans="1:18">
      <c r="A4" s="45"/>
      <c r="B4" s="45"/>
      <c r="C4" s="45"/>
      <c r="D4" s="45"/>
      <c r="E4" s="45"/>
      <c r="F4" s="72"/>
      <c r="G4" s="8" t="s">
        <v>87</v>
      </c>
      <c r="H4" s="9" t="s">
        <v>91</v>
      </c>
      <c r="I4" s="25"/>
      <c r="J4" s="45"/>
      <c r="K4" s="45"/>
      <c r="L4" s="45"/>
      <c r="M4" s="45"/>
      <c r="N4" s="45"/>
      <c r="O4" s="45"/>
      <c r="P4" s="45"/>
      <c r="Q4" s="45"/>
      <c r="R4" s="45"/>
    </row>
    <row r="5" spans="1:18">
      <c r="A5" s="45"/>
      <c r="B5" s="45"/>
      <c r="C5" s="45"/>
      <c r="D5" s="45"/>
      <c r="E5" s="45"/>
      <c r="F5" s="72"/>
      <c r="G5" s="8" t="s">
        <v>88</v>
      </c>
      <c r="H5" s="9" t="s">
        <v>92</v>
      </c>
      <c r="I5" s="25"/>
      <c r="J5" s="45"/>
      <c r="K5" s="45"/>
      <c r="L5" s="45"/>
      <c r="M5" s="45"/>
      <c r="N5" s="45"/>
      <c r="O5" s="45"/>
      <c r="P5" s="45"/>
      <c r="Q5" s="45"/>
      <c r="R5" s="45"/>
    </row>
    <row r="6" spans="1:18" ht="15" customHeight="1">
      <c r="A6" s="176" t="s">
        <v>97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</row>
    <row r="7" spans="1:18" ht="15" customHeight="1">
      <c r="A7" s="176" t="s">
        <v>90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5" customHeight="1">
      <c r="A8" s="176" t="s">
        <v>89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</row>
    <row r="9" spans="1:18" ht="15" customHeight="1">
      <c r="A9" s="176" t="s">
        <v>93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</row>
    <row r="10" spans="1:18" ht="15.75" thickBot="1">
      <c r="B10" s="44"/>
      <c r="C10" s="44"/>
      <c r="D10" s="44"/>
      <c r="E10" s="44"/>
      <c r="F10" s="44"/>
      <c r="G10" s="44"/>
      <c r="H10" s="44"/>
      <c r="I10" s="26"/>
      <c r="J10" s="44"/>
      <c r="L10" s="44"/>
      <c r="N10" s="44"/>
      <c r="O10" s="44"/>
      <c r="P10" s="44"/>
      <c r="Q10" s="44"/>
      <c r="R10" s="44"/>
    </row>
    <row r="11" spans="1:18" ht="21" customHeight="1">
      <c r="A11" s="191" t="s">
        <v>0</v>
      </c>
      <c r="B11" s="194" t="s">
        <v>14</v>
      </c>
      <c r="C11" s="194"/>
      <c r="D11" s="194" t="s">
        <v>3</v>
      </c>
      <c r="E11" s="194" t="s">
        <v>4</v>
      </c>
      <c r="F11" s="194" t="s">
        <v>5</v>
      </c>
      <c r="G11" s="194" t="s">
        <v>6</v>
      </c>
      <c r="H11" s="194" t="s">
        <v>15</v>
      </c>
      <c r="I11" s="194"/>
      <c r="J11" s="194"/>
      <c r="K11" s="194" t="s">
        <v>9</v>
      </c>
      <c r="L11" s="194" t="s">
        <v>10</v>
      </c>
      <c r="M11" s="194" t="s">
        <v>99</v>
      </c>
      <c r="N11" s="194" t="s">
        <v>16</v>
      </c>
      <c r="O11" s="194"/>
      <c r="P11" s="194" t="s">
        <v>17</v>
      </c>
      <c r="Q11" s="194"/>
      <c r="R11" s="200" t="s">
        <v>236</v>
      </c>
    </row>
    <row r="12" spans="1:18">
      <c r="A12" s="192"/>
      <c r="B12" s="195" t="s">
        <v>1</v>
      </c>
      <c r="C12" s="195" t="s">
        <v>2</v>
      </c>
      <c r="D12" s="195"/>
      <c r="E12" s="195"/>
      <c r="F12" s="195"/>
      <c r="G12" s="195"/>
      <c r="H12" s="197" t="s">
        <v>22</v>
      </c>
      <c r="I12" s="197" t="s">
        <v>7</v>
      </c>
      <c r="J12" s="195" t="s">
        <v>8</v>
      </c>
      <c r="K12" s="195"/>
      <c r="L12" s="195"/>
      <c r="M12" s="195"/>
      <c r="N12" s="195" t="s">
        <v>12</v>
      </c>
      <c r="O12" s="195" t="s">
        <v>13</v>
      </c>
      <c r="P12" s="195" t="s">
        <v>12</v>
      </c>
      <c r="Q12" s="195" t="s">
        <v>13</v>
      </c>
      <c r="R12" s="201"/>
    </row>
    <row r="13" spans="1:18">
      <c r="A13" s="192"/>
      <c r="B13" s="195"/>
      <c r="C13" s="195"/>
      <c r="D13" s="195"/>
      <c r="E13" s="195"/>
      <c r="F13" s="195"/>
      <c r="G13" s="195"/>
      <c r="H13" s="197"/>
      <c r="I13" s="197"/>
      <c r="J13" s="195"/>
      <c r="K13" s="195"/>
      <c r="L13" s="195"/>
      <c r="M13" s="195"/>
      <c r="N13" s="195"/>
      <c r="O13" s="195"/>
      <c r="P13" s="195"/>
      <c r="Q13" s="195"/>
      <c r="R13" s="201"/>
    </row>
    <row r="14" spans="1:18" ht="27.75" customHeight="1" thickBot="1">
      <c r="A14" s="193"/>
      <c r="B14" s="196"/>
      <c r="C14" s="196"/>
      <c r="D14" s="196"/>
      <c r="E14" s="196"/>
      <c r="F14" s="196"/>
      <c r="G14" s="196"/>
      <c r="H14" s="198"/>
      <c r="I14" s="198"/>
      <c r="J14" s="196"/>
      <c r="K14" s="196"/>
      <c r="L14" s="196"/>
      <c r="M14" s="196"/>
      <c r="N14" s="196"/>
      <c r="O14" s="196"/>
      <c r="P14" s="196"/>
      <c r="Q14" s="196"/>
      <c r="R14" s="202"/>
    </row>
    <row r="15" spans="1:18" s="96" customFormat="1" ht="16.5" thickTop="1" thickBot="1">
      <c r="A15" s="143">
        <v>1</v>
      </c>
      <c r="B15" s="144">
        <v>2</v>
      </c>
      <c r="C15" s="145">
        <v>3</v>
      </c>
      <c r="D15" s="145">
        <v>4</v>
      </c>
      <c r="E15" s="145">
        <v>5</v>
      </c>
      <c r="F15" s="145">
        <v>6</v>
      </c>
      <c r="G15" s="145">
        <v>7</v>
      </c>
      <c r="H15" s="146">
        <v>8</v>
      </c>
      <c r="I15" s="146">
        <v>9</v>
      </c>
      <c r="J15" s="145">
        <v>10</v>
      </c>
      <c r="K15" s="145">
        <v>11</v>
      </c>
      <c r="L15" s="145">
        <v>12</v>
      </c>
      <c r="M15" s="145">
        <v>13</v>
      </c>
      <c r="N15" s="145">
        <v>14</v>
      </c>
      <c r="O15" s="145">
        <v>15</v>
      </c>
      <c r="P15" s="145">
        <v>16</v>
      </c>
      <c r="Q15" s="145">
        <v>17</v>
      </c>
      <c r="R15" s="147">
        <v>18</v>
      </c>
    </row>
    <row r="16" spans="1:18" ht="66.75" customHeight="1" thickTop="1">
      <c r="A16" s="134">
        <v>1</v>
      </c>
      <c r="B16" s="135" t="s">
        <v>100</v>
      </c>
      <c r="C16" s="135" t="s">
        <v>18</v>
      </c>
      <c r="D16" s="135" t="s">
        <v>101</v>
      </c>
      <c r="E16" s="135" t="s">
        <v>102</v>
      </c>
      <c r="F16" s="135" t="s">
        <v>103</v>
      </c>
      <c r="G16" s="136" t="s">
        <v>49</v>
      </c>
      <c r="H16" s="137"/>
      <c r="I16" s="138">
        <v>15000000</v>
      </c>
      <c r="J16" s="135"/>
      <c r="K16" s="139" t="s">
        <v>23</v>
      </c>
      <c r="L16" s="135" t="s">
        <v>32</v>
      </c>
      <c r="M16" s="139" t="s">
        <v>25</v>
      </c>
      <c r="N16" s="140">
        <v>41396</v>
      </c>
      <c r="O16" s="141">
        <v>41336</v>
      </c>
      <c r="P16" s="141">
        <v>41336</v>
      </c>
      <c r="Q16" s="141">
        <v>41367</v>
      </c>
      <c r="R16" s="142"/>
    </row>
    <row r="17" spans="1:18" ht="62.25" customHeight="1">
      <c r="A17" s="134">
        <v>2</v>
      </c>
      <c r="B17" s="32" t="s">
        <v>104</v>
      </c>
      <c r="C17" s="32" t="s">
        <v>18</v>
      </c>
      <c r="D17" s="32" t="s">
        <v>105</v>
      </c>
      <c r="E17" s="32" t="s">
        <v>106</v>
      </c>
      <c r="F17" s="32" t="s">
        <v>103</v>
      </c>
      <c r="G17" s="33" t="s">
        <v>49</v>
      </c>
      <c r="H17" s="34"/>
      <c r="I17" s="35">
        <v>3000000</v>
      </c>
      <c r="J17" s="32"/>
      <c r="K17" s="31" t="s">
        <v>107</v>
      </c>
      <c r="L17" s="32" t="s">
        <v>32</v>
      </c>
      <c r="M17" s="31" t="s">
        <v>25</v>
      </c>
      <c r="N17" s="70">
        <v>41397</v>
      </c>
      <c r="O17" s="36">
        <v>41337</v>
      </c>
      <c r="P17" s="36">
        <v>41337</v>
      </c>
      <c r="Q17" s="36">
        <v>41339</v>
      </c>
      <c r="R17" s="122"/>
    </row>
    <row r="18" spans="1:18" ht="63.75" customHeight="1">
      <c r="A18" s="134">
        <v>3</v>
      </c>
      <c r="B18" s="32" t="s">
        <v>108</v>
      </c>
      <c r="C18" s="32" t="s">
        <v>18</v>
      </c>
      <c r="D18" s="32" t="s">
        <v>109</v>
      </c>
      <c r="E18" s="32" t="s">
        <v>110</v>
      </c>
      <c r="F18" s="32" t="s">
        <v>103</v>
      </c>
      <c r="G18" s="33" t="s">
        <v>49</v>
      </c>
      <c r="H18" s="34"/>
      <c r="I18" s="35">
        <v>15000000</v>
      </c>
      <c r="J18" s="32"/>
      <c r="K18" s="31" t="s">
        <v>23</v>
      </c>
      <c r="L18" s="32" t="s">
        <v>32</v>
      </c>
      <c r="M18" s="31" t="s">
        <v>25</v>
      </c>
      <c r="N18" s="70">
        <v>41397</v>
      </c>
      <c r="O18" s="36">
        <v>41337</v>
      </c>
      <c r="P18" s="36">
        <v>41337</v>
      </c>
      <c r="Q18" s="36">
        <v>41339</v>
      </c>
      <c r="R18" s="122"/>
    </row>
    <row r="19" spans="1:18" ht="51" customHeight="1">
      <c r="A19" s="134">
        <v>4</v>
      </c>
      <c r="B19" s="32" t="s">
        <v>39</v>
      </c>
      <c r="C19" s="32" t="s">
        <v>18</v>
      </c>
      <c r="D19" s="32" t="s">
        <v>283</v>
      </c>
      <c r="E19" s="32" t="s">
        <v>284</v>
      </c>
      <c r="F19" s="32" t="s">
        <v>117</v>
      </c>
      <c r="G19" s="33" t="s">
        <v>113</v>
      </c>
      <c r="H19" s="34"/>
      <c r="I19" s="35">
        <v>50000000</v>
      </c>
      <c r="J19" s="32"/>
      <c r="K19" s="31" t="s">
        <v>63</v>
      </c>
      <c r="L19" s="32" t="s">
        <v>114</v>
      </c>
      <c r="M19" s="31" t="s">
        <v>25</v>
      </c>
      <c r="N19" s="70">
        <v>41396</v>
      </c>
      <c r="O19" s="36">
        <v>41336</v>
      </c>
      <c r="P19" s="36">
        <v>41336</v>
      </c>
      <c r="Q19" s="36">
        <v>41338</v>
      </c>
      <c r="R19" s="122"/>
    </row>
    <row r="20" spans="1:18" ht="84" customHeight="1">
      <c r="A20" s="134">
        <v>5</v>
      </c>
      <c r="B20" s="32" t="s">
        <v>46</v>
      </c>
      <c r="C20" s="32" t="s">
        <v>18</v>
      </c>
      <c r="D20" s="32" t="s">
        <v>111</v>
      </c>
      <c r="E20" s="32" t="s">
        <v>112</v>
      </c>
      <c r="F20" s="32" t="s">
        <v>117</v>
      </c>
      <c r="G20" s="32" t="s">
        <v>113</v>
      </c>
      <c r="H20" s="34"/>
      <c r="I20" s="35">
        <v>48000000</v>
      </c>
      <c r="J20" s="32"/>
      <c r="K20" s="31" t="s">
        <v>63</v>
      </c>
      <c r="L20" s="32" t="s">
        <v>114</v>
      </c>
      <c r="M20" s="31" t="s">
        <v>25</v>
      </c>
      <c r="N20" s="70">
        <v>41396</v>
      </c>
      <c r="O20" s="36">
        <v>41336</v>
      </c>
      <c r="P20" s="36">
        <v>41336</v>
      </c>
      <c r="Q20" s="36">
        <v>41338</v>
      </c>
      <c r="R20" s="122"/>
    </row>
    <row r="21" spans="1:18" ht="63.75" customHeight="1">
      <c r="A21" s="134">
        <v>6</v>
      </c>
      <c r="B21" s="32" t="s">
        <v>115</v>
      </c>
      <c r="C21" s="32" t="s">
        <v>18</v>
      </c>
      <c r="D21" s="32" t="s">
        <v>116</v>
      </c>
      <c r="E21" s="32" t="s">
        <v>118</v>
      </c>
      <c r="F21" s="32" t="s">
        <v>103</v>
      </c>
      <c r="G21" s="33" t="s">
        <v>49</v>
      </c>
      <c r="H21" s="34"/>
      <c r="I21" s="35">
        <v>60000000</v>
      </c>
      <c r="J21" s="32"/>
      <c r="K21" s="31" t="s">
        <v>119</v>
      </c>
      <c r="L21" s="32" t="s">
        <v>32</v>
      </c>
      <c r="M21" s="31" t="s">
        <v>25</v>
      </c>
      <c r="N21" s="70">
        <v>41396</v>
      </c>
      <c r="O21" s="36">
        <v>41336</v>
      </c>
      <c r="P21" s="36">
        <v>41336</v>
      </c>
      <c r="Q21" s="36">
        <v>41337</v>
      </c>
      <c r="R21" s="122"/>
    </row>
    <row r="22" spans="1:18" ht="93.75" customHeight="1">
      <c r="A22" s="134">
        <v>7</v>
      </c>
      <c r="B22" s="32" t="s">
        <v>285</v>
      </c>
      <c r="C22" s="32" t="s">
        <v>18</v>
      </c>
      <c r="D22" s="32" t="s">
        <v>286</v>
      </c>
      <c r="E22" s="32" t="s">
        <v>287</v>
      </c>
      <c r="F22" s="32" t="s">
        <v>288</v>
      </c>
      <c r="G22" s="33" t="s">
        <v>49</v>
      </c>
      <c r="H22" s="34"/>
      <c r="I22" s="35">
        <v>66900000</v>
      </c>
      <c r="J22" s="32"/>
      <c r="K22" s="31" t="s">
        <v>289</v>
      </c>
      <c r="L22" s="32" t="s">
        <v>124</v>
      </c>
      <c r="M22" s="31" t="s">
        <v>25</v>
      </c>
      <c r="N22" s="70">
        <v>41396</v>
      </c>
      <c r="O22" s="36">
        <v>41336</v>
      </c>
      <c r="P22" s="36">
        <v>41336</v>
      </c>
      <c r="Q22" s="36">
        <v>41367</v>
      </c>
      <c r="R22" s="122"/>
    </row>
    <row r="23" spans="1:18" ht="63.75" customHeight="1">
      <c r="A23" s="134">
        <v>8</v>
      </c>
      <c r="B23" s="32" t="s">
        <v>298</v>
      </c>
      <c r="C23" s="32" t="s">
        <v>18</v>
      </c>
      <c r="D23" s="32" t="s">
        <v>300</v>
      </c>
      <c r="E23" s="32" t="s">
        <v>299</v>
      </c>
      <c r="F23" s="32" t="s">
        <v>103</v>
      </c>
      <c r="G23" s="33" t="s">
        <v>49</v>
      </c>
      <c r="H23" s="34"/>
      <c r="I23" s="35">
        <v>100000000</v>
      </c>
      <c r="J23" s="32"/>
      <c r="K23" s="31" t="s">
        <v>63</v>
      </c>
      <c r="L23" s="32" t="s">
        <v>124</v>
      </c>
      <c r="M23" s="31" t="s">
        <v>25</v>
      </c>
      <c r="N23" s="70">
        <v>41396</v>
      </c>
      <c r="O23" s="36">
        <v>41336</v>
      </c>
      <c r="P23" s="36">
        <v>41336</v>
      </c>
      <c r="Q23" s="36">
        <v>41367</v>
      </c>
      <c r="R23" s="122"/>
    </row>
    <row r="24" spans="1:18" ht="63.75" customHeight="1">
      <c r="A24" s="134">
        <v>9</v>
      </c>
      <c r="B24" s="32" t="s">
        <v>120</v>
      </c>
      <c r="C24" s="32" t="s">
        <v>18</v>
      </c>
      <c r="D24" s="32" t="s">
        <v>121</v>
      </c>
      <c r="E24" s="32" t="s">
        <v>122</v>
      </c>
      <c r="F24" s="32" t="s">
        <v>103</v>
      </c>
      <c r="G24" s="33" t="s">
        <v>49</v>
      </c>
      <c r="H24" s="34"/>
      <c r="I24" s="35">
        <v>50000000</v>
      </c>
      <c r="J24" s="32"/>
      <c r="K24" s="31" t="s">
        <v>123</v>
      </c>
      <c r="L24" s="32" t="s">
        <v>124</v>
      </c>
      <c r="M24" s="31" t="s">
        <v>25</v>
      </c>
      <c r="N24" s="70">
        <v>41397</v>
      </c>
      <c r="O24" s="36">
        <v>41337</v>
      </c>
      <c r="P24" s="36">
        <v>41337</v>
      </c>
      <c r="Q24" s="36">
        <v>41339</v>
      </c>
      <c r="R24" s="122"/>
    </row>
    <row r="25" spans="1:18" ht="63.75" customHeight="1">
      <c r="A25" s="134">
        <v>10</v>
      </c>
      <c r="B25" s="32" t="s">
        <v>120</v>
      </c>
      <c r="C25" s="32" t="s">
        <v>18</v>
      </c>
      <c r="D25" s="32" t="s">
        <v>125</v>
      </c>
      <c r="E25" s="32" t="s">
        <v>122</v>
      </c>
      <c r="F25" s="32" t="s">
        <v>103</v>
      </c>
      <c r="G25" s="33" t="s">
        <v>49</v>
      </c>
      <c r="H25" s="34"/>
      <c r="I25" s="35">
        <v>50000000</v>
      </c>
      <c r="J25" s="32"/>
      <c r="K25" s="31" t="s">
        <v>123</v>
      </c>
      <c r="L25" s="32" t="s">
        <v>124</v>
      </c>
      <c r="M25" s="31" t="s">
        <v>25</v>
      </c>
      <c r="N25" s="70">
        <v>41397</v>
      </c>
      <c r="O25" s="36">
        <v>41337</v>
      </c>
      <c r="P25" s="36">
        <v>41337</v>
      </c>
      <c r="Q25" s="36">
        <v>41339</v>
      </c>
      <c r="R25" s="122"/>
    </row>
    <row r="26" spans="1:18" ht="63.75" customHeight="1">
      <c r="A26" s="134">
        <v>11</v>
      </c>
      <c r="B26" s="32" t="s">
        <v>120</v>
      </c>
      <c r="C26" s="32" t="s">
        <v>18</v>
      </c>
      <c r="D26" s="32" t="s">
        <v>126</v>
      </c>
      <c r="E26" s="32" t="s">
        <v>122</v>
      </c>
      <c r="F26" s="32" t="s">
        <v>103</v>
      </c>
      <c r="G26" s="33" t="s">
        <v>49</v>
      </c>
      <c r="H26" s="34"/>
      <c r="I26" s="35">
        <v>50000000</v>
      </c>
      <c r="J26" s="32"/>
      <c r="K26" s="31" t="s">
        <v>123</v>
      </c>
      <c r="L26" s="32" t="s">
        <v>124</v>
      </c>
      <c r="M26" s="31" t="s">
        <v>25</v>
      </c>
      <c r="N26" s="70">
        <v>41397</v>
      </c>
      <c r="O26" s="36">
        <v>41337</v>
      </c>
      <c r="P26" s="36">
        <v>41337</v>
      </c>
      <c r="Q26" s="36">
        <v>41339</v>
      </c>
      <c r="R26" s="122"/>
    </row>
    <row r="27" spans="1:18" ht="63.75" customHeight="1">
      <c r="A27" s="134">
        <v>12</v>
      </c>
      <c r="B27" s="32" t="s">
        <v>120</v>
      </c>
      <c r="C27" s="32" t="s">
        <v>18</v>
      </c>
      <c r="D27" s="32" t="s">
        <v>127</v>
      </c>
      <c r="E27" s="32" t="s">
        <v>122</v>
      </c>
      <c r="F27" s="32" t="s">
        <v>103</v>
      </c>
      <c r="G27" s="33" t="s">
        <v>49</v>
      </c>
      <c r="H27" s="34"/>
      <c r="I27" s="35">
        <v>50000000</v>
      </c>
      <c r="J27" s="32"/>
      <c r="K27" s="31" t="s">
        <v>123</v>
      </c>
      <c r="L27" s="32" t="s">
        <v>124</v>
      </c>
      <c r="M27" s="31" t="s">
        <v>25</v>
      </c>
      <c r="N27" s="70">
        <v>41396</v>
      </c>
      <c r="O27" s="36">
        <v>41336</v>
      </c>
      <c r="P27" s="36">
        <v>41336</v>
      </c>
      <c r="Q27" s="36">
        <v>41339</v>
      </c>
      <c r="R27" s="122"/>
    </row>
    <row r="28" spans="1:18" ht="63.75" customHeight="1">
      <c r="A28" s="134">
        <v>13</v>
      </c>
      <c r="B28" s="32" t="s">
        <v>132</v>
      </c>
      <c r="C28" s="32" t="s">
        <v>18</v>
      </c>
      <c r="D28" s="32" t="s">
        <v>133</v>
      </c>
      <c r="E28" s="32" t="s">
        <v>134</v>
      </c>
      <c r="F28" s="32" t="s">
        <v>103</v>
      </c>
      <c r="G28" s="33" t="s">
        <v>49</v>
      </c>
      <c r="H28" s="37"/>
      <c r="I28" s="37">
        <v>30000000</v>
      </c>
      <c r="J28" s="31"/>
      <c r="K28" s="31" t="s">
        <v>23</v>
      </c>
      <c r="L28" s="31" t="s">
        <v>135</v>
      </c>
      <c r="M28" s="31" t="s">
        <v>25</v>
      </c>
      <c r="N28" s="70">
        <v>41397</v>
      </c>
      <c r="O28" s="36">
        <v>41337</v>
      </c>
      <c r="P28" s="36">
        <v>41337</v>
      </c>
      <c r="Q28" s="36">
        <v>41339</v>
      </c>
      <c r="R28" s="122"/>
    </row>
    <row r="29" spans="1:18" ht="67.5">
      <c r="A29" s="134">
        <v>14</v>
      </c>
      <c r="B29" s="32" t="s">
        <v>136</v>
      </c>
      <c r="C29" s="32" t="s">
        <v>18</v>
      </c>
      <c r="D29" s="32" t="s">
        <v>133</v>
      </c>
      <c r="E29" s="32" t="s">
        <v>134</v>
      </c>
      <c r="F29" s="32" t="s">
        <v>103</v>
      </c>
      <c r="G29" s="33" t="s">
        <v>49</v>
      </c>
      <c r="H29" s="37"/>
      <c r="I29" s="37">
        <v>30000000</v>
      </c>
      <c r="J29" s="31"/>
      <c r="K29" s="31" t="s">
        <v>23</v>
      </c>
      <c r="L29" s="31" t="s">
        <v>137</v>
      </c>
      <c r="M29" s="31" t="s">
        <v>25</v>
      </c>
      <c r="N29" s="70">
        <v>41397</v>
      </c>
      <c r="O29" s="36">
        <v>41337</v>
      </c>
      <c r="P29" s="36">
        <v>41337</v>
      </c>
      <c r="Q29" s="36">
        <v>41339</v>
      </c>
      <c r="R29" s="122"/>
    </row>
    <row r="30" spans="1:18" ht="90">
      <c r="A30" s="134">
        <v>15</v>
      </c>
      <c r="B30" s="32" t="s">
        <v>139</v>
      </c>
      <c r="C30" s="32" t="s">
        <v>18</v>
      </c>
      <c r="D30" s="32" t="s">
        <v>140</v>
      </c>
      <c r="E30" s="32" t="s">
        <v>138</v>
      </c>
      <c r="F30" s="32" t="s">
        <v>103</v>
      </c>
      <c r="G30" s="33" t="s">
        <v>49</v>
      </c>
      <c r="H30" s="73"/>
      <c r="I30" s="73">
        <v>50000000</v>
      </c>
      <c r="J30" s="74"/>
      <c r="K30" s="38" t="s">
        <v>63</v>
      </c>
      <c r="L30" s="32" t="s">
        <v>124</v>
      </c>
      <c r="M30" s="31" t="s">
        <v>25</v>
      </c>
      <c r="N30" s="70">
        <v>41397</v>
      </c>
      <c r="O30" s="36">
        <v>41337</v>
      </c>
      <c r="P30" s="36">
        <v>41337</v>
      </c>
      <c r="Q30" s="36">
        <v>41339</v>
      </c>
      <c r="R30" s="123"/>
    </row>
    <row r="31" spans="1:18" ht="94.5" customHeight="1">
      <c r="A31" s="134">
        <v>16</v>
      </c>
      <c r="B31" s="32" t="s">
        <v>139</v>
      </c>
      <c r="C31" s="32" t="s">
        <v>18</v>
      </c>
      <c r="D31" s="32" t="s">
        <v>141</v>
      </c>
      <c r="E31" s="32" t="s">
        <v>138</v>
      </c>
      <c r="F31" s="32" t="s">
        <v>103</v>
      </c>
      <c r="G31" s="33" t="s">
        <v>49</v>
      </c>
      <c r="H31" s="73"/>
      <c r="I31" s="73">
        <v>50000000</v>
      </c>
      <c r="J31" s="74"/>
      <c r="K31" s="38" t="s">
        <v>123</v>
      </c>
      <c r="L31" s="32" t="s">
        <v>124</v>
      </c>
      <c r="M31" s="31" t="s">
        <v>25</v>
      </c>
      <c r="N31" s="70">
        <v>41397</v>
      </c>
      <c r="O31" s="36">
        <v>41337</v>
      </c>
      <c r="P31" s="36">
        <v>41337</v>
      </c>
      <c r="Q31" s="36">
        <v>41339</v>
      </c>
      <c r="R31" s="123"/>
    </row>
    <row r="32" spans="1:18" ht="94.5" customHeight="1">
      <c r="A32" s="134">
        <v>17</v>
      </c>
      <c r="B32" s="32" t="s">
        <v>139</v>
      </c>
      <c r="C32" s="32" t="s">
        <v>18</v>
      </c>
      <c r="D32" s="32" t="s">
        <v>142</v>
      </c>
      <c r="E32" s="32" t="s">
        <v>138</v>
      </c>
      <c r="F32" s="32" t="s">
        <v>103</v>
      </c>
      <c r="G32" s="33" t="s">
        <v>49</v>
      </c>
      <c r="H32" s="73"/>
      <c r="I32" s="73">
        <v>50000000</v>
      </c>
      <c r="J32" s="74"/>
      <c r="K32" s="38" t="s">
        <v>123</v>
      </c>
      <c r="L32" s="32" t="s">
        <v>124</v>
      </c>
      <c r="M32" s="31" t="s">
        <v>25</v>
      </c>
      <c r="N32" s="70">
        <v>41397</v>
      </c>
      <c r="O32" s="36">
        <v>41337</v>
      </c>
      <c r="P32" s="36">
        <v>41337</v>
      </c>
      <c r="Q32" s="36">
        <v>41339</v>
      </c>
      <c r="R32" s="123"/>
    </row>
    <row r="33" spans="1:18" ht="83.25" customHeight="1">
      <c r="A33" s="134">
        <v>18</v>
      </c>
      <c r="B33" s="32" t="s">
        <v>139</v>
      </c>
      <c r="C33" s="32" t="s">
        <v>18</v>
      </c>
      <c r="D33" s="32" t="s">
        <v>143</v>
      </c>
      <c r="E33" s="32" t="s">
        <v>138</v>
      </c>
      <c r="F33" s="32" t="s">
        <v>103</v>
      </c>
      <c r="G33" s="33" t="s">
        <v>49</v>
      </c>
      <c r="H33" s="73"/>
      <c r="I33" s="73">
        <v>50000000</v>
      </c>
      <c r="J33" s="74"/>
      <c r="K33" s="38" t="s">
        <v>147</v>
      </c>
      <c r="L33" s="32" t="s">
        <v>124</v>
      </c>
      <c r="M33" s="31" t="s">
        <v>25</v>
      </c>
      <c r="N33" s="70">
        <v>41397</v>
      </c>
      <c r="O33" s="36">
        <v>41337</v>
      </c>
      <c r="P33" s="36">
        <v>41337</v>
      </c>
      <c r="Q33" s="36">
        <v>41339</v>
      </c>
      <c r="R33" s="123"/>
    </row>
    <row r="34" spans="1:18" ht="90">
      <c r="A34" s="134">
        <v>19</v>
      </c>
      <c r="B34" s="32" t="s">
        <v>139</v>
      </c>
      <c r="C34" s="32" t="s">
        <v>18</v>
      </c>
      <c r="D34" s="32" t="s">
        <v>144</v>
      </c>
      <c r="E34" s="32" t="s">
        <v>138</v>
      </c>
      <c r="F34" s="32" t="s">
        <v>103</v>
      </c>
      <c r="G34" s="33" t="s">
        <v>49</v>
      </c>
      <c r="H34" s="73"/>
      <c r="I34" s="73">
        <v>50000000</v>
      </c>
      <c r="J34" s="74"/>
      <c r="K34" s="38" t="s">
        <v>148</v>
      </c>
      <c r="L34" s="32" t="s">
        <v>124</v>
      </c>
      <c r="M34" s="31" t="s">
        <v>25</v>
      </c>
      <c r="N34" s="70">
        <v>41397</v>
      </c>
      <c r="O34" s="36">
        <v>41337</v>
      </c>
      <c r="P34" s="36">
        <v>41337</v>
      </c>
      <c r="Q34" s="36">
        <v>41339</v>
      </c>
      <c r="R34" s="123"/>
    </row>
    <row r="35" spans="1:18" ht="90">
      <c r="A35" s="134">
        <v>20</v>
      </c>
      <c r="B35" s="32" t="s">
        <v>139</v>
      </c>
      <c r="C35" s="32" t="s">
        <v>18</v>
      </c>
      <c r="D35" s="32" t="s">
        <v>145</v>
      </c>
      <c r="E35" s="32" t="s">
        <v>138</v>
      </c>
      <c r="F35" s="32" t="s">
        <v>103</v>
      </c>
      <c r="G35" s="33" t="s">
        <v>49</v>
      </c>
      <c r="H35" s="73"/>
      <c r="I35" s="73">
        <v>50000000</v>
      </c>
      <c r="J35" s="74"/>
      <c r="K35" s="38" t="s">
        <v>123</v>
      </c>
      <c r="L35" s="32" t="s">
        <v>124</v>
      </c>
      <c r="M35" s="31" t="s">
        <v>25</v>
      </c>
      <c r="N35" s="70">
        <v>41396</v>
      </c>
      <c r="O35" s="36">
        <v>41336</v>
      </c>
      <c r="P35" s="36">
        <v>41336</v>
      </c>
      <c r="Q35" s="36">
        <v>41338</v>
      </c>
      <c r="R35" s="123"/>
    </row>
    <row r="36" spans="1:18" ht="90">
      <c r="A36" s="134">
        <v>21</v>
      </c>
      <c r="B36" s="32" t="s">
        <v>139</v>
      </c>
      <c r="C36" s="32" t="s">
        <v>18</v>
      </c>
      <c r="D36" s="32" t="s">
        <v>146</v>
      </c>
      <c r="E36" s="32" t="s">
        <v>138</v>
      </c>
      <c r="F36" s="32" t="s">
        <v>103</v>
      </c>
      <c r="G36" s="33" t="s">
        <v>49</v>
      </c>
      <c r="H36" s="73"/>
      <c r="I36" s="73">
        <v>50000000</v>
      </c>
      <c r="J36" s="74"/>
      <c r="K36" s="38" t="s">
        <v>123</v>
      </c>
      <c r="L36" s="32" t="s">
        <v>124</v>
      </c>
      <c r="M36" s="31" t="s">
        <v>25</v>
      </c>
      <c r="N36" s="70">
        <v>41396</v>
      </c>
      <c r="O36" s="36">
        <v>41336</v>
      </c>
      <c r="P36" s="36">
        <v>41336</v>
      </c>
      <c r="Q36" s="36">
        <v>41338</v>
      </c>
      <c r="R36" s="123"/>
    </row>
    <row r="37" spans="1:18" ht="93" customHeight="1">
      <c r="A37" s="134">
        <v>22</v>
      </c>
      <c r="B37" s="32" t="s">
        <v>149</v>
      </c>
      <c r="C37" s="32" t="s">
        <v>18</v>
      </c>
      <c r="D37" s="32" t="s">
        <v>150</v>
      </c>
      <c r="E37" s="32" t="s">
        <v>138</v>
      </c>
      <c r="F37" s="32" t="s">
        <v>103</v>
      </c>
      <c r="G37" s="33" t="s">
        <v>49</v>
      </c>
      <c r="H37" s="73"/>
      <c r="I37" s="73">
        <v>40000000</v>
      </c>
      <c r="J37" s="74"/>
      <c r="K37" s="38" t="s">
        <v>63</v>
      </c>
      <c r="L37" s="32" t="s">
        <v>124</v>
      </c>
      <c r="M37" s="31" t="s">
        <v>25</v>
      </c>
      <c r="N37" s="70">
        <v>41396</v>
      </c>
      <c r="O37" s="36">
        <v>41336</v>
      </c>
      <c r="P37" s="36">
        <v>41336</v>
      </c>
      <c r="Q37" s="36">
        <v>41338</v>
      </c>
      <c r="R37" s="123"/>
    </row>
    <row r="38" spans="1:18" ht="90.75" customHeight="1">
      <c r="A38" s="134">
        <v>23</v>
      </c>
      <c r="B38" s="32" t="s">
        <v>151</v>
      </c>
      <c r="C38" s="32" t="s">
        <v>18</v>
      </c>
      <c r="D38" s="32" t="s">
        <v>152</v>
      </c>
      <c r="E38" s="32" t="s">
        <v>138</v>
      </c>
      <c r="F38" s="32" t="s">
        <v>103</v>
      </c>
      <c r="G38" s="33" t="s">
        <v>49</v>
      </c>
      <c r="H38" s="73"/>
      <c r="I38" s="73">
        <v>50000000</v>
      </c>
      <c r="J38" s="74"/>
      <c r="K38" s="38" t="s">
        <v>63</v>
      </c>
      <c r="L38" s="32" t="s">
        <v>124</v>
      </c>
      <c r="M38" s="31" t="s">
        <v>25</v>
      </c>
      <c r="N38" s="70">
        <v>41396</v>
      </c>
      <c r="O38" s="36">
        <v>41336</v>
      </c>
      <c r="P38" s="36">
        <v>41336</v>
      </c>
      <c r="Q38" s="36">
        <v>41339</v>
      </c>
      <c r="R38" s="123"/>
    </row>
    <row r="39" spans="1:18" ht="89.25" customHeight="1">
      <c r="A39" s="134">
        <v>24</v>
      </c>
      <c r="B39" s="32" t="s">
        <v>151</v>
      </c>
      <c r="C39" s="32" t="s">
        <v>18</v>
      </c>
      <c r="D39" s="32" t="s">
        <v>153</v>
      </c>
      <c r="E39" s="32" t="s">
        <v>138</v>
      </c>
      <c r="F39" s="32" t="s">
        <v>103</v>
      </c>
      <c r="G39" s="33" t="s">
        <v>49</v>
      </c>
      <c r="H39" s="73"/>
      <c r="I39" s="73">
        <v>50000000</v>
      </c>
      <c r="J39" s="74"/>
      <c r="K39" s="38" t="s">
        <v>63</v>
      </c>
      <c r="L39" s="32" t="s">
        <v>124</v>
      </c>
      <c r="M39" s="31" t="s">
        <v>25</v>
      </c>
      <c r="N39" s="70">
        <v>41396</v>
      </c>
      <c r="O39" s="36">
        <v>41336</v>
      </c>
      <c r="P39" s="36">
        <v>41336</v>
      </c>
      <c r="Q39" s="36">
        <v>41339</v>
      </c>
      <c r="R39" s="123"/>
    </row>
    <row r="40" spans="1:18" ht="78.75">
      <c r="A40" s="134">
        <v>25</v>
      </c>
      <c r="B40" s="32" t="s">
        <v>154</v>
      </c>
      <c r="C40" s="32" t="s">
        <v>18</v>
      </c>
      <c r="D40" s="32" t="s">
        <v>156</v>
      </c>
      <c r="E40" s="32" t="s">
        <v>155</v>
      </c>
      <c r="F40" s="32" t="s">
        <v>103</v>
      </c>
      <c r="G40" s="33" t="s">
        <v>49</v>
      </c>
      <c r="H40" s="73"/>
      <c r="I40" s="73">
        <v>24000000</v>
      </c>
      <c r="J40" s="74"/>
      <c r="K40" s="38" t="s">
        <v>160</v>
      </c>
      <c r="L40" s="32" t="s">
        <v>124</v>
      </c>
      <c r="M40" s="31" t="s">
        <v>25</v>
      </c>
      <c r="N40" s="70">
        <v>41396</v>
      </c>
      <c r="O40" s="36">
        <v>41336</v>
      </c>
      <c r="P40" s="36">
        <v>41336</v>
      </c>
      <c r="Q40" s="36">
        <v>41337</v>
      </c>
      <c r="R40" s="123"/>
    </row>
    <row r="41" spans="1:18" ht="83.25" customHeight="1">
      <c r="A41" s="134">
        <v>26</v>
      </c>
      <c r="B41" s="32" t="s">
        <v>154</v>
      </c>
      <c r="C41" s="32" t="s">
        <v>18</v>
      </c>
      <c r="D41" s="32" t="s">
        <v>157</v>
      </c>
      <c r="E41" s="32" t="s">
        <v>155</v>
      </c>
      <c r="F41" s="32" t="s">
        <v>103</v>
      </c>
      <c r="G41" s="33" t="s">
        <v>49</v>
      </c>
      <c r="H41" s="73"/>
      <c r="I41" s="73">
        <v>15000000</v>
      </c>
      <c r="J41" s="74"/>
      <c r="K41" s="38" t="s">
        <v>23</v>
      </c>
      <c r="L41" s="32" t="s">
        <v>124</v>
      </c>
      <c r="M41" s="31" t="s">
        <v>25</v>
      </c>
      <c r="N41" s="70">
        <v>41396</v>
      </c>
      <c r="O41" s="36">
        <v>41336</v>
      </c>
      <c r="P41" s="36">
        <v>41336</v>
      </c>
      <c r="Q41" s="36">
        <v>41367</v>
      </c>
      <c r="R41" s="123"/>
    </row>
    <row r="42" spans="1:18" ht="78.75">
      <c r="A42" s="134">
        <v>27</v>
      </c>
      <c r="B42" s="32" t="s">
        <v>158</v>
      </c>
      <c r="C42" s="32" t="s">
        <v>18</v>
      </c>
      <c r="D42" s="32" t="s">
        <v>159</v>
      </c>
      <c r="E42" s="32" t="s">
        <v>155</v>
      </c>
      <c r="F42" s="32" t="s">
        <v>50</v>
      </c>
      <c r="G42" s="33" t="s">
        <v>49</v>
      </c>
      <c r="H42" s="73"/>
      <c r="I42" s="73">
        <v>15000000</v>
      </c>
      <c r="J42" s="74"/>
      <c r="K42" s="38" t="s">
        <v>63</v>
      </c>
      <c r="L42" s="32" t="s">
        <v>124</v>
      </c>
      <c r="M42" s="31" t="s">
        <v>25</v>
      </c>
      <c r="N42" s="70">
        <v>41396</v>
      </c>
      <c r="O42" s="36">
        <v>41336</v>
      </c>
      <c r="P42" s="36">
        <v>41336</v>
      </c>
      <c r="Q42" s="36">
        <v>41338</v>
      </c>
      <c r="R42" s="123"/>
    </row>
    <row r="43" spans="1:18" ht="67.5">
      <c r="A43" s="134">
        <v>28</v>
      </c>
      <c r="B43" s="32" t="s">
        <v>161</v>
      </c>
      <c r="C43" s="32" t="s">
        <v>18</v>
      </c>
      <c r="D43" s="32" t="s">
        <v>162</v>
      </c>
      <c r="E43" s="32" t="s">
        <v>163</v>
      </c>
      <c r="F43" s="32" t="s">
        <v>103</v>
      </c>
      <c r="G43" s="33" t="s">
        <v>49</v>
      </c>
      <c r="H43" s="73"/>
      <c r="I43" s="73">
        <v>100000000</v>
      </c>
      <c r="J43" s="74"/>
      <c r="K43" s="38" t="s">
        <v>123</v>
      </c>
      <c r="L43" s="32" t="s">
        <v>124</v>
      </c>
      <c r="M43" s="31" t="s">
        <v>25</v>
      </c>
      <c r="N43" s="70">
        <v>41397</v>
      </c>
      <c r="O43" s="36">
        <v>41337</v>
      </c>
      <c r="P43" s="36">
        <v>41337</v>
      </c>
      <c r="Q43" s="36">
        <v>41340</v>
      </c>
      <c r="R43" s="123"/>
    </row>
    <row r="44" spans="1:18" ht="67.5">
      <c r="A44" s="134">
        <v>29</v>
      </c>
      <c r="B44" s="32" t="s">
        <v>164</v>
      </c>
      <c r="C44" s="32" t="s">
        <v>18</v>
      </c>
      <c r="D44" s="32" t="s">
        <v>165</v>
      </c>
      <c r="E44" s="32" t="s">
        <v>163</v>
      </c>
      <c r="F44" s="32" t="s">
        <v>166</v>
      </c>
      <c r="G44" s="33" t="s">
        <v>49</v>
      </c>
      <c r="H44" s="73"/>
      <c r="I44" s="73">
        <v>10000000</v>
      </c>
      <c r="J44" s="74"/>
      <c r="K44" s="38" t="s">
        <v>63</v>
      </c>
      <c r="L44" s="32" t="s">
        <v>124</v>
      </c>
      <c r="M44" s="31" t="s">
        <v>25</v>
      </c>
      <c r="N44" s="70">
        <v>41396</v>
      </c>
      <c r="O44" s="36">
        <v>41336</v>
      </c>
      <c r="P44" s="36">
        <v>41336</v>
      </c>
      <c r="Q44" s="36">
        <v>41339</v>
      </c>
      <c r="R44" s="123"/>
    </row>
    <row r="45" spans="1:18" ht="67.5">
      <c r="A45" s="134">
        <v>30</v>
      </c>
      <c r="B45" s="32" t="s">
        <v>164</v>
      </c>
      <c r="C45" s="32" t="s">
        <v>18</v>
      </c>
      <c r="D45" s="32" t="s">
        <v>167</v>
      </c>
      <c r="E45" s="32" t="s">
        <v>163</v>
      </c>
      <c r="F45" s="32" t="s">
        <v>166</v>
      </c>
      <c r="G45" s="33" t="s">
        <v>49</v>
      </c>
      <c r="H45" s="73"/>
      <c r="I45" s="73">
        <v>50000000</v>
      </c>
      <c r="J45" s="74"/>
      <c r="K45" s="38" t="s">
        <v>63</v>
      </c>
      <c r="L45" s="32" t="s">
        <v>124</v>
      </c>
      <c r="M45" s="31" t="s">
        <v>25</v>
      </c>
      <c r="N45" s="70">
        <v>41397</v>
      </c>
      <c r="O45" s="36">
        <v>41337</v>
      </c>
      <c r="P45" s="36">
        <v>41337</v>
      </c>
      <c r="Q45" s="36">
        <v>41339</v>
      </c>
      <c r="R45" s="123"/>
    </row>
    <row r="46" spans="1:18" ht="116.25" customHeight="1">
      <c r="A46" s="134">
        <v>31</v>
      </c>
      <c r="B46" s="32" t="s">
        <v>168</v>
      </c>
      <c r="C46" s="32" t="s">
        <v>18</v>
      </c>
      <c r="D46" s="32" t="s">
        <v>169</v>
      </c>
      <c r="E46" s="32" t="s">
        <v>170</v>
      </c>
      <c r="F46" s="32" t="s">
        <v>103</v>
      </c>
      <c r="G46" s="33" t="s">
        <v>49</v>
      </c>
      <c r="H46" s="73"/>
      <c r="I46" s="73">
        <v>12000000</v>
      </c>
      <c r="J46" s="74"/>
      <c r="K46" s="38" t="s">
        <v>63</v>
      </c>
      <c r="L46" s="32" t="s">
        <v>124</v>
      </c>
      <c r="M46" s="31" t="s">
        <v>25</v>
      </c>
      <c r="N46" s="70">
        <v>41396</v>
      </c>
      <c r="O46" s="36">
        <v>41336</v>
      </c>
      <c r="P46" s="36">
        <v>41336</v>
      </c>
      <c r="Q46" s="36">
        <v>41338</v>
      </c>
      <c r="R46" s="123"/>
    </row>
    <row r="47" spans="1:18" ht="78.75">
      <c r="A47" s="134">
        <v>32</v>
      </c>
      <c r="B47" s="32" t="s">
        <v>305</v>
      </c>
      <c r="C47" s="32" t="s">
        <v>18</v>
      </c>
      <c r="D47" s="32" t="s">
        <v>171</v>
      </c>
      <c r="E47" s="32" t="s">
        <v>172</v>
      </c>
      <c r="F47" s="32" t="s">
        <v>103</v>
      </c>
      <c r="G47" s="33" t="s">
        <v>49</v>
      </c>
      <c r="H47" s="73"/>
      <c r="I47" s="73">
        <v>10000000</v>
      </c>
      <c r="J47" s="74"/>
      <c r="K47" s="38" t="s">
        <v>63</v>
      </c>
      <c r="L47" s="32" t="s">
        <v>124</v>
      </c>
      <c r="M47" s="31" t="s">
        <v>25</v>
      </c>
      <c r="N47" s="70">
        <v>41396</v>
      </c>
      <c r="O47" s="36">
        <v>41336</v>
      </c>
      <c r="P47" s="36">
        <v>41336</v>
      </c>
      <c r="Q47" s="36">
        <v>41337</v>
      </c>
      <c r="R47" s="123"/>
    </row>
    <row r="48" spans="1:18" ht="45">
      <c r="A48" s="134">
        <v>33</v>
      </c>
      <c r="B48" s="32" t="s">
        <v>306</v>
      </c>
      <c r="C48" s="32" t="s">
        <v>18</v>
      </c>
      <c r="D48" s="32" t="s">
        <v>173</v>
      </c>
      <c r="E48" s="32" t="s">
        <v>307</v>
      </c>
      <c r="F48" s="32" t="s">
        <v>166</v>
      </c>
      <c r="G48" s="33" t="s">
        <v>49</v>
      </c>
      <c r="H48" s="73"/>
      <c r="I48" s="73">
        <v>31000000</v>
      </c>
      <c r="J48" s="74"/>
      <c r="K48" s="38" t="s">
        <v>63</v>
      </c>
      <c r="L48" s="32" t="s">
        <v>124</v>
      </c>
      <c r="M48" s="31" t="s">
        <v>25</v>
      </c>
      <c r="N48" s="70">
        <v>41397</v>
      </c>
      <c r="O48" s="36">
        <v>41337</v>
      </c>
      <c r="P48" s="36">
        <v>41337</v>
      </c>
      <c r="Q48" s="36">
        <v>41398</v>
      </c>
      <c r="R48" s="123"/>
    </row>
    <row r="49" spans="1:19" ht="68.25" thickBot="1">
      <c r="A49" s="124">
        <v>34</v>
      </c>
      <c r="B49" s="125" t="s">
        <v>290</v>
      </c>
      <c r="C49" s="125" t="s">
        <v>18</v>
      </c>
      <c r="D49" s="125" t="s">
        <v>291</v>
      </c>
      <c r="E49" s="125" t="s">
        <v>291</v>
      </c>
      <c r="F49" s="125" t="s">
        <v>117</v>
      </c>
      <c r="G49" s="126" t="s">
        <v>113</v>
      </c>
      <c r="H49" s="127"/>
      <c r="I49" s="127">
        <v>90000000</v>
      </c>
      <c r="J49" s="128"/>
      <c r="K49" s="129" t="s">
        <v>63</v>
      </c>
      <c r="L49" s="125" t="s">
        <v>124</v>
      </c>
      <c r="M49" s="130" t="s">
        <v>25</v>
      </c>
      <c r="N49" s="131">
        <v>41397</v>
      </c>
      <c r="O49" s="132">
        <v>41337</v>
      </c>
      <c r="P49" s="132">
        <v>41337</v>
      </c>
      <c r="Q49" s="132">
        <v>41368</v>
      </c>
      <c r="R49" s="133"/>
    </row>
    <row r="50" spans="1:19">
      <c r="A50" s="39"/>
      <c r="B50" s="40"/>
      <c r="C50" s="40"/>
      <c r="D50" s="40"/>
      <c r="E50" s="40"/>
      <c r="F50" s="40"/>
      <c r="G50" s="41"/>
      <c r="H50" s="75"/>
      <c r="I50" s="75"/>
      <c r="J50" s="76"/>
      <c r="K50" s="42"/>
      <c r="L50" s="40"/>
      <c r="M50" s="39"/>
      <c r="N50" s="43"/>
      <c r="O50" s="43"/>
      <c r="P50" s="43"/>
      <c r="Q50" s="43"/>
      <c r="R50" s="76"/>
    </row>
    <row r="51" spans="1:19">
      <c r="A51" s="39"/>
      <c r="B51" s="40"/>
      <c r="C51" s="40"/>
      <c r="D51" s="40"/>
      <c r="E51" s="40"/>
      <c r="F51" s="40"/>
      <c r="G51" s="41"/>
      <c r="H51" s="75"/>
      <c r="I51" s="75"/>
      <c r="J51" s="76"/>
      <c r="K51" s="42"/>
      <c r="L51" s="40"/>
      <c r="M51" s="39"/>
      <c r="N51" s="43"/>
      <c r="O51" s="43"/>
      <c r="P51" s="43"/>
      <c r="Q51" s="43"/>
      <c r="R51" s="76"/>
    </row>
    <row r="52" spans="1:19">
      <c r="A52" s="39"/>
      <c r="B52" s="40"/>
      <c r="C52" s="40"/>
      <c r="D52" s="40"/>
      <c r="E52" s="40"/>
      <c r="F52" s="40"/>
      <c r="G52" s="41"/>
      <c r="H52" s="75"/>
      <c r="I52" s="75"/>
      <c r="J52" s="76"/>
      <c r="K52" s="42"/>
      <c r="L52" s="40"/>
      <c r="M52" s="39"/>
      <c r="N52" s="43"/>
      <c r="O52" s="43"/>
      <c r="P52" s="43"/>
      <c r="Q52" s="43"/>
      <c r="R52" s="76"/>
    </row>
    <row r="53" spans="1:19">
      <c r="A53" s="16"/>
      <c r="B53" s="17"/>
      <c r="C53" s="17"/>
      <c r="D53" s="17"/>
      <c r="E53" s="17"/>
      <c r="F53" s="17"/>
      <c r="G53" s="24"/>
      <c r="H53" s="77"/>
      <c r="I53" s="77"/>
      <c r="J53" s="23"/>
      <c r="K53" s="203" t="s">
        <v>224</v>
      </c>
      <c r="L53" s="203"/>
      <c r="M53" s="203"/>
      <c r="N53" s="203"/>
      <c r="O53" s="203"/>
      <c r="P53" s="203"/>
      <c r="Q53" s="203"/>
      <c r="R53" s="23"/>
    </row>
    <row r="54" spans="1:19" ht="15.75" customHeight="1">
      <c r="A54" s="16"/>
      <c r="B54" s="17"/>
      <c r="C54" s="17"/>
      <c r="D54" s="17"/>
      <c r="E54" s="17"/>
      <c r="F54" s="17"/>
      <c r="G54" s="24"/>
      <c r="H54" s="77"/>
      <c r="I54" s="77"/>
      <c r="J54" s="23"/>
      <c r="K54" s="168"/>
      <c r="L54" s="168"/>
      <c r="M54" s="168"/>
      <c r="N54" s="168"/>
      <c r="O54" s="168"/>
      <c r="P54" s="168"/>
      <c r="Q54" s="166"/>
      <c r="R54" s="23"/>
    </row>
    <row r="55" spans="1:19" ht="15.75" customHeight="1">
      <c r="A55" s="16"/>
      <c r="B55" s="17"/>
      <c r="C55" s="17"/>
      <c r="D55" s="17"/>
      <c r="E55" s="17"/>
      <c r="F55" s="17"/>
      <c r="G55" s="24"/>
      <c r="H55" s="77"/>
      <c r="I55" s="77"/>
      <c r="J55" s="23"/>
      <c r="K55" s="168"/>
      <c r="L55" s="168"/>
      <c r="M55" s="168"/>
      <c r="N55" s="168"/>
      <c r="O55" s="168"/>
      <c r="P55" s="168"/>
      <c r="Q55" s="166"/>
      <c r="R55" s="23"/>
    </row>
    <row r="56" spans="1:19" ht="15.75" customHeight="1">
      <c r="A56" s="16"/>
      <c r="B56" s="17"/>
      <c r="C56" s="17"/>
      <c r="D56" s="17"/>
      <c r="E56" s="17"/>
      <c r="F56" s="17"/>
      <c r="G56" s="24"/>
      <c r="H56" s="77"/>
      <c r="I56" s="77"/>
      <c r="J56" s="23"/>
      <c r="K56" s="168"/>
      <c r="L56" s="168"/>
      <c r="M56" s="168"/>
      <c r="N56" s="168"/>
      <c r="O56" s="168"/>
      <c r="P56" s="168"/>
      <c r="Q56" s="166"/>
      <c r="R56" s="23"/>
    </row>
    <row r="57" spans="1:19" ht="15.75" customHeight="1">
      <c r="A57" s="16"/>
      <c r="B57" s="17"/>
      <c r="C57" s="17"/>
      <c r="D57" s="17"/>
      <c r="E57" s="17"/>
      <c r="F57" s="17"/>
      <c r="G57" s="24"/>
      <c r="H57" s="77"/>
      <c r="I57" s="77"/>
      <c r="J57" s="23"/>
      <c r="K57" s="170"/>
      <c r="L57" s="171"/>
      <c r="M57" s="165"/>
      <c r="N57" s="166"/>
      <c r="O57" s="166"/>
      <c r="P57" s="166"/>
      <c r="Q57" s="166"/>
      <c r="R57" s="23"/>
    </row>
    <row r="58" spans="1:19" ht="15.75" customHeight="1">
      <c r="A58" s="20"/>
      <c r="B58" s="78"/>
      <c r="C58" s="21"/>
      <c r="D58" s="21"/>
      <c r="E58" s="21"/>
      <c r="F58" s="21"/>
      <c r="G58" s="21"/>
      <c r="H58" s="79"/>
      <c r="I58" s="79"/>
      <c r="J58" s="21"/>
      <c r="K58" s="170"/>
      <c r="L58" s="167"/>
      <c r="M58" s="168"/>
      <c r="N58" s="169"/>
      <c r="O58" s="169"/>
      <c r="P58" s="169"/>
      <c r="Q58" s="169"/>
      <c r="R58" s="80"/>
      <c r="S58" s="56"/>
    </row>
    <row r="59" spans="1:19">
      <c r="A59" s="20"/>
      <c r="B59" s="78"/>
      <c r="C59" s="21"/>
      <c r="D59" s="21"/>
      <c r="E59" s="21"/>
      <c r="F59" s="21"/>
      <c r="G59" s="21"/>
      <c r="H59" s="79"/>
      <c r="I59" s="79"/>
      <c r="J59" s="21"/>
      <c r="K59" s="204" t="s">
        <v>94</v>
      </c>
      <c r="L59" s="204"/>
      <c r="M59" s="204"/>
      <c r="N59" s="204"/>
      <c r="O59" s="204"/>
      <c r="P59" s="204"/>
      <c r="Q59" s="204"/>
      <c r="R59" s="30"/>
    </row>
    <row r="60" spans="1:19">
      <c r="A60" s="20"/>
      <c r="B60" s="78"/>
      <c r="C60" s="21"/>
      <c r="D60" s="21"/>
      <c r="E60" s="21"/>
      <c r="F60" s="21"/>
      <c r="G60" s="21"/>
      <c r="H60" s="79"/>
      <c r="I60" s="79"/>
      <c r="J60" s="21"/>
      <c r="K60" s="199" t="s">
        <v>95</v>
      </c>
      <c r="L60" s="199"/>
      <c r="M60" s="199"/>
      <c r="N60" s="199"/>
      <c r="O60" s="199"/>
      <c r="P60" s="199"/>
      <c r="Q60" s="199"/>
      <c r="R60" s="29"/>
    </row>
    <row r="61" spans="1:19">
      <c r="A61" s="20"/>
      <c r="B61" s="78"/>
      <c r="C61" s="21"/>
      <c r="D61" s="21"/>
      <c r="E61" s="21"/>
      <c r="F61" s="21"/>
      <c r="G61" s="21"/>
      <c r="H61" s="79"/>
      <c r="I61" s="79"/>
      <c r="J61" s="21"/>
      <c r="K61" s="199" t="s">
        <v>96</v>
      </c>
      <c r="L61" s="199"/>
      <c r="M61" s="199"/>
      <c r="N61" s="199"/>
      <c r="O61" s="199"/>
      <c r="P61" s="199"/>
      <c r="Q61" s="199"/>
      <c r="R61" s="29"/>
    </row>
  </sheetData>
  <mergeCells count="33">
    <mergeCell ref="K61:Q61"/>
    <mergeCell ref="R11:R14"/>
    <mergeCell ref="N12:N14"/>
    <mergeCell ref="O12:O14"/>
    <mergeCell ref="P12:P14"/>
    <mergeCell ref="Q12:Q14"/>
    <mergeCell ref="M11:M14"/>
    <mergeCell ref="N11:O11"/>
    <mergeCell ref="P11:Q11"/>
    <mergeCell ref="K53:Q53"/>
    <mergeCell ref="K59:Q59"/>
    <mergeCell ref="K60:Q60"/>
    <mergeCell ref="A9:R9"/>
    <mergeCell ref="A11:A14"/>
    <mergeCell ref="B11:C11"/>
    <mergeCell ref="D11:D14"/>
    <mergeCell ref="E11:E14"/>
    <mergeCell ref="F11:F14"/>
    <mergeCell ref="G11:G14"/>
    <mergeCell ref="H11:J11"/>
    <mergeCell ref="K11:K14"/>
    <mergeCell ref="L11:L14"/>
    <mergeCell ref="B12:B14"/>
    <mergeCell ref="C12:C14"/>
    <mergeCell ref="H12:H14"/>
    <mergeCell ref="I12:I14"/>
    <mergeCell ref="J12:J14"/>
    <mergeCell ref="A8:R8"/>
    <mergeCell ref="A1:R1"/>
    <mergeCell ref="A2:R2"/>
    <mergeCell ref="A3:R3"/>
    <mergeCell ref="A6:R6"/>
    <mergeCell ref="A7:R7"/>
  </mergeCells>
  <pageMargins left="0.12" right="0.2" top="0.74803149606299202" bottom="0.74803149606299202" header="0.31496062992126" footer="0.31496062992126"/>
  <pageSetup paperSize="5" orientation="landscape" horizontalDpi="300" verticalDpi="300" r:id="rId1"/>
  <headerFooter>
    <oddHeader>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Y62"/>
  <sheetViews>
    <sheetView tabSelected="1" view="pageLayout" workbookViewId="0">
      <selection activeCell="A8" sqref="A8:R8"/>
    </sheetView>
  </sheetViews>
  <sheetFormatPr defaultRowHeight="15"/>
  <cols>
    <col min="1" max="1" width="3.28515625" style="44" customWidth="1"/>
    <col min="2" max="2" width="8.42578125" style="81" customWidth="1"/>
    <col min="3" max="3" width="6" style="3" customWidth="1"/>
    <col min="4" max="4" width="13.42578125" style="3" customWidth="1"/>
    <col min="5" max="5" width="12.42578125" style="3" customWidth="1"/>
    <col min="6" max="6" width="15" style="3" customWidth="1"/>
    <col min="7" max="7" width="9.28515625" style="3" customWidth="1"/>
    <col min="8" max="8" width="8.28515625" style="82" customWidth="1"/>
    <col min="9" max="9" width="11.28515625" style="82" customWidth="1"/>
    <col min="10" max="10" width="10.28515625" style="3" customWidth="1"/>
    <col min="11" max="11" width="7.7109375" style="44" customWidth="1"/>
    <col min="12" max="12" width="7.5703125" style="3" customWidth="1"/>
    <col min="13" max="13" width="7.5703125" style="44" customWidth="1"/>
    <col min="14" max="14" width="9.7109375" style="3" customWidth="1"/>
    <col min="15" max="16" width="9.42578125" style="3" customWidth="1"/>
    <col min="17" max="17" width="9.5703125" style="3" customWidth="1"/>
    <col min="18" max="18" width="4.140625" style="3" customWidth="1"/>
    <col min="19" max="24" width="9.140625" style="47"/>
    <col min="25" max="25" width="17" style="47" customWidth="1"/>
    <col min="26" max="16384" width="9.140625" style="47"/>
  </cols>
  <sheetData>
    <row r="1" spans="1:18" ht="15.75">
      <c r="A1" s="185" t="s">
        <v>86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spans="1:18" ht="15.75">
      <c r="A2" s="185" t="s">
        <v>98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8" ht="10.5" customHeight="1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</row>
    <row r="4" spans="1:18">
      <c r="A4" s="45"/>
      <c r="B4" s="45"/>
      <c r="C4" s="45"/>
      <c r="D4" s="45"/>
      <c r="E4" s="45"/>
      <c r="F4" s="72"/>
      <c r="G4" s="8" t="s">
        <v>87</v>
      </c>
      <c r="H4" s="9" t="s">
        <v>91</v>
      </c>
      <c r="I4" s="25"/>
      <c r="J4" s="45"/>
      <c r="K4" s="45"/>
      <c r="L4" s="45"/>
      <c r="M4" s="45"/>
      <c r="N4" s="45"/>
      <c r="O4" s="45"/>
      <c r="P4" s="45"/>
      <c r="Q4" s="45"/>
      <c r="R4" s="45"/>
    </row>
    <row r="5" spans="1:18">
      <c r="A5" s="45"/>
      <c r="B5" s="45"/>
      <c r="C5" s="45"/>
      <c r="D5" s="45"/>
      <c r="E5" s="45"/>
      <c r="F5" s="72"/>
      <c r="G5" s="8" t="s">
        <v>88</v>
      </c>
      <c r="H5" s="9" t="s">
        <v>92</v>
      </c>
      <c r="I5" s="25"/>
      <c r="J5" s="45"/>
      <c r="K5" s="45"/>
      <c r="L5" s="45"/>
      <c r="M5" s="45"/>
      <c r="N5" s="45"/>
      <c r="O5" s="45"/>
      <c r="P5" s="45"/>
      <c r="Q5" s="45"/>
      <c r="R5" s="45"/>
    </row>
    <row r="6" spans="1:18" ht="15" customHeight="1">
      <c r="A6" s="176" t="s">
        <v>97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</row>
    <row r="7" spans="1:18" ht="15" customHeight="1">
      <c r="A7" s="176" t="s">
        <v>90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5" customHeight="1">
      <c r="A8" s="176" t="s">
        <v>89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</row>
    <row r="9" spans="1:18" ht="15" customHeight="1">
      <c r="A9" s="176" t="s">
        <v>93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</row>
    <row r="10" spans="1:18" ht="15.75" thickBot="1">
      <c r="B10" s="44"/>
      <c r="C10" s="44"/>
      <c r="D10" s="44"/>
      <c r="E10" s="44"/>
      <c r="F10" s="44"/>
      <c r="G10" s="44"/>
      <c r="H10" s="44"/>
      <c r="I10" s="26"/>
      <c r="J10" s="44"/>
      <c r="L10" s="44"/>
      <c r="N10" s="44"/>
      <c r="O10" s="44"/>
      <c r="P10" s="44"/>
      <c r="Q10" s="44"/>
      <c r="R10" s="44"/>
    </row>
    <row r="11" spans="1:18" ht="26.25" customHeight="1">
      <c r="A11" s="180" t="s">
        <v>0</v>
      </c>
      <c r="B11" s="177" t="s">
        <v>14</v>
      </c>
      <c r="C11" s="177"/>
      <c r="D11" s="177" t="s">
        <v>3</v>
      </c>
      <c r="E11" s="177" t="s">
        <v>4</v>
      </c>
      <c r="F11" s="177" t="s">
        <v>5</v>
      </c>
      <c r="G11" s="205" t="s">
        <v>6</v>
      </c>
      <c r="H11" s="177" t="s">
        <v>15</v>
      </c>
      <c r="I11" s="177"/>
      <c r="J11" s="177"/>
      <c r="K11" s="177" t="s">
        <v>9</v>
      </c>
      <c r="L11" s="177" t="s">
        <v>10</v>
      </c>
      <c r="M11" s="177" t="s">
        <v>99</v>
      </c>
      <c r="N11" s="209" t="s">
        <v>16</v>
      </c>
      <c r="O11" s="210"/>
      <c r="P11" s="209" t="s">
        <v>17</v>
      </c>
      <c r="Q11" s="210"/>
      <c r="R11" s="188" t="s">
        <v>236</v>
      </c>
    </row>
    <row r="12" spans="1:18">
      <c r="A12" s="181"/>
      <c r="B12" s="178" t="s">
        <v>1</v>
      </c>
      <c r="C12" s="178" t="s">
        <v>2</v>
      </c>
      <c r="D12" s="178"/>
      <c r="E12" s="178"/>
      <c r="F12" s="178"/>
      <c r="G12" s="206"/>
      <c r="H12" s="183" t="s">
        <v>22</v>
      </c>
      <c r="I12" s="184" t="s">
        <v>7</v>
      </c>
      <c r="J12" s="179" t="s">
        <v>8</v>
      </c>
      <c r="K12" s="178"/>
      <c r="L12" s="178"/>
      <c r="M12" s="178"/>
      <c r="N12" s="178" t="s">
        <v>12</v>
      </c>
      <c r="O12" s="178" t="s">
        <v>13</v>
      </c>
      <c r="P12" s="178" t="s">
        <v>12</v>
      </c>
      <c r="Q12" s="178" t="s">
        <v>13</v>
      </c>
      <c r="R12" s="189"/>
    </row>
    <row r="13" spans="1:18">
      <c r="A13" s="181"/>
      <c r="B13" s="178"/>
      <c r="C13" s="178"/>
      <c r="D13" s="178"/>
      <c r="E13" s="178"/>
      <c r="F13" s="178"/>
      <c r="G13" s="206"/>
      <c r="H13" s="183"/>
      <c r="I13" s="207"/>
      <c r="J13" s="206"/>
      <c r="K13" s="178"/>
      <c r="L13" s="178"/>
      <c r="M13" s="178"/>
      <c r="N13" s="178"/>
      <c r="O13" s="178"/>
      <c r="P13" s="178"/>
      <c r="Q13" s="178"/>
      <c r="R13" s="189"/>
    </row>
    <row r="14" spans="1:18" ht="19.5" customHeight="1" thickBot="1">
      <c r="A14" s="182"/>
      <c r="B14" s="179"/>
      <c r="C14" s="179"/>
      <c r="D14" s="179"/>
      <c r="E14" s="179"/>
      <c r="F14" s="179"/>
      <c r="G14" s="206"/>
      <c r="H14" s="184"/>
      <c r="I14" s="207"/>
      <c r="J14" s="206"/>
      <c r="K14" s="179"/>
      <c r="L14" s="179"/>
      <c r="M14" s="179"/>
      <c r="N14" s="179"/>
      <c r="O14" s="179"/>
      <c r="P14" s="179"/>
      <c r="Q14" s="179"/>
      <c r="R14" s="190"/>
    </row>
    <row r="15" spans="1:18" ht="16.5" thickTop="1" thickBot="1">
      <c r="A15" s="113">
        <v>1</v>
      </c>
      <c r="B15" s="114">
        <v>2</v>
      </c>
      <c r="C15" s="115">
        <v>3</v>
      </c>
      <c r="D15" s="115">
        <v>4</v>
      </c>
      <c r="E15" s="115">
        <v>5</v>
      </c>
      <c r="F15" s="115">
        <v>6</v>
      </c>
      <c r="G15" s="115">
        <v>7</v>
      </c>
      <c r="H15" s="116">
        <v>8</v>
      </c>
      <c r="I15" s="116">
        <v>9</v>
      </c>
      <c r="J15" s="115">
        <v>10</v>
      </c>
      <c r="K15" s="115">
        <v>11</v>
      </c>
      <c r="L15" s="115">
        <v>12</v>
      </c>
      <c r="M15" s="115">
        <v>13</v>
      </c>
      <c r="N15" s="115">
        <v>14</v>
      </c>
      <c r="O15" s="115">
        <v>15</v>
      </c>
      <c r="P15" s="115">
        <v>16</v>
      </c>
      <c r="Q15" s="115">
        <v>17</v>
      </c>
      <c r="R15" s="117">
        <v>18</v>
      </c>
    </row>
    <row r="16" spans="1:18" ht="36.75" thickTop="1">
      <c r="A16" s="249">
        <v>1</v>
      </c>
      <c r="B16" s="119" t="s">
        <v>314</v>
      </c>
      <c r="C16" s="119" t="s">
        <v>18</v>
      </c>
      <c r="D16" s="250" t="s">
        <v>315</v>
      </c>
      <c r="E16" s="251" t="s">
        <v>310</v>
      </c>
      <c r="F16" s="251" t="s">
        <v>66</v>
      </c>
      <c r="G16" s="251" t="s">
        <v>49</v>
      </c>
      <c r="H16" s="252"/>
      <c r="I16" s="252">
        <v>10000000</v>
      </c>
      <c r="J16" s="250"/>
      <c r="K16" s="250" t="s">
        <v>316</v>
      </c>
      <c r="L16" s="251" t="s">
        <v>32</v>
      </c>
      <c r="M16" s="251" t="s">
        <v>75</v>
      </c>
      <c r="N16" s="253">
        <v>41428</v>
      </c>
      <c r="O16" s="253">
        <v>41368</v>
      </c>
      <c r="P16" s="253">
        <v>41368</v>
      </c>
      <c r="Q16" s="253">
        <v>41369</v>
      </c>
      <c r="R16" s="254"/>
    </row>
    <row r="17" spans="1:18" ht="36">
      <c r="A17" s="255">
        <v>2</v>
      </c>
      <c r="B17" s="11" t="s">
        <v>309</v>
      </c>
      <c r="C17" s="11" t="s">
        <v>18</v>
      </c>
      <c r="D17" s="256" t="s">
        <v>105</v>
      </c>
      <c r="E17" s="256" t="s">
        <v>310</v>
      </c>
      <c r="F17" s="256" t="s">
        <v>66</v>
      </c>
      <c r="G17" s="256" t="s">
        <v>49</v>
      </c>
      <c r="H17" s="28"/>
      <c r="I17" s="28">
        <v>50000000</v>
      </c>
      <c r="J17" s="256"/>
      <c r="K17" s="256" t="s">
        <v>311</v>
      </c>
      <c r="L17" s="256" t="s">
        <v>32</v>
      </c>
      <c r="M17" s="256" t="s">
        <v>75</v>
      </c>
      <c r="N17" s="13">
        <v>41428</v>
      </c>
      <c r="O17" s="13">
        <v>41368</v>
      </c>
      <c r="P17" s="13">
        <v>41368</v>
      </c>
      <c r="Q17" s="13">
        <v>41369</v>
      </c>
      <c r="R17" s="257"/>
    </row>
    <row r="18" spans="1:18" ht="36">
      <c r="A18" s="255">
        <v>3</v>
      </c>
      <c r="B18" s="11" t="s">
        <v>313</v>
      </c>
      <c r="C18" s="11" t="s">
        <v>18</v>
      </c>
      <c r="D18" s="256" t="s">
        <v>325</v>
      </c>
      <c r="E18" s="256" t="s">
        <v>310</v>
      </c>
      <c r="F18" s="256" t="s">
        <v>66</v>
      </c>
      <c r="G18" s="256" t="s">
        <v>49</v>
      </c>
      <c r="H18" s="28"/>
      <c r="I18" s="28">
        <v>25000000</v>
      </c>
      <c r="J18" s="256"/>
      <c r="K18" s="256" t="s">
        <v>318</v>
      </c>
      <c r="L18" s="256" t="s">
        <v>32</v>
      </c>
      <c r="M18" s="256" t="s">
        <v>75</v>
      </c>
      <c r="N18" s="13">
        <v>41427</v>
      </c>
      <c r="O18" s="13">
        <v>41367</v>
      </c>
      <c r="P18" s="13">
        <v>41367</v>
      </c>
      <c r="Q18" s="13">
        <v>41368</v>
      </c>
      <c r="R18" s="257"/>
    </row>
    <row r="19" spans="1:18" ht="36">
      <c r="A19" s="255">
        <v>4</v>
      </c>
      <c r="B19" s="11" t="s">
        <v>313</v>
      </c>
      <c r="C19" s="11" t="s">
        <v>18</v>
      </c>
      <c r="D19" s="256" t="s">
        <v>312</v>
      </c>
      <c r="E19" s="256" t="s">
        <v>310</v>
      </c>
      <c r="F19" s="256" t="s">
        <v>66</v>
      </c>
      <c r="G19" s="256" t="s">
        <v>49</v>
      </c>
      <c r="H19" s="28"/>
      <c r="I19" s="28">
        <v>60000000</v>
      </c>
      <c r="J19" s="256"/>
      <c r="K19" s="256" t="s">
        <v>317</v>
      </c>
      <c r="L19" s="256" t="s">
        <v>32</v>
      </c>
      <c r="M19" s="256" t="s">
        <v>75</v>
      </c>
      <c r="N19" s="13">
        <v>41427</v>
      </c>
      <c r="O19" s="13">
        <v>41367</v>
      </c>
      <c r="P19" s="13">
        <v>41367</v>
      </c>
      <c r="Q19" s="13">
        <v>41368</v>
      </c>
      <c r="R19" s="257"/>
    </row>
    <row r="20" spans="1:18" ht="36">
      <c r="A20" s="255">
        <v>5</v>
      </c>
      <c r="B20" s="11" t="s">
        <v>320</v>
      </c>
      <c r="C20" s="11" t="s">
        <v>18</v>
      </c>
      <c r="D20" s="256" t="s">
        <v>319</v>
      </c>
      <c r="E20" s="256" t="s">
        <v>310</v>
      </c>
      <c r="F20" s="256" t="s">
        <v>66</v>
      </c>
      <c r="G20" s="256" t="s">
        <v>49</v>
      </c>
      <c r="H20" s="28"/>
      <c r="I20" s="28">
        <v>25000000</v>
      </c>
      <c r="J20" s="256"/>
      <c r="K20" s="256" t="s">
        <v>321</v>
      </c>
      <c r="L20" s="256" t="s">
        <v>32</v>
      </c>
      <c r="M20" s="256" t="s">
        <v>75</v>
      </c>
      <c r="N20" s="13">
        <v>41428</v>
      </c>
      <c r="O20" s="13">
        <v>41368</v>
      </c>
      <c r="P20" s="13">
        <v>41368</v>
      </c>
      <c r="Q20" s="13">
        <v>41369</v>
      </c>
      <c r="R20" s="257"/>
    </row>
    <row r="21" spans="1:18" ht="36">
      <c r="A21" s="255">
        <v>6</v>
      </c>
      <c r="B21" s="11" t="s">
        <v>322</v>
      </c>
      <c r="C21" s="11" t="s">
        <v>18</v>
      </c>
      <c r="D21" s="256" t="s">
        <v>323</v>
      </c>
      <c r="E21" s="256" t="s">
        <v>324</v>
      </c>
      <c r="F21" s="256" t="s">
        <v>66</v>
      </c>
      <c r="G21" s="256" t="s">
        <v>49</v>
      </c>
      <c r="H21" s="28"/>
      <c r="I21" s="28">
        <v>18500000</v>
      </c>
      <c r="J21" s="256"/>
      <c r="K21" s="256" t="s">
        <v>317</v>
      </c>
      <c r="L21" s="256" t="s">
        <v>32</v>
      </c>
      <c r="M21" s="256" t="s">
        <v>75</v>
      </c>
      <c r="N21" s="13">
        <v>41427</v>
      </c>
      <c r="O21" s="13">
        <v>41367</v>
      </c>
      <c r="P21" s="13">
        <v>41367</v>
      </c>
      <c r="Q21" s="13">
        <v>41368</v>
      </c>
      <c r="R21" s="257"/>
    </row>
    <row r="22" spans="1:18" ht="36">
      <c r="A22" s="255">
        <v>7</v>
      </c>
      <c r="B22" s="11" t="s">
        <v>327</v>
      </c>
      <c r="C22" s="11" t="s">
        <v>18</v>
      </c>
      <c r="D22" s="256" t="s">
        <v>326</v>
      </c>
      <c r="E22" s="256" t="s">
        <v>324</v>
      </c>
      <c r="F22" s="256" t="s">
        <v>66</v>
      </c>
      <c r="G22" s="256" t="s">
        <v>49</v>
      </c>
      <c r="H22" s="28"/>
      <c r="I22" s="28">
        <v>20000000</v>
      </c>
      <c r="J22" s="256"/>
      <c r="K22" s="256" t="s">
        <v>321</v>
      </c>
      <c r="L22" s="256" t="s">
        <v>32</v>
      </c>
      <c r="M22" s="256" t="s">
        <v>75</v>
      </c>
      <c r="N22" s="13">
        <v>41427</v>
      </c>
      <c r="O22" s="13">
        <v>41367</v>
      </c>
      <c r="P22" s="13">
        <v>41367</v>
      </c>
      <c r="Q22" s="13">
        <v>41368</v>
      </c>
      <c r="R22" s="257"/>
    </row>
    <row r="23" spans="1:18" ht="36">
      <c r="A23" s="255">
        <v>8</v>
      </c>
      <c r="B23" s="11" t="s">
        <v>328</v>
      </c>
      <c r="C23" s="11" t="s">
        <v>18</v>
      </c>
      <c r="D23" s="256" t="s">
        <v>101</v>
      </c>
      <c r="E23" s="256" t="s">
        <v>324</v>
      </c>
      <c r="F23" s="256" t="s">
        <v>66</v>
      </c>
      <c r="G23" s="256" t="s">
        <v>49</v>
      </c>
      <c r="H23" s="28"/>
      <c r="I23" s="28">
        <v>75000000</v>
      </c>
      <c r="J23" s="256"/>
      <c r="K23" s="256" t="s">
        <v>318</v>
      </c>
      <c r="L23" s="256" t="s">
        <v>32</v>
      </c>
      <c r="M23" s="256" t="s">
        <v>75</v>
      </c>
      <c r="N23" s="13">
        <v>41427</v>
      </c>
      <c r="O23" s="13">
        <v>41367</v>
      </c>
      <c r="P23" s="13">
        <v>41367</v>
      </c>
      <c r="Q23" s="13">
        <v>41368</v>
      </c>
      <c r="R23" s="257"/>
    </row>
    <row r="24" spans="1:18" ht="36">
      <c r="A24" s="255">
        <v>9</v>
      </c>
      <c r="B24" s="11" t="s">
        <v>329</v>
      </c>
      <c r="C24" s="11" t="s">
        <v>18</v>
      </c>
      <c r="D24" s="256" t="s">
        <v>330</v>
      </c>
      <c r="E24" s="256" t="s">
        <v>324</v>
      </c>
      <c r="F24" s="256" t="s">
        <v>66</v>
      </c>
      <c r="G24" s="256" t="s">
        <v>49</v>
      </c>
      <c r="H24" s="28"/>
      <c r="I24" s="28">
        <v>10500000</v>
      </c>
      <c r="J24" s="256"/>
      <c r="K24" s="256" t="s">
        <v>331</v>
      </c>
      <c r="L24" s="256" t="s">
        <v>32</v>
      </c>
      <c r="M24" s="256" t="s">
        <v>75</v>
      </c>
      <c r="N24" s="13">
        <v>41427</v>
      </c>
      <c r="O24" s="13">
        <v>41367</v>
      </c>
      <c r="P24" s="13">
        <v>41367</v>
      </c>
      <c r="Q24" s="13">
        <v>41368</v>
      </c>
      <c r="R24" s="257"/>
    </row>
    <row r="25" spans="1:18" ht="36">
      <c r="A25" s="255">
        <v>10</v>
      </c>
      <c r="B25" s="11" t="s">
        <v>332</v>
      </c>
      <c r="C25" s="11" t="s">
        <v>18</v>
      </c>
      <c r="D25" s="256" t="s">
        <v>333</v>
      </c>
      <c r="E25" s="256" t="s">
        <v>324</v>
      </c>
      <c r="F25" s="256" t="s">
        <v>66</v>
      </c>
      <c r="G25" s="256" t="s">
        <v>49</v>
      </c>
      <c r="H25" s="28"/>
      <c r="I25" s="28">
        <v>19592000</v>
      </c>
      <c r="J25" s="256"/>
      <c r="K25" s="256" t="s">
        <v>316</v>
      </c>
      <c r="L25" s="256" t="s">
        <v>32</v>
      </c>
      <c r="M25" s="256" t="s">
        <v>75</v>
      </c>
      <c r="N25" s="13">
        <v>41427</v>
      </c>
      <c r="O25" s="13">
        <v>41367</v>
      </c>
      <c r="P25" s="13">
        <v>41367</v>
      </c>
      <c r="Q25" s="13">
        <v>41368</v>
      </c>
      <c r="R25" s="257"/>
    </row>
    <row r="26" spans="1:18" ht="36">
      <c r="A26" s="255">
        <v>11</v>
      </c>
      <c r="B26" s="11" t="s">
        <v>335</v>
      </c>
      <c r="C26" s="11" t="s">
        <v>18</v>
      </c>
      <c r="D26" s="256" t="s">
        <v>334</v>
      </c>
      <c r="E26" s="256" t="s">
        <v>336</v>
      </c>
      <c r="F26" s="256" t="s">
        <v>66</v>
      </c>
      <c r="G26" s="256" t="s">
        <v>49</v>
      </c>
      <c r="H26" s="28"/>
      <c r="I26" s="28">
        <v>59000000</v>
      </c>
      <c r="J26" s="256"/>
      <c r="K26" s="256" t="s">
        <v>337</v>
      </c>
      <c r="L26" s="256" t="s">
        <v>32</v>
      </c>
      <c r="M26" s="256" t="s">
        <v>75</v>
      </c>
      <c r="N26" s="13">
        <v>41428</v>
      </c>
      <c r="O26" s="13">
        <v>41368</v>
      </c>
      <c r="P26" s="13">
        <v>41368</v>
      </c>
      <c r="Q26" s="13">
        <v>41370</v>
      </c>
      <c r="R26" s="257"/>
    </row>
    <row r="27" spans="1:18" ht="36">
      <c r="A27" s="255">
        <v>12</v>
      </c>
      <c r="B27" s="11" t="s">
        <v>338</v>
      </c>
      <c r="C27" s="11" t="s">
        <v>18</v>
      </c>
      <c r="D27" s="256" t="s">
        <v>339</v>
      </c>
      <c r="E27" s="256" t="s">
        <v>340</v>
      </c>
      <c r="F27" s="11" t="s">
        <v>83</v>
      </c>
      <c r="G27" s="256" t="s">
        <v>341</v>
      </c>
      <c r="H27" s="28"/>
      <c r="I27" s="28">
        <v>50000000</v>
      </c>
      <c r="J27" s="256"/>
      <c r="K27" s="256" t="s">
        <v>198</v>
      </c>
      <c r="L27" s="256" t="s">
        <v>32</v>
      </c>
      <c r="M27" s="256" t="s">
        <v>75</v>
      </c>
      <c r="N27" s="13">
        <v>41431</v>
      </c>
      <c r="O27" s="13">
        <v>41371</v>
      </c>
      <c r="P27" s="13">
        <v>41371</v>
      </c>
      <c r="Q27" s="13">
        <v>41372</v>
      </c>
      <c r="R27" s="257"/>
    </row>
    <row r="28" spans="1:18" ht="41.25" customHeight="1">
      <c r="A28" s="255">
        <v>13</v>
      </c>
      <c r="B28" s="11" t="s">
        <v>174</v>
      </c>
      <c r="C28" s="11" t="s">
        <v>18</v>
      </c>
      <c r="D28" s="11" t="s">
        <v>175</v>
      </c>
      <c r="E28" s="11" t="s">
        <v>342</v>
      </c>
      <c r="F28" s="11" t="s">
        <v>83</v>
      </c>
      <c r="G28" s="15" t="s">
        <v>49</v>
      </c>
      <c r="H28" s="12"/>
      <c r="I28" s="27">
        <v>11000000</v>
      </c>
      <c r="J28" s="11"/>
      <c r="K28" s="10" t="s">
        <v>176</v>
      </c>
      <c r="L28" s="11" t="s">
        <v>32</v>
      </c>
      <c r="M28" s="10" t="s">
        <v>75</v>
      </c>
      <c r="N28" s="13">
        <v>41428</v>
      </c>
      <c r="O28" s="13">
        <v>41368</v>
      </c>
      <c r="P28" s="13">
        <v>41368</v>
      </c>
      <c r="Q28" s="13">
        <v>41369</v>
      </c>
      <c r="R28" s="98"/>
    </row>
    <row r="29" spans="1:18" ht="42.75" customHeight="1">
      <c r="A29" s="255">
        <v>14</v>
      </c>
      <c r="B29" s="11" t="s">
        <v>177</v>
      </c>
      <c r="C29" s="11" t="s">
        <v>18</v>
      </c>
      <c r="D29" s="11" t="s">
        <v>175</v>
      </c>
      <c r="E29" s="11" t="s">
        <v>178</v>
      </c>
      <c r="F29" s="11" t="s">
        <v>83</v>
      </c>
      <c r="G29" s="15" t="s">
        <v>49</v>
      </c>
      <c r="H29" s="12"/>
      <c r="I29" s="27">
        <v>54800000</v>
      </c>
      <c r="J29" s="11"/>
      <c r="K29" s="10" t="s">
        <v>182</v>
      </c>
      <c r="L29" s="11" t="s">
        <v>32</v>
      </c>
      <c r="M29" s="10" t="s">
        <v>75</v>
      </c>
      <c r="N29" s="13">
        <v>41431</v>
      </c>
      <c r="O29" s="13">
        <v>41371</v>
      </c>
      <c r="P29" s="13">
        <v>41371</v>
      </c>
      <c r="Q29" s="13">
        <v>41372</v>
      </c>
      <c r="R29" s="98"/>
    </row>
    <row r="30" spans="1:18" ht="40.5" customHeight="1">
      <c r="A30" s="255">
        <v>15</v>
      </c>
      <c r="B30" s="11" t="s">
        <v>179</v>
      </c>
      <c r="C30" s="11" t="s">
        <v>18</v>
      </c>
      <c r="D30" s="11" t="s">
        <v>180</v>
      </c>
      <c r="E30" s="11" t="s">
        <v>343</v>
      </c>
      <c r="F30" s="11" t="s">
        <v>187</v>
      </c>
      <c r="G30" s="15" t="s">
        <v>49</v>
      </c>
      <c r="H30" s="12"/>
      <c r="I30" s="27">
        <v>50000000</v>
      </c>
      <c r="J30" s="11"/>
      <c r="K30" s="10" t="s">
        <v>123</v>
      </c>
      <c r="L30" s="11" t="s">
        <v>124</v>
      </c>
      <c r="M30" s="10" t="s">
        <v>75</v>
      </c>
      <c r="N30" s="13">
        <v>41428</v>
      </c>
      <c r="O30" s="13">
        <v>41368</v>
      </c>
      <c r="P30" s="13">
        <v>41368</v>
      </c>
      <c r="Q30" s="13">
        <v>41369</v>
      </c>
      <c r="R30" s="98"/>
    </row>
    <row r="31" spans="1:18" ht="75.75" customHeight="1">
      <c r="A31" s="255">
        <v>16</v>
      </c>
      <c r="B31" s="11" t="s">
        <v>183</v>
      </c>
      <c r="C31" s="11" t="s">
        <v>18</v>
      </c>
      <c r="D31" s="11" t="s">
        <v>185</v>
      </c>
      <c r="E31" s="11" t="s">
        <v>184</v>
      </c>
      <c r="F31" s="11" t="s">
        <v>187</v>
      </c>
      <c r="G31" s="15" t="s">
        <v>49</v>
      </c>
      <c r="H31" s="12"/>
      <c r="I31" s="27">
        <v>40000000</v>
      </c>
      <c r="J31" s="11"/>
      <c r="K31" s="10" t="s">
        <v>123</v>
      </c>
      <c r="L31" s="11" t="s">
        <v>124</v>
      </c>
      <c r="M31" s="10" t="s">
        <v>75</v>
      </c>
      <c r="N31" s="13">
        <v>41428</v>
      </c>
      <c r="O31" s="13">
        <v>41368</v>
      </c>
      <c r="P31" s="13">
        <v>41368</v>
      </c>
      <c r="Q31" s="13">
        <v>41369</v>
      </c>
      <c r="R31" s="98"/>
    </row>
    <row r="32" spans="1:18" ht="72">
      <c r="A32" s="255">
        <v>17</v>
      </c>
      <c r="B32" s="11" t="s">
        <v>183</v>
      </c>
      <c r="C32" s="11" t="s">
        <v>18</v>
      </c>
      <c r="D32" s="11" t="s">
        <v>186</v>
      </c>
      <c r="E32" s="11" t="s">
        <v>184</v>
      </c>
      <c r="F32" s="11" t="s">
        <v>187</v>
      </c>
      <c r="G32" s="15" t="s">
        <v>49</v>
      </c>
      <c r="H32" s="12"/>
      <c r="I32" s="27">
        <v>50000000</v>
      </c>
      <c r="J32" s="11"/>
      <c r="K32" s="10" t="s">
        <v>123</v>
      </c>
      <c r="L32" s="11" t="s">
        <v>124</v>
      </c>
      <c r="M32" s="10" t="s">
        <v>75</v>
      </c>
      <c r="N32" s="13">
        <v>41428</v>
      </c>
      <c r="O32" s="13">
        <v>41368</v>
      </c>
      <c r="P32" s="13">
        <v>41368</v>
      </c>
      <c r="Q32" s="13">
        <v>41370</v>
      </c>
      <c r="R32" s="98"/>
    </row>
    <row r="33" spans="1:24" ht="39" customHeight="1">
      <c r="A33" s="255">
        <v>18</v>
      </c>
      <c r="B33" s="11" t="s">
        <v>188</v>
      </c>
      <c r="C33" s="11" t="s">
        <v>18</v>
      </c>
      <c r="D33" s="11" t="s">
        <v>190</v>
      </c>
      <c r="E33" s="11" t="s">
        <v>189</v>
      </c>
      <c r="F33" s="11" t="s">
        <v>181</v>
      </c>
      <c r="G33" s="15" t="s">
        <v>49</v>
      </c>
      <c r="H33" s="12"/>
      <c r="I33" s="27">
        <v>50000000</v>
      </c>
      <c r="J33" s="11"/>
      <c r="K33" s="10" t="s">
        <v>123</v>
      </c>
      <c r="L33" s="11" t="s">
        <v>124</v>
      </c>
      <c r="M33" s="10" t="s">
        <v>75</v>
      </c>
      <c r="N33" s="13">
        <v>41428</v>
      </c>
      <c r="O33" s="13">
        <v>41368</v>
      </c>
      <c r="P33" s="13">
        <v>41368</v>
      </c>
      <c r="Q33" s="13">
        <v>41369</v>
      </c>
      <c r="R33" s="98"/>
    </row>
    <row r="34" spans="1:24" ht="36">
      <c r="A34" s="255">
        <v>19</v>
      </c>
      <c r="B34" s="11" t="s">
        <v>191</v>
      </c>
      <c r="C34" s="11" t="s">
        <v>18</v>
      </c>
      <c r="D34" s="11" t="s">
        <v>193</v>
      </c>
      <c r="E34" s="11" t="s">
        <v>192</v>
      </c>
      <c r="F34" s="11" t="s">
        <v>181</v>
      </c>
      <c r="G34" s="15" t="s">
        <v>49</v>
      </c>
      <c r="H34" s="12"/>
      <c r="I34" s="27">
        <v>14000000</v>
      </c>
      <c r="J34" s="11"/>
      <c r="K34" s="10" t="s">
        <v>194</v>
      </c>
      <c r="L34" s="11" t="s">
        <v>124</v>
      </c>
      <c r="M34" s="10" t="s">
        <v>75</v>
      </c>
      <c r="N34" s="13">
        <v>41427</v>
      </c>
      <c r="O34" s="13">
        <v>41367</v>
      </c>
      <c r="P34" s="13">
        <v>41367</v>
      </c>
      <c r="Q34" s="13">
        <v>41368</v>
      </c>
      <c r="R34" s="98"/>
    </row>
    <row r="35" spans="1:24" ht="60">
      <c r="A35" s="255">
        <v>20</v>
      </c>
      <c r="B35" s="11" t="s">
        <v>195</v>
      </c>
      <c r="C35" s="11" t="s">
        <v>18</v>
      </c>
      <c r="D35" s="11" t="s">
        <v>197</v>
      </c>
      <c r="E35" s="11" t="s">
        <v>196</v>
      </c>
      <c r="F35" s="11" t="s">
        <v>181</v>
      </c>
      <c r="G35" s="15" t="s">
        <v>49</v>
      </c>
      <c r="H35" s="12"/>
      <c r="I35" s="27">
        <v>15000000</v>
      </c>
      <c r="J35" s="11"/>
      <c r="K35" s="10" t="s">
        <v>198</v>
      </c>
      <c r="L35" s="11" t="s">
        <v>124</v>
      </c>
      <c r="M35" s="10" t="s">
        <v>75</v>
      </c>
      <c r="N35" s="13">
        <v>41427</v>
      </c>
      <c r="O35" s="13">
        <v>41367</v>
      </c>
      <c r="P35" s="13">
        <v>41367</v>
      </c>
      <c r="Q35" s="13">
        <v>41368</v>
      </c>
      <c r="R35" s="98"/>
    </row>
    <row r="36" spans="1:24" ht="48">
      <c r="A36" s="255">
        <v>21</v>
      </c>
      <c r="B36" s="11" t="s">
        <v>199</v>
      </c>
      <c r="C36" s="11" t="s">
        <v>18</v>
      </c>
      <c r="D36" s="11" t="s">
        <v>200</v>
      </c>
      <c r="E36" s="11" t="s">
        <v>201</v>
      </c>
      <c r="F36" s="11" t="s">
        <v>181</v>
      </c>
      <c r="G36" s="15" t="s">
        <v>49</v>
      </c>
      <c r="H36" s="12"/>
      <c r="I36" s="27">
        <v>120000000</v>
      </c>
      <c r="J36" s="11"/>
      <c r="K36" s="10" t="s">
        <v>202</v>
      </c>
      <c r="L36" s="11" t="s">
        <v>124</v>
      </c>
      <c r="M36" s="10" t="s">
        <v>75</v>
      </c>
      <c r="N36" s="13">
        <v>41428</v>
      </c>
      <c r="O36" s="13">
        <v>41368</v>
      </c>
      <c r="P36" s="13">
        <v>41368</v>
      </c>
      <c r="Q36" s="13">
        <v>41369</v>
      </c>
      <c r="R36" s="98"/>
      <c r="X36" s="111"/>
    </row>
    <row r="37" spans="1:24" ht="48">
      <c r="A37" s="255">
        <v>22</v>
      </c>
      <c r="B37" s="11" t="s">
        <v>199</v>
      </c>
      <c r="C37" s="11" t="s">
        <v>18</v>
      </c>
      <c r="D37" s="11" t="s">
        <v>203</v>
      </c>
      <c r="E37" s="11" t="s">
        <v>201</v>
      </c>
      <c r="F37" s="11" t="s">
        <v>204</v>
      </c>
      <c r="G37" s="15" t="s">
        <v>49</v>
      </c>
      <c r="H37" s="27"/>
      <c r="I37" s="27">
        <v>42000000</v>
      </c>
      <c r="J37" s="11"/>
      <c r="K37" s="10" t="s">
        <v>194</v>
      </c>
      <c r="L37" s="11" t="s">
        <v>124</v>
      </c>
      <c r="M37" s="10" t="s">
        <v>75</v>
      </c>
      <c r="N37" s="13">
        <v>41427</v>
      </c>
      <c r="O37" s="13">
        <v>41367</v>
      </c>
      <c r="P37" s="13">
        <v>41367</v>
      </c>
      <c r="Q37" s="13">
        <v>41368</v>
      </c>
      <c r="R37" s="98"/>
    </row>
    <row r="38" spans="1:24" ht="48">
      <c r="A38" s="255">
        <v>23</v>
      </c>
      <c r="B38" s="11" t="s">
        <v>205</v>
      </c>
      <c r="C38" s="11" t="s">
        <v>18</v>
      </c>
      <c r="D38" s="11" t="s">
        <v>206</v>
      </c>
      <c r="E38" s="11" t="s">
        <v>201</v>
      </c>
      <c r="F38" s="11" t="s">
        <v>207</v>
      </c>
      <c r="G38" s="15" t="s">
        <v>49</v>
      </c>
      <c r="H38" s="28"/>
      <c r="I38" s="28">
        <v>192000000</v>
      </c>
      <c r="J38" s="10"/>
      <c r="K38" s="10" t="s">
        <v>208</v>
      </c>
      <c r="L38" s="11" t="s">
        <v>124</v>
      </c>
      <c r="M38" s="10" t="s">
        <v>75</v>
      </c>
      <c r="N38" s="13">
        <v>41428</v>
      </c>
      <c r="O38" s="13">
        <v>41368</v>
      </c>
      <c r="P38" s="13">
        <v>41368</v>
      </c>
      <c r="Q38" s="13">
        <v>41370</v>
      </c>
      <c r="R38" s="98"/>
    </row>
    <row r="39" spans="1:24" ht="48">
      <c r="A39" s="255">
        <v>24</v>
      </c>
      <c r="B39" s="11" t="s">
        <v>205</v>
      </c>
      <c r="C39" s="11" t="s">
        <v>18</v>
      </c>
      <c r="D39" s="11" t="s">
        <v>209</v>
      </c>
      <c r="E39" s="11" t="s">
        <v>201</v>
      </c>
      <c r="F39" s="11" t="s">
        <v>207</v>
      </c>
      <c r="G39" s="15" t="s">
        <v>49</v>
      </c>
      <c r="H39" s="28"/>
      <c r="I39" s="28">
        <v>160000000</v>
      </c>
      <c r="J39" s="10"/>
      <c r="K39" s="10" t="s">
        <v>202</v>
      </c>
      <c r="L39" s="11" t="s">
        <v>124</v>
      </c>
      <c r="M39" s="10" t="s">
        <v>75</v>
      </c>
      <c r="N39" s="13">
        <v>41428</v>
      </c>
      <c r="O39" s="13">
        <v>41368</v>
      </c>
      <c r="P39" s="13">
        <v>41368</v>
      </c>
      <c r="Q39" s="13">
        <v>41370</v>
      </c>
      <c r="R39" s="98"/>
    </row>
    <row r="40" spans="1:24" ht="48">
      <c r="A40" s="255">
        <v>25</v>
      </c>
      <c r="B40" s="11" t="s">
        <v>205</v>
      </c>
      <c r="C40" s="11" t="s">
        <v>18</v>
      </c>
      <c r="D40" s="11" t="s">
        <v>210</v>
      </c>
      <c r="E40" s="11" t="s">
        <v>201</v>
      </c>
      <c r="F40" s="11" t="s">
        <v>207</v>
      </c>
      <c r="G40" s="15" t="s">
        <v>49</v>
      </c>
      <c r="H40" s="83"/>
      <c r="I40" s="83">
        <v>195000000</v>
      </c>
      <c r="J40" s="84"/>
      <c r="K40" s="14" t="s">
        <v>148</v>
      </c>
      <c r="L40" s="11" t="s">
        <v>124</v>
      </c>
      <c r="M40" s="10" t="s">
        <v>75</v>
      </c>
      <c r="N40" s="13">
        <v>41428</v>
      </c>
      <c r="O40" s="13">
        <v>41368</v>
      </c>
      <c r="P40" s="13">
        <v>41368</v>
      </c>
      <c r="Q40" s="13">
        <v>41370</v>
      </c>
      <c r="R40" s="120"/>
    </row>
    <row r="41" spans="1:24" ht="48">
      <c r="A41" s="255">
        <v>26</v>
      </c>
      <c r="B41" s="11" t="s">
        <v>205</v>
      </c>
      <c r="C41" s="11" t="s">
        <v>18</v>
      </c>
      <c r="D41" s="11" t="s">
        <v>211</v>
      </c>
      <c r="E41" s="11" t="s">
        <v>201</v>
      </c>
      <c r="F41" s="11" t="s">
        <v>207</v>
      </c>
      <c r="G41" s="15" t="s">
        <v>49</v>
      </c>
      <c r="H41" s="83"/>
      <c r="I41" s="83">
        <v>196000000</v>
      </c>
      <c r="J41" s="84"/>
      <c r="K41" s="10" t="s">
        <v>202</v>
      </c>
      <c r="L41" s="11" t="s">
        <v>124</v>
      </c>
      <c r="M41" s="10" t="s">
        <v>75</v>
      </c>
      <c r="N41" s="13">
        <v>41428</v>
      </c>
      <c r="O41" s="13">
        <v>41368</v>
      </c>
      <c r="P41" s="13">
        <v>41368</v>
      </c>
      <c r="Q41" s="13">
        <v>41370</v>
      </c>
      <c r="R41" s="120"/>
    </row>
    <row r="42" spans="1:24" ht="49.5" customHeight="1">
      <c r="A42" s="255">
        <v>27</v>
      </c>
      <c r="B42" s="11" t="s">
        <v>205</v>
      </c>
      <c r="C42" s="11" t="s">
        <v>18</v>
      </c>
      <c r="D42" s="11" t="s">
        <v>212</v>
      </c>
      <c r="E42" s="11" t="s">
        <v>201</v>
      </c>
      <c r="F42" s="11" t="s">
        <v>207</v>
      </c>
      <c r="G42" s="15" t="s">
        <v>49</v>
      </c>
      <c r="H42" s="83"/>
      <c r="I42" s="83">
        <v>120000000</v>
      </c>
      <c r="J42" s="84"/>
      <c r="K42" s="14" t="s">
        <v>198</v>
      </c>
      <c r="L42" s="11" t="s">
        <v>124</v>
      </c>
      <c r="M42" s="10" t="s">
        <v>75</v>
      </c>
      <c r="N42" s="13">
        <v>41428</v>
      </c>
      <c r="O42" s="13">
        <v>41368</v>
      </c>
      <c r="P42" s="13">
        <v>41368</v>
      </c>
      <c r="Q42" s="13">
        <v>41370</v>
      </c>
      <c r="R42" s="120"/>
    </row>
    <row r="43" spans="1:24" ht="48">
      <c r="A43" s="255">
        <v>28</v>
      </c>
      <c r="B43" s="11" t="s">
        <v>205</v>
      </c>
      <c r="C43" s="11" t="s">
        <v>18</v>
      </c>
      <c r="D43" s="11" t="s">
        <v>213</v>
      </c>
      <c r="E43" s="11" t="s">
        <v>201</v>
      </c>
      <c r="F43" s="11" t="s">
        <v>207</v>
      </c>
      <c r="G43" s="15" t="s">
        <v>49</v>
      </c>
      <c r="H43" s="83"/>
      <c r="I43" s="83">
        <v>195000000</v>
      </c>
      <c r="J43" s="84"/>
      <c r="K43" s="14" t="s">
        <v>148</v>
      </c>
      <c r="L43" s="11" t="s">
        <v>124</v>
      </c>
      <c r="M43" s="10" t="s">
        <v>75</v>
      </c>
      <c r="N43" s="13">
        <v>41428</v>
      </c>
      <c r="O43" s="13">
        <v>41368</v>
      </c>
      <c r="P43" s="13">
        <v>41368</v>
      </c>
      <c r="Q43" s="13">
        <v>41370</v>
      </c>
      <c r="R43" s="120"/>
    </row>
    <row r="44" spans="1:24" ht="48">
      <c r="A44" s="255">
        <v>29</v>
      </c>
      <c r="B44" s="11" t="s">
        <v>205</v>
      </c>
      <c r="C44" s="11" t="s">
        <v>18</v>
      </c>
      <c r="D44" s="11" t="s">
        <v>214</v>
      </c>
      <c r="E44" s="11" t="s">
        <v>201</v>
      </c>
      <c r="F44" s="11" t="s">
        <v>207</v>
      </c>
      <c r="G44" s="15" t="s">
        <v>49</v>
      </c>
      <c r="H44" s="83"/>
      <c r="I44" s="83">
        <v>160000000</v>
      </c>
      <c r="J44" s="84"/>
      <c r="K44" s="14" t="s">
        <v>202</v>
      </c>
      <c r="L44" s="11" t="s">
        <v>124</v>
      </c>
      <c r="M44" s="10" t="s">
        <v>75</v>
      </c>
      <c r="N44" s="13">
        <v>41428</v>
      </c>
      <c r="O44" s="13">
        <v>41368</v>
      </c>
      <c r="P44" s="13">
        <v>41368</v>
      </c>
      <c r="Q44" s="13">
        <v>41370</v>
      </c>
      <c r="R44" s="120"/>
    </row>
    <row r="45" spans="1:24" ht="48">
      <c r="A45" s="255">
        <v>30</v>
      </c>
      <c r="B45" s="11" t="s">
        <v>205</v>
      </c>
      <c r="C45" s="11" t="s">
        <v>18</v>
      </c>
      <c r="D45" s="11" t="s">
        <v>215</v>
      </c>
      <c r="E45" s="11" t="s">
        <v>201</v>
      </c>
      <c r="F45" s="11" t="s">
        <v>207</v>
      </c>
      <c r="G45" s="15" t="s">
        <v>49</v>
      </c>
      <c r="H45" s="83"/>
      <c r="I45" s="83">
        <v>120000000</v>
      </c>
      <c r="J45" s="84"/>
      <c r="K45" s="14" t="s">
        <v>202</v>
      </c>
      <c r="L45" s="11" t="s">
        <v>124</v>
      </c>
      <c r="M45" s="10" t="s">
        <v>75</v>
      </c>
      <c r="N45" s="13">
        <v>41428</v>
      </c>
      <c r="O45" s="13">
        <v>41368</v>
      </c>
      <c r="P45" s="13">
        <v>41368</v>
      </c>
      <c r="Q45" s="13">
        <v>41370</v>
      </c>
      <c r="R45" s="120"/>
    </row>
    <row r="46" spans="1:24" ht="48">
      <c r="A46" s="255">
        <v>31</v>
      </c>
      <c r="B46" s="11" t="s">
        <v>205</v>
      </c>
      <c r="C46" s="11" t="s">
        <v>18</v>
      </c>
      <c r="D46" s="11" t="s">
        <v>216</v>
      </c>
      <c r="E46" s="11" t="s">
        <v>201</v>
      </c>
      <c r="F46" s="11" t="s">
        <v>207</v>
      </c>
      <c r="G46" s="15" t="s">
        <v>49</v>
      </c>
      <c r="H46" s="83"/>
      <c r="I46" s="83">
        <v>195000000</v>
      </c>
      <c r="J46" s="84"/>
      <c r="K46" s="14" t="s">
        <v>148</v>
      </c>
      <c r="L46" s="11" t="s">
        <v>124</v>
      </c>
      <c r="M46" s="10" t="s">
        <v>75</v>
      </c>
      <c r="N46" s="13">
        <v>41428</v>
      </c>
      <c r="O46" s="13">
        <v>41368</v>
      </c>
      <c r="P46" s="13">
        <v>41368</v>
      </c>
      <c r="Q46" s="13">
        <v>41370</v>
      </c>
      <c r="R46" s="120"/>
    </row>
    <row r="47" spans="1:24" ht="57" customHeight="1">
      <c r="A47" s="255">
        <v>32</v>
      </c>
      <c r="B47" s="11" t="s">
        <v>205</v>
      </c>
      <c r="C47" s="11" t="s">
        <v>18</v>
      </c>
      <c r="D47" s="11" t="s">
        <v>217</v>
      </c>
      <c r="E47" s="11" t="s">
        <v>201</v>
      </c>
      <c r="F47" s="11" t="s">
        <v>207</v>
      </c>
      <c r="G47" s="15" t="s">
        <v>49</v>
      </c>
      <c r="H47" s="83"/>
      <c r="I47" s="83">
        <v>180000000</v>
      </c>
      <c r="J47" s="84"/>
      <c r="K47" s="14" t="s">
        <v>147</v>
      </c>
      <c r="L47" s="11" t="s">
        <v>124</v>
      </c>
      <c r="M47" s="10" t="s">
        <v>75</v>
      </c>
      <c r="N47" s="13">
        <v>41428</v>
      </c>
      <c r="O47" s="13">
        <v>41368</v>
      </c>
      <c r="P47" s="13">
        <v>41368</v>
      </c>
      <c r="Q47" s="13">
        <v>41370</v>
      </c>
      <c r="R47" s="120"/>
    </row>
    <row r="48" spans="1:24" ht="51" customHeight="1">
      <c r="A48" s="255">
        <v>33</v>
      </c>
      <c r="B48" s="11" t="s">
        <v>205</v>
      </c>
      <c r="C48" s="11" t="s">
        <v>18</v>
      </c>
      <c r="D48" s="11" t="s">
        <v>218</v>
      </c>
      <c r="E48" s="11" t="s">
        <v>201</v>
      </c>
      <c r="F48" s="11" t="s">
        <v>207</v>
      </c>
      <c r="G48" s="15" t="s">
        <v>49</v>
      </c>
      <c r="H48" s="83"/>
      <c r="I48" s="83">
        <v>70000000</v>
      </c>
      <c r="J48" s="84"/>
      <c r="K48" s="14" t="s">
        <v>123</v>
      </c>
      <c r="L48" s="11" t="s">
        <v>124</v>
      </c>
      <c r="M48" s="10" t="s">
        <v>75</v>
      </c>
      <c r="N48" s="13">
        <v>41428</v>
      </c>
      <c r="O48" s="13">
        <v>41368</v>
      </c>
      <c r="P48" s="13">
        <v>41368</v>
      </c>
      <c r="Q48" s="13">
        <v>41370</v>
      </c>
      <c r="R48" s="120"/>
    </row>
    <row r="49" spans="1:25" ht="51" customHeight="1">
      <c r="A49" s="255">
        <v>34</v>
      </c>
      <c r="B49" s="11" t="s">
        <v>205</v>
      </c>
      <c r="C49" s="11" t="s">
        <v>18</v>
      </c>
      <c r="D49" s="11" t="s">
        <v>219</v>
      </c>
      <c r="E49" s="11" t="s">
        <v>201</v>
      </c>
      <c r="F49" s="11" t="s">
        <v>207</v>
      </c>
      <c r="G49" s="15" t="s">
        <v>49</v>
      </c>
      <c r="H49" s="83"/>
      <c r="I49" s="83">
        <v>137000000</v>
      </c>
      <c r="J49" s="84"/>
      <c r="K49" s="14" t="s">
        <v>202</v>
      </c>
      <c r="L49" s="11" t="s">
        <v>124</v>
      </c>
      <c r="M49" s="10" t="s">
        <v>75</v>
      </c>
      <c r="N49" s="13">
        <v>41428</v>
      </c>
      <c r="O49" s="13">
        <v>41368</v>
      </c>
      <c r="P49" s="13">
        <v>41368</v>
      </c>
      <c r="Q49" s="13">
        <v>41370</v>
      </c>
      <c r="R49" s="120"/>
    </row>
    <row r="50" spans="1:25" ht="63" customHeight="1">
      <c r="A50" s="258">
        <v>35</v>
      </c>
      <c r="B50" s="11" t="s">
        <v>280</v>
      </c>
      <c r="C50" s="11" t="s">
        <v>18</v>
      </c>
      <c r="D50" s="11" t="s">
        <v>281</v>
      </c>
      <c r="E50" s="11" t="s">
        <v>80</v>
      </c>
      <c r="F50" s="11" t="s">
        <v>282</v>
      </c>
      <c r="G50" s="15" t="s">
        <v>49</v>
      </c>
      <c r="H50" s="83"/>
      <c r="I50" s="83">
        <v>145000000</v>
      </c>
      <c r="J50" s="84"/>
      <c r="K50" s="14" t="s">
        <v>198</v>
      </c>
      <c r="L50" s="11" t="s">
        <v>124</v>
      </c>
      <c r="M50" s="10" t="s">
        <v>75</v>
      </c>
      <c r="N50" s="13">
        <v>41428</v>
      </c>
      <c r="O50" s="13">
        <v>41368</v>
      </c>
      <c r="P50" s="13">
        <v>41368</v>
      </c>
      <c r="Q50" s="13">
        <v>41370</v>
      </c>
      <c r="R50" s="120"/>
    </row>
    <row r="51" spans="1:25" ht="42.75" customHeight="1" thickBot="1">
      <c r="A51" s="248">
        <v>36</v>
      </c>
      <c r="B51" s="100" t="s">
        <v>221</v>
      </c>
      <c r="C51" s="100" t="s">
        <v>18</v>
      </c>
      <c r="D51" s="100" t="s">
        <v>279</v>
      </c>
      <c r="E51" s="100" t="s">
        <v>278</v>
      </c>
      <c r="F51" s="100" t="s">
        <v>222</v>
      </c>
      <c r="G51" s="103" t="s">
        <v>113</v>
      </c>
      <c r="H51" s="149"/>
      <c r="I51" s="149">
        <v>40000000</v>
      </c>
      <c r="J51" s="148"/>
      <c r="K51" s="102" t="s">
        <v>223</v>
      </c>
      <c r="L51" s="100" t="s">
        <v>32</v>
      </c>
      <c r="M51" s="102" t="s">
        <v>75</v>
      </c>
      <c r="N51" s="104">
        <v>41429</v>
      </c>
      <c r="O51" s="104">
        <v>41369</v>
      </c>
      <c r="P51" s="104">
        <v>41369</v>
      </c>
      <c r="Q51" s="104">
        <v>41371</v>
      </c>
      <c r="R51" s="121"/>
      <c r="Y51" s="85">
        <f>SUM(I28:I51)</f>
        <v>2551800000</v>
      </c>
    </row>
    <row r="52" spans="1:25">
      <c r="A52" s="16"/>
      <c r="B52" s="17"/>
      <c r="C52" s="17"/>
      <c r="D52" s="17"/>
      <c r="E52" s="17"/>
      <c r="F52" s="17"/>
      <c r="G52" s="24"/>
      <c r="H52" s="77"/>
      <c r="I52" s="77"/>
      <c r="J52" s="23"/>
      <c r="K52" s="18"/>
      <c r="L52" s="17"/>
      <c r="M52" s="16"/>
      <c r="N52" s="19"/>
      <c r="O52" s="19"/>
      <c r="P52" s="19"/>
      <c r="Q52" s="19"/>
      <c r="R52" s="23"/>
    </row>
    <row r="53" spans="1:25">
      <c r="A53" s="16"/>
      <c r="B53" s="17"/>
      <c r="C53" s="17"/>
      <c r="D53" s="17"/>
      <c r="E53" s="17"/>
      <c r="F53" s="17"/>
      <c r="G53" s="24"/>
      <c r="H53" s="77"/>
      <c r="I53" s="77"/>
      <c r="J53" s="23"/>
      <c r="K53" s="18"/>
      <c r="L53" s="17"/>
      <c r="M53" s="16"/>
      <c r="N53" s="19"/>
      <c r="O53" s="19"/>
      <c r="P53" s="19"/>
      <c r="Q53" s="19"/>
      <c r="R53" s="23"/>
    </row>
    <row r="54" spans="1:25">
      <c r="A54" s="16"/>
      <c r="B54" s="17"/>
      <c r="C54" s="17"/>
      <c r="D54" s="17"/>
      <c r="E54" s="17"/>
      <c r="F54" s="17"/>
      <c r="G54" s="24"/>
      <c r="H54" s="77"/>
      <c r="I54" s="77"/>
      <c r="J54" s="23"/>
      <c r="K54" s="18"/>
      <c r="L54" s="17"/>
      <c r="M54" s="208" t="s">
        <v>224</v>
      </c>
      <c r="N54" s="208"/>
      <c r="O54" s="208"/>
      <c r="P54" s="208"/>
      <c r="Q54" s="208"/>
      <c r="R54" s="208"/>
    </row>
    <row r="55" spans="1:25">
      <c r="A55" s="16"/>
      <c r="B55" s="17"/>
      <c r="C55" s="17"/>
      <c r="D55" s="17"/>
      <c r="E55" s="17"/>
      <c r="F55" s="17"/>
      <c r="G55" s="24"/>
      <c r="H55" s="77"/>
      <c r="I55" s="77"/>
      <c r="J55" s="23"/>
      <c r="K55" s="18"/>
      <c r="L55" s="17"/>
      <c r="M55" s="172"/>
      <c r="N55" s="172"/>
      <c r="O55" s="172"/>
      <c r="P55" s="172"/>
      <c r="Q55" s="172"/>
      <c r="R55" s="172"/>
    </row>
    <row r="56" spans="1:25">
      <c r="A56" s="16"/>
      <c r="B56" s="17"/>
      <c r="C56" s="17"/>
      <c r="D56" s="17"/>
      <c r="E56" s="17"/>
      <c r="F56" s="17"/>
      <c r="G56" s="24"/>
      <c r="H56" s="77"/>
      <c r="I56" s="77"/>
      <c r="J56" s="23"/>
      <c r="K56" s="18"/>
      <c r="L56" s="17"/>
      <c r="M56" s="172"/>
      <c r="N56" s="172"/>
      <c r="O56" s="172"/>
      <c r="P56" s="172"/>
      <c r="Q56" s="172"/>
      <c r="R56" s="172"/>
    </row>
    <row r="57" spans="1:25">
      <c r="A57" s="16"/>
      <c r="B57" s="17"/>
      <c r="C57" s="17"/>
      <c r="D57" s="17"/>
      <c r="E57" s="17"/>
      <c r="F57" s="17"/>
      <c r="G57" s="24"/>
      <c r="H57" s="77"/>
      <c r="I57" s="77"/>
      <c r="J57" s="23"/>
      <c r="K57" s="18"/>
      <c r="L57" s="17"/>
      <c r="M57" s="165"/>
      <c r="N57" s="166"/>
      <c r="O57" s="166"/>
      <c r="P57" s="166"/>
      <c r="Q57" s="166"/>
      <c r="R57" s="167"/>
    </row>
    <row r="58" spans="1:25">
      <c r="A58" s="16"/>
      <c r="B58" s="17"/>
      <c r="C58" s="17"/>
      <c r="D58" s="17"/>
      <c r="E58" s="17"/>
      <c r="F58" s="17"/>
      <c r="G58" s="24"/>
      <c r="H58" s="77"/>
      <c r="I58" s="77"/>
      <c r="J58" s="23"/>
      <c r="K58" s="18"/>
      <c r="L58" s="17"/>
      <c r="M58" s="165"/>
      <c r="N58" s="166"/>
      <c r="O58" s="166"/>
      <c r="P58" s="166"/>
      <c r="Q58" s="166"/>
      <c r="R58" s="167"/>
    </row>
    <row r="59" spans="1:25">
      <c r="A59" s="20"/>
      <c r="B59" s="78"/>
      <c r="C59" s="21"/>
      <c r="D59" s="21"/>
      <c r="E59" s="21"/>
      <c r="F59" s="21"/>
      <c r="G59" s="21"/>
      <c r="H59" s="79"/>
      <c r="I59" s="79"/>
      <c r="J59" s="21"/>
      <c r="K59" s="20"/>
      <c r="L59" s="21"/>
      <c r="M59" s="168"/>
      <c r="N59" s="169"/>
      <c r="O59" s="169"/>
      <c r="P59" s="169"/>
      <c r="Q59" s="169"/>
      <c r="R59" s="169"/>
    </row>
    <row r="60" spans="1:25">
      <c r="A60" s="20"/>
      <c r="B60" s="78"/>
      <c r="C60" s="21"/>
      <c r="D60" s="21"/>
      <c r="E60" s="21"/>
      <c r="F60" s="21"/>
      <c r="G60" s="21"/>
      <c r="H60" s="79"/>
      <c r="I60" s="79"/>
      <c r="J60" s="21"/>
      <c r="K60" s="20"/>
      <c r="L60" s="21"/>
      <c r="M60" s="204" t="s">
        <v>94</v>
      </c>
      <c r="N60" s="204"/>
      <c r="O60" s="204"/>
      <c r="P60" s="204"/>
      <c r="Q60" s="204"/>
      <c r="R60" s="204"/>
    </row>
    <row r="61" spans="1:25">
      <c r="A61" s="20"/>
      <c r="B61" s="78"/>
      <c r="C61" s="21"/>
      <c r="D61" s="21"/>
      <c r="E61" s="21"/>
      <c r="F61" s="21"/>
      <c r="G61" s="21"/>
      <c r="H61" s="79"/>
      <c r="I61" s="79"/>
      <c r="J61" s="21"/>
      <c r="K61" s="20"/>
      <c r="L61" s="21"/>
      <c r="M61" s="199" t="s">
        <v>95</v>
      </c>
      <c r="N61" s="199"/>
      <c r="O61" s="199"/>
      <c r="P61" s="199"/>
      <c r="Q61" s="199"/>
      <c r="R61" s="199"/>
    </row>
    <row r="62" spans="1:25">
      <c r="A62" s="20"/>
      <c r="B62" s="78"/>
      <c r="C62" s="21"/>
      <c r="D62" s="21"/>
      <c r="E62" s="21"/>
      <c r="F62" s="21"/>
      <c r="G62" s="21"/>
      <c r="H62" s="79"/>
      <c r="I62" s="79"/>
      <c r="J62" s="21"/>
      <c r="K62" s="20"/>
      <c r="L62" s="21"/>
      <c r="M62" s="199" t="s">
        <v>96</v>
      </c>
      <c r="N62" s="199"/>
      <c r="O62" s="199"/>
      <c r="P62" s="199"/>
      <c r="Q62" s="199"/>
      <c r="R62" s="199"/>
    </row>
  </sheetData>
  <mergeCells count="33">
    <mergeCell ref="M62:R62"/>
    <mergeCell ref="M54:R54"/>
    <mergeCell ref="M11:M14"/>
    <mergeCell ref="N11:O11"/>
    <mergeCell ref="P11:Q11"/>
    <mergeCell ref="R11:R14"/>
    <mergeCell ref="N12:N14"/>
    <mergeCell ref="O12:O14"/>
    <mergeCell ref="P12:P14"/>
    <mergeCell ref="Q12:Q14"/>
    <mergeCell ref="M60:R60"/>
    <mergeCell ref="M61:R61"/>
    <mergeCell ref="A9:R9"/>
    <mergeCell ref="A11:A14"/>
    <mergeCell ref="B11:C11"/>
    <mergeCell ref="D11:D14"/>
    <mergeCell ref="E11:E14"/>
    <mergeCell ref="F11:F14"/>
    <mergeCell ref="G11:G14"/>
    <mergeCell ref="H11:J11"/>
    <mergeCell ref="K11:K14"/>
    <mergeCell ref="L11:L14"/>
    <mergeCell ref="B12:B14"/>
    <mergeCell ref="C12:C14"/>
    <mergeCell ref="H12:H14"/>
    <mergeCell ref="I12:I14"/>
    <mergeCell ref="J12:J14"/>
    <mergeCell ref="A8:R8"/>
    <mergeCell ref="A1:R1"/>
    <mergeCell ref="A2:R2"/>
    <mergeCell ref="A3:R3"/>
    <mergeCell ref="A6:R6"/>
    <mergeCell ref="A7:R7"/>
  </mergeCells>
  <pageMargins left="0.12" right="0.31496062992126" top="0.74803149606299202" bottom="0.74803149606299202" header="0.31496062992126" footer="0.31496062992126"/>
  <pageSetup paperSize="5" orientation="landscape" horizontalDpi="4294967293" verticalDpi="0" r:id="rId1"/>
  <headerFooter>
    <oddHeader>Page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B2:O178"/>
  <sheetViews>
    <sheetView topLeftCell="A4" workbookViewId="0">
      <selection activeCell="L28" sqref="L28"/>
    </sheetView>
  </sheetViews>
  <sheetFormatPr defaultRowHeight="15"/>
  <cols>
    <col min="1" max="1" width="2.42578125" style="47" customWidth="1"/>
    <col min="2" max="2" width="6.28515625" style="96" customWidth="1"/>
    <col min="3" max="3" width="11.140625" style="47" customWidth="1"/>
    <col min="4" max="4" width="5.140625" style="47" customWidth="1"/>
    <col min="5" max="5" width="23.140625" style="47" customWidth="1"/>
    <col min="6" max="6" width="9.28515625" style="96" customWidth="1"/>
    <col min="7" max="7" width="9.28515625" style="47" customWidth="1"/>
    <col min="8" max="8" width="14" style="47" customWidth="1"/>
    <col min="9" max="9" width="16.140625" style="47" customWidth="1"/>
    <col min="10" max="10" width="15.7109375" style="47" customWidth="1"/>
    <col min="11" max="11" width="9.140625" style="47"/>
    <col min="12" max="12" width="9" style="47" customWidth="1"/>
    <col min="13" max="13" width="13.7109375" style="47" customWidth="1"/>
    <col min="14" max="16384" width="9.140625" style="47"/>
  </cols>
  <sheetData>
    <row r="2" spans="2:15">
      <c r="B2" s="211" t="s">
        <v>225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2:15">
      <c r="B3" s="211" t="s">
        <v>226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</row>
    <row r="4" spans="2:15">
      <c r="B4" s="93"/>
      <c r="C4" s="91"/>
      <c r="D4" s="91"/>
      <c r="E4" s="91"/>
      <c r="F4" s="93"/>
      <c r="G4" s="91"/>
      <c r="H4" s="91"/>
      <c r="I4" s="91"/>
      <c r="J4" s="91"/>
      <c r="K4" s="91"/>
      <c r="L4" s="91"/>
      <c r="M4" s="91"/>
      <c r="N4" s="91"/>
      <c r="O4" s="91"/>
    </row>
    <row r="5" spans="2:15">
      <c r="B5" s="230" t="s">
        <v>227</v>
      </c>
      <c r="C5" s="230"/>
      <c r="D5" s="89" t="s">
        <v>229</v>
      </c>
      <c r="E5" s="89" t="s">
        <v>257</v>
      </c>
      <c r="F5" s="95"/>
      <c r="G5" s="91"/>
      <c r="H5" s="91"/>
      <c r="I5" s="91"/>
      <c r="J5" s="91"/>
      <c r="K5" s="91"/>
      <c r="L5" s="91"/>
      <c r="M5" s="91"/>
      <c r="N5" s="91"/>
      <c r="O5" s="91"/>
    </row>
    <row r="6" spans="2:15">
      <c r="B6" s="230" t="s">
        <v>2</v>
      </c>
      <c r="C6" s="230"/>
      <c r="D6" s="89" t="s">
        <v>229</v>
      </c>
      <c r="E6" s="89" t="s">
        <v>94</v>
      </c>
      <c r="F6" s="95"/>
      <c r="G6" s="91"/>
      <c r="H6" s="91"/>
      <c r="I6" s="91"/>
      <c r="J6" s="91"/>
      <c r="K6" s="91"/>
      <c r="L6" s="91"/>
      <c r="M6" s="91"/>
      <c r="N6" s="91"/>
      <c r="O6" s="91"/>
    </row>
    <row r="7" spans="2:15">
      <c r="B7" s="230" t="s">
        <v>228</v>
      </c>
      <c r="C7" s="230"/>
      <c r="D7" s="89" t="s">
        <v>229</v>
      </c>
      <c r="E7" s="89" t="s">
        <v>258</v>
      </c>
      <c r="F7" s="95"/>
      <c r="G7" s="91"/>
      <c r="H7" s="91"/>
      <c r="I7" s="91"/>
      <c r="J7" s="91"/>
      <c r="K7" s="91"/>
      <c r="L7" s="91"/>
      <c r="M7" s="91"/>
      <c r="N7" s="91"/>
      <c r="O7" s="91"/>
    </row>
    <row r="8" spans="2:15" ht="15.75" thickBot="1"/>
    <row r="9" spans="2:15" ht="15.75">
      <c r="B9" s="218" t="s">
        <v>0</v>
      </c>
      <c r="C9" s="213" t="s">
        <v>230</v>
      </c>
      <c r="D9" s="213"/>
      <c r="E9" s="213"/>
      <c r="F9" s="213" t="s">
        <v>9</v>
      </c>
      <c r="G9" s="213"/>
      <c r="H9" s="213" t="s">
        <v>231</v>
      </c>
      <c r="I9" s="213" t="s">
        <v>232</v>
      </c>
      <c r="J9" s="213" t="s">
        <v>233</v>
      </c>
      <c r="K9" s="213" t="s">
        <v>234</v>
      </c>
      <c r="L9" s="213" t="s">
        <v>235</v>
      </c>
      <c r="M9" s="213"/>
      <c r="N9" s="213"/>
      <c r="O9" s="214" t="s">
        <v>236</v>
      </c>
    </row>
    <row r="10" spans="2:15" ht="16.5" thickBot="1"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151" t="s">
        <v>237</v>
      </c>
      <c r="M10" s="151" t="s">
        <v>238</v>
      </c>
      <c r="N10" s="151" t="s">
        <v>239</v>
      </c>
      <c r="O10" s="215"/>
    </row>
    <row r="11" spans="2:15" ht="17.25" thickTop="1" thickBot="1">
      <c r="B11" s="157">
        <v>1</v>
      </c>
      <c r="C11" s="222">
        <v>2</v>
      </c>
      <c r="D11" s="222"/>
      <c r="E11" s="222"/>
      <c r="F11" s="222">
        <v>3</v>
      </c>
      <c r="G11" s="222"/>
      <c r="H11" s="158">
        <v>4</v>
      </c>
      <c r="I11" s="158">
        <v>5</v>
      </c>
      <c r="J11" s="158">
        <v>6</v>
      </c>
      <c r="K11" s="158">
        <v>7</v>
      </c>
      <c r="L11" s="158">
        <v>8</v>
      </c>
      <c r="M11" s="158">
        <v>9</v>
      </c>
      <c r="N11" s="158">
        <v>10</v>
      </c>
      <c r="O11" s="159">
        <v>11</v>
      </c>
    </row>
    <row r="12" spans="2:15" ht="15.75" thickTop="1">
      <c r="B12" s="152"/>
      <c r="C12" s="231" t="s">
        <v>240</v>
      </c>
      <c r="D12" s="231"/>
      <c r="E12" s="231"/>
      <c r="F12" s="153"/>
      <c r="G12" s="153"/>
      <c r="H12" s="154"/>
      <c r="I12" s="155"/>
      <c r="J12" s="154"/>
      <c r="K12" s="154"/>
      <c r="L12" s="154"/>
      <c r="M12" s="154"/>
      <c r="N12" s="154"/>
      <c r="O12" s="156"/>
    </row>
    <row r="13" spans="2:15">
      <c r="B13" s="53">
        <v>1</v>
      </c>
      <c r="C13" s="227" t="s">
        <v>293</v>
      </c>
      <c r="D13" s="228"/>
      <c r="E13" s="229"/>
      <c r="F13" s="48">
        <v>11</v>
      </c>
      <c r="G13" s="48" t="s">
        <v>292</v>
      </c>
      <c r="H13" s="50">
        <v>1000000</v>
      </c>
      <c r="I13" s="50">
        <f t="shared" ref="I13:I43" si="0">F13*H13</f>
        <v>11000000</v>
      </c>
      <c r="J13" s="49"/>
      <c r="K13" s="49"/>
      <c r="L13" s="49"/>
      <c r="M13" s="49"/>
      <c r="N13" s="49"/>
      <c r="O13" s="51"/>
    </row>
    <row r="14" spans="2:15">
      <c r="B14" s="53">
        <v>2</v>
      </c>
      <c r="C14" s="216" t="s">
        <v>241</v>
      </c>
      <c r="D14" s="216"/>
      <c r="E14" s="216"/>
      <c r="F14" s="48">
        <v>137</v>
      </c>
      <c r="G14" s="48" t="s">
        <v>253</v>
      </c>
      <c r="H14" s="50">
        <v>400000</v>
      </c>
      <c r="I14" s="50">
        <f t="shared" si="0"/>
        <v>54800000</v>
      </c>
      <c r="J14" s="49"/>
      <c r="K14" s="49"/>
      <c r="L14" s="49"/>
      <c r="M14" s="49"/>
      <c r="N14" s="49"/>
      <c r="O14" s="51"/>
    </row>
    <row r="15" spans="2:15">
      <c r="B15" s="53"/>
      <c r="C15" s="217" t="s">
        <v>242</v>
      </c>
      <c r="D15" s="217"/>
      <c r="E15" s="217"/>
      <c r="F15" s="48"/>
      <c r="G15" s="48"/>
      <c r="H15" s="50"/>
      <c r="I15" s="50"/>
      <c r="J15" s="49"/>
      <c r="K15" s="49"/>
      <c r="L15" s="49"/>
      <c r="M15" s="49"/>
      <c r="N15" s="49"/>
      <c r="O15" s="51"/>
    </row>
    <row r="16" spans="2:15">
      <c r="B16" s="53">
        <v>3</v>
      </c>
      <c r="C16" s="232" t="s">
        <v>294</v>
      </c>
      <c r="D16" s="233"/>
      <c r="E16" s="234"/>
      <c r="F16" s="48">
        <v>2</v>
      </c>
      <c r="G16" s="48" t="s">
        <v>254</v>
      </c>
      <c r="H16" s="50">
        <v>20000000</v>
      </c>
      <c r="I16" s="50">
        <f t="shared" si="0"/>
        <v>40000000</v>
      </c>
      <c r="J16" s="49"/>
      <c r="K16" s="49"/>
      <c r="L16" s="49"/>
      <c r="M16" s="49"/>
      <c r="N16" s="49"/>
      <c r="O16" s="51"/>
    </row>
    <row r="17" spans="2:15">
      <c r="B17" s="53">
        <v>4</v>
      </c>
      <c r="C17" s="227" t="s">
        <v>295</v>
      </c>
      <c r="D17" s="233"/>
      <c r="E17" s="234"/>
      <c r="F17" s="48"/>
      <c r="G17" s="48"/>
      <c r="H17" s="50">
        <v>14000000</v>
      </c>
      <c r="I17" s="50">
        <v>14000000</v>
      </c>
      <c r="J17" s="49"/>
      <c r="K17" s="49"/>
      <c r="L17" s="49"/>
      <c r="M17" s="49"/>
      <c r="N17" s="49"/>
      <c r="O17" s="51"/>
    </row>
    <row r="18" spans="2:15" ht="31.5" customHeight="1">
      <c r="B18" s="53">
        <v>5</v>
      </c>
      <c r="C18" s="223" t="s">
        <v>197</v>
      </c>
      <c r="D18" s="224"/>
      <c r="E18" s="225"/>
      <c r="F18" s="48">
        <v>1</v>
      </c>
      <c r="G18" s="48" t="s">
        <v>254</v>
      </c>
      <c r="H18" s="50">
        <v>15000000</v>
      </c>
      <c r="I18" s="50">
        <f t="shared" si="0"/>
        <v>15000000</v>
      </c>
      <c r="J18" s="49"/>
      <c r="K18" s="49"/>
      <c r="L18" s="49"/>
      <c r="M18" s="49"/>
      <c r="N18" s="49"/>
      <c r="O18" s="51"/>
    </row>
    <row r="19" spans="2:15">
      <c r="B19" s="53">
        <v>6</v>
      </c>
      <c r="C19" s="216" t="s">
        <v>186</v>
      </c>
      <c r="D19" s="216"/>
      <c r="E19" s="216"/>
      <c r="F19" s="48">
        <v>2</v>
      </c>
      <c r="G19" s="48"/>
      <c r="H19" s="50">
        <v>25000000</v>
      </c>
      <c r="I19" s="50">
        <f t="shared" si="0"/>
        <v>50000000</v>
      </c>
      <c r="J19" s="49"/>
      <c r="K19" s="49"/>
      <c r="L19" s="49"/>
      <c r="M19" s="49"/>
      <c r="N19" s="49"/>
      <c r="O19" s="51"/>
    </row>
    <row r="20" spans="2:15">
      <c r="B20" s="53"/>
      <c r="C20" s="217" t="s">
        <v>250</v>
      </c>
      <c r="D20" s="217"/>
      <c r="E20" s="217"/>
      <c r="F20" s="48"/>
      <c r="G20" s="48"/>
      <c r="H20" s="50"/>
      <c r="I20" s="50">
        <f t="shared" si="0"/>
        <v>0</v>
      </c>
      <c r="J20" s="49"/>
      <c r="K20" s="49"/>
      <c r="L20" s="49"/>
      <c r="M20" s="49"/>
      <c r="N20" s="49"/>
      <c r="O20" s="51"/>
    </row>
    <row r="21" spans="2:15">
      <c r="B21" s="53">
        <v>7</v>
      </c>
      <c r="C21" s="216" t="s">
        <v>190</v>
      </c>
      <c r="D21" s="216"/>
      <c r="E21" s="216"/>
      <c r="F21" s="48">
        <v>2</v>
      </c>
      <c r="G21" s="48"/>
      <c r="H21" s="50">
        <v>25000000</v>
      </c>
      <c r="I21" s="50">
        <f t="shared" si="0"/>
        <v>50000000</v>
      </c>
      <c r="J21" s="49"/>
      <c r="K21" s="49"/>
      <c r="L21" s="49"/>
      <c r="M21" s="49"/>
      <c r="N21" s="49"/>
      <c r="O21" s="51"/>
    </row>
    <row r="22" spans="2:15">
      <c r="B22" s="53"/>
      <c r="C22" s="217" t="s">
        <v>243</v>
      </c>
      <c r="D22" s="217"/>
      <c r="E22" s="217"/>
      <c r="F22" s="48"/>
      <c r="G22" s="48"/>
      <c r="H22" s="50"/>
      <c r="I22" s="50">
        <f t="shared" si="0"/>
        <v>0</v>
      </c>
      <c r="J22" s="49"/>
      <c r="K22" s="49"/>
      <c r="L22" s="49"/>
      <c r="M22" s="49"/>
      <c r="N22" s="49"/>
      <c r="O22" s="51"/>
    </row>
    <row r="23" spans="2:15">
      <c r="B23" s="53">
        <v>8</v>
      </c>
      <c r="C23" s="216" t="s">
        <v>180</v>
      </c>
      <c r="D23" s="216"/>
      <c r="E23" s="216"/>
      <c r="F23" s="48">
        <v>2</v>
      </c>
      <c r="G23" s="48" t="s">
        <v>254</v>
      </c>
      <c r="H23" s="50">
        <v>25000000</v>
      </c>
      <c r="I23" s="50">
        <f t="shared" si="0"/>
        <v>50000000</v>
      </c>
      <c r="J23" s="49"/>
      <c r="K23" s="49"/>
      <c r="L23" s="49"/>
      <c r="M23" s="49"/>
      <c r="N23" s="49"/>
      <c r="O23" s="51"/>
    </row>
    <row r="24" spans="2:15">
      <c r="B24" s="53">
        <v>9</v>
      </c>
      <c r="C24" s="216" t="s">
        <v>251</v>
      </c>
      <c r="D24" s="216"/>
      <c r="E24" s="216"/>
      <c r="F24" s="48">
        <v>4</v>
      </c>
      <c r="G24" s="48" t="s">
        <v>255</v>
      </c>
      <c r="H24" s="50">
        <v>30000000</v>
      </c>
      <c r="I24" s="50">
        <f t="shared" si="0"/>
        <v>120000000</v>
      </c>
      <c r="J24" s="49"/>
      <c r="K24" s="49"/>
      <c r="L24" s="49"/>
      <c r="M24" s="49"/>
      <c r="N24" s="49"/>
      <c r="O24" s="51"/>
    </row>
    <row r="25" spans="2:15">
      <c r="B25" s="53">
        <v>10</v>
      </c>
      <c r="C25" s="227" t="s">
        <v>203</v>
      </c>
      <c r="D25" s="228"/>
      <c r="E25" s="229"/>
      <c r="F25" s="48"/>
      <c r="G25" s="48"/>
      <c r="H25" s="50">
        <v>42000000</v>
      </c>
      <c r="I25" s="50">
        <v>42000000</v>
      </c>
      <c r="J25" s="49"/>
      <c r="K25" s="49"/>
      <c r="L25" s="49"/>
      <c r="M25" s="49"/>
      <c r="N25" s="49"/>
      <c r="O25" s="51"/>
    </row>
    <row r="26" spans="2:15">
      <c r="B26" s="53">
        <v>11</v>
      </c>
      <c r="C26" s="216" t="s">
        <v>206</v>
      </c>
      <c r="D26" s="216"/>
      <c r="E26" s="216"/>
      <c r="F26" s="48">
        <v>8</v>
      </c>
      <c r="G26" s="48" t="s">
        <v>256</v>
      </c>
      <c r="H26" s="50">
        <v>24000000</v>
      </c>
      <c r="I26" s="50">
        <f t="shared" si="0"/>
        <v>192000000</v>
      </c>
      <c r="J26" s="49"/>
      <c r="K26" s="49"/>
      <c r="L26" s="49"/>
      <c r="M26" s="49"/>
      <c r="N26" s="49"/>
      <c r="O26" s="51"/>
    </row>
    <row r="27" spans="2:15">
      <c r="B27" s="53">
        <v>12</v>
      </c>
      <c r="C27" s="216" t="s">
        <v>209</v>
      </c>
      <c r="D27" s="216"/>
      <c r="E27" s="216"/>
      <c r="F27" s="48">
        <v>4</v>
      </c>
      <c r="G27" s="48" t="s">
        <v>256</v>
      </c>
      <c r="H27" s="50">
        <v>40000000</v>
      </c>
      <c r="I27" s="50">
        <f t="shared" si="0"/>
        <v>160000000</v>
      </c>
      <c r="J27" s="49"/>
      <c r="K27" s="49"/>
      <c r="L27" s="49"/>
      <c r="M27" s="49"/>
      <c r="N27" s="49"/>
      <c r="O27" s="51"/>
    </row>
    <row r="28" spans="2:15">
      <c r="B28" s="53">
        <v>13</v>
      </c>
      <c r="C28" s="216" t="s">
        <v>210</v>
      </c>
      <c r="D28" s="216"/>
      <c r="E28" s="216"/>
      <c r="F28" s="48">
        <v>5</v>
      </c>
      <c r="G28" s="48" t="s">
        <v>256</v>
      </c>
      <c r="H28" s="50">
        <v>39000000</v>
      </c>
      <c r="I28" s="50">
        <f t="shared" si="0"/>
        <v>195000000</v>
      </c>
      <c r="J28" s="49"/>
      <c r="K28" s="49"/>
      <c r="L28" s="49"/>
      <c r="M28" s="49"/>
      <c r="N28" s="49"/>
      <c r="O28" s="51"/>
    </row>
    <row r="29" spans="2:15">
      <c r="B29" s="53">
        <v>14</v>
      </c>
      <c r="C29" s="216" t="s">
        <v>244</v>
      </c>
      <c r="D29" s="216"/>
      <c r="E29" s="216"/>
      <c r="F29" s="48">
        <v>4</v>
      </c>
      <c r="G29" s="48" t="s">
        <v>256</v>
      </c>
      <c r="H29" s="50">
        <v>49000000</v>
      </c>
      <c r="I29" s="50">
        <f t="shared" si="0"/>
        <v>196000000</v>
      </c>
      <c r="J29" s="49"/>
      <c r="K29" s="49"/>
      <c r="L29" s="49"/>
      <c r="M29" s="49"/>
      <c r="N29" s="49"/>
      <c r="O29" s="51"/>
    </row>
    <row r="30" spans="2:15">
      <c r="B30" s="53">
        <v>15</v>
      </c>
      <c r="C30" s="216" t="s">
        <v>245</v>
      </c>
      <c r="D30" s="216"/>
      <c r="E30" s="216"/>
      <c r="F30" s="48">
        <v>2</v>
      </c>
      <c r="G30" s="48" t="s">
        <v>256</v>
      </c>
      <c r="H30" s="50">
        <v>60000000</v>
      </c>
      <c r="I30" s="50">
        <f t="shared" si="0"/>
        <v>120000000</v>
      </c>
      <c r="J30" s="49"/>
      <c r="K30" s="49"/>
      <c r="L30" s="49"/>
      <c r="M30" s="49"/>
      <c r="N30" s="49"/>
      <c r="O30" s="51"/>
    </row>
    <row r="31" spans="2:15">
      <c r="B31" s="53">
        <v>16</v>
      </c>
      <c r="C31" s="216" t="s">
        <v>213</v>
      </c>
      <c r="D31" s="216"/>
      <c r="E31" s="216"/>
      <c r="F31" s="48">
        <v>5</v>
      </c>
      <c r="G31" s="48" t="s">
        <v>256</v>
      </c>
      <c r="H31" s="50">
        <v>39000000</v>
      </c>
      <c r="I31" s="50">
        <f t="shared" si="0"/>
        <v>195000000</v>
      </c>
      <c r="J31" s="49"/>
      <c r="K31" s="49"/>
      <c r="L31" s="49"/>
      <c r="M31" s="49"/>
      <c r="N31" s="49"/>
      <c r="O31" s="51"/>
    </row>
    <row r="32" spans="2:15">
      <c r="B32" s="53">
        <v>17</v>
      </c>
      <c r="C32" s="216" t="s">
        <v>246</v>
      </c>
      <c r="D32" s="216"/>
      <c r="E32" s="216"/>
      <c r="F32" s="48">
        <v>4</v>
      </c>
      <c r="G32" s="48" t="s">
        <v>256</v>
      </c>
      <c r="H32" s="50">
        <v>40000000</v>
      </c>
      <c r="I32" s="50">
        <f t="shared" si="0"/>
        <v>160000000</v>
      </c>
      <c r="J32" s="49"/>
      <c r="K32" s="49"/>
      <c r="L32" s="49"/>
      <c r="M32" s="49"/>
      <c r="N32" s="49"/>
      <c r="O32" s="51"/>
    </row>
    <row r="33" spans="2:15">
      <c r="B33" s="53">
        <v>18</v>
      </c>
      <c r="C33" s="216" t="s">
        <v>215</v>
      </c>
      <c r="D33" s="216"/>
      <c r="E33" s="216"/>
      <c r="F33" s="48">
        <v>4</v>
      </c>
      <c r="G33" s="48" t="s">
        <v>256</v>
      </c>
      <c r="H33" s="50">
        <v>30000000</v>
      </c>
      <c r="I33" s="50">
        <f t="shared" si="0"/>
        <v>120000000</v>
      </c>
      <c r="J33" s="49"/>
      <c r="K33" s="49"/>
      <c r="L33" s="49"/>
      <c r="M33" s="49"/>
      <c r="N33" s="49"/>
      <c r="O33" s="51"/>
    </row>
    <row r="34" spans="2:15">
      <c r="B34" s="53">
        <v>19</v>
      </c>
      <c r="C34" s="216" t="s">
        <v>216</v>
      </c>
      <c r="D34" s="216"/>
      <c r="E34" s="216"/>
      <c r="F34" s="48">
        <v>5</v>
      </c>
      <c r="G34" s="48" t="s">
        <v>256</v>
      </c>
      <c r="H34" s="50">
        <v>39000000</v>
      </c>
      <c r="I34" s="50">
        <f t="shared" si="0"/>
        <v>195000000</v>
      </c>
      <c r="J34" s="49"/>
      <c r="K34" s="49"/>
      <c r="L34" s="49"/>
      <c r="M34" s="49"/>
      <c r="N34" s="49"/>
      <c r="O34" s="51"/>
    </row>
    <row r="35" spans="2:15">
      <c r="B35" s="53">
        <v>20</v>
      </c>
      <c r="C35" s="216" t="s">
        <v>217</v>
      </c>
      <c r="D35" s="216"/>
      <c r="E35" s="216"/>
      <c r="F35" s="48">
        <v>6</v>
      </c>
      <c r="G35" s="48" t="s">
        <v>256</v>
      </c>
      <c r="H35" s="50">
        <v>30000000</v>
      </c>
      <c r="I35" s="50">
        <f t="shared" si="0"/>
        <v>180000000</v>
      </c>
      <c r="J35" s="49"/>
      <c r="K35" s="49"/>
      <c r="L35" s="49"/>
      <c r="M35" s="49"/>
      <c r="N35" s="49"/>
      <c r="O35" s="51"/>
    </row>
    <row r="36" spans="2:15">
      <c r="B36" s="53">
        <v>21</v>
      </c>
      <c r="C36" s="216" t="s">
        <v>218</v>
      </c>
      <c r="D36" s="216"/>
      <c r="E36" s="216"/>
      <c r="F36" s="48">
        <v>2</v>
      </c>
      <c r="G36" s="48" t="s">
        <v>256</v>
      </c>
      <c r="H36" s="50">
        <v>35000000</v>
      </c>
      <c r="I36" s="50">
        <f t="shared" si="0"/>
        <v>70000000</v>
      </c>
      <c r="J36" s="49"/>
      <c r="K36" s="49"/>
      <c r="L36" s="49"/>
      <c r="M36" s="49"/>
      <c r="N36" s="49"/>
      <c r="O36" s="51"/>
    </row>
    <row r="37" spans="2:15">
      <c r="B37" s="53">
        <v>22</v>
      </c>
      <c r="C37" s="216" t="s">
        <v>219</v>
      </c>
      <c r="D37" s="216"/>
      <c r="E37" s="216"/>
      <c r="F37" s="48">
        <v>4</v>
      </c>
      <c r="G37" s="48" t="s">
        <v>256</v>
      </c>
      <c r="H37" s="50">
        <v>34250000</v>
      </c>
      <c r="I37" s="50">
        <f t="shared" si="0"/>
        <v>137000000</v>
      </c>
      <c r="J37" s="49"/>
      <c r="K37" s="49"/>
      <c r="L37" s="49"/>
      <c r="M37" s="49"/>
      <c r="N37" s="49"/>
      <c r="O37" s="51"/>
    </row>
    <row r="38" spans="2:15">
      <c r="B38" s="53"/>
      <c r="C38" s="217" t="s">
        <v>247</v>
      </c>
      <c r="D38" s="217"/>
      <c r="E38" s="217"/>
      <c r="F38" s="48"/>
      <c r="G38" s="48"/>
      <c r="H38" s="50"/>
      <c r="I38" s="50">
        <f t="shared" si="0"/>
        <v>0</v>
      </c>
      <c r="J38" s="49"/>
      <c r="K38" s="49"/>
      <c r="L38" s="49"/>
      <c r="M38" s="49"/>
      <c r="N38" s="49"/>
      <c r="O38" s="51"/>
    </row>
    <row r="39" spans="2:15" ht="30.75" customHeight="1">
      <c r="B39" s="53">
        <v>23</v>
      </c>
      <c r="C39" s="223" t="s">
        <v>296</v>
      </c>
      <c r="D39" s="224"/>
      <c r="E39" s="225"/>
      <c r="F39" s="48">
        <v>2</v>
      </c>
      <c r="G39" s="48" t="s">
        <v>256</v>
      </c>
      <c r="H39" s="50">
        <v>1660000000</v>
      </c>
      <c r="I39" s="50">
        <f t="shared" si="0"/>
        <v>3320000000</v>
      </c>
      <c r="J39" s="49"/>
      <c r="K39" s="49"/>
      <c r="L39" s="49"/>
      <c r="M39" s="49"/>
      <c r="N39" s="71" t="s">
        <v>297</v>
      </c>
      <c r="O39" s="51"/>
    </row>
    <row r="40" spans="2:15">
      <c r="B40" s="53">
        <v>24</v>
      </c>
      <c r="C40" s="216" t="s">
        <v>281</v>
      </c>
      <c r="D40" s="216"/>
      <c r="E40" s="216"/>
      <c r="F40" s="48">
        <v>1</v>
      </c>
      <c r="G40" s="48" t="s">
        <v>256</v>
      </c>
      <c r="H40" s="50">
        <v>145000000</v>
      </c>
      <c r="I40" s="50">
        <f t="shared" si="0"/>
        <v>145000000</v>
      </c>
      <c r="J40" s="49"/>
      <c r="K40" s="49"/>
      <c r="L40" s="49"/>
      <c r="M40" s="49"/>
      <c r="N40" s="71" t="s">
        <v>297</v>
      </c>
      <c r="O40" s="51"/>
    </row>
    <row r="41" spans="2:15">
      <c r="B41" s="53">
        <v>25</v>
      </c>
      <c r="C41" s="227" t="s">
        <v>279</v>
      </c>
      <c r="D41" s="228"/>
      <c r="E41" s="229"/>
      <c r="F41" s="48"/>
      <c r="G41" s="48"/>
      <c r="H41" s="50">
        <v>40000000</v>
      </c>
      <c r="I41" s="50">
        <v>40000000</v>
      </c>
      <c r="J41" s="49"/>
      <c r="K41" s="49"/>
      <c r="L41" s="49"/>
      <c r="M41" s="49"/>
      <c r="N41" s="71"/>
      <c r="O41" s="51"/>
    </row>
    <row r="42" spans="2:15">
      <c r="B42" s="53">
        <v>26</v>
      </c>
      <c r="C42" s="216" t="s">
        <v>248</v>
      </c>
      <c r="D42" s="216"/>
      <c r="E42" s="216"/>
      <c r="F42" s="48">
        <v>184</v>
      </c>
      <c r="G42" s="48" t="s">
        <v>256</v>
      </c>
      <c r="H42" s="50">
        <v>6000000</v>
      </c>
      <c r="I42" s="50">
        <f t="shared" si="0"/>
        <v>1104000000</v>
      </c>
      <c r="J42" s="49"/>
      <c r="K42" s="49"/>
      <c r="L42" s="49"/>
      <c r="M42" s="49"/>
      <c r="N42" s="71" t="s">
        <v>297</v>
      </c>
      <c r="O42" s="51"/>
    </row>
    <row r="43" spans="2:15">
      <c r="B43" s="53">
        <v>27</v>
      </c>
      <c r="C43" s="227" t="s">
        <v>84</v>
      </c>
      <c r="D43" s="228"/>
      <c r="E43" s="229"/>
      <c r="F43" s="58">
        <v>1</v>
      </c>
      <c r="G43" s="58" t="s">
        <v>254</v>
      </c>
      <c r="H43" s="60">
        <v>483000000</v>
      </c>
      <c r="I43" s="60">
        <f t="shared" si="0"/>
        <v>483000000</v>
      </c>
      <c r="J43" s="59"/>
      <c r="K43" s="59"/>
      <c r="L43" s="59"/>
      <c r="M43" s="59"/>
      <c r="N43" s="71" t="s">
        <v>297</v>
      </c>
      <c r="O43" s="61"/>
    </row>
    <row r="44" spans="2:15" ht="15.75" thickBot="1">
      <c r="B44" s="53">
        <v>28</v>
      </c>
      <c r="C44" s="212" t="s">
        <v>249</v>
      </c>
      <c r="D44" s="212"/>
      <c r="E44" s="212"/>
      <c r="F44" s="58">
        <v>95</v>
      </c>
      <c r="G44" s="58" t="s">
        <v>256</v>
      </c>
      <c r="H44" s="60">
        <v>6000000</v>
      </c>
      <c r="I44" s="60">
        <f>F44*H44</f>
        <v>570000000</v>
      </c>
      <c r="J44" s="59"/>
      <c r="K44" s="59"/>
      <c r="L44" s="59"/>
      <c r="M44" s="59"/>
      <c r="N44" s="71" t="s">
        <v>297</v>
      </c>
      <c r="O44" s="61"/>
    </row>
    <row r="45" spans="2:15" ht="15.75" thickBot="1">
      <c r="B45" s="63"/>
      <c r="C45" s="226"/>
      <c r="D45" s="226"/>
      <c r="E45" s="226"/>
      <c r="F45" s="64"/>
      <c r="G45" s="65"/>
      <c r="H45" s="66"/>
      <c r="I45" s="160">
        <f>SUM(I13:I44)</f>
        <v>8028800000</v>
      </c>
      <c r="J45" s="65"/>
      <c r="K45" s="65"/>
      <c r="L45" s="65"/>
      <c r="M45" s="65"/>
      <c r="N45" s="65"/>
      <c r="O45" s="67"/>
    </row>
    <row r="46" spans="2:15">
      <c r="B46" s="54"/>
      <c r="C46" s="55"/>
      <c r="D46" s="55"/>
      <c r="E46" s="55"/>
      <c r="F46" s="54"/>
      <c r="G46" s="56"/>
      <c r="H46" s="57"/>
      <c r="I46" s="57"/>
      <c r="J46" s="56"/>
      <c r="K46" s="56"/>
      <c r="L46" s="56"/>
      <c r="M46" s="56"/>
      <c r="N46" s="56"/>
      <c r="O46" s="56"/>
    </row>
    <row r="47" spans="2:15">
      <c r="C47" s="221"/>
      <c r="D47" s="221"/>
      <c r="E47" s="221"/>
      <c r="I47" s="52"/>
    </row>
    <row r="48" spans="2:15">
      <c r="C48" s="221"/>
      <c r="D48" s="221"/>
      <c r="E48" s="221"/>
    </row>
    <row r="49" spans="3:15">
      <c r="C49" s="221"/>
      <c r="D49" s="221"/>
      <c r="E49" s="221"/>
      <c r="J49" s="199" t="s">
        <v>259</v>
      </c>
      <c r="K49" s="199"/>
      <c r="L49" s="199"/>
      <c r="M49" s="199"/>
      <c r="N49" s="199"/>
      <c r="O49" s="199"/>
    </row>
    <row r="50" spans="3:15">
      <c r="C50" s="221"/>
      <c r="D50" s="221"/>
      <c r="E50" s="221"/>
      <c r="K50" s="164"/>
      <c r="L50" s="164"/>
      <c r="M50" s="164"/>
    </row>
    <row r="51" spans="3:15">
      <c r="C51" s="221"/>
      <c r="D51" s="221"/>
      <c r="E51" s="221"/>
      <c r="K51" s="164"/>
      <c r="L51" s="164"/>
      <c r="M51" s="164"/>
    </row>
    <row r="52" spans="3:15">
      <c r="C52" s="221"/>
      <c r="D52" s="221"/>
      <c r="E52" s="221"/>
      <c r="K52" s="164"/>
      <c r="L52" s="164"/>
      <c r="M52" s="164"/>
    </row>
    <row r="53" spans="3:15">
      <c r="C53" s="221"/>
      <c r="D53" s="221"/>
      <c r="E53" s="221"/>
      <c r="K53" s="164"/>
      <c r="L53" s="164"/>
      <c r="M53" s="164"/>
    </row>
    <row r="54" spans="3:15">
      <c r="C54" s="221"/>
      <c r="D54" s="221"/>
      <c r="E54" s="221"/>
      <c r="K54" s="164"/>
      <c r="L54" s="164"/>
      <c r="M54" s="164"/>
    </row>
    <row r="55" spans="3:15">
      <c r="C55" s="221"/>
      <c r="D55" s="221"/>
      <c r="E55" s="221"/>
      <c r="K55" s="164"/>
      <c r="L55" s="164"/>
      <c r="M55" s="164"/>
    </row>
    <row r="56" spans="3:15">
      <c r="C56" s="221"/>
      <c r="D56" s="221"/>
      <c r="E56" s="221"/>
      <c r="J56" s="199" t="s">
        <v>94</v>
      </c>
      <c r="K56" s="199"/>
      <c r="L56" s="199"/>
      <c r="M56" s="199"/>
      <c r="N56" s="199"/>
      <c r="O56" s="199"/>
    </row>
    <row r="57" spans="3:15">
      <c r="C57" s="94"/>
      <c r="D57" s="94"/>
      <c r="E57" s="94"/>
      <c r="J57" s="199" t="s">
        <v>95</v>
      </c>
      <c r="K57" s="199"/>
      <c r="L57" s="199"/>
      <c r="M57" s="199"/>
      <c r="N57" s="199"/>
      <c r="O57" s="199"/>
    </row>
    <row r="58" spans="3:15">
      <c r="C58" s="221"/>
      <c r="D58" s="221"/>
      <c r="E58" s="221"/>
      <c r="J58" s="199" t="s">
        <v>260</v>
      </c>
      <c r="K58" s="199"/>
      <c r="L58" s="199"/>
      <c r="M58" s="199"/>
      <c r="N58" s="199"/>
      <c r="O58" s="199"/>
    </row>
    <row r="59" spans="3:15">
      <c r="C59" s="221"/>
      <c r="D59" s="221"/>
      <c r="E59" s="221"/>
      <c r="K59" s="164"/>
      <c r="L59" s="164"/>
      <c r="M59" s="164"/>
    </row>
    <row r="60" spans="3:15">
      <c r="C60" s="221"/>
      <c r="D60" s="221"/>
      <c r="E60" s="221"/>
      <c r="K60" s="164"/>
      <c r="L60" s="164"/>
      <c r="M60" s="164"/>
    </row>
    <row r="61" spans="3:15">
      <c r="C61" s="221"/>
      <c r="D61" s="221"/>
      <c r="E61" s="221"/>
    </row>
    <row r="62" spans="3:15">
      <c r="C62" s="221"/>
      <c r="D62" s="221"/>
      <c r="E62" s="221"/>
    </row>
    <row r="63" spans="3:15">
      <c r="C63" s="221"/>
      <c r="D63" s="221"/>
      <c r="E63" s="221"/>
    </row>
    <row r="64" spans="3:15">
      <c r="C64" s="221"/>
      <c r="D64" s="221"/>
      <c r="E64" s="221"/>
    </row>
    <row r="65" spans="3:5">
      <c r="C65" s="221"/>
      <c r="D65" s="221"/>
      <c r="E65" s="221"/>
    </row>
    <row r="66" spans="3:5">
      <c r="C66" s="221"/>
      <c r="D66" s="221"/>
      <c r="E66" s="221"/>
    </row>
    <row r="67" spans="3:5">
      <c r="C67" s="221"/>
      <c r="D67" s="221"/>
      <c r="E67" s="221"/>
    </row>
    <row r="68" spans="3:5">
      <c r="C68" s="221"/>
      <c r="D68" s="221"/>
      <c r="E68" s="221"/>
    </row>
    <row r="69" spans="3:5">
      <c r="C69" s="221"/>
      <c r="D69" s="221"/>
      <c r="E69" s="221"/>
    </row>
    <row r="70" spans="3:5">
      <c r="C70" s="221"/>
      <c r="D70" s="221"/>
      <c r="E70" s="221"/>
    </row>
    <row r="71" spans="3:5">
      <c r="C71" s="221"/>
      <c r="D71" s="221"/>
      <c r="E71" s="221"/>
    </row>
    <row r="72" spans="3:5">
      <c r="C72" s="221"/>
      <c r="D72" s="221"/>
      <c r="E72" s="221"/>
    </row>
    <row r="73" spans="3:5">
      <c r="C73" s="221"/>
      <c r="D73" s="221"/>
      <c r="E73" s="221"/>
    </row>
    <row r="74" spans="3:5">
      <c r="C74" s="221"/>
      <c r="D74" s="221"/>
      <c r="E74" s="221"/>
    </row>
    <row r="75" spans="3:5">
      <c r="C75" s="221"/>
      <c r="D75" s="221"/>
      <c r="E75" s="221"/>
    </row>
    <row r="76" spans="3:5">
      <c r="C76" s="221"/>
      <c r="D76" s="221"/>
      <c r="E76" s="221"/>
    </row>
    <row r="77" spans="3:5">
      <c r="C77" s="221"/>
      <c r="D77" s="221"/>
      <c r="E77" s="221"/>
    </row>
    <row r="78" spans="3:5">
      <c r="C78" s="221"/>
      <c r="D78" s="221"/>
      <c r="E78" s="221"/>
    </row>
    <row r="79" spans="3:5">
      <c r="C79" s="221"/>
      <c r="D79" s="221"/>
      <c r="E79" s="221"/>
    </row>
    <row r="80" spans="3:5">
      <c r="C80" s="221"/>
      <c r="D80" s="221"/>
      <c r="E80" s="221"/>
    </row>
    <row r="81" spans="3:5">
      <c r="C81" s="221"/>
      <c r="D81" s="221"/>
      <c r="E81" s="221"/>
    </row>
    <row r="82" spans="3:5">
      <c r="C82" s="221"/>
      <c r="D82" s="221"/>
      <c r="E82" s="221"/>
    </row>
    <row r="83" spans="3:5">
      <c r="C83" s="221"/>
      <c r="D83" s="221"/>
      <c r="E83" s="221"/>
    </row>
    <row r="84" spans="3:5">
      <c r="C84" s="221"/>
      <c r="D84" s="221"/>
      <c r="E84" s="221"/>
    </row>
    <row r="85" spans="3:5">
      <c r="C85" s="221"/>
      <c r="D85" s="221"/>
      <c r="E85" s="221"/>
    </row>
    <row r="86" spans="3:5">
      <c r="C86" s="221"/>
      <c r="D86" s="221"/>
      <c r="E86" s="221"/>
    </row>
    <row r="87" spans="3:5">
      <c r="C87" s="221"/>
      <c r="D87" s="221"/>
      <c r="E87" s="221"/>
    </row>
    <row r="88" spans="3:5">
      <c r="C88" s="221"/>
      <c r="D88" s="221"/>
      <c r="E88" s="221"/>
    </row>
    <row r="89" spans="3:5">
      <c r="C89" s="221"/>
      <c r="D89" s="221"/>
      <c r="E89" s="221"/>
    </row>
    <row r="90" spans="3:5">
      <c r="C90" s="221"/>
      <c r="D90" s="221"/>
      <c r="E90" s="221"/>
    </row>
    <row r="91" spans="3:5">
      <c r="C91" s="221"/>
      <c r="D91" s="221"/>
      <c r="E91" s="221"/>
    </row>
    <row r="92" spans="3:5">
      <c r="C92" s="221"/>
      <c r="D92" s="221"/>
      <c r="E92" s="221"/>
    </row>
    <row r="93" spans="3:5">
      <c r="C93" s="221"/>
      <c r="D93" s="221"/>
      <c r="E93" s="221"/>
    </row>
    <row r="94" spans="3:5">
      <c r="C94" s="221"/>
      <c r="D94" s="221"/>
      <c r="E94" s="221"/>
    </row>
    <row r="95" spans="3:5">
      <c r="C95" s="221"/>
      <c r="D95" s="221"/>
      <c r="E95" s="221"/>
    </row>
    <row r="96" spans="3:5">
      <c r="C96" s="221"/>
      <c r="D96" s="221"/>
      <c r="E96" s="221"/>
    </row>
    <row r="97" spans="3:5">
      <c r="C97" s="221"/>
      <c r="D97" s="221"/>
      <c r="E97" s="221"/>
    </row>
    <row r="98" spans="3:5">
      <c r="C98" s="221"/>
      <c r="D98" s="221"/>
      <c r="E98" s="221"/>
    </row>
    <row r="99" spans="3:5">
      <c r="C99" s="221"/>
      <c r="D99" s="221"/>
      <c r="E99" s="221"/>
    </row>
    <row r="100" spans="3:5">
      <c r="C100" s="221"/>
      <c r="D100" s="221"/>
      <c r="E100" s="221"/>
    </row>
    <row r="101" spans="3:5">
      <c r="C101" s="221"/>
      <c r="D101" s="221"/>
      <c r="E101" s="221"/>
    </row>
    <row r="102" spans="3:5">
      <c r="C102" s="221"/>
      <c r="D102" s="221"/>
      <c r="E102" s="221"/>
    </row>
    <row r="103" spans="3:5">
      <c r="C103" s="221"/>
      <c r="D103" s="221"/>
      <c r="E103" s="221"/>
    </row>
    <row r="104" spans="3:5">
      <c r="C104" s="221"/>
      <c r="D104" s="221"/>
      <c r="E104" s="221"/>
    </row>
    <row r="105" spans="3:5">
      <c r="C105" s="221"/>
      <c r="D105" s="221"/>
      <c r="E105" s="221"/>
    </row>
    <row r="106" spans="3:5">
      <c r="C106" s="221"/>
      <c r="D106" s="221"/>
      <c r="E106" s="221"/>
    </row>
    <row r="107" spans="3:5">
      <c r="C107" s="221"/>
      <c r="D107" s="221"/>
      <c r="E107" s="221"/>
    </row>
    <row r="108" spans="3:5">
      <c r="C108" s="221"/>
      <c r="D108" s="221"/>
      <c r="E108" s="221"/>
    </row>
    <row r="109" spans="3:5">
      <c r="C109" s="221"/>
      <c r="D109" s="221"/>
      <c r="E109" s="221"/>
    </row>
    <row r="110" spans="3:5">
      <c r="C110" s="221"/>
      <c r="D110" s="221"/>
      <c r="E110" s="221"/>
    </row>
    <row r="111" spans="3:5">
      <c r="C111" s="221"/>
      <c r="D111" s="221"/>
      <c r="E111" s="221"/>
    </row>
    <row r="112" spans="3:5">
      <c r="C112" s="221"/>
      <c r="D112" s="221"/>
      <c r="E112" s="221"/>
    </row>
    <row r="113" spans="3:5">
      <c r="C113" s="221"/>
      <c r="D113" s="221"/>
      <c r="E113" s="221"/>
    </row>
    <row r="114" spans="3:5">
      <c r="C114" s="221"/>
      <c r="D114" s="221"/>
      <c r="E114" s="221"/>
    </row>
    <row r="115" spans="3:5">
      <c r="C115" s="221"/>
      <c r="D115" s="221"/>
      <c r="E115" s="221"/>
    </row>
    <row r="116" spans="3:5">
      <c r="C116" s="221"/>
      <c r="D116" s="221"/>
      <c r="E116" s="221"/>
    </row>
    <row r="117" spans="3:5">
      <c r="C117" s="221"/>
      <c r="D117" s="221"/>
      <c r="E117" s="221"/>
    </row>
    <row r="118" spans="3:5">
      <c r="C118" s="221"/>
      <c r="D118" s="221"/>
      <c r="E118" s="221"/>
    </row>
    <row r="119" spans="3:5">
      <c r="C119" s="221"/>
      <c r="D119" s="221"/>
      <c r="E119" s="221"/>
    </row>
    <row r="120" spans="3:5">
      <c r="C120" s="221"/>
      <c r="D120" s="221"/>
      <c r="E120" s="221"/>
    </row>
    <row r="121" spans="3:5">
      <c r="C121" s="221"/>
      <c r="D121" s="221"/>
      <c r="E121" s="221"/>
    </row>
    <row r="122" spans="3:5">
      <c r="C122" s="221"/>
      <c r="D122" s="221"/>
      <c r="E122" s="221"/>
    </row>
    <row r="123" spans="3:5">
      <c r="C123" s="221"/>
      <c r="D123" s="221"/>
      <c r="E123" s="221"/>
    </row>
    <row r="124" spans="3:5">
      <c r="C124" s="221"/>
      <c r="D124" s="221"/>
      <c r="E124" s="221"/>
    </row>
    <row r="125" spans="3:5">
      <c r="C125" s="221"/>
      <c r="D125" s="221"/>
      <c r="E125" s="221"/>
    </row>
    <row r="126" spans="3:5">
      <c r="C126" s="221"/>
      <c r="D126" s="221"/>
      <c r="E126" s="221"/>
    </row>
    <row r="127" spans="3:5">
      <c r="C127" s="221"/>
      <c r="D127" s="221"/>
      <c r="E127" s="221"/>
    </row>
    <row r="128" spans="3:5">
      <c r="C128" s="221"/>
      <c r="D128" s="221"/>
      <c r="E128" s="221"/>
    </row>
    <row r="129" spans="3:5">
      <c r="C129" s="221"/>
      <c r="D129" s="221"/>
      <c r="E129" s="221"/>
    </row>
    <row r="130" spans="3:5">
      <c r="C130" s="221"/>
      <c r="D130" s="221"/>
      <c r="E130" s="221"/>
    </row>
    <row r="131" spans="3:5">
      <c r="C131" s="221"/>
      <c r="D131" s="221"/>
      <c r="E131" s="221"/>
    </row>
    <row r="132" spans="3:5">
      <c r="C132" s="221"/>
      <c r="D132" s="221"/>
      <c r="E132" s="221"/>
    </row>
    <row r="133" spans="3:5">
      <c r="C133" s="221"/>
      <c r="D133" s="221"/>
      <c r="E133" s="221"/>
    </row>
    <row r="134" spans="3:5">
      <c r="C134" s="221"/>
      <c r="D134" s="221"/>
      <c r="E134" s="221"/>
    </row>
    <row r="135" spans="3:5">
      <c r="C135" s="221"/>
      <c r="D135" s="221"/>
      <c r="E135" s="221"/>
    </row>
    <row r="136" spans="3:5">
      <c r="C136" s="221"/>
      <c r="D136" s="221"/>
      <c r="E136" s="221"/>
    </row>
    <row r="137" spans="3:5">
      <c r="C137" s="221"/>
      <c r="D137" s="221"/>
      <c r="E137" s="221"/>
    </row>
    <row r="138" spans="3:5">
      <c r="C138" s="221"/>
      <c r="D138" s="221"/>
      <c r="E138" s="221"/>
    </row>
    <row r="139" spans="3:5">
      <c r="C139" s="221"/>
      <c r="D139" s="221"/>
      <c r="E139" s="221"/>
    </row>
    <row r="140" spans="3:5">
      <c r="C140" s="221"/>
      <c r="D140" s="221"/>
      <c r="E140" s="221"/>
    </row>
    <row r="141" spans="3:5">
      <c r="C141" s="221"/>
      <c r="D141" s="221"/>
      <c r="E141" s="221"/>
    </row>
    <row r="142" spans="3:5">
      <c r="C142" s="221"/>
      <c r="D142" s="221"/>
      <c r="E142" s="221"/>
    </row>
    <row r="143" spans="3:5">
      <c r="C143" s="221"/>
      <c r="D143" s="221"/>
      <c r="E143" s="221"/>
    </row>
    <row r="144" spans="3:5">
      <c r="C144" s="221"/>
      <c r="D144" s="221"/>
      <c r="E144" s="221"/>
    </row>
    <row r="145" spans="3:5">
      <c r="C145" s="221"/>
      <c r="D145" s="221"/>
      <c r="E145" s="221"/>
    </row>
    <row r="146" spans="3:5">
      <c r="C146" s="221"/>
      <c r="D146" s="221"/>
      <c r="E146" s="221"/>
    </row>
    <row r="147" spans="3:5">
      <c r="C147" s="221"/>
      <c r="D147" s="221"/>
      <c r="E147" s="221"/>
    </row>
    <row r="148" spans="3:5">
      <c r="C148" s="221"/>
      <c r="D148" s="221"/>
      <c r="E148" s="221"/>
    </row>
    <row r="149" spans="3:5">
      <c r="C149" s="221"/>
      <c r="D149" s="221"/>
      <c r="E149" s="221"/>
    </row>
    <row r="150" spans="3:5">
      <c r="C150" s="221"/>
      <c r="D150" s="221"/>
      <c r="E150" s="221"/>
    </row>
    <row r="151" spans="3:5">
      <c r="C151" s="221"/>
      <c r="D151" s="221"/>
      <c r="E151" s="221"/>
    </row>
    <row r="152" spans="3:5">
      <c r="C152" s="221"/>
      <c r="D152" s="221"/>
      <c r="E152" s="221"/>
    </row>
    <row r="153" spans="3:5">
      <c r="C153" s="221"/>
      <c r="D153" s="221"/>
      <c r="E153" s="221"/>
    </row>
    <row r="154" spans="3:5">
      <c r="C154" s="221"/>
      <c r="D154" s="221"/>
      <c r="E154" s="221"/>
    </row>
    <row r="155" spans="3:5">
      <c r="C155" s="221"/>
      <c r="D155" s="221"/>
      <c r="E155" s="221"/>
    </row>
    <row r="156" spans="3:5">
      <c r="C156" s="221"/>
      <c r="D156" s="221"/>
      <c r="E156" s="221"/>
    </row>
    <row r="157" spans="3:5">
      <c r="C157" s="221"/>
      <c r="D157" s="221"/>
      <c r="E157" s="221"/>
    </row>
    <row r="158" spans="3:5">
      <c r="C158" s="221"/>
      <c r="D158" s="221"/>
      <c r="E158" s="221"/>
    </row>
    <row r="159" spans="3:5">
      <c r="C159" s="221"/>
      <c r="D159" s="221"/>
      <c r="E159" s="221"/>
    </row>
    <row r="160" spans="3:5">
      <c r="C160" s="221"/>
      <c r="D160" s="221"/>
      <c r="E160" s="221"/>
    </row>
    <row r="161" spans="3:5">
      <c r="C161" s="221"/>
      <c r="D161" s="221"/>
      <c r="E161" s="221"/>
    </row>
    <row r="162" spans="3:5">
      <c r="C162" s="221"/>
      <c r="D162" s="221"/>
      <c r="E162" s="221"/>
    </row>
    <row r="163" spans="3:5">
      <c r="C163" s="221"/>
      <c r="D163" s="221"/>
      <c r="E163" s="221"/>
    </row>
    <row r="164" spans="3:5">
      <c r="C164" s="221"/>
      <c r="D164" s="221"/>
      <c r="E164" s="221"/>
    </row>
    <row r="165" spans="3:5">
      <c r="C165" s="221"/>
      <c r="D165" s="221"/>
      <c r="E165" s="221"/>
    </row>
    <row r="166" spans="3:5">
      <c r="C166" s="221"/>
      <c r="D166" s="221"/>
      <c r="E166" s="221"/>
    </row>
    <row r="167" spans="3:5">
      <c r="C167" s="221"/>
      <c r="D167" s="221"/>
      <c r="E167" s="221"/>
    </row>
    <row r="168" spans="3:5">
      <c r="C168" s="221"/>
      <c r="D168" s="221"/>
      <c r="E168" s="221"/>
    </row>
    <row r="169" spans="3:5">
      <c r="C169" s="221"/>
      <c r="D169" s="221"/>
      <c r="E169" s="221"/>
    </row>
    <row r="170" spans="3:5">
      <c r="C170" s="221"/>
      <c r="D170" s="221"/>
      <c r="E170" s="221"/>
    </row>
    <row r="171" spans="3:5">
      <c r="C171" s="221"/>
      <c r="D171" s="221"/>
      <c r="E171" s="221"/>
    </row>
    <row r="172" spans="3:5">
      <c r="C172" s="221"/>
      <c r="D172" s="221"/>
      <c r="E172" s="221"/>
    </row>
    <row r="173" spans="3:5">
      <c r="C173" s="221"/>
      <c r="D173" s="221"/>
      <c r="E173" s="221"/>
    </row>
    <row r="174" spans="3:5">
      <c r="C174" s="221"/>
      <c r="D174" s="221"/>
      <c r="E174" s="221"/>
    </row>
    <row r="175" spans="3:5">
      <c r="C175" s="221"/>
      <c r="D175" s="221"/>
      <c r="E175" s="221"/>
    </row>
    <row r="176" spans="3:5">
      <c r="C176" s="221"/>
      <c r="D176" s="221"/>
      <c r="E176" s="221"/>
    </row>
    <row r="177" spans="3:5">
      <c r="C177" s="221"/>
      <c r="D177" s="221"/>
      <c r="E177" s="221"/>
    </row>
    <row r="178" spans="3:5">
      <c r="C178" s="221"/>
      <c r="D178" s="221"/>
      <c r="E178" s="221"/>
    </row>
  </sheetData>
  <mergeCells count="185">
    <mergeCell ref="J58:O58"/>
    <mergeCell ref="B5:C5"/>
    <mergeCell ref="B6:C6"/>
    <mergeCell ref="B7:C7"/>
    <mergeCell ref="C11:E11"/>
    <mergeCell ref="C12:E12"/>
    <mergeCell ref="C13:E13"/>
    <mergeCell ref="C16:E16"/>
    <mergeCell ref="C17:E17"/>
    <mergeCell ref="C18:E18"/>
    <mergeCell ref="C25:E25"/>
    <mergeCell ref="C14:E14"/>
    <mergeCell ref="C23:E23"/>
    <mergeCell ref="C27:E27"/>
    <mergeCell ref="C28:E28"/>
    <mergeCell ref="C29:E29"/>
    <mergeCell ref="C30:E30"/>
    <mergeCell ref="C31:E31"/>
    <mergeCell ref="J57:O57"/>
    <mergeCell ref="J49:O49"/>
    <mergeCell ref="J56:O56"/>
    <mergeCell ref="C59:E59"/>
    <mergeCell ref="C47:E47"/>
    <mergeCell ref="C48:E48"/>
    <mergeCell ref="C49:E49"/>
    <mergeCell ref="C50:E50"/>
    <mergeCell ref="C51:E51"/>
    <mergeCell ref="C52:E52"/>
    <mergeCell ref="C38:E38"/>
    <mergeCell ref="C39:E39"/>
    <mergeCell ref="C40:E40"/>
    <mergeCell ref="C42:E42"/>
    <mergeCell ref="C45:E45"/>
    <mergeCell ref="C43:E43"/>
    <mergeCell ref="C41:E41"/>
    <mergeCell ref="C53:E53"/>
    <mergeCell ref="C54:E54"/>
    <mergeCell ref="C55:E55"/>
    <mergeCell ref="C56:E56"/>
    <mergeCell ref="C58:E58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83:E83"/>
    <mergeCell ref="C72:E72"/>
    <mergeCell ref="C73:E73"/>
    <mergeCell ref="C74:E74"/>
    <mergeCell ref="C75:E75"/>
    <mergeCell ref="C76:E76"/>
    <mergeCell ref="C77:E77"/>
    <mergeCell ref="C90:E90"/>
    <mergeCell ref="C91:E91"/>
    <mergeCell ref="C92:E92"/>
    <mergeCell ref="C93:E93"/>
    <mergeCell ref="C94:E94"/>
    <mergeCell ref="C95:E95"/>
    <mergeCell ref="C84:E84"/>
    <mergeCell ref="C85:E85"/>
    <mergeCell ref="C86:E86"/>
    <mergeCell ref="C87:E87"/>
    <mergeCell ref="C88:E88"/>
    <mergeCell ref="C89:E89"/>
    <mergeCell ref="C102:E102"/>
    <mergeCell ref="C103:E103"/>
    <mergeCell ref="C104:E104"/>
    <mergeCell ref="C105:E105"/>
    <mergeCell ref="C106:E106"/>
    <mergeCell ref="C107:E107"/>
    <mergeCell ref="C96:E96"/>
    <mergeCell ref="C97:E97"/>
    <mergeCell ref="C98:E98"/>
    <mergeCell ref="C99:E99"/>
    <mergeCell ref="C100:E100"/>
    <mergeCell ref="C101:E101"/>
    <mergeCell ref="C114:E114"/>
    <mergeCell ref="C115:E115"/>
    <mergeCell ref="C116:E116"/>
    <mergeCell ref="C117:E117"/>
    <mergeCell ref="C118:E118"/>
    <mergeCell ref="C119:E119"/>
    <mergeCell ref="C108:E108"/>
    <mergeCell ref="C109:E109"/>
    <mergeCell ref="C110:E110"/>
    <mergeCell ref="C111:E111"/>
    <mergeCell ref="C112:E112"/>
    <mergeCell ref="C113:E113"/>
    <mergeCell ref="C126:E126"/>
    <mergeCell ref="C127:E127"/>
    <mergeCell ref="C128:E128"/>
    <mergeCell ref="C129:E129"/>
    <mergeCell ref="C130:E130"/>
    <mergeCell ref="C131:E131"/>
    <mergeCell ref="C120:E120"/>
    <mergeCell ref="C121:E121"/>
    <mergeCell ref="C122:E122"/>
    <mergeCell ref="C123:E123"/>
    <mergeCell ref="C124:E124"/>
    <mergeCell ref="C125:E125"/>
    <mergeCell ref="C138:E138"/>
    <mergeCell ref="C139:E139"/>
    <mergeCell ref="C140:E140"/>
    <mergeCell ref="C141:E141"/>
    <mergeCell ref="C142:E142"/>
    <mergeCell ref="C143:E143"/>
    <mergeCell ref="C132:E132"/>
    <mergeCell ref="C133:E133"/>
    <mergeCell ref="C134:E134"/>
    <mergeCell ref="C135:E135"/>
    <mergeCell ref="C136:E136"/>
    <mergeCell ref="C137:E137"/>
    <mergeCell ref="C161:E161"/>
    <mergeCell ref="C150:E150"/>
    <mergeCell ref="C151:E151"/>
    <mergeCell ref="C152:E152"/>
    <mergeCell ref="C153:E153"/>
    <mergeCell ref="C154:E154"/>
    <mergeCell ref="C155:E155"/>
    <mergeCell ref="C144:E144"/>
    <mergeCell ref="C145:E145"/>
    <mergeCell ref="C146:E146"/>
    <mergeCell ref="C147:E147"/>
    <mergeCell ref="C148:E148"/>
    <mergeCell ref="C149:E149"/>
    <mergeCell ref="C174:E174"/>
    <mergeCell ref="C175:E175"/>
    <mergeCell ref="C176:E176"/>
    <mergeCell ref="C177:E177"/>
    <mergeCell ref="C178:E178"/>
    <mergeCell ref="F11:G11"/>
    <mergeCell ref="F9:G10"/>
    <mergeCell ref="C168:E168"/>
    <mergeCell ref="C169:E169"/>
    <mergeCell ref="C170:E170"/>
    <mergeCell ref="C171:E171"/>
    <mergeCell ref="C172:E172"/>
    <mergeCell ref="C173:E173"/>
    <mergeCell ref="C162:E162"/>
    <mergeCell ref="C163:E163"/>
    <mergeCell ref="C164:E164"/>
    <mergeCell ref="C165:E165"/>
    <mergeCell ref="C166:E166"/>
    <mergeCell ref="C167:E167"/>
    <mergeCell ref="C156:E156"/>
    <mergeCell ref="C157:E157"/>
    <mergeCell ref="C158:E158"/>
    <mergeCell ref="C159:E159"/>
    <mergeCell ref="C160:E160"/>
    <mergeCell ref="B2:O2"/>
    <mergeCell ref="B3:O3"/>
    <mergeCell ref="C44:E44"/>
    <mergeCell ref="L9:N9"/>
    <mergeCell ref="O9:O10"/>
    <mergeCell ref="C19:E19"/>
    <mergeCell ref="C20:E20"/>
    <mergeCell ref="C24:E24"/>
    <mergeCell ref="C26:E26"/>
    <mergeCell ref="B9:B10"/>
    <mergeCell ref="C9:E10"/>
    <mergeCell ref="H9:H10"/>
    <mergeCell ref="I9:I10"/>
    <mergeCell ref="J9:J10"/>
    <mergeCell ref="K9:K10"/>
    <mergeCell ref="C32:E32"/>
    <mergeCell ref="C15:E15"/>
    <mergeCell ref="C21:E21"/>
    <mergeCell ref="C22:E22"/>
    <mergeCell ref="C33:E33"/>
    <mergeCell ref="C34:E34"/>
    <mergeCell ref="C35:E35"/>
    <mergeCell ref="C36:E36"/>
    <mergeCell ref="C37:E37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O194"/>
  <sheetViews>
    <sheetView workbookViewId="0">
      <selection activeCell="L24" sqref="L24"/>
    </sheetView>
  </sheetViews>
  <sheetFormatPr defaultRowHeight="15"/>
  <cols>
    <col min="1" max="1" width="2.42578125" style="47" customWidth="1"/>
    <col min="2" max="2" width="5" style="46" customWidth="1"/>
    <col min="3" max="3" width="11.140625" style="47" customWidth="1"/>
    <col min="4" max="4" width="5.140625" style="47" customWidth="1"/>
    <col min="5" max="5" width="24.140625" style="47" customWidth="1"/>
    <col min="6" max="6" width="7.85546875" style="46" customWidth="1"/>
    <col min="7" max="7" width="7.85546875" style="47" customWidth="1"/>
    <col min="8" max="8" width="15.140625" style="47" customWidth="1"/>
    <col min="9" max="9" width="18.5703125" style="47" customWidth="1"/>
    <col min="10" max="10" width="15.85546875" style="47" bestFit="1" customWidth="1"/>
    <col min="11" max="11" width="8" style="47" bestFit="1" customWidth="1"/>
    <col min="12" max="12" width="6.28515625" style="47" customWidth="1"/>
    <col min="13" max="13" width="12" style="47" bestFit="1" customWidth="1"/>
    <col min="14" max="14" width="9.140625" style="47"/>
    <col min="15" max="15" width="8.5703125" style="47" customWidth="1"/>
    <col min="16" max="16384" width="9.140625" style="47"/>
  </cols>
  <sheetData>
    <row r="2" spans="2:15">
      <c r="B2" s="211" t="s">
        <v>225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2:15">
      <c r="B3" s="211" t="s">
        <v>226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</row>
    <row r="5" spans="2:15">
      <c r="B5" s="230" t="s">
        <v>227</v>
      </c>
      <c r="C5" s="230"/>
      <c r="D5" s="89" t="s">
        <v>229</v>
      </c>
      <c r="E5" s="89" t="s">
        <v>257</v>
      </c>
      <c r="F5" s="90"/>
      <c r="G5" s="89"/>
      <c r="H5" s="89"/>
      <c r="I5" s="89"/>
    </row>
    <row r="6" spans="2:15">
      <c r="B6" s="230" t="s">
        <v>2</v>
      </c>
      <c r="C6" s="230"/>
      <c r="D6" s="89" t="s">
        <v>229</v>
      </c>
      <c r="E6" s="89" t="s">
        <v>94</v>
      </c>
      <c r="F6" s="90"/>
      <c r="G6" s="89"/>
      <c r="H6" s="89"/>
      <c r="I6" s="89"/>
    </row>
    <row r="7" spans="2:15">
      <c r="B7" s="230" t="s">
        <v>228</v>
      </c>
      <c r="C7" s="230"/>
      <c r="D7" s="89" t="s">
        <v>229</v>
      </c>
      <c r="E7" s="89" t="s">
        <v>258</v>
      </c>
      <c r="F7" s="90"/>
      <c r="G7" s="89"/>
      <c r="H7" s="89"/>
      <c r="I7" s="89"/>
    </row>
    <row r="8" spans="2:15" ht="15.75" thickBot="1"/>
    <row r="9" spans="2:15" ht="15.75">
      <c r="B9" s="218" t="s">
        <v>0</v>
      </c>
      <c r="C9" s="213" t="s">
        <v>230</v>
      </c>
      <c r="D9" s="213"/>
      <c r="E9" s="213"/>
      <c r="F9" s="213" t="s">
        <v>9</v>
      </c>
      <c r="G9" s="213"/>
      <c r="H9" s="213" t="s">
        <v>231</v>
      </c>
      <c r="I9" s="213" t="s">
        <v>232</v>
      </c>
      <c r="J9" s="213" t="s">
        <v>233</v>
      </c>
      <c r="K9" s="213" t="s">
        <v>234</v>
      </c>
      <c r="L9" s="213" t="s">
        <v>235</v>
      </c>
      <c r="M9" s="213"/>
      <c r="N9" s="213"/>
      <c r="O9" s="214" t="s">
        <v>236</v>
      </c>
    </row>
    <row r="10" spans="2:15" ht="16.5" thickBot="1"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151" t="s">
        <v>237</v>
      </c>
      <c r="M10" s="151" t="s">
        <v>238</v>
      </c>
      <c r="N10" s="151" t="s">
        <v>239</v>
      </c>
      <c r="O10" s="215"/>
    </row>
    <row r="11" spans="2:15" ht="17.25" thickTop="1" thickBot="1">
      <c r="B11" s="157">
        <v>1</v>
      </c>
      <c r="C11" s="222">
        <v>2</v>
      </c>
      <c r="D11" s="222"/>
      <c r="E11" s="222"/>
      <c r="F11" s="222">
        <v>3</v>
      </c>
      <c r="G11" s="222"/>
      <c r="H11" s="158">
        <v>4</v>
      </c>
      <c r="I11" s="158">
        <v>5</v>
      </c>
      <c r="J11" s="158">
        <v>6</v>
      </c>
      <c r="K11" s="158">
        <v>7</v>
      </c>
      <c r="L11" s="158">
        <v>8</v>
      </c>
      <c r="M11" s="158">
        <v>9</v>
      </c>
      <c r="N11" s="158">
        <v>10</v>
      </c>
      <c r="O11" s="159">
        <v>11</v>
      </c>
    </row>
    <row r="12" spans="2:15" ht="37.5" customHeight="1" thickTop="1">
      <c r="B12" s="161"/>
      <c r="C12" s="244" t="s">
        <v>308</v>
      </c>
      <c r="D12" s="245"/>
      <c r="E12" s="246"/>
      <c r="F12" s="162"/>
      <c r="G12" s="162"/>
      <c r="H12" s="162"/>
      <c r="I12" s="162"/>
      <c r="J12" s="162"/>
      <c r="K12" s="162"/>
      <c r="L12" s="162"/>
      <c r="M12" s="162"/>
      <c r="N12" s="162"/>
      <c r="O12" s="163"/>
    </row>
    <row r="13" spans="2:15" ht="15.75">
      <c r="B13" s="88">
        <v>1</v>
      </c>
      <c r="C13" s="241" t="s">
        <v>101</v>
      </c>
      <c r="D13" s="242"/>
      <c r="E13" s="243"/>
      <c r="F13" s="48">
        <v>1</v>
      </c>
      <c r="G13" s="48" t="s">
        <v>255</v>
      </c>
      <c r="H13" s="50">
        <v>15000000</v>
      </c>
      <c r="I13" s="50">
        <f t="shared" ref="I13:I14" si="0">F13*H13</f>
        <v>15000000</v>
      </c>
      <c r="J13" s="69"/>
      <c r="K13" s="69"/>
      <c r="L13" s="69"/>
      <c r="M13" s="69"/>
      <c r="N13" s="69"/>
      <c r="O13" s="68"/>
    </row>
    <row r="14" spans="2:15" ht="15.75">
      <c r="B14" s="88">
        <v>2</v>
      </c>
      <c r="C14" s="241" t="s">
        <v>105</v>
      </c>
      <c r="D14" s="242"/>
      <c r="E14" s="243"/>
      <c r="F14" s="48">
        <v>2</v>
      </c>
      <c r="G14" s="48" t="s">
        <v>252</v>
      </c>
      <c r="H14" s="50">
        <v>1500000</v>
      </c>
      <c r="I14" s="50">
        <f t="shared" si="0"/>
        <v>3000000</v>
      </c>
      <c r="J14" s="69"/>
      <c r="K14" s="69"/>
      <c r="L14" s="69"/>
      <c r="M14" s="69"/>
      <c r="N14" s="69"/>
      <c r="O14" s="68"/>
    </row>
    <row r="15" spans="2:15" ht="15.75">
      <c r="B15" s="88">
        <v>3</v>
      </c>
      <c r="C15" s="241" t="s">
        <v>109</v>
      </c>
      <c r="D15" s="242"/>
      <c r="E15" s="243"/>
      <c r="F15" s="48">
        <v>1</v>
      </c>
      <c r="G15" s="48" t="s">
        <v>255</v>
      </c>
      <c r="H15" s="50">
        <v>15000000</v>
      </c>
      <c r="I15" s="50">
        <f t="shared" ref="I15" si="1">F15*H15</f>
        <v>15000000</v>
      </c>
      <c r="J15" s="69"/>
      <c r="K15" s="69"/>
      <c r="L15" s="69"/>
      <c r="M15" s="69"/>
      <c r="N15" s="69"/>
      <c r="O15" s="68"/>
    </row>
    <row r="16" spans="2:15">
      <c r="B16" s="53"/>
      <c r="C16" s="217" t="s">
        <v>247</v>
      </c>
      <c r="D16" s="217"/>
      <c r="E16" s="217"/>
      <c r="F16" s="48"/>
      <c r="G16" s="48"/>
      <c r="H16" s="49"/>
      <c r="I16" s="50"/>
      <c r="J16" s="49"/>
      <c r="K16" s="49"/>
      <c r="L16" s="49"/>
      <c r="M16" s="49"/>
      <c r="N16" s="49"/>
      <c r="O16" s="51"/>
    </row>
    <row r="17" spans="2:15">
      <c r="B17" s="53">
        <v>3</v>
      </c>
      <c r="C17" s="216" t="s">
        <v>261</v>
      </c>
      <c r="D17" s="216"/>
      <c r="E17" s="216"/>
      <c r="F17" s="48">
        <v>1</v>
      </c>
      <c r="G17" s="48" t="s">
        <v>256</v>
      </c>
      <c r="H17" s="50">
        <v>50000000</v>
      </c>
      <c r="I17" s="50">
        <f t="shared" ref="I17:I26" si="2">F17*H17</f>
        <v>50000000</v>
      </c>
      <c r="J17" s="49"/>
      <c r="K17" s="49"/>
      <c r="L17" s="49"/>
      <c r="M17" s="49"/>
      <c r="N17" s="71"/>
      <c r="O17" s="51"/>
    </row>
    <row r="18" spans="2:15">
      <c r="B18" s="53">
        <v>4</v>
      </c>
      <c r="C18" s="216" t="s">
        <v>262</v>
      </c>
      <c r="D18" s="216"/>
      <c r="E18" s="216"/>
      <c r="F18" s="48">
        <v>7</v>
      </c>
      <c r="G18" s="48" t="s">
        <v>252</v>
      </c>
      <c r="H18" s="50">
        <v>1486000000</v>
      </c>
      <c r="I18" s="50">
        <f t="shared" si="2"/>
        <v>10402000000</v>
      </c>
      <c r="J18" s="49"/>
      <c r="K18" s="49"/>
      <c r="L18" s="49"/>
      <c r="M18" s="49"/>
      <c r="N18" s="71" t="s">
        <v>297</v>
      </c>
      <c r="O18" s="51"/>
    </row>
    <row r="19" spans="2:15">
      <c r="B19" s="53">
        <v>5</v>
      </c>
      <c r="C19" s="216" t="s">
        <v>263</v>
      </c>
      <c r="D19" s="216"/>
      <c r="E19" s="216"/>
      <c r="F19" s="48">
        <v>10</v>
      </c>
      <c r="G19" s="48" t="s">
        <v>255</v>
      </c>
      <c r="H19" s="50">
        <v>50000000</v>
      </c>
      <c r="I19" s="50">
        <f t="shared" si="2"/>
        <v>500000000</v>
      </c>
      <c r="J19" s="49"/>
      <c r="K19" s="49"/>
      <c r="L19" s="49"/>
      <c r="M19" s="49"/>
      <c r="N19" s="71" t="s">
        <v>297</v>
      </c>
      <c r="O19" s="51"/>
    </row>
    <row r="20" spans="2:15">
      <c r="B20" s="53">
        <v>6</v>
      </c>
      <c r="C20" s="216" t="s">
        <v>41</v>
      </c>
      <c r="D20" s="216"/>
      <c r="E20" s="216"/>
      <c r="F20" s="48">
        <v>25</v>
      </c>
      <c r="G20" s="48" t="s">
        <v>255</v>
      </c>
      <c r="H20" s="50">
        <v>30000000</v>
      </c>
      <c r="I20" s="50">
        <f t="shared" si="2"/>
        <v>750000000</v>
      </c>
      <c r="J20" s="49"/>
      <c r="K20" s="49"/>
      <c r="L20" s="49"/>
      <c r="M20" s="49"/>
      <c r="N20" s="71" t="s">
        <v>297</v>
      </c>
      <c r="O20" s="51"/>
    </row>
    <row r="21" spans="2:15">
      <c r="B21" s="53">
        <v>7</v>
      </c>
      <c r="C21" s="227" t="s">
        <v>42</v>
      </c>
      <c r="D21" s="228"/>
      <c r="E21" s="229"/>
      <c r="F21" s="48">
        <v>24</v>
      </c>
      <c r="G21" s="48" t="s">
        <v>256</v>
      </c>
      <c r="H21" s="50">
        <v>10100000</v>
      </c>
      <c r="I21" s="50">
        <f t="shared" si="2"/>
        <v>242400000</v>
      </c>
      <c r="J21" s="49"/>
      <c r="K21" s="49"/>
      <c r="L21" s="49"/>
      <c r="M21" s="49"/>
      <c r="N21" s="71" t="s">
        <v>297</v>
      </c>
      <c r="O21" s="51"/>
    </row>
    <row r="22" spans="2:15">
      <c r="B22" s="53">
        <v>8</v>
      </c>
      <c r="C22" s="216" t="s">
        <v>249</v>
      </c>
      <c r="D22" s="216"/>
      <c r="E22" s="216"/>
      <c r="F22" s="48">
        <v>36</v>
      </c>
      <c r="G22" s="48" t="s">
        <v>256</v>
      </c>
      <c r="H22" s="50">
        <v>12000000</v>
      </c>
      <c r="I22" s="50">
        <f>F22*H22</f>
        <v>432000000</v>
      </c>
      <c r="J22" s="49"/>
      <c r="K22" s="49"/>
      <c r="L22" s="49"/>
      <c r="M22" s="49"/>
      <c r="N22" s="71" t="s">
        <v>297</v>
      </c>
      <c r="O22" s="51"/>
    </row>
    <row r="23" spans="2:15">
      <c r="B23" s="53">
        <v>9</v>
      </c>
      <c r="C23" s="227" t="s">
        <v>301</v>
      </c>
      <c r="D23" s="228"/>
      <c r="E23" s="229"/>
      <c r="F23" s="48">
        <v>65</v>
      </c>
      <c r="G23" s="48" t="s">
        <v>256</v>
      </c>
      <c r="H23" s="50">
        <v>100000</v>
      </c>
      <c r="I23" s="50">
        <f t="shared" si="2"/>
        <v>6500000</v>
      </c>
      <c r="J23" s="49"/>
      <c r="K23" s="49"/>
      <c r="L23" s="49"/>
      <c r="M23" s="49"/>
      <c r="N23" s="71"/>
      <c r="O23" s="51"/>
    </row>
    <row r="24" spans="2:15">
      <c r="B24" s="53">
        <v>10</v>
      </c>
      <c r="C24" s="216" t="s">
        <v>264</v>
      </c>
      <c r="D24" s="216"/>
      <c r="E24" s="216"/>
      <c r="F24" s="48">
        <v>3</v>
      </c>
      <c r="G24" s="48" t="s">
        <v>277</v>
      </c>
      <c r="H24" s="50">
        <v>20000000</v>
      </c>
      <c r="I24" s="50">
        <f t="shared" si="2"/>
        <v>60000000</v>
      </c>
      <c r="J24" s="49"/>
      <c r="K24" s="49"/>
      <c r="L24" s="49"/>
      <c r="M24" s="49"/>
      <c r="N24" s="49"/>
      <c r="O24" s="51"/>
    </row>
    <row r="25" spans="2:15" ht="52.5" customHeight="1">
      <c r="B25" s="53">
        <v>11</v>
      </c>
      <c r="C25" s="223" t="s">
        <v>265</v>
      </c>
      <c r="D25" s="224"/>
      <c r="E25" s="225"/>
      <c r="F25" s="48">
        <v>3</v>
      </c>
      <c r="G25" s="48" t="s">
        <v>256</v>
      </c>
      <c r="H25" s="50">
        <v>22300000</v>
      </c>
      <c r="I25" s="50">
        <f t="shared" si="2"/>
        <v>66900000</v>
      </c>
      <c r="J25" s="49"/>
      <c r="K25" s="49"/>
      <c r="L25" s="49"/>
      <c r="M25" s="49"/>
      <c r="N25" s="49"/>
      <c r="O25" s="51"/>
    </row>
    <row r="26" spans="2:15" ht="52.5" customHeight="1">
      <c r="B26" s="53">
        <v>12</v>
      </c>
      <c r="C26" s="223" t="s">
        <v>302</v>
      </c>
      <c r="D26" s="224"/>
      <c r="E26" s="225"/>
      <c r="F26" s="48">
        <v>1</v>
      </c>
      <c r="G26" s="48" t="s">
        <v>256</v>
      </c>
      <c r="H26" s="50">
        <v>48000000</v>
      </c>
      <c r="I26" s="50">
        <f t="shared" si="2"/>
        <v>48000000</v>
      </c>
      <c r="J26" s="49"/>
      <c r="K26" s="49"/>
      <c r="L26" s="49"/>
      <c r="M26" s="49"/>
      <c r="N26" s="49"/>
      <c r="O26" s="51"/>
    </row>
    <row r="27" spans="2:15">
      <c r="B27" s="53">
        <v>13</v>
      </c>
      <c r="C27" s="216" t="s">
        <v>266</v>
      </c>
      <c r="D27" s="216"/>
      <c r="E27" s="216"/>
      <c r="F27" s="48">
        <v>4</v>
      </c>
      <c r="G27" s="48" t="s">
        <v>255</v>
      </c>
      <c r="H27" s="50">
        <v>200000000</v>
      </c>
      <c r="I27" s="50">
        <f>F27*H27</f>
        <v>800000000</v>
      </c>
      <c r="J27" s="49"/>
      <c r="K27" s="49"/>
      <c r="L27" s="49"/>
      <c r="M27" s="49"/>
      <c r="N27" s="71" t="s">
        <v>297</v>
      </c>
      <c r="O27" s="51"/>
    </row>
    <row r="28" spans="2:15">
      <c r="B28" s="53"/>
      <c r="C28" s="217" t="s">
        <v>267</v>
      </c>
      <c r="D28" s="217"/>
      <c r="E28" s="217"/>
      <c r="F28" s="48"/>
      <c r="G28" s="48"/>
      <c r="H28" s="50"/>
      <c r="I28" s="50">
        <f t="shared" ref="I28:I61" si="3">F28*H28</f>
        <v>0</v>
      </c>
      <c r="J28" s="49"/>
      <c r="K28" s="49"/>
      <c r="L28" s="49"/>
      <c r="M28" s="49"/>
      <c r="N28" s="49"/>
      <c r="O28" s="51"/>
    </row>
    <row r="29" spans="2:15" ht="28.5" customHeight="1">
      <c r="B29" s="53">
        <v>14</v>
      </c>
      <c r="C29" s="223" t="s">
        <v>268</v>
      </c>
      <c r="D29" s="224"/>
      <c r="E29" s="225"/>
      <c r="F29" s="48">
        <v>1</v>
      </c>
      <c r="G29" s="48" t="s">
        <v>256</v>
      </c>
      <c r="H29" s="50">
        <v>100000000</v>
      </c>
      <c r="I29" s="50">
        <f t="shared" si="3"/>
        <v>100000000</v>
      </c>
      <c r="J29" s="49"/>
      <c r="K29" s="49"/>
      <c r="L29" s="49"/>
      <c r="M29" s="49"/>
      <c r="N29" s="49"/>
      <c r="O29" s="51"/>
    </row>
    <row r="30" spans="2:15">
      <c r="B30" s="53">
        <v>15</v>
      </c>
      <c r="C30" s="216" t="s">
        <v>121</v>
      </c>
      <c r="D30" s="216"/>
      <c r="E30" s="216"/>
      <c r="F30" s="48">
        <v>2</v>
      </c>
      <c r="G30" s="48" t="s">
        <v>256</v>
      </c>
      <c r="H30" s="50">
        <v>25000000</v>
      </c>
      <c r="I30" s="50">
        <f t="shared" si="3"/>
        <v>50000000</v>
      </c>
      <c r="J30" s="49"/>
      <c r="K30" s="49"/>
      <c r="L30" s="49"/>
      <c r="M30" s="49"/>
      <c r="N30" s="49"/>
      <c r="O30" s="51"/>
    </row>
    <row r="31" spans="2:15">
      <c r="B31" s="53">
        <v>16</v>
      </c>
      <c r="C31" s="216" t="s">
        <v>125</v>
      </c>
      <c r="D31" s="216"/>
      <c r="E31" s="216"/>
      <c r="F31" s="48">
        <v>2</v>
      </c>
      <c r="G31" s="48" t="s">
        <v>256</v>
      </c>
      <c r="H31" s="50">
        <v>25000000</v>
      </c>
      <c r="I31" s="50">
        <f t="shared" si="3"/>
        <v>50000000</v>
      </c>
      <c r="J31" s="49"/>
      <c r="K31" s="49"/>
      <c r="L31" s="49"/>
      <c r="M31" s="49"/>
      <c r="N31" s="49"/>
      <c r="O31" s="51"/>
    </row>
    <row r="32" spans="2:15">
      <c r="B32" s="53">
        <v>17</v>
      </c>
      <c r="C32" s="216" t="s">
        <v>126</v>
      </c>
      <c r="D32" s="216"/>
      <c r="E32" s="216"/>
      <c r="F32" s="48">
        <v>2</v>
      </c>
      <c r="G32" s="48" t="s">
        <v>256</v>
      </c>
      <c r="H32" s="50">
        <v>25000000</v>
      </c>
      <c r="I32" s="50">
        <f t="shared" si="3"/>
        <v>50000000</v>
      </c>
      <c r="J32" s="49"/>
      <c r="K32" s="49"/>
      <c r="L32" s="49"/>
      <c r="M32" s="49"/>
      <c r="N32" s="49"/>
      <c r="O32" s="51"/>
    </row>
    <row r="33" spans="2:15">
      <c r="B33" s="53">
        <v>18</v>
      </c>
      <c r="C33" s="216" t="s">
        <v>269</v>
      </c>
      <c r="D33" s="216"/>
      <c r="E33" s="216"/>
      <c r="F33" s="48">
        <v>2</v>
      </c>
      <c r="G33" s="48" t="s">
        <v>256</v>
      </c>
      <c r="H33" s="50">
        <v>25000000</v>
      </c>
      <c r="I33" s="50">
        <f t="shared" si="3"/>
        <v>50000000</v>
      </c>
      <c r="J33" s="49"/>
      <c r="K33" s="49"/>
      <c r="L33" s="49"/>
      <c r="M33" s="49"/>
      <c r="N33" s="49"/>
      <c r="O33" s="51"/>
    </row>
    <row r="34" spans="2:15" ht="33" customHeight="1">
      <c r="B34" s="53">
        <v>19</v>
      </c>
      <c r="C34" s="223" t="s">
        <v>133</v>
      </c>
      <c r="D34" s="224"/>
      <c r="E34" s="225"/>
      <c r="F34" s="48">
        <v>2</v>
      </c>
      <c r="G34" s="48" t="s">
        <v>252</v>
      </c>
      <c r="H34" s="50">
        <v>30000000</v>
      </c>
      <c r="I34" s="50">
        <f t="shared" si="3"/>
        <v>60000000</v>
      </c>
      <c r="J34" s="49"/>
      <c r="K34" s="49"/>
      <c r="L34" s="49"/>
      <c r="M34" s="49"/>
      <c r="N34" s="49"/>
      <c r="O34" s="51"/>
    </row>
    <row r="35" spans="2:15" ht="29.25" customHeight="1">
      <c r="B35" s="53">
        <v>20</v>
      </c>
      <c r="C35" s="223" t="s">
        <v>129</v>
      </c>
      <c r="D35" s="224"/>
      <c r="E35" s="225"/>
      <c r="F35" s="48">
        <v>1</v>
      </c>
      <c r="G35" s="48" t="s">
        <v>255</v>
      </c>
      <c r="H35" s="50">
        <v>235000000</v>
      </c>
      <c r="I35" s="50">
        <f t="shared" si="3"/>
        <v>235000000</v>
      </c>
      <c r="J35" s="49"/>
      <c r="K35" s="49"/>
      <c r="L35" s="49"/>
      <c r="M35" s="49"/>
      <c r="N35" s="71" t="s">
        <v>297</v>
      </c>
      <c r="O35" s="51"/>
    </row>
    <row r="36" spans="2:15">
      <c r="B36" s="53">
        <v>21</v>
      </c>
      <c r="C36" s="216" t="s">
        <v>270</v>
      </c>
      <c r="D36" s="216"/>
      <c r="E36" s="216"/>
      <c r="F36" s="48">
        <v>1</v>
      </c>
      <c r="G36" s="48" t="s">
        <v>255</v>
      </c>
      <c r="H36" s="50">
        <v>50000000</v>
      </c>
      <c r="I36" s="50">
        <f t="shared" si="3"/>
        <v>50000000</v>
      </c>
      <c r="J36" s="49"/>
      <c r="K36" s="49"/>
      <c r="L36" s="49"/>
      <c r="M36" s="49"/>
      <c r="N36" s="49"/>
      <c r="O36" s="51"/>
    </row>
    <row r="37" spans="2:15">
      <c r="B37" s="53">
        <v>22</v>
      </c>
      <c r="C37" s="216" t="s">
        <v>141</v>
      </c>
      <c r="D37" s="216"/>
      <c r="E37" s="216"/>
      <c r="F37" s="48">
        <v>2</v>
      </c>
      <c r="G37" s="48" t="s">
        <v>255</v>
      </c>
      <c r="H37" s="50">
        <v>25000000</v>
      </c>
      <c r="I37" s="50">
        <f t="shared" si="3"/>
        <v>50000000</v>
      </c>
      <c r="J37" s="49"/>
      <c r="K37" s="49"/>
      <c r="L37" s="49"/>
      <c r="M37" s="49"/>
      <c r="N37" s="49"/>
      <c r="O37" s="51"/>
    </row>
    <row r="38" spans="2:15">
      <c r="B38" s="53">
        <v>23</v>
      </c>
      <c r="C38" s="216" t="s">
        <v>142</v>
      </c>
      <c r="D38" s="216"/>
      <c r="E38" s="216"/>
      <c r="F38" s="48">
        <v>2</v>
      </c>
      <c r="G38" s="48" t="s">
        <v>255</v>
      </c>
      <c r="H38" s="50">
        <v>25000000</v>
      </c>
      <c r="I38" s="50">
        <f t="shared" si="3"/>
        <v>50000000</v>
      </c>
      <c r="J38" s="49"/>
      <c r="K38" s="49"/>
      <c r="L38" s="49"/>
      <c r="M38" s="49"/>
      <c r="N38" s="49"/>
      <c r="O38" s="51"/>
    </row>
    <row r="39" spans="2:15">
      <c r="B39" s="53">
        <v>24</v>
      </c>
      <c r="C39" s="216" t="s">
        <v>143</v>
      </c>
      <c r="D39" s="216"/>
      <c r="E39" s="216"/>
      <c r="F39" s="48">
        <v>6</v>
      </c>
      <c r="G39" s="48" t="s">
        <v>255</v>
      </c>
      <c r="H39" s="50">
        <v>25000000</v>
      </c>
      <c r="I39" s="50">
        <f t="shared" si="3"/>
        <v>150000000</v>
      </c>
      <c r="J39" s="49"/>
      <c r="K39" s="49"/>
      <c r="L39" s="49"/>
      <c r="M39" s="49"/>
      <c r="N39" s="49"/>
      <c r="O39" s="51"/>
    </row>
    <row r="40" spans="2:15">
      <c r="B40" s="53">
        <v>25</v>
      </c>
      <c r="C40" s="216" t="s">
        <v>144</v>
      </c>
      <c r="D40" s="216"/>
      <c r="E40" s="216"/>
      <c r="F40" s="48">
        <v>5</v>
      </c>
      <c r="G40" s="48" t="s">
        <v>255</v>
      </c>
      <c r="H40" s="50">
        <v>30000000</v>
      </c>
      <c r="I40" s="50">
        <f t="shared" si="3"/>
        <v>150000000</v>
      </c>
      <c r="J40" s="49"/>
      <c r="K40" s="49"/>
      <c r="L40" s="49"/>
      <c r="M40" s="49"/>
      <c r="N40" s="49"/>
      <c r="O40" s="51"/>
    </row>
    <row r="41" spans="2:15">
      <c r="B41" s="53">
        <v>26</v>
      </c>
      <c r="C41" s="216" t="s">
        <v>145</v>
      </c>
      <c r="D41" s="216"/>
      <c r="E41" s="216"/>
      <c r="F41" s="48">
        <v>2</v>
      </c>
      <c r="G41" s="48" t="s">
        <v>255</v>
      </c>
      <c r="H41" s="50">
        <v>25000000</v>
      </c>
      <c r="I41" s="50">
        <f t="shared" si="3"/>
        <v>50000000</v>
      </c>
      <c r="J41" s="49"/>
      <c r="K41" s="49"/>
      <c r="L41" s="49"/>
      <c r="M41" s="49"/>
      <c r="N41" s="49"/>
      <c r="O41" s="51"/>
    </row>
    <row r="42" spans="2:15">
      <c r="B42" s="53">
        <v>27</v>
      </c>
      <c r="C42" s="216" t="s">
        <v>146</v>
      </c>
      <c r="D42" s="216"/>
      <c r="E42" s="216"/>
      <c r="F42" s="48">
        <v>2</v>
      </c>
      <c r="G42" s="48" t="s">
        <v>255</v>
      </c>
      <c r="H42" s="50">
        <v>25000000</v>
      </c>
      <c r="I42" s="50">
        <f t="shared" si="3"/>
        <v>50000000</v>
      </c>
      <c r="J42" s="49"/>
      <c r="K42" s="49"/>
      <c r="L42" s="49"/>
      <c r="M42" s="49"/>
      <c r="N42" s="49"/>
      <c r="O42" s="51"/>
    </row>
    <row r="43" spans="2:15">
      <c r="B43" s="53">
        <v>28</v>
      </c>
      <c r="C43" s="227" t="s">
        <v>303</v>
      </c>
      <c r="D43" s="228"/>
      <c r="E43" s="229"/>
      <c r="F43" s="48">
        <v>1</v>
      </c>
      <c r="G43" s="48" t="s">
        <v>256</v>
      </c>
      <c r="H43" s="50">
        <v>40000000</v>
      </c>
      <c r="I43" s="50">
        <f t="shared" si="3"/>
        <v>40000000</v>
      </c>
      <c r="J43" s="49"/>
      <c r="K43" s="49"/>
      <c r="L43" s="49"/>
      <c r="M43" s="49"/>
      <c r="N43" s="49"/>
      <c r="O43" s="51"/>
    </row>
    <row r="44" spans="2:15">
      <c r="B44" s="53">
        <v>29</v>
      </c>
      <c r="C44" s="216" t="s">
        <v>271</v>
      </c>
      <c r="D44" s="216"/>
      <c r="E44" s="216"/>
      <c r="F44" s="48">
        <v>1</v>
      </c>
      <c r="G44" s="48" t="s">
        <v>255</v>
      </c>
      <c r="H44" s="50">
        <v>50000000</v>
      </c>
      <c r="I44" s="50">
        <f t="shared" si="3"/>
        <v>50000000</v>
      </c>
      <c r="J44" s="49"/>
      <c r="K44" s="49"/>
      <c r="L44" s="49"/>
      <c r="M44" s="49"/>
      <c r="N44" s="49"/>
      <c r="O44" s="51"/>
    </row>
    <row r="45" spans="2:15">
      <c r="B45" s="53">
        <v>30</v>
      </c>
      <c r="C45" s="216" t="s">
        <v>153</v>
      </c>
      <c r="D45" s="216"/>
      <c r="E45" s="216"/>
      <c r="F45" s="48">
        <v>1</v>
      </c>
      <c r="G45" s="48" t="s">
        <v>255</v>
      </c>
      <c r="H45" s="50">
        <v>50000000</v>
      </c>
      <c r="I45" s="50">
        <f t="shared" si="3"/>
        <v>50000000</v>
      </c>
      <c r="J45" s="49"/>
      <c r="K45" s="49"/>
      <c r="L45" s="49"/>
      <c r="M45" s="49"/>
      <c r="N45" s="49"/>
      <c r="O45" s="51"/>
    </row>
    <row r="46" spans="2:15">
      <c r="B46" s="53"/>
      <c r="C46" s="217" t="s">
        <v>250</v>
      </c>
      <c r="D46" s="217"/>
      <c r="E46" s="217"/>
      <c r="F46" s="48"/>
      <c r="G46" s="48"/>
      <c r="H46" s="50"/>
      <c r="I46" s="50">
        <f t="shared" si="3"/>
        <v>0</v>
      </c>
      <c r="J46" s="49"/>
      <c r="K46" s="49"/>
      <c r="L46" s="49"/>
      <c r="M46" s="49"/>
      <c r="N46" s="49"/>
      <c r="O46" s="51"/>
    </row>
    <row r="47" spans="2:15">
      <c r="B47" s="53">
        <v>31</v>
      </c>
      <c r="C47" s="216" t="s">
        <v>162</v>
      </c>
      <c r="D47" s="216"/>
      <c r="E47" s="216"/>
      <c r="F47" s="48">
        <v>2</v>
      </c>
      <c r="G47" s="48" t="s">
        <v>256</v>
      </c>
      <c r="H47" s="50">
        <v>50000000</v>
      </c>
      <c r="I47" s="50">
        <f t="shared" si="3"/>
        <v>100000000</v>
      </c>
      <c r="J47" s="49"/>
      <c r="K47" s="49"/>
      <c r="L47" s="49"/>
      <c r="M47" s="49"/>
      <c r="N47" s="49"/>
      <c r="O47" s="51"/>
    </row>
    <row r="48" spans="2:15" ht="29.25" customHeight="1">
      <c r="B48" s="53">
        <v>32</v>
      </c>
      <c r="C48" s="223" t="s">
        <v>304</v>
      </c>
      <c r="D48" s="224"/>
      <c r="E48" s="225"/>
      <c r="F48" s="48">
        <v>1</v>
      </c>
      <c r="G48" s="48" t="s">
        <v>256</v>
      </c>
      <c r="H48" s="50">
        <v>10000000</v>
      </c>
      <c r="I48" s="50">
        <f t="shared" si="3"/>
        <v>10000000</v>
      </c>
      <c r="J48" s="49"/>
      <c r="K48" s="49"/>
      <c r="L48" s="49"/>
      <c r="M48" s="49"/>
      <c r="N48" s="49"/>
      <c r="O48" s="51"/>
    </row>
    <row r="49" spans="2:15">
      <c r="B49" s="53">
        <v>33</v>
      </c>
      <c r="C49" s="216" t="s">
        <v>272</v>
      </c>
      <c r="D49" s="216"/>
      <c r="E49" s="216"/>
      <c r="F49" s="48">
        <v>1</v>
      </c>
      <c r="G49" s="48" t="s">
        <v>256</v>
      </c>
      <c r="H49" s="50">
        <v>50000000</v>
      </c>
      <c r="I49" s="50">
        <f t="shared" si="3"/>
        <v>50000000</v>
      </c>
      <c r="J49" s="49"/>
      <c r="K49" s="49"/>
      <c r="L49" s="49"/>
      <c r="M49" s="49"/>
      <c r="N49" s="49"/>
      <c r="O49" s="51"/>
    </row>
    <row r="50" spans="2:15">
      <c r="B50" s="53">
        <v>34</v>
      </c>
      <c r="C50" s="216" t="s">
        <v>273</v>
      </c>
      <c r="D50" s="216"/>
      <c r="E50" s="216"/>
      <c r="F50" s="48">
        <v>1</v>
      </c>
      <c r="G50" s="48" t="s">
        <v>256</v>
      </c>
      <c r="H50" s="50">
        <v>150000000</v>
      </c>
      <c r="I50" s="50">
        <f t="shared" si="3"/>
        <v>150000000</v>
      </c>
      <c r="J50" s="49"/>
      <c r="K50" s="49"/>
      <c r="L50" s="49"/>
      <c r="M50" s="49"/>
      <c r="N50" s="49"/>
      <c r="O50" s="51"/>
    </row>
    <row r="51" spans="2:15">
      <c r="B51" s="53">
        <v>35</v>
      </c>
      <c r="C51" s="216" t="s">
        <v>274</v>
      </c>
      <c r="D51" s="216"/>
      <c r="E51" s="216"/>
      <c r="F51" s="48">
        <v>1</v>
      </c>
      <c r="G51" s="48" t="s">
        <v>256</v>
      </c>
      <c r="H51" s="50">
        <v>500000000</v>
      </c>
      <c r="I51" s="50">
        <f t="shared" si="3"/>
        <v>500000000</v>
      </c>
      <c r="J51" s="49"/>
      <c r="K51" s="49"/>
      <c r="L51" s="49"/>
      <c r="M51" s="49"/>
      <c r="N51" s="71" t="s">
        <v>297</v>
      </c>
      <c r="O51" s="51"/>
    </row>
    <row r="52" spans="2:15">
      <c r="B52" s="53">
        <v>36</v>
      </c>
      <c r="C52" s="216" t="s">
        <v>275</v>
      </c>
      <c r="D52" s="216"/>
      <c r="E52" s="216"/>
      <c r="F52" s="48">
        <v>1</v>
      </c>
      <c r="G52" s="48" t="s">
        <v>256</v>
      </c>
      <c r="H52" s="50">
        <v>2120020000</v>
      </c>
      <c r="I52" s="50">
        <f t="shared" si="3"/>
        <v>2120020000</v>
      </c>
      <c r="J52" s="49"/>
      <c r="K52" s="49"/>
      <c r="L52" s="49"/>
      <c r="M52" s="49"/>
      <c r="N52" s="71" t="s">
        <v>297</v>
      </c>
      <c r="O52" s="51"/>
    </row>
    <row r="53" spans="2:15">
      <c r="B53" s="53"/>
      <c r="C53" s="217" t="s">
        <v>242</v>
      </c>
      <c r="D53" s="217"/>
      <c r="E53" s="217"/>
      <c r="F53" s="48"/>
      <c r="G53" s="48"/>
      <c r="H53" s="50"/>
      <c r="I53" s="50"/>
      <c r="J53" s="49"/>
      <c r="K53" s="49"/>
      <c r="L53" s="49"/>
      <c r="M53" s="49"/>
      <c r="N53" s="49"/>
      <c r="O53" s="51"/>
    </row>
    <row r="54" spans="2:15" ht="29.25" customHeight="1">
      <c r="B54" s="53">
        <v>37</v>
      </c>
      <c r="C54" s="223" t="s">
        <v>276</v>
      </c>
      <c r="D54" s="224"/>
      <c r="E54" s="225"/>
      <c r="F54" s="48">
        <v>1</v>
      </c>
      <c r="G54" s="48" t="s">
        <v>256</v>
      </c>
      <c r="H54" s="50">
        <v>90000000</v>
      </c>
      <c r="I54" s="50">
        <f t="shared" si="3"/>
        <v>90000000</v>
      </c>
      <c r="J54" s="49"/>
      <c r="K54" s="49"/>
      <c r="L54" s="49"/>
      <c r="M54" s="49"/>
      <c r="N54" s="49"/>
      <c r="O54" s="51"/>
    </row>
    <row r="55" spans="2:15" ht="29.25" customHeight="1">
      <c r="B55" s="53">
        <v>38</v>
      </c>
      <c r="C55" s="223" t="s">
        <v>156</v>
      </c>
      <c r="D55" s="224"/>
      <c r="E55" s="225"/>
      <c r="F55" s="58">
        <v>3</v>
      </c>
      <c r="G55" s="58" t="s">
        <v>252</v>
      </c>
      <c r="H55" s="60">
        <v>8000000</v>
      </c>
      <c r="I55" s="60">
        <f t="shared" si="3"/>
        <v>24000000</v>
      </c>
      <c r="J55" s="59"/>
      <c r="K55" s="59"/>
      <c r="L55" s="59"/>
      <c r="M55" s="59"/>
      <c r="N55" s="59"/>
      <c r="O55" s="61"/>
    </row>
    <row r="56" spans="2:15" ht="20.25" customHeight="1">
      <c r="B56" s="53">
        <v>39</v>
      </c>
      <c r="C56" s="223" t="s">
        <v>157</v>
      </c>
      <c r="D56" s="224"/>
      <c r="E56" s="225"/>
      <c r="F56" s="58">
        <v>1</v>
      </c>
      <c r="G56" s="58" t="s">
        <v>252</v>
      </c>
      <c r="H56" s="60">
        <v>15000000</v>
      </c>
      <c r="I56" s="60">
        <f t="shared" si="3"/>
        <v>15000000</v>
      </c>
      <c r="J56" s="59"/>
      <c r="K56" s="59"/>
      <c r="L56" s="59"/>
      <c r="M56" s="59"/>
      <c r="N56" s="59"/>
      <c r="O56" s="61"/>
    </row>
    <row r="57" spans="2:15" ht="20.25" customHeight="1">
      <c r="B57" s="53">
        <v>40</v>
      </c>
      <c r="C57" s="223" t="s">
        <v>159</v>
      </c>
      <c r="D57" s="224"/>
      <c r="E57" s="225"/>
      <c r="F57" s="58">
        <v>1</v>
      </c>
      <c r="G57" s="58" t="s">
        <v>256</v>
      </c>
      <c r="H57" s="60">
        <v>15000000</v>
      </c>
      <c r="I57" s="60">
        <f t="shared" si="3"/>
        <v>15000000</v>
      </c>
      <c r="J57" s="59"/>
      <c r="K57" s="59"/>
      <c r="L57" s="59"/>
      <c r="M57" s="59"/>
      <c r="N57" s="59"/>
      <c r="O57" s="61"/>
    </row>
    <row r="58" spans="2:15" ht="20.25" customHeight="1">
      <c r="B58" s="53">
        <v>41</v>
      </c>
      <c r="C58" s="223" t="s">
        <v>169</v>
      </c>
      <c r="D58" s="224"/>
      <c r="E58" s="225"/>
      <c r="F58" s="58">
        <v>1</v>
      </c>
      <c r="G58" s="58" t="s">
        <v>256</v>
      </c>
      <c r="H58" s="60">
        <v>12000000</v>
      </c>
      <c r="I58" s="60">
        <f t="shared" si="3"/>
        <v>12000000</v>
      </c>
      <c r="J58" s="59"/>
      <c r="K58" s="59"/>
      <c r="L58" s="59"/>
      <c r="M58" s="59"/>
      <c r="N58" s="59"/>
      <c r="O58" s="61"/>
    </row>
    <row r="59" spans="2:15" ht="48.75" customHeight="1">
      <c r="B59" s="62"/>
      <c r="C59" s="235" t="s">
        <v>172</v>
      </c>
      <c r="D59" s="236"/>
      <c r="E59" s="237"/>
      <c r="F59" s="58"/>
      <c r="G59" s="58"/>
      <c r="H59" s="60"/>
      <c r="I59" s="60"/>
      <c r="J59" s="59"/>
      <c r="K59" s="59"/>
      <c r="L59" s="59"/>
      <c r="M59" s="59"/>
      <c r="N59" s="59"/>
      <c r="O59" s="61"/>
    </row>
    <row r="60" spans="2:15" ht="14.25" customHeight="1">
      <c r="B60" s="62">
        <v>42</v>
      </c>
      <c r="C60" s="238" t="s">
        <v>171</v>
      </c>
      <c r="D60" s="239"/>
      <c r="E60" s="240"/>
      <c r="F60" s="58">
        <v>1</v>
      </c>
      <c r="G60" s="58" t="s">
        <v>255</v>
      </c>
      <c r="H60" s="60">
        <v>10000000</v>
      </c>
      <c r="I60" s="60">
        <f t="shared" si="3"/>
        <v>10000000</v>
      </c>
      <c r="J60" s="59"/>
      <c r="K60" s="59"/>
      <c r="L60" s="59"/>
      <c r="M60" s="59"/>
      <c r="N60" s="59"/>
      <c r="O60" s="61"/>
    </row>
    <row r="61" spans="2:15" ht="18.75" customHeight="1" thickBot="1">
      <c r="B61" s="62">
        <v>43</v>
      </c>
      <c r="C61" s="212" t="s">
        <v>173</v>
      </c>
      <c r="D61" s="212"/>
      <c r="E61" s="212"/>
      <c r="F61" s="58">
        <v>1</v>
      </c>
      <c r="G61" s="58" t="s">
        <v>256</v>
      </c>
      <c r="H61" s="60">
        <v>31000000</v>
      </c>
      <c r="I61" s="60">
        <f t="shared" si="3"/>
        <v>31000000</v>
      </c>
      <c r="J61" s="59"/>
      <c r="K61" s="59"/>
      <c r="L61" s="59"/>
      <c r="M61" s="59"/>
      <c r="N61" s="59"/>
      <c r="O61" s="61"/>
    </row>
    <row r="62" spans="2:15" ht="15.75" thickBot="1">
      <c r="B62" s="63"/>
      <c r="C62" s="226"/>
      <c r="D62" s="226"/>
      <c r="E62" s="226"/>
      <c r="F62" s="64"/>
      <c r="G62" s="65"/>
      <c r="H62" s="66"/>
      <c r="I62" s="160">
        <f>SUM(I17:I61)</f>
        <v>17769820000</v>
      </c>
      <c r="J62" s="65"/>
      <c r="K62" s="65"/>
      <c r="L62" s="65"/>
      <c r="M62" s="65"/>
      <c r="N62" s="65"/>
      <c r="O62" s="67"/>
    </row>
    <row r="63" spans="2:15">
      <c r="C63" s="221"/>
      <c r="D63" s="221"/>
      <c r="E63" s="221"/>
      <c r="I63" s="52"/>
    </row>
    <row r="64" spans="2:15">
      <c r="C64" s="221"/>
      <c r="D64" s="221"/>
      <c r="E64" s="221"/>
    </row>
    <row r="65" spans="2:15">
      <c r="C65" s="221"/>
      <c r="D65" s="221"/>
      <c r="E65" s="221"/>
    </row>
    <row r="66" spans="2:15">
      <c r="C66" s="221"/>
      <c r="D66" s="221"/>
      <c r="E66" s="221"/>
      <c r="J66" s="199" t="s">
        <v>259</v>
      </c>
      <c r="K66" s="199"/>
      <c r="L66" s="199"/>
      <c r="M66" s="199"/>
      <c r="N66" s="199"/>
      <c r="O66" s="199"/>
    </row>
    <row r="67" spans="2:15">
      <c r="C67" s="221"/>
      <c r="D67" s="221"/>
      <c r="E67" s="221"/>
    </row>
    <row r="68" spans="2:15">
      <c r="C68" s="221"/>
      <c r="D68" s="221"/>
      <c r="E68" s="221"/>
    </row>
    <row r="69" spans="2:15">
      <c r="C69" s="221"/>
      <c r="D69" s="221"/>
      <c r="E69" s="221"/>
    </row>
    <row r="70" spans="2:15">
      <c r="C70" s="221"/>
      <c r="D70" s="221"/>
      <c r="E70" s="221"/>
    </row>
    <row r="71" spans="2:15">
      <c r="C71" s="221"/>
      <c r="D71" s="221"/>
      <c r="E71" s="221"/>
    </row>
    <row r="72" spans="2:15">
      <c r="C72" s="221"/>
      <c r="D72" s="221"/>
      <c r="E72" s="221"/>
      <c r="J72" s="199" t="s">
        <v>94</v>
      </c>
      <c r="K72" s="199"/>
      <c r="L72" s="199"/>
      <c r="M72" s="199"/>
      <c r="N72" s="199"/>
      <c r="O72" s="199"/>
    </row>
    <row r="73" spans="2:15">
      <c r="B73" s="96"/>
      <c r="C73" s="94"/>
      <c r="D73" s="94"/>
      <c r="E73" s="94"/>
      <c r="F73" s="96"/>
      <c r="J73" s="199" t="s">
        <v>95</v>
      </c>
      <c r="K73" s="199"/>
      <c r="L73" s="199"/>
      <c r="M73" s="199"/>
      <c r="N73" s="199"/>
      <c r="O73" s="199"/>
    </row>
    <row r="74" spans="2:15">
      <c r="C74" s="221"/>
      <c r="D74" s="221"/>
      <c r="E74" s="221"/>
      <c r="J74" s="199" t="s">
        <v>260</v>
      </c>
      <c r="K74" s="199"/>
      <c r="L74" s="199"/>
      <c r="M74" s="199"/>
      <c r="N74" s="199"/>
      <c r="O74" s="199"/>
    </row>
    <row r="75" spans="2:15">
      <c r="C75" s="221"/>
      <c r="D75" s="221"/>
      <c r="E75" s="221"/>
    </row>
    <row r="76" spans="2:15">
      <c r="C76" s="221"/>
      <c r="D76" s="221"/>
      <c r="E76" s="221"/>
    </row>
    <row r="77" spans="2:15">
      <c r="C77" s="221"/>
      <c r="D77" s="221"/>
      <c r="E77" s="221"/>
    </row>
    <row r="78" spans="2:15">
      <c r="C78" s="221"/>
      <c r="D78" s="221"/>
      <c r="E78" s="221"/>
    </row>
    <row r="79" spans="2:15">
      <c r="C79" s="221"/>
      <c r="D79" s="221"/>
      <c r="E79" s="221"/>
    </row>
    <row r="80" spans="2:15">
      <c r="C80" s="221"/>
      <c r="D80" s="221"/>
      <c r="E80" s="221"/>
    </row>
    <row r="81" spans="3:5">
      <c r="C81" s="221"/>
      <c r="D81" s="221"/>
      <c r="E81" s="221"/>
    </row>
    <row r="82" spans="3:5">
      <c r="C82" s="221"/>
      <c r="D82" s="221"/>
      <c r="E82" s="221"/>
    </row>
    <row r="83" spans="3:5">
      <c r="C83" s="221"/>
      <c r="D83" s="221"/>
      <c r="E83" s="221"/>
    </row>
    <row r="84" spans="3:5">
      <c r="C84" s="221"/>
      <c r="D84" s="221"/>
      <c r="E84" s="221"/>
    </row>
    <row r="85" spans="3:5">
      <c r="C85" s="221"/>
      <c r="D85" s="221"/>
      <c r="E85" s="221"/>
    </row>
    <row r="86" spans="3:5">
      <c r="C86" s="221"/>
      <c r="D86" s="221"/>
      <c r="E86" s="221"/>
    </row>
    <row r="87" spans="3:5">
      <c r="C87" s="221"/>
      <c r="D87" s="221"/>
      <c r="E87" s="221"/>
    </row>
    <row r="88" spans="3:5">
      <c r="C88" s="221"/>
      <c r="D88" s="221"/>
      <c r="E88" s="221"/>
    </row>
    <row r="89" spans="3:5">
      <c r="C89" s="221"/>
      <c r="D89" s="221"/>
      <c r="E89" s="221"/>
    </row>
    <row r="90" spans="3:5">
      <c r="C90" s="221"/>
      <c r="D90" s="221"/>
      <c r="E90" s="221"/>
    </row>
    <row r="91" spans="3:5">
      <c r="C91" s="221"/>
      <c r="D91" s="221"/>
      <c r="E91" s="221"/>
    </row>
    <row r="92" spans="3:5">
      <c r="C92" s="221"/>
      <c r="D92" s="221"/>
      <c r="E92" s="221"/>
    </row>
    <row r="93" spans="3:5">
      <c r="C93" s="221"/>
      <c r="D93" s="221"/>
      <c r="E93" s="221"/>
    </row>
    <row r="94" spans="3:5">
      <c r="C94" s="221"/>
      <c r="D94" s="221"/>
      <c r="E94" s="221"/>
    </row>
    <row r="95" spans="3:5">
      <c r="C95" s="221"/>
      <c r="D95" s="221"/>
      <c r="E95" s="221"/>
    </row>
    <row r="96" spans="3:5">
      <c r="C96" s="221"/>
      <c r="D96" s="221"/>
      <c r="E96" s="221"/>
    </row>
    <row r="97" spans="3:5">
      <c r="C97" s="221"/>
      <c r="D97" s="221"/>
      <c r="E97" s="221"/>
    </row>
    <row r="98" spans="3:5">
      <c r="C98" s="221"/>
      <c r="D98" s="221"/>
      <c r="E98" s="221"/>
    </row>
    <row r="99" spans="3:5">
      <c r="C99" s="221"/>
      <c r="D99" s="221"/>
      <c r="E99" s="221"/>
    </row>
    <row r="100" spans="3:5">
      <c r="C100" s="221"/>
      <c r="D100" s="221"/>
      <c r="E100" s="221"/>
    </row>
    <row r="101" spans="3:5">
      <c r="C101" s="221"/>
      <c r="D101" s="221"/>
      <c r="E101" s="221"/>
    </row>
    <row r="102" spans="3:5">
      <c r="C102" s="221"/>
      <c r="D102" s="221"/>
      <c r="E102" s="221"/>
    </row>
    <row r="103" spans="3:5">
      <c r="C103" s="221"/>
      <c r="D103" s="221"/>
      <c r="E103" s="221"/>
    </row>
    <row r="104" spans="3:5">
      <c r="C104" s="221"/>
      <c r="D104" s="221"/>
      <c r="E104" s="221"/>
    </row>
    <row r="105" spans="3:5">
      <c r="C105" s="221"/>
      <c r="D105" s="221"/>
      <c r="E105" s="221"/>
    </row>
    <row r="106" spans="3:5">
      <c r="C106" s="221"/>
      <c r="D106" s="221"/>
      <c r="E106" s="221"/>
    </row>
    <row r="107" spans="3:5">
      <c r="C107" s="221"/>
      <c r="D107" s="221"/>
      <c r="E107" s="221"/>
    </row>
    <row r="108" spans="3:5">
      <c r="C108" s="221"/>
      <c r="D108" s="221"/>
      <c r="E108" s="221"/>
    </row>
    <row r="109" spans="3:5">
      <c r="C109" s="221"/>
      <c r="D109" s="221"/>
      <c r="E109" s="221"/>
    </row>
    <row r="110" spans="3:5">
      <c r="C110" s="221"/>
      <c r="D110" s="221"/>
      <c r="E110" s="221"/>
    </row>
    <row r="111" spans="3:5">
      <c r="C111" s="221"/>
      <c r="D111" s="221"/>
      <c r="E111" s="221"/>
    </row>
    <row r="112" spans="3:5">
      <c r="C112" s="221"/>
      <c r="D112" s="221"/>
      <c r="E112" s="221"/>
    </row>
    <row r="113" spans="3:5">
      <c r="C113" s="221"/>
      <c r="D113" s="221"/>
      <c r="E113" s="221"/>
    </row>
    <row r="114" spans="3:5">
      <c r="C114" s="221"/>
      <c r="D114" s="221"/>
      <c r="E114" s="221"/>
    </row>
    <row r="115" spans="3:5">
      <c r="C115" s="221"/>
      <c r="D115" s="221"/>
      <c r="E115" s="221"/>
    </row>
    <row r="116" spans="3:5">
      <c r="C116" s="221"/>
      <c r="D116" s="221"/>
      <c r="E116" s="221"/>
    </row>
    <row r="117" spans="3:5">
      <c r="C117" s="221"/>
      <c r="D117" s="221"/>
      <c r="E117" s="221"/>
    </row>
    <row r="118" spans="3:5">
      <c r="C118" s="221"/>
      <c r="D118" s="221"/>
      <c r="E118" s="221"/>
    </row>
    <row r="119" spans="3:5">
      <c r="C119" s="221"/>
      <c r="D119" s="221"/>
      <c r="E119" s="221"/>
    </row>
    <row r="120" spans="3:5">
      <c r="C120" s="221"/>
      <c r="D120" s="221"/>
      <c r="E120" s="221"/>
    </row>
    <row r="121" spans="3:5">
      <c r="C121" s="221"/>
      <c r="D121" s="221"/>
      <c r="E121" s="221"/>
    </row>
    <row r="122" spans="3:5">
      <c r="C122" s="221"/>
      <c r="D122" s="221"/>
      <c r="E122" s="221"/>
    </row>
    <row r="123" spans="3:5">
      <c r="C123" s="221"/>
      <c r="D123" s="221"/>
      <c r="E123" s="221"/>
    </row>
    <row r="124" spans="3:5">
      <c r="C124" s="221"/>
      <c r="D124" s="221"/>
      <c r="E124" s="221"/>
    </row>
    <row r="125" spans="3:5">
      <c r="C125" s="221"/>
      <c r="D125" s="221"/>
      <c r="E125" s="221"/>
    </row>
    <row r="126" spans="3:5">
      <c r="C126" s="221"/>
      <c r="D126" s="221"/>
      <c r="E126" s="221"/>
    </row>
    <row r="127" spans="3:5">
      <c r="C127" s="221"/>
      <c r="D127" s="221"/>
      <c r="E127" s="221"/>
    </row>
    <row r="128" spans="3:5">
      <c r="C128" s="221"/>
      <c r="D128" s="221"/>
      <c r="E128" s="221"/>
    </row>
    <row r="129" spans="3:5">
      <c r="C129" s="221"/>
      <c r="D129" s="221"/>
      <c r="E129" s="221"/>
    </row>
    <row r="130" spans="3:5">
      <c r="C130" s="221"/>
      <c r="D130" s="221"/>
      <c r="E130" s="221"/>
    </row>
    <row r="131" spans="3:5">
      <c r="C131" s="221"/>
      <c r="D131" s="221"/>
      <c r="E131" s="221"/>
    </row>
    <row r="132" spans="3:5">
      <c r="C132" s="221"/>
      <c r="D132" s="221"/>
      <c r="E132" s="221"/>
    </row>
    <row r="133" spans="3:5">
      <c r="C133" s="221"/>
      <c r="D133" s="221"/>
      <c r="E133" s="221"/>
    </row>
    <row r="134" spans="3:5">
      <c r="C134" s="221"/>
      <c r="D134" s="221"/>
      <c r="E134" s="221"/>
    </row>
    <row r="135" spans="3:5">
      <c r="C135" s="221"/>
      <c r="D135" s="221"/>
      <c r="E135" s="221"/>
    </row>
    <row r="136" spans="3:5">
      <c r="C136" s="221"/>
      <c r="D136" s="221"/>
      <c r="E136" s="221"/>
    </row>
    <row r="137" spans="3:5">
      <c r="C137" s="221"/>
      <c r="D137" s="221"/>
      <c r="E137" s="221"/>
    </row>
    <row r="138" spans="3:5">
      <c r="C138" s="221"/>
      <c r="D138" s="221"/>
      <c r="E138" s="221"/>
    </row>
    <row r="139" spans="3:5">
      <c r="C139" s="221"/>
      <c r="D139" s="221"/>
      <c r="E139" s="221"/>
    </row>
    <row r="140" spans="3:5">
      <c r="C140" s="221"/>
      <c r="D140" s="221"/>
      <c r="E140" s="221"/>
    </row>
    <row r="141" spans="3:5">
      <c r="C141" s="221"/>
      <c r="D141" s="221"/>
      <c r="E141" s="221"/>
    </row>
    <row r="142" spans="3:5">
      <c r="C142" s="221"/>
      <c r="D142" s="221"/>
      <c r="E142" s="221"/>
    </row>
    <row r="143" spans="3:5">
      <c r="C143" s="221"/>
      <c r="D143" s="221"/>
      <c r="E143" s="221"/>
    </row>
    <row r="144" spans="3:5">
      <c r="C144" s="221"/>
      <c r="D144" s="221"/>
      <c r="E144" s="221"/>
    </row>
    <row r="145" spans="3:5">
      <c r="C145" s="221"/>
      <c r="D145" s="221"/>
      <c r="E145" s="221"/>
    </row>
    <row r="146" spans="3:5">
      <c r="C146" s="221"/>
      <c r="D146" s="221"/>
      <c r="E146" s="221"/>
    </row>
    <row r="147" spans="3:5">
      <c r="C147" s="221"/>
      <c r="D147" s="221"/>
      <c r="E147" s="221"/>
    </row>
    <row r="148" spans="3:5">
      <c r="C148" s="221"/>
      <c r="D148" s="221"/>
      <c r="E148" s="221"/>
    </row>
    <row r="149" spans="3:5">
      <c r="C149" s="221"/>
      <c r="D149" s="221"/>
      <c r="E149" s="221"/>
    </row>
    <row r="150" spans="3:5">
      <c r="C150" s="221"/>
      <c r="D150" s="221"/>
      <c r="E150" s="221"/>
    </row>
    <row r="151" spans="3:5">
      <c r="C151" s="221"/>
      <c r="D151" s="221"/>
      <c r="E151" s="221"/>
    </row>
    <row r="152" spans="3:5">
      <c r="C152" s="221"/>
      <c r="D152" s="221"/>
      <c r="E152" s="221"/>
    </row>
    <row r="153" spans="3:5">
      <c r="C153" s="221"/>
      <c r="D153" s="221"/>
      <c r="E153" s="221"/>
    </row>
    <row r="154" spans="3:5">
      <c r="C154" s="221"/>
      <c r="D154" s="221"/>
      <c r="E154" s="221"/>
    </row>
    <row r="155" spans="3:5">
      <c r="C155" s="221"/>
      <c r="D155" s="221"/>
      <c r="E155" s="221"/>
    </row>
    <row r="156" spans="3:5">
      <c r="C156" s="221"/>
      <c r="D156" s="221"/>
      <c r="E156" s="221"/>
    </row>
    <row r="157" spans="3:5">
      <c r="C157" s="221"/>
      <c r="D157" s="221"/>
      <c r="E157" s="221"/>
    </row>
    <row r="158" spans="3:5">
      <c r="C158" s="221"/>
      <c r="D158" s="221"/>
      <c r="E158" s="221"/>
    </row>
    <row r="159" spans="3:5">
      <c r="C159" s="221"/>
      <c r="D159" s="221"/>
      <c r="E159" s="221"/>
    </row>
    <row r="160" spans="3:5">
      <c r="C160" s="221"/>
      <c r="D160" s="221"/>
      <c r="E160" s="221"/>
    </row>
    <row r="161" spans="3:5">
      <c r="C161" s="221"/>
      <c r="D161" s="221"/>
      <c r="E161" s="221"/>
    </row>
    <row r="162" spans="3:5">
      <c r="C162" s="221"/>
      <c r="D162" s="221"/>
      <c r="E162" s="221"/>
    </row>
    <row r="163" spans="3:5">
      <c r="C163" s="221"/>
      <c r="D163" s="221"/>
      <c r="E163" s="221"/>
    </row>
    <row r="164" spans="3:5">
      <c r="C164" s="221"/>
      <c r="D164" s="221"/>
      <c r="E164" s="221"/>
    </row>
    <row r="165" spans="3:5">
      <c r="C165" s="221"/>
      <c r="D165" s="221"/>
      <c r="E165" s="221"/>
    </row>
    <row r="166" spans="3:5">
      <c r="C166" s="221"/>
      <c r="D166" s="221"/>
      <c r="E166" s="221"/>
    </row>
    <row r="167" spans="3:5">
      <c r="C167" s="221"/>
      <c r="D167" s="221"/>
      <c r="E167" s="221"/>
    </row>
    <row r="168" spans="3:5">
      <c r="C168" s="221"/>
      <c r="D168" s="221"/>
      <c r="E168" s="221"/>
    </row>
    <row r="169" spans="3:5">
      <c r="C169" s="221"/>
      <c r="D169" s="221"/>
      <c r="E169" s="221"/>
    </row>
    <row r="170" spans="3:5">
      <c r="C170" s="221"/>
      <c r="D170" s="221"/>
      <c r="E170" s="221"/>
    </row>
    <row r="171" spans="3:5">
      <c r="C171" s="221"/>
      <c r="D171" s="221"/>
      <c r="E171" s="221"/>
    </row>
    <row r="172" spans="3:5">
      <c r="C172" s="221"/>
      <c r="D172" s="221"/>
      <c r="E172" s="221"/>
    </row>
    <row r="173" spans="3:5">
      <c r="C173" s="221"/>
      <c r="D173" s="221"/>
      <c r="E173" s="221"/>
    </row>
    <row r="174" spans="3:5">
      <c r="C174" s="221"/>
      <c r="D174" s="221"/>
      <c r="E174" s="221"/>
    </row>
    <row r="175" spans="3:5">
      <c r="C175" s="221"/>
      <c r="D175" s="221"/>
      <c r="E175" s="221"/>
    </row>
    <row r="176" spans="3:5">
      <c r="C176" s="221"/>
      <c r="D176" s="221"/>
      <c r="E176" s="221"/>
    </row>
    <row r="177" spans="3:5">
      <c r="C177" s="221"/>
      <c r="D177" s="221"/>
      <c r="E177" s="221"/>
    </row>
    <row r="178" spans="3:5">
      <c r="C178" s="221"/>
      <c r="D178" s="221"/>
      <c r="E178" s="221"/>
    </row>
    <row r="179" spans="3:5">
      <c r="C179" s="221"/>
      <c r="D179" s="221"/>
      <c r="E179" s="221"/>
    </row>
    <row r="180" spans="3:5">
      <c r="C180" s="221"/>
      <c r="D180" s="221"/>
      <c r="E180" s="221"/>
    </row>
    <row r="181" spans="3:5">
      <c r="C181" s="221"/>
      <c r="D181" s="221"/>
      <c r="E181" s="221"/>
    </row>
    <row r="182" spans="3:5">
      <c r="C182" s="221"/>
      <c r="D182" s="221"/>
      <c r="E182" s="221"/>
    </row>
    <row r="183" spans="3:5">
      <c r="C183" s="221"/>
      <c r="D183" s="221"/>
      <c r="E183" s="221"/>
    </row>
    <row r="184" spans="3:5">
      <c r="C184" s="221"/>
      <c r="D184" s="221"/>
      <c r="E184" s="221"/>
    </row>
    <row r="185" spans="3:5">
      <c r="C185" s="221"/>
      <c r="D185" s="221"/>
      <c r="E185" s="221"/>
    </row>
    <row r="186" spans="3:5">
      <c r="C186" s="221"/>
      <c r="D186" s="221"/>
      <c r="E186" s="221"/>
    </row>
    <row r="187" spans="3:5">
      <c r="C187" s="221"/>
      <c r="D187" s="221"/>
      <c r="E187" s="221"/>
    </row>
    <row r="188" spans="3:5">
      <c r="C188" s="221"/>
      <c r="D188" s="221"/>
      <c r="E188" s="221"/>
    </row>
    <row r="189" spans="3:5">
      <c r="C189" s="221"/>
      <c r="D189" s="221"/>
      <c r="E189" s="221"/>
    </row>
    <row r="190" spans="3:5">
      <c r="C190" s="221"/>
      <c r="D190" s="221"/>
      <c r="E190" s="221"/>
    </row>
    <row r="191" spans="3:5">
      <c r="C191" s="221"/>
      <c r="D191" s="221"/>
      <c r="E191" s="221"/>
    </row>
    <row r="192" spans="3:5">
      <c r="C192" s="221"/>
      <c r="D192" s="221"/>
      <c r="E192" s="221"/>
    </row>
    <row r="193" spans="3:5">
      <c r="C193" s="221"/>
      <c r="D193" s="221"/>
      <c r="E193" s="221"/>
    </row>
    <row r="194" spans="3:5">
      <c r="C194" s="221"/>
      <c r="D194" s="221"/>
      <c r="E194" s="221"/>
    </row>
  </sheetData>
  <mergeCells count="202">
    <mergeCell ref="J73:O73"/>
    <mergeCell ref="J72:O72"/>
    <mergeCell ref="J74:O74"/>
    <mergeCell ref="J66:O66"/>
    <mergeCell ref="O9:O10"/>
    <mergeCell ref="C11:E11"/>
    <mergeCell ref="F11:G11"/>
    <mergeCell ref="C16:E16"/>
    <mergeCell ref="C17:E17"/>
    <mergeCell ref="C18:E18"/>
    <mergeCell ref="C15:E15"/>
    <mergeCell ref="C14:E14"/>
    <mergeCell ref="C13:E13"/>
    <mergeCell ref="C12:E12"/>
    <mergeCell ref="C29:E29"/>
    <mergeCell ref="C30:E30"/>
    <mergeCell ref="C31:E31"/>
    <mergeCell ref="C32:E32"/>
    <mergeCell ref="C33:E33"/>
    <mergeCell ref="C35:E35"/>
    <mergeCell ref="C19:E19"/>
    <mergeCell ref="C22:E22"/>
    <mergeCell ref="C24:E24"/>
    <mergeCell ref="C25:E25"/>
    <mergeCell ref="B2:O2"/>
    <mergeCell ref="B3:O3"/>
    <mergeCell ref="B9:B10"/>
    <mergeCell ref="C9:E10"/>
    <mergeCell ref="F9:G10"/>
    <mergeCell ref="H9:H10"/>
    <mergeCell ref="I9:I10"/>
    <mergeCell ref="J9:J10"/>
    <mergeCell ref="K9:K10"/>
    <mergeCell ref="L9:N9"/>
    <mergeCell ref="B5:C5"/>
    <mergeCell ref="B6:C6"/>
    <mergeCell ref="B7:C7"/>
    <mergeCell ref="C27:E27"/>
    <mergeCell ref="C28:E28"/>
    <mergeCell ref="C20:E20"/>
    <mergeCell ref="C21:E21"/>
    <mergeCell ref="C23:E23"/>
    <mergeCell ref="C26:E26"/>
    <mergeCell ref="C34:E34"/>
    <mergeCell ref="C42:E42"/>
    <mergeCell ref="C44:E44"/>
    <mergeCell ref="C45:E45"/>
    <mergeCell ref="C46:E46"/>
    <mergeCell ref="C47:E47"/>
    <mergeCell ref="C49:E49"/>
    <mergeCell ref="C36:E36"/>
    <mergeCell ref="C37:E37"/>
    <mergeCell ref="C38:E38"/>
    <mergeCell ref="C39:E39"/>
    <mergeCell ref="C40:E40"/>
    <mergeCell ref="C41:E41"/>
    <mergeCell ref="C43:E43"/>
    <mergeCell ref="C48:E48"/>
    <mergeCell ref="C61:E61"/>
    <mergeCell ref="C63:E63"/>
    <mergeCell ref="C64:E64"/>
    <mergeCell ref="C50:E50"/>
    <mergeCell ref="C51:E51"/>
    <mergeCell ref="C52:E52"/>
    <mergeCell ref="C53:E53"/>
    <mergeCell ref="C54:E54"/>
    <mergeCell ref="C62:E62"/>
    <mergeCell ref="C55:E55"/>
    <mergeCell ref="C56:E56"/>
    <mergeCell ref="C57:E57"/>
    <mergeCell ref="C58:E58"/>
    <mergeCell ref="C59:E59"/>
    <mergeCell ref="C60:E60"/>
    <mergeCell ref="C71:E71"/>
    <mergeCell ref="C72:E72"/>
    <mergeCell ref="C74:E74"/>
    <mergeCell ref="C75:E75"/>
    <mergeCell ref="C76:E76"/>
    <mergeCell ref="C77:E77"/>
    <mergeCell ref="C65:E65"/>
    <mergeCell ref="C66:E66"/>
    <mergeCell ref="C67:E67"/>
    <mergeCell ref="C68:E68"/>
    <mergeCell ref="C69:E69"/>
    <mergeCell ref="C70:E70"/>
    <mergeCell ref="C84:E84"/>
    <mergeCell ref="C85:E85"/>
    <mergeCell ref="C86:E86"/>
    <mergeCell ref="C87:E87"/>
    <mergeCell ref="C88:E88"/>
    <mergeCell ref="C89:E89"/>
    <mergeCell ref="C78:E78"/>
    <mergeCell ref="C79:E79"/>
    <mergeCell ref="C80:E80"/>
    <mergeCell ref="C81:E81"/>
    <mergeCell ref="C82:E82"/>
    <mergeCell ref="C83:E83"/>
    <mergeCell ref="C96:E96"/>
    <mergeCell ref="C97:E97"/>
    <mergeCell ref="C98:E98"/>
    <mergeCell ref="C99:E99"/>
    <mergeCell ref="C100:E100"/>
    <mergeCell ref="C101:E101"/>
    <mergeCell ref="C90:E90"/>
    <mergeCell ref="C91:E91"/>
    <mergeCell ref="C92:E92"/>
    <mergeCell ref="C93:E93"/>
    <mergeCell ref="C94:E94"/>
    <mergeCell ref="C95:E95"/>
    <mergeCell ref="C108:E108"/>
    <mergeCell ref="C109:E109"/>
    <mergeCell ref="C110:E110"/>
    <mergeCell ref="C111:E111"/>
    <mergeCell ref="C112:E112"/>
    <mergeCell ref="C113:E113"/>
    <mergeCell ref="C102:E102"/>
    <mergeCell ref="C103:E103"/>
    <mergeCell ref="C104:E104"/>
    <mergeCell ref="C105:E105"/>
    <mergeCell ref="C106:E106"/>
    <mergeCell ref="C107:E107"/>
    <mergeCell ref="C120:E120"/>
    <mergeCell ref="C121:E121"/>
    <mergeCell ref="C122:E122"/>
    <mergeCell ref="C123:E123"/>
    <mergeCell ref="C124:E124"/>
    <mergeCell ref="C125:E125"/>
    <mergeCell ref="C114:E114"/>
    <mergeCell ref="C115:E115"/>
    <mergeCell ref="C116:E116"/>
    <mergeCell ref="C117:E117"/>
    <mergeCell ref="C118:E118"/>
    <mergeCell ref="C119:E119"/>
    <mergeCell ref="C132:E132"/>
    <mergeCell ref="C133:E133"/>
    <mergeCell ref="C134:E134"/>
    <mergeCell ref="C135:E135"/>
    <mergeCell ref="C136:E136"/>
    <mergeCell ref="C137:E137"/>
    <mergeCell ref="C126:E126"/>
    <mergeCell ref="C127:E127"/>
    <mergeCell ref="C128:E128"/>
    <mergeCell ref="C129:E129"/>
    <mergeCell ref="C130:E130"/>
    <mergeCell ref="C131:E131"/>
    <mergeCell ref="C144:E144"/>
    <mergeCell ref="C145:E145"/>
    <mergeCell ref="C146:E146"/>
    <mergeCell ref="C147:E147"/>
    <mergeCell ref="C148:E148"/>
    <mergeCell ref="C149:E149"/>
    <mergeCell ref="C138:E138"/>
    <mergeCell ref="C139:E139"/>
    <mergeCell ref="C140:E140"/>
    <mergeCell ref="C141:E141"/>
    <mergeCell ref="C142:E142"/>
    <mergeCell ref="C143:E143"/>
    <mergeCell ref="C156:E156"/>
    <mergeCell ref="C157:E157"/>
    <mergeCell ref="C158:E158"/>
    <mergeCell ref="C159:E159"/>
    <mergeCell ref="C160:E160"/>
    <mergeCell ref="C161:E161"/>
    <mergeCell ref="C150:E150"/>
    <mergeCell ref="C151:E151"/>
    <mergeCell ref="C152:E152"/>
    <mergeCell ref="C153:E153"/>
    <mergeCell ref="C154:E154"/>
    <mergeCell ref="C155:E155"/>
    <mergeCell ref="C168:E168"/>
    <mergeCell ref="C169:E169"/>
    <mergeCell ref="C170:E170"/>
    <mergeCell ref="C171:E171"/>
    <mergeCell ref="C172:E172"/>
    <mergeCell ref="C173:E173"/>
    <mergeCell ref="C162:E162"/>
    <mergeCell ref="C163:E163"/>
    <mergeCell ref="C164:E164"/>
    <mergeCell ref="C165:E165"/>
    <mergeCell ref="C166:E166"/>
    <mergeCell ref="C167:E167"/>
    <mergeCell ref="C192:E192"/>
    <mergeCell ref="C193:E193"/>
    <mergeCell ref="C194:E194"/>
    <mergeCell ref="C186:E186"/>
    <mergeCell ref="C187:E187"/>
    <mergeCell ref="C188:E188"/>
    <mergeCell ref="C189:E189"/>
    <mergeCell ref="C190:E190"/>
    <mergeCell ref="C191:E191"/>
    <mergeCell ref="C180:E180"/>
    <mergeCell ref="C181:E181"/>
    <mergeCell ref="C182:E182"/>
    <mergeCell ref="C183:E183"/>
    <mergeCell ref="C184:E184"/>
    <mergeCell ref="C185:E185"/>
    <mergeCell ref="C174:E174"/>
    <mergeCell ref="C175:E175"/>
    <mergeCell ref="C176:E176"/>
    <mergeCell ref="C177:E177"/>
    <mergeCell ref="C178:E178"/>
    <mergeCell ref="C179:E179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LELANG APBN &amp; APBD</vt:lpstr>
      <vt:lpstr>PENGADAAN LANGSUNG APBN</vt:lpstr>
      <vt:lpstr>PENGADAAN LANGSUNG APBD</vt:lpstr>
      <vt:lpstr>Pengadaan Barang Jasa APBD</vt:lpstr>
      <vt:lpstr>Pengadaan Barang Jasa APBN</vt:lpstr>
      <vt:lpstr>'LELANG APBN &amp; APBD'!Print_Titles</vt:lpstr>
      <vt:lpstr>'PENGADAAN LANGSUNG APBD'!Print_Titles</vt:lpstr>
      <vt:lpstr>'PENGADAAN LANGSUNG APBN'!Print_Titles</vt:lpstr>
    </vt:vector>
  </TitlesOfParts>
  <Company>DKP Prov SULUT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P3HP</dc:creator>
  <cp:lastModifiedBy>Gateway</cp:lastModifiedBy>
  <cp:lastPrinted>2013-01-26T09:44:43Z</cp:lastPrinted>
  <dcterms:created xsi:type="dcterms:W3CDTF">2013-01-22T21:50:08Z</dcterms:created>
  <dcterms:modified xsi:type="dcterms:W3CDTF">2013-01-26T09:46:10Z</dcterms:modified>
</cp:coreProperties>
</file>