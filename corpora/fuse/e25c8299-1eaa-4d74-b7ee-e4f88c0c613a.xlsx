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50" i="1" l="1"/>
  <c r="D50" i="1"/>
  <c r="C50" i="1"/>
  <c r="B50" i="1"/>
  <c r="F50" i="1" s="1"/>
  <c r="F49" i="1"/>
  <c r="F48" i="1"/>
  <c r="F47" i="1"/>
  <c r="F46" i="1"/>
  <c r="F45" i="1"/>
  <c r="F44" i="1"/>
  <c r="F43" i="1"/>
  <c r="F42" i="1"/>
  <c r="F41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<sst xmlns="http://schemas.openxmlformats.org/spreadsheetml/2006/main" count="55" uniqueCount="55">
  <si>
    <t>Slaughtering - 2011</t>
  </si>
  <si>
    <t>Week-ended</t>
  </si>
  <si>
    <t>Lambs over 13kg</t>
  </si>
  <si>
    <t>Lambs &lt; 13kg</t>
  </si>
  <si>
    <t>Hoggets</t>
  </si>
  <si>
    <t>Cast Ewes</t>
  </si>
  <si>
    <t>Total</t>
  </si>
  <si>
    <t>09.01.11</t>
  </si>
  <si>
    <t>16.01.11</t>
  </si>
  <si>
    <t>23.01.11</t>
  </si>
  <si>
    <t>30.01.11</t>
  </si>
  <si>
    <t>06.02.11</t>
  </si>
  <si>
    <t>13.02.11</t>
  </si>
  <si>
    <t>20.02.11</t>
  </si>
  <si>
    <t>27.02.11</t>
  </si>
  <si>
    <t>06.03.11</t>
  </si>
  <si>
    <t>13.03.11</t>
  </si>
  <si>
    <t>20.03.11</t>
  </si>
  <si>
    <t>27.03.11</t>
  </si>
  <si>
    <t>03.04.11</t>
  </si>
  <si>
    <t>10.04.11</t>
  </si>
  <si>
    <t>17.04.11</t>
  </si>
  <si>
    <t>24.04.11</t>
  </si>
  <si>
    <t>01.05.11</t>
  </si>
  <si>
    <t>08.05.11</t>
  </si>
  <si>
    <t>15.05.11</t>
  </si>
  <si>
    <t>22.05.11</t>
  </si>
  <si>
    <t>29.05.11</t>
  </si>
  <si>
    <t>05.06.11</t>
  </si>
  <si>
    <t>12.06.11</t>
  </si>
  <si>
    <t>19.06.11</t>
  </si>
  <si>
    <t>26.06.11</t>
  </si>
  <si>
    <t>03.07.11</t>
  </si>
  <si>
    <t>10.07.11</t>
  </si>
  <si>
    <t>17.07.11</t>
  </si>
  <si>
    <t>24.07.11</t>
  </si>
  <si>
    <t>31.07.11</t>
  </si>
  <si>
    <t>07.08.11</t>
  </si>
  <si>
    <t>14.08.11</t>
  </si>
  <si>
    <t>21.08.11</t>
  </si>
  <si>
    <t>28.08.11</t>
  </si>
  <si>
    <t>04.09.11</t>
  </si>
  <si>
    <t>11.09.11</t>
  </si>
  <si>
    <t>18.09.11</t>
  </si>
  <si>
    <t>25.09.11</t>
  </si>
  <si>
    <t>02.10.11</t>
  </si>
  <si>
    <t>09.10.11</t>
  </si>
  <si>
    <t>16.10.11</t>
  </si>
  <si>
    <t>23.10.11</t>
  </si>
  <si>
    <t>30.10.11</t>
  </si>
  <si>
    <t>06.11.11</t>
  </si>
  <si>
    <t>13.11.11</t>
  </si>
  <si>
    <t>20.11.11</t>
  </si>
  <si>
    <t>27.11.11</t>
  </si>
  <si>
    <t>Cumulative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</si>
</sst>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\-yyyy"/>
  </numFmts>
  <fonts count="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2" fillId="0" borderId="4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9" xfId="0" applyNumberFormat="1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C58" sqref="C58"/>
    </sheetView>
  </sheetViews>
  <sheetFormatPr defaultRowHeight="15" x14ac:dyDescent="0.25"/>
  <cols>
    <col min="1" max="1" width="16.28515625" customWidth="1"/>
    <col min="2" max="2" width="15.42578125" customWidth="1"/>
    <col min="3" max="3" width="14.85546875" customWidth="1"/>
    <col min="4" max="4" width="16.42578125" customWidth="1"/>
    <col min="5" max="5" width="18.28515625" customWidth="1"/>
    <col min="6" max="6" width="20.28515625" customWidth="1"/>
  </cols>
  <sheetData>
    <row r="1" spans="1:6" ht="45" customHeight="1" x14ac:dyDescent="0.25">
      <c r="A1" s="9" t="s">
        <v>0</v>
      </c>
      <c r="B1" s="10"/>
      <c r="C1" s="10"/>
      <c r="D1" s="10"/>
      <c r="E1" s="10"/>
      <c r="F1" s="11"/>
    </row>
    <row r="2" spans="1:6" ht="36" x14ac:dyDescent="0.25">
      <c r="A2" s="12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13" t="s">
        <v>6</v>
      </c>
    </row>
    <row r="3" spans="1:6" ht="24.95" customHeight="1" x14ac:dyDescent="0.25">
      <c r="A3" s="1" t="s">
        <v>7</v>
      </c>
      <c r="B3" s="2">
        <v>26766</v>
      </c>
      <c r="C3" s="2">
        <v>65</v>
      </c>
      <c r="D3" s="2">
        <v>0</v>
      </c>
      <c r="E3" s="2">
        <v>4272</v>
      </c>
      <c r="F3" s="3">
        <f>B3+C3+D3+E3</f>
        <v>31103</v>
      </c>
    </row>
    <row r="4" spans="1:6" ht="24.95" customHeight="1" x14ac:dyDescent="0.25">
      <c r="A4" s="1" t="s">
        <v>8</v>
      </c>
      <c r="B4" s="2">
        <v>27957</v>
      </c>
      <c r="C4" s="2">
        <v>36</v>
      </c>
      <c r="D4" s="2">
        <v>0</v>
      </c>
      <c r="E4" s="2">
        <v>4506</v>
      </c>
      <c r="F4" s="3">
        <f t="shared" ref="F4:F9" si="0">B4+C4+D4+E4</f>
        <v>32499</v>
      </c>
    </row>
    <row r="5" spans="1:6" ht="24.95" customHeight="1" x14ac:dyDescent="0.25">
      <c r="A5" s="1" t="s">
        <v>9</v>
      </c>
      <c r="B5" s="2">
        <v>30527</v>
      </c>
      <c r="C5" s="2">
        <v>64</v>
      </c>
      <c r="D5" s="2">
        <v>0</v>
      </c>
      <c r="E5" s="2">
        <v>4603</v>
      </c>
      <c r="F5" s="3">
        <f t="shared" si="0"/>
        <v>35194</v>
      </c>
    </row>
    <row r="6" spans="1:6" ht="24.95" customHeight="1" x14ac:dyDescent="0.25">
      <c r="A6" s="1" t="s">
        <v>10</v>
      </c>
      <c r="B6" s="2">
        <v>28916</v>
      </c>
      <c r="C6" s="2">
        <v>90</v>
      </c>
      <c r="D6" s="2">
        <v>0</v>
      </c>
      <c r="E6" s="2">
        <v>4245</v>
      </c>
      <c r="F6" s="3">
        <f t="shared" si="0"/>
        <v>33251</v>
      </c>
    </row>
    <row r="7" spans="1:6" ht="24.95" customHeight="1" x14ac:dyDescent="0.25">
      <c r="A7" s="1" t="s">
        <v>11</v>
      </c>
      <c r="B7" s="2">
        <v>30593</v>
      </c>
      <c r="C7" s="2">
        <v>80</v>
      </c>
      <c r="D7" s="2">
        <v>0</v>
      </c>
      <c r="E7" s="2">
        <v>4675</v>
      </c>
      <c r="F7" s="3">
        <f t="shared" si="0"/>
        <v>35348</v>
      </c>
    </row>
    <row r="8" spans="1:6" ht="24.95" customHeight="1" x14ac:dyDescent="0.25">
      <c r="A8" s="1" t="s">
        <v>12</v>
      </c>
      <c r="B8" s="2">
        <v>28926</v>
      </c>
      <c r="C8" s="2">
        <v>53</v>
      </c>
      <c r="D8" s="2">
        <v>0</v>
      </c>
      <c r="E8" s="2">
        <v>4309</v>
      </c>
      <c r="F8" s="3">
        <f t="shared" si="0"/>
        <v>33288</v>
      </c>
    </row>
    <row r="9" spans="1:6" ht="24.95" customHeight="1" x14ac:dyDescent="0.25">
      <c r="A9" s="4" t="s">
        <v>13</v>
      </c>
      <c r="B9" s="2">
        <v>28440</v>
      </c>
      <c r="C9" s="2">
        <v>42</v>
      </c>
      <c r="D9" s="2">
        <v>0</v>
      </c>
      <c r="E9" s="2">
        <v>4225</v>
      </c>
      <c r="F9" s="3">
        <f t="shared" si="0"/>
        <v>32707</v>
      </c>
    </row>
    <row r="10" spans="1:6" ht="24.95" customHeight="1" x14ac:dyDescent="0.25">
      <c r="A10" s="4" t="s">
        <v>14</v>
      </c>
      <c r="B10" s="2">
        <v>15136</v>
      </c>
      <c r="C10" s="2">
        <v>33</v>
      </c>
      <c r="D10" s="2">
        <v>9917</v>
      </c>
      <c r="E10" s="2">
        <v>5029</v>
      </c>
      <c r="F10" s="3">
        <f>SUM(B10:E10)</f>
        <v>30115</v>
      </c>
    </row>
    <row r="11" spans="1:6" ht="24.95" customHeight="1" x14ac:dyDescent="0.25">
      <c r="A11" s="4" t="s">
        <v>15</v>
      </c>
      <c r="B11" s="2">
        <v>13874</v>
      </c>
      <c r="C11" s="2">
        <v>108</v>
      </c>
      <c r="D11" s="2">
        <v>9490</v>
      </c>
      <c r="E11" s="2">
        <v>3702</v>
      </c>
      <c r="F11" s="3">
        <f t="shared" ref="F11:F49" si="1">SUM(B11:E11)</f>
        <v>27174</v>
      </c>
    </row>
    <row r="12" spans="1:6" ht="24.95" customHeight="1" x14ac:dyDescent="0.25">
      <c r="A12" s="4" t="s">
        <v>16</v>
      </c>
      <c r="B12" s="2">
        <v>14451</v>
      </c>
      <c r="C12" s="2">
        <v>38</v>
      </c>
      <c r="D12" s="2">
        <v>9735</v>
      </c>
      <c r="E12" s="2">
        <v>3749</v>
      </c>
      <c r="F12" s="3">
        <f t="shared" si="1"/>
        <v>27973</v>
      </c>
    </row>
    <row r="13" spans="1:6" ht="24.95" customHeight="1" x14ac:dyDescent="0.25">
      <c r="A13" s="4" t="s">
        <v>17</v>
      </c>
      <c r="B13" s="2">
        <v>8175</v>
      </c>
      <c r="C13" s="2">
        <v>25</v>
      </c>
      <c r="D13" s="2">
        <v>16098</v>
      </c>
      <c r="E13" s="2">
        <v>3747</v>
      </c>
      <c r="F13" s="3">
        <f>SUM(B13:E13)</f>
        <v>28045</v>
      </c>
    </row>
    <row r="14" spans="1:6" ht="24.95" customHeight="1" x14ac:dyDescent="0.25">
      <c r="A14" s="4" t="s">
        <v>18</v>
      </c>
      <c r="B14" s="2">
        <v>8748</v>
      </c>
      <c r="C14" s="2">
        <v>61</v>
      </c>
      <c r="D14" s="2">
        <v>14377</v>
      </c>
      <c r="E14" s="2">
        <v>4431</v>
      </c>
      <c r="F14" s="3">
        <f t="shared" si="1"/>
        <v>27617</v>
      </c>
    </row>
    <row r="15" spans="1:6" ht="24.95" customHeight="1" x14ac:dyDescent="0.25">
      <c r="A15" s="4" t="s">
        <v>19</v>
      </c>
      <c r="B15" s="2">
        <v>9411</v>
      </c>
      <c r="C15" s="2">
        <v>57</v>
      </c>
      <c r="D15" s="2">
        <v>16451</v>
      </c>
      <c r="E15" s="2">
        <v>4544</v>
      </c>
      <c r="F15" s="3">
        <f t="shared" si="1"/>
        <v>30463</v>
      </c>
    </row>
    <row r="16" spans="1:6" ht="24.95" customHeight="1" x14ac:dyDescent="0.25">
      <c r="A16" s="4" t="s">
        <v>20</v>
      </c>
      <c r="B16" s="2">
        <v>5807</v>
      </c>
      <c r="C16" s="2">
        <v>42</v>
      </c>
      <c r="D16" s="2">
        <v>20932</v>
      </c>
      <c r="E16" s="2">
        <v>5593</v>
      </c>
      <c r="F16" s="3">
        <f t="shared" si="1"/>
        <v>32374</v>
      </c>
    </row>
    <row r="17" spans="1:6" ht="24.95" customHeight="1" x14ac:dyDescent="0.25">
      <c r="A17" s="4" t="s">
        <v>21</v>
      </c>
      <c r="B17" s="2">
        <v>10003</v>
      </c>
      <c r="C17" s="2">
        <v>357</v>
      </c>
      <c r="D17" s="2">
        <v>23228</v>
      </c>
      <c r="E17" s="2">
        <v>5339</v>
      </c>
      <c r="F17" s="3">
        <f t="shared" si="1"/>
        <v>38927</v>
      </c>
    </row>
    <row r="18" spans="1:6" ht="24.95" customHeight="1" x14ac:dyDescent="0.25">
      <c r="A18" s="4" t="s">
        <v>22</v>
      </c>
      <c r="B18" s="2">
        <v>12853</v>
      </c>
      <c r="C18" s="2">
        <v>45</v>
      </c>
      <c r="D18" s="2">
        <v>20988</v>
      </c>
      <c r="E18" s="2">
        <v>5092</v>
      </c>
      <c r="F18" s="3">
        <f t="shared" si="1"/>
        <v>38978</v>
      </c>
    </row>
    <row r="19" spans="1:6" ht="24.95" customHeight="1" x14ac:dyDescent="0.25">
      <c r="A19" s="4" t="s">
        <v>23</v>
      </c>
      <c r="B19" s="2">
        <v>13535</v>
      </c>
      <c r="C19" s="2">
        <v>56</v>
      </c>
      <c r="D19" s="2">
        <v>12597</v>
      </c>
      <c r="E19" s="2">
        <v>5098</v>
      </c>
      <c r="F19" s="3">
        <f t="shared" si="1"/>
        <v>31286</v>
      </c>
    </row>
    <row r="20" spans="1:6" ht="24.95" customHeight="1" x14ac:dyDescent="0.25">
      <c r="A20" s="4" t="s">
        <v>24</v>
      </c>
      <c r="B20" s="2">
        <v>18913</v>
      </c>
      <c r="C20" s="2">
        <v>63</v>
      </c>
      <c r="D20" s="2">
        <v>9501</v>
      </c>
      <c r="E20" s="2">
        <v>4455</v>
      </c>
      <c r="F20" s="3">
        <f t="shared" si="1"/>
        <v>32932</v>
      </c>
    </row>
    <row r="21" spans="1:6" ht="24.95" customHeight="1" x14ac:dyDescent="0.25">
      <c r="A21" s="4" t="s">
        <v>25</v>
      </c>
      <c r="B21" s="2">
        <v>23387</v>
      </c>
      <c r="C21" s="2">
        <v>43</v>
      </c>
      <c r="D21" s="2">
        <v>7387</v>
      </c>
      <c r="E21" s="2">
        <v>4686</v>
      </c>
      <c r="F21" s="3">
        <f t="shared" si="1"/>
        <v>35503</v>
      </c>
    </row>
    <row r="22" spans="1:6" ht="24.95" customHeight="1" x14ac:dyDescent="0.25">
      <c r="A22" s="4" t="s">
        <v>26</v>
      </c>
      <c r="B22" s="2">
        <v>32303</v>
      </c>
      <c r="C22" s="2">
        <v>45</v>
      </c>
      <c r="D22" s="2">
        <v>4310</v>
      </c>
      <c r="E22" s="2">
        <v>4841</v>
      </c>
      <c r="F22" s="3">
        <f t="shared" si="1"/>
        <v>41499</v>
      </c>
    </row>
    <row r="23" spans="1:6" ht="24.95" customHeight="1" x14ac:dyDescent="0.25">
      <c r="A23" s="4" t="s">
        <v>27</v>
      </c>
      <c r="B23" s="2">
        <v>34210</v>
      </c>
      <c r="C23" s="2">
        <v>40</v>
      </c>
      <c r="D23" s="2">
        <v>3055</v>
      </c>
      <c r="E23" s="2">
        <v>4785</v>
      </c>
      <c r="F23" s="3">
        <f t="shared" si="1"/>
        <v>42090</v>
      </c>
    </row>
    <row r="24" spans="1:6" ht="24.95" customHeight="1" x14ac:dyDescent="0.25">
      <c r="A24" s="4" t="s">
        <v>28</v>
      </c>
      <c r="B24" s="2">
        <v>37990</v>
      </c>
      <c r="C24" s="2">
        <v>64</v>
      </c>
      <c r="D24" s="2">
        <v>1531</v>
      </c>
      <c r="E24" s="2">
        <v>4730</v>
      </c>
      <c r="F24" s="3">
        <f t="shared" si="1"/>
        <v>44315</v>
      </c>
    </row>
    <row r="25" spans="1:6" ht="24.95" customHeight="1" x14ac:dyDescent="0.25">
      <c r="A25" s="4" t="s">
        <v>29</v>
      </c>
      <c r="B25" s="2">
        <v>39028</v>
      </c>
      <c r="C25" s="2">
        <v>53</v>
      </c>
      <c r="D25" s="2">
        <v>793</v>
      </c>
      <c r="E25" s="2">
        <v>4781</v>
      </c>
      <c r="F25" s="3">
        <f t="shared" si="1"/>
        <v>44655</v>
      </c>
    </row>
    <row r="26" spans="1:6" ht="24.95" customHeight="1" x14ac:dyDescent="0.25">
      <c r="A26" s="4" t="s">
        <v>30</v>
      </c>
      <c r="B26" s="2">
        <v>42386</v>
      </c>
      <c r="C26" s="2">
        <v>55</v>
      </c>
      <c r="D26" s="2">
        <v>641</v>
      </c>
      <c r="E26" s="2">
        <v>4652</v>
      </c>
      <c r="F26" s="3">
        <f t="shared" si="1"/>
        <v>47734</v>
      </c>
    </row>
    <row r="27" spans="1:6" ht="24.95" customHeight="1" x14ac:dyDescent="0.25">
      <c r="A27" s="4" t="s">
        <v>31</v>
      </c>
      <c r="B27" s="2">
        <v>42500</v>
      </c>
      <c r="C27" s="2">
        <v>56</v>
      </c>
      <c r="D27" s="2">
        <v>348</v>
      </c>
      <c r="E27" s="2">
        <v>4906</v>
      </c>
      <c r="F27" s="3">
        <f t="shared" si="1"/>
        <v>47810</v>
      </c>
    </row>
    <row r="28" spans="1:6" ht="24.95" customHeight="1" x14ac:dyDescent="0.25">
      <c r="A28" s="4" t="s">
        <v>32</v>
      </c>
      <c r="B28" s="2">
        <v>39380</v>
      </c>
      <c r="C28" s="2">
        <v>71</v>
      </c>
      <c r="D28" s="2">
        <v>258</v>
      </c>
      <c r="E28" s="2">
        <v>5469</v>
      </c>
      <c r="F28" s="3">
        <f t="shared" si="1"/>
        <v>45178</v>
      </c>
    </row>
    <row r="29" spans="1:6" ht="24.95" customHeight="1" x14ac:dyDescent="0.25">
      <c r="A29" s="4" t="s">
        <v>33</v>
      </c>
      <c r="B29" s="2">
        <v>43743</v>
      </c>
      <c r="C29" s="2">
        <v>97</v>
      </c>
      <c r="D29" s="2">
        <v>155</v>
      </c>
      <c r="E29" s="2">
        <v>5060</v>
      </c>
      <c r="F29" s="3">
        <f>SUM(B29:E29)</f>
        <v>49055</v>
      </c>
    </row>
    <row r="30" spans="1:6" ht="24.95" customHeight="1" x14ac:dyDescent="0.25">
      <c r="A30" s="4" t="s">
        <v>34</v>
      </c>
      <c r="B30" s="2">
        <v>42943</v>
      </c>
      <c r="C30" s="2">
        <v>26</v>
      </c>
      <c r="D30" s="2">
        <v>166</v>
      </c>
      <c r="E30" s="2">
        <v>4772</v>
      </c>
      <c r="F30" s="3">
        <f t="shared" si="1"/>
        <v>47907</v>
      </c>
    </row>
    <row r="31" spans="1:6" ht="24.95" customHeight="1" x14ac:dyDescent="0.25">
      <c r="A31" s="4" t="s">
        <v>35</v>
      </c>
      <c r="B31" s="2">
        <v>45167</v>
      </c>
      <c r="C31" s="2">
        <v>97</v>
      </c>
      <c r="D31" s="2">
        <v>176</v>
      </c>
      <c r="E31" s="2">
        <v>5755</v>
      </c>
      <c r="F31" s="3">
        <f t="shared" si="1"/>
        <v>51195</v>
      </c>
    </row>
    <row r="32" spans="1:6" ht="24.95" customHeight="1" x14ac:dyDescent="0.25">
      <c r="A32" s="4" t="s">
        <v>36</v>
      </c>
      <c r="B32" s="2">
        <v>49329</v>
      </c>
      <c r="C32" s="2">
        <v>95</v>
      </c>
      <c r="D32" s="2">
        <v>196</v>
      </c>
      <c r="E32" s="2">
        <v>5756</v>
      </c>
      <c r="F32" s="3">
        <f t="shared" si="1"/>
        <v>55376</v>
      </c>
    </row>
    <row r="33" spans="1:6" ht="24.95" customHeight="1" x14ac:dyDescent="0.25">
      <c r="A33" s="4" t="s">
        <v>37</v>
      </c>
      <c r="B33" s="2">
        <v>44727</v>
      </c>
      <c r="C33" s="2">
        <v>131</v>
      </c>
      <c r="D33" s="2">
        <v>71</v>
      </c>
      <c r="E33" s="2">
        <v>5516</v>
      </c>
      <c r="F33" s="3">
        <f t="shared" si="1"/>
        <v>50445</v>
      </c>
    </row>
    <row r="34" spans="1:6" ht="24.95" customHeight="1" x14ac:dyDescent="0.25">
      <c r="A34" s="4" t="s">
        <v>38</v>
      </c>
      <c r="B34" s="2">
        <v>40607</v>
      </c>
      <c r="C34" s="2">
        <v>95</v>
      </c>
      <c r="D34" s="2">
        <v>111</v>
      </c>
      <c r="E34" s="2">
        <v>6956</v>
      </c>
      <c r="F34" s="3">
        <f t="shared" si="1"/>
        <v>47769</v>
      </c>
    </row>
    <row r="35" spans="1:6" ht="24.95" customHeight="1" x14ac:dyDescent="0.25">
      <c r="A35" s="4" t="s">
        <v>39</v>
      </c>
      <c r="B35" s="2">
        <v>41766</v>
      </c>
      <c r="C35" s="2">
        <v>54</v>
      </c>
      <c r="D35" s="2">
        <v>174</v>
      </c>
      <c r="E35" s="2">
        <v>7531</v>
      </c>
      <c r="F35" s="3">
        <f t="shared" si="1"/>
        <v>49525</v>
      </c>
    </row>
    <row r="36" spans="1:6" ht="24.95" customHeight="1" x14ac:dyDescent="0.25">
      <c r="A36" s="4" t="s">
        <v>40</v>
      </c>
      <c r="B36" s="2">
        <v>44823</v>
      </c>
      <c r="C36" s="2">
        <v>136</v>
      </c>
      <c r="D36" s="2">
        <v>60</v>
      </c>
      <c r="E36" s="2">
        <v>7533</v>
      </c>
      <c r="F36" s="3">
        <f t="shared" si="1"/>
        <v>52552</v>
      </c>
    </row>
    <row r="37" spans="1:6" ht="24.95" customHeight="1" x14ac:dyDescent="0.25">
      <c r="A37" s="4" t="s">
        <v>41</v>
      </c>
      <c r="B37" s="2">
        <v>45672</v>
      </c>
      <c r="C37" s="2">
        <v>119</v>
      </c>
      <c r="D37" s="2">
        <v>97</v>
      </c>
      <c r="E37" s="2">
        <v>7333</v>
      </c>
      <c r="F37" s="3">
        <f t="shared" si="1"/>
        <v>53221</v>
      </c>
    </row>
    <row r="38" spans="1:6" ht="24.95" customHeight="1" x14ac:dyDescent="0.25">
      <c r="A38" s="4" t="s">
        <v>42</v>
      </c>
      <c r="B38" s="2">
        <v>45796</v>
      </c>
      <c r="C38" s="2">
        <v>57</v>
      </c>
      <c r="D38" s="2">
        <v>87</v>
      </c>
      <c r="E38" s="2">
        <v>7402</v>
      </c>
      <c r="F38" s="3">
        <f t="shared" si="1"/>
        <v>53342</v>
      </c>
    </row>
    <row r="39" spans="1:6" ht="24.95" customHeight="1" x14ac:dyDescent="0.25">
      <c r="A39" s="4" t="s">
        <v>43</v>
      </c>
      <c r="B39" s="2">
        <v>42093</v>
      </c>
      <c r="C39" s="2">
        <v>784</v>
      </c>
      <c r="D39" s="2">
        <v>104</v>
      </c>
      <c r="E39" s="2">
        <v>8029</v>
      </c>
      <c r="F39" s="3">
        <f t="shared" si="1"/>
        <v>51010</v>
      </c>
    </row>
    <row r="40" spans="1:6" ht="24.95" customHeight="1" x14ac:dyDescent="0.25">
      <c r="A40" s="4" t="s">
        <v>44</v>
      </c>
      <c r="B40" s="2">
        <v>40769</v>
      </c>
      <c r="C40" s="2">
        <v>599</v>
      </c>
      <c r="D40" s="2">
        <v>126</v>
      </c>
      <c r="E40" s="2">
        <v>6660</v>
      </c>
      <c r="F40" s="3">
        <v>48154</v>
      </c>
    </row>
    <row r="41" spans="1:6" ht="24.95" customHeight="1" x14ac:dyDescent="0.25">
      <c r="A41" s="4" t="s">
        <v>45</v>
      </c>
      <c r="B41" s="2">
        <v>40390</v>
      </c>
      <c r="C41" s="2">
        <v>641</v>
      </c>
      <c r="D41" s="2">
        <v>37</v>
      </c>
      <c r="E41" s="2">
        <v>6801</v>
      </c>
      <c r="F41" s="3">
        <f t="shared" si="1"/>
        <v>47869</v>
      </c>
    </row>
    <row r="42" spans="1:6" ht="24.95" customHeight="1" x14ac:dyDescent="0.25">
      <c r="A42" s="4" t="s">
        <v>46</v>
      </c>
      <c r="B42" s="2">
        <v>42531</v>
      </c>
      <c r="C42" s="2">
        <v>667</v>
      </c>
      <c r="D42" s="2">
        <v>78</v>
      </c>
      <c r="E42" s="2">
        <v>7375</v>
      </c>
      <c r="F42" s="3">
        <f t="shared" si="1"/>
        <v>50651</v>
      </c>
    </row>
    <row r="43" spans="1:6" ht="24.95" customHeight="1" x14ac:dyDescent="0.25">
      <c r="A43" s="4" t="s">
        <v>47</v>
      </c>
      <c r="B43" s="2">
        <v>41071</v>
      </c>
      <c r="C43" s="2">
        <v>699</v>
      </c>
      <c r="D43" s="2">
        <v>63</v>
      </c>
      <c r="E43" s="2">
        <v>6407</v>
      </c>
      <c r="F43" s="3">
        <f t="shared" si="1"/>
        <v>48240</v>
      </c>
    </row>
    <row r="44" spans="1:6" ht="24.95" customHeight="1" x14ac:dyDescent="0.25">
      <c r="A44" s="4" t="s">
        <v>48</v>
      </c>
      <c r="B44" s="2">
        <v>38566</v>
      </c>
      <c r="C44" s="2">
        <v>680</v>
      </c>
      <c r="D44" s="2">
        <v>87</v>
      </c>
      <c r="E44" s="2">
        <v>5939</v>
      </c>
      <c r="F44" s="3">
        <f t="shared" si="1"/>
        <v>45272</v>
      </c>
    </row>
    <row r="45" spans="1:6" ht="24.95" customHeight="1" x14ac:dyDescent="0.25">
      <c r="A45" s="4" t="s">
        <v>49</v>
      </c>
      <c r="B45" s="2">
        <v>41896</v>
      </c>
      <c r="C45" s="2">
        <v>156</v>
      </c>
      <c r="D45" s="2">
        <v>60</v>
      </c>
      <c r="E45" s="2">
        <v>5067</v>
      </c>
      <c r="F45" s="3">
        <f t="shared" si="1"/>
        <v>47179</v>
      </c>
    </row>
    <row r="46" spans="1:6" ht="24.95" customHeight="1" x14ac:dyDescent="0.25">
      <c r="A46" s="4" t="s">
        <v>50</v>
      </c>
      <c r="B46" s="2">
        <v>46805</v>
      </c>
      <c r="C46" s="2">
        <v>102</v>
      </c>
      <c r="D46" s="2">
        <v>37</v>
      </c>
      <c r="E46" s="2">
        <v>4226</v>
      </c>
      <c r="F46" s="3">
        <f t="shared" si="1"/>
        <v>51170</v>
      </c>
    </row>
    <row r="47" spans="1:6" ht="24.95" customHeight="1" x14ac:dyDescent="0.25">
      <c r="A47" s="4" t="s">
        <v>51</v>
      </c>
      <c r="B47" s="2">
        <v>35492</v>
      </c>
      <c r="C47" s="2">
        <v>341</v>
      </c>
      <c r="D47" s="2">
        <v>71</v>
      </c>
      <c r="E47" s="2">
        <v>5571</v>
      </c>
      <c r="F47" s="3">
        <f t="shared" si="1"/>
        <v>41475</v>
      </c>
    </row>
    <row r="48" spans="1:6" ht="24.95" customHeight="1" x14ac:dyDescent="0.25">
      <c r="A48" s="4" t="s">
        <v>52</v>
      </c>
      <c r="B48" s="2">
        <v>36019</v>
      </c>
      <c r="C48" s="2">
        <v>255</v>
      </c>
      <c r="D48" s="2">
        <v>97</v>
      </c>
      <c r="E48" s="2">
        <v>5809</v>
      </c>
      <c r="F48" s="3">
        <f t="shared" si="1"/>
        <v>42180</v>
      </c>
    </row>
    <row r="49" spans="1:6" ht="24.95" customHeight="1" x14ac:dyDescent="0.25">
      <c r="A49" s="4" t="s">
        <v>53</v>
      </c>
      <c r="B49" s="2">
        <v>37320</v>
      </c>
      <c r="C49" s="2">
        <v>62</v>
      </c>
      <c r="D49" s="2">
        <v>45</v>
      </c>
      <c r="E49" s="2">
        <v>6362</v>
      </c>
      <c r="F49" s="3">
        <f t="shared" si="1"/>
        <v>43789</v>
      </c>
    </row>
    <row r="50" spans="1:6" ht="37.5" customHeight="1" thickBot="1" x14ac:dyDescent="0.3">
      <c r="A50" s="5" t="s">
        <v>54</v>
      </c>
      <c r="B50" s="6">
        <f>SUM(B3:B49)</f>
        <v>1511740</v>
      </c>
      <c r="C50" s="6">
        <f>SUM(C3:C49)</f>
        <v>7635</v>
      </c>
      <c r="D50" s="6">
        <f>SUM(D3:D49)</f>
        <v>183735</v>
      </c>
      <c r="E50" s="6">
        <f>SUM(E3:E49)</f>
        <v>252324</v>
      </c>
      <c r="F50" s="7">
        <f>SUM(B50:E50)</f>
        <v>1955434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Jenner</dc:creator>
  <cp:lastModifiedBy>Mary Jenner</cp:lastModifiedBy>
  <dcterms:created xsi:type="dcterms:W3CDTF">2011-12-01T16:20:19Z</dcterms:created>
  <dcterms:modified xsi:type="dcterms:W3CDTF">2011-12-01T16:21:24Z</dcterms:modified>
</cp:coreProperties>
</file>