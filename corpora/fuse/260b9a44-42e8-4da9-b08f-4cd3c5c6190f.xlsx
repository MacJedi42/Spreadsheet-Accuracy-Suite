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7280" windowHeight="9705" tabRatio="691"/>
  </bookViews>
  <sheets>
    <sheet name="Comparison to Option 1" sheetId="12" r:id="rId1"/>
    <sheet name="Comparison to IO" sheetId="6" r:id="rId2"/>
    <sheet name="Option 1" sheetId="3" r:id="rId3"/>
    <sheet name="Option 2" sheetId="2" r:id="rId4"/>
    <sheet name="Option 6" sheetId="7" r:id="rId5"/>
    <sheet name="Option 7" sheetId="8" r:id="rId6"/>
    <sheet name="Option 8" sheetId="9" r:id="rId7"/>
    <sheet name="Option 9" sheetId="11" r:id="rId8"/>
    <sheet name="Option 10" sheetId="13" r:id="rId9"/>
  </sheets>
  <externalReferences>
    <externalReference r:id="rId10"/>
    <externalReference r:id="rId11"/>
  </externalReferences>
  <definedNames>
    <definedName name="_Fill" localSheetId="0" hidden="1">#REF!</definedName>
    <definedName name="_Fill" localSheetId="2" hidden="1">#REF!</definedName>
    <definedName name="_Fill" localSheetId="8" hidden="1">#REF!</definedName>
    <definedName name="_Fill" localSheetId="3" hidden="1">#REF!</definedName>
    <definedName name="_Fill" localSheetId="4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hidden="1">#REF!</definedName>
    <definedName name="_xlnm._FilterDatabase" localSheetId="8" hidden="1">'Option 10'!$A$88:$N$362</definedName>
    <definedName name="_xlnm._FilterDatabase" localSheetId="3" hidden="1">'Option 2'!$A$88:$N$346</definedName>
    <definedName name="_xlnm._FilterDatabase" localSheetId="4" hidden="1">'Option 6'!$A$88:$N$346</definedName>
    <definedName name="_xlnm._FilterDatabase" localSheetId="5" hidden="1">'Option 7'!$A$88:$N$362</definedName>
    <definedName name="_xlnm._FilterDatabase" localSheetId="6" hidden="1">'Option 8'!$A$88:$O$362</definedName>
    <definedName name="_xlnm._FilterDatabase" localSheetId="7" hidden="1">'Option 9'!$A$88:$M$362</definedName>
    <definedName name="_Order1" hidden="1">255</definedName>
    <definedName name="_Order2" hidden="1">255</definedName>
    <definedName name="MATCHINST" localSheetId="0">#REF!</definedName>
    <definedName name="MATCHINST" localSheetId="2">#REF!</definedName>
    <definedName name="MATCHINST" localSheetId="8">#REF!</definedName>
    <definedName name="MATCHINST" localSheetId="3">#REF!</definedName>
    <definedName name="MATCHINST" localSheetId="4">#REF!</definedName>
    <definedName name="MATCHINST" localSheetId="5">#REF!</definedName>
    <definedName name="MATCHINST" localSheetId="6">#REF!</definedName>
    <definedName name="MATCHINST" localSheetId="7">#REF!</definedName>
    <definedName name="MATCHINST">#REF!</definedName>
    <definedName name="_xlnm.Print_Area" localSheetId="2">'Option 1'!$A:$M</definedName>
    <definedName name="_xlnm.Print_Area" localSheetId="8">'Option 10'!$A:$Q</definedName>
    <definedName name="_xlnm.Print_Area" localSheetId="3">'Option 2'!$A$1:$H$1</definedName>
    <definedName name="_xlnm.Print_Area" localSheetId="4">'Option 6'!$A$1:$H$1</definedName>
    <definedName name="_xlnm.Print_Area" localSheetId="5">'Option 7'!$A$1:$H$1</definedName>
    <definedName name="_xlnm.Print_Area" localSheetId="6">'Option 8'!$A$1:$H$1</definedName>
    <definedName name="_xlnm.Print_Area" localSheetId="7">'Option 9'!$A$1:$H$1</definedName>
    <definedName name="solver_adj2" localSheetId="0" hidden="1">#REF!</definedName>
    <definedName name="solver_adj2" localSheetId="2" hidden="1">#REF!</definedName>
    <definedName name="solver_adj2" localSheetId="8" hidden="1">#REF!</definedName>
    <definedName name="solver_adj2" localSheetId="3" hidden="1">#REF!</definedName>
    <definedName name="solver_adj2" localSheetId="4" hidden="1">#REF!</definedName>
    <definedName name="solver_adj2" localSheetId="5" hidden="1">#REF!</definedName>
    <definedName name="solver_adj2" localSheetId="6" hidden="1">#REF!</definedName>
    <definedName name="solver_adj2" localSheetId="7" hidden="1">#REF!</definedName>
    <definedName name="solver_adj2" hidden="1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localSheetId="0" hidden="1">[1]Infrastructure!#REF!</definedName>
    <definedName name="solver_opt" localSheetId="2" hidden="1">[2]Infrastructure!#REF!</definedName>
    <definedName name="solver_opt" localSheetId="8" hidden="1">[2]Infrastructure!#REF!</definedName>
    <definedName name="solver_opt" localSheetId="3" hidden="1">[2]Infrastructure!#REF!</definedName>
    <definedName name="solver_opt" localSheetId="4" hidden="1">[2]Infrastructure!#REF!</definedName>
    <definedName name="solver_opt" localSheetId="5" hidden="1">[2]Infrastructure!#REF!</definedName>
    <definedName name="solver_opt" localSheetId="6" hidden="1">[2]Infrastructure!#REF!</definedName>
    <definedName name="solver_opt" localSheetId="7" hidden="1">[2]Infrastructure!#REF!</definedName>
    <definedName name="solver_opt" hidden="1">[1]Infrastructure!#REF!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Z_175A74B9_04D8_4168_BE0E_B9F6D216804E_.wvu.Cols" localSheetId="0" hidden="1">#REF!</definedName>
    <definedName name="Z_175A74B9_04D8_4168_BE0E_B9F6D216804E_.wvu.Cols" localSheetId="2" hidden="1">#REF!</definedName>
    <definedName name="Z_175A74B9_04D8_4168_BE0E_B9F6D216804E_.wvu.Cols" localSheetId="8" hidden="1">#REF!</definedName>
    <definedName name="Z_175A74B9_04D8_4168_BE0E_B9F6D216804E_.wvu.Cols" localSheetId="3" hidden="1">#REF!</definedName>
    <definedName name="Z_175A74B9_04D8_4168_BE0E_B9F6D216804E_.wvu.Cols" localSheetId="4" hidden="1">#REF!</definedName>
    <definedName name="Z_175A74B9_04D8_4168_BE0E_B9F6D216804E_.wvu.Cols" localSheetId="5" hidden="1">#REF!</definedName>
    <definedName name="Z_175A74B9_04D8_4168_BE0E_B9F6D216804E_.wvu.Cols" localSheetId="6" hidden="1">#REF!</definedName>
    <definedName name="Z_175A74B9_04D8_4168_BE0E_B9F6D216804E_.wvu.Cols" localSheetId="7" hidden="1">#REF!</definedName>
    <definedName name="Z_175A74B9_04D8_4168_BE0E_B9F6D216804E_.wvu.Cols" hidden="1">#REF!</definedName>
    <definedName name="Z_175A74B9_04D8_4168_BE0E_B9F6D216804E_.wvu.PrintTitles" localSheetId="2" hidden="1">[2]Infrastructure!$B:$K,[2]Infrastructure!$3:$3</definedName>
    <definedName name="Z_175A74B9_04D8_4168_BE0E_B9F6D216804E_.wvu.PrintTitles" localSheetId="8" hidden="1">[2]Infrastructure!$B:$K,[2]Infrastructure!$3:$3</definedName>
    <definedName name="Z_175A74B9_04D8_4168_BE0E_B9F6D216804E_.wvu.PrintTitles" localSheetId="3" hidden="1">[2]Infrastructure!$B:$K,[2]Infrastructure!$3:$3</definedName>
    <definedName name="Z_175A74B9_04D8_4168_BE0E_B9F6D216804E_.wvu.PrintTitles" localSheetId="4" hidden="1">[2]Infrastructure!$B:$K,[2]Infrastructure!$3:$3</definedName>
    <definedName name="Z_175A74B9_04D8_4168_BE0E_B9F6D216804E_.wvu.PrintTitles" localSheetId="5" hidden="1">[2]Infrastructure!$B:$K,[2]Infrastructure!$3:$3</definedName>
    <definedName name="Z_175A74B9_04D8_4168_BE0E_B9F6D216804E_.wvu.PrintTitles" localSheetId="6" hidden="1">[2]Infrastructure!$B:$K,[2]Infrastructure!$3:$3</definedName>
    <definedName name="Z_175A74B9_04D8_4168_BE0E_B9F6D216804E_.wvu.PrintTitles" localSheetId="7" hidden="1">[2]Infrastructure!$B:$K,[2]Infrastructure!$3:$3</definedName>
    <definedName name="Z_175A74B9_04D8_4168_BE0E_B9F6D216804E_.wvu.PrintTitles" hidden="1">[1]Infrastructure!$B:$K,[1]Infrastructure!$3:$3</definedName>
    <definedName name="Z_3B4A1CD3_71A7_41D8_BB20_2C00DD672F4C_.wvu.Cols" localSheetId="0" hidden="1">#REF!</definedName>
    <definedName name="Z_3B4A1CD3_71A7_41D8_BB20_2C00DD672F4C_.wvu.Cols" localSheetId="2" hidden="1">#REF!</definedName>
    <definedName name="Z_3B4A1CD3_71A7_41D8_BB20_2C00DD672F4C_.wvu.Cols" localSheetId="8" hidden="1">#REF!</definedName>
    <definedName name="Z_3B4A1CD3_71A7_41D8_BB20_2C00DD672F4C_.wvu.Cols" localSheetId="3" hidden="1">#REF!</definedName>
    <definedName name="Z_3B4A1CD3_71A7_41D8_BB20_2C00DD672F4C_.wvu.Cols" localSheetId="4" hidden="1">#REF!</definedName>
    <definedName name="Z_3B4A1CD3_71A7_41D8_BB20_2C00DD672F4C_.wvu.Cols" localSheetId="5" hidden="1">#REF!</definedName>
    <definedName name="Z_3B4A1CD3_71A7_41D8_BB20_2C00DD672F4C_.wvu.Cols" localSheetId="6" hidden="1">#REF!</definedName>
    <definedName name="Z_3B4A1CD3_71A7_41D8_BB20_2C00DD672F4C_.wvu.Cols" localSheetId="7" hidden="1">#REF!</definedName>
    <definedName name="Z_3B4A1CD3_71A7_41D8_BB20_2C00DD672F4C_.wvu.Cols" hidden="1">#REF!</definedName>
    <definedName name="Z_3B4A1CD3_71A7_41D8_BB20_2C00DD672F4C_.wvu.PrintTitles" localSheetId="2" hidden="1">[2]Infrastructure!$B:$K,[2]Infrastructure!$3:$3</definedName>
    <definedName name="Z_3B4A1CD3_71A7_41D8_BB20_2C00DD672F4C_.wvu.PrintTitles" localSheetId="8" hidden="1">[2]Infrastructure!$B:$K,[2]Infrastructure!$3:$3</definedName>
    <definedName name="Z_3B4A1CD3_71A7_41D8_BB20_2C00DD672F4C_.wvu.PrintTitles" localSheetId="3" hidden="1">[2]Infrastructure!$B:$K,[2]Infrastructure!$3:$3</definedName>
    <definedName name="Z_3B4A1CD3_71A7_41D8_BB20_2C00DD672F4C_.wvu.PrintTitles" localSheetId="4" hidden="1">[2]Infrastructure!$B:$K,[2]Infrastructure!$3:$3</definedName>
    <definedName name="Z_3B4A1CD3_71A7_41D8_BB20_2C00DD672F4C_.wvu.PrintTitles" localSheetId="5" hidden="1">[2]Infrastructure!$B:$K,[2]Infrastructure!$3:$3</definedName>
    <definedName name="Z_3B4A1CD3_71A7_41D8_BB20_2C00DD672F4C_.wvu.PrintTitles" localSheetId="6" hidden="1">[2]Infrastructure!$B:$K,[2]Infrastructure!$3:$3</definedName>
    <definedName name="Z_3B4A1CD3_71A7_41D8_BB20_2C00DD672F4C_.wvu.PrintTitles" localSheetId="7" hidden="1">[2]Infrastructure!$B:$K,[2]Infrastructure!$3:$3</definedName>
    <definedName name="Z_3B4A1CD3_71A7_41D8_BB20_2C00DD672F4C_.wvu.PrintTitles" hidden="1">[1]Infrastructure!$B:$K,[1]Infrastructure!$3:$3</definedName>
    <definedName name="Z_5F15871F_1F9D_454B_B820_06244E250857_.wvu.Cols" localSheetId="0" hidden="1">#REF!</definedName>
    <definedName name="Z_5F15871F_1F9D_454B_B820_06244E250857_.wvu.Cols" localSheetId="2" hidden="1">#REF!</definedName>
    <definedName name="Z_5F15871F_1F9D_454B_B820_06244E250857_.wvu.Cols" localSheetId="8" hidden="1">#REF!</definedName>
    <definedName name="Z_5F15871F_1F9D_454B_B820_06244E250857_.wvu.Cols" localSheetId="3" hidden="1">#REF!</definedName>
    <definedName name="Z_5F15871F_1F9D_454B_B820_06244E250857_.wvu.Cols" localSheetId="4" hidden="1">#REF!</definedName>
    <definedName name="Z_5F15871F_1F9D_454B_B820_06244E250857_.wvu.Cols" localSheetId="5" hidden="1">#REF!</definedName>
    <definedName name="Z_5F15871F_1F9D_454B_B820_06244E250857_.wvu.Cols" localSheetId="6" hidden="1">#REF!</definedName>
    <definedName name="Z_5F15871F_1F9D_454B_B820_06244E250857_.wvu.Cols" localSheetId="7" hidden="1">#REF!</definedName>
    <definedName name="Z_5F15871F_1F9D_454B_B820_06244E250857_.wvu.Cols" hidden="1">#REF!</definedName>
    <definedName name="Z_5F15871F_1F9D_454B_B820_06244E250857_.wvu.PrintTitles" localSheetId="2" hidden="1">[2]Infrastructure!$B:$K,[2]Infrastructure!$3:$3</definedName>
    <definedName name="Z_5F15871F_1F9D_454B_B820_06244E250857_.wvu.PrintTitles" localSheetId="8" hidden="1">[2]Infrastructure!$B:$K,[2]Infrastructure!$3:$3</definedName>
    <definedName name="Z_5F15871F_1F9D_454B_B820_06244E250857_.wvu.PrintTitles" localSheetId="3" hidden="1">[2]Infrastructure!$B:$K,[2]Infrastructure!$3:$3</definedName>
    <definedName name="Z_5F15871F_1F9D_454B_B820_06244E250857_.wvu.PrintTitles" localSheetId="4" hidden="1">[2]Infrastructure!$B:$K,[2]Infrastructure!$3:$3</definedName>
    <definedName name="Z_5F15871F_1F9D_454B_B820_06244E250857_.wvu.PrintTitles" localSheetId="5" hidden="1">[2]Infrastructure!$B:$K,[2]Infrastructure!$3:$3</definedName>
    <definedName name="Z_5F15871F_1F9D_454B_B820_06244E250857_.wvu.PrintTitles" localSheetId="6" hidden="1">[2]Infrastructure!$B:$K,[2]Infrastructure!$3:$3</definedName>
    <definedName name="Z_5F15871F_1F9D_454B_B820_06244E250857_.wvu.PrintTitles" localSheetId="7" hidden="1">[2]Infrastructure!$B:$K,[2]Infrastructure!$3:$3</definedName>
    <definedName name="Z_5F15871F_1F9D_454B_B820_06244E250857_.wvu.PrintTitles" hidden="1">[1]Infrastructure!$B:$K,[1]Infrastructure!$3:$3</definedName>
    <definedName name="Z_82D93351_CB79_47D8_8AE8_2B10EACDB89E_.wvu.Cols" localSheetId="0" hidden="1">#REF!</definedName>
    <definedName name="Z_82D93351_CB79_47D8_8AE8_2B10EACDB89E_.wvu.Cols" localSheetId="2" hidden="1">#REF!</definedName>
    <definedName name="Z_82D93351_CB79_47D8_8AE8_2B10EACDB89E_.wvu.Cols" localSheetId="8" hidden="1">#REF!</definedName>
    <definedName name="Z_82D93351_CB79_47D8_8AE8_2B10EACDB89E_.wvu.Cols" localSheetId="3" hidden="1">#REF!</definedName>
    <definedName name="Z_82D93351_CB79_47D8_8AE8_2B10EACDB89E_.wvu.Cols" localSheetId="4" hidden="1">#REF!</definedName>
    <definedName name="Z_82D93351_CB79_47D8_8AE8_2B10EACDB89E_.wvu.Cols" localSheetId="5" hidden="1">#REF!</definedName>
    <definedName name="Z_82D93351_CB79_47D8_8AE8_2B10EACDB89E_.wvu.Cols" localSheetId="6" hidden="1">#REF!</definedName>
    <definedName name="Z_82D93351_CB79_47D8_8AE8_2B10EACDB89E_.wvu.Cols" localSheetId="7" hidden="1">#REF!</definedName>
    <definedName name="Z_82D93351_CB79_47D8_8AE8_2B10EACDB89E_.wvu.Cols" hidden="1">#REF!</definedName>
    <definedName name="Z_82D93351_CB79_47D8_8AE8_2B10EACDB89E_.wvu.PrintTitles" localSheetId="2" hidden="1">[2]Infrastructure!$B:$K,[2]Infrastructure!$3:$3</definedName>
    <definedName name="Z_82D93351_CB79_47D8_8AE8_2B10EACDB89E_.wvu.PrintTitles" localSheetId="8" hidden="1">[2]Infrastructure!$B:$K,[2]Infrastructure!$3:$3</definedName>
    <definedName name="Z_82D93351_CB79_47D8_8AE8_2B10EACDB89E_.wvu.PrintTitles" localSheetId="3" hidden="1">[2]Infrastructure!$B:$K,[2]Infrastructure!$3:$3</definedName>
    <definedName name="Z_82D93351_CB79_47D8_8AE8_2B10EACDB89E_.wvu.PrintTitles" localSheetId="4" hidden="1">[2]Infrastructure!$B:$K,[2]Infrastructure!$3:$3</definedName>
    <definedName name="Z_82D93351_CB79_47D8_8AE8_2B10EACDB89E_.wvu.PrintTitles" localSheetId="5" hidden="1">[2]Infrastructure!$B:$K,[2]Infrastructure!$3:$3</definedName>
    <definedName name="Z_82D93351_CB79_47D8_8AE8_2B10EACDB89E_.wvu.PrintTitles" localSheetId="6" hidden="1">[2]Infrastructure!$B:$K,[2]Infrastructure!$3:$3</definedName>
    <definedName name="Z_82D93351_CB79_47D8_8AE8_2B10EACDB89E_.wvu.PrintTitles" localSheetId="7" hidden="1">[2]Infrastructure!$B:$K,[2]Infrastructure!$3:$3</definedName>
    <definedName name="Z_82D93351_CB79_47D8_8AE8_2B10EACDB89E_.wvu.PrintTitles" hidden="1">[1]Infrastructure!$B:$K,[1]Infrastructure!$3:$3</definedName>
  </definedNames>
  <calcPr calcId="145621" calcMode="manual"/>
</workbook>
</file>

<file path=xl/calcChain.xml><?xml version="1.0" encoding="utf-8"?>
<calcChain xmlns="http://schemas.openxmlformats.org/spreadsheetml/2006/main">
  <c r="V42" i="12" l="1"/>
  <c r="R42" i="12"/>
  <c r="R41" i="12"/>
  <c r="R40" i="12"/>
  <c r="R39" i="12"/>
  <c r="R38" i="12"/>
  <c r="R37" i="12"/>
  <c r="R36" i="12"/>
  <c r="R35" i="12"/>
  <c r="R34" i="12"/>
  <c r="R33" i="12"/>
  <c r="R32" i="12"/>
  <c r="R31" i="12"/>
  <c r="R30" i="12"/>
  <c r="R29" i="12"/>
  <c r="R28" i="12"/>
  <c r="R27" i="12"/>
  <c r="R26" i="12"/>
  <c r="R25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R11" i="12"/>
  <c r="R10" i="12"/>
  <c r="R9" i="12"/>
  <c r="R8" i="12"/>
  <c r="R7" i="12"/>
  <c r="R6" i="12"/>
  <c r="R5" i="12"/>
  <c r="R4" i="12"/>
  <c r="Z41" i="6"/>
  <c r="Z40" i="6"/>
  <c r="Z39" i="6"/>
  <c r="Z38" i="6"/>
  <c r="Z37" i="6"/>
  <c r="Z36" i="6"/>
  <c r="Z35" i="6"/>
  <c r="Z34" i="6"/>
  <c r="Z33" i="6"/>
  <c r="Z32" i="6"/>
  <c r="Z31" i="6"/>
  <c r="Z30" i="6"/>
  <c r="Z29" i="6"/>
  <c r="Z28" i="6"/>
  <c r="Z27" i="6"/>
  <c r="Z26" i="6"/>
  <c r="Z25" i="6"/>
  <c r="Z24" i="6"/>
  <c r="Z23" i="6"/>
  <c r="Z22" i="6"/>
  <c r="Z21" i="6"/>
  <c r="Z20" i="6"/>
  <c r="Z19" i="6"/>
  <c r="Z18" i="6"/>
  <c r="Z17" i="6"/>
  <c r="Z16" i="6"/>
  <c r="Z15" i="6"/>
  <c r="Z14" i="6"/>
  <c r="Z13" i="6"/>
  <c r="Z12" i="6"/>
  <c r="Z11" i="6"/>
  <c r="Z10" i="6"/>
  <c r="Z9" i="6"/>
  <c r="Z8" i="6"/>
  <c r="Z7" i="6"/>
  <c r="Z6" i="6"/>
  <c r="Z5" i="6"/>
  <c r="Z4" i="6"/>
  <c r="V41" i="6"/>
  <c r="R41" i="6"/>
  <c r="V40" i="6"/>
  <c r="R40" i="6"/>
  <c r="V39" i="6"/>
  <c r="R39" i="6"/>
  <c r="V38" i="6"/>
  <c r="R38" i="6"/>
  <c r="V37" i="6"/>
  <c r="R37" i="6"/>
  <c r="V36" i="6"/>
  <c r="R36" i="6"/>
  <c r="V35" i="6"/>
  <c r="R35" i="6"/>
  <c r="V34" i="6"/>
  <c r="R34" i="6"/>
  <c r="V33" i="6"/>
  <c r="R33" i="6"/>
  <c r="V32" i="6"/>
  <c r="R32" i="6"/>
  <c r="V31" i="6"/>
  <c r="R31" i="6"/>
  <c r="V30" i="6"/>
  <c r="R30" i="6"/>
  <c r="V29" i="6"/>
  <c r="R29" i="6"/>
  <c r="V28" i="6"/>
  <c r="R28" i="6"/>
  <c r="V27" i="6"/>
  <c r="R27" i="6"/>
  <c r="V26" i="6"/>
  <c r="R26" i="6"/>
  <c r="V25" i="6"/>
  <c r="R25" i="6"/>
  <c r="V24" i="6"/>
  <c r="R24" i="6"/>
  <c r="V23" i="6"/>
  <c r="R23" i="6"/>
  <c r="V22" i="6"/>
  <c r="R22" i="6"/>
  <c r="V21" i="6"/>
  <c r="R21" i="6"/>
  <c r="V20" i="6"/>
  <c r="R20" i="6"/>
  <c r="V19" i="6"/>
  <c r="R19" i="6"/>
  <c r="V18" i="6"/>
  <c r="R18" i="6"/>
  <c r="V17" i="6"/>
  <c r="R17" i="6"/>
  <c r="V16" i="6"/>
  <c r="R16" i="6"/>
  <c r="V15" i="6"/>
  <c r="R15" i="6"/>
  <c r="V14" i="6"/>
  <c r="R14" i="6"/>
  <c r="V13" i="6"/>
  <c r="R13" i="6"/>
  <c r="V12" i="6"/>
  <c r="R12" i="6"/>
  <c r="V11" i="6"/>
  <c r="R11" i="6"/>
  <c r="V10" i="6"/>
  <c r="R10" i="6"/>
  <c r="V9" i="6"/>
  <c r="R9" i="6"/>
  <c r="V8" i="6"/>
  <c r="R8" i="6"/>
  <c r="V7" i="6"/>
  <c r="R7" i="6"/>
  <c r="V6" i="6"/>
  <c r="R6" i="6"/>
  <c r="V5" i="6"/>
  <c r="R5" i="6"/>
  <c r="V4" i="6"/>
  <c r="R4" i="6"/>
  <c r="Z42" i="12"/>
  <c r="N42" i="12"/>
  <c r="N41" i="12"/>
  <c r="N40" i="12"/>
  <c r="N39" i="12"/>
  <c r="N38" i="12"/>
  <c r="N37" i="12"/>
  <c r="N36" i="12"/>
  <c r="N35" i="12"/>
  <c r="N34" i="12"/>
  <c r="N33" i="12"/>
  <c r="N32" i="12"/>
  <c r="N31" i="12"/>
  <c r="N30" i="12"/>
  <c r="N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N9" i="12"/>
  <c r="N8" i="12"/>
  <c r="N7" i="12"/>
  <c r="N6" i="12"/>
  <c r="N5" i="12"/>
  <c r="N4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4" i="12"/>
  <c r="AA42" i="12" l="1"/>
  <c r="AB42" i="12" s="1"/>
  <c r="M362" i="13" l="1"/>
  <c r="L362" i="13"/>
  <c r="K362" i="13"/>
  <c r="J362" i="13"/>
  <c r="I362" i="13"/>
  <c r="H362" i="13"/>
  <c r="G362" i="13"/>
  <c r="D362" i="13"/>
  <c r="F350" i="13"/>
  <c r="F362" i="13" s="1"/>
  <c r="M320" i="13"/>
  <c r="L320" i="13"/>
  <c r="K320" i="13"/>
  <c r="J320" i="13"/>
  <c r="I320" i="13"/>
  <c r="H320" i="13"/>
  <c r="G320" i="13"/>
  <c r="F320" i="13"/>
  <c r="D320" i="13"/>
  <c r="M278" i="13"/>
  <c r="L278" i="13"/>
  <c r="K278" i="13"/>
  <c r="J278" i="13"/>
  <c r="I278" i="13"/>
  <c r="H278" i="13"/>
  <c r="G278" i="13"/>
  <c r="F278" i="13"/>
  <c r="D278" i="13"/>
  <c r="E267" i="13"/>
  <c r="E256" i="13"/>
  <c r="E253" i="13"/>
  <c r="M235" i="13"/>
  <c r="L235" i="13"/>
  <c r="K235" i="13"/>
  <c r="J235" i="13"/>
  <c r="I235" i="13"/>
  <c r="H235" i="13"/>
  <c r="G235" i="13"/>
  <c r="E235" i="13"/>
  <c r="D235" i="13"/>
  <c r="F235" i="13" s="1"/>
  <c r="M234" i="13"/>
  <c r="L234" i="13"/>
  <c r="K234" i="13"/>
  <c r="J234" i="13"/>
  <c r="I234" i="13"/>
  <c r="H234" i="13"/>
  <c r="G234" i="13"/>
  <c r="E234" i="13"/>
  <c r="D234" i="13"/>
  <c r="F234" i="13" s="1"/>
  <c r="M233" i="13"/>
  <c r="L233" i="13"/>
  <c r="K233" i="13"/>
  <c r="J233" i="13"/>
  <c r="I233" i="13"/>
  <c r="H233" i="13"/>
  <c r="G233" i="13"/>
  <c r="E233" i="13"/>
  <c r="D233" i="13"/>
  <c r="F233" i="13" s="1"/>
  <c r="M232" i="13"/>
  <c r="L232" i="13"/>
  <c r="K232" i="13"/>
  <c r="J232" i="13"/>
  <c r="I232" i="13"/>
  <c r="H232" i="13"/>
  <c r="G232" i="13"/>
  <c r="E232" i="13"/>
  <c r="D232" i="13"/>
  <c r="F232" i="13" s="1"/>
  <c r="M231" i="13"/>
  <c r="L231" i="13"/>
  <c r="K231" i="13"/>
  <c r="J231" i="13"/>
  <c r="I231" i="13"/>
  <c r="H231" i="13"/>
  <c r="G231" i="13"/>
  <c r="E231" i="13"/>
  <c r="D231" i="13"/>
  <c r="F231" i="13" s="1"/>
  <c r="M230" i="13"/>
  <c r="L230" i="13"/>
  <c r="K230" i="13"/>
  <c r="J230" i="13"/>
  <c r="I230" i="13"/>
  <c r="H230" i="13"/>
  <c r="G230" i="13"/>
  <c r="E230" i="13"/>
  <c r="D230" i="13"/>
  <c r="F230" i="13" s="1"/>
  <c r="M229" i="13"/>
  <c r="L229" i="13"/>
  <c r="K229" i="13"/>
  <c r="J229" i="13"/>
  <c r="I229" i="13"/>
  <c r="H229" i="13"/>
  <c r="G229" i="13"/>
  <c r="E229" i="13"/>
  <c r="D229" i="13"/>
  <c r="F229" i="13" s="1"/>
  <c r="M228" i="13"/>
  <c r="L228" i="13"/>
  <c r="K228" i="13"/>
  <c r="J228" i="13"/>
  <c r="I228" i="13"/>
  <c r="H228" i="13"/>
  <c r="G228" i="13"/>
  <c r="E228" i="13"/>
  <c r="D228" i="13"/>
  <c r="F228" i="13" s="1"/>
  <c r="M227" i="13"/>
  <c r="L227" i="13"/>
  <c r="K227" i="13"/>
  <c r="J227" i="13"/>
  <c r="I227" i="13"/>
  <c r="H227" i="13"/>
  <c r="G227" i="13"/>
  <c r="E227" i="13"/>
  <c r="D227" i="13"/>
  <c r="F227" i="13" s="1"/>
  <c r="M226" i="13"/>
  <c r="L226" i="13"/>
  <c r="K226" i="13"/>
  <c r="J226" i="13"/>
  <c r="I226" i="13"/>
  <c r="H226" i="13"/>
  <c r="G226" i="13"/>
  <c r="E226" i="13"/>
  <c r="D226" i="13"/>
  <c r="F226" i="13" s="1"/>
  <c r="M225" i="13"/>
  <c r="L225" i="13"/>
  <c r="K225" i="13"/>
  <c r="J225" i="13"/>
  <c r="I225" i="13"/>
  <c r="H225" i="13"/>
  <c r="G225" i="13"/>
  <c r="E225" i="13"/>
  <c r="D225" i="13"/>
  <c r="F225" i="13" s="1"/>
  <c r="M224" i="13"/>
  <c r="L224" i="13"/>
  <c r="K224" i="13"/>
  <c r="J224" i="13"/>
  <c r="I224" i="13"/>
  <c r="H224" i="13"/>
  <c r="G224" i="13"/>
  <c r="E224" i="13"/>
  <c r="D224" i="13"/>
  <c r="F224" i="13" s="1"/>
  <c r="M223" i="13"/>
  <c r="L223" i="13"/>
  <c r="K223" i="13"/>
  <c r="J223" i="13"/>
  <c r="I223" i="13"/>
  <c r="H223" i="13"/>
  <c r="G223" i="13"/>
  <c r="E223" i="13"/>
  <c r="D223" i="13"/>
  <c r="F223" i="13" s="1"/>
  <c r="M222" i="13"/>
  <c r="L222" i="13"/>
  <c r="K222" i="13"/>
  <c r="J222" i="13"/>
  <c r="I222" i="13"/>
  <c r="H222" i="13"/>
  <c r="G222" i="13"/>
  <c r="E222" i="13"/>
  <c r="D222" i="13"/>
  <c r="F222" i="13" s="1"/>
  <c r="M221" i="13"/>
  <c r="L221" i="13"/>
  <c r="K221" i="13"/>
  <c r="J221" i="13"/>
  <c r="I221" i="13"/>
  <c r="H221" i="13"/>
  <c r="G221" i="13"/>
  <c r="E221" i="13"/>
  <c r="D221" i="13"/>
  <c r="F221" i="13" s="1"/>
  <c r="M220" i="13"/>
  <c r="L220" i="13"/>
  <c r="K220" i="13"/>
  <c r="J220" i="13"/>
  <c r="I220" i="13"/>
  <c r="H220" i="13"/>
  <c r="G220" i="13"/>
  <c r="E220" i="13"/>
  <c r="D220" i="13"/>
  <c r="F220" i="13" s="1"/>
  <c r="M219" i="13"/>
  <c r="L219" i="13"/>
  <c r="K219" i="13"/>
  <c r="J219" i="13"/>
  <c r="I219" i="13"/>
  <c r="H219" i="13"/>
  <c r="G219" i="13"/>
  <c r="E219" i="13"/>
  <c r="D219" i="13"/>
  <c r="F219" i="13" s="1"/>
  <c r="M218" i="13"/>
  <c r="L218" i="13"/>
  <c r="K218" i="13"/>
  <c r="J218" i="13"/>
  <c r="I218" i="13"/>
  <c r="H218" i="13"/>
  <c r="G218" i="13"/>
  <c r="E218" i="13"/>
  <c r="D218" i="13"/>
  <c r="F218" i="13" s="1"/>
  <c r="M217" i="13"/>
  <c r="L217" i="13"/>
  <c r="K217" i="13"/>
  <c r="J217" i="13"/>
  <c r="I217" i="13"/>
  <c r="H217" i="13"/>
  <c r="G217" i="13"/>
  <c r="E217" i="13"/>
  <c r="D217" i="13"/>
  <c r="F217" i="13" s="1"/>
  <c r="M216" i="13"/>
  <c r="L216" i="13"/>
  <c r="K216" i="13"/>
  <c r="J216" i="13"/>
  <c r="I216" i="13"/>
  <c r="H216" i="13"/>
  <c r="G216" i="13"/>
  <c r="E216" i="13"/>
  <c r="D216" i="13"/>
  <c r="F216" i="13" s="1"/>
  <c r="M215" i="13"/>
  <c r="L215" i="13"/>
  <c r="K215" i="13"/>
  <c r="J215" i="13"/>
  <c r="I215" i="13"/>
  <c r="H215" i="13"/>
  <c r="G215" i="13"/>
  <c r="E215" i="13"/>
  <c r="D215" i="13"/>
  <c r="F215" i="13" s="1"/>
  <c r="M214" i="13"/>
  <c r="L214" i="13"/>
  <c r="K214" i="13"/>
  <c r="J214" i="13"/>
  <c r="I214" i="13"/>
  <c r="H214" i="13"/>
  <c r="G214" i="13"/>
  <c r="E214" i="13"/>
  <c r="D214" i="13"/>
  <c r="F214" i="13" s="1"/>
  <c r="M213" i="13"/>
  <c r="L213" i="13"/>
  <c r="K213" i="13"/>
  <c r="J213" i="13"/>
  <c r="I213" i="13"/>
  <c r="H213" i="13"/>
  <c r="G213" i="13"/>
  <c r="E213" i="13"/>
  <c r="D213" i="13"/>
  <c r="F213" i="13" s="1"/>
  <c r="M212" i="13"/>
  <c r="L212" i="13"/>
  <c r="K212" i="13"/>
  <c r="J212" i="13"/>
  <c r="I212" i="13"/>
  <c r="H212" i="13"/>
  <c r="G212" i="13"/>
  <c r="E212" i="13"/>
  <c r="D212" i="13"/>
  <c r="F212" i="13" s="1"/>
  <c r="M211" i="13"/>
  <c r="L211" i="13"/>
  <c r="K211" i="13"/>
  <c r="J211" i="13"/>
  <c r="I211" i="13"/>
  <c r="H211" i="13"/>
  <c r="G211" i="13"/>
  <c r="E211" i="13"/>
  <c r="D211" i="13"/>
  <c r="F211" i="13" s="1"/>
  <c r="M210" i="13"/>
  <c r="L210" i="13"/>
  <c r="K210" i="13"/>
  <c r="J210" i="13"/>
  <c r="I210" i="13"/>
  <c r="H210" i="13"/>
  <c r="G210" i="13"/>
  <c r="D210" i="13"/>
  <c r="F210" i="13" s="1"/>
  <c r="M209" i="13"/>
  <c r="L209" i="13"/>
  <c r="K209" i="13"/>
  <c r="J209" i="13"/>
  <c r="I209" i="13"/>
  <c r="H209" i="13"/>
  <c r="G209" i="13"/>
  <c r="D209" i="13"/>
  <c r="E209" i="13" s="1"/>
  <c r="M208" i="13"/>
  <c r="L208" i="13"/>
  <c r="K208" i="13"/>
  <c r="J208" i="13"/>
  <c r="I208" i="13"/>
  <c r="H208" i="13"/>
  <c r="G208" i="13"/>
  <c r="D208" i="13"/>
  <c r="E208" i="13" s="1"/>
  <c r="M207" i="13"/>
  <c r="L207" i="13"/>
  <c r="K207" i="13"/>
  <c r="J207" i="13"/>
  <c r="I207" i="13"/>
  <c r="H207" i="13"/>
  <c r="G207" i="13"/>
  <c r="D207" i="13"/>
  <c r="E207" i="13" s="1"/>
  <c r="M206" i="13"/>
  <c r="L206" i="13"/>
  <c r="K206" i="13"/>
  <c r="J206" i="13"/>
  <c r="I206" i="13"/>
  <c r="H206" i="13"/>
  <c r="G206" i="13"/>
  <c r="D206" i="13"/>
  <c r="E206" i="13" s="1"/>
  <c r="M205" i="13"/>
  <c r="L205" i="13"/>
  <c r="K205" i="13"/>
  <c r="J205" i="13"/>
  <c r="I205" i="13"/>
  <c r="H205" i="13"/>
  <c r="G205" i="13"/>
  <c r="D205" i="13"/>
  <c r="E205" i="13" s="1"/>
  <c r="M204" i="13"/>
  <c r="L204" i="13"/>
  <c r="K204" i="13"/>
  <c r="J204" i="13"/>
  <c r="I204" i="13"/>
  <c r="H204" i="13"/>
  <c r="G204" i="13"/>
  <c r="D204" i="13"/>
  <c r="E204" i="13" s="1"/>
  <c r="M203" i="13"/>
  <c r="L203" i="13"/>
  <c r="K203" i="13"/>
  <c r="J203" i="13"/>
  <c r="I203" i="13"/>
  <c r="H203" i="13"/>
  <c r="G203" i="13"/>
  <c r="D203" i="13"/>
  <c r="E203" i="13" s="1"/>
  <c r="M202" i="13"/>
  <c r="L202" i="13"/>
  <c r="K202" i="13"/>
  <c r="J202" i="13"/>
  <c r="I202" i="13"/>
  <c r="H202" i="13"/>
  <c r="G202" i="13"/>
  <c r="D202" i="13"/>
  <c r="E202" i="13" s="1"/>
  <c r="M201" i="13"/>
  <c r="L201" i="13"/>
  <c r="K201" i="13"/>
  <c r="J201" i="13"/>
  <c r="I201" i="13"/>
  <c r="H201" i="13"/>
  <c r="G201" i="13"/>
  <c r="D201" i="13"/>
  <c r="E201" i="13" s="1"/>
  <c r="M200" i="13"/>
  <c r="L200" i="13"/>
  <c r="K200" i="13"/>
  <c r="J200" i="13"/>
  <c r="I200" i="13"/>
  <c r="H200" i="13"/>
  <c r="G200" i="13"/>
  <c r="D200" i="13"/>
  <c r="E200" i="13" s="1"/>
  <c r="M199" i="13"/>
  <c r="L199" i="13"/>
  <c r="K199" i="13"/>
  <c r="J199" i="13"/>
  <c r="I199" i="13"/>
  <c r="H199" i="13"/>
  <c r="G199" i="13"/>
  <c r="D199" i="13"/>
  <c r="E199" i="13" s="1"/>
  <c r="M198" i="13"/>
  <c r="M236" i="13" s="1"/>
  <c r="L198" i="13"/>
  <c r="L236" i="13" s="1"/>
  <c r="K198" i="13"/>
  <c r="K236" i="13" s="1"/>
  <c r="J198" i="13"/>
  <c r="J236" i="13" s="1"/>
  <c r="I198" i="13"/>
  <c r="I236" i="13" s="1"/>
  <c r="H198" i="13"/>
  <c r="H236" i="13" s="1"/>
  <c r="G198" i="13"/>
  <c r="G236" i="13" s="1"/>
  <c r="D198" i="13"/>
  <c r="D236" i="13" s="1"/>
  <c r="B193" i="13"/>
  <c r="B235" i="13" s="1"/>
  <c r="B277" i="13" s="1"/>
  <c r="B319" i="13" s="1"/>
  <c r="B361" i="13" s="1"/>
  <c r="A193" i="13"/>
  <c r="A235" i="13" s="1"/>
  <c r="A277" i="13" s="1"/>
  <c r="A319" i="13" s="1"/>
  <c r="A361" i="13" s="1"/>
  <c r="B192" i="13"/>
  <c r="B234" i="13" s="1"/>
  <c r="B276" i="13" s="1"/>
  <c r="B318" i="13" s="1"/>
  <c r="B360" i="13" s="1"/>
  <c r="A192" i="13"/>
  <c r="A234" i="13" s="1"/>
  <c r="A276" i="13" s="1"/>
  <c r="A318" i="13" s="1"/>
  <c r="A360" i="13" s="1"/>
  <c r="B191" i="13"/>
  <c r="B233" i="13" s="1"/>
  <c r="B275" i="13" s="1"/>
  <c r="B317" i="13" s="1"/>
  <c r="B359" i="13" s="1"/>
  <c r="A191" i="13"/>
  <c r="A233" i="13" s="1"/>
  <c r="A275" i="13" s="1"/>
  <c r="A317" i="13" s="1"/>
  <c r="A359" i="13" s="1"/>
  <c r="B190" i="13"/>
  <c r="B232" i="13" s="1"/>
  <c r="B274" i="13" s="1"/>
  <c r="B316" i="13" s="1"/>
  <c r="B358" i="13" s="1"/>
  <c r="A190" i="13"/>
  <c r="A232" i="13" s="1"/>
  <c r="A274" i="13" s="1"/>
  <c r="A316" i="13" s="1"/>
  <c r="A358" i="13" s="1"/>
  <c r="B189" i="13"/>
  <c r="B231" i="13" s="1"/>
  <c r="B273" i="13" s="1"/>
  <c r="B315" i="13" s="1"/>
  <c r="B357" i="13" s="1"/>
  <c r="A189" i="13"/>
  <c r="A231" i="13" s="1"/>
  <c r="A273" i="13" s="1"/>
  <c r="A315" i="13" s="1"/>
  <c r="A357" i="13" s="1"/>
  <c r="B188" i="13"/>
  <c r="B230" i="13" s="1"/>
  <c r="B272" i="13" s="1"/>
  <c r="B314" i="13" s="1"/>
  <c r="B356" i="13" s="1"/>
  <c r="A188" i="13"/>
  <c r="A230" i="13" s="1"/>
  <c r="A272" i="13" s="1"/>
  <c r="A314" i="13" s="1"/>
  <c r="A356" i="13" s="1"/>
  <c r="B187" i="13"/>
  <c r="B229" i="13" s="1"/>
  <c r="B271" i="13" s="1"/>
  <c r="B313" i="13" s="1"/>
  <c r="B355" i="13" s="1"/>
  <c r="A187" i="13"/>
  <c r="A229" i="13" s="1"/>
  <c r="A271" i="13" s="1"/>
  <c r="A313" i="13" s="1"/>
  <c r="A355" i="13" s="1"/>
  <c r="B186" i="13"/>
  <c r="B228" i="13" s="1"/>
  <c r="B270" i="13" s="1"/>
  <c r="B312" i="13" s="1"/>
  <c r="B354" i="13" s="1"/>
  <c r="A186" i="13"/>
  <c r="A228" i="13" s="1"/>
  <c r="A270" i="13" s="1"/>
  <c r="A312" i="13" s="1"/>
  <c r="A354" i="13" s="1"/>
  <c r="B185" i="13"/>
  <c r="B227" i="13" s="1"/>
  <c r="B269" i="13" s="1"/>
  <c r="B311" i="13" s="1"/>
  <c r="B353" i="13" s="1"/>
  <c r="A185" i="13"/>
  <c r="A227" i="13" s="1"/>
  <c r="A269" i="13" s="1"/>
  <c r="A311" i="13" s="1"/>
  <c r="A353" i="13" s="1"/>
  <c r="B184" i="13"/>
  <c r="B226" i="13" s="1"/>
  <c r="B268" i="13" s="1"/>
  <c r="B310" i="13" s="1"/>
  <c r="B352" i="13" s="1"/>
  <c r="A184" i="13"/>
  <c r="A226" i="13" s="1"/>
  <c r="A268" i="13" s="1"/>
  <c r="A310" i="13" s="1"/>
  <c r="A352" i="13" s="1"/>
  <c r="B183" i="13"/>
  <c r="B225" i="13" s="1"/>
  <c r="B267" i="13" s="1"/>
  <c r="B309" i="13" s="1"/>
  <c r="B351" i="13" s="1"/>
  <c r="A183" i="13"/>
  <c r="A225" i="13" s="1"/>
  <c r="A267" i="13" s="1"/>
  <c r="A309" i="13" s="1"/>
  <c r="A351" i="13" s="1"/>
  <c r="B182" i="13"/>
  <c r="B224" i="13" s="1"/>
  <c r="B266" i="13" s="1"/>
  <c r="B308" i="13" s="1"/>
  <c r="B350" i="13" s="1"/>
  <c r="A182" i="13"/>
  <c r="A224" i="13" s="1"/>
  <c r="A266" i="13" s="1"/>
  <c r="A308" i="13" s="1"/>
  <c r="A350" i="13" s="1"/>
  <c r="B181" i="13"/>
  <c r="B223" i="13" s="1"/>
  <c r="B265" i="13" s="1"/>
  <c r="B307" i="13" s="1"/>
  <c r="B349" i="13" s="1"/>
  <c r="A181" i="13"/>
  <c r="A223" i="13" s="1"/>
  <c r="A265" i="13" s="1"/>
  <c r="A307" i="13" s="1"/>
  <c r="A349" i="13" s="1"/>
  <c r="B180" i="13"/>
  <c r="B222" i="13" s="1"/>
  <c r="B264" i="13" s="1"/>
  <c r="B306" i="13" s="1"/>
  <c r="B348" i="13" s="1"/>
  <c r="A180" i="13"/>
  <c r="A222" i="13" s="1"/>
  <c r="A264" i="13" s="1"/>
  <c r="A306" i="13" s="1"/>
  <c r="A348" i="13" s="1"/>
  <c r="B179" i="13"/>
  <c r="B221" i="13" s="1"/>
  <c r="B263" i="13" s="1"/>
  <c r="B305" i="13" s="1"/>
  <c r="B347" i="13" s="1"/>
  <c r="A179" i="13"/>
  <c r="A221" i="13" s="1"/>
  <c r="A263" i="13" s="1"/>
  <c r="A305" i="13" s="1"/>
  <c r="A347" i="13" s="1"/>
  <c r="B178" i="13"/>
  <c r="B220" i="13" s="1"/>
  <c r="B262" i="13" s="1"/>
  <c r="B304" i="13" s="1"/>
  <c r="B346" i="13" s="1"/>
  <c r="A178" i="13"/>
  <c r="A220" i="13" s="1"/>
  <c r="A262" i="13" s="1"/>
  <c r="A304" i="13" s="1"/>
  <c r="A346" i="13" s="1"/>
  <c r="B177" i="13"/>
  <c r="B219" i="13" s="1"/>
  <c r="B261" i="13" s="1"/>
  <c r="B303" i="13" s="1"/>
  <c r="B345" i="13" s="1"/>
  <c r="A177" i="13"/>
  <c r="A219" i="13" s="1"/>
  <c r="A261" i="13" s="1"/>
  <c r="A303" i="13" s="1"/>
  <c r="A345" i="13" s="1"/>
  <c r="B176" i="13"/>
  <c r="B218" i="13" s="1"/>
  <c r="B260" i="13" s="1"/>
  <c r="B302" i="13" s="1"/>
  <c r="B344" i="13" s="1"/>
  <c r="A176" i="13"/>
  <c r="A218" i="13" s="1"/>
  <c r="A260" i="13" s="1"/>
  <c r="A302" i="13" s="1"/>
  <c r="A344" i="13" s="1"/>
  <c r="B175" i="13"/>
  <c r="B217" i="13" s="1"/>
  <c r="B259" i="13" s="1"/>
  <c r="B301" i="13" s="1"/>
  <c r="B343" i="13" s="1"/>
  <c r="A175" i="13"/>
  <c r="A217" i="13" s="1"/>
  <c r="A259" i="13" s="1"/>
  <c r="A301" i="13" s="1"/>
  <c r="A343" i="13" s="1"/>
  <c r="B174" i="13"/>
  <c r="B216" i="13" s="1"/>
  <c r="B258" i="13" s="1"/>
  <c r="B300" i="13" s="1"/>
  <c r="B342" i="13" s="1"/>
  <c r="A174" i="13"/>
  <c r="A216" i="13" s="1"/>
  <c r="A258" i="13" s="1"/>
  <c r="A300" i="13" s="1"/>
  <c r="A342" i="13" s="1"/>
  <c r="B173" i="13"/>
  <c r="B215" i="13" s="1"/>
  <c r="B257" i="13" s="1"/>
  <c r="B299" i="13" s="1"/>
  <c r="B341" i="13" s="1"/>
  <c r="A173" i="13"/>
  <c r="A215" i="13" s="1"/>
  <c r="A257" i="13" s="1"/>
  <c r="A299" i="13" s="1"/>
  <c r="A341" i="13" s="1"/>
  <c r="B172" i="13"/>
  <c r="B214" i="13" s="1"/>
  <c r="B256" i="13" s="1"/>
  <c r="B298" i="13" s="1"/>
  <c r="B340" i="13" s="1"/>
  <c r="A172" i="13"/>
  <c r="A214" i="13" s="1"/>
  <c r="A256" i="13" s="1"/>
  <c r="A298" i="13" s="1"/>
  <c r="A340" i="13" s="1"/>
  <c r="B171" i="13"/>
  <c r="B213" i="13" s="1"/>
  <c r="B255" i="13" s="1"/>
  <c r="B297" i="13" s="1"/>
  <c r="B339" i="13" s="1"/>
  <c r="A171" i="13"/>
  <c r="A213" i="13" s="1"/>
  <c r="A255" i="13" s="1"/>
  <c r="A297" i="13" s="1"/>
  <c r="A339" i="13" s="1"/>
  <c r="B170" i="13"/>
  <c r="B212" i="13" s="1"/>
  <c r="B254" i="13" s="1"/>
  <c r="B296" i="13" s="1"/>
  <c r="B338" i="13" s="1"/>
  <c r="A170" i="13"/>
  <c r="A212" i="13" s="1"/>
  <c r="A254" i="13" s="1"/>
  <c r="A296" i="13" s="1"/>
  <c r="A338" i="13" s="1"/>
  <c r="B169" i="13"/>
  <c r="B211" i="13" s="1"/>
  <c r="B253" i="13" s="1"/>
  <c r="B295" i="13" s="1"/>
  <c r="B337" i="13" s="1"/>
  <c r="A169" i="13"/>
  <c r="A211" i="13" s="1"/>
  <c r="A253" i="13" s="1"/>
  <c r="A295" i="13" s="1"/>
  <c r="A337" i="13" s="1"/>
  <c r="B168" i="13"/>
  <c r="B210" i="13" s="1"/>
  <c r="B252" i="13" s="1"/>
  <c r="B294" i="13" s="1"/>
  <c r="B336" i="13" s="1"/>
  <c r="A168" i="13"/>
  <c r="A210" i="13" s="1"/>
  <c r="A252" i="13" s="1"/>
  <c r="A294" i="13" s="1"/>
  <c r="A336" i="13" s="1"/>
  <c r="B167" i="13"/>
  <c r="B209" i="13" s="1"/>
  <c r="B251" i="13" s="1"/>
  <c r="B293" i="13" s="1"/>
  <c r="B335" i="13" s="1"/>
  <c r="A167" i="13"/>
  <c r="A209" i="13" s="1"/>
  <c r="A251" i="13" s="1"/>
  <c r="A293" i="13" s="1"/>
  <c r="A335" i="13" s="1"/>
  <c r="B166" i="13"/>
  <c r="B208" i="13" s="1"/>
  <c r="B250" i="13" s="1"/>
  <c r="B292" i="13" s="1"/>
  <c r="B334" i="13" s="1"/>
  <c r="A166" i="13"/>
  <c r="A208" i="13" s="1"/>
  <c r="A250" i="13" s="1"/>
  <c r="A292" i="13" s="1"/>
  <c r="A334" i="13" s="1"/>
  <c r="B165" i="13"/>
  <c r="B207" i="13" s="1"/>
  <c r="B249" i="13" s="1"/>
  <c r="B291" i="13" s="1"/>
  <c r="B333" i="13" s="1"/>
  <c r="A165" i="13"/>
  <c r="A207" i="13" s="1"/>
  <c r="A249" i="13" s="1"/>
  <c r="A291" i="13" s="1"/>
  <c r="A333" i="13" s="1"/>
  <c r="B164" i="13"/>
  <c r="B206" i="13" s="1"/>
  <c r="B248" i="13" s="1"/>
  <c r="B290" i="13" s="1"/>
  <c r="B332" i="13" s="1"/>
  <c r="A164" i="13"/>
  <c r="A206" i="13" s="1"/>
  <c r="A248" i="13" s="1"/>
  <c r="A290" i="13" s="1"/>
  <c r="A332" i="13" s="1"/>
  <c r="B163" i="13"/>
  <c r="B205" i="13" s="1"/>
  <c r="B247" i="13" s="1"/>
  <c r="B289" i="13" s="1"/>
  <c r="B331" i="13" s="1"/>
  <c r="A163" i="13"/>
  <c r="A205" i="13" s="1"/>
  <c r="A247" i="13" s="1"/>
  <c r="A289" i="13" s="1"/>
  <c r="A331" i="13" s="1"/>
  <c r="B162" i="13"/>
  <c r="B204" i="13" s="1"/>
  <c r="B246" i="13" s="1"/>
  <c r="B288" i="13" s="1"/>
  <c r="B330" i="13" s="1"/>
  <c r="A162" i="13"/>
  <c r="A204" i="13" s="1"/>
  <c r="A246" i="13" s="1"/>
  <c r="A288" i="13" s="1"/>
  <c r="A330" i="13" s="1"/>
  <c r="B161" i="13"/>
  <c r="B203" i="13" s="1"/>
  <c r="B245" i="13" s="1"/>
  <c r="B287" i="13" s="1"/>
  <c r="B329" i="13" s="1"/>
  <c r="A161" i="13"/>
  <c r="A203" i="13" s="1"/>
  <c r="A245" i="13" s="1"/>
  <c r="A287" i="13" s="1"/>
  <c r="A329" i="13" s="1"/>
  <c r="B160" i="13"/>
  <c r="B202" i="13" s="1"/>
  <c r="B244" i="13" s="1"/>
  <c r="B286" i="13" s="1"/>
  <c r="B328" i="13" s="1"/>
  <c r="A160" i="13"/>
  <c r="A202" i="13" s="1"/>
  <c r="A244" i="13" s="1"/>
  <c r="A286" i="13" s="1"/>
  <c r="A328" i="13" s="1"/>
  <c r="B159" i="13"/>
  <c r="B201" i="13" s="1"/>
  <c r="B243" i="13" s="1"/>
  <c r="B285" i="13" s="1"/>
  <c r="B327" i="13" s="1"/>
  <c r="A159" i="13"/>
  <c r="A201" i="13" s="1"/>
  <c r="A243" i="13" s="1"/>
  <c r="A285" i="13" s="1"/>
  <c r="A327" i="13" s="1"/>
  <c r="B158" i="13"/>
  <c r="B200" i="13" s="1"/>
  <c r="B242" i="13" s="1"/>
  <c r="B284" i="13" s="1"/>
  <c r="B326" i="13" s="1"/>
  <c r="A158" i="13"/>
  <c r="A200" i="13" s="1"/>
  <c r="A242" i="13" s="1"/>
  <c r="A284" i="13" s="1"/>
  <c r="A326" i="13" s="1"/>
  <c r="B157" i="13"/>
  <c r="B199" i="13" s="1"/>
  <c r="B241" i="13" s="1"/>
  <c r="B283" i="13" s="1"/>
  <c r="B325" i="13" s="1"/>
  <c r="A157" i="13"/>
  <c r="A199" i="13" s="1"/>
  <c r="A241" i="13" s="1"/>
  <c r="A283" i="13" s="1"/>
  <c r="A325" i="13" s="1"/>
  <c r="B156" i="13"/>
  <c r="B198" i="13" s="1"/>
  <c r="B240" i="13" s="1"/>
  <c r="B282" i="13" s="1"/>
  <c r="B324" i="13" s="1"/>
  <c r="A156" i="13"/>
  <c r="A198" i="13" s="1"/>
  <c r="A240" i="13" s="1"/>
  <c r="A282" i="13" s="1"/>
  <c r="A324" i="13" s="1"/>
  <c r="M150" i="13"/>
  <c r="B127" i="13"/>
  <c r="A127" i="13"/>
  <c r="B126" i="13"/>
  <c r="A126" i="13"/>
  <c r="B125" i="13"/>
  <c r="A125" i="13"/>
  <c r="B124" i="13"/>
  <c r="A124" i="13"/>
  <c r="B123" i="13"/>
  <c r="A123" i="13"/>
  <c r="B122" i="13"/>
  <c r="A122" i="13"/>
  <c r="B121" i="13"/>
  <c r="A121" i="13"/>
  <c r="B120" i="13"/>
  <c r="A120" i="13"/>
  <c r="B119" i="13"/>
  <c r="A119" i="13"/>
  <c r="B118" i="13"/>
  <c r="A118" i="13"/>
  <c r="B117" i="13"/>
  <c r="A117" i="13"/>
  <c r="B116" i="13"/>
  <c r="A116" i="13"/>
  <c r="B115" i="13"/>
  <c r="A115" i="13"/>
  <c r="B114" i="13"/>
  <c r="A114" i="13"/>
  <c r="B113" i="13"/>
  <c r="A113" i="13"/>
  <c r="B112" i="13"/>
  <c r="A112" i="13"/>
  <c r="B111" i="13"/>
  <c r="A111" i="13"/>
  <c r="B110" i="13"/>
  <c r="A110" i="13"/>
  <c r="B109" i="13"/>
  <c r="A109" i="13"/>
  <c r="B108" i="13"/>
  <c r="A108" i="13"/>
  <c r="B107" i="13"/>
  <c r="A107" i="13"/>
  <c r="B106" i="13"/>
  <c r="A106" i="13"/>
  <c r="B105" i="13"/>
  <c r="A105" i="13"/>
  <c r="B104" i="13"/>
  <c r="A104" i="13"/>
  <c r="B103" i="13"/>
  <c r="A103" i="13"/>
  <c r="B102" i="13"/>
  <c r="A102" i="13"/>
  <c r="B101" i="13"/>
  <c r="A101" i="13"/>
  <c r="B100" i="13"/>
  <c r="A100" i="13"/>
  <c r="B99" i="13"/>
  <c r="A99" i="13"/>
  <c r="B98" i="13"/>
  <c r="A98" i="13"/>
  <c r="B97" i="13"/>
  <c r="A97" i="13"/>
  <c r="B96" i="13"/>
  <c r="A96" i="13"/>
  <c r="B95" i="13"/>
  <c r="A95" i="13"/>
  <c r="B94" i="13"/>
  <c r="A94" i="13"/>
  <c r="B93" i="13"/>
  <c r="A93" i="13"/>
  <c r="B92" i="13"/>
  <c r="A92" i="13"/>
  <c r="B91" i="13"/>
  <c r="A91" i="13"/>
  <c r="B90" i="13"/>
  <c r="A90" i="13"/>
  <c r="B85" i="13"/>
  <c r="A85" i="13"/>
  <c r="B84" i="13"/>
  <c r="A84" i="13"/>
  <c r="B83" i="13"/>
  <c r="A83" i="13"/>
  <c r="B82" i="13"/>
  <c r="A82" i="13"/>
  <c r="B81" i="13"/>
  <c r="A81" i="13"/>
  <c r="B80" i="13"/>
  <c r="A80" i="13"/>
  <c r="B79" i="13"/>
  <c r="A79" i="13"/>
  <c r="B78" i="13"/>
  <c r="A78" i="13"/>
  <c r="B77" i="13"/>
  <c r="A77" i="13"/>
  <c r="B76" i="13"/>
  <c r="A76" i="13"/>
  <c r="B75" i="13"/>
  <c r="A75" i="13"/>
  <c r="B74" i="13"/>
  <c r="A74" i="13"/>
  <c r="B73" i="13"/>
  <c r="A73" i="13"/>
  <c r="B72" i="13"/>
  <c r="A72" i="13"/>
  <c r="B71" i="13"/>
  <c r="A71" i="13"/>
  <c r="B70" i="13"/>
  <c r="A70" i="13"/>
  <c r="B69" i="13"/>
  <c r="A69" i="13"/>
  <c r="B68" i="13"/>
  <c r="A68" i="13"/>
  <c r="B67" i="13"/>
  <c r="A67" i="13"/>
  <c r="B66" i="13"/>
  <c r="A66" i="13"/>
  <c r="B65" i="13"/>
  <c r="A65" i="13"/>
  <c r="B64" i="13"/>
  <c r="A64" i="13"/>
  <c r="B63" i="13"/>
  <c r="A63" i="13"/>
  <c r="B62" i="13"/>
  <c r="A62" i="13"/>
  <c r="B61" i="13"/>
  <c r="A61" i="13"/>
  <c r="B60" i="13"/>
  <c r="A60" i="13"/>
  <c r="B59" i="13"/>
  <c r="A59" i="13"/>
  <c r="B58" i="13"/>
  <c r="A58" i="13"/>
  <c r="B57" i="13"/>
  <c r="A57" i="13"/>
  <c r="B56" i="13"/>
  <c r="A56" i="13"/>
  <c r="B55" i="13"/>
  <c r="A55" i="13"/>
  <c r="B54" i="13"/>
  <c r="A54" i="13"/>
  <c r="B53" i="13"/>
  <c r="A53" i="13"/>
  <c r="B52" i="13"/>
  <c r="A52" i="13"/>
  <c r="B51" i="13"/>
  <c r="A51" i="13"/>
  <c r="B50" i="13"/>
  <c r="A50" i="13"/>
  <c r="B49" i="13"/>
  <c r="A49" i="13"/>
  <c r="B48" i="13"/>
  <c r="A48" i="13"/>
  <c r="O43" i="13"/>
  <c r="F198" i="13" l="1"/>
  <c r="F199" i="13"/>
  <c r="F200" i="13"/>
  <c r="F201" i="13"/>
  <c r="F202" i="13"/>
  <c r="F203" i="13"/>
  <c r="F204" i="13"/>
  <c r="F205" i="13"/>
  <c r="F206" i="13"/>
  <c r="F207" i="13"/>
  <c r="F208" i="13"/>
  <c r="F209" i="13"/>
  <c r="E198" i="13"/>
  <c r="E210" i="13"/>
  <c r="P43" i="11"/>
  <c r="C43" i="9"/>
  <c r="P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6" i="9"/>
  <c r="Q5" i="9"/>
  <c r="Q43" i="9" s="1"/>
  <c r="O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3" i="8" s="1"/>
  <c r="C43" i="8" s="1"/>
  <c r="P42" i="7"/>
  <c r="P41" i="7"/>
  <c r="P40" i="7"/>
  <c r="P39" i="7"/>
  <c r="P38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5" i="7"/>
  <c r="P6" i="7"/>
  <c r="O43" i="7"/>
  <c r="E236" i="13" l="1"/>
  <c r="F236" i="13"/>
  <c r="F167" i="13" s="1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G42" i="12"/>
  <c r="H42" i="12" s="1"/>
  <c r="G41" i="12"/>
  <c r="H41" i="12" s="1"/>
  <c r="G40" i="12"/>
  <c r="H40" i="12" s="1"/>
  <c r="G39" i="12"/>
  <c r="H39" i="12" s="1"/>
  <c r="G38" i="12"/>
  <c r="H38" i="12" s="1"/>
  <c r="G37" i="12"/>
  <c r="H37" i="12" s="1"/>
  <c r="G36" i="12"/>
  <c r="H36" i="12" s="1"/>
  <c r="G35" i="12"/>
  <c r="H35" i="12" s="1"/>
  <c r="G34" i="12"/>
  <c r="H34" i="12" s="1"/>
  <c r="G33" i="12"/>
  <c r="H33" i="12" s="1"/>
  <c r="G32" i="12"/>
  <c r="H32" i="12" s="1"/>
  <c r="G31" i="12"/>
  <c r="H31" i="12" s="1"/>
  <c r="G30" i="12"/>
  <c r="H30" i="12" s="1"/>
  <c r="G29" i="12"/>
  <c r="H29" i="12" s="1"/>
  <c r="G28" i="12"/>
  <c r="H28" i="12" s="1"/>
  <c r="G27" i="12"/>
  <c r="H27" i="12" s="1"/>
  <c r="G26" i="12"/>
  <c r="H26" i="12" s="1"/>
  <c r="G25" i="12"/>
  <c r="H25" i="12" s="1"/>
  <c r="G24" i="12"/>
  <c r="H24" i="12" s="1"/>
  <c r="G23" i="12"/>
  <c r="H23" i="12" s="1"/>
  <c r="G22" i="12"/>
  <c r="H22" i="12" s="1"/>
  <c r="G21" i="12"/>
  <c r="H21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G14" i="12"/>
  <c r="H14" i="12" s="1"/>
  <c r="G13" i="12"/>
  <c r="H13" i="12" s="1"/>
  <c r="G12" i="12"/>
  <c r="H12" i="12" s="1"/>
  <c r="G11" i="12"/>
  <c r="H11" i="12" s="1"/>
  <c r="G10" i="12"/>
  <c r="H10" i="12" s="1"/>
  <c r="G9" i="12"/>
  <c r="H9" i="12" s="1"/>
  <c r="G8" i="12"/>
  <c r="H8" i="12" s="1"/>
  <c r="G7" i="12"/>
  <c r="H7" i="12" s="1"/>
  <c r="G6" i="12"/>
  <c r="H6" i="12" s="1"/>
  <c r="G5" i="12"/>
  <c r="H5" i="12" s="1"/>
  <c r="G4" i="12"/>
  <c r="H4" i="12" s="1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S42" i="12"/>
  <c r="T42" i="12" s="1"/>
  <c r="F156" i="13" l="1"/>
  <c r="F158" i="13"/>
  <c r="F162" i="13"/>
  <c r="F166" i="13"/>
  <c r="F159" i="13"/>
  <c r="F163" i="13"/>
  <c r="F193" i="13"/>
  <c r="F191" i="13"/>
  <c r="F189" i="13"/>
  <c r="F187" i="13"/>
  <c r="F185" i="13"/>
  <c r="F183" i="13"/>
  <c r="F181" i="13"/>
  <c r="F179" i="13"/>
  <c r="F177" i="13"/>
  <c r="F175" i="13"/>
  <c r="F173" i="13"/>
  <c r="F171" i="13"/>
  <c r="F192" i="13"/>
  <c r="F190" i="13"/>
  <c r="F188" i="13"/>
  <c r="F186" i="13"/>
  <c r="F184" i="13"/>
  <c r="F182" i="13"/>
  <c r="F180" i="13"/>
  <c r="F178" i="13"/>
  <c r="F176" i="13"/>
  <c r="F174" i="13"/>
  <c r="F172" i="13"/>
  <c r="F170" i="13"/>
  <c r="F169" i="13"/>
  <c r="F168" i="13"/>
  <c r="F140" i="13" s="1"/>
  <c r="F160" i="13"/>
  <c r="F139" i="13" s="1"/>
  <c r="F164" i="13"/>
  <c r="F157" i="13"/>
  <c r="F161" i="13"/>
  <c r="F141" i="13" s="1"/>
  <c r="F165" i="13"/>
  <c r="O42" i="12"/>
  <c r="P42" i="12" s="1"/>
  <c r="W42" i="12"/>
  <c r="X42" i="12" s="1"/>
  <c r="D42" i="12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F137" i="13" l="1"/>
  <c r="G192" i="13"/>
  <c r="G190" i="13"/>
  <c r="G188" i="13"/>
  <c r="G186" i="13"/>
  <c r="G184" i="13"/>
  <c r="G182" i="13"/>
  <c r="G180" i="13"/>
  <c r="G178" i="13"/>
  <c r="G176" i="13"/>
  <c r="G174" i="13"/>
  <c r="G172" i="13"/>
  <c r="G170" i="13"/>
  <c r="G193" i="13"/>
  <c r="G191" i="13"/>
  <c r="G189" i="13"/>
  <c r="G187" i="13"/>
  <c r="G185" i="13"/>
  <c r="G183" i="13"/>
  <c r="G181" i="13"/>
  <c r="G179" i="13"/>
  <c r="G177" i="13"/>
  <c r="G175" i="13"/>
  <c r="G173" i="13"/>
  <c r="G171" i="13"/>
  <c r="G168" i="13"/>
  <c r="G166" i="13"/>
  <c r="G164" i="13"/>
  <c r="G162" i="13"/>
  <c r="G160" i="13"/>
  <c r="G158" i="13"/>
  <c r="G156" i="13"/>
  <c r="G169" i="13"/>
  <c r="G167" i="13"/>
  <c r="G140" i="13" s="1"/>
  <c r="G165" i="13"/>
  <c r="G163" i="13"/>
  <c r="G161" i="13"/>
  <c r="G159" i="13"/>
  <c r="G157" i="13"/>
  <c r="G137" i="13" s="1"/>
  <c r="M192" i="13"/>
  <c r="M190" i="13"/>
  <c r="M188" i="13"/>
  <c r="M186" i="13"/>
  <c r="M184" i="13"/>
  <c r="M182" i="13"/>
  <c r="M180" i="13"/>
  <c r="M178" i="13"/>
  <c r="M176" i="13"/>
  <c r="M174" i="13"/>
  <c r="M172" i="13"/>
  <c r="M170" i="13"/>
  <c r="M193" i="13"/>
  <c r="M191" i="13"/>
  <c r="M189" i="13"/>
  <c r="M187" i="13"/>
  <c r="M185" i="13"/>
  <c r="M183" i="13"/>
  <c r="M181" i="13"/>
  <c r="M179" i="13"/>
  <c r="M177" i="13"/>
  <c r="M175" i="13"/>
  <c r="M173" i="13"/>
  <c r="M171" i="13"/>
  <c r="M168" i="13"/>
  <c r="M166" i="13"/>
  <c r="M164" i="13"/>
  <c r="M162" i="13"/>
  <c r="M160" i="13"/>
  <c r="M139" i="13" s="1"/>
  <c r="M158" i="13"/>
  <c r="M156" i="13"/>
  <c r="M169" i="13"/>
  <c r="M167" i="13"/>
  <c r="M140" i="13" s="1"/>
  <c r="M165" i="13"/>
  <c r="M163" i="13"/>
  <c r="M161" i="13"/>
  <c r="M159" i="13"/>
  <c r="M157" i="13"/>
  <c r="M137" i="13" s="1"/>
  <c r="H193" i="13"/>
  <c r="H191" i="13"/>
  <c r="H189" i="13"/>
  <c r="H187" i="13"/>
  <c r="H185" i="13"/>
  <c r="H183" i="13"/>
  <c r="H181" i="13"/>
  <c r="H179" i="13"/>
  <c r="H177" i="13"/>
  <c r="H175" i="13"/>
  <c r="H173" i="13"/>
  <c r="H171" i="13"/>
  <c r="H192" i="13"/>
  <c r="H190" i="13"/>
  <c r="H188" i="13"/>
  <c r="H186" i="13"/>
  <c r="H184" i="13"/>
  <c r="H182" i="13"/>
  <c r="H180" i="13"/>
  <c r="H178" i="13"/>
  <c r="H176" i="13"/>
  <c r="H174" i="13"/>
  <c r="H172" i="13"/>
  <c r="H170" i="13"/>
  <c r="H169" i="13"/>
  <c r="H167" i="13"/>
  <c r="H165" i="13"/>
  <c r="H163" i="13"/>
  <c r="H161" i="13"/>
  <c r="H159" i="13"/>
  <c r="H157" i="13"/>
  <c r="H168" i="13"/>
  <c r="H166" i="13"/>
  <c r="H164" i="13"/>
  <c r="H162" i="13"/>
  <c r="H160" i="13"/>
  <c r="H158" i="13"/>
  <c r="H156" i="13"/>
  <c r="L193" i="13"/>
  <c r="L191" i="13"/>
  <c r="L189" i="13"/>
  <c r="L187" i="13"/>
  <c r="L185" i="13"/>
  <c r="L183" i="13"/>
  <c r="L181" i="13"/>
  <c r="L179" i="13"/>
  <c r="L177" i="13"/>
  <c r="L175" i="13"/>
  <c r="L173" i="13"/>
  <c r="L171" i="13"/>
  <c r="L192" i="13"/>
  <c r="L190" i="13"/>
  <c r="L188" i="13"/>
  <c r="L186" i="13"/>
  <c r="L184" i="13"/>
  <c r="L182" i="13"/>
  <c r="L180" i="13"/>
  <c r="L178" i="13"/>
  <c r="L176" i="13"/>
  <c r="L174" i="13"/>
  <c r="L172" i="13"/>
  <c r="L170" i="13"/>
  <c r="L169" i="13"/>
  <c r="L167" i="13"/>
  <c r="L165" i="13"/>
  <c r="L163" i="13"/>
  <c r="L161" i="13"/>
  <c r="L159" i="13"/>
  <c r="L157" i="13"/>
  <c r="L137" i="13" s="1"/>
  <c r="L168" i="13"/>
  <c r="L166" i="13"/>
  <c r="L164" i="13"/>
  <c r="L162" i="13"/>
  <c r="L160" i="13"/>
  <c r="L158" i="13"/>
  <c r="L156" i="13"/>
  <c r="F194" i="13"/>
  <c r="F138" i="13"/>
  <c r="E192" i="13"/>
  <c r="E190" i="13"/>
  <c r="E188" i="13"/>
  <c r="E186" i="13"/>
  <c r="E184" i="13"/>
  <c r="E182" i="13"/>
  <c r="E180" i="13"/>
  <c r="E178" i="13"/>
  <c r="E176" i="13"/>
  <c r="E174" i="13"/>
  <c r="E172" i="13"/>
  <c r="E170" i="13"/>
  <c r="E193" i="13"/>
  <c r="E191" i="13"/>
  <c r="E189" i="13"/>
  <c r="E187" i="13"/>
  <c r="E185" i="13"/>
  <c r="E183" i="13"/>
  <c r="E181" i="13"/>
  <c r="E179" i="13"/>
  <c r="E177" i="13"/>
  <c r="E175" i="13"/>
  <c r="E173" i="13"/>
  <c r="E171" i="13"/>
  <c r="E166" i="13"/>
  <c r="E164" i="13"/>
  <c r="E162" i="13"/>
  <c r="E160" i="13"/>
  <c r="E158" i="13"/>
  <c r="E169" i="13"/>
  <c r="E167" i="13"/>
  <c r="E165" i="13"/>
  <c r="E163" i="13"/>
  <c r="E161" i="13"/>
  <c r="E159" i="13"/>
  <c r="E157" i="13"/>
  <c r="E137" i="13" s="1"/>
  <c r="E168" i="13"/>
  <c r="E156" i="13"/>
  <c r="K192" i="13"/>
  <c r="K190" i="13"/>
  <c r="K188" i="13"/>
  <c r="K186" i="13"/>
  <c r="K184" i="13"/>
  <c r="K182" i="13"/>
  <c r="K180" i="13"/>
  <c r="K178" i="13"/>
  <c r="K176" i="13"/>
  <c r="K174" i="13"/>
  <c r="K172" i="13"/>
  <c r="K170" i="13"/>
  <c r="K193" i="13"/>
  <c r="K191" i="13"/>
  <c r="K189" i="13"/>
  <c r="K187" i="13"/>
  <c r="K185" i="13"/>
  <c r="K183" i="13"/>
  <c r="K181" i="13"/>
  <c r="K179" i="13"/>
  <c r="K177" i="13"/>
  <c r="K175" i="13"/>
  <c r="K173" i="13"/>
  <c r="K171" i="13"/>
  <c r="K168" i="13"/>
  <c r="K166" i="13"/>
  <c r="K164" i="13"/>
  <c r="K162" i="13"/>
  <c r="K160" i="13"/>
  <c r="K139" i="13" s="1"/>
  <c r="K158" i="13"/>
  <c r="K156" i="13"/>
  <c r="K169" i="13"/>
  <c r="K167" i="13"/>
  <c r="K140" i="13" s="1"/>
  <c r="K165" i="13"/>
  <c r="K163" i="13"/>
  <c r="K161" i="13"/>
  <c r="K159" i="13"/>
  <c r="K157" i="13"/>
  <c r="K137" i="13" s="1"/>
  <c r="D193" i="13"/>
  <c r="D191" i="13"/>
  <c r="D189" i="13"/>
  <c r="D187" i="13"/>
  <c r="D185" i="13"/>
  <c r="D183" i="13"/>
  <c r="D181" i="13"/>
  <c r="D179" i="13"/>
  <c r="D177" i="13"/>
  <c r="D175" i="13"/>
  <c r="D173" i="13"/>
  <c r="D171" i="13"/>
  <c r="D192" i="13"/>
  <c r="D190" i="13"/>
  <c r="D188" i="13"/>
  <c r="D186" i="13"/>
  <c r="D184" i="13"/>
  <c r="D182" i="13"/>
  <c r="D180" i="13"/>
  <c r="D178" i="13"/>
  <c r="D176" i="13"/>
  <c r="D174" i="13"/>
  <c r="D172" i="13"/>
  <c r="D170" i="13"/>
  <c r="D169" i="13"/>
  <c r="D167" i="13"/>
  <c r="D165" i="13"/>
  <c r="D163" i="13"/>
  <c r="D161" i="13"/>
  <c r="D159" i="13"/>
  <c r="D157" i="13"/>
  <c r="D168" i="13"/>
  <c r="D166" i="13"/>
  <c r="D164" i="13"/>
  <c r="D162" i="13"/>
  <c r="D160" i="13"/>
  <c r="D158" i="13"/>
  <c r="D156" i="13"/>
  <c r="J193" i="13"/>
  <c r="J191" i="13"/>
  <c r="J189" i="13"/>
  <c r="J187" i="13"/>
  <c r="J185" i="13"/>
  <c r="J183" i="13"/>
  <c r="J181" i="13"/>
  <c r="J179" i="13"/>
  <c r="J177" i="13"/>
  <c r="J175" i="13"/>
  <c r="J173" i="13"/>
  <c r="J171" i="13"/>
  <c r="J192" i="13"/>
  <c r="J190" i="13"/>
  <c r="J188" i="13"/>
  <c r="J186" i="13"/>
  <c r="J184" i="13"/>
  <c r="J182" i="13"/>
  <c r="J180" i="13"/>
  <c r="J178" i="13"/>
  <c r="J176" i="13"/>
  <c r="J174" i="13"/>
  <c r="J172" i="13"/>
  <c r="J170" i="13"/>
  <c r="J169" i="13"/>
  <c r="J167" i="13"/>
  <c r="J165" i="13"/>
  <c r="J163" i="13"/>
  <c r="J161" i="13"/>
  <c r="J159" i="13"/>
  <c r="J157" i="13"/>
  <c r="J137" i="13" s="1"/>
  <c r="J168" i="13"/>
  <c r="J166" i="13"/>
  <c r="J164" i="13"/>
  <c r="J162" i="13"/>
  <c r="J160" i="13"/>
  <c r="J158" i="13"/>
  <c r="J156" i="13"/>
  <c r="AT319" i="9"/>
  <c r="AT318" i="9"/>
  <c r="AT317" i="9"/>
  <c r="AT316" i="9"/>
  <c r="AT315" i="9"/>
  <c r="AT314" i="9"/>
  <c r="AT313" i="9"/>
  <c r="AT312" i="9"/>
  <c r="AT311" i="9"/>
  <c r="AT310" i="9"/>
  <c r="AT309" i="9"/>
  <c r="AT308" i="9"/>
  <c r="AT307" i="9"/>
  <c r="AT306" i="9"/>
  <c r="AT305" i="9"/>
  <c r="AT304" i="9"/>
  <c r="AT303" i="9"/>
  <c r="AT302" i="9"/>
  <c r="AT301" i="9"/>
  <c r="AT300" i="9"/>
  <c r="AT299" i="9"/>
  <c r="AT298" i="9"/>
  <c r="AT297" i="9"/>
  <c r="AT296" i="9"/>
  <c r="AT295" i="9"/>
  <c r="AT294" i="9"/>
  <c r="AT293" i="9"/>
  <c r="AT292" i="9"/>
  <c r="AT291" i="9"/>
  <c r="AT290" i="9"/>
  <c r="AT289" i="9"/>
  <c r="AT288" i="9"/>
  <c r="AT287" i="9"/>
  <c r="AT286" i="9"/>
  <c r="AT285" i="9"/>
  <c r="AT284" i="9"/>
  <c r="AT283" i="9"/>
  <c r="AT282" i="9"/>
  <c r="AT277" i="9"/>
  <c r="AT276" i="9"/>
  <c r="AT275" i="9"/>
  <c r="AT274" i="9"/>
  <c r="AT273" i="9"/>
  <c r="AT272" i="9"/>
  <c r="AT271" i="9"/>
  <c r="AT270" i="9"/>
  <c r="AT269" i="9"/>
  <c r="AT268" i="9"/>
  <c r="AT267" i="9"/>
  <c r="AT266" i="9"/>
  <c r="AT265" i="9"/>
  <c r="AT264" i="9"/>
  <c r="AT263" i="9"/>
  <c r="AT262" i="9"/>
  <c r="AT261" i="9"/>
  <c r="AT260" i="9"/>
  <c r="AT259" i="9"/>
  <c r="AT258" i="9"/>
  <c r="AT257" i="9"/>
  <c r="AT256" i="9"/>
  <c r="AT255" i="9"/>
  <c r="AT254" i="9"/>
  <c r="AT253" i="9"/>
  <c r="AT252" i="9"/>
  <c r="AT251" i="9"/>
  <c r="AT250" i="9"/>
  <c r="AT249" i="9"/>
  <c r="AT248" i="9"/>
  <c r="AT247" i="9"/>
  <c r="AT246" i="9"/>
  <c r="AT245" i="9"/>
  <c r="AT244" i="9"/>
  <c r="AT243" i="9"/>
  <c r="AT242" i="9"/>
  <c r="AT241" i="9"/>
  <c r="AT240" i="9"/>
  <c r="R277" i="9"/>
  <c r="R276" i="9"/>
  <c r="R275" i="9"/>
  <c r="R274" i="9"/>
  <c r="R273" i="9"/>
  <c r="R272" i="9"/>
  <c r="R271" i="9"/>
  <c r="R270" i="9"/>
  <c r="R269" i="9"/>
  <c r="R268" i="9"/>
  <c r="R267" i="9"/>
  <c r="R266" i="9"/>
  <c r="R265" i="9"/>
  <c r="R264" i="9"/>
  <c r="R263" i="9"/>
  <c r="R262" i="9"/>
  <c r="R261" i="9"/>
  <c r="R260" i="9"/>
  <c r="R259" i="9"/>
  <c r="R258" i="9"/>
  <c r="R257" i="9"/>
  <c r="R256" i="9"/>
  <c r="R255" i="9"/>
  <c r="R254" i="9"/>
  <c r="R253" i="9"/>
  <c r="R252" i="9"/>
  <c r="R251" i="9"/>
  <c r="R250" i="9"/>
  <c r="R249" i="9"/>
  <c r="R248" i="9"/>
  <c r="R247" i="9"/>
  <c r="R246" i="9"/>
  <c r="R245" i="9"/>
  <c r="R244" i="9"/>
  <c r="R243" i="9"/>
  <c r="R242" i="9"/>
  <c r="R241" i="9"/>
  <c r="R240" i="9"/>
  <c r="R319" i="9"/>
  <c r="R318" i="9"/>
  <c r="R317" i="9"/>
  <c r="R316" i="9"/>
  <c r="R315" i="9"/>
  <c r="R314" i="9"/>
  <c r="R313" i="9"/>
  <c r="R312" i="9"/>
  <c r="R311" i="9"/>
  <c r="R310" i="9"/>
  <c r="R309" i="9"/>
  <c r="R308" i="9"/>
  <c r="R307" i="9"/>
  <c r="R306" i="9"/>
  <c r="R305" i="9"/>
  <c r="R304" i="9"/>
  <c r="R303" i="9"/>
  <c r="R302" i="9"/>
  <c r="R301" i="9"/>
  <c r="R300" i="9"/>
  <c r="R299" i="9"/>
  <c r="R298" i="9"/>
  <c r="R297" i="9"/>
  <c r="R296" i="9"/>
  <c r="R295" i="9"/>
  <c r="R294" i="9"/>
  <c r="R293" i="9"/>
  <c r="R292" i="9"/>
  <c r="R291" i="9"/>
  <c r="R290" i="9"/>
  <c r="R289" i="9"/>
  <c r="R288" i="9"/>
  <c r="R287" i="9"/>
  <c r="R286" i="9"/>
  <c r="R285" i="9"/>
  <c r="R284" i="9"/>
  <c r="R283" i="9"/>
  <c r="R282" i="9"/>
  <c r="AT361" i="9"/>
  <c r="AT360" i="9"/>
  <c r="AT359" i="9"/>
  <c r="AT358" i="9"/>
  <c r="AT357" i="9"/>
  <c r="AT356" i="9"/>
  <c r="AT355" i="9"/>
  <c r="AT354" i="9"/>
  <c r="AT353" i="9"/>
  <c r="AT352" i="9"/>
  <c r="AT351" i="9"/>
  <c r="AT350" i="9"/>
  <c r="AT349" i="9"/>
  <c r="AT348" i="9"/>
  <c r="AT347" i="9"/>
  <c r="AT346" i="9"/>
  <c r="AT345" i="9"/>
  <c r="AT344" i="9"/>
  <c r="AT343" i="9"/>
  <c r="AT342" i="9"/>
  <c r="AT341" i="9"/>
  <c r="AT340" i="9"/>
  <c r="AT339" i="9"/>
  <c r="AT338" i="9"/>
  <c r="AT337" i="9"/>
  <c r="AT336" i="9"/>
  <c r="AT335" i="9"/>
  <c r="AT334" i="9"/>
  <c r="AT333" i="9"/>
  <c r="AT332" i="9"/>
  <c r="AT331" i="9"/>
  <c r="AT330" i="9"/>
  <c r="AT329" i="9"/>
  <c r="AT328" i="9"/>
  <c r="AT327" i="9"/>
  <c r="AT326" i="9"/>
  <c r="AT325" i="9"/>
  <c r="AT324" i="9"/>
  <c r="R361" i="9"/>
  <c r="R360" i="9"/>
  <c r="R359" i="9"/>
  <c r="R358" i="9"/>
  <c r="R357" i="9"/>
  <c r="R356" i="9"/>
  <c r="R355" i="9"/>
  <c r="R354" i="9"/>
  <c r="R353" i="9"/>
  <c r="R352" i="9"/>
  <c r="R351" i="9"/>
  <c r="R350" i="9"/>
  <c r="R349" i="9"/>
  <c r="R348" i="9"/>
  <c r="R347" i="9"/>
  <c r="R346" i="9"/>
  <c r="R345" i="9"/>
  <c r="R344" i="9"/>
  <c r="R343" i="9"/>
  <c r="R342" i="9"/>
  <c r="R341" i="9"/>
  <c r="R340" i="9"/>
  <c r="R339" i="9"/>
  <c r="R338" i="9"/>
  <c r="R337" i="9"/>
  <c r="R336" i="9"/>
  <c r="R335" i="9"/>
  <c r="R334" i="9"/>
  <c r="R333" i="9"/>
  <c r="R332" i="9"/>
  <c r="R331" i="9"/>
  <c r="R330" i="9"/>
  <c r="R329" i="9"/>
  <c r="R328" i="9"/>
  <c r="R327" i="9"/>
  <c r="R326" i="9"/>
  <c r="R325" i="9"/>
  <c r="R324" i="9"/>
  <c r="G139" i="13" l="1"/>
  <c r="L139" i="13"/>
  <c r="J141" i="13"/>
  <c r="D137" i="13"/>
  <c r="D141" i="13"/>
  <c r="K194" i="13"/>
  <c r="K138" i="13"/>
  <c r="E140" i="13"/>
  <c r="L194" i="13"/>
  <c r="L138" i="13"/>
  <c r="L140" i="13"/>
  <c r="I192" i="13"/>
  <c r="C192" i="13" s="1"/>
  <c r="I190" i="13"/>
  <c r="I188" i="13"/>
  <c r="C188" i="13" s="1"/>
  <c r="I186" i="13"/>
  <c r="I184" i="13"/>
  <c r="C184" i="13" s="1"/>
  <c r="I182" i="13"/>
  <c r="I180" i="13"/>
  <c r="C180" i="13" s="1"/>
  <c r="I178" i="13"/>
  <c r="I176" i="13"/>
  <c r="C176" i="13" s="1"/>
  <c r="I174" i="13"/>
  <c r="I172" i="13"/>
  <c r="C172" i="13" s="1"/>
  <c r="I170" i="13"/>
  <c r="I193" i="13"/>
  <c r="C193" i="13" s="1"/>
  <c r="I191" i="13"/>
  <c r="I189" i="13"/>
  <c r="C189" i="13" s="1"/>
  <c r="I187" i="13"/>
  <c r="I185" i="13"/>
  <c r="C185" i="13" s="1"/>
  <c r="I183" i="13"/>
  <c r="I181" i="13"/>
  <c r="C181" i="13" s="1"/>
  <c r="I179" i="13"/>
  <c r="I177" i="13"/>
  <c r="C177" i="13" s="1"/>
  <c r="I175" i="13"/>
  <c r="I173" i="13"/>
  <c r="C173" i="13" s="1"/>
  <c r="I171" i="13"/>
  <c r="I168" i="13"/>
  <c r="I166" i="13"/>
  <c r="C166" i="13" s="1"/>
  <c r="I164" i="13"/>
  <c r="I162" i="13"/>
  <c r="C162" i="13" s="1"/>
  <c r="I160" i="13"/>
  <c r="I158" i="13"/>
  <c r="C158" i="13" s="1"/>
  <c r="I156" i="13"/>
  <c r="I169" i="13"/>
  <c r="C169" i="13" s="1"/>
  <c r="I167" i="13"/>
  <c r="I165" i="13"/>
  <c r="C165" i="13" s="1"/>
  <c r="I163" i="13"/>
  <c r="I161" i="13"/>
  <c r="C161" i="13" s="1"/>
  <c r="I159" i="13"/>
  <c r="I157" i="13"/>
  <c r="C157" i="13" s="1"/>
  <c r="M194" i="13"/>
  <c r="M138" i="13"/>
  <c r="G194" i="13"/>
  <c r="G138" i="13"/>
  <c r="J194" i="13"/>
  <c r="J138" i="13"/>
  <c r="J139" i="13"/>
  <c r="J140" i="13"/>
  <c r="D194" i="13"/>
  <c r="C156" i="13"/>
  <c r="D138" i="13"/>
  <c r="C160" i="13"/>
  <c r="D139" i="13"/>
  <c r="C164" i="13"/>
  <c r="C168" i="13"/>
  <c r="C159" i="13"/>
  <c r="C163" i="13"/>
  <c r="D140" i="13"/>
  <c r="C167" i="13"/>
  <c r="C170" i="13"/>
  <c r="C174" i="13"/>
  <c r="C178" i="13"/>
  <c r="C182" i="13"/>
  <c r="C186" i="13"/>
  <c r="C190" i="13"/>
  <c r="C171" i="13"/>
  <c r="C175" i="13"/>
  <c r="C179" i="13"/>
  <c r="C183" i="13"/>
  <c r="C187" i="13"/>
  <c r="C191" i="13"/>
  <c r="K141" i="13"/>
  <c r="E194" i="13"/>
  <c r="E138" i="13"/>
  <c r="E141" i="13"/>
  <c r="E139" i="13"/>
  <c r="L141" i="13"/>
  <c r="H194" i="13"/>
  <c r="H138" i="13"/>
  <c r="H144" i="13" s="1"/>
  <c r="H132" i="13" s="1"/>
  <c r="H139" i="13"/>
  <c r="H140" i="13"/>
  <c r="H146" i="13" s="1"/>
  <c r="H134" i="13" s="1"/>
  <c r="M141" i="13"/>
  <c r="G141" i="13"/>
  <c r="H155" i="8"/>
  <c r="M155" i="8"/>
  <c r="L155" i="8"/>
  <c r="K155" i="8"/>
  <c r="J155" i="8"/>
  <c r="G155" i="8"/>
  <c r="F155" i="8"/>
  <c r="E155" i="8"/>
  <c r="D155" i="8"/>
  <c r="E145" i="13" l="1"/>
  <c r="E133" i="13" s="1"/>
  <c r="E119" i="13" s="1"/>
  <c r="E77" i="13" s="1"/>
  <c r="H141" i="13"/>
  <c r="G147" i="13" s="1"/>
  <c r="G135" i="13" s="1"/>
  <c r="K145" i="13"/>
  <c r="K133" i="13" s="1"/>
  <c r="K109" i="13" s="1"/>
  <c r="K67" i="13" s="1"/>
  <c r="F144" i="13"/>
  <c r="F132" i="13" s="1"/>
  <c r="K119" i="13"/>
  <c r="K77" i="13" s="1"/>
  <c r="K105" i="13"/>
  <c r="K63" i="13" s="1"/>
  <c r="K122" i="13"/>
  <c r="K80" i="13" s="1"/>
  <c r="K94" i="13"/>
  <c r="K52" i="13" s="1"/>
  <c r="F125" i="13"/>
  <c r="F83" i="13" s="1"/>
  <c r="F120" i="13"/>
  <c r="F78" i="13" s="1"/>
  <c r="F116" i="13"/>
  <c r="F74" i="13" s="1"/>
  <c r="F92" i="13"/>
  <c r="F50" i="13" s="1"/>
  <c r="F90" i="13"/>
  <c r="F48" i="13" s="1"/>
  <c r="F111" i="13"/>
  <c r="F69" i="13" s="1"/>
  <c r="F97" i="13"/>
  <c r="F55" i="13" s="1"/>
  <c r="F93" i="13"/>
  <c r="F51" i="13" s="1"/>
  <c r="D146" i="13"/>
  <c r="D134" i="13" s="1"/>
  <c r="F146" i="13"/>
  <c r="F134" i="13" s="1"/>
  <c r="C194" i="13"/>
  <c r="J146" i="13"/>
  <c r="J134" i="13" s="1"/>
  <c r="J144" i="13"/>
  <c r="J132" i="13" s="1"/>
  <c r="G145" i="13"/>
  <c r="G133" i="13" s="1"/>
  <c r="M145" i="13"/>
  <c r="M133" i="13" s="1"/>
  <c r="H147" i="13"/>
  <c r="H135" i="13" s="1"/>
  <c r="L146" i="13"/>
  <c r="L134" i="13" s="1"/>
  <c r="L144" i="13"/>
  <c r="L132" i="13" s="1"/>
  <c r="D147" i="13"/>
  <c r="D135" i="13" s="1"/>
  <c r="F147" i="13"/>
  <c r="F135" i="13" s="1"/>
  <c r="M147" i="13"/>
  <c r="M135" i="13" s="1"/>
  <c r="I134" i="13"/>
  <c r="H118" i="13"/>
  <c r="H76" i="13" s="1"/>
  <c r="H108" i="13"/>
  <c r="H66" i="13" s="1"/>
  <c r="H102" i="13"/>
  <c r="H60" i="13" s="1"/>
  <c r="H123" i="13"/>
  <c r="H81" i="13" s="1"/>
  <c r="H107" i="13"/>
  <c r="H65" i="13" s="1"/>
  <c r="H101" i="13"/>
  <c r="H59" i="13" s="1"/>
  <c r="H125" i="13"/>
  <c r="H83" i="13" s="1"/>
  <c r="I132" i="13"/>
  <c r="H120" i="13"/>
  <c r="H78" i="13" s="1"/>
  <c r="H116" i="13"/>
  <c r="H74" i="13" s="1"/>
  <c r="H92" i="13"/>
  <c r="H50" i="13" s="1"/>
  <c r="H90" i="13"/>
  <c r="H48" i="13" s="1"/>
  <c r="H111" i="13"/>
  <c r="H69" i="13" s="1"/>
  <c r="H97" i="13"/>
  <c r="H55" i="13" s="1"/>
  <c r="H93" i="13"/>
  <c r="H51" i="13" s="1"/>
  <c r="L147" i="13"/>
  <c r="L135" i="13" s="1"/>
  <c r="E109" i="13"/>
  <c r="E67" i="13" s="1"/>
  <c r="E124" i="13"/>
  <c r="E82" i="13" s="1"/>
  <c r="E104" i="13"/>
  <c r="E62" i="13" s="1"/>
  <c r="H145" i="13"/>
  <c r="H133" i="13" s="1"/>
  <c r="E147" i="13"/>
  <c r="E135" i="13" s="1"/>
  <c r="E144" i="13"/>
  <c r="E132" i="13" s="1"/>
  <c r="K147" i="13"/>
  <c r="K135" i="13" s="1"/>
  <c r="D145" i="13"/>
  <c r="D133" i="13" s="1"/>
  <c r="F145" i="13"/>
  <c r="F133" i="13" s="1"/>
  <c r="D144" i="13"/>
  <c r="D132" i="13" s="1"/>
  <c r="J145" i="13"/>
  <c r="J133" i="13" s="1"/>
  <c r="G144" i="13"/>
  <c r="G132" i="13" s="1"/>
  <c r="G146" i="13"/>
  <c r="G134" i="13" s="1"/>
  <c r="M144" i="13"/>
  <c r="M132" i="13" s="1"/>
  <c r="M146" i="13"/>
  <c r="M134" i="13" s="1"/>
  <c r="H137" i="13"/>
  <c r="D143" i="13" s="1"/>
  <c r="D131" i="13" s="1"/>
  <c r="I194" i="13"/>
  <c r="L145" i="13"/>
  <c r="L133" i="13" s="1"/>
  <c r="E146" i="13"/>
  <c r="E134" i="13" s="1"/>
  <c r="K144" i="13"/>
  <c r="K132" i="13" s="1"/>
  <c r="K146" i="13"/>
  <c r="K134" i="13" s="1"/>
  <c r="J147" i="13"/>
  <c r="J135" i="13" s="1"/>
  <c r="F4" i="6"/>
  <c r="G4" i="6" s="1"/>
  <c r="H4" i="6" s="1"/>
  <c r="F5" i="6"/>
  <c r="G5" i="6"/>
  <c r="H5" i="6" s="1"/>
  <c r="F6" i="6"/>
  <c r="G6" i="6" s="1"/>
  <c r="H6" i="6" s="1"/>
  <c r="F7" i="6"/>
  <c r="G7" i="6" s="1"/>
  <c r="H7" i="6" s="1"/>
  <c r="F8" i="6"/>
  <c r="G8" i="6" s="1"/>
  <c r="H8" i="6" s="1"/>
  <c r="F9" i="6"/>
  <c r="G9" i="6" s="1"/>
  <c r="H9" i="6" s="1"/>
  <c r="F10" i="6"/>
  <c r="G10" i="6" s="1"/>
  <c r="H10" i="6" s="1"/>
  <c r="F11" i="6"/>
  <c r="G11" i="6"/>
  <c r="H11" i="6" s="1"/>
  <c r="F12" i="6"/>
  <c r="G12" i="6" s="1"/>
  <c r="H12" i="6" s="1"/>
  <c r="F13" i="6"/>
  <c r="G13" i="6"/>
  <c r="H13" i="6" s="1"/>
  <c r="F14" i="6"/>
  <c r="G14" i="6" s="1"/>
  <c r="H14" i="6" s="1"/>
  <c r="F15" i="6"/>
  <c r="G15" i="6"/>
  <c r="H15" i="6" s="1"/>
  <c r="F16" i="6"/>
  <c r="G16" i="6" s="1"/>
  <c r="H16" i="6" s="1"/>
  <c r="F17" i="6"/>
  <c r="G17" i="6"/>
  <c r="H17" i="6" s="1"/>
  <c r="F18" i="6"/>
  <c r="G18" i="6" s="1"/>
  <c r="H18" i="6" s="1"/>
  <c r="F19" i="6"/>
  <c r="G19" i="6" s="1"/>
  <c r="H19" i="6" s="1"/>
  <c r="F20" i="6"/>
  <c r="G20" i="6" s="1"/>
  <c r="H20" i="6" s="1"/>
  <c r="F21" i="6"/>
  <c r="G21" i="6"/>
  <c r="H21" i="6" s="1"/>
  <c r="F22" i="6"/>
  <c r="G22" i="6" s="1"/>
  <c r="H22" i="6" s="1"/>
  <c r="F23" i="6"/>
  <c r="G23" i="6" s="1"/>
  <c r="H23" i="6" s="1"/>
  <c r="F24" i="6"/>
  <c r="G24" i="6" s="1"/>
  <c r="H24" i="6" s="1"/>
  <c r="F25" i="6"/>
  <c r="G25" i="6"/>
  <c r="H25" i="6" s="1"/>
  <c r="F26" i="6"/>
  <c r="G26" i="6" s="1"/>
  <c r="H26" i="6" s="1"/>
  <c r="F27" i="6"/>
  <c r="G27" i="6" s="1"/>
  <c r="H27" i="6" s="1"/>
  <c r="F28" i="6"/>
  <c r="G28" i="6" s="1"/>
  <c r="H28" i="6" s="1"/>
  <c r="F29" i="6"/>
  <c r="G29" i="6"/>
  <c r="H29" i="6" s="1"/>
  <c r="F30" i="6"/>
  <c r="G30" i="6" s="1"/>
  <c r="H30" i="6" s="1"/>
  <c r="F31" i="6"/>
  <c r="G31" i="6" s="1"/>
  <c r="H31" i="6" s="1"/>
  <c r="F32" i="6"/>
  <c r="G32" i="6" s="1"/>
  <c r="H32" i="6" s="1"/>
  <c r="F33" i="6"/>
  <c r="G33" i="6"/>
  <c r="H33" i="6" s="1"/>
  <c r="F34" i="6"/>
  <c r="G34" i="6" s="1"/>
  <c r="H34" i="6" s="1"/>
  <c r="F35" i="6"/>
  <c r="G35" i="6" s="1"/>
  <c r="H35" i="6" s="1"/>
  <c r="F36" i="6"/>
  <c r="G36" i="6" s="1"/>
  <c r="H36" i="6" s="1"/>
  <c r="F37" i="6"/>
  <c r="G37" i="6"/>
  <c r="H37" i="6" s="1"/>
  <c r="F38" i="6"/>
  <c r="G38" i="6" s="1"/>
  <c r="H38" i="6" s="1"/>
  <c r="F39" i="6"/>
  <c r="G39" i="6"/>
  <c r="H39" i="6" s="1"/>
  <c r="F40" i="6"/>
  <c r="G40" i="6" s="1"/>
  <c r="H40" i="6" s="1"/>
  <c r="F41" i="6"/>
  <c r="G41" i="6"/>
  <c r="H41" i="6" s="1"/>
  <c r="F42" i="6"/>
  <c r="N362" i="11"/>
  <c r="M362" i="11"/>
  <c r="L362" i="11"/>
  <c r="K362" i="11"/>
  <c r="J362" i="11"/>
  <c r="I362" i="11"/>
  <c r="H362" i="11"/>
  <c r="G362" i="11"/>
  <c r="D362" i="11"/>
  <c r="F350" i="11"/>
  <c r="F362" i="11" s="1"/>
  <c r="N320" i="11"/>
  <c r="M320" i="11"/>
  <c r="L320" i="11"/>
  <c r="K320" i="11"/>
  <c r="J320" i="11"/>
  <c r="I320" i="11"/>
  <c r="H320" i="11"/>
  <c r="G320" i="11"/>
  <c r="F320" i="11"/>
  <c r="D320" i="11"/>
  <c r="N278" i="11"/>
  <c r="M278" i="11"/>
  <c r="L278" i="11"/>
  <c r="K278" i="11"/>
  <c r="J278" i="11"/>
  <c r="I278" i="11"/>
  <c r="H278" i="11"/>
  <c r="G278" i="11"/>
  <c r="F278" i="11"/>
  <c r="D278" i="11"/>
  <c r="E267" i="11"/>
  <c r="E256" i="11"/>
  <c r="E253" i="11"/>
  <c r="N235" i="11"/>
  <c r="M235" i="11"/>
  <c r="L235" i="11"/>
  <c r="K235" i="11"/>
  <c r="J235" i="11"/>
  <c r="I235" i="11"/>
  <c r="H235" i="11"/>
  <c r="G235" i="11"/>
  <c r="D235" i="11"/>
  <c r="F235" i="11" s="1"/>
  <c r="N234" i="11"/>
  <c r="M234" i="11"/>
  <c r="L234" i="11"/>
  <c r="K234" i="11"/>
  <c r="J234" i="11"/>
  <c r="I234" i="11"/>
  <c r="H234" i="11"/>
  <c r="G234" i="11"/>
  <c r="D234" i="11"/>
  <c r="F234" i="11" s="1"/>
  <c r="N233" i="11"/>
  <c r="M233" i="11"/>
  <c r="L233" i="11"/>
  <c r="K233" i="11"/>
  <c r="J233" i="11"/>
  <c r="I233" i="11"/>
  <c r="H233" i="11"/>
  <c r="G233" i="11"/>
  <c r="D233" i="11"/>
  <c r="F233" i="11" s="1"/>
  <c r="N232" i="11"/>
  <c r="M232" i="11"/>
  <c r="L232" i="11"/>
  <c r="K232" i="11"/>
  <c r="J232" i="11"/>
  <c r="I232" i="11"/>
  <c r="H232" i="11"/>
  <c r="G232" i="11"/>
  <c r="D232" i="11"/>
  <c r="F232" i="11" s="1"/>
  <c r="N231" i="11"/>
  <c r="M231" i="11"/>
  <c r="L231" i="11"/>
  <c r="K231" i="11"/>
  <c r="J231" i="11"/>
  <c r="I231" i="11"/>
  <c r="H231" i="11"/>
  <c r="G231" i="11"/>
  <c r="D231" i="11"/>
  <c r="F231" i="11" s="1"/>
  <c r="N230" i="11"/>
  <c r="M230" i="11"/>
  <c r="L230" i="11"/>
  <c r="K230" i="11"/>
  <c r="J230" i="11"/>
  <c r="I230" i="11"/>
  <c r="H230" i="11"/>
  <c r="G230" i="11"/>
  <c r="D230" i="11"/>
  <c r="F230" i="11" s="1"/>
  <c r="N229" i="11"/>
  <c r="M229" i="11"/>
  <c r="L229" i="11"/>
  <c r="K229" i="11"/>
  <c r="J229" i="11"/>
  <c r="I229" i="11"/>
  <c r="H229" i="11"/>
  <c r="G229" i="11"/>
  <c r="D229" i="11"/>
  <c r="F229" i="11" s="1"/>
  <c r="N228" i="11"/>
  <c r="M228" i="11"/>
  <c r="L228" i="11"/>
  <c r="K228" i="11"/>
  <c r="J228" i="11"/>
  <c r="I228" i="11"/>
  <c r="H228" i="11"/>
  <c r="G228" i="11"/>
  <c r="D228" i="11"/>
  <c r="F228" i="11" s="1"/>
  <c r="N227" i="11"/>
  <c r="M227" i="11"/>
  <c r="L227" i="11"/>
  <c r="K227" i="11"/>
  <c r="J227" i="11"/>
  <c r="I227" i="11"/>
  <c r="H227" i="11"/>
  <c r="G227" i="11"/>
  <c r="D227" i="11"/>
  <c r="F227" i="11" s="1"/>
  <c r="N226" i="11"/>
  <c r="M226" i="11"/>
  <c r="L226" i="11"/>
  <c r="K226" i="11"/>
  <c r="J226" i="11"/>
  <c r="I226" i="11"/>
  <c r="H226" i="11"/>
  <c r="G226" i="11"/>
  <c r="D226" i="11"/>
  <c r="F226" i="11" s="1"/>
  <c r="N225" i="11"/>
  <c r="M225" i="11"/>
  <c r="L225" i="11"/>
  <c r="K225" i="11"/>
  <c r="J225" i="11"/>
  <c r="I225" i="11"/>
  <c r="H225" i="11"/>
  <c r="G225" i="11"/>
  <c r="D225" i="11"/>
  <c r="F225" i="11" s="1"/>
  <c r="N224" i="11"/>
  <c r="M224" i="11"/>
  <c r="L224" i="11"/>
  <c r="K224" i="11"/>
  <c r="J224" i="11"/>
  <c r="I224" i="11"/>
  <c r="H224" i="11"/>
  <c r="G224" i="11"/>
  <c r="D224" i="11"/>
  <c r="N223" i="11"/>
  <c r="M223" i="11"/>
  <c r="L223" i="11"/>
  <c r="K223" i="11"/>
  <c r="J223" i="11"/>
  <c r="I223" i="11"/>
  <c r="H223" i="11"/>
  <c r="G223" i="11"/>
  <c r="D223" i="11"/>
  <c r="F223" i="11" s="1"/>
  <c r="N222" i="11"/>
  <c r="M222" i="11"/>
  <c r="L222" i="11"/>
  <c r="K222" i="11"/>
  <c r="J222" i="11"/>
  <c r="I222" i="11"/>
  <c r="H222" i="11"/>
  <c r="G222" i="11"/>
  <c r="D222" i="11"/>
  <c r="F222" i="11" s="1"/>
  <c r="N221" i="11"/>
  <c r="M221" i="11"/>
  <c r="L221" i="11"/>
  <c r="K221" i="11"/>
  <c r="J221" i="11"/>
  <c r="I221" i="11"/>
  <c r="H221" i="11"/>
  <c r="G221" i="11"/>
  <c r="D221" i="11"/>
  <c r="F221" i="11" s="1"/>
  <c r="N220" i="11"/>
  <c r="M220" i="11"/>
  <c r="L220" i="11"/>
  <c r="K220" i="11"/>
  <c r="J220" i="11"/>
  <c r="I220" i="11"/>
  <c r="H220" i="11"/>
  <c r="G220" i="11"/>
  <c r="D220" i="11"/>
  <c r="F220" i="11" s="1"/>
  <c r="N219" i="11"/>
  <c r="M219" i="11"/>
  <c r="L219" i="11"/>
  <c r="K219" i="11"/>
  <c r="J219" i="11"/>
  <c r="I219" i="11"/>
  <c r="H219" i="11"/>
  <c r="G219" i="11"/>
  <c r="D219" i="11"/>
  <c r="F219" i="11" s="1"/>
  <c r="N218" i="11"/>
  <c r="M218" i="11"/>
  <c r="L218" i="11"/>
  <c r="K218" i="11"/>
  <c r="J218" i="11"/>
  <c r="I218" i="11"/>
  <c r="H218" i="11"/>
  <c r="G218" i="11"/>
  <c r="D218" i="11"/>
  <c r="F218" i="11" s="1"/>
  <c r="N217" i="11"/>
  <c r="M217" i="11"/>
  <c r="L217" i="11"/>
  <c r="K217" i="11"/>
  <c r="J217" i="11"/>
  <c r="I217" i="11"/>
  <c r="H217" i="11"/>
  <c r="G217" i="11"/>
  <c r="D217" i="11"/>
  <c r="F217" i="11" s="1"/>
  <c r="N216" i="11"/>
  <c r="M216" i="11"/>
  <c r="L216" i="11"/>
  <c r="K216" i="11"/>
  <c r="J216" i="11"/>
  <c r="I216" i="11"/>
  <c r="H216" i="11"/>
  <c r="G216" i="11"/>
  <c r="D216" i="11"/>
  <c r="F216" i="11" s="1"/>
  <c r="N215" i="11"/>
  <c r="M215" i="11"/>
  <c r="L215" i="11"/>
  <c r="K215" i="11"/>
  <c r="J215" i="11"/>
  <c r="I215" i="11"/>
  <c r="H215" i="11"/>
  <c r="G215" i="11"/>
  <c r="D215" i="11"/>
  <c r="F215" i="11" s="1"/>
  <c r="N214" i="11"/>
  <c r="M214" i="11"/>
  <c r="L214" i="11"/>
  <c r="K214" i="11"/>
  <c r="J214" i="11"/>
  <c r="I214" i="11"/>
  <c r="H214" i="11"/>
  <c r="G214" i="11"/>
  <c r="D214" i="11"/>
  <c r="F214" i="11" s="1"/>
  <c r="N213" i="11"/>
  <c r="M213" i="11"/>
  <c r="L213" i="11"/>
  <c r="K213" i="11"/>
  <c r="J213" i="11"/>
  <c r="I213" i="11"/>
  <c r="H213" i="11"/>
  <c r="G213" i="11"/>
  <c r="D213" i="11"/>
  <c r="F213" i="11" s="1"/>
  <c r="N212" i="11"/>
  <c r="M212" i="11"/>
  <c r="L212" i="11"/>
  <c r="K212" i="11"/>
  <c r="J212" i="11"/>
  <c r="I212" i="11"/>
  <c r="H212" i="11"/>
  <c r="G212" i="11"/>
  <c r="D212" i="11"/>
  <c r="F212" i="11" s="1"/>
  <c r="N211" i="11"/>
  <c r="M211" i="11"/>
  <c r="L211" i="11"/>
  <c r="K211" i="11"/>
  <c r="J211" i="11"/>
  <c r="I211" i="11"/>
  <c r="H211" i="11"/>
  <c r="G211" i="11"/>
  <c r="D211" i="11"/>
  <c r="F211" i="11" s="1"/>
  <c r="N210" i="11"/>
  <c r="M210" i="11"/>
  <c r="L210" i="11"/>
  <c r="K210" i="11"/>
  <c r="J210" i="11"/>
  <c r="I210" i="11"/>
  <c r="H210" i="11"/>
  <c r="G210" i="11"/>
  <c r="D210" i="11"/>
  <c r="F210" i="11" s="1"/>
  <c r="N209" i="11"/>
  <c r="M209" i="11"/>
  <c r="L209" i="11"/>
  <c r="K209" i="11"/>
  <c r="J209" i="11"/>
  <c r="I209" i="11"/>
  <c r="H209" i="11"/>
  <c r="G209" i="11"/>
  <c r="D209" i="11"/>
  <c r="F209" i="11" s="1"/>
  <c r="N208" i="11"/>
  <c r="M208" i="11"/>
  <c r="L208" i="11"/>
  <c r="K208" i="11"/>
  <c r="J208" i="11"/>
  <c r="I208" i="11"/>
  <c r="H208" i="11"/>
  <c r="G208" i="11"/>
  <c r="D208" i="11"/>
  <c r="F208" i="11" s="1"/>
  <c r="N207" i="11"/>
  <c r="M207" i="11"/>
  <c r="L207" i="11"/>
  <c r="K207" i="11"/>
  <c r="J207" i="11"/>
  <c r="I207" i="11"/>
  <c r="H207" i="11"/>
  <c r="G207" i="11"/>
  <c r="D207" i="11"/>
  <c r="F207" i="11" s="1"/>
  <c r="N206" i="11"/>
  <c r="M206" i="11"/>
  <c r="L206" i="11"/>
  <c r="K206" i="11"/>
  <c r="J206" i="11"/>
  <c r="I206" i="11"/>
  <c r="H206" i="11"/>
  <c r="G206" i="11"/>
  <c r="D206" i="11"/>
  <c r="F206" i="11" s="1"/>
  <c r="N205" i="11"/>
  <c r="M205" i="11"/>
  <c r="L205" i="11"/>
  <c r="K205" i="11"/>
  <c r="J205" i="11"/>
  <c r="I205" i="11"/>
  <c r="H205" i="11"/>
  <c r="G205" i="11"/>
  <c r="D205" i="11"/>
  <c r="F205" i="11" s="1"/>
  <c r="N204" i="11"/>
  <c r="M204" i="11"/>
  <c r="L204" i="11"/>
  <c r="K204" i="11"/>
  <c r="J204" i="11"/>
  <c r="I204" i="11"/>
  <c r="H204" i="11"/>
  <c r="G204" i="11"/>
  <c r="D204" i="11"/>
  <c r="F204" i="11" s="1"/>
  <c r="N203" i="11"/>
  <c r="M203" i="11"/>
  <c r="L203" i="11"/>
  <c r="K203" i="11"/>
  <c r="J203" i="11"/>
  <c r="I203" i="11"/>
  <c r="H203" i="11"/>
  <c r="G203" i="11"/>
  <c r="D203" i="11"/>
  <c r="F203" i="11" s="1"/>
  <c r="N202" i="11"/>
  <c r="M202" i="11"/>
  <c r="L202" i="11"/>
  <c r="K202" i="11"/>
  <c r="J202" i="11"/>
  <c r="I202" i="11"/>
  <c r="H202" i="11"/>
  <c r="G202" i="11"/>
  <c r="D202" i="11"/>
  <c r="F202" i="11" s="1"/>
  <c r="N201" i="11"/>
  <c r="M201" i="11"/>
  <c r="L201" i="11"/>
  <c r="K201" i="11"/>
  <c r="J201" i="11"/>
  <c r="I201" i="11"/>
  <c r="H201" i="11"/>
  <c r="G201" i="11"/>
  <c r="D201" i="11"/>
  <c r="F201" i="11" s="1"/>
  <c r="N200" i="11"/>
  <c r="M200" i="11"/>
  <c r="L200" i="11"/>
  <c r="K200" i="11"/>
  <c r="J200" i="11"/>
  <c r="I200" i="11"/>
  <c r="H200" i="11"/>
  <c r="G200" i="11"/>
  <c r="D200" i="11"/>
  <c r="F200" i="11" s="1"/>
  <c r="N199" i="11"/>
  <c r="M199" i="11"/>
  <c r="L199" i="11"/>
  <c r="K199" i="11"/>
  <c r="J199" i="11"/>
  <c r="I199" i="11"/>
  <c r="H199" i="11"/>
  <c r="G199" i="11"/>
  <c r="D199" i="11"/>
  <c r="F199" i="11" s="1"/>
  <c r="N198" i="11"/>
  <c r="M198" i="11"/>
  <c r="L198" i="11"/>
  <c r="K198" i="11"/>
  <c r="J198" i="11"/>
  <c r="I198" i="11"/>
  <c r="H198" i="11"/>
  <c r="G198" i="11"/>
  <c r="D198" i="11"/>
  <c r="B193" i="11"/>
  <c r="B235" i="11" s="1"/>
  <c r="B277" i="11" s="1"/>
  <c r="B319" i="11" s="1"/>
  <c r="B361" i="11" s="1"/>
  <c r="A193" i="11"/>
  <c r="A235" i="11" s="1"/>
  <c r="A277" i="11" s="1"/>
  <c r="A319" i="11" s="1"/>
  <c r="A361" i="11" s="1"/>
  <c r="B192" i="11"/>
  <c r="B234" i="11" s="1"/>
  <c r="B276" i="11" s="1"/>
  <c r="B318" i="11" s="1"/>
  <c r="B360" i="11" s="1"/>
  <c r="A192" i="11"/>
  <c r="A234" i="11" s="1"/>
  <c r="A276" i="11" s="1"/>
  <c r="A318" i="11" s="1"/>
  <c r="A360" i="11" s="1"/>
  <c r="B191" i="11"/>
  <c r="B233" i="11" s="1"/>
  <c r="B275" i="11" s="1"/>
  <c r="B317" i="11" s="1"/>
  <c r="B359" i="11" s="1"/>
  <c r="A191" i="11"/>
  <c r="A233" i="11" s="1"/>
  <c r="A275" i="11" s="1"/>
  <c r="A317" i="11" s="1"/>
  <c r="A359" i="11" s="1"/>
  <c r="B190" i="11"/>
  <c r="B232" i="11" s="1"/>
  <c r="B274" i="11" s="1"/>
  <c r="B316" i="11" s="1"/>
  <c r="B358" i="11" s="1"/>
  <c r="A190" i="11"/>
  <c r="A232" i="11" s="1"/>
  <c r="A274" i="11" s="1"/>
  <c r="A316" i="11" s="1"/>
  <c r="A358" i="11" s="1"/>
  <c r="B189" i="11"/>
  <c r="B231" i="11" s="1"/>
  <c r="B273" i="11" s="1"/>
  <c r="B315" i="11" s="1"/>
  <c r="B357" i="11" s="1"/>
  <c r="A189" i="11"/>
  <c r="A231" i="11" s="1"/>
  <c r="A273" i="11" s="1"/>
  <c r="A315" i="11" s="1"/>
  <c r="A357" i="11" s="1"/>
  <c r="B188" i="11"/>
  <c r="B230" i="11" s="1"/>
  <c r="B272" i="11" s="1"/>
  <c r="B314" i="11" s="1"/>
  <c r="B356" i="11" s="1"/>
  <c r="A188" i="11"/>
  <c r="A230" i="11" s="1"/>
  <c r="A272" i="11" s="1"/>
  <c r="A314" i="11" s="1"/>
  <c r="A356" i="11" s="1"/>
  <c r="B187" i="11"/>
  <c r="B229" i="11" s="1"/>
  <c r="B271" i="11" s="1"/>
  <c r="B313" i="11" s="1"/>
  <c r="B355" i="11" s="1"/>
  <c r="A187" i="11"/>
  <c r="A229" i="11" s="1"/>
  <c r="A271" i="11" s="1"/>
  <c r="A313" i="11" s="1"/>
  <c r="A355" i="11" s="1"/>
  <c r="B186" i="11"/>
  <c r="B228" i="11" s="1"/>
  <c r="B270" i="11" s="1"/>
  <c r="B312" i="11" s="1"/>
  <c r="B354" i="11" s="1"/>
  <c r="A186" i="11"/>
  <c r="A228" i="11" s="1"/>
  <c r="A270" i="11" s="1"/>
  <c r="A312" i="11" s="1"/>
  <c r="A354" i="11" s="1"/>
  <c r="B185" i="11"/>
  <c r="B227" i="11" s="1"/>
  <c r="B269" i="11" s="1"/>
  <c r="B311" i="11" s="1"/>
  <c r="B353" i="11" s="1"/>
  <c r="A185" i="11"/>
  <c r="A227" i="11" s="1"/>
  <c r="A269" i="11" s="1"/>
  <c r="A311" i="11" s="1"/>
  <c r="A353" i="11" s="1"/>
  <c r="B184" i="11"/>
  <c r="B226" i="11" s="1"/>
  <c r="B268" i="11" s="1"/>
  <c r="B310" i="11" s="1"/>
  <c r="B352" i="11" s="1"/>
  <c r="A184" i="11"/>
  <c r="A226" i="11" s="1"/>
  <c r="A268" i="11" s="1"/>
  <c r="A310" i="11" s="1"/>
  <c r="A352" i="11" s="1"/>
  <c r="B183" i="11"/>
  <c r="B225" i="11" s="1"/>
  <c r="B267" i="11" s="1"/>
  <c r="B309" i="11" s="1"/>
  <c r="B351" i="11" s="1"/>
  <c r="A183" i="11"/>
  <c r="A225" i="11" s="1"/>
  <c r="A267" i="11" s="1"/>
  <c r="A309" i="11" s="1"/>
  <c r="A351" i="11" s="1"/>
  <c r="B182" i="11"/>
  <c r="B224" i="11" s="1"/>
  <c r="B266" i="11" s="1"/>
  <c r="B308" i="11" s="1"/>
  <c r="B350" i="11" s="1"/>
  <c r="A182" i="11"/>
  <c r="A224" i="11" s="1"/>
  <c r="A266" i="11" s="1"/>
  <c r="A308" i="11" s="1"/>
  <c r="A350" i="11" s="1"/>
  <c r="B181" i="11"/>
  <c r="B223" i="11" s="1"/>
  <c r="B265" i="11" s="1"/>
  <c r="B307" i="11" s="1"/>
  <c r="B349" i="11" s="1"/>
  <c r="A181" i="11"/>
  <c r="A223" i="11" s="1"/>
  <c r="A265" i="11" s="1"/>
  <c r="A307" i="11" s="1"/>
  <c r="A349" i="11" s="1"/>
  <c r="B180" i="11"/>
  <c r="B222" i="11" s="1"/>
  <c r="B264" i="11" s="1"/>
  <c r="B306" i="11" s="1"/>
  <c r="B348" i="11" s="1"/>
  <c r="A180" i="11"/>
  <c r="A222" i="11" s="1"/>
  <c r="A264" i="11" s="1"/>
  <c r="A306" i="11" s="1"/>
  <c r="A348" i="11" s="1"/>
  <c r="B179" i="11"/>
  <c r="B221" i="11" s="1"/>
  <c r="B263" i="11" s="1"/>
  <c r="B305" i="11" s="1"/>
  <c r="B347" i="11" s="1"/>
  <c r="A179" i="11"/>
  <c r="A221" i="11" s="1"/>
  <c r="A263" i="11" s="1"/>
  <c r="A305" i="11" s="1"/>
  <c r="A347" i="11" s="1"/>
  <c r="B178" i="11"/>
  <c r="B220" i="11" s="1"/>
  <c r="B262" i="11" s="1"/>
  <c r="B304" i="11" s="1"/>
  <c r="B346" i="11" s="1"/>
  <c r="A178" i="11"/>
  <c r="A220" i="11" s="1"/>
  <c r="A262" i="11" s="1"/>
  <c r="A304" i="11" s="1"/>
  <c r="A346" i="11" s="1"/>
  <c r="B177" i="11"/>
  <c r="B219" i="11" s="1"/>
  <c r="B261" i="11" s="1"/>
  <c r="B303" i="11" s="1"/>
  <c r="B345" i="11" s="1"/>
  <c r="A177" i="11"/>
  <c r="A219" i="11" s="1"/>
  <c r="A261" i="11" s="1"/>
  <c r="A303" i="11" s="1"/>
  <c r="A345" i="11" s="1"/>
  <c r="B176" i="11"/>
  <c r="B218" i="11" s="1"/>
  <c r="B260" i="11" s="1"/>
  <c r="B302" i="11" s="1"/>
  <c r="B344" i="11" s="1"/>
  <c r="A176" i="11"/>
  <c r="A218" i="11" s="1"/>
  <c r="A260" i="11" s="1"/>
  <c r="A302" i="11" s="1"/>
  <c r="A344" i="11" s="1"/>
  <c r="B175" i="11"/>
  <c r="B217" i="11" s="1"/>
  <c r="B259" i="11" s="1"/>
  <c r="B301" i="11" s="1"/>
  <c r="B343" i="11" s="1"/>
  <c r="A175" i="11"/>
  <c r="A217" i="11" s="1"/>
  <c r="A259" i="11" s="1"/>
  <c r="A301" i="11" s="1"/>
  <c r="A343" i="11" s="1"/>
  <c r="B174" i="11"/>
  <c r="B216" i="11" s="1"/>
  <c r="B258" i="11" s="1"/>
  <c r="B300" i="11" s="1"/>
  <c r="B342" i="11" s="1"/>
  <c r="A174" i="11"/>
  <c r="A216" i="11" s="1"/>
  <c r="A258" i="11" s="1"/>
  <c r="A300" i="11" s="1"/>
  <c r="A342" i="11" s="1"/>
  <c r="B173" i="11"/>
  <c r="B215" i="11" s="1"/>
  <c r="B257" i="11" s="1"/>
  <c r="B299" i="11" s="1"/>
  <c r="B341" i="11" s="1"/>
  <c r="A173" i="11"/>
  <c r="A215" i="11" s="1"/>
  <c r="A257" i="11" s="1"/>
  <c r="A299" i="11" s="1"/>
  <c r="A341" i="11" s="1"/>
  <c r="B172" i="11"/>
  <c r="B214" i="11" s="1"/>
  <c r="B256" i="11" s="1"/>
  <c r="B298" i="11" s="1"/>
  <c r="B340" i="11" s="1"/>
  <c r="A172" i="11"/>
  <c r="A214" i="11" s="1"/>
  <c r="A256" i="11" s="1"/>
  <c r="A298" i="11" s="1"/>
  <c r="A340" i="11" s="1"/>
  <c r="B171" i="11"/>
  <c r="B213" i="11" s="1"/>
  <c r="B255" i="11" s="1"/>
  <c r="B297" i="11" s="1"/>
  <c r="B339" i="11" s="1"/>
  <c r="A171" i="11"/>
  <c r="A213" i="11" s="1"/>
  <c r="A255" i="11" s="1"/>
  <c r="A297" i="11" s="1"/>
  <c r="A339" i="11" s="1"/>
  <c r="B170" i="11"/>
  <c r="B212" i="11" s="1"/>
  <c r="B254" i="11" s="1"/>
  <c r="B296" i="11" s="1"/>
  <c r="B338" i="11" s="1"/>
  <c r="A170" i="11"/>
  <c r="A212" i="11" s="1"/>
  <c r="A254" i="11" s="1"/>
  <c r="A296" i="11" s="1"/>
  <c r="A338" i="11" s="1"/>
  <c r="B169" i="11"/>
  <c r="B211" i="11" s="1"/>
  <c r="B253" i="11" s="1"/>
  <c r="B295" i="11" s="1"/>
  <c r="B337" i="11" s="1"/>
  <c r="A169" i="11"/>
  <c r="A211" i="11" s="1"/>
  <c r="A253" i="11" s="1"/>
  <c r="A295" i="11" s="1"/>
  <c r="A337" i="11" s="1"/>
  <c r="B168" i="11"/>
  <c r="B210" i="11" s="1"/>
  <c r="B252" i="11" s="1"/>
  <c r="B294" i="11" s="1"/>
  <c r="B336" i="11" s="1"/>
  <c r="A168" i="11"/>
  <c r="A210" i="11" s="1"/>
  <c r="A252" i="11" s="1"/>
  <c r="A294" i="11" s="1"/>
  <c r="A336" i="11" s="1"/>
  <c r="B167" i="11"/>
  <c r="B209" i="11" s="1"/>
  <c r="B251" i="11" s="1"/>
  <c r="B293" i="11" s="1"/>
  <c r="B335" i="11" s="1"/>
  <c r="A167" i="11"/>
  <c r="A209" i="11" s="1"/>
  <c r="A251" i="11" s="1"/>
  <c r="A293" i="11" s="1"/>
  <c r="A335" i="11" s="1"/>
  <c r="B166" i="11"/>
  <c r="B208" i="11" s="1"/>
  <c r="B250" i="11" s="1"/>
  <c r="B292" i="11" s="1"/>
  <c r="B334" i="11" s="1"/>
  <c r="A166" i="11"/>
  <c r="A208" i="11" s="1"/>
  <c r="A250" i="11" s="1"/>
  <c r="A292" i="11" s="1"/>
  <c r="A334" i="11" s="1"/>
  <c r="B165" i="11"/>
  <c r="B207" i="11" s="1"/>
  <c r="B249" i="11" s="1"/>
  <c r="B291" i="11" s="1"/>
  <c r="B333" i="11" s="1"/>
  <c r="A165" i="11"/>
  <c r="A207" i="11" s="1"/>
  <c r="A249" i="11" s="1"/>
  <c r="A291" i="11" s="1"/>
  <c r="A333" i="11" s="1"/>
  <c r="B164" i="11"/>
  <c r="B206" i="11" s="1"/>
  <c r="B248" i="11" s="1"/>
  <c r="B290" i="11" s="1"/>
  <c r="B332" i="11" s="1"/>
  <c r="A164" i="11"/>
  <c r="A206" i="11" s="1"/>
  <c r="A248" i="11" s="1"/>
  <c r="A290" i="11" s="1"/>
  <c r="A332" i="11" s="1"/>
  <c r="B163" i="11"/>
  <c r="B205" i="11" s="1"/>
  <c r="B247" i="11" s="1"/>
  <c r="B289" i="11" s="1"/>
  <c r="B331" i="11" s="1"/>
  <c r="A163" i="11"/>
  <c r="A205" i="11" s="1"/>
  <c r="A247" i="11" s="1"/>
  <c r="A289" i="11" s="1"/>
  <c r="A331" i="11" s="1"/>
  <c r="B162" i="11"/>
  <c r="B204" i="11" s="1"/>
  <c r="B246" i="11" s="1"/>
  <c r="B288" i="11" s="1"/>
  <c r="B330" i="11" s="1"/>
  <c r="A162" i="11"/>
  <c r="A204" i="11" s="1"/>
  <c r="A246" i="11" s="1"/>
  <c r="A288" i="11" s="1"/>
  <c r="A330" i="11" s="1"/>
  <c r="B161" i="11"/>
  <c r="B203" i="11" s="1"/>
  <c r="B245" i="11" s="1"/>
  <c r="B287" i="11" s="1"/>
  <c r="B329" i="11" s="1"/>
  <c r="A161" i="11"/>
  <c r="A203" i="11" s="1"/>
  <c r="A245" i="11" s="1"/>
  <c r="A287" i="11" s="1"/>
  <c r="A329" i="11" s="1"/>
  <c r="B160" i="11"/>
  <c r="B202" i="11" s="1"/>
  <c r="B244" i="11" s="1"/>
  <c r="B286" i="11" s="1"/>
  <c r="B328" i="11" s="1"/>
  <c r="A160" i="11"/>
  <c r="A202" i="11" s="1"/>
  <c r="A244" i="11" s="1"/>
  <c r="A286" i="11" s="1"/>
  <c r="A328" i="11" s="1"/>
  <c r="B159" i="11"/>
  <c r="B201" i="11" s="1"/>
  <c r="B243" i="11" s="1"/>
  <c r="B285" i="11" s="1"/>
  <c r="B327" i="11" s="1"/>
  <c r="A159" i="11"/>
  <c r="A201" i="11" s="1"/>
  <c r="A243" i="11" s="1"/>
  <c r="A285" i="11" s="1"/>
  <c r="A327" i="11" s="1"/>
  <c r="B158" i="11"/>
  <c r="B200" i="11" s="1"/>
  <c r="B242" i="11" s="1"/>
  <c r="B284" i="11" s="1"/>
  <c r="B326" i="11" s="1"/>
  <c r="A158" i="11"/>
  <c r="A200" i="11" s="1"/>
  <c r="A242" i="11" s="1"/>
  <c r="A284" i="11" s="1"/>
  <c r="A326" i="11" s="1"/>
  <c r="B157" i="11"/>
  <c r="B199" i="11" s="1"/>
  <c r="B241" i="11" s="1"/>
  <c r="B283" i="11" s="1"/>
  <c r="B325" i="11" s="1"/>
  <c r="A157" i="11"/>
  <c r="A199" i="11" s="1"/>
  <c r="A241" i="11" s="1"/>
  <c r="A283" i="11" s="1"/>
  <c r="A325" i="11" s="1"/>
  <c r="B156" i="11"/>
  <c r="B198" i="11" s="1"/>
  <c r="B240" i="11" s="1"/>
  <c r="B282" i="11" s="1"/>
  <c r="B324" i="11" s="1"/>
  <c r="A156" i="11"/>
  <c r="A198" i="11" s="1"/>
  <c r="A240" i="11" s="1"/>
  <c r="A282" i="11" s="1"/>
  <c r="A324" i="11" s="1"/>
  <c r="O150" i="11"/>
  <c r="B127" i="11"/>
  <c r="A127" i="11"/>
  <c r="B126" i="11"/>
  <c r="A126" i="11"/>
  <c r="B125" i="11"/>
  <c r="A125" i="11"/>
  <c r="B124" i="11"/>
  <c r="A124" i="11"/>
  <c r="B123" i="11"/>
  <c r="A123" i="11"/>
  <c r="B122" i="11"/>
  <c r="A122" i="11"/>
  <c r="B121" i="11"/>
  <c r="A121" i="11"/>
  <c r="B120" i="11"/>
  <c r="A120" i="11"/>
  <c r="B119" i="11"/>
  <c r="A119" i="11"/>
  <c r="B118" i="11"/>
  <c r="A118" i="11"/>
  <c r="B117" i="11"/>
  <c r="A117" i="11"/>
  <c r="B116" i="11"/>
  <c r="A116" i="11"/>
  <c r="B115" i="11"/>
  <c r="A115" i="11"/>
  <c r="B114" i="11"/>
  <c r="A114" i="11"/>
  <c r="B113" i="11"/>
  <c r="A113" i="11"/>
  <c r="B112" i="11"/>
  <c r="A112" i="11"/>
  <c r="B111" i="11"/>
  <c r="A111" i="11"/>
  <c r="B110" i="11"/>
  <c r="A110" i="11"/>
  <c r="B109" i="11"/>
  <c r="A109" i="11"/>
  <c r="B108" i="11"/>
  <c r="A108" i="11"/>
  <c r="B107" i="11"/>
  <c r="A107" i="11"/>
  <c r="B106" i="11"/>
  <c r="A106" i="11"/>
  <c r="B105" i="11"/>
  <c r="A105" i="11"/>
  <c r="B104" i="11"/>
  <c r="A104" i="11"/>
  <c r="B103" i="11"/>
  <c r="A103" i="11"/>
  <c r="B102" i="11"/>
  <c r="A102" i="11"/>
  <c r="B101" i="11"/>
  <c r="A101" i="11"/>
  <c r="B100" i="11"/>
  <c r="A100" i="11"/>
  <c r="B99" i="11"/>
  <c r="A99" i="11"/>
  <c r="B98" i="11"/>
  <c r="A98" i="11"/>
  <c r="B97" i="11"/>
  <c r="A97" i="11"/>
  <c r="B96" i="11"/>
  <c r="A96" i="11"/>
  <c r="B95" i="11"/>
  <c r="A95" i="11"/>
  <c r="B94" i="11"/>
  <c r="A94" i="11"/>
  <c r="B93" i="11"/>
  <c r="A93" i="11"/>
  <c r="B92" i="11"/>
  <c r="A92" i="11"/>
  <c r="B91" i="11"/>
  <c r="A91" i="11"/>
  <c r="B90" i="11"/>
  <c r="A90" i="11"/>
  <c r="B85" i="11"/>
  <c r="A85" i="11"/>
  <c r="B84" i="11"/>
  <c r="A84" i="11"/>
  <c r="B83" i="11"/>
  <c r="A83" i="11"/>
  <c r="B82" i="11"/>
  <c r="A82" i="11"/>
  <c r="B81" i="11"/>
  <c r="A81" i="11"/>
  <c r="B80" i="11"/>
  <c r="A80" i="11"/>
  <c r="B79" i="11"/>
  <c r="A79" i="11"/>
  <c r="B78" i="11"/>
  <c r="A78" i="11"/>
  <c r="B77" i="11"/>
  <c r="A77" i="11"/>
  <c r="B76" i="11"/>
  <c r="A76" i="11"/>
  <c r="B75" i="11"/>
  <c r="A75" i="11"/>
  <c r="B74" i="11"/>
  <c r="A74" i="11"/>
  <c r="B73" i="11"/>
  <c r="A73" i="11"/>
  <c r="B72" i="11"/>
  <c r="A72" i="11"/>
  <c r="B71" i="11"/>
  <c r="A71" i="11"/>
  <c r="B70" i="11"/>
  <c r="A70" i="11"/>
  <c r="B69" i="11"/>
  <c r="A69" i="11"/>
  <c r="B68" i="11"/>
  <c r="A68" i="11"/>
  <c r="B67" i="11"/>
  <c r="A67" i="11"/>
  <c r="B66" i="11"/>
  <c r="A66" i="11"/>
  <c r="B65" i="11"/>
  <c r="A65" i="11"/>
  <c r="B64" i="11"/>
  <c r="A64" i="11"/>
  <c r="B63" i="11"/>
  <c r="A63" i="11"/>
  <c r="B62" i="11"/>
  <c r="A62" i="11"/>
  <c r="B61" i="11"/>
  <c r="A61" i="11"/>
  <c r="B60" i="11"/>
  <c r="A60" i="11"/>
  <c r="B59" i="11"/>
  <c r="A59" i="11"/>
  <c r="B58" i="11"/>
  <c r="A58" i="11"/>
  <c r="B57" i="11"/>
  <c r="A57" i="11"/>
  <c r="B56" i="11"/>
  <c r="A56" i="11"/>
  <c r="B55" i="11"/>
  <c r="A55" i="11"/>
  <c r="B54" i="11"/>
  <c r="A54" i="11"/>
  <c r="B53" i="11"/>
  <c r="A53" i="11"/>
  <c r="B52" i="11"/>
  <c r="A52" i="11"/>
  <c r="B51" i="11"/>
  <c r="A51" i="11"/>
  <c r="B50" i="11"/>
  <c r="A50" i="11"/>
  <c r="B49" i="11"/>
  <c r="A49" i="11"/>
  <c r="B48" i="11"/>
  <c r="A48" i="11"/>
  <c r="E94" i="13" l="1"/>
  <c r="E52" i="13" s="1"/>
  <c r="E122" i="13"/>
  <c r="E80" i="13" s="1"/>
  <c r="E105" i="13"/>
  <c r="E63" i="13" s="1"/>
  <c r="K104" i="13"/>
  <c r="K62" i="13" s="1"/>
  <c r="K124" i="13"/>
  <c r="K82" i="13" s="1"/>
  <c r="G126" i="13"/>
  <c r="G84" i="13" s="1"/>
  <c r="G121" i="13"/>
  <c r="G79" i="13" s="1"/>
  <c r="G115" i="13"/>
  <c r="G73" i="13" s="1"/>
  <c r="G103" i="13"/>
  <c r="G61" i="13" s="1"/>
  <c r="G114" i="13"/>
  <c r="G72" i="13" s="1"/>
  <c r="G110" i="13"/>
  <c r="G68" i="13" s="1"/>
  <c r="G100" i="13"/>
  <c r="G58" i="13" s="1"/>
  <c r="G96" i="13"/>
  <c r="G54" i="13" s="1"/>
  <c r="G127" i="13"/>
  <c r="G85" i="13" s="1"/>
  <c r="G117" i="13"/>
  <c r="G75" i="13" s="1"/>
  <c r="G113" i="13"/>
  <c r="G71" i="13" s="1"/>
  <c r="G95" i="13"/>
  <c r="G53" i="13" s="1"/>
  <c r="G112" i="13"/>
  <c r="G70" i="13" s="1"/>
  <c r="G106" i="13"/>
  <c r="G64" i="13" s="1"/>
  <c r="G98" i="13"/>
  <c r="G56" i="13" s="1"/>
  <c r="D99" i="13"/>
  <c r="D91" i="13"/>
  <c r="K123" i="13"/>
  <c r="K81" i="13" s="1"/>
  <c r="K107" i="13"/>
  <c r="K65" i="13" s="1"/>
  <c r="K101" i="13"/>
  <c r="K59" i="13" s="1"/>
  <c r="K118" i="13"/>
  <c r="K76" i="13" s="1"/>
  <c r="K108" i="13"/>
  <c r="K66" i="13" s="1"/>
  <c r="K102" i="13"/>
  <c r="K60" i="13" s="1"/>
  <c r="E123" i="13"/>
  <c r="E81" i="13" s="1"/>
  <c r="E107" i="13"/>
  <c r="E65" i="13" s="1"/>
  <c r="E101" i="13"/>
  <c r="E59" i="13" s="1"/>
  <c r="E118" i="13"/>
  <c r="E76" i="13" s="1"/>
  <c r="E108" i="13"/>
  <c r="E66" i="13" s="1"/>
  <c r="E102" i="13"/>
  <c r="E60" i="13" s="1"/>
  <c r="M123" i="13"/>
  <c r="M81" i="13" s="1"/>
  <c r="M107" i="13"/>
  <c r="M65" i="13" s="1"/>
  <c r="M101" i="13"/>
  <c r="M59" i="13" s="1"/>
  <c r="M118" i="13"/>
  <c r="M76" i="13" s="1"/>
  <c r="M108" i="13"/>
  <c r="M66" i="13" s="1"/>
  <c r="M102" i="13"/>
  <c r="M60" i="13" s="1"/>
  <c r="G123" i="13"/>
  <c r="G81" i="13" s="1"/>
  <c r="G107" i="13"/>
  <c r="G65" i="13" s="1"/>
  <c r="G101" i="13"/>
  <c r="G59" i="13" s="1"/>
  <c r="G118" i="13"/>
  <c r="G76" i="13" s="1"/>
  <c r="G108" i="13"/>
  <c r="G66" i="13" s="1"/>
  <c r="G102" i="13"/>
  <c r="G60" i="13" s="1"/>
  <c r="J124" i="13"/>
  <c r="J82" i="13" s="1"/>
  <c r="J122" i="13"/>
  <c r="J80" i="13" s="1"/>
  <c r="J104" i="13"/>
  <c r="J62" i="13" s="1"/>
  <c r="J94" i="13"/>
  <c r="J52" i="13" s="1"/>
  <c r="J119" i="13"/>
  <c r="J77" i="13" s="1"/>
  <c r="J109" i="13"/>
  <c r="J67" i="13" s="1"/>
  <c r="J105" i="13"/>
  <c r="J63" i="13" s="1"/>
  <c r="F124" i="13"/>
  <c r="F82" i="13" s="1"/>
  <c r="F122" i="13"/>
  <c r="F80" i="13" s="1"/>
  <c r="F104" i="13"/>
  <c r="F62" i="13" s="1"/>
  <c r="F94" i="13"/>
  <c r="F52" i="13" s="1"/>
  <c r="F119" i="13"/>
  <c r="F77" i="13" s="1"/>
  <c r="F109" i="13"/>
  <c r="F67" i="13" s="1"/>
  <c r="F105" i="13"/>
  <c r="F63" i="13" s="1"/>
  <c r="K126" i="13"/>
  <c r="K84" i="13" s="1"/>
  <c r="K127" i="13"/>
  <c r="K85" i="13" s="1"/>
  <c r="K121" i="13"/>
  <c r="K79" i="13" s="1"/>
  <c r="K117" i="13"/>
  <c r="K75" i="13" s="1"/>
  <c r="K115" i="13"/>
  <c r="K73" i="13" s="1"/>
  <c r="K113" i="13"/>
  <c r="K71" i="13" s="1"/>
  <c r="K103" i="13"/>
  <c r="K61" i="13" s="1"/>
  <c r="K95" i="13"/>
  <c r="K53" i="13" s="1"/>
  <c r="K114" i="13"/>
  <c r="K72" i="13" s="1"/>
  <c r="K112" i="13"/>
  <c r="K70" i="13" s="1"/>
  <c r="K110" i="13"/>
  <c r="K68" i="13" s="1"/>
  <c r="K106" i="13"/>
  <c r="K64" i="13" s="1"/>
  <c r="K100" i="13"/>
  <c r="K58" i="13" s="1"/>
  <c r="K98" i="13"/>
  <c r="K56" i="13" s="1"/>
  <c r="K96" i="13"/>
  <c r="K54" i="13" s="1"/>
  <c r="E126" i="13"/>
  <c r="E84" i="13" s="1"/>
  <c r="E127" i="13"/>
  <c r="E85" i="13" s="1"/>
  <c r="E121" i="13"/>
  <c r="E79" i="13" s="1"/>
  <c r="E117" i="13"/>
  <c r="E75" i="13" s="1"/>
  <c r="E115" i="13"/>
  <c r="E73" i="13" s="1"/>
  <c r="E113" i="13"/>
  <c r="E71" i="13" s="1"/>
  <c r="E103" i="13"/>
  <c r="E61" i="13" s="1"/>
  <c r="E95" i="13"/>
  <c r="E53" i="13" s="1"/>
  <c r="E114" i="13"/>
  <c r="E72" i="13" s="1"/>
  <c r="E112" i="13"/>
  <c r="E70" i="13" s="1"/>
  <c r="E110" i="13"/>
  <c r="E68" i="13" s="1"/>
  <c r="E106" i="13"/>
  <c r="E64" i="13" s="1"/>
  <c r="E100" i="13"/>
  <c r="E58" i="13" s="1"/>
  <c r="E98" i="13"/>
  <c r="E56" i="13" s="1"/>
  <c r="E96" i="13"/>
  <c r="E54" i="13" s="1"/>
  <c r="M126" i="13"/>
  <c r="M84" i="13" s="1"/>
  <c r="M127" i="13"/>
  <c r="M85" i="13" s="1"/>
  <c r="M121" i="13"/>
  <c r="M79" i="13" s="1"/>
  <c r="M117" i="13"/>
  <c r="M75" i="13" s="1"/>
  <c r="M115" i="13"/>
  <c r="M73" i="13" s="1"/>
  <c r="M113" i="13"/>
  <c r="M71" i="13" s="1"/>
  <c r="M103" i="13"/>
  <c r="M61" i="13" s="1"/>
  <c r="M95" i="13"/>
  <c r="M53" i="13" s="1"/>
  <c r="M114" i="13"/>
  <c r="M72" i="13" s="1"/>
  <c r="M112" i="13"/>
  <c r="M70" i="13" s="1"/>
  <c r="M110" i="13"/>
  <c r="M68" i="13" s="1"/>
  <c r="M106" i="13"/>
  <c r="M64" i="13" s="1"/>
  <c r="M100" i="13"/>
  <c r="M58" i="13" s="1"/>
  <c r="M98" i="13"/>
  <c r="M56" i="13" s="1"/>
  <c r="M96" i="13"/>
  <c r="M54" i="13" s="1"/>
  <c r="D127" i="13"/>
  <c r="D126" i="13"/>
  <c r="D114" i="13"/>
  <c r="D112" i="13"/>
  <c r="D110" i="13"/>
  <c r="D106" i="13"/>
  <c r="D100" i="13"/>
  <c r="D98" i="13"/>
  <c r="D96" i="13"/>
  <c r="D121" i="13"/>
  <c r="D117" i="13"/>
  <c r="D115" i="13"/>
  <c r="D113" i="13"/>
  <c r="D103" i="13"/>
  <c r="D95" i="13"/>
  <c r="L118" i="13"/>
  <c r="L76" i="13" s="1"/>
  <c r="L108" i="13"/>
  <c r="L66" i="13" s="1"/>
  <c r="L102" i="13"/>
  <c r="L60" i="13" s="1"/>
  <c r="L123" i="13"/>
  <c r="L81" i="13" s="1"/>
  <c r="L107" i="13"/>
  <c r="L65" i="13" s="1"/>
  <c r="L101" i="13"/>
  <c r="L59" i="13" s="1"/>
  <c r="M119" i="13"/>
  <c r="M77" i="13" s="1"/>
  <c r="M109" i="13"/>
  <c r="M67" i="13" s="1"/>
  <c r="M105" i="13"/>
  <c r="M63" i="13" s="1"/>
  <c r="M124" i="13"/>
  <c r="M82" i="13" s="1"/>
  <c r="M122" i="13"/>
  <c r="M80" i="13" s="1"/>
  <c r="M104" i="13"/>
  <c r="M62" i="13" s="1"/>
  <c r="M94" i="13"/>
  <c r="M52" i="13" s="1"/>
  <c r="J125" i="13"/>
  <c r="J83" i="13" s="1"/>
  <c r="J120" i="13"/>
  <c r="J78" i="13" s="1"/>
  <c r="J116" i="13"/>
  <c r="J74" i="13" s="1"/>
  <c r="J92" i="13"/>
  <c r="J50" i="13" s="1"/>
  <c r="J90" i="13"/>
  <c r="J48" i="13" s="1"/>
  <c r="J111" i="13"/>
  <c r="J69" i="13" s="1"/>
  <c r="J97" i="13"/>
  <c r="J55" i="13" s="1"/>
  <c r="J93" i="13"/>
  <c r="J51" i="13" s="1"/>
  <c r="D118" i="13"/>
  <c r="D108" i="13"/>
  <c r="D102" i="13"/>
  <c r="D123" i="13"/>
  <c r="D107" i="13"/>
  <c r="D101" i="13"/>
  <c r="J127" i="13"/>
  <c r="J85" i="13" s="1"/>
  <c r="J126" i="13"/>
  <c r="J84" i="13" s="1"/>
  <c r="J114" i="13"/>
  <c r="J72" i="13" s="1"/>
  <c r="J112" i="13"/>
  <c r="J70" i="13" s="1"/>
  <c r="J110" i="13"/>
  <c r="J68" i="13" s="1"/>
  <c r="J106" i="13"/>
  <c r="J64" i="13" s="1"/>
  <c r="J100" i="13"/>
  <c r="J58" i="13" s="1"/>
  <c r="J98" i="13"/>
  <c r="J56" i="13" s="1"/>
  <c r="J96" i="13"/>
  <c r="J54" i="13" s="1"/>
  <c r="J121" i="13"/>
  <c r="J79" i="13" s="1"/>
  <c r="J117" i="13"/>
  <c r="J75" i="13" s="1"/>
  <c r="J115" i="13"/>
  <c r="J73" i="13" s="1"/>
  <c r="J113" i="13"/>
  <c r="J71" i="13" s="1"/>
  <c r="J103" i="13"/>
  <c r="J61" i="13" s="1"/>
  <c r="J95" i="13"/>
  <c r="J53" i="13" s="1"/>
  <c r="K125" i="13"/>
  <c r="K83" i="13" s="1"/>
  <c r="K111" i="13"/>
  <c r="K69" i="13" s="1"/>
  <c r="K97" i="13"/>
  <c r="K55" i="13" s="1"/>
  <c r="K93" i="13"/>
  <c r="K51" i="13" s="1"/>
  <c r="K120" i="13"/>
  <c r="K78" i="13" s="1"/>
  <c r="K116" i="13"/>
  <c r="K74" i="13" s="1"/>
  <c r="K92" i="13"/>
  <c r="K50" i="13" s="1"/>
  <c r="K90" i="13"/>
  <c r="K48" i="13" s="1"/>
  <c r="L124" i="13"/>
  <c r="L82" i="13" s="1"/>
  <c r="L122" i="13"/>
  <c r="L80" i="13" s="1"/>
  <c r="L104" i="13"/>
  <c r="L62" i="13" s="1"/>
  <c r="L94" i="13"/>
  <c r="L52" i="13" s="1"/>
  <c r="L119" i="13"/>
  <c r="L77" i="13" s="1"/>
  <c r="L109" i="13"/>
  <c r="L67" i="13" s="1"/>
  <c r="L105" i="13"/>
  <c r="L63" i="13" s="1"/>
  <c r="H143" i="13"/>
  <c r="H131" i="13" s="1"/>
  <c r="F143" i="13"/>
  <c r="F131" i="13" s="1"/>
  <c r="L143" i="13"/>
  <c r="L131" i="13" s="1"/>
  <c r="M143" i="13"/>
  <c r="M131" i="13" s="1"/>
  <c r="G143" i="13"/>
  <c r="G131" i="13" s="1"/>
  <c r="E143" i="13"/>
  <c r="E131" i="13" s="1"/>
  <c r="J143" i="13"/>
  <c r="J131" i="13" s="1"/>
  <c r="K143" i="13"/>
  <c r="K131" i="13" s="1"/>
  <c r="M125" i="13"/>
  <c r="M83" i="13" s="1"/>
  <c r="M111" i="13"/>
  <c r="M69" i="13" s="1"/>
  <c r="M97" i="13"/>
  <c r="M55" i="13" s="1"/>
  <c r="M93" i="13"/>
  <c r="M51" i="13" s="1"/>
  <c r="M120" i="13"/>
  <c r="M78" i="13" s="1"/>
  <c r="M116" i="13"/>
  <c r="M74" i="13" s="1"/>
  <c r="M92" i="13"/>
  <c r="M50" i="13" s="1"/>
  <c r="M90" i="13"/>
  <c r="M48" i="13" s="1"/>
  <c r="G125" i="13"/>
  <c r="G83" i="13" s="1"/>
  <c r="G111" i="13"/>
  <c r="G69" i="13" s="1"/>
  <c r="G97" i="13"/>
  <c r="G55" i="13" s="1"/>
  <c r="G93" i="13"/>
  <c r="G51" i="13" s="1"/>
  <c r="G120" i="13"/>
  <c r="G78" i="13" s="1"/>
  <c r="G116" i="13"/>
  <c r="G74" i="13" s="1"/>
  <c r="G92" i="13"/>
  <c r="G50" i="13" s="1"/>
  <c r="G90" i="13"/>
  <c r="G48" i="13" s="1"/>
  <c r="D125" i="13"/>
  <c r="D120" i="13"/>
  <c r="D116" i="13"/>
  <c r="D92" i="13"/>
  <c r="D90" i="13"/>
  <c r="D111" i="13"/>
  <c r="D97" i="13"/>
  <c r="D93" i="13"/>
  <c r="D124" i="13"/>
  <c r="D122" i="13"/>
  <c r="D104" i="13"/>
  <c r="D94" i="13"/>
  <c r="D119" i="13"/>
  <c r="D109" i="13"/>
  <c r="D105" i="13"/>
  <c r="E125" i="13"/>
  <c r="E83" i="13" s="1"/>
  <c r="E111" i="13"/>
  <c r="E69" i="13" s="1"/>
  <c r="E97" i="13"/>
  <c r="E55" i="13" s="1"/>
  <c r="E93" i="13"/>
  <c r="E51" i="13" s="1"/>
  <c r="E120" i="13"/>
  <c r="E78" i="13" s="1"/>
  <c r="E116" i="13"/>
  <c r="E74" i="13" s="1"/>
  <c r="E92" i="13"/>
  <c r="E50" i="13" s="1"/>
  <c r="E90" i="13"/>
  <c r="E48" i="13" s="1"/>
  <c r="I133" i="13"/>
  <c r="H124" i="13"/>
  <c r="H82" i="13" s="1"/>
  <c r="H122" i="13"/>
  <c r="H80" i="13" s="1"/>
  <c r="H104" i="13"/>
  <c r="H62" i="13" s="1"/>
  <c r="H94" i="13"/>
  <c r="H52" i="13" s="1"/>
  <c r="H119" i="13"/>
  <c r="H77" i="13" s="1"/>
  <c r="H109" i="13"/>
  <c r="H67" i="13" s="1"/>
  <c r="H105" i="13"/>
  <c r="H63" i="13" s="1"/>
  <c r="L127" i="13"/>
  <c r="L85" i="13" s="1"/>
  <c r="L126" i="13"/>
  <c r="L84" i="13" s="1"/>
  <c r="L114" i="13"/>
  <c r="L72" i="13" s="1"/>
  <c r="L112" i="13"/>
  <c r="L70" i="13" s="1"/>
  <c r="L110" i="13"/>
  <c r="L68" i="13" s="1"/>
  <c r="L106" i="13"/>
  <c r="L64" i="13" s="1"/>
  <c r="L100" i="13"/>
  <c r="L58" i="13" s="1"/>
  <c r="L98" i="13"/>
  <c r="L56" i="13" s="1"/>
  <c r="L96" i="13"/>
  <c r="L54" i="13" s="1"/>
  <c r="L121" i="13"/>
  <c r="L79" i="13" s="1"/>
  <c r="L117" i="13"/>
  <c r="L75" i="13" s="1"/>
  <c r="L115" i="13"/>
  <c r="L73" i="13" s="1"/>
  <c r="L113" i="13"/>
  <c r="L71" i="13" s="1"/>
  <c r="L103" i="13"/>
  <c r="L61" i="13" s="1"/>
  <c r="L95" i="13"/>
  <c r="L53" i="13" s="1"/>
  <c r="C132" i="13"/>
  <c r="I125" i="13"/>
  <c r="I83" i="13" s="1"/>
  <c r="I111" i="13"/>
  <c r="I69" i="13" s="1"/>
  <c r="I97" i="13"/>
  <c r="I55" i="13" s="1"/>
  <c r="I93" i="13"/>
  <c r="I51" i="13" s="1"/>
  <c r="I120" i="13"/>
  <c r="I78" i="13" s="1"/>
  <c r="I116" i="13"/>
  <c r="I74" i="13" s="1"/>
  <c r="I92" i="13"/>
  <c r="I50" i="13" s="1"/>
  <c r="I90" i="13"/>
  <c r="I48" i="13" s="1"/>
  <c r="C134" i="13"/>
  <c r="I123" i="13"/>
  <c r="I81" i="13" s="1"/>
  <c r="I107" i="13"/>
  <c r="I65" i="13" s="1"/>
  <c r="I101" i="13"/>
  <c r="I59" i="13" s="1"/>
  <c r="I118" i="13"/>
  <c r="I76" i="13" s="1"/>
  <c r="I108" i="13"/>
  <c r="I66" i="13" s="1"/>
  <c r="I102" i="13"/>
  <c r="I60" i="13" s="1"/>
  <c r="F127" i="13"/>
  <c r="F85" i="13" s="1"/>
  <c r="F126" i="13"/>
  <c r="F84" i="13" s="1"/>
  <c r="F114" i="13"/>
  <c r="F72" i="13" s="1"/>
  <c r="F112" i="13"/>
  <c r="F70" i="13" s="1"/>
  <c r="F110" i="13"/>
  <c r="F68" i="13" s="1"/>
  <c r="F106" i="13"/>
  <c r="F64" i="13" s="1"/>
  <c r="F100" i="13"/>
  <c r="F58" i="13" s="1"/>
  <c r="F98" i="13"/>
  <c r="F56" i="13" s="1"/>
  <c r="F96" i="13"/>
  <c r="F54" i="13" s="1"/>
  <c r="F121" i="13"/>
  <c r="F79" i="13" s="1"/>
  <c r="F117" i="13"/>
  <c r="F75" i="13" s="1"/>
  <c r="F115" i="13"/>
  <c r="F73" i="13" s="1"/>
  <c r="F113" i="13"/>
  <c r="F71" i="13" s="1"/>
  <c r="F103" i="13"/>
  <c r="F61" i="13" s="1"/>
  <c r="F95" i="13"/>
  <c r="F53" i="13" s="1"/>
  <c r="L125" i="13"/>
  <c r="L83" i="13" s="1"/>
  <c r="L120" i="13"/>
  <c r="L78" i="13" s="1"/>
  <c r="L116" i="13"/>
  <c r="L74" i="13" s="1"/>
  <c r="L92" i="13"/>
  <c r="L50" i="13" s="1"/>
  <c r="L90" i="13"/>
  <c r="L48" i="13" s="1"/>
  <c r="L111" i="13"/>
  <c r="L69" i="13" s="1"/>
  <c r="L97" i="13"/>
  <c r="L55" i="13" s="1"/>
  <c r="L93" i="13"/>
  <c r="L51" i="13" s="1"/>
  <c r="I135" i="13"/>
  <c r="H127" i="13"/>
  <c r="H85" i="13" s="1"/>
  <c r="H126" i="13"/>
  <c r="H84" i="13" s="1"/>
  <c r="H114" i="13"/>
  <c r="H72" i="13" s="1"/>
  <c r="H112" i="13"/>
  <c r="H70" i="13" s="1"/>
  <c r="H110" i="13"/>
  <c r="H68" i="13" s="1"/>
  <c r="H106" i="13"/>
  <c r="H64" i="13" s="1"/>
  <c r="H100" i="13"/>
  <c r="H58" i="13" s="1"/>
  <c r="H98" i="13"/>
  <c r="H56" i="13" s="1"/>
  <c r="H96" i="13"/>
  <c r="H54" i="13" s="1"/>
  <c r="H121" i="13"/>
  <c r="H79" i="13" s="1"/>
  <c r="H117" i="13"/>
  <c r="H75" i="13" s="1"/>
  <c r="H115" i="13"/>
  <c r="H73" i="13" s="1"/>
  <c r="H113" i="13"/>
  <c r="H71" i="13" s="1"/>
  <c r="H103" i="13"/>
  <c r="H61" i="13" s="1"/>
  <c r="H95" i="13"/>
  <c r="H53" i="13" s="1"/>
  <c r="G119" i="13"/>
  <c r="G77" i="13" s="1"/>
  <c r="G109" i="13"/>
  <c r="G67" i="13" s="1"/>
  <c r="G105" i="13"/>
  <c r="G63" i="13" s="1"/>
  <c r="G124" i="13"/>
  <c r="G82" i="13" s="1"/>
  <c r="G122" i="13"/>
  <c r="G80" i="13" s="1"/>
  <c r="G104" i="13"/>
  <c r="G62" i="13" s="1"/>
  <c r="G94" i="13"/>
  <c r="G52" i="13" s="1"/>
  <c r="J118" i="13"/>
  <c r="J76" i="13" s="1"/>
  <c r="J108" i="13"/>
  <c r="J66" i="13" s="1"/>
  <c r="J102" i="13"/>
  <c r="J60" i="13" s="1"/>
  <c r="J123" i="13"/>
  <c r="J81" i="13" s="1"/>
  <c r="J107" i="13"/>
  <c r="J65" i="13" s="1"/>
  <c r="J101" i="13"/>
  <c r="J59" i="13" s="1"/>
  <c r="F118" i="13"/>
  <c r="F76" i="13" s="1"/>
  <c r="F108" i="13"/>
  <c r="F66" i="13" s="1"/>
  <c r="F102" i="13"/>
  <c r="F60" i="13" s="1"/>
  <c r="F123" i="13"/>
  <c r="F81" i="13" s="1"/>
  <c r="F107" i="13"/>
  <c r="F65" i="13" s="1"/>
  <c r="F101" i="13"/>
  <c r="F59" i="13" s="1"/>
  <c r="F224" i="11"/>
  <c r="G236" i="11"/>
  <c r="I236" i="11"/>
  <c r="K236" i="11"/>
  <c r="M236" i="11"/>
  <c r="D236" i="11"/>
  <c r="H236" i="11"/>
  <c r="J236" i="11"/>
  <c r="L236" i="11"/>
  <c r="N236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H42" i="6"/>
  <c r="H44" i="6"/>
  <c r="F198" i="11"/>
  <c r="C135" i="13" l="1"/>
  <c r="I126" i="13"/>
  <c r="I84" i="13" s="1"/>
  <c r="I127" i="13"/>
  <c r="I85" i="13" s="1"/>
  <c r="I121" i="13"/>
  <c r="I79" i="13" s="1"/>
  <c r="I117" i="13"/>
  <c r="I75" i="13" s="1"/>
  <c r="I115" i="13"/>
  <c r="I73" i="13" s="1"/>
  <c r="I113" i="13"/>
  <c r="I71" i="13" s="1"/>
  <c r="I103" i="13"/>
  <c r="I61" i="13" s="1"/>
  <c r="I95" i="13"/>
  <c r="I53" i="13" s="1"/>
  <c r="I114" i="13"/>
  <c r="I72" i="13" s="1"/>
  <c r="I112" i="13"/>
  <c r="I70" i="13" s="1"/>
  <c r="I110" i="13"/>
  <c r="I68" i="13" s="1"/>
  <c r="I106" i="13"/>
  <c r="I64" i="13" s="1"/>
  <c r="I100" i="13"/>
  <c r="I58" i="13" s="1"/>
  <c r="I98" i="13"/>
  <c r="I56" i="13" s="1"/>
  <c r="I96" i="13"/>
  <c r="I54" i="13" s="1"/>
  <c r="C133" i="13"/>
  <c r="I119" i="13"/>
  <c r="I77" i="13" s="1"/>
  <c r="I109" i="13"/>
  <c r="I67" i="13" s="1"/>
  <c r="I105" i="13"/>
  <c r="I63" i="13" s="1"/>
  <c r="I124" i="13"/>
  <c r="I82" i="13" s="1"/>
  <c r="I122" i="13"/>
  <c r="I80" i="13" s="1"/>
  <c r="I104" i="13"/>
  <c r="I62" i="13" s="1"/>
  <c r="I94" i="13"/>
  <c r="I52" i="13" s="1"/>
  <c r="C109" i="13"/>
  <c r="D67" i="13"/>
  <c r="C94" i="13"/>
  <c r="D52" i="13"/>
  <c r="C122" i="13"/>
  <c r="D80" i="13"/>
  <c r="C93" i="13"/>
  <c r="D51" i="13"/>
  <c r="C111" i="13"/>
  <c r="D69" i="13"/>
  <c r="C92" i="13"/>
  <c r="D50" i="13"/>
  <c r="C120" i="13"/>
  <c r="D78" i="13"/>
  <c r="K99" i="13"/>
  <c r="K57" i="13" s="1"/>
  <c r="K91" i="13"/>
  <c r="K49" i="13" s="1"/>
  <c r="E99" i="13"/>
  <c r="E57" i="13" s="1"/>
  <c r="E91" i="13"/>
  <c r="E49" i="13" s="1"/>
  <c r="M99" i="13"/>
  <c r="M57" i="13" s="1"/>
  <c r="M91" i="13"/>
  <c r="M49" i="13" s="1"/>
  <c r="F99" i="13"/>
  <c r="F57" i="13" s="1"/>
  <c r="F91" i="13"/>
  <c r="F49" i="13" s="1"/>
  <c r="C101" i="13"/>
  <c r="D59" i="13"/>
  <c r="C123" i="13"/>
  <c r="D81" i="13"/>
  <c r="C108" i="13"/>
  <c r="D66" i="13"/>
  <c r="C103" i="13"/>
  <c r="D61" i="13"/>
  <c r="C115" i="13"/>
  <c r="D73" i="13"/>
  <c r="C121" i="13"/>
  <c r="D79" i="13"/>
  <c r="C98" i="13"/>
  <c r="D56" i="13"/>
  <c r="C106" i="13"/>
  <c r="D64" i="13"/>
  <c r="C112" i="13"/>
  <c r="D70" i="13"/>
  <c r="C126" i="13"/>
  <c r="D84" i="13"/>
  <c r="D49" i="13"/>
  <c r="C105" i="13"/>
  <c r="D63" i="13"/>
  <c r="C119" i="13"/>
  <c r="D77" i="13"/>
  <c r="C104" i="13"/>
  <c r="D62" i="13"/>
  <c r="C124" i="13"/>
  <c r="D82" i="13"/>
  <c r="C97" i="13"/>
  <c r="D55" i="13"/>
  <c r="C90" i="13"/>
  <c r="D48" i="13"/>
  <c r="C116" i="13"/>
  <c r="D74" i="13"/>
  <c r="C125" i="13"/>
  <c r="D83" i="13"/>
  <c r="J99" i="13"/>
  <c r="J57" i="13" s="1"/>
  <c r="J91" i="13"/>
  <c r="J49" i="13" s="1"/>
  <c r="G99" i="13"/>
  <c r="G57" i="13" s="1"/>
  <c r="G91" i="13"/>
  <c r="G49" i="13" s="1"/>
  <c r="L99" i="13"/>
  <c r="L57" i="13" s="1"/>
  <c r="L91" i="13"/>
  <c r="L49" i="13" s="1"/>
  <c r="I131" i="13"/>
  <c r="H99" i="13"/>
  <c r="H57" i="13" s="1"/>
  <c r="H91" i="13"/>
  <c r="H49" i="13" s="1"/>
  <c r="K86" i="13"/>
  <c r="C107" i="13"/>
  <c r="D65" i="13"/>
  <c r="C102" i="13"/>
  <c r="D60" i="13"/>
  <c r="C118" i="13"/>
  <c r="D76" i="13"/>
  <c r="J86" i="13"/>
  <c r="C95" i="13"/>
  <c r="D53" i="13"/>
  <c r="C113" i="13"/>
  <c r="D71" i="13"/>
  <c r="C117" i="13"/>
  <c r="D75" i="13"/>
  <c r="C96" i="13"/>
  <c r="D54" i="13"/>
  <c r="C100" i="13"/>
  <c r="D58" i="13"/>
  <c r="C110" i="13"/>
  <c r="D68" i="13"/>
  <c r="C114" i="13"/>
  <c r="D72" i="13"/>
  <c r="C127" i="13"/>
  <c r="D85" i="13"/>
  <c r="D57" i="13"/>
  <c r="E236" i="11"/>
  <c r="F236" i="11"/>
  <c r="M362" i="8"/>
  <c r="L362" i="8"/>
  <c r="K362" i="8"/>
  <c r="J362" i="8"/>
  <c r="I362" i="8"/>
  <c r="H362" i="8"/>
  <c r="G362" i="8"/>
  <c r="D362" i="8"/>
  <c r="F350" i="8"/>
  <c r="F362" i="8" s="1"/>
  <c r="M320" i="8"/>
  <c r="L320" i="8"/>
  <c r="K320" i="8"/>
  <c r="J320" i="8"/>
  <c r="I320" i="8"/>
  <c r="H320" i="8"/>
  <c r="G320" i="8"/>
  <c r="F320" i="8"/>
  <c r="D320" i="8"/>
  <c r="M278" i="8"/>
  <c r="L278" i="8"/>
  <c r="K278" i="8"/>
  <c r="J278" i="8"/>
  <c r="I278" i="8"/>
  <c r="H278" i="8"/>
  <c r="G278" i="8"/>
  <c r="F278" i="8"/>
  <c r="D278" i="8"/>
  <c r="E267" i="8"/>
  <c r="E256" i="8"/>
  <c r="E253" i="8"/>
  <c r="M235" i="8"/>
  <c r="L235" i="8"/>
  <c r="K235" i="8"/>
  <c r="J235" i="8"/>
  <c r="I235" i="8"/>
  <c r="H235" i="8"/>
  <c r="G235" i="8"/>
  <c r="D235" i="8"/>
  <c r="E235" i="8" s="1"/>
  <c r="M234" i="8"/>
  <c r="L234" i="8"/>
  <c r="K234" i="8"/>
  <c r="J234" i="8"/>
  <c r="I234" i="8"/>
  <c r="H234" i="8"/>
  <c r="G234" i="8"/>
  <c r="D234" i="8"/>
  <c r="E234" i="8" s="1"/>
  <c r="M233" i="8"/>
  <c r="L233" i="8"/>
  <c r="K233" i="8"/>
  <c r="J233" i="8"/>
  <c r="I233" i="8"/>
  <c r="H233" i="8"/>
  <c r="G233" i="8"/>
  <c r="D233" i="8"/>
  <c r="E233" i="8" s="1"/>
  <c r="M232" i="8"/>
  <c r="L232" i="8"/>
  <c r="K232" i="8"/>
  <c r="J232" i="8"/>
  <c r="I232" i="8"/>
  <c r="H232" i="8"/>
  <c r="G232" i="8"/>
  <c r="D232" i="8"/>
  <c r="E232" i="8" s="1"/>
  <c r="M231" i="8"/>
  <c r="L231" i="8"/>
  <c r="K231" i="8"/>
  <c r="J231" i="8"/>
  <c r="I231" i="8"/>
  <c r="H231" i="8"/>
  <c r="G231" i="8"/>
  <c r="E231" i="8"/>
  <c r="D231" i="8"/>
  <c r="F231" i="8" s="1"/>
  <c r="M230" i="8"/>
  <c r="L230" i="8"/>
  <c r="K230" i="8"/>
  <c r="J230" i="8"/>
  <c r="I230" i="8"/>
  <c r="H230" i="8"/>
  <c r="G230" i="8"/>
  <c r="E230" i="8"/>
  <c r="D230" i="8"/>
  <c r="F230" i="8" s="1"/>
  <c r="M229" i="8"/>
  <c r="L229" i="8"/>
  <c r="K229" i="8"/>
  <c r="J229" i="8"/>
  <c r="I229" i="8"/>
  <c r="H229" i="8"/>
  <c r="G229" i="8"/>
  <c r="E229" i="8"/>
  <c r="D229" i="8"/>
  <c r="F229" i="8" s="1"/>
  <c r="M228" i="8"/>
  <c r="L228" i="8"/>
  <c r="K228" i="8"/>
  <c r="J228" i="8"/>
  <c r="I228" i="8"/>
  <c r="H228" i="8"/>
  <c r="G228" i="8"/>
  <c r="E228" i="8"/>
  <c r="D228" i="8"/>
  <c r="F228" i="8" s="1"/>
  <c r="M227" i="8"/>
  <c r="L227" i="8"/>
  <c r="K227" i="8"/>
  <c r="J227" i="8"/>
  <c r="I227" i="8"/>
  <c r="H227" i="8"/>
  <c r="G227" i="8"/>
  <c r="E227" i="8"/>
  <c r="D227" i="8"/>
  <c r="F227" i="8" s="1"/>
  <c r="M226" i="8"/>
  <c r="L226" i="8"/>
  <c r="K226" i="8"/>
  <c r="J226" i="8"/>
  <c r="I226" i="8"/>
  <c r="H226" i="8"/>
  <c r="G226" i="8"/>
  <c r="E226" i="8"/>
  <c r="D226" i="8"/>
  <c r="F226" i="8" s="1"/>
  <c r="M225" i="8"/>
  <c r="L225" i="8"/>
  <c r="K225" i="8"/>
  <c r="J225" i="8"/>
  <c r="I225" i="8"/>
  <c r="H225" i="8"/>
  <c r="G225" i="8"/>
  <c r="E225" i="8"/>
  <c r="D225" i="8"/>
  <c r="F225" i="8" s="1"/>
  <c r="M224" i="8"/>
  <c r="L224" i="8"/>
  <c r="K224" i="8"/>
  <c r="J224" i="8"/>
  <c r="I224" i="8"/>
  <c r="H224" i="8"/>
  <c r="G224" i="8"/>
  <c r="E224" i="8"/>
  <c r="D224" i="8"/>
  <c r="F224" i="8" s="1"/>
  <c r="M223" i="8"/>
  <c r="L223" i="8"/>
  <c r="K223" i="8"/>
  <c r="J223" i="8"/>
  <c r="I223" i="8"/>
  <c r="H223" i="8"/>
  <c r="G223" i="8"/>
  <c r="E223" i="8"/>
  <c r="D223" i="8"/>
  <c r="F223" i="8" s="1"/>
  <c r="M222" i="8"/>
  <c r="L222" i="8"/>
  <c r="K222" i="8"/>
  <c r="J222" i="8"/>
  <c r="I222" i="8"/>
  <c r="H222" i="8"/>
  <c r="G222" i="8"/>
  <c r="E222" i="8"/>
  <c r="D222" i="8"/>
  <c r="F222" i="8" s="1"/>
  <c r="M221" i="8"/>
  <c r="L221" i="8"/>
  <c r="K221" i="8"/>
  <c r="J221" i="8"/>
  <c r="I221" i="8"/>
  <c r="H221" i="8"/>
  <c r="G221" i="8"/>
  <c r="E221" i="8"/>
  <c r="D221" i="8"/>
  <c r="F221" i="8" s="1"/>
  <c r="M220" i="8"/>
  <c r="L220" i="8"/>
  <c r="K220" i="8"/>
  <c r="J220" i="8"/>
  <c r="I220" i="8"/>
  <c r="H220" i="8"/>
  <c r="G220" i="8"/>
  <c r="E220" i="8"/>
  <c r="D220" i="8"/>
  <c r="F220" i="8" s="1"/>
  <c r="M219" i="8"/>
  <c r="L219" i="8"/>
  <c r="K219" i="8"/>
  <c r="J219" i="8"/>
  <c r="I219" i="8"/>
  <c r="H219" i="8"/>
  <c r="G219" i="8"/>
  <c r="E219" i="8"/>
  <c r="D219" i="8"/>
  <c r="F219" i="8" s="1"/>
  <c r="M218" i="8"/>
  <c r="L218" i="8"/>
  <c r="K218" i="8"/>
  <c r="J218" i="8"/>
  <c r="I218" i="8"/>
  <c r="H218" i="8"/>
  <c r="G218" i="8"/>
  <c r="E218" i="8"/>
  <c r="D218" i="8"/>
  <c r="F218" i="8" s="1"/>
  <c r="M217" i="8"/>
  <c r="L217" i="8"/>
  <c r="K217" i="8"/>
  <c r="J217" i="8"/>
  <c r="I217" i="8"/>
  <c r="H217" i="8"/>
  <c r="G217" i="8"/>
  <c r="E217" i="8"/>
  <c r="D217" i="8"/>
  <c r="F217" i="8" s="1"/>
  <c r="M216" i="8"/>
  <c r="L216" i="8"/>
  <c r="K216" i="8"/>
  <c r="J216" i="8"/>
  <c r="I216" i="8"/>
  <c r="H216" i="8"/>
  <c r="G216" i="8"/>
  <c r="E216" i="8"/>
  <c r="D216" i="8"/>
  <c r="F216" i="8" s="1"/>
  <c r="M215" i="8"/>
  <c r="L215" i="8"/>
  <c r="K215" i="8"/>
  <c r="J215" i="8"/>
  <c r="I215" i="8"/>
  <c r="H215" i="8"/>
  <c r="G215" i="8"/>
  <c r="E215" i="8"/>
  <c r="D215" i="8"/>
  <c r="F215" i="8" s="1"/>
  <c r="M214" i="8"/>
  <c r="L214" i="8"/>
  <c r="K214" i="8"/>
  <c r="J214" i="8"/>
  <c r="I214" i="8"/>
  <c r="H214" i="8"/>
  <c r="G214" i="8"/>
  <c r="E214" i="8"/>
  <c r="D214" i="8"/>
  <c r="F214" i="8" s="1"/>
  <c r="M213" i="8"/>
  <c r="L213" i="8"/>
  <c r="K213" i="8"/>
  <c r="J213" i="8"/>
  <c r="I213" i="8"/>
  <c r="H213" i="8"/>
  <c r="G213" i="8"/>
  <c r="E213" i="8"/>
  <c r="D213" i="8"/>
  <c r="F213" i="8" s="1"/>
  <c r="M212" i="8"/>
  <c r="L212" i="8"/>
  <c r="K212" i="8"/>
  <c r="J212" i="8"/>
  <c r="I212" i="8"/>
  <c r="H212" i="8"/>
  <c r="G212" i="8"/>
  <c r="E212" i="8"/>
  <c r="D212" i="8"/>
  <c r="F212" i="8" s="1"/>
  <c r="M211" i="8"/>
  <c r="L211" i="8"/>
  <c r="K211" i="8"/>
  <c r="J211" i="8"/>
  <c r="I211" i="8"/>
  <c r="H211" i="8"/>
  <c r="G211" i="8"/>
  <c r="E211" i="8"/>
  <c r="D211" i="8"/>
  <c r="F211" i="8" s="1"/>
  <c r="M210" i="8"/>
  <c r="L210" i="8"/>
  <c r="K210" i="8"/>
  <c r="J210" i="8"/>
  <c r="I210" i="8"/>
  <c r="H210" i="8"/>
  <c r="G210" i="8"/>
  <c r="E210" i="8"/>
  <c r="D210" i="8"/>
  <c r="F210" i="8" s="1"/>
  <c r="M209" i="8"/>
  <c r="L209" i="8"/>
  <c r="K209" i="8"/>
  <c r="J209" i="8"/>
  <c r="I209" i="8"/>
  <c r="H209" i="8"/>
  <c r="G209" i="8"/>
  <c r="E209" i="8"/>
  <c r="D209" i="8"/>
  <c r="F209" i="8" s="1"/>
  <c r="M208" i="8"/>
  <c r="L208" i="8"/>
  <c r="K208" i="8"/>
  <c r="J208" i="8"/>
  <c r="I208" i="8"/>
  <c r="H208" i="8"/>
  <c r="G208" i="8"/>
  <c r="E208" i="8"/>
  <c r="D208" i="8"/>
  <c r="F208" i="8" s="1"/>
  <c r="M207" i="8"/>
  <c r="L207" i="8"/>
  <c r="K207" i="8"/>
  <c r="J207" i="8"/>
  <c r="I207" i="8"/>
  <c r="H207" i="8"/>
  <c r="G207" i="8"/>
  <c r="E207" i="8"/>
  <c r="D207" i="8"/>
  <c r="F207" i="8" s="1"/>
  <c r="M206" i="8"/>
  <c r="L206" i="8"/>
  <c r="K206" i="8"/>
  <c r="J206" i="8"/>
  <c r="I206" i="8"/>
  <c r="H206" i="8"/>
  <c r="G206" i="8"/>
  <c r="E206" i="8"/>
  <c r="D206" i="8"/>
  <c r="F206" i="8" s="1"/>
  <c r="M205" i="8"/>
  <c r="L205" i="8"/>
  <c r="K205" i="8"/>
  <c r="J205" i="8"/>
  <c r="I205" i="8"/>
  <c r="H205" i="8"/>
  <c r="G205" i="8"/>
  <c r="E205" i="8"/>
  <c r="D205" i="8"/>
  <c r="F205" i="8" s="1"/>
  <c r="M204" i="8"/>
  <c r="L204" i="8"/>
  <c r="K204" i="8"/>
  <c r="J204" i="8"/>
  <c r="I204" i="8"/>
  <c r="H204" i="8"/>
  <c r="G204" i="8"/>
  <c r="E204" i="8"/>
  <c r="D204" i="8"/>
  <c r="F204" i="8" s="1"/>
  <c r="M203" i="8"/>
  <c r="L203" i="8"/>
  <c r="K203" i="8"/>
  <c r="J203" i="8"/>
  <c r="I203" i="8"/>
  <c r="H203" i="8"/>
  <c r="G203" i="8"/>
  <c r="E203" i="8"/>
  <c r="D203" i="8"/>
  <c r="F203" i="8" s="1"/>
  <c r="M202" i="8"/>
  <c r="L202" i="8"/>
  <c r="K202" i="8"/>
  <c r="J202" i="8"/>
  <c r="I202" i="8"/>
  <c r="H202" i="8"/>
  <c r="G202" i="8"/>
  <c r="E202" i="8"/>
  <c r="D202" i="8"/>
  <c r="F202" i="8" s="1"/>
  <c r="M201" i="8"/>
  <c r="L201" i="8"/>
  <c r="K201" i="8"/>
  <c r="J201" i="8"/>
  <c r="I201" i="8"/>
  <c r="H201" i="8"/>
  <c r="G201" i="8"/>
  <c r="E201" i="8"/>
  <c r="D201" i="8"/>
  <c r="F201" i="8" s="1"/>
  <c r="M200" i="8"/>
  <c r="L200" i="8"/>
  <c r="K200" i="8"/>
  <c r="J200" i="8"/>
  <c r="I200" i="8"/>
  <c r="H200" i="8"/>
  <c r="G200" i="8"/>
  <c r="E200" i="8"/>
  <c r="D200" i="8"/>
  <c r="F200" i="8" s="1"/>
  <c r="M199" i="8"/>
  <c r="L199" i="8"/>
  <c r="K199" i="8"/>
  <c r="J199" i="8"/>
  <c r="I199" i="8"/>
  <c r="H199" i="8"/>
  <c r="G199" i="8"/>
  <c r="E199" i="8"/>
  <c r="D199" i="8"/>
  <c r="F199" i="8" s="1"/>
  <c r="M198" i="8"/>
  <c r="M236" i="8" s="1"/>
  <c r="L198" i="8"/>
  <c r="L236" i="8" s="1"/>
  <c r="K198" i="8"/>
  <c r="K236" i="8" s="1"/>
  <c r="J198" i="8"/>
  <c r="J236" i="8" s="1"/>
  <c r="I198" i="8"/>
  <c r="I236" i="8" s="1"/>
  <c r="H198" i="8"/>
  <c r="H236" i="8" s="1"/>
  <c r="G198" i="8"/>
  <c r="G236" i="8" s="1"/>
  <c r="E198" i="8"/>
  <c r="E236" i="8" s="1"/>
  <c r="D198" i="8"/>
  <c r="D236" i="8" s="1"/>
  <c r="B193" i="8"/>
  <c r="B235" i="8" s="1"/>
  <c r="B277" i="8" s="1"/>
  <c r="B319" i="8" s="1"/>
  <c r="B361" i="8" s="1"/>
  <c r="A193" i="8"/>
  <c r="A235" i="8" s="1"/>
  <c r="A277" i="8" s="1"/>
  <c r="A319" i="8" s="1"/>
  <c r="A361" i="8" s="1"/>
  <c r="B192" i="8"/>
  <c r="B234" i="8" s="1"/>
  <c r="B276" i="8" s="1"/>
  <c r="B318" i="8" s="1"/>
  <c r="B360" i="8" s="1"/>
  <c r="A192" i="8"/>
  <c r="A234" i="8" s="1"/>
  <c r="A276" i="8" s="1"/>
  <c r="A318" i="8" s="1"/>
  <c r="A360" i="8" s="1"/>
  <c r="B191" i="8"/>
  <c r="B233" i="8" s="1"/>
  <c r="B275" i="8" s="1"/>
  <c r="B317" i="8" s="1"/>
  <c r="B359" i="8" s="1"/>
  <c r="A191" i="8"/>
  <c r="A233" i="8" s="1"/>
  <c r="A275" i="8" s="1"/>
  <c r="A317" i="8" s="1"/>
  <c r="A359" i="8" s="1"/>
  <c r="B190" i="8"/>
  <c r="B232" i="8" s="1"/>
  <c r="B274" i="8" s="1"/>
  <c r="B316" i="8" s="1"/>
  <c r="B358" i="8" s="1"/>
  <c r="A190" i="8"/>
  <c r="A232" i="8" s="1"/>
  <c r="A274" i="8" s="1"/>
  <c r="A316" i="8" s="1"/>
  <c r="A358" i="8" s="1"/>
  <c r="B189" i="8"/>
  <c r="B231" i="8" s="1"/>
  <c r="B273" i="8" s="1"/>
  <c r="B315" i="8" s="1"/>
  <c r="B357" i="8" s="1"/>
  <c r="A189" i="8"/>
  <c r="A231" i="8" s="1"/>
  <c r="A273" i="8" s="1"/>
  <c r="A315" i="8" s="1"/>
  <c r="A357" i="8" s="1"/>
  <c r="B188" i="8"/>
  <c r="B230" i="8" s="1"/>
  <c r="B272" i="8" s="1"/>
  <c r="B314" i="8" s="1"/>
  <c r="B356" i="8" s="1"/>
  <c r="A188" i="8"/>
  <c r="A230" i="8" s="1"/>
  <c r="A272" i="8" s="1"/>
  <c r="A314" i="8" s="1"/>
  <c r="A356" i="8" s="1"/>
  <c r="B187" i="8"/>
  <c r="B229" i="8" s="1"/>
  <c r="B271" i="8" s="1"/>
  <c r="B313" i="8" s="1"/>
  <c r="B355" i="8" s="1"/>
  <c r="A187" i="8"/>
  <c r="A229" i="8" s="1"/>
  <c r="A271" i="8" s="1"/>
  <c r="A313" i="8" s="1"/>
  <c r="A355" i="8" s="1"/>
  <c r="B186" i="8"/>
  <c r="B228" i="8" s="1"/>
  <c r="B270" i="8" s="1"/>
  <c r="B312" i="8" s="1"/>
  <c r="B354" i="8" s="1"/>
  <c r="A186" i="8"/>
  <c r="A228" i="8" s="1"/>
  <c r="A270" i="8" s="1"/>
  <c r="A312" i="8" s="1"/>
  <c r="A354" i="8" s="1"/>
  <c r="B185" i="8"/>
  <c r="B227" i="8" s="1"/>
  <c r="B269" i="8" s="1"/>
  <c r="B311" i="8" s="1"/>
  <c r="B353" i="8" s="1"/>
  <c r="A185" i="8"/>
  <c r="A227" i="8" s="1"/>
  <c r="A269" i="8" s="1"/>
  <c r="A311" i="8" s="1"/>
  <c r="A353" i="8" s="1"/>
  <c r="B184" i="8"/>
  <c r="B226" i="8" s="1"/>
  <c r="B268" i="8" s="1"/>
  <c r="B310" i="8" s="1"/>
  <c r="B352" i="8" s="1"/>
  <c r="A184" i="8"/>
  <c r="A226" i="8" s="1"/>
  <c r="A268" i="8" s="1"/>
  <c r="A310" i="8" s="1"/>
  <c r="A352" i="8" s="1"/>
  <c r="B183" i="8"/>
  <c r="B225" i="8" s="1"/>
  <c r="B267" i="8" s="1"/>
  <c r="B309" i="8" s="1"/>
  <c r="B351" i="8" s="1"/>
  <c r="A183" i="8"/>
  <c r="A225" i="8" s="1"/>
  <c r="A267" i="8" s="1"/>
  <c r="A309" i="8" s="1"/>
  <c r="A351" i="8" s="1"/>
  <c r="B182" i="8"/>
  <c r="B224" i="8" s="1"/>
  <c r="B266" i="8" s="1"/>
  <c r="B308" i="8" s="1"/>
  <c r="B350" i="8" s="1"/>
  <c r="A182" i="8"/>
  <c r="A224" i="8" s="1"/>
  <c r="A266" i="8" s="1"/>
  <c r="A308" i="8" s="1"/>
  <c r="A350" i="8" s="1"/>
  <c r="B181" i="8"/>
  <c r="B223" i="8" s="1"/>
  <c r="B265" i="8" s="1"/>
  <c r="B307" i="8" s="1"/>
  <c r="B349" i="8" s="1"/>
  <c r="A181" i="8"/>
  <c r="A223" i="8" s="1"/>
  <c r="A265" i="8" s="1"/>
  <c r="A307" i="8" s="1"/>
  <c r="A349" i="8" s="1"/>
  <c r="B180" i="8"/>
  <c r="B222" i="8" s="1"/>
  <c r="B264" i="8" s="1"/>
  <c r="B306" i="8" s="1"/>
  <c r="B348" i="8" s="1"/>
  <c r="A180" i="8"/>
  <c r="A222" i="8" s="1"/>
  <c r="A264" i="8" s="1"/>
  <c r="A306" i="8" s="1"/>
  <c r="A348" i="8" s="1"/>
  <c r="B179" i="8"/>
  <c r="B221" i="8" s="1"/>
  <c r="B263" i="8" s="1"/>
  <c r="B305" i="8" s="1"/>
  <c r="B347" i="8" s="1"/>
  <c r="A179" i="8"/>
  <c r="A221" i="8" s="1"/>
  <c r="A263" i="8" s="1"/>
  <c r="A305" i="8" s="1"/>
  <c r="A347" i="8" s="1"/>
  <c r="B178" i="8"/>
  <c r="B220" i="8" s="1"/>
  <c r="B262" i="8" s="1"/>
  <c r="B304" i="8" s="1"/>
  <c r="B346" i="8" s="1"/>
  <c r="A178" i="8"/>
  <c r="A220" i="8" s="1"/>
  <c r="A262" i="8" s="1"/>
  <c r="A304" i="8" s="1"/>
  <c r="A346" i="8" s="1"/>
  <c r="B177" i="8"/>
  <c r="B219" i="8" s="1"/>
  <c r="B261" i="8" s="1"/>
  <c r="B303" i="8" s="1"/>
  <c r="B345" i="8" s="1"/>
  <c r="A177" i="8"/>
  <c r="A219" i="8" s="1"/>
  <c r="A261" i="8" s="1"/>
  <c r="A303" i="8" s="1"/>
  <c r="A345" i="8" s="1"/>
  <c r="B176" i="8"/>
  <c r="B218" i="8" s="1"/>
  <c r="B260" i="8" s="1"/>
  <c r="B302" i="8" s="1"/>
  <c r="B344" i="8" s="1"/>
  <c r="A176" i="8"/>
  <c r="A218" i="8" s="1"/>
  <c r="A260" i="8" s="1"/>
  <c r="A302" i="8" s="1"/>
  <c r="A344" i="8" s="1"/>
  <c r="B175" i="8"/>
  <c r="B217" i="8" s="1"/>
  <c r="B259" i="8" s="1"/>
  <c r="B301" i="8" s="1"/>
  <c r="B343" i="8" s="1"/>
  <c r="A175" i="8"/>
  <c r="A217" i="8" s="1"/>
  <c r="A259" i="8" s="1"/>
  <c r="A301" i="8" s="1"/>
  <c r="A343" i="8" s="1"/>
  <c r="B174" i="8"/>
  <c r="B216" i="8" s="1"/>
  <c r="B258" i="8" s="1"/>
  <c r="B300" i="8" s="1"/>
  <c r="B342" i="8" s="1"/>
  <c r="A174" i="8"/>
  <c r="A216" i="8" s="1"/>
  <c r="A258" i="8" s="1"/>
  <c r="A300" i="8" s="1"/>
  <c r="A342" i="8" s="1"/>
  <c r="B173" i="8"/>
  <c r="B215" i="8" s="1"/>
  <c r="B257" i="8" s="1"/>
  <c r="B299" i="8" s="1"/>
  <c r="B341" i="8" s="1"/>
  <c r="A173" i="8"/>
  <c r="A215" i="8" s="1"/>
  <c r="A257" i="8" s="1"/>
  <c r="A299" i="8" s="1"/>
  <c r="A341" i="8" s="1"/>
  <c r="B172" i="8"/>
  <c r="B214" i="8" s="1"/>
  <c r="B256" i="8" s="1"/>
  <c r="B298" i="8" s="1"/>
  <c r="B340" i="8" s="1"/>
  <c r="A172" i="8"/>
  <c r="A214" i="8" s="1"/>
  <c r="A256" i="8" s="1"/>
  <c r="A298" i="8" s="1"/>
  <c r="A340" i="8" s="1"/>
  <c r="B171" i="8"/>
  <c r="B213" i="8" s="1"/>
  <c r="B255" i="8" s="1"/>
  <c r="B297" i="8" s="1"/>
  <c r="B339" i="8" s="1"/>
  <c r="A171" i="8"/>
  <c r="A213" i="8" s="1"/>
  <c r="A255" i="8" s="1"/>
  <c r="A297" i="8" s="1"/>
  <c r="A339" i="8" s="1"/>
  <c r="B170" i="8"/>
  <c r="B212" i="8" s="1"/>
  <c r="B254" i="8" s="1"/>
  <c r="B296" i="8" s="1"/>
  <c r="B338" i="8" s="1"/>
  <c r="A170" i="8"/>
  <c r="A212" i="8" s="1"/>
  <c r="A254" i="8" s="1"/>
  <c r="A296" i="8" s="1"/>
  <c r="A338" i="8" s="1"/>
  <c r="B169" i="8"/>
  <c r="B211" i="8" s="1"/>
  <c r="B253" i="8" s="1"/>
  <c r="B295" i="8" s="1"/>
  <c r="B337" i="8" s="1"/>
  <c r="A169" i="8"/>
  <c r="A211" i="8" s="1"/>
  <c r="A253" i="8" s="1"/>
  <c r="A295" i="8" s="1"/>
  <c r="A337" i="8" s="1"/>
  <c r="B168" i="8"/>
  <c r="B210" i="8" s="1"/>
  <c r="B252" i="8" s="1"/>
  <c r="B294" i="8" s="1"/>
  <c r="B336" i="8" s="1"/>
  <c r="A168" i="8"/>
  <c r="A210" i="8" s="1"/>
  <c r="A252" i="8" s="1"/>
  <c r="A294" i="8" s="1"/>
  <c r="A336" i="8" s="1"/>
  <c r="B167" i="8"/>
  <c r="B209" i="8" s="1"/>
  <c r="B251" i="8" s="1"/>
  <c r="B293" i="8" s="1"/>
  <c r="B335" i="8" s="1"/>
  <c r="A167" i="8"/>
  <c r="A209" i="8" s="1"/>
  <c r="A251" i="8" s="1"/>
  <c r="A293" i="8" s="1"/>
  <c r="A335" i="8" s="1"/>
  <c r="B166" i="8"/>
  <c r="B208" i="8" s="1"/>
  <c r="B250" i="8" s="1"/>
  <c r="B292" i="8" s="1"/>
  <c r="B334" i="8" s="1"/>
  <c r="A166" i="8"/>
  <c r="A208" i="8" s="1"/>
  <c r="A250" i="8" s="1"/>
  <c r="A292" i="8" s="1"/>
  <c r="A334" i="8" s="1"/>
  <c r="B165" i="8"/>
  <c r="B207" i="8" s="1"/>
  <c r="B249" i="8" s="1"/>
  <c r="B291" i="8" s="1"/>
  <c r="B333" i="8" s="1"/>
  <c r="A165" i="8"/>
  <c r="A207" i="8" s="1"/>
  <c r="A249" i="8" s="1"/>
  <c r="A291" i="8" s="1"/>
  <c r="A333" i="8" s="1"/>
  <c r="B164" i="8"/>
  <c r="B206" i="8" s="1"/>
  <c r="B248" i="8" s="1"/>
  <c r="B290" i="8" s="1"/>
  <c r="B332" i="8" s="1"/>
  <c r="A164" i="8"/>
  <c r="A206" i="8" s="1"/>
  <c r="A248" i="8" s="1"/>
  <c r="A290" i="8" s="1"/>
  <c r="A332" i="8" s="1"/>
  <c r="B163" i="8"/>
  <c r="B205" i="8" s="1"/>
  <c r="B247" i="8" s="1"/>
  <c r="B289" i="8" s="1"/>
  <c r="B331" i="8" s="1"/>
  <c r="A163" i="8"/>
  <c r="A205" i="8" s="1"/>
  <c r="A247" i="8" s="1"/>
  <c r="A289" i="8" s="1"/>
  <c r="A331" i="8" s="1"/>
  <c r="B162" i="8"/>
  <c r="B204" i="8" s="1"/>
  <c r="B246" i="8" s="1"/>
  <c r="B288" i="8" s="1"/>
  <c r="B330" i="8" s="1"/>
  <c r="A162" i="8"/>
  <c r="A204" i="8" s="1"/>
  <c r="A246" i="8" s="1"/>
  <c r="A288" i="8" s="1"/>
  <c r="A330" i="8" s="1"/>
  <c r="B161" i="8"/>
  <c r="B203" i="8" s="1"/>
  <c r="B245" i="8" s="1"/>
  <c r="B287" i="8" s="1"/>
  <c r="B329" i="8" s="1"/>
  <c r="A161" i="8"/>
  <c r="A203" i="8" s="1"/>
  <c r="A245" i="8" s="1"/>
  <c r="A287" i="8" s="1"/>
  <c r="A329" i="8" s="1"/>
  <c r="B160" i="8"/>
  <c r="B202" i="8" s="1"/>
  <c r="B244" i="8" s="1"/>
  <c r="B286" i="8" s="1"/>
  <c r="B328" i="8" s="1"/>
  <c r="A160" i="8"/>
  <c r="A202" i="8" s="1"/>
  <c r="A244" i="8" s="1"/>
  <c r="A286" i="8" s="1"/>
  <c r="A328" i="8" s="1"/>
  <c r="B159" i="8"/>
  <c r="B201" i="8" s="1"/>
  <c r="B243" i="8" s="1"/>
  <c r="B285" i="8" s="1"/>
  <c r="B327" i="8" s="1"/>
  <c r="A159" i="8"/>
  <c r="A201" i="8" s="1"/>
  <c r="A243" i="8" s="1"/>
  <c r="A285" i="8" s="1"/>
  <c r="A327" i="8" s="1"/>
  <c r="B158" i="8"/>
  <c r="B200" i="8" s="1"/>
  <c r="B242" i="8" s="1"/>
  <c r="B284" i="8" s="1"/>
  <c r="B326" i="8" s="1"/>
  <c r="A158" i="8"/>
  <c r="A200" i="8" s="1"/>
  <c r="A242" i="8" s="1"/>
  <c r="A284" i="8" s="1"/>
  <c r="A326" i="8" s="1"/>
  <c r="B157" i="8"/>
  <c r="B199" i="8" s="1"/>
  <c r="B241" i="8" s="1"/>
  <c r="B283" i="8" s="1"/>
  <c r="B325" i="8" s="1"/>
  <c r="A157" i="8"/>
  <c r="A199" i="8" s="1"/>
  <c r="A241" i="8" s="1"/>
  <c r="A283" i="8" s="1"/>
  <c r="A325" i="8" s="1"/>
  <c r="B156" i="8"/>
  <c r="B198" i="8" s="1"/>
  <c r="B240" i="8" s="1"/>
  <c r="B282" i="8" s="1"/>
  <c r="B324" i="8" s="1"/>
  <c r="A156" i="8"/>
  <c r="A198" i="8" s="1"/>
  <c r="A240" i="8" s="1"/>
  <c r="A282" i="8" s="1"/>
  <c r="A324" i="8" s="1"/>
  <c r="E86" i="13" l="1"/>
  <c r="C99" i="13"/>
  <c r="L86" i="13"/>
  <c r="C76" i="13"/>
  <c r="C60" i="13"/>
  <c r="C65" i="13"/>
  <c r="H86" i="13"/>
  <c r="C131" i="13"/>
  <c r="I99" i="13"/>
  <c r="I57" i="13" s="1"/>
  <c r="I91" i="13"/>
  <c r="I49" i="13" s="1"/>
  <c r="C91" i="13"/>
  <c r="C84" i="13"/>
  <c r="C70" i="13"/>
  <c r="C64" i="13"/>
  <c r="C56" i="13"/>
  <c r="C79" i="13"/>
  <c r="C73" i="13"/>
  <c r="C61" i="13"/>
  <c r="F86" i="13"/>
  <c r="M86" i="13"/>
  <c r="C78" i="13"/>
  <c r="C50" i="13"/>
  <c r="C69" i="13"/>
  <c r="C51" i="13"/>
  <c r="C80" i="13"/>
  <c r="C52" i="13"/>
  <c r="C67" i="13"/>
  <c r="C57" i="13"/>
  <c r="C85" i="13"/>
  <c r="C72" i="13"/>
  <c r="C68" i="13"/>
  <c r="C58" i="13"/>
  <c r="C54" i="13"/>
  <c r="C75" i="13"/>
  <c r="C71" i="13"/>
  <c r="C53" i="13"/>
  <c r="C83" i="13"/>
  <c r="C74" i="13"/>
  <c r="D86" i="13"/>
  <c r="C48" i="13"/>
  <c r="C55" i="13"/>
  <c r="C82" i="13"/>
  <c r="C62" i="13"/>
  <c r="C77" i="13"/>
  <c r="C63" i="13"/>
  <c r="C49" i="13"/>
  <c r="C66" i="13"/>
  <c r="C81" i="13"/>
  <c r="C59" i="13"/>
  <c r="G86" i="13"/>
  <c r="F198" i="8"/>
  <c r="F232" i="8"/>
  <c r="F233" i="8"/>
  <c r="F234" i="8"/>
  <c r="F235" i="8"/>
  <c r="BR320" i="9"/>
  <c r="BQ320" i="9"/>
  <c r="BP320" i="9"/>
  <c r="BO320" i="9"/>
  <c r="BN320" i="9"/>
  <c r="BM320" i="9"/>
  <c r="BA320" i="9" s="1"/>
  <c r="BL320" i="9"/>
  <c r="AZ320" i="9" s="1"/>
  <c r="BK320" i="9"/>
  <c r="AY320" i="9" s="1"/>
  <c r="BJ320" i="9"/>
  <c r="AX320" i="9" s="1"/>
  <c r="BI320" i="9"/>
  <c r="AW320" i="9" s="1"/>
  <c r="BH320" i="9"/>
  <c r="AV320" i="9" s="1"/>
  <c r="BG320" i="9"/>
  <c r="AU320" i="9" s="1"/>
  <c r="BR278" i="9"/>
  <c r="BQ278" i="9"/>
  <c r="BP278" i="9"/>
  <c r="BO278" i="9"/>
  <c r="BN278" i="9"/>
  <c r="BM278" i="9"/>
  <c r="BB278" i="9" s="1"/>
  <c r="BL278" i="9"/>
  <c r="BK278" i="9"/>
  <c r="BJ278" i="9"/>
  <c r="BI278" i="9"/>
  <c r="BH278" i="9"/>
  <c r="BG278" i="9"/>
  <c r="AU278" i="9" s="1"/>
  <c r="AV278" i="9"/>
  <c r="AW278" i="9"/>
  <c r="AX278" i="9"/>
  <c r="AY278" i="9"/>
  <c r="AZ278" i="9"/>
  <c r="BA278" i="9"/>
  <c r="BF277" i="9"/>
  <c r="BE277" i="9"/>
  <c r="BD277" i="9"/>
  <c r="BC277" i="9"/>
  <c r="BB277" i="9"/>
  <c r="BA277" i="9"/>
  <c r="AZ277" i="9"/>
  <c r="AY277" i="9"/>
  <c r="AX277" i="9"/>
  <c r="AW277" i="9"/>
  <c r="AV277" i="9"/>
  <c r="AU277" i="9"/>
  <c r="BF276" i="9"/>
  <c r="BE276" i="9"/>
  <c r="BD276" i="9"/>
  <c r="BC276" i="9"/>
  <c r="BB276" i="9"/>
  <c r="BA276" i="9"/>
  <c r="AZ276" i="9"/>
  <c r="AY276" i="9"/>
  <c r="AX276" i="9"/>
  <c r="AW276" i="9"/>
  <c r="AV276" i="9"/>
  <c r="AU276" i="9"/>
  <c r="BF275" i="9"/>
  <c r="BE275" i="9"/>
  <c r="BD275" i="9"/>
  <c r="BC275" i="9"/>
  <c r="BB275" i="9"/>
  <c r="BA275" i="9"/>
  <c r="AZ275" i="9"/>
  <c r="AY275" i="9"/>
  <c r="AX275" i="9"/>
  <c r="AW275" i="9"/>
  <c r="AV275" i="9"/>
  <c r="AU275" i="9"/>
  <c r="BF274" i="9"/>
  <c r="BE274" i="9"/>
  <c r="BD274" i="9"/>
  <c r="BC274" i="9"/>
  <c r="BB274" i="9"/>
  <c r="BA274" i="9"/>
  <c r="AZ274" i="9"/>
  <c r="AY274" i="9"/>
  <c r="AX274" i="9"/>
  <c r="AW274" i="9"/>
  <c r="AV274" i="9"/>
  <c r="AU274" i="9"/>
  <c r="BF273" i="9"/>
  <c r="BE273" i="9"/>
  <c r="BD273" i="9"/>
  <c r="BC273" i="9"/>
  <c r="BB273" i="9"/>
  <c r="BA273" i="9"/>
  <c r="AZ273" i="9"/>
  <c r="AY273" i="9"/>
  <c r="AX273" i="9"/>
  <c r="AW273" i="9"/>
  <c r="AV273" i="9"/>
  <c r="AU273" i="9"/>
  <c r="BF272" i="9"/>
  <c r="BE272" i="9"/>
  <c r="BD272" i="9"/>
  <c r="BC272" i="9"/>
  <c r="BB272" i="9"/>
  <c r="BA272" i="9"/>
  <c r="AZ272" i="9"/>
  <c r="AY272" i="9"/>
  <c r="AX272" i="9"/>
  <c r="AW272" i="9"/>
  <c r="AV272" i="9"/>
  <c r="AU272" i="9"/>
  <c r="BF271" i="9"/>
  <c r="BE271" i="9"/>
  <c r="BD271" i="9"/>
  <c r="BC271" i="9"/>
  <c r="BB271" i="9"/>
  <c r="BA271" i="9"/>
  <c r="AZ271" i="9"/>
  <c r="AY271" i="9"/>
  <c r="AX271" i="9"/>
  <c r="AW271" i="9"/>
  <c r="AV271" i="9"/>
  <c r="AU271" i="9"/>
  <c r="BF270" i="9"/>
  <c r="BE270" i="9"/>
  <c r="BD270" i="9"/>
  <c r="BC270" i="9"/>
  <c r="BB270" i="9"/>
  <c r="BA270" i="9"/>
  <c r="AZ270" i="9"/>
  <c r="AY270" i="9"/>
  <c r="AX270" i="9"/>
  <c r="AW270" i="9"/>
  <c r="AV270" i="9"/>
  <c r="AU270" i="9"/>
  <c r="BF269" i="9"/>
  <c r="BE269" i="9"/>
  <c r="BD269" i="9"/>
  <c r="BC269" i="9"/>
  <c r="BB269" i="9"/>
  <c r="BA269" i="9"/>
  <c r="AZ269" i="9"/>
  <c r="AY269" i="9"/>
  <c r="AX269" i="9"/>
  <c r="AW269" i="9"/>
  <c r="AV269" i="9"/>
  <c r="AU269" i="9"/>
  <c r="BF268" i="9"/>
  <c r="BE268" i="9"/>
  <c r="BD268" i="9"/>
  <c r="BC268" i="9"/>
  <c r="BB268" i="9"/>
  <c r="BA268" i="9"/>
  <c r="AZ268" i="9"/>
  <c r="AY268" i="9"/>
  <c r="AX268" i="9"/>
  <c r="AW268" i="9"/>
  <c r="AV268" i="9"/>
  <c r="AU268" i="9"/>
  <c r="BF267" i="9"/>
  <c r="BE267" i="9"/>
  <c r="BD267" i="9"/>
  <c r="BC267" i="9"/>
  <c r="BB267" i="9"/>
  <c r="BA267" i="9"/>
  <c r="AZ267" i="9"/>
  <c r="AY267" i="9"/>
  <c r="AX267" i="9"/>
  <c r="AW267" i="9"/>
  <c r="AV267" i="9"/>
  <c r="AU267" i="9"/>
  <c r="BF266" i="9"/>
  <c r="BE266" i="9"/>
  <c r="BD266" i="9"/>
  <c r="BC266" i="9"/>
  <c r="BB266" i="9"/>
  <c r="BA266" i="9"/>
  <c r="AZ266" i="9"/>
  <c r="AY266" i="9"/>
  <c r="AX266" i="9"/>
  <c r="AW266" i="9"/>
  <c r="AV266" i="9"/>
  <c r="AU266" i="9"/>
  <c r="BF265" i="9"/>
  <c r="BE265" i="9"/>
  <c r="BD265" i="9"/>
  <c r="BC265" i="9"/>
  <c r="BB265" i="9"/>
  <c r="BA265" i="9"/>
  <c r="AZ265" i="9"/>
  <c r="AY265" i="9"/>
  <c r="AX265" i="9"/>
  <c r="AW265" i="9"/>
  <c r="AV265" i="9"/>
  <c r="AU265" i="9"/>
  <c r="BF264" i="9"/>
  <c r="BE264" i="9"/>
  <c r="BD264" i="9"/>
  <c r="BC264" i="9"/>
  <c r="BB264" i="9"/>
  <c r="BA264" i="9"/>
  <c r="AZ264" i="9"/>
  <c r="AY264" i="9"/>
  <c r="AX264" i="9"/>
  <c r="AW264" i="9"/>
  <c r="AV264" i="9"/>
  <c r="AU264" i="9"/>
  <c r="BF263" i="9"/>
  <c r="BE263" i="9"/>
  <c r="BD263" i="9"/>
  <c r="BC263" i="9"/>
  <c r="BB263" i="9"/>
  <c r="BA263" i="9"/>
  <c r="AZ263" i="9"/>
  <c r="AY263" i="9"/>
  <c r="AX263" i="9"/>
  <c r="AW263" i="9"/>
  <c r="AV263" i="9"/>
  <c r="AU263" i="9"/>
  <c r="BF262" i="9"/>
  <c r="BE262" i="9"/>
  <c r="BD262" i="9"/>
  <c r="BC262" i="9"/>
  <c r="BB262" i="9"/>
  <c r="BA262" i="9"/>
  <c r="AZ262" i="9"/>
  <c r="AY262" i="9"/>
  <c r="AX262" i="9"/>
  <c r="AW262" i="9"/>
  <c r="AV262" i="9"/>
  <c r="AU262" i="9"/>
  <c r="BF261" i="9"/>
  <c r="BE261" i="9"/>
  <c r="BD261" i="9"/>
  <c r="BC261" i="9"/>
  <c r="BB261" i="9"/>
  <c r="BA261" i="9"/>
  <c r="AZ261" i="9"/>
  <c r="AY261" i="9"/>
  <c r="AX261" i="9"/>
  <c r="AW261" i="9"/>
  <c r="AV261" i="9"/>
  <c r="AU261" i="9"/>
  <c r="BF260" i="9"/>
  <c r="BE260" i="9"/>
  <c r="BD260" i="9"/>
  <c r="BC260" i="9"/>
  <c r="BB260" i="9"/>
  <c r="BA260" i="9"/>
  <c r="AZ260" i="9"/>
  <c r="AY260" i="9"/>
  <c r="AX260" i="9"/>
  <c r="AW260" i="9"/>
  <c r="AV260" i="9"/>
  <c r="AU260" i="9"/>
  <c r="BF259" i="9"/>
  <c r="BE259" i="9"/>
  <c r="BD259" i="9"/>
  <c r="BC259" i="9"/>
  <c r="BB259" i="9"/>
  <c r="BA259" i="9"/>
  <c r="AZ259" i="9"/>
  <c r="AY259" i="9"/>
  <c r="AX259" i="9"/>
  <c r="AW259" i="9"/>
  <c r="AV259" i="9"/>
  <c r="AU259" i="9"/>
  <c r="BF258" i="9"/>
  <c r="BE258" i="9"/>
  <c r="BD258" i="9"/>
  <c r="BC258" i="9"/>
  <c r="BB258" i="9"/>
  <c r="BA258" i="9"/>
  <c r="AZ258" i="9"/>
  <c r="AY258" i="9"/>
  <c r="AX258" i="9"/>
  <c r="AW258" i="9"/>
  <c r="AV258" i="9"/>
  <c r="AU258" i="9"/>
  <c r="BF257" i="9"/>
  <c r="BE257" i="9"/>
  <c r="BD257" i="9"/>
  <c r="BC257" i="9"/>
  <c r="BB257" i="9"/>
  <c r="BA257" i="9"/>
  <c r="AZ257" i="9"/>
  <c r="AY257" i="9"/>
  <c r="AX257" i="9"/>
  <c r="AW257" i="9"/>
  <c r="AV257" i="9"/>
  <c r="AU257" i="9"/>
  <c r="BF256" i="9"/>
  <c r="BE256" i="9"/>
  <c r="BD256" i="9"/>
  <c r="BC256" i="9"/>
  <c r="BB256" i="9"/>
  <c r="BA256" i="9"/>
  <c r="AZ256" i="9"/>
  <c r="AY256" i="9"/>
  <c r="AX256" i="9"/>
  <c r="AW256" i="9"/>
  <c r="AV256" i="9"/>
  <c r="AU256" i="9"/>
  <c r="BF255" i="9"/>
  <c r="BE255" i="9"/>
  <c r="BD255" i="9"/>
  <c r="BC255" i="9"/>
  <c r="BB255" i="9"/>
  <c r="BA255" i="9"/>
  <c r="AZ255" i="9"/>
  <c r="AY255" i="9"/>
  <c r="AX255" i="9"/>
  <c r="AW255" i="9"/>
  <c r="AV255" i="9"/>
  <c r="AU255" i="9"/>
  <c r="BF254" i="9"/>
  <c r="BE254" i="9"/>
  <c r="BD254" i="9"/>
  <c r="BC254" i="9"/>
  <c r="BB254" i="9"/>
  <c r="BA254" i="9"/>
  <c r="AZ254" i="9"/>
  <c r="AY254" i="9"/>
  <c r="AX254" i="9"/>
  <c r="AW254" i="9"/>
  <c r="AV254" i="9"/>
  <c r="AU254" i="9"/>
  <c r="BF253" i="9"/>
  <c r="BE253" i="9"/>
  <c r="BD253" i="9"/>
  <c r="BC253" i="9"/>
  <c r="BB253" i="9"/>
  <c r="BA253" i="9"/>
  <c r="AZ253" i="9"/>
  <c r="AY253" i="9"/>
  <c r="AX253" i="9"/>
  <c r="AW253" i="9"/>
  <c r="AV253" i="9"/>
  <c r="AU253" i="9"/>
  <c r="BF252" i="9"/>
  <c r="BE252" i="9"/>
  <c r="BD252" i="9"/>
  <c r="BC252" i="9"/>
  <c r="BB252" i="9"/>
  <c r="BA252" i="9"/>
  <c r="AZ252" i="9"/>
  <c r="AY252" i="9"/>
  <c r="AX252" i="9"/>
  <c r="AW252" i="9"/>
  <c r="AV252" i="9"/>
  <c r="AU252" i="9"/>
  <c r="BF251" i="9"/>
  <c r="BE251" i="9"/>
  <c r="BD251" i="9"/>
  <c r="BC251" i="9"/>
  <c r="BB251" i="9"/>
  <c r="BA251" i="9"/>
  <c r="AZ251" i="9"/>
  <c r="AY251" i="9"/>
  <c r="AX251" i="9"/>
  <c r="AW251" i="9"/>
  <c r="AV251" i="9"/>
  <c r="AU251" i="9"/>
  <c r="BF250" i="9"/>
  <c r="BE250" i="9"/>
  <c r="BD250" i="9"/>
  <c r="BC250" i="9"/>
  <c r="BB250" i="9"/>
  <c r="BA250" i="9"/>
  <c r="AZ250" i="9"/>
  <c r="AY250" i="9"/>
  <c r="AX250" i="9"/>
  <c r="AW250" i="9"/>
  <c r="AV250" i="9"/>
  <c r="AU250" i="9"/>
  <c r="BF249" i="9"/>
  <c r="BE249" i="9"/>
  <c r="BD249" i="9"/>
  <c r="BC249" i="9"/>
  <c r="BB249" i="9"/>
  <c r="BA249" i="9"/>
  <c r="AZ249" i="9"/>
  <c r="AY249" i="9"/>
  <c r="AX249" i="9"/>
  <c r="AW249" i="9"/>
  <c r="AV249" i="9"/>
  <c r="AU249" i="9"/>
  <c r="BF248" i="9"/>
  <c r="BE248" i="9"/>
  <c r="BD248" i="9"/>
  <c r="BC248" i="9"/>
  <c r="BB248" i="9"/>
  <c r="BA248" i="9"/>
  <c r="AZ248" i="9"/>
  <c r="AY248" i="9"/>
  <c r="AX248" i="9"/>
  <c r="AW248" i="9"/>
  <c r="AV248" i="9"/>
  <c r="AU248" i="9"/>
  <c r="BF247" i="9"/>
  <c r="BE247" i="9"/>
  <c r="BD247" i="9"/>
  <c r="BC247" i="9"/>
  <c r="BB247" i="9"/>
  <c r="BA247" i="9"/>
  <c r="AZ247" i="9"/>
  <c r="AY247" i="9"/>
  <c r="AX247" i="9"/>
  <c r="AW247" i="9"/>
  <c r="AV247" i="9"/>
  <c r="AU247" i="9"/>
  <c r="BF246" i="9"/>
  <c r="BE246" i="9"/>
  <c r="BD246" i="9"/>
  <c r="BC246" i="9"/>
  <c r="BB246" i="9"/>
  <c r="BA246" i="9"/>
  <c r="AZ246" i="9"/>
  <c r="AY246" i="9"/>
  <c r="AX246" i="9"/>
  <c r="AW246" i="9"/>
  <c r="AV246" i="9"/>
  <c r="AU246" i="9"/>
  <c r="BF245" i="9"/>
  <c r="BE245" i="9"/>
  <c r="BD245" i="9"/>
  <c r="BC245" i="9"/>
  <c r="BB245" i="9"/>
  <c r="BA245" i="9"/>
  <c r="AZ245" i="9"/>
  <c r="AY245" i="9"/>
  <c r="AX245" i="9"/>
  <c r="AW245" i="9"/>
  <c r="AV245" i="9"/>
  <c r="AU245" i="9"/>
  <c r="BF244" i="9"/>
  <c r="BE244" i="9"/>
  <c r="BD244" i="9"/>
  <c r="BC244" i="9"/>
  <c r="BB244" i="9"/>
  <c r="BA244" i="9"/>
  <c r="AZ244" i="9"/>
  <c r="AY244" i="9"/>
  <c r="AX244" i="9"/>
  <c r="AW244" i="9"/>
  <c r="AV244" i="9"/>
  <c r="AU244" i="9"/>
  <c r="BF243" i="9"/>
  <c r="BE243" i="9"/>
  <c r="BD243" i="9"/>
  <c r="BC243" i="9"/>
  <c r="BB243" i="9"/>
  <c r="BA243" i="9"/>
  <c r="AZ243" i="9"/>
  <c r="AY243" i="9"/>
  <c r="AX243" i="9"/>
  <c r="AW243" i="9"/>
  <c r="AV243" i="9"/>
  <c r="AU243" i="9"/>
  <c r="BF242" i="9"/>
  <c r="BE242" i="9"/>
  <c r="BD242" i="9"/>
  <c r="BC242" i="9"/>
  <c r="BB242" i="9"/>
  <c r="BA242" i="9"/>
  <c r="AZ242" i="9"/>
  <c r="AY242" i="9"/>
  <c r="AX242" i="9"/>
  <c r="AW242" i="9"/>
  <c r="AV242" i="9"/>
  <c r="AU242" i="9"/>
  <c r="BF241" i="9"/>
  <c r="BE241" i="9"/>
  <c r="BD241" i="9"/>
  <c r="BC241" i="9"/>
  <c r="BB241" i="9"/>
  <c r="BA241" i="9"/>
  <c r="AZ241" i="9"/>
  <c r="AY241" i="9"/>
  <c r="AX241" i="9"/>
  <c r="AW241" i="9"/>
  <c r="AV241" i="9"/>
  <c r="AU241" i="9"/>
  <c r="BF240" i="9"/>
  <c r="BE240" i="9"/>
  <c r="BD240" i="9"/>
  <c r="BC240" i="9"/>
  <c r="BB240" i="9"/>
  <c r="BA240" i="9"/>
  <c r="AZ240" i="9"/>
  <c r="AY240" i="9"/>
  <c r="AX240" i="9"/>
  <c r="AW240" i="9"/>
  <c r="AV240" i="9"/>
  <c r="AU240" i="9"/>
  <c r="BF319" i="9"/>
  <c r="BE319" i="9"/>
  <c r="BD319" i="9"/>
  <c r="BC319" i="9"/>
  <c r="BB319" i="9"/>
  <c r="BA319" i="9"/>
  <c r="AZ319" i="9"/>
  <c r="AY319" i="9"/>
  <c r="AX319" i="9"/>
  <c r="AW319" i="9"/>
  <c r="AV319" i="9"/>
  <c r="AU319" i="9"/>
  <c r="BF318" i="9"/>
  <c r="BE318" i="9"/>
  <c r="BD318" i="9"/>
  <c r="BC318" i="9"/>
  <c r="BB318" i="9"/>
  <c r="BA318" i="9"/>
  <c r="AZ318" i="9"/>
  <c r="AY318" i="9"/>
  <c r="AX318" i="9"/>
  <c r="AW318" i="9"/>
  <c r="AV318" i="9"/>
  <c r="AU318" i="9"/>
  <c r="BF317" i="9"/>
  <c r="BE317" i="9"/>
  <c r="BD317" i="9"/>
  <c r="BC317" i="9"/>
  <c r="BB317" i="9"/>
  <c r="BA317" i="9"/>
  <c r="AZ317" i="9"/>
  <c r="AY317" i="9"/>
  <c r="AX317" i="9"/>
  <c r="AW317" i="9"/>
  <c r="AV317" i="9"/>
  <c r="AU317" i="9"/>
  <c r="BF316" i="9"/>
  <c r="BE316" i="9"/>
  <c r="BD316" i="9"/>
  <c r="BC316" i="9"/>
  <c r="BB316" i="9"/>
  <c r="BA316" i="9"/>
  <c r="AZ316" i="9"/>
  <c r="AY316" i="9"/>
  <c r="AX316" i="9"/>
  <c r="AW316" i="9"/>
  <c r="AV316" i="9"/>
  <c r="AU316" i="9"/>
  <c r="BF315" i="9"/>
  <c r="BE315" i="9"/>
  <c r="BD315" i="9"/>
  <c r="BC315" i="9"/>
  <c r="BB315" i="9"/>
  <c r="BA315" i="9"/>
  <c r="AZ315" i="9"/>
  <c r="AY315" i="9"/>
  <c r="AX315" i="9"/>
  <c r="AW315" i="9"/>
  <c r="AV315" i="9"/>
  <c r="AU315" i="9"/>
  <c r="BF314" i="9"/>
  <c r="BE314" i="9"/>
  <c r="BD314" i="9"/>
  <c r="BC314" i="9"/>
  <c r="BB314" i="9"/>
  <c r="BA314" i="9"/>
  <c r="AZ314" i="9"/>
  <c r="AY314" i="9"/>
  <c r="AX314" i="9"/>
  <c r="AW314" i="9"/>
  <c r="AV314" i="9"/>
  <c r="AU314" i="9"/>
  <c r="BF313" i="9"/>
  <c r="BE313" i="9"/>
  <c r="BD313" i="9"/>
  <c r="BC313" i="9"/>
  <c r="BB313" i="9"/>
  <c r="BA313" i="9"/>
  <c r="AZ313" i="9"/>
  <c r="AY313" i="9"/>
  <c r="AX313" i="9"/>
  <c r="AW313" i="9"/>
  <c r="AV313" i="9"/>
  <c r="AU313" i="9"/>
  <c r="BF312" i="9"/>
  <c r="BE312" i="9"/>
  <c r="BD312" i="9"/>
  <c r="BC312" i="9"/>
  <c r="BB312" i="9"/>
  <c r="BA312" i="9"/>
  <c r="AZ312" i="9"/>
  <c r="AY312" i="9"/>
  <c r="AX312" i="9"/>
  <c r="AW312" i="9"/>
  <c r="AV312" i="9"/>
  <c r="AU312" i="9"/>
  <c r="BF311" i="9"/>
  <c r="BE311" i="9"/>
  <c r="BD311" i="9"/>
  <c r="BC311" i="9"/>
  <c r="BB311" i="9"/>
  <c r="BA311" i="9"/>
  <c r="AZ311" i="9"/>
  <c r="AY311" i="9"/>
  <c r="AX311" i="9"/>
  <c r="AW311" i="9"/>
  <c r="AV311" i="9"/>
  <c r="AU311" i="9"/>
  <c r="BF310" i="9"/>
  <c r="BE310" i="9"/>
  <c r="BD310" i="9"/>
  <c r="BC310" i="9"/>
  <c r="BB310" i="9"/>
  <c r="BA310" i="9"/>
  <c r="AZ310" i="9"/>
  <c r="AY310" i="9"/>
  <c r="AX310" i="9"/>
  <c r="AW310" i="9"/>
  <c r="AV310" i="9"/>
  <c r="AU310" i="9"/>
  <c r="BF309" i="9"/>
  <c r="BE309" i="9"/>
  <c r="BD309" i="9"/>
  <c r="BC309" i="9"/>
  <c r="BB309" i="9"/>
  <c r="BA309" i="9"/>
  <c r="AZ309" i="9"/>
  <c r="AY309" i="9"/>
  <c r="AX309" i="9"/>
  <c r="AW309" i="9"/>
  <c r="AV309" i="9"/>
  <c r="AU309" i="9"/>
  <c r="BF308" i="9"/>
  <c r="BE308" i="9"/>
  <c r="BD308" i="9"/>
  <c r="BC308" i="9"/>
  <c r="BB308" i="9"/>
  <c r="BA308" i="9"/>
  <c r="AZ308" i="9"/>
  <c r="AY308" i="9"/>
  <c r="AX308" i="9"/>
  <c r="AW308" i="9"/>
  <c r="AV308" i="9"/>
  <c r="AU308" i="9"/>
  <c r="BF307" i="9"/>
  <c r="BE307" i="9"/>
  <c r="BD307" i="9"/>
  <c r="BC307" i="9"/>
  <c r="BB307" i="9"/>
  <c r="BA307" i="9"/>
  <c r="AZ307" i="9"/>
  <c r="AY307" i="9"/>
  <c r="AX307" i="9"/>
  <c r="AW307" i="9"/>
  <c r="AV307" i="9"/>
  <c r="AU307" i="9"/>
  <c r="BF306" i="9"/>
  <c r="BE306" i="9"/>
  <c r="BD306" i="9"/>
  <c r="BC306" i="9"/>
  <c r="BB306" i="9"/>
  <c r="BA306" i="9"/>
  <c r="AZ306" i="9"/>
  <c r="AY306" i="9"/>
  <c r="AX306" i="9"/>
  <c r="AW306" i="9"/>
  <c r="AV306" i="9"/>
  <c r="AU306" i="9"/>
  <c r="BF305" i="9"/>
  <c r="BE305" i="9"/>
  <c r="BD305" i="9"/>
  <c r="BC305" i="9"/>
  <c r="BB305" i="9"/>
  <c r="BA305" i="9"/>
  <c r="AZ305" i="9"/>
  <c r="AY305" i="9"/>
  <c r="AX305" i="9"/>
  <c r="AW305" i="9"/>
  <c r="AV305" i="9"/>
  <c r="AU305" i="9"/>
  <c r="BF304" i="9"/>
  <c r="BE304" i="9"/>
  <c r="BD304" i="9"/>
  <c r="BC304" i="9"/>
  <c r="BB304" i="9"/>
  <c r="BA304" i="9"/>
  <c r="AZ304" i="9"/>
  <c r="AY304" i="9"/>
  <c r="AX304" i="9"/>
  <c r="AW304" i="9"/>
  <c r="AV304" i="9"/>
  <c r="AU304" i="9"/>
  <c r="BF303" i="9"/>
  <c r="BE303" i="9"/>
  <c r="BD303" i="9"/>
  <c r="BC303" i="9"/>
  <c r="BB303" i="9"/>
  <c r="BA303" i="9"/>
  <c r="AZ303" i="9"/>
  <c r="AY303" i="9"/>
  <c r="AX303" i="9"/>
  <c r="AW303" i="9"/>
  <c r="AV303" i="9"/>
  <c r="AU303" i="9"/>
  <c r="BF302" i="9"/>
  <c r="BE302" i="9"/>
  <c r="BD302" i="9"/>
  <c r="BC302" i="9"/>
  <c r="BB302" i="9"/>
  <c r="BA302" i="9"/>
  <c r="AZ302" i="9"/>
  <c r="AY302" i="9"/>
  <c r="AX302" i="9"/>
  <c r="AW302" i="9"/>
  <c r="AV302" i="9"/>
  <c r="AU302" i="9"/>
  <c r="BF301" i="9"/>
  <c r="BE301" i="9"/>
  <c r="BD301" i="9"/>
  <c r="BC301" i="9"/>
  <c r="BB301" i="9"/>
  <c r="BA301" i="9"/>
  <c r="AZ301" i="9"/>
  <c r="AY301" i="9"/>
  <c r="AX301" i="9"/>
  <c r="AW301" i="9"/>
  <c r="AV301" i="9"/>
  <c r="AU301" i="9"/>
  <c r="BF300" i="9"/>
  <c r="BE300" i="9"/>
  <c r="BD300" i="9"/>
  <c r="BC300" i="9"/>
  <c r="BB300" i="9"/>
  <c r="BA300" i="9"/>
  <c r="AZ300" i="9"/>
  <c r="AY300" i="9"/>
  <c r="AX300" i="9"/>
  <c r="AW300" i="9"/>
  <c r="AV300" i="9"/>
  <c r="AU300" i="9"/>
  <c r="BF299" i="9"/>
  <c r="BE299" i="9"/>
  <c r="BD299" i="9"/>
  <c r="BC299" i="9"/>
  <c r="BB299" i="9"/>
  <c r="BA299" i="9"/>
  <c r="AZ299" i="9"/>
  <c r="AY299" i="9"/>
  <c r="AX299" i="9"/>
  <c r="AW299" i="9"/>
  <c r="AV299" i="9"/>
  <c r="AU299" i="9"/>
  <c r="BF298" i="9"/>
  <c r="BE298" i="9"/>
  <c r="BD298" i="9"/>
  <c r="BC298" i="9"/>
  <c r="BB298" i="9"/>
  <c r="BA298" i="9"/>
  <c r="AZ298" i="9"/>
  <c r="AY298" i="9"/>
  <c r="AX298" i="9"/>
  <c r="AW298" i="9"/>
  <c r="AV298" i="9"/>
  <c r="AU298" i="9"/>
  <c r="BF297" i="9"/>
  <c r="BE297" i="9"/>
  <c r="BD297" i="9"/>
  <c r="BC297" i="9"/>
  <c r="BB297" i="9"/>
  <c r="BA297" i="9"/>
  <c r="AZ297" i="9"/>
  <c r="AY297" i="9"/>
  <c r="AX297" i="9"/>
  <c r="AW297" i="9"/>
  <c r="AV297" i="9"/>
  <c r="AU297" i="9"/>
  <c r="BF296" i="9"/>
  <c r="BE296" i="9"/>
  <c r="BD296" i="9"/>
  <c r="BC296" i="9"/>
  <c r="BB296" i="9"/>
  <c r="BA296" i="9"/>
  <c r="AZ296" i="9"/>
  <c r="AY296" i="9"/>
  <c r="AX296" i="9"/>
  <c r="AW296" i="9"/>
  <c r="AV296" i="9"/>
  <c r="AU296" i="9"/>
  <c r="BF295" i="9"/>
  <c r="BE295" i="9"/>
  <c r="BD295" i="9"/>
  <c r="BC295" i="9"/>
  <c r="BB295" i="9"/>
  <c r="BA295" i="9"/>
  <c r="AZ295" i="9"/>
  <c r="AY295" i="9"/>
  <c r="AX295" i="9"/>
  <c r="AW295" i="9"/>
  <c r="AV295" i="9"/>
  <c r="AU295" i="9"/>
  <c r="BF294" i="9"/>
  <c r="BE294" i="9"/>
  <c r="BD294" i="9"/>
  <c r="BC294" i="9"/>
  <c r="BB294" i="9"/>
  <c r="BA294" i="9"/>
  <c r="AZ294" i="9"/>
  <c r="AY294" i="9"/>
  <c r="AX294" i="9"/>
  <c r="AW294" i="9"/>
  <c r="AV294" i="9"/>
  <c r="AU294" i="9"/>
  <c r="BF293" i="9"/>
  <c r="BE293" i="9"/>
  <c r="BD293" i="9"/>
  <c r="BC293" i="9"/>
  <c r="BB293" i="9"/>
  <c r="BA293" i="9"/>
  <c r="AZ293" i="9"/>
  <c r="AY293" i="9"/>
  <c r="AX293" i="9"/>
  <c r="AW293" i="9"/>
  <c r="AV293" i="9"/>
  <c r="AU293" i="9"/>
  <c r="BF292" i="9"/>
  <c r="BE292" i="9"/>
  <c r="BD292" i="9"/>
  <c r="BC292" i="9"/>
  <c r="BB292" i="9"/>
  <c r="BA292" i="9"/>
  <c r="AZ292" i="9"/>
  <c r="AY292" i="9"/>
  <c r="AX292" i="9"/>
  <c r="AW292" i="9"/>
  <c r="AV292" i="9"/>
  <c r="AU292" i="9"/>
  <c r="BF291" i="9"/>
  <c r="BE291" i="9"/>
  <c r="BD291" i="9"/>
  <c r="BC291" i="9"/>
  <c r="BB291" i="9"/>
  <c r="BA291" i="9"/>
  <c r="AZ291" i="9"/>
  <c r="AY291" i="9"/>
  <c r="AX291" i="9"/>
  <c r="AW291" i="9"/>
  <c r="AV291" i="9"/>
  <c r="AU291" i="9"/>
  <c r="BF290" i="9"/>
  <c r="BE290" i="9"/>
  <c r="BD290" i="9"/>
  <c r="BC290" i="9"/>
  <c r="BB290" i="9"/>
  <c r="BA290" i="9"/>
  <c r="AZ290" i="9"/>
  <c r="AY290" i="9"/>
  <c r="AX290" i="9"/>
  <c r="AW290" i="9"/>
  <c r="AV290" i="9"/>
  <c r="AU290" i="9"/>
  <c r="BF289" i="9"/>
  <c r="BE289" i="9"/>
  <c r="BD289" i="9"/>
  <c r="BC289" i="9"/>
  <c r="BB289" i="9"/>
  <c r="BA289" i="9"/>
  <c r="AZ289" i="9"/>
  <c r="AY289" i="9"/>
  <c r="AX289" i="9"/>
  <c r="AW289" i="9"/>
  <c r="AV289" i="9"/>
  <c r="AU289" i="9"/>
  <c r="BF288" i="9"/>
  <c r="BE288" i="9"/>
  <c r="BD288" i="9"/>
  <c r="BC288" i="9"/>
  <c r="BB288" i="9"/>
  <c r="BA288" i="9"/>
  <c r="AZ288" i="9"/>
  <c r="AY288" i="9"/>
  <c r="AX288" i="9"/>
  <c r="AW288" i="9"/>
  <c r="AV288" i="9"/>
  <c r="AU288" i="9"/>
  <c r="BF287" i="9"/>
  <c r="BE287" i="9"/>
  <c r="BD287" i="9"/>
  <c r="BC287" i="9"/>
  <c r="BB287" i="9"/>
  <c r="BA287" i="9"/>
  <c r="AZ287" i="9"/>
  <c r="AY287" i="9"/>
  <c r="AX287" i="9"/>
  <c r="AW287" i="9"/>
  <c r="AV287" i="9"/>
  <c r="AU287" i="9"/>
  <c r="BF286" i="9"/>
  <c r="BE286" i="9"/>
  <c r="BD286" i="9"/>
  <c r="BC286" i="9"/>
  <c r="BB286" i="9"/>
  <c r="BA286" i="9"/>
  <c r="AZ286" i="9"/>
  <c r="AY286" i="9"/>
  <c r="AX286" i="9"/>
  <c r="AW286" i="9"/>
  <c r="AV286" i="9"/>
  <c r="AU286" i="9"/>
  <c r="BF285" i="9"/>
  <c r="BE285" i="9"/>
  <c r="BD285" i="9"/>
  <c r="BC285" i="9"/>
  <c r="BB285" i="9"/>
  <c r="BA285" i="9"/>
  <c r="AZ285" i="9"/>
  <c r="AY285" i="9"/>
  <c r="AX285" i="9"/>
  <c r="AW285" i="9"/>
  <c r="AV285" i="9"/>
  <c r="AU285" i="9"/>
  <c r="BF284" i="9"/>
  <c r="BE284" i="9"/>
  <c r="BD284" i="9"/>
  <c r="BC284" i="9"/>
  <c r="BB284" i="9"/>
  <c r="BA284" i="9"/>
  <c r="AZ284" i="9"/>
  <c r="AY284" i="9"/>
  <c r="AX284" i="9"/>
  <c r="AW284" i="9"/>
  <c r="AV284" i="9"/>
  <c r="AU284" i="9"/>
  <c r="BF283" i="9"/>
  <c r="BE283" i="9"/>
  <c r="BD283" i="9"/>
  <c r="BC283" i="9"/>
  <c r="BB283" i="9"/>
  <c r="BA283" i="9"/>
  <c r="AZ283" i="9"/>
  <c r="AY283" i="9"/>
  <c r="AX283" i="9"/>
  <c r="AW283" i="9"/>
  <c r="AV283" i="9"/>
  <c r="AU283" i="9"/>
  <c r="BF282" i="9"/>
  <c r="BE282" i="9"/>
  <c r="BD282" i="9"/>
  <c r="BC282" i="9"/>
  <c r="BB282" i="9"/>
  <c r="BA282" i="9"/>
  <c r="AZ282" i="9"/>
  <c r="AY282" i="9"/>
  <c r="AX282" i="9"/>
  <c r="AW282" i="9"/>
  <c r="AV282" i="9"/>
  <c r="AU282" i="9"/>
  <c r="C86" i="13" l="1"/>
  <c r="P17" i="13" s="1"/>
  <c r="I86" i="13"/>
  <c r="P22" i="13"/>
  <c r="BE278" i="9"/>
  <c r="BC278" i="9"/>
  <c r="BF278" i="9"/>
  <c r="BD278" i="9"/>
  <c r="BB320" i="9"/>
  <c r="BD320" i="9"/>
  <c r="BF320" i="9"/>
  <c r="BC320" i="9"/>
  <c r="BE320" i="9"/>
  <c r="F236" i="8"/>
  <c r="O150" i="9"/>
  <c r="AP278" i="9"/>
  <c r="AO278" i="9"/>
  <c r="AN278" i="9"/>
  <c r="AM278" i="9"/>
  <c r="AL278" i="9"/>
  <c r="AK278" i="9"/>
  <c r="AJ278" i="9"/>
  <c r="X278" i="9" s="1"/>
  <c r="AI278" i="9"/>
  <c r="W278" i="9" s="1"/>
  <c r="AH278" i="9"/>
  <c r="AG278" i="9"/>
  <c r="U278" i="9" s="1"/>
  <c r="AF278" i="9"/>
  <c r="T278" i="9" s="1"/>
  <c r="AE278" i="9"/>
  <c r="S278" i="9" s="1"/>
  <c r="AD278" i="9"/>
  <c r="Z278" i="9"/>
  <c r="V278" i="9"/>
  <c r="AD277" i="9"/>
  <c r="AC277" i="9"/>
  <c r="AB277" i="9"/>
  <c r="AA277" i="9"/>
  <c r="Z277" i="9"/>
  <c r="Y277" i="9"/>
  <c r="X277" i="9"/>
  <c r="W277" i="9"/>
  <c r="V277" i="9"/>
  <c r="U277" i="9"/>
  <c r="T277" i="9"/>
  <c r="S277" i="9"/>
  <c r="AD276" i="9"/>
  <c r="AC276" i="9"/>
  <c r="AB276" i="9"/>
  <c r="AA276" i="9"/>
  <c r="Z276" i="9"/>
  <c r="Y276" i="9"/>
  <c r="X276" i="9"/>
  <c r="W276" i="9"/>
  <c r="V276" i="9"/>
  <c r="U276" i="9"/>
  <c r="T276" i="9"/>
  <c r="S276" i="9"/>
  <c r="AD275" i="9"/>
  <c r="AC275" i="9"/>
  <c r="AB275" i="9"/>
  <c r="AA275" i="9"/>
  <c r="Z275" i="9"/>
  <c r="Y275" i="9"/>
  <c r="X275" i="9"/>
  <c r="W275" i="9"/>
  <c r="V275" i="9"/>
  <c r="U275" i="9"/>
  <c r="T275" i="9"/>
  <c r="S275" i="9"/>
  <c r="AD274" i="9"/>
  <c r="AC274" i="9"/>
  <c r="AB274" i="9"/>
  <c r="AA274" i="9"/>
  <c r="Z274" i="9"/>
  <c r="Y274" i="9"/>
  <c r="X274" i="9"/>
  <c r="W274" i="9"/>
  <c r="V274" i="9"/>
  <c r="U274" i="9"/>
  <c r="T274" i="9"/>
  <c r="S274" i="9"/>
  <c r="AD273" i="9"/>
  <c r="AC273" i="9"/>
  <c r="AB273" i="9"/>
  <c r="AA273" i="9"/>
  <c r="Z273" i="9"/>
  <c r="Y273" i="9"/>
  <c r="X273" i="9"/>
  <c r="W273" i="9"/>
  <c r="V273" i="9"/>
  <c r="U273" i="9"/>
  <c r="T273" i="9"/>
  <c r="S273" i="9"/>
  <c r="AD272" i="9"/>
  <c r="AC272" i="9"/>
  <c r="AB272" i="9"/>
  <c r="AA272" i="9"/>
  <c r="Z272" i="9"/>
  <c r="Y272" i="9"/>
  <c r="X272" i="9"/>
  <c r="W272" i="9"/>
  <c r="V272" i="9"/>
  <c r="U272" i="9"/>
  <c r="T272" i="9"/>
  <c r="S272" i="9"/>
  <c r="AD271" i="9"/>
  <c r="AC271" i="9"/>
  <c r="AB271" i="9"/>
  <c r="AA271" i="9"/>
  <c r="Z271" i="9"/>
  <c r="Y271" i="9"/>
  <c r="X271" i="9"/>
  <c r="W271" i="9"/>
  <c r="V271" i="9"/>
  <c r="U271" i="9"/>
  <c r="T271" i="9"/>
  <c r="S271" i="9"/>
  <c r="AD270" i="9"/>
  <c r="AC270" i="9"/>
  <c r="AB270" i="9"/>
  <c r="AA270" i="9"/>
  <c r="Z270" i="9"/>
  <c r="Y270" i="9"/>
  <c r="X270" i="9"/>
  <c r="W270" i="9"/>
  <c r="V270" i="9"/>
  <c r="U270" i="9"/>
  <c r="T270" i="9"/>
  <c r="S270" i="9"/>
  <c r="AD269" i="9"/>
  <c r="AC269" i="9"/>
  <c r="AB269" i="9"/>
  <c r="AA269" i="9"/>
  <c r="Z269" i="9"/>
  <c r="Y269" i="9"/>
  <c r="X269" i="9"/>
  <c r="W269" i="9"/>
  <c r="V269" i="9"/>
  <c r="U269" i="9"/>
  <c r="T269" i="9"/>
  <c r="S269" i="9"/>
  <c r="AD268" i="9"/>
  <c r="AC268" i="9"/>
  <c r="AB268" i="9"/>
  <c r="AA268" i="9"/>
  <c r="Z268" i="9"/>
  <c r="Y268" i="9"/>
  <c r="X268" i="9"/>
  <c r="W268" i="9"/>
  <c r="V268" i="9"/>
  <c r="U268" i="9"/>
  <c r="T268" i="9"/>
  <c r="S268" i="9"/>
  <c r="AD267" i="9"/>
  <c r="AC267" i="9"/>
  <c r="AB267" i="9"/>
  <c r="AA267" i="9"/>
  <c r="Z267" i="9"/>
  <c r="Y267" i="9"/>
  <c r="X267" i="9"/>
  <c r="W267" i="9"/>
  <c r="V267" i="9"/>
  <c r="U267" i="9"/>
  <c r="T267" i="9"/>
  <c r="S267" i="9"/>
  <c r="AD266" i="9"/>
  <c r="AC266" i="9"/>
  <c r="AB266" i="9"/>
  <c r="AA266" i="9"/>
  <c r="Z266" i="9"/>
  <c r="Y266" i="9"/>
  <c r="X266" i="9"/>
  <c r="W266" i="9"/>
  <c r="V266" i="9"/>
  <c r="U266" i="9"/>
  <c r="T266" i="9"/>
  <c r="S266" i="9"/>
  <c r="AD265" i="9"/>
  <c r="AC265" i="9"/>
  <c r="AB265" i="9"/>
  <c r="AA265" i="9"/>
  <c r="Z265" i="9"/>
  <c r="Y265" i="9"/>
  <c r="X265" i="9"/>
  <c r="W265" i="9"/>
  <c r="V265" i="9"/>
  <c r="U265" i="9"/>
  <c r="T265" i="9"/>
  <c r="S265" i="9"/>
  <c r="AD264" i="9"/>
  <c r="AC264" i="9"/>
  <c r="AB264" i="9"/>
  <c r="AA264" i="9"/>
  <c r="Z264" i="9"/>
  <c r="Y264" i="9"/>
  <c r="X264" i="9"/>
  <c r="W264" i="9"/>
  <c r="V264" i="9"/>
  <c r="U264" i="9"/>
  <c r="T264" i="9"/>
  <c r="S264" i="9"/>
  <c r="AD263" i="9"/>
  <c r="AC263" i="9"/>
  <c r="AB263" i="9"/>
  <c r="AA263" i="9"/>
  <c r="Z263" i="9"/>
  <c r="Y263" i="9"/>
  <c r="X263" i="9"/>
  <c r="W263" i="9"/>
  <c r="V263" i="9"/>
  <c r="U263" i="9"/>
  <c r="T263" i="9"/>
  <c r="S263" i="9"/>
  <c r="AD262" i="9"/>
  <c r="AC262" i="9"/>
  <c r="AB262" i="9"/>
  <c r="AA262" i="9"/>
  <c r="Z262" i="9"/>
  <c r="Y262" i="9"/>
  <c r="X262" i="9"/>
  <c r="W262" i="9"/>
  <c r="V262" i="9"/>
  <c r="U262" i="9"/>
  <c r="T262" i="9"/>
  <c r="S262" i="9"/>
  <c r="AD261" i="9"/>
  <c r="AC261" i="9"/>
  <c r="AB261" i="9"/>
  <c r="AA261" i="9"/>
  <c r="Z261" i="9"/>
  <c r="Y261" i="9"/>
  <c r="X261" i="9"/>
  <c r="W261" i="9"/>
  <c r="V261" i="9"/>
  <c r="U261" i="9"/>
  <c r="T261" i="9"/>
  <c r="S261" i="9"/>
  <c r="AD260" i="9"/>
  <c r="AC260" i="9"/>
  <c r="AB260" i="9"/>
  <c r="AA260" i="9"/>
  <c r="Z260" i="9"/>
  <c r="Y260" i="9"/>
  <c r="X260" i="9"/>
  <c r="W260" i="9"/>
  <c r="V260" i="9"/>
  <c r="U260" i="9"/>
  <c r="T260" i="9"/>
  <c r="S260" i="9"/>
  <c r="AD259" i="9"/>
  <c r="AC259" i="9"/>
  <c r="AB259" i="9"/>
  <c r="AA259" i="9"/>
  <c r="Z259" i="9"/>
  <c r="Y259" i="9"/>
  <c r="X259" i="9"/>
  <c r="W259" i="9"/>
  <c r="V259" i="9"/>
  <c r="U259" i="9"/>
  <c r="T259" i="9"/>
  <c r="S259" i="9"/>
  <c r="AD258" i="9"/>
  <c r="AC258" i="9"/>
  <c r="AB258" i="9"/>
  <c r="AA258" i="9"/>
  <c r="Z258" i="9"/>
  <c r="Y258" i="9"/>
  <c r="X258" i="9"/>
  <c r="W258" i="9"/>
  <c r="V258" i="9"/>
  <c r="U258" i="9"/>
  <c r="T258" i="9"/>
  <c r="S258" i="9"/>
  <c r="AD257" i="9"/>
  <c r="AC257" i="9"/>
  <c r="AB257" i="9"/>
  <c r="AA257" i="9"/>
  <c r="Z257" i="9"/>
  <c r="Y257" i="9"/>
  <c r="X257" i="9"/>
  <c r="W257" i="9"/>
  <c r="V257" i="9"/>
  <c r="U257" i="9"/>
  <c r="T257" i="9"/>
  <c r="S257" i="9"/>
  <c r="AD256" i="9"/>
  <c r="AC256" i="9"/>
  <c r="AB256" i="9"/>
  <c r="AA256" i="9"/>
  <c r="Z256" i="9"/>
  <c r="Y256" i="9"/>
  <c r="X256" i="9"/>
  <c r="W256" i="9"/>
  <c r="V256" i="9"/>
  <c r="U256" i="9"/>
  <c r="T256" i="9"/>
  <c r="S256" i="9"/>
  <c r="AD255" i="9"/>
  <c r="AC255" i="9"/>
  <c r="AB255" i="9"/>
  <c r="AA255" i="9"/>
  <c r="Z255" i="9"/>
  <c r="Y255" i="9"/>
  <c r="X255" i="9"/>
  <c r="W255" i="9"/>
  <c r="V255" i="9"/>
  <c r="U255" i="9"/>
  <c r="T255" i="9"/>
  <c r="S255" i="9"/>
  <c r="AD254" i="9"/>
  <c r="AC254" i="9"/>
  <c r="AB254" i="9"/>
  <c r="AA254" i="9"/>
  <c r="Z254" i="9"/>
  <c r="Y254" i="9"/>
  <c r="X254" i="9"/>
  <c r="W254" i="9"/>
  <c r="V254" i="9"/>
  <c r="U254" i="9"/>
  <c r="T254" i="9"/>
  <c r="S254" i="9"/>
  <c r="AD253" i="9"/>
  <c r="AC253" i="9"/>
  <c r="AB253" i="9"/>
  <c r="AA253" i="9"/>
  <c r="Z253" i="9"/>
  <c r="Y253" i="9"/>
  <c r="X253" i="9"/>
  <c r="W253" i="9"/>
  <c r="V253" i="9"/>
  <c r="U253" i="9"/>
  <c r="T253" i="9"/>
  <c r="S253" i="9"/>
  <c r="AD252" i="9"/>
  <c r="AC252" i="9"/>
  <c r="AB252" i="9"/>
  <c r="AA252" i="9"/>
  <c r="Z252" i="9"/>
  <c r="Y252" i="9"/>
  <c r="X252" i="9"/>
  <c r="W252" i="9"/>
  <c r="V252" i="9"/>
  <c r="U252" i="9"/>
  <c r="T252" i="9"/>
  <c r="S252" i="9"/>
  <c r="AD251" i="9"/>
  <c r="AC251" i="9"/>
  <c r="AB251" i="9"/>
  <c r="AA251" i="9"/>
  <c r="Z251" i="9"/>
  <c r="Y251" i="9"/>
  <c r="X251" i="9"/>
  <c r="W251" i="9"/>
  <c r="V251" i="9"/>
  <c r="U251" i="9"/>
  <c r="T251" i="9"/>
  <c r="S251" i="9"/>
  <c r="AD250" i="9"/>
  <c r="AC250" i="9"/>
  <c r="AB250" i="9"/>
  <c r="AA250" i="9"/>
  <c r="Z250" i="9"/>
  <c r="Y250" i="9"/>
  <c r="X250" i="9"/>
  <c r="W250" i="9"/>
  <c r="V250" i="9"/>
  <c r="U250" i="9"/>
  <c r="T250" i="9"/>
  <c r="S250" i="9"/>
  <c r="AD249" i="9"/>
  <c r="AC249" i="9"/>
  <c r="AB249" i="9"/>
  <c r="AA249" i="9"/>
  <c r="Z249" i="9"/>
  <c r="Y249" i="9"/>
  <c r="X249" i="9"/>
  <c r="W249" i="9"/>
  <c r="V249" i="9"/>
  <c r="U249" i="9"/>
  <c r="T249" i="9"/>
  <c r="S249" i="9"/>
  <c r="AD248" i="9"/>
  <c r="AC248" i="9"/>
  <c r="AB248" i="9"/>
  <c r="AA248" i="9"/>
  <c r="Z248" i="9"/>
  <c r="Y248" i="9"/>
  <c r="X248" i="9"/>
  <c r="W248" i="9"/>
  <c r="V248" i="9"/>
  <c r="U248" i="9"/>
  <c r="T248" i="9"/>
  <c r="S248" i="9"/>
  <c r="AD247" i="9"/>
  <c r="AC247" i="9"/>
  <c r="AB247" i="9"/>
  <c r="AA247" i="9"/>
  <c r="Z247" i="9"/>
  <c r="Y247" i="9"/>
  <c r="X247" i="9"/>
  <c r="W247" i="9"/>
  <c r="V247" i="9"/>
  <c r="U247" i="9"/>
  <c r="T247" i="9"/>
  <c r="S247" i="9"/>
  <c r="AD246" i="9"/>
  <c r="AC246" i="9"/>
  <c r="AB246" i="9"/>
  <c r="AA246" i="9"/>
  <c r="Z246" i="9"/>
  <c r="Y246" i="9"/>
  <c r="X246" i="9"/>
  <c r="W246" i="9"/>
  <c r="V246" i="9"/>
  <c r="U246" i="9"/>
  <c r="T246" i="9"/>
  <c r="S246" i="9"/>
  <c r="AD245" i="9"/>
  <c r="AC245" i="9"/>
  <c r="AB245" i="9"/>
  <c r="AA245" i="9"/>
  <c r="Z245" i="9"/>
  <c r="Y245" i="9"/>
  <c r="X245" i="9"/>
  <c r="W245" i="9"/>
  <c r="V245" i="9"/>
  <c r="U245" i="9"/>
  <c r="T245" i="9"/>
  <c r="S245" i="9"/>
  <c r="AD244" i="9"/>
  <c r="AC244" i="9"/>
  <c r="AB244" i="9"/>
  <c r="AA244" i="9"/>
  <c r="Z244" i="9"/>
  <c r="Y244" i="9"/>
  <c r="X244" i="9"/>
  <c r="W244" i="9"/>
  <c r="V244" i="9"/>
  <c r="U244" i="9"/>
  <c r="T244" i="9"/>
  <c r="S244" i="9"/>
  <c r="AD243" i="9"/>
  <c r="AC243" i="9"/>
  <c r="AB243" i="9"/>
  <c r="AA243" i="9"/>
  <c r="Z243" i="9"/>
  <c r="Y243" i="9"/>
  <c r="X243" i="9"/>
  <c r="W243" i="9"/>
  <c r="V243" i="9"/>
  <c r="U243" i="9"/>
  <c r="T243" i="9"/>
  <c r="S243" i="9"/>
  <c r="AD242" i="9"/>
  <c r="AC242" i="9"/>
  <c r="AB242" i="9"/>
  <c r="AA242" i="9"/>
  <c r="Z242" i="9"/>
  <c r="Y242" i="9"/>
  <c r="X242" i="9"/>
  <c r="W242" i="9"/>
  <c r="V242" i="9"/>
  <c r="U242" i="9"/>
  <c r="T242" i="9"/>
  <c r="S242" i="9"/>
  <c r="AD241" i="9"/>
  <c r="AC241" i="9"/>
  <c r="AB241" i="9"/>
  <c r="AA241" i="9"/>
  <c r="Z241" i="9"/>
  <c r="Y241" i="9"/>
  <c r="X241" i="9"/>
  <c r="W241" i="9"/>
  <c r="V241" i="9"/>
  <c r="U241" i="9"/>
  <c r="T241" i="9"/>
  <c r="S241" i="9"/>
  <c r="AD240" i="9"/>
  <c r="AC240" i="9"/>
  <c r="AB240" i="9"/>
  <c r="AA240" i="9"/>
  <c r="Z240" i="9"/>
  <c r="Y240" i="9"/>
  <c r="X240" i="9"/>
  <c r="W240" i="9"/>
  <c r="V240" i="9"/>
  <c r="U240" i="9"/>
  <c r="T240" i="9"/>
  <c r="S240" i="9"/>
  <c r="AP320" i="9"/>
  <c r="AO320" i="9"/>
  <c r="AN320" i="9"/>
  <c r="AM320" i="9"/>
  <c r="AL320" i="9"/>
  <c r="AK320" i="9"/>
  <c r="AJ320" i="9"/>
  <c r="AI320" i="9"/>
  <c r="W320" i="9" s="1"/>
  <c r="AH320" i="9"/>
  <c r="V320" i="9" s="1"/>
  <c r="AG320" i="9"/>
  <c r="U320" i="9" s="1"/>
  <c r="AF320" i="9"/>
  <c r="T320" i="9" s="1"/>
  <c r="AE320" i="9"/>
  <c r="S320" i="9" s="1"/>
  <c r="X320" i="9"/>
  <c r="AD319" i="9"/>
  <c r="AC319" i="9"/>
  <c r="AB319" i="9"/>
  <c r="AA319" i="9"/>
  <c r="Z319" i="9"/>
  <c r="Y319" i="9"/>
  <c r="X319" i="9"/>
  <c r="W319" i="9"/>
  <c r="V319" i="9"/>
  <c r="U319" i="9"/>
  <c r="T319" i="9"/>
  <c r="S319" i="9"/>
  <c r="AD318" i="9"/>
  <c r="AC318" i="9"/>
  <c r="AB318" i="9"/>
  <c r="AA318" i="9"/>
  <c r="Z318" i="9"/>
  <c r="Y318" i="9"/>
  <c r="X318" i="9"/>
  <c r="W318" i="9"/>
  <c r="V318" i="9"/>
  <c r="U318" i="9"/>
  <c r="T318" i="9"/>
  <c r="S318" i="9"/>
  <c r="AD317" i="9"/>
  <c r="AC317" i="9"/>
  <c r="AB317" i="9"/>
  <c r="AA317" i="9"/>
  <c r="Z317" i="9"/>
  <c r="Y317" i="9"/>
  <c r="X317" i="9"/>
  <c r="W317" i="9"/>
  <c r="V317" i="9"/>
  <c r="U317" i="9"/>
  <c r="T317" i="9"/>
  <c r="S317" i="9"/>
  <c r="AD316" i="9"/>
  <c r="AC316" i="9"/>
  <c r="AB316" i="9"/>
  <c r="AA316" i="9"/>
  <c r="Z316" i="9"/>
  <c r="Y316" i="9"/>
  <c r="X316" i="9"/>
  <c r="W316" i="9"/>
  <c r="V316" i="9"/>
  <c r="U316" i="9"/>
  <c r="T316" i="9"/>
  <c r="S316" i="9"/>
  <c r="AD315" i="9"/>
  <c r="AC315" i="9"/>
  <c r="AB315" i="9"/>
  <c r="AA315" i="9"/>
  <c r="Z315" i="9"/>
  <c r="Y315" i="9"/>
  <c r="X315" i="9"/>
  <c r="W315" i="9"/>
  <c r="V315" i="9"/>
  <c r="U315" i="9"/>
  <c r="T315" i="9"/>
  <c r="S315" i="9"/>
  <c r="AD314" i="9"/>
  <c r="AC314" i="9"/>
  <c r="AB314" i="9"/>
  <c r="AA314" i="9"/>
  <c r="Z314" i="9"/>
  <c r="Y314" i="9"/>
  <c r="X314" i="9"/>
  <c r="W314" i="9"/>
  <c r="V314" i="9"/>
  <c r="U314" i="9"/>
  <c r="T314" i="9"/>
  <c r="S314" i="9"/>
  <c r="AD313" i="9"/>
  <c r="AC313" i="9"/>
  <c r="AB313" i="9"/>
  <c r="AA313" i="9"/>
  <c r="Z313" i="9"/>
  <c r="Y313" i="9"/>
  <c r="X313" i="9"/>
  <c r="W313" i="9"/>
  <c r="V313" i="9"/>
  <c r="U313" i="9"/>
  <c r="T313" i="9"/>
  <c r="S313" i="9"/>
  <c r="AD312" i="9"/>
  <c r="AC312" i="9"/>
  <c r="AB312" i="9"/>
  <c r="AA312" i="9"/>
  <c r="Z312" i="9"/>
  <c r="Y312" i="9"/>
  <c r="X312" i="9"/>
  <c r="W312" i="9"/>
  <c r="V312" i="9"/>
  <c r="U312" i="9"/>
  <c r="T312" i="9"/>
  <c r="S312" i="9"/>
  <c r="AD311" i="9"/>
  <c r="AC311" i="9"/>
  <c r="AB311" i="9"/>
  <c r="AA311" i="9"/>
  <c r="Z311" i="9"/>
  <c r="Y311" i="9"/>
  <c r="X311" i="9"/>
  <c r="W311" i="9"/>
  <c r="V311" i="9"/>
  <c r="U311" i="9"/>
  <c r="T311" i="9"/>
  <c r="S311" i="9"/>
  <c r="AD310" i="9"/>
  <c r="AC310" i="9"/>
  <c r="AB310" i="9"/>
  <c r="AA310" i="9"/>
  <c r="Z310" i="9"/>
  <c r="Y310" i="9"/>
  <c r="X310" i="9"/>
  <c r="W310" i="9"/>
  <c r="V310" i="9"/>
  <c r="U310" i="9"/>
  <c r="T310" i="9"/>
  <c r="S310" i="9"/>
  <c r="AD309" i="9"/>
  <c r="AC309" i="9"/>
  <c r="AB309" i="9"/>
  <c r="AA309" i="9"/>
  <c r="Z309" i="9"/>
  <c r="Y309" i="9"/>
  <c r="X309" i="9"/>
  <c r="W309" i="9"/>
  <c r="V309" i="9"/>
  <c r="U309" i="9"/>
  <c r="T309" i="9"/>
  <c r="S309" i="9"/>
  <c r="AD308" i="9"/>
  <c r="AC308" i="9"/>
  <c r="AB308" i="9"/>
  <c r="AA308" i="9"/>
  <c r="Z308" i="9"/>
  <c r="Y308" i="9"/>
  <c r="X308" i="9"/>
  <c r="W308" i="9"/>
  <c r="V308" i="9"/>
  <c r="U308" i="9"/>
  <c r="T308" i="9"/>
  <c r="S308" i="9"/>
  <c r="AD307" i="9"/>
  <c r="AC307" i="9"/>
  <c r="AB307" i="9"/>
  <c r="AA307" i="9"/>
  <c r="Z307" i="9"/>
  <c r="Y307" i="9"/>
  <c r="X307" i="9"/>
  <c r="W307" i="9"/>
  <c r="V307" i="9"/>
  <c r="U307" i="9"/>
  <c r="T307" i="9"/>
  <c r="S307" i="9"/>
  <c r="AD306" i="9"/>
  <c r="AC306" i="9"/>
  <c r="AB306" i="9"/>
  <c r="AA306" i="9"/>
  <c r="Z306" i="9"/>
  <c r="Y306" i="9"/>
  <c r="X306" i="9"/>
  <c r="W306" i="9"/>
  <c r="V306" i="9"/>
  <c r="U306" i="9"/>
  <c r="T306" i="9"/>
  <c r="S306" i="9"/>
  <c r="AD305" i="9"/>
  <c r="AC305" i="9"/>
  <c r="AB305" i="9"/>
  <c r="AA305" i="9"/>
  <c r="Z305" i="9"/>
  <c r="Y305" i="9"/>
  <c r="X305" i="9"/>
  <c r="W305" i="9"/>
  <c r="V305" i="9"/>
  <c r="U305" i="9"/>
  <c r="T305" i="9"/>
  <c r="S305" i="9"/>
  <c r="AD304" i="9"/>
  <c r="AC304" i="9"/>
  <c r="AB304" i="9"/>
  <c r="AA304" i="9"/>
  <c r="Z304" i="9"/>
  <c r="Y304" i="9"/>
  <c r="X304" i="9"/>
  <c r="W304" i="9"/>
  <c r="V304" i="9"/>
  <c r="U304" i="9"/>
  <c r="T304" i="9"/>
  <c r="S304" i="9"/>
  <c r="AD303" i="9"/>
  <c r="AC303" i="9"/>
  <c r="AB303" i="9"/>
  <c r="AA303" i="9"/>
  <c r="Z303" i="9"/>
  <c r="Y303" i="9"/>
  <c r="X303" i="9"/>
  <c r="W303" i="9"/>
  <c r="V303" i="9"/>
  <c r="U303" i="9"/>
  <c r="T303" i="9"/>
  <c r="S303" i="9"/>
  <c r="AD302" i="9"/>
  <c r="AC302" i="9"/>
  <c r="AB302" i="9"/>
  <c r="AA302" i="9"/>
  <c r="Z302" i="9"/>
  <c r="Y302" i="9"/>
  <c r="X302" i="9"/>
  <c r="W302" i="9"/>
  <c r="V302" i="9"/>
  <c r="U302" i="9"/>
  <c r="T302" i="9"/>
  <c r="S302" i="9"/>
  <c r="AD301" i="9"/>
  <c r="AC301" i="9"/>
  <c r="AB301" i="9"/>
  <c r="AA301" i="9"/>
  <c r="Z301" i="9"/>
  <c r="Y301" i="9"/>
  <c r="X301" i="9"/>
  <c r="W301" i="9"/>
  <c r="V301" i="9"/>
  <c r="U301" i="9"/>
  <c r="T301" i="9"/>
  <c r="S301" i="9"/>
  <c r="AD300" i="9"/>
  <c r="AC300" i="9"/>
  <c r="AB300" i="9"/>
  <c r="AA300" i="9"/>
  <c r="Z300" i="9"/>
  <c r="Y300" i="9"/>
  <c r="X300" i="9"/>
  <c r="W300" i="9"/>
  <c r="V300" i="9"/>
  <c r="U300" i="9"/>
  <c r="T300" i="9"/>
  <c r="S300" i="9"/>
  <c r="AD299" i="9"/>
  <c r="AC299" i="9"/>
  <c r="AB299" i="9"/>
  <c r="AA299" i="9"/>
  <c r="Z299" i="9"/>
  <c r="Y299" i="9"/>
  <c r="X299" i="9"/>
  <c r="W299" i="9"/>
  <c r="V299" i="9"/>
  <c r="U299" i="9"/>
  <c r="T299" i="9"/>
  <c r="S299" i="9"/>
  <c r="AD298" i="9"/>
  <c r="AC298" i="9"/>
  <c r="AB298" i="9"/>
  <c r="AA298" i="9"/>
  <c r="Z298" i="9"/>
  <c r="Y298" i="9"/>
  <c r="X298" i="9"/>
  <c r="W298" i="9"/>
  <c r="V298" i="9"/>
  <c r="U298" i="9"/>
  <c r="T298" i="9"/>
  <c r="S298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AD296" i="9"/>
  <c r="AC296" i="9"/>
  <c r="AB296" i="9"/>
  <c r="AA296" i="9"/>
  <c r="Z296" i="9"/>
  <c r="Y296" i="9"/>
  <c r="X296" i="9"/>
  <c r="W296" i="9"/>
  <c r="V296" i="9"/>
  <c r="U296" i="9"/>
  <c r="T296" i="9"/>
  <c r="S296" i="9"/>
  <c r="AD295" i="9"/>
  <c r="AC295" i="9"/>
  <c r="AB295" i="9"/>
  <c r="AA295" i="9"/>
  <c r="Z295" i="9"/>
  <c r="Y295" i="9"/>
  <c r="X295" i="9"/>
  <c r="W295" i="9"/>
  <c r="V295" i="9"/>
  <c r="U295" i="9"/>
  <c r="T295" i="9"/>
  <c r="S295" i="9"/>
  <c r="AD294" i="9"/>
  <c r="AC294" i="9"/>
  <c r="AB294" i="9"/>
  <c r="AA294" i="9"/>
  <c r="Z294" i="9"/>
  <c r="Y294" i="9"/>
  <c r="X294" i="9"/>
  <c r="W294" i="9"/>
  <c r="V294" i="9"/>
  <c r="U294" i="9"/>
  <c r="T294" i="9"/>
  <c r="S294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AD291" i="9"/>
  <c r="AC291" i="9"/>
  <c r="AB291" i="9"/>
  <c r="AA291" i="9"/>
  <c r="Z291" i="9"/>
  <c r="Y291" i="9"/>
  <c r="X291" i="9"/>
  <c r="W291" i="9"/>
  <c r="V291" i="9"/>
  <c r="U291" i="9"/>
  <c r="T291" i="9"/>
  <c r="S291" i="9"/>
  <c r="AD290" i="9"/>
  <c r="AC290" i="9"/>
  <c r="AB290" i="9"/>
  <c r="AA290" i="9"/>
  <c r="Z290" i="9"/>
  <c r="Y290" i="9"/>
  <c r="X290" i="9"/>
  <c r="W290" i="9"/>
  <c r="V290" i="9"/>
  <c r="U290" i="9"/>
  <c r="T290" i="9"/>
  <c r="S290" i="9"/>
  <c r="AD289" i="9"/>
  <c r="AC289" i="9"/>
  <c r="AB289" i="9"/>
  <c r="AA289" i="9"/>
  <c r="Z289" i="9"/>
  <c r="Y289" i="9"/>
  <c r="X289" i="9"/>
  <c r="W289" i="9"/>
  <c r="V289" i="9"/>
  <c r="U289" i="9"/>
  <c r="T289" i="9"/>
  <c r="S289" i="9"/>
  <c r="AD288" i="9"/>
  <c r="AC288" i="9"/>
  <c r="AB288" i="9"/>
  <c r="AA288" i="9"/>
  <c r="Z288" i="9"/>
  <c r="Y288" i="9"/>
  <c r="X288" i="9"/>
  <c r="W288" i="9"/>
  <c r="V288" i="9"/>
  <c r="U288" i="9"/>
  <c r="T288" i="9"/>
  <c r="S288" i="9"/>
  <c r="AD287" i="9"/>
  <c r="AC287" i="9"/>
  <c r="AB287" i="9"/>
  <c r="AA287" i="9"/>
  <c r="Z287" i="9"/>
  <c r="Y287" i="9"/>
  <c r="X287" i="9"/>
  <c r="W287" i="9"/>
  <c r="V287" i="9"/>
  <c r="U287" i="9"/>
  <c r="T287" i="9"/>
  <c r="S287" i="9"/>
  <c r="AD286" i="9"/>
  <c r="AC286" i="9"/>
  <c r="AB286" i="9"/>
  <c r="AA286" i="9"/>
  <c r="Z286" i="9"/>
  <c r="Y286" i="9"/>
  <c r="X286" i="9"/>
  <c r="W286" i="9"/>
  <c r="V286" i="9"/>
  <c r="U286" i="9"/>
  <c r="T286" i="9"/>
  <c r="S286" i="9"/>
  <c r="AD285" i="9"/>
  <c r="AC285" i="9"/>
  <c r="AB285" i="9"/>
  <c r="AA285" i="9"/>
  <c r="Z285" i="9"/>
  <c r="Y285" i="9"/>
  <c r="X285" i="9"/>
  <c r="W285" i="9"/>
  <c r="V285" i="9"/>
  <c r="U285" i="9"/>
  <c r="T285" i="9"/>
  <c r="S285" i="9"/>
  <c r="AD284" i="9"/>
  <c r="AC284" i="9"/>
  <c r="AB284" i="9"/>
  <c r="AA284" i="9"/>
  <c r="Z284" i="9"/>
  <c r="Y284" i="9"/>
  <c r="X284" i="9"/>
  <c r="W284" i="9"/>
  <c r="V284" i="9"/>
  <c r="U284" i="9"/>
  <c r="T284" i="9"/>
  <c r="S284" i="9"/>
  <c r="AD283" i="9"/>
  <c r="AC283" i="9"/>
  <c r="AB283" i="9"/>
  <c r="AA283" i="9"/>
  <c r="Z283" i="9"/>
  <c r="Y283" i="9"/>
  <c r="X283" i="9"/>
  <c r="W283" i="9"/>
  <c r="V283" i="9"/>
  <c r="U283" i="9"/>
  <c r="T283" i="9"/>
  <c r="S283" i="9"/>
  <c r="AD282" i="9"/>
  <c r="AC282" i="9"/>
  <c r="AB282" i="9"/>
  <c r="AA282" i="9"/>
  <c r="Z282" i="9"/>
  <c r="Y282" i="9"/>
  <c r="X282" i="9"/>
  <c r="W282" i="9"/>
  <c r="V282" i="9"/>
  <c r="U282" i="9"/>
  <c r="T282" i="9"/>
  <c r="S282" i="9"/>
  <c r="X361" i="9"/>
  <c r="W361" i="9"/>
  <c r="V361" i="9"/>
  <c r="U361" i="9"/>
  <c r="T361" i="9"/>
  <c r="S361" i="9"/>
  <c r="X360" i="9"/>
  <c r="W360" i="9"/>
  <c r="V360" i="9"/>
  <c r="U360" i="9"/>
  <c r="T360" i="9"/>
  <c r="S360" i="9"/>
  <c r="X359" i="9"/>
  <c r="W359" i="9"/>
  <c r="V359" i="9"/>
  <c r="U359" i="9"/>
  <c r="T359" i="9"/>
  <c r="S359" i="9"/>
  <c r="X358" i="9"/>
  <c r="W358" i="9"/>
  <c r="V358" i="9"/>
  <c r="U358" i="9"/>
  <c r="T358" i="9"/>
  <c r="S358" i="9"/>
  <c r="X357" i="9"/>
  <c r="W357" i="9"/>
  <c r="V357" i="9"/>
  <c r="U357" i="9"/>
  <c r="T357" i="9"/>
  <c r="S357" i="9"/>
  <c r="X356" i="9"/>
  <c r="W356" i="9"/>
  <c r="V356" i="9"/>
  <c r="U356" i="9"/>
  <c r="T356" i="9"/>
  <c r="S356" i="9"/>
  <c r="X355" i="9"/>
  <c r="W355" i="9"/>
  <c r="V355" i="9"/>
  <c r="U355" i="9"/>
  <c r="T355" i="9"/>
  <c r="S355" i="9"/>
  <c r="X354" i="9"/>
  <c r="W354" i="9"/>
  <c r="V354" i="9"/>
  <c r="U354" i="9"/>
  <c r="T354" i="9"/>
  <c r="S354" i="9"/>
  <c r="X353" i="9"/>
  <c r="W353" i="9"/>
  <c r="V353" i="9"/>
  <c r="U353" i="9"/>
  <c r="T353" i="9"/>
  <c r="S353" i="9"/>
  <c r="X352" i="9"/>
  <c r="W352" i="9"/>
  <c r="V352" i="9"/>
  <c r="U352" i="9"/>
  <c r="T352" i="9"/>
  <c r="S352" i="9"/>
  <c r="X351" i="9"/>
  <c r="W351" i="9"/>
  <c r="V351" i="9"/>
  <c r="U351" i="9"/>
  <c r="T351" i="9"/>
  <c r="S351" i="9"/>
  <c r="X350" i="9"/>
  <c r="W350" i="9"/>
  <c r="V350" i="9"/>
  <c r="U350" i="9"/>
  <c r="T350" i="9"/>
  <c r="S350" i="9"/>
  <c r="X349" i="9"/>
  <c r="W349" i="9"/>
  <c r="V349" i="9"/>
  <c r="U349" i="9"/>
  <c r="T349" i="9"/>
  <c r="S349" i="9"/>
  <c r="X348" i="9"/>
  <c r="W348" i="9"/>
  <c r="V348" i="9"/>
  <c r="U348" i="9"/>
  <c r="T348" i="9"/>
  <c r="S348" i="9"/>
  <c r="X347" i="9"/>
  <c r="W347" i="9"/>
  <c r="V347" i="9"/>
  <c r="U347" i="9"/>
  <c r="T347" i="9"/>
  <c r="S347" i="9"/>
  <c r="X346" i="9"/>
  <c r="W346" i="9"/>
  <c r="V346" i="9"/>
  <c r="U346" i="9"/>
  <c r="T346" i="9"/>
  <c r="S346" i="9"/>
  <c r="X345" i="9"/>
  <c r="W345" i="9"/>
  <c r="V345" i="9"/>
  <c r="U345" i="9"/>
  <c r="T345" i="9"/>
  <c r="S345" i="9"/>
  <c r="X344" i="9"/>
  <c r="W344" i="9"/>
  <c r="V344" i="9"/>
  <c r="U344" i="9"/>
  <c r="T344" i="9"/>
  <c r="S344" i="9"/>
  <c r="X343" i="9"/>
  <c r="W343" i="9"/>
  <c r="V343" i="9"/>
  <c r="U343" i="9"/>
  <c r="T343" i="9"/>
  <c r="S343" i="9"/>
  <c r="X342" i="9"/>
  <c r="W342" i="9"/>
  <c r="V342" i="9"/>
  <c r="U342" i="9"/>
  <c r="T342" i="9"/>
  <c r="S342" i="9"/>
  <c r="X341" i="9"/>
  <c r="W341" i="9"/>
  <c r="V341" i="9"/>
  <c r="U341" i="9"/>
  <c r="T341" i="9"/>
  <c r="S341" i="9"/>
  <c r="X340" i="9"/>
  <c r="W340" i="9"/>
  <c r="V340" i="9"/>
  <c r="U340" i="9"/>
  <c r="T340" i="9"/>
  <c r="S340" i="9"/>
  <c r="X339" i="9"/>
  <c r="W339" i="9"/>
  <c r="V339" i="9"/>
  <c r="U339" i="9"/>
  <c r="T339" i="9"/>
  <c r="S339" i="9"/>
  <c r="X338" i="9"/>
  <c r="W338" i="9"/>
  <c r="V338" i="9"/>
  <c r="U338" i="9"/>
  <c r="T338" i="9"/>
  <c r="S338" i="9"/>
  <c r="X337" i="9"/>
  <c r="W337" i="9"/>
  <c r="V337" i="9"/>
  <c r="U337" i="9"/>
  <c r="T337" i="9"/>
  <c r="S337" i="9"/>
  <c r="X336" i="9"/>
  <c r="W336" i="9"/>
  <c r="V336" i="9"/>
  <c r="U336" i="9"/>
  <c r="T336" i="9"/>
  <c r="S336" i="9"/>
  <c r="X335" i="9"/>
  <c r="W335" i="9"/>
  <c r="V335" i="9"/>
  <c r="U335" i="9"/>
  <c r="T335" i="9"/>
  <c r="S335" i="9"/>
  <c r="X334" i="9"/>
  <c r="W334" i="9"/>
  <c r="V334" i="9"/>
  <c r="U334" i="9"/>
  <c r="T334" i="9"/>
  <c r="S334" i="9"/>
  <c r="X333" i="9"/>
  <c r="W333" i="9"/>
  <c r="V333" i="9"/>
  <c r="U333" i="9"/>
  <c r="T333" i="9"/>
  <c r="S333" i="9"/>
  <c r="X332" i="9"/>
  <c r="W332" i="9"/>
  <c r="V332" i="9"/>
  <c r="U332" i="9"/>
  <c r="T332" i="9"/>
  <c r="S332" i="9"/>
  <c r="X331" i="9"/>
  <c r="W331" i="9"/>
  <c r="V331" i="9"/>
  <c r="U331" i="9"/>
  <c r="T331" i="9"/>
  <c r="S331" i="9"/>
  <c r="X330" i="9"/>
  <c r="W330" i="9"/>
  <c r="V330" i="9"/>
  <c r="U330" i="9"/>
  <c r="T330" i="9"/>
  <c r="S330" i="9"/>
  <c r="X329" i="9"/>
  <c r="W329" i="9"/>
  <c r="V329" i="9"/>
  <c r="U329" i="9"/>
  <c r="T329" i="9"/>
  <c r="S329" i="9"/>
  <c r="X328" i="9"/>
  <c r="W328" i="9"/>
  <c r="V328" i="9"/>
  <c r="U328" i="9"/>
  <c r="T328" i="9"/>
  <c r="S328" i="9"/>
  <c r="X327" i="9"/>
  <c r="W327" i="9"/>
  <c r="V327" i="9"/>
  <c r="U327" i="9"/>
  <c r="T327" i="9"/>
  <c r="S327" i="9"/>
  <c r="X326" i="9"/>
  <c r="W326" i="9"/>
  <c r="V326" i="9"/>
  <c r="U326" i="9"/>
  <c r="T326" i="9"/>
  <c r="S326" i="9"/>
  <c r="X325" i="9"/>
  <c r="W325" i="9"/>
  <c r="V325" i="9"/>
  <c r="U325" i="9"/>
  <c r="T325" i="9"/>
  <c r="S325" i="9"/>
  <c r="X324" i="9"/>
  <c r="W324" i="9"/>
  <c r="V324" i="9"/>
  <c r="U324" i="9"/>
  <c r="T324" i="9"/>
  <c r="S324" i="9"/>
  <c r="AD361" i="9"/>
  <c r="AC361" i="9"/>
  <c r="AB361" i="9"/>
  <c r="AA361" i="9"/>
  <c r="Z361" i="9"/>
  <c r="Y361" i="9"/>
  <c r="AD360" i="9"/>
  <c r="AC360" i="9"/>
  <c r="AB360" i="9"/>
  <c r="AA360" i="9"/>
  <c r="Z360" i="9"/>
  <c r="Y360" i="9"/>
  <c r="AD359" i="9"/>
  <c r="AC359" i="9"/>
  <c r="AB359" i="9"/>
  <c r="AA359" i="9"/>
  <c r="Z359" i="9"/>
  <c r="Y359" i="9"/>
  <c r="AD358" i="9"/>
  <c r="AC358" i="9"/>
  <c r="AB358" i="9"/>
  <c r="AA358" i="9"/>
  <c r="Z358" i="9"/>
  <c r="Y358" i="9"/>
  <c r="AD357" i="9"/>
  <c r="AC357" i="9"/>
  <c r="AB357" i="9"/>
  <c r="AA357" i="9"/>
  <c r="Z357" i="9"/>
  <c r="Y357" i="9"/>
  <c r="AD356" i="9"/>
  <c r="AC356" i="9"/>
  <c r="AB356" i="9"/>
  <c r="AA356" i="9"/>
  <c r="Z356" i="9"/>
  <c r="Y356" i="9"/>
  <c r="AD355" i="9"/>
  <c r="AC355" i="9"/>
  <c r="AB355" i="9"/>
  <c r="AA355" i="9"/>
  <c r="Z355" i="9"/>
  <c r="Y355" i="9"/>
  <c r="AD354" i="9"/>
  <c r="AC354" i="9"/>
  <c r="AB354" i="9"/>
  <c r="AA354" i="9"/>
  <c r="Z354" i="9"/>
  <c r="Y354" i="9"/>
  <c r="AD353" i="9"/>
  <c r="AC353" i="9"/>
  <c r="AB353" i="9"/>
  <c r="AA353" i="9"/>
  <c r="Z353" i="9"/>
  <c r="Y353" i="9"/>
  <c r="AD352" i="9"/>
  <c r="AC352" i="9"/>
  <c r="AB352" i="9"/>
  <c r="AA352" i="9"/>
  <c r="Z352" i="9"/>
  <c r="Y352" i="9"/>
  <c r="AD351" i="9"/>
  <c r="AC351" i="9"/>
  <c r="AB351" i="9"/>
  <c r="AA351" i="9"/>
  <c r="Z351" i="9"/>
  <c r="Y351" i="9"/>
  <c r="AD350" i="9"/>
  <c r="AC350" i="9"/>
  <c r="AB350" i="9"/>
  <c r="AA350" i="9"/>
  <c r="Z350" i="9"/>
  <c r="Y350" i="9"/>
  <c r="AD349" i="9"/>
  <c r="AC349" i="9"/>
  <c r="AB349" i="9"/>
  <c r="AA349" i="9"/>
  <c r="Z349" i="9"/>
  <c r="Y349" i="9"/>
  <c r="AD348" i="9"/>
  <c r="AC348" i="9"/>
  <c r="AB348" i="9"/>
  <c r="AA348" i="9"/>
  <c r="Z348" i="9"/>
  <c r="Y348" i="9"/>
  <c r="AD347" i="9"/>
  <c r="AC347" i="9"/>
  <c r="AB347" i="9"/>
  <c r="AA347" i="9"/>
  <c r="Z347" i="9"/>
  <c r="Y347" i="9"/>
  <c r="AD346" i="9"/>
  <c r="AC346" i="9"/>
  <c r="AB346" i="9"/>
  <c r="AA346" i="9"/>
  <c r="Z346" i="9"/>
  <c r="Y346" i="9"/>
  <c r="AD345" i="9"/>
  <c r="AC345" i="9"/>
  <c r="AB345" i="9"/>
  <c r="AA345" i="9"/>
  <c r="Z345" i="9"/>
  <c r="Y345" i="9"/>
  <c r="AD344" i="9"/>
  <c r="AC344" i="9"/>
  <c r="AB344" i="9"/>
  <c r="AA344" i="9"/>
  <c r="Z344" i="9"/>
  <c r="Y344" i="9"/>
  <c r="AD343" i="9"/>
  <c r="AC343" i="9"/>
  <c r="AB343" i="9"/>
  <c r="AA343" i="9"/>
  <c r="Z343" i="9"/>
  <c r="Y343" i="9"/>
  <c r="AD342" i="9"/>
  <c r="AC342" i="9"/>
  <c r="AB342" i="9"/>
  <c r="AA342" i="9"/>
  <c r="Z342" i="9"/>
  <c r="Y342" i="9"/>
  <c r="AD341" i="9"/>
  <c r="AC341" i="9"/>
  <c r="AB341" i="9"/>
  <c r="AA341" i="9"/>
  <c r="Z341" i="9"/>
  <c r="Y341" i="9"/>
  <c r="AD340" i="9"/>
  <c r="AC340" i="9"/>
  <c r="AB340" i="9"/>
  <c r="AA340" i="9"/>
  <c r="Z340" i="9"/>
  <c r="Y340" i="9"/>
  <c r="AD339" i="9"/>
  <c r="AC339" i="9"/>
  <c r="AB339" i="9"/>
  <c r="AA339" i="9"/>
  <c r="Z339" i="9"/>
  <c r="Y339" i="9"/>
  <c r="AD338" i="9"/>
  <c r="AC338" i="9"/>
  <c r="AB338" i="9"/>
  <c r="AA338" i="9"/>
  <c r="Z338" i="9"/>
  <c r="Y338" i="9"/>
  <c r="AD337" i="9"/>
  <c r="AC337" i="9"/>
  <c r="AB337" i="9"/>
  <c r="AA337" i="9"/>
  <c r="Z337" i="9"/>
  <c r="Y337" i="9"/>
  <c r="AD336" i="9"/>
  <c r="AC336" i="9"/>
  <c r="AB336" i="9"/>
  <c r="AA336" i="9"/>
  <c r="Z336" i="9"/>
  <c r="Y336" i="9"/>
  <c r="AD335" i="9"/>
  <c r="AC335" i="9"/>
  <c r="AB335" i="9"/>
  <c r="AA335" i="9"/>
  <c r="Z335" i="9"/>
  <c r="Y335" i="9"/>
  <c r="AD334" i="9"/>
  <c r="AC334" i="9"/>
  <c r="AB334" i="9"/>
  <c r="AA334" i="9"/>
  <c r="Z334" i="9"/>
  <c r="Y334" i="9"/>
  <c r="AD333" i="9"/>
  <c r="AC333" i="9"/>
  <c r="AB333" i="9"/>
  <c r="AA333" i="9"/>
  <c r="Z333" i="9"/>
  <c r="Y333" i="9"/>
  <c r="AD332" i="9"/>
  <c r="AC332" i="9"/>
  <c r="AB332" i="9"/>
  <c r="AA332" i="9"/>
  <c r="Z332" i="9"/>
  <c r="Y332" i="9"/>
  <c r="AD331" i="9"/>
  <c r="AC331" i="9"/>
  <c r="AB331" i="9"/>
  <c r="AA331" i="9"/>
  <c r="Z331" i="9"/>
  <c r="Y331" i="9"/>
  <c r="AD330" i="9"/>
  <c r="AC330" i="9"/>
  <c r="AB330" i="9"/>
  <c r="AA330" i="9"/>
  <c r="Z330" i="9"/>
  <c r="Y330" i="9"/>
  <c r="AD329" i="9"/>
  <c r="AC329" i="9"/>
  <c r="AB329" i="9"/>
  <c r="AA329" i="9"/>
  <c r="Z329" i="9"/>
  <c r="Y329" i="9"/>
  <c r="AD328" i="9"/>
  <c r="AC328" i="9"/>
  <c r="AB328" i="9"/>
  <c r="AA328" i="9"/>
  <c r="Z328" i="9"/>
  <c r="Y328" i="9"/>
  <c r="AD327" i="9"/>
  <c r="AC327" i="9"/>
  <c r="AB327" i="9"/>
  <c r="AA327" i="9"/>
  <c r="Z327" i="9"/>
  <c r="Y327" i="9"/>
  <c r="AD326" i="9"/>
  <c r="AC326" i="9"/>
  <c r="AB326" i="9"/>
  <c r="AA326" i="9"/>
  <c r="Z326" i="9"/>
  <c r="Y326" i="9"/>
  <c r="AD325" i="9"/>
  <c r="AC325" i="9"/>
  <c r="AB325" i="9"/>
  <c r="AA325" i="9"/>
  <c r="Z325" i="9"/>
  <c r="Y325" i="9"/>
  <c r="AD324" i="9"/>
  <c r="AC324" i="9"/>
  <c r="AB324" i="9"/>
  <c r="AA324" i="9"/>
  <c r="Z324" i="9"/>
  <c r="Y324" i="9"/>
  <c r="AO362" i="9"/>
  <c r="AN362" i="9"/>
  <c r="AM362" i="9"/>
  <c r="AL362" i="9"/>
  <c r="AK362" i="9"/>
  <c r="AJ362" i="9"/>
  <c r="AI362" i="9"/>
  <c r="AH362" i="9"/>
  <c r="AG362" i="9"/>
  <c r="AF362" i="9"/>
  <c r="AE362" i="9"/>
  <c r="AP362" i="9"/>
  <c r="P33" i="13" l="1"/>
  <c r="P39" i="13"/>
  <c r="P34" i="13"/>
  <c r="P6" i="13"/>
  <c r="P38" i="13"/>
  <c r="P27" i="13"/>
  <c r="P13" i="13"/>
  <c r="P30" i="13"/>
  <c r="P35" i="13"/>
  <c r="P26" i="13"/>
  <c r="P37" i="13"/>
  <c r="P24" i="13"/>
  <c r="P42" i="13"/>
  <c r="P25" i="13"/>
  <c r="P11" i="13"/>
  <c r="P28" i="13"/>
  <c r="P40" i="13"/>
  <c r="P5" i="13"/>
  <c r="P12" i="13"/>
  <c r="P19" i="13"/>
  <c r="P20" i="13"/>
  <c r="P23" i="13"/>
  <c r="P16" i="13"/>
  <c r="P41" i="13"/>
  <c r="P21" i="13"/>
  <c r="P36" i="13"/>
  <c r="P18" i="13"/>
  <c r="P7" i="13"/>
  <c r="P8" i="13"/>
  <c r="P9" i="13"/>
  <c r="P14" i="13"/>
  <c r="P29" i="13"/>
  <c r="P15" i="13"/>
  <c r="P32" i="13"/>
  <c r="P10" i="13"/>
  <c r="P31" i="13"/>
  <c r="AB278" i="9"/>
  <c r="AC278" i="9"/>
  <c r="Y278" i="9"/>
  <c r="AA278" i="9"/>
  <c r="AA320" i="9"/>
  <c r="AD320" i="9"/>
  <c r="Y320" i="9"/>
  <c r="AC320" i="9"/>
  <c r="Z320" i="9"/>
  <c r="AB320" i="9"/>
  <c r="Z362" i="9"/>
  <c r="AA362" i="9"/>
  <c r="AB362" i="9"/>
  <c r="AC362" i="9"/>
  <c r="AD362" i="9"/>
  <c r="Y362" i="9"/>
  <c r="X362" i="9"/>
  <c r="W362" i="9"/>
  <c r="V362" i="9"/>
  <c r="U362" i="9"/>
  <c r="T362" i="9"/>
  <c r="S362" i="9"/>
  <c r="N362" i="9"/>
  <c r="M362" i="9"/>
  <c r="L362" i="9"/>
  <c r="K362" i="9"/>
  <c r="I362" i="9"/>
  <c r="H362" i="9"/>
  <c r="G362" i="9"/>
  <c r="D362" i="9"/>
  <c r="F350" i="9"/>
  <c r="F362" i="9" s="1"/>
  <c r="N320" i="9"/>
  <c r="M320" i="9"/>
  <c r="L320" i="9"/>
  <c r="K320" i="9"/>
  <c r="I320" i="9"/>
  <c r="H320" i="9"/>
  <c r="G320" i="9"/>
  <c r="F320" i="9"/>
  <c r="D320" i="9"/>
  <c r="N278" i="9"/>
  <c r="M278" i="9"/>
  <c r="L278" i="9"/>
  <c r="K278" i="9"/>
  <c r="I278" i="9"/>
  <c r="H278" i="9"/>
  <c r="G278" i="9"/>
  <c r="F278" i="9"/>
  <c r="D278" i="9"/>
  <c r="E267" i="9"/>
  <c r="E256" i="9"/>
  <c r="E253" i="9"/>
  <c r="N235" i="9"/>
  <c r="M235" i="9"/>
  <c r="L235" i="9"/>
  <c r="K235" i="9"/>
  <c r="I235" i="9"/>
  <c r="H235" i="9"/>
  <c r="G235" i="9"/>
  <c r="D235" i="9"/>
  <c r="N234" i="9"/>
  <c r="M234" i="9"/>
  <c r="L234" i="9"/>
  <c r="K234" i="9"/>
  <c r="I234" i="9"/>
  <c r="H234" i="9"/>
  <c r="G234" i="9"/>
  <c r="D234" i="9"/>
  <c r="N233" i="9"/>
  <c r="M233" i="9"/>
  <c r="L233" i="9"/>
  <c r="K233" i="9"/>
  <c r="I233" i="9"/>
  <c r="H233" i="9"/>
  <c r="G233" i="9"/>
  <c r="D233" i="9"/>
  <c r="N232" i="9"/>
  <c r="M232" i="9"/>
  <c r="L232" i="9"/>
  <c r="K232" i="9"/>
  <c r="I232" i="9"/>
  <c r="H232" i="9"/>
  <c r="G232" i="9"/>
  <c r="D232" i="9"/>
  <c r="N231" i="9"/>
  <c r="M231" i="9"/>
  <c r="L231" i="9"/>
  <c r="K231" i="9"/>
  <c r="I231" i="9"/>
  <c r="H231" i="9"/>
  <c r="G231" i="9"/>
  <c r="D231" i="9"/>
  <c r="N230" i="9"/>
  <c r="M230" i="9"/>
  <c r="L230" i="9"/>
  <c r="K230" i="9"/>
  <c r="I230" i="9"/>
  <c r="H230" i="9"/>
  <c r="G230" i="9"/>
  <c r="D230" i="9"/>
  <c r="N229" i="9"/>
  <c r="M229" i="9"/>
  <c r="L229" i="9"/>
  <c r="K229" i="9"/>
  <c r="I229" i="9"/>
  <c r="H229" i="9"/>
  <c r="G229" i="9"/>
  <c r="D229" i="9"/>
  <c r="N228" i="9"/>
  <c r="M228" i="9"/>
  <c r="L228" i="9"/>
  <c r="K228" i="9"/>
  <c r="I228" i="9"/>
  <c r="H228" i="9"/>
  <c r="G228" i="9"/>
  <c r="D228" i="9"/>
  <c r="N227" i="9"/>
  <c r="M227" i="9"/>
  <c r="L227" i="9"/>
  <c r="K227" i="9"/>
  <c r="I227" i="9"/>
  <c r="H227" i="9"/>
  <c r="G227" i="9"/>
  <c r="D227" i="9"/>
  <c r="N226" i="9"/>
  <c r="M226" i="9"/>
  <c r="L226" i="9"/>
  <c r="K226" i="9"/>
  <c r="I226" i="9"/>
  <c r="H226" i="9"/>
  <c r="G226" i="9"/>
  <c r="D226" i="9"/>
  <c r="N225" i="9"/>
  <c r="M225" i="9"/>
  <c r="L225" i="9"/>
  <c r="K225" i="9"/>
  <c r="I225" i="9"/>
  <c r="H225" i="9"/>
  <c r="G225" i="9"/>
  <c r="D225" i="9"/>
  <c r="F225" i="9" s="1"/>
  <c r="N224" i="9"/>
  <c r="M224" i="9"/>
  <c r="L224" i="9"/>
  <c r="K224" i="9"/>
  <c r="I224" i="9"/>
  <c r="H224" i="9"/>
  <c r="G224" i="9"/>
  <c r="D224" i="9"/>
  <c r="N223" i="9"/>
  <c r="M223" i="9"/>
  <c r="L223" i="9"/>
  <c r="K223" i="9"/>
  <c r="I223" i="9"/>
  <c r="H223" i="9"/>
  <c r="G223" i="9"/>
  <c r="D223" i="9"/>
  <c r="N222" i="9"/>
  <c r="M222" i="9"/>
  <c r="L222" i="9"/>
  <c r="K222" i="9"/>
  <c r="I222" i="9"/>
  <c r="H222" i="9"/>
  <c r="G222" i="9"/>
  <c r="D222" i="9"/>
  <c r="N221" i="9"/>
  <c r="M221" i="9"/>
  <c r="L221" i="9"/>
  <c r="K221" i="9"/>
  <c r="I221" i="9"/>
  <c r="H221" i="9"/>
  <c r="G221" i="9"/>
  <c r="D221" i="9"/>
  <c r="N220" i="9"/>
  <c r="M220" i="9"/>
  <c r="L220" i="9"/>
  <c r="K220" i="9"/>
  <c r="I220" i="9"/>
  <c r="H220" i="9"/>
  <c r="G220" i="9"/>
  <c r="D220" i="9"/>
  <c r="N219" i="9"/>
  <c r="M219" i="9"/>
  <c r="L219" i="9"/>
  <c r="K219" i="9"/>
  <c r="I219" i="9"/>
  <c r="H219" i="9"/>
  <c r="G219" i="9"/>
  <c r="D219" i="9"/>
  <c r="N218" i="9"/>
  <c r="M218" i="9"/>
  <c r="L218" i="9"/>
  <c r="K218" i="9"/>
  <c r="I218" i="9"/>
  <c r="H218" i="9"/>
  <c r="G218" i="9"/>
  <c r="D218" i="9"/>
  <c r="N217" i="9"/>
  <c r="M217" i="9"/>
  <c r="L217" i="9"/>
  <c r="K217" i="9"/>
  <c r="I217" i="9"/>
  <c r="H217" i="9"/>
  <c r="G217" i="9"/>
  <c r="D217" i="9"/>
  <c r="N216" i="9"/>
  <c r="M216" i="9"/>
  <c r="L216" i="9"/>
  <c r="K216" i="9"/>
  <c r="I216" i="9"/>
  <c r="H216" i="9"/>
  <c r="G216" i="9"/>
  <c r="D216" i="9"/>
  <c r="N215" i="9"/>
  <c r="M215" i="9"/>
  <c r="L215" i="9"/>
  <c r="K215" i="9"/>
  <c r="I215" i="9"/>
  <c r="H215" i="9"/>
  <c r="G215" i="9"/>
  <c r="D215" i="9"/>
  <c r="N214" i="9"/>
  <c r="M214" i="9"/>
  <c r="L214" i="9"/>
  <c r="K214" i="9"/>
  <c r="I214" i="9"/>
  <c r="H214" i="9"/>
  <c r="G214" i="9"/>
  <c r="D214" i="9"/>
  <c r="F214" i="9" s="1"/>
  <c r="N213" i="9"/>
  <c r="M213" i="9"/>
  <c r="L213" i="9"/>
  <c r="K213" i="9"/>
  <c r="I213" i="9"/>
  <c r="H213" i="9"/>
  <c r="G213" i="9"/>
  <c r="D213" i="9"/>
  <c r="N212" i="9"/>
  <c r="M212" i="9"/>
  <c r="L212" i="9"/>
  <c r="K212" i="9"/>
  <c r="I212" i="9"/>
  <c r="H212" i="9"/>
  <c r="G212" i="9"/>
  <c r="D212" i="9"/>
  <c r="N211" i="9"/>
  <c r="M211" i="9"/>
  <c r="L211" i="9"/>
  <c r="K211" i="9"/>
  <c r="I211" i="9"/>
  <c r="H211" i="9"/>
  <c r="G211" i="9"/>
  <c r="D211" i="9"/>
  <c r="F211" i="9" s="1"/>
  <c r="N210" i="9"/>
  <c r="M210" i="9"/>
  <c r="L210" i="9"/>
  <c r="K210" i="9"/>
  <c r="I210" i="9"/>
  <c r="H210" i="9"/>
  <c r="G210" i="9"/>
  <c r="D210" i="9"/>
  <c r="N209" i="9"/>
  <c r="M209" i="9"/>
  <c r="L209" i="9"/>
  <c r="K209" i="9"/>
  <c r="I209" i="9"/>
  <c r="H209" i="9"/>
  <c r="G209" i="9"/>
  <c r="D209" i="9"/>
  <c r="N208" i="9"/>
  <c r="M208" i="9"/>
  <c r="L208" i="9"/>
  <c r="K208" i="9"/>
  <c r="I208" i="9"/>
  <c r="H208" i="9"/>
  <c r="G208" i="9"/>
  <c r="D208" i="9"/>
  <c r="N207" i="9"/>
  <c r="M207" i="9"/>
  <c r="L207" i="9"/>
  <c r="K207" i="9"/>
  <c r="I207" i="9"/>
  <c r="H207" i="9"/>
  <c r="G207" i="9"/>
  <c r="D207" i="9"/>
  <c r="N206" i="9"/>
  <c r="M206" i="9"/>
  <c r="L206" i="9"/>
  <c r="K206" i="9"/>
  <c r="I206" i="9"/>
  <c r="H206" i="9"/>
  <c r="G206" i="9"/>
  <c r="D206" i="9"/>
  <c r="N205" i="9"/>
  <c r="M205" i="9"/>
  <c r="L205" i="9"/>
  <c r="K205" i="9"/>
  <c r="I205" i="9"/>
  <c r="H205" i="9"/>
  <c r="G205" i="9"/>
  <c r="D205" i="9"/>
  <c r="N204" i="9"/>
  <c r="M204" i="9"/>
  <c r="L204" i="9"/>
  <c r="K204" i="9"/>
  <c r="I204" i="9"/>
  <c r="H204" i="9"/>
  <c r="G204" i="9"/>
  <c r="D204" i="9"/>
  <c r="N203" i="9"/>
  <c r="M203" i="9"/>
  <c r="L203" i="9"/>
  <c r="K203" i="9"/>
  <c r="I203" i="9"/>
  <c r="H203" i="9"/>
  <c r="G203" i="9"/>
  <c r="D203" i="9"/>
  <c r="N202" i="9"/>
  <c r="M202" i="9"/>
  <c r="L202" i="9"/>
  <c r="K202" i="9"/>
  <c r="I202" i="9"/>
  <c r="H202" i="9"/>
  <c r="G202" i="9"/>
  <c r="D202" i="9"/>
  <c r="N201" i="9"/>
  <c r="M201" i="9"/>
  <c r="L201" i="9"/>
  <c r="K201" i="9"/>
  <c r="I201" i="9"/>
  <c r="H201" i="9"/>
  <c r="G201" i="9"/>
  <c r="D201" i="9"/>
  <c r="N200" i="9"/>
  <c r="M200" i="9"/>
  <c r="L200" i="9"/>
  <c r="K200" i="9"/>
  <c r="I200" i="9"/>
  <c r="H200" i="9"/>
  <c r="G200" i="9"/>
  <c r="D200" i="9"/>
  <c r="N199" i="9"/>
  <c r="M199" i="9"/>
  <c r="L199" i="9"/>
  <c r="K199" i="9"/>
  <c r="I199" i="9"/>
  <c r="H199" i="9"/>
  <c r="G199" i="9"/>
  <c r="D199" i="9"/>
  <c r="N198" i="9"/>
  <c r="N236" i="9" s="1"/>
  <c r="M198" i="9"/>
  <c r="M236" i="9" s="1"/>
  <c r="L198" i="9"/>
  <c r="L236" i="9" s="1"/>
  <c r="K198" i="9"/>
  <c r="K236" i="9" s="1"/>
  <c r="I198" i="9"/>
  <c r="I236" i="9" s="1"/>
  <c r="H198" i="9"/>
  <c r="H236" i="9" s="1"/>
  <c r="G198" i="9"/>
  <c r="G236" i="9" s="1"/>
  <c r="D198" i="9"/>
  <c r="B193" i="9"/>
  <c r="B235" i="9" s="1"/>
  <c r="B277" i="9" s="1"/>
  <c r="B319" i="9" s="1"/>
  <c r="B361" i="9" s="1"/>
  <c r="A193" i="9"/>
  <c r="A235" i="9" s="1"/>
  <c r="A277" i="9" s="1"/>
  <c r="A319" i="9" s="1"/>
  <c r="A361" i="9" s="1"/>
  <c r="B192" i="9"/>
  <c r="B234" i="9" s="1"/>
  <c r="B276" i="9" s="1"/>
  <c r="B318" i="9" s="1"/>
  <c r="B360" i="9" s="1"/>
  <c r="A192" i="9"/>
  <c r="A234" i="9" s="1"/>
  <c r="A276" i="9" s="1"/>
  <c r="A318" i="9" s="1"/>
  <c r="A360" i="9" s="1"/>
  <c r="B191" i="9"/>
  <c r="B233" i="9" s="1"/>
  <c r="B275" i="9" s="1"/>
  <c r="B317" i="9" s="1"/>
  <c r="B359" i="9" s="1"/>
  <c r="A191" i="9"/>
  <c r="A233" i="9" s="1"/>
  <c r="A275" i="9" s="1"/>
  <c r="A317" i="9" s="1"/>
  <c r="A359" i="9" s="1"/>
  <c r="B190" i="9"/>
  <c r="B232" i="9" s="1"/>
  <c r="B274" i="9" s="1"/>
  <c r="B316" i="9" s="1"/>
  <c r="B358" i="9" s="1"/>
  <c r="A190" i="9"/>
  <c r="A232" i="9" s="1"/>
  <c r="A274" i="9" s="1"/>
  <c r="A316" i="9" s="1"/>
  <c r="A358" i="9" s="1"/>
  <c r="B189" i="9"/>
  <c r="B231" i="9" s="1"/>
  <c r="B273" i="9" s="1"/>
  <c r="B315" i="9" s="1"/>
  <c r="B357" i="9" s="1"/>
  <c r="A189" i="9"/>
  <c r="A231" i="9" s="1"/>
  <c r="A273" i="9" s="1"/>
  <c r="A315" i="9" s="1"/>
  <c r="A357" i="9" s="1"/>
  <c r="B188" i="9"/>
  <c r="B230" i="9" s="1"/>
  <c r="B272" i="9" s="1"/>
  <c r="B314" i="9" s="1"/>
  <c r="B356" i="9" s="1"/>
  <c r="A188" i="9"/>
  <c r="A230" i="9" s="1"/>
  <c r="A272" i="9" s="1"/>
  <c r="A314" i="9" s="1"/>
  <c r="A356" i="9" s="1"/>
  <c r="B187" i="9"/>
  <c r="B229" i="9" s="1"/>
  <c r="B271" i="9" s="1"/>
  <c r="B313" i="9" s="1"/>
  <c r="B355" i="9" s="1"/>
  <c r="A187" i="9"/>
  <c r="A229" i="9" s="1"/>
  <c r="A271" i="9" s="1"/>
  <c r="A313" i="9" s="1"/>
  <c r="A355" i="9" s="1"/>
  <c r="B186" i="9"/>
  <c r="B228" i="9" s="1"/>
  <c r="B270" i="9" s="1"/>
  <c r="B312" i="9" s="1"/>
  <c r="B354" i="9" s="1"/>
  <c r="A186" i="9"/>
  <c r="A228" i="9" s="1"/>
  <c r="A270" i="9" s="1"/>
  <c r="A312" i="9" s="1"/>
  <c r="A354" i="9" s="1"/>
  <c r="B185" i="9"/>
  <c r="B227" i="9" s="1"/>
  <c r="B269" i="9" s="1"/>
  <c r="B311" i="9" s="1"/>
  <c r="B353" i="9" s="1"/>
  <c r="A185" i="9"/>
  <c r="A227" i="9" s="1"/>
  <c r="A269" i="9" s="1"/>
  <c r="A311" i="9" s="1"/>
  <c r="A353" i="9" s="1"/>
  <c r="B184" i="9"/>
  <c r="B226" i="9" s="1"/>
  <c r="B268" i="9" s="1"/>
  <c r="B310" i="9" s="1"/>
  <c r="B352" i="9" s="1"/>
  <c r="A184" i="9"/>
  <c r="A226" i="9" s="1"/>
  <c r="A268" i="9" s="1"/>
  <c r="A310" i="9" s="1"/>
  <c r="A352" i="9" s="1"/>
  <c r="B183" i="9"/>
  <c r="B225" i="9" s="1"/>
  <c r="B267" i="9" s="1"/>
  <c r="B309" i="9" s="1"/>
  <c r="B351" i="9" s="1"/>
  <c r="A183" i="9"/>
  <c r="A225" i="9" s="1"/>
  <c r="A267" i="9" s="1"/>
  <c r="A309" i="9" s="1"/>
  <c r="A351" i="9" s="1"/>
  <c r="B182" i="9"/>
  <c r="B224" i="9" s="1"/>
  <c r="B266" i="9" s="1"/>
  <c r="B308" i="9" s="1"/>
  <c r="B350" i="9" s="1"/>
  <c r="A182" i="9"/>
  <c r="A224" i="9" s="1"/>
  <c r="A266" i="9" s="1"/>
  <c r="A308" i="9" s="1"/>
  <c r="A350" i="9" s="1"/>
  <c r="B181" i="9"/>
  <c r="B223" i="9" s="1"/>
  <c r="B265" i="9" s="1"/>
  <c r="B307" i="9" s="1"/>
  <c r="B349" i="9" s="1"/>
  <c r="A181" i="9"/>
  <c r="A223" i="9" s="1"/>
  <c r="A265" i="9" s="1"/>
  <c r="A307" i="9" s="1"/>
  <c r="A349" i="9" s="1"/>
  <c r="B180" i="9"/>
  <c r="B222" i="9" s="1"/>
  <c r="B264" i="9" s="1"/>
  <c r="B306" i="9" s="1"/>
  <c r="B348" i="9" s="1"/>
  <c r="A180" i="9"/>
  <c r="A222" i="9" s="1"/>
  <c r="A264" i="9" s="1"/>
  <c r="A306" i="9" s="1"/>
  <c r="A348" i="9" s="1"/>
  <c r="B179" i="9"/>
  <c r="B221" i="9" s="1"/>
  <c r="B263" i="9" s="1"/>
  <c r="B305" i="9" s="1"/>
  <c r="B347" i="9" s="1"/>
  <c r="A179" i="9"/>
  <c r="A221" i="9" s="1"/>
  <c r="A263" i="9" s="1"/>
  <c r="A305" i="9" s="1"/>
  <c r="A347" i="9" s="1"/>
  <c r="B178" i="9"/>
  <c r="B220" i="9" s="1"/>
  <c r="B262" i="9" s="1"/>
  <c r="B304" i="9" s="1"/>
  <c r="B346" i="9" s="1"/>
  <c r="A178" i="9"/>
  <c r="A220" i="9" s="1"/>
  <c r="A262" i="9" s="1"/>
  <c r="A304" i="9" s="1"/>
  <c r="A346" i="9" s="1"/>
  <c r="B177" i="9"/>
  <c r="B219" i="9" s="1"/>
  <c r="B261" i="9" s="1"/>
  <c r="B303" i="9" s="1"/>
  <c r="B345" i="9" s="1"/>
  <c r="A177" i="9"/>
  <c r="A219" i="9" s="1"/>
  <c r="A261" i="9" s="1"/>
  <c r="A303" i="9" s="1"/>
  <c r="A345" i="9" s="1"/>
  <c r="B176" i="9"/>
  <c r="B218" i="9" s="1"/>
  <c r="B260" i="9" s="1"/>
  <c r="B302" i="9" s="1"/>
  <c r="B344" i="9" s="1"/>
  <c r="A176" i="9"/>
  <c r="A218" i="9" s="1"/>
  <c r="A260" i="9" s="1"/>
  <c r="A302" i="9" s="1"/>
  <c r="A344" i="9" s="1"/>
  <c r="B175" i="9"/>
  <c r="B217" i="9" s="1"/>
  <c r="B259" i="9" s="1"/>
  <c r="B301" i="9" s="1"/>
  <c r="B343" i="9" s="1"/>
  <c r="A175" i="9"/>
  <c r="A217" i="9" s="1"/>
  <c r="A259" i="9" s="1"/>
  <c r="A301" i="9" s="1"/>
  <c r="A343" i="9" s="1"/>
  <c r="B174" i="9"/>
  <c r="B216" i="9" s="1"/>
  <c r="B258" i="9" s="1"/>
  <c r="B300" i="9" s="1"/>
  <c r="B342" i="9" s="1"/>
  <c r="A174" i="9"/>
  <c r="A216" i="9" s="1"/>
  <c r="A258" i="9" s="1"/>
  <c r="A300" i="9" s="1"/>
  <c r="A342" i="9" s="1"/>
  <c r="B173" i="9"/>
  <c r="B215" i="9" s="1"/>
  <c r="B257" i="9" s="1"/>
  <c r="B299" i="9" s="1"/>
  <c r="B341" i="9" s="1"/>
  <c r="A173" i="9"/>
  <c r="A215" i="9" s="1"/>
  <c r="A257" i="9" s="1"/>
  <c r="A299" i="9" s="1"/>
  <c r="A341" i="9" s="1"/>
  <c r="B172" i="9"/>
  <c r="B214" i="9" s="1"/>
  <c r="B256" i="9" s="1"/>
  <c r="B298" i="9" s="1"/>
  <c r="B340" i="9" s="1"/>
  <c r="A172" i="9"/>
  <c r="A214" i="9" s="1"/>
  <c r="A256" i="9" s="1"/>
  <c r="A298" i="9" s="1"/>
  <c r="A340" i="9" s="1"/>
  <c r="B171" i="9"/>
  <c r="B213" i="9" s="1"/>
  <c r="B255" i="9" s="1"/>
  <c r="B297" i="9" s="1"/>
  <c r="B339" i="9" s="1"/>
  <c r="A171" i="9"/>
  <c r="A213" i="9" s="1"/>
  <c r="A255" i="9" s="1"/>
  <c r="A297" i="9" s="1"/>
  <c r="A339" i="9" s="1"/>
  <c r="B170" i="9"/>
  <c r="B212" i="9" s="1"/>
  <c r="B254" i="9" s="1"/>
  <c r="B296" i="9" s="1"/>
  <c r="B338" i="9" s="1"/>
  <c r="A170" i="9"/>
  <c r="A212" i="9" s="1"/>
  <c r="A254" i="9" s="1"/>
  <c r="A296" i="9" s="1"/>
  <c r="A338" i="9" s="1"/>
  <c r="B169" i="9"/>
  <c r="B211" i="9" s="1"/>
  <c r="B253" i="9" s="1"/>
  <c r="B295" i="9" s="1"/>
  <c r="B337" i="9" s="1"/>
  <c r="A169" i="9"/>
  <c r="A211" i="9" s="1"/>
  <c r="A253" i="9" s="1"/>
  <c r="A295" i="9" s="1"/>
  <c r="A337" i="9" s="1"/>
  <c r="B168" i="9"/>
  <c r="B210" i="9" s="1"/>
  <c r="B252" i="9" s="1"/>
  <c r="B294" i="9" s="1"/>
  <c r="B336" i="9" s="1"/>
  <c r="A168" i="9"/>
  <c r="A210" i="9" s="1"/>
  <c r="A252" i="9" s="1"/>
  <c r="A294" i="9" s="1"/>
  <c r="A336" i="9" s="1"/>
  <c r="B167" i="9"/>
  <c r="B209" i="9" s="1"/>
  <c r="B251" i="9" s="1"/>
  <c r="B293" i="9" s="1"/>
  <c r="B335" i="9" s="1"/>
  <c r="A167" i="9"/>
  <c r="A209" i="9" s="1"/>
  <c r="A251" i="9" s="1"/>
  <c r="A293" i="9" s="1"/>
  <c r="A335" i="9" s="1"/>
  <c r="B166" i="9"/>
  <c r="B208" i="9" s="1"/>
  <c r="B250" i="9" s="1"/>
  <c r="B292" i="9" s="1"/>
  <c r="B334" i="9" s="1"/>
  <c r="A166" i="9"/>
  <c r="A208" i="9" s="1"/>
  <c r="A250" i="9" s="1"/>
  <c r="A292" i="9" s="1"/>
  <c r="A334" i="9" s="1"/>
  <c r="B165" i="9"/>
  <c r="B207" i="9" s="1"/>
  <c r="B249" i="9" s="1"/>
  <c r="B291" i="9" s="1"/>
  <c r="B333" i="9" s="1"/>
  <c r="A165" i="9"/>
  <c r="A207" i="9" s="1"/>
  <c r="A249" i="9" s="1"/>
  <c r="A291" i="9" s="1"/>
  <c r="A333" i="9" s="1"/>
  <c r="B164" i="9"/>
  <c r="B206" i="9" s="1"/>
  <c r="B248" i="9" s="1"/>
  <c r="B290" i="9" s="1"/>
  <c r="B332" i="9" s="1"/>
  <c r="A164" i="9"/>
  <c r="A206" i="9" s="1"/>
  <c r="A248" i="9" s="1"/>
  <c r="A290" i="9" s="1"/>
  <c r="A332" i="9" s="1"/>
  <c r="B163" i="9"/>
  <c r="B205" i="9" s="1"/>
  <c r="B247" i="9" s="1"/>
  <c r="B289" i="9" s="1"/>
  <c r="B331" i="9" s="1"/>
  <c r="A163" i="9"/>
  <c r="A205" i="9" s="1"/>
  <c r="A247" i="9" s="1"/>
  <c r="A289" i="9" s="1"/>
  <c r="A331" i="9" s="1"/>
  <c r="B162" i="9"/>
  <c r="B204" i="9" s="1"/>
  <c r="B246" i="9" s="1"/>
  <c r="B288" i="9" s="1"/>
  <c r="B330" i="9" s="1"/>
  <c r="A162" i="9"/>
  <c r="A204" i="9" s="1"/>
  <c r="A246" i="9" s="1"/>
  <c r="A288" i="9" s="1"/>
  <c r="A330" i="9" s="1"/>
  <c r="B161" i="9"/>
  <c r="B203" i="9" s="1"/>
  <c r="B245" i="9" s="1"/>
  <c r="B287" i="9" s="1"/>
  <c r="B329" i="9" s="1"/>
  <c r="A161" i="9"/>
  <c r="A203" i="9" s="1"/>
  <c r="A245" i="9" s="1"/>
  <c r="A287" i="9" s="1"/>
  <c r="A329" i="9" s="1"/>
  <c r="B160" i="9"/>
  <c r="B202" i="9" s="1"/>
  <c r="B244" i="9" s="1"/>
  <c r="B286" i="9" s="1"/>
  <c r="B328" i="9" s="1"/>
  <c r="A160" i="9"/>
  <c r="A202" i="9" s="1"/>
  <c r="A244" i="9" s="1"/>
  <c r="A286" i="9" s="1"/>
  <c r="A328" i="9" s="1"/>
  <c r="B159" i="9"/>
  <c r="B201" i="9" s="1"/>
  <c r="B243" i="9" s="1"/>
  <c r="B285" i="9" s="1"/>
  <c r="B327" i="9" s="1"/>
  <c r="A159" i="9"/>
  <c r="A201" i="9" s="1"/>
  <c r="A243" i="9" s="1"/>
  <c r="A285" i="9" s="1"/>
  <c r="A327" i="9" s="1"/>
  <c r="B158" i="9"/>
  <c r="B200" i="9" s="1"/>
  <c r="B242" i="9" s="1"/>
  <c r="B284" i="9" s="1"/>
  <c r="B326" i="9" s="1"/>
  <c r="A158" i="9"/>
  <c r="A200" i="9" s="1"/>
  <c r="A242" i="9" s="1"/>
  <c r="A284" i="9" s="1"/>
  <c r="A326" i="9" s="1"/>
  <c r="B157" i="9"/>
  <c r="B199" i="9" s="1"/>
  <c r="B241" i="9" s="1"/>
  <c r="B283" i="9" s="1"/>
  <c r="B325" i="9" s="1"/>
  <c r="A157" i="9"/>
  <c r="A199" i="9" s="1"/>
  <c r="A241" i="9" s="1"/>
  <c r="A283" i="9" s="1"/>
  <c r="A325" i="9" s="1"/>
  <c r="B156" i="9"/>
  <c r="B198" i="9" s="1"/>
  <c r="B240" i="9" s="1"/>
  <c r="B282" i="9" s="1"/>
  <c r="B324" i="9" s="1"/>
  <c r="A156" i="9"/>
  <c r="A198" i="9" s="1"/>
  <c r="A240" i="9" s="1"/>
  <c r="A282" i="9" s="1"/>
  <c r="A324" i="9" s="1"/>
  <c r="B127" i="9"/>
  <c r="A127" i="9"/>
  <c r="B126" i="9"/>
  <c r="A126" i="9"/>
  <c r="B125" i="9"/>
  <c r="A125" i="9"/>
  <c r="B124" i="9"/>
  <c r="A124" i="9"/>
  <c r="B123" i="9"/>
  <c r="A123" i="9"/>
  <c r="B122" i="9"/>
  <c r="A122" i="9"/>
  <c r="B121" i="9"/>
  <c r="A121" i="9"/>
  <c r="B120" i="9"/>
  <c r="A120" i="9"/>
  <c r="B119" i="9"/>
  <c r="A119" i="9"/>
  <c r="B118" i="9"/>
  <c r="A118" i="9"/>
  <c r="B117" i="9"/>
  <c r="A117" i="9"/>
  <c r="B116" i="9"/>
  <c r="A116" i="9"/>
  <c r="B115" i="9"/>
  <c r="A115" i="9"/>
  <c r="B114" i="9"/>
  <c r="A114" i="9"/>
  <c r="B113" i="9"/>
  <c r="A113" i="9"/>
  <c r="B112" i="9"/>
  <c r="A112" i="9"/>
  <c r="B111" i="9"/>
  <c r="A111" i="9"/>
  <c r="B110" i="9"/>
  <c r="A110" i="9"/>
  <c r="B109" i="9"/>
  <c r="A109" i="9"/>
  <c r="B108" i="9"/>
  <c r="A108" i="9"/>
  <c r="B107" i="9"/>
  <c r="A107" i="9"/>
  <c r="B106" i="9"/>
  <c r="A106" i="9"/>
  <c r="B105" i="9"/>
  <c r="A105" i="9"/>
  <c r="B104" i="9"/>
  <c r="A104" i="9"/>
  <c r="B103" i="9"/>
  <c r="A103" i="9"/>
  <c r="B102" i="9"/>
  <c r="A102" i="9"/>
  <c r="B101" i="9"/>
  <c r="A101" i="9"/>
  <c r="B100" i="9"/>
  <c r="A100" i="9"/>
  <c r="B99" i="9"/>
  <c r="A99" i="9"/>
  <c r="B98" i="9"/>
  <c r="A98" i="9"/>
  <c r="B97" i="9"/>
  <c r="A97" i="9"/>
  <c r="B96" i="9"/>
  <c r="A96" i="9"/>
  <c r="B95" i="9"/>
  <c r="A95" i="9"/>
  <c r="B94" i="9"/>
  <c r="A94" i="9"/>
  <c r="B93" i="9"/>
  <c r="A93" i="9"/>
  <c r="B92" i="9"/>
  <c r="A92" i="9"/>
  <c r="B91" i="9"/>
  <c r="A91" i="9"/>
  <c r="B90" i="9"/>
  <c r="A90" i="9"/>
  <c r="B85" i="9"/>
  <c r="A85" i="9"/>
  <c r="B84" i="9"/>
  <c r="A84" i="9"/>
  <c r="B83" i="9"/>
  <c r="A83" i="9"/>
  <c r="B82" i="9"/>
  <c r="A82" i="9"/>
  <c r="B81" i="9"/>
  <c r="A81" i="9"/>
  <c r="B80" i="9"/>
  <c r="A80" i="9"/>
  <c r="B79" i="9"/>
  <c r="A79" i="9"/>
  <c r="B78" i="9"/>
  <c r="A78" i="9"/>
  <c r="B77" i="9"/>
  <c r="A77" i="9"/>
  <c r="B76" i="9"/>
  <c r="A76" i="9"/>
  <c r="B75" i="9"/>
  <c r="A75" i="9"/>
  <c r="B74" i="9"/>
  <c r="A74" i="9"/>
  <c r="B73" i="9"/>
  <c r="A73" i="9"/>
  <c r="B72" i="9"/>
  <c r="A72" i="9"/>
  <c r="B71" i="9"/>
  <c r="A71" i="9"/>
  <c r="B70" i="9"/>
  <c r="A70" i="9"/>
  <c r="B69" i="9"/>
  <c r="A69" i="9"/>
  <c r="B68" i="9"/>
  <c r="A68" i="9"/>
  <c r="B67" i="9"/>
  <c r="A67" i="9"/>
  <c r="B66" i="9"/>
  <c r="A66" i="9"/>
  <c r="B65" i="9"/>
  <c r="A65" i="9"/>
  <c r="B64" i="9"/>
  <c r="A64" i="9"/>
  <c r="B63" i="9"/>
  <c r="A63" i="9"/>
  <c r="B62" i="9"/>
  <c r="A62" i="9"/>
  <c r="B61" i="9"/>
  <c r="A61" i="9"/>
  <c r="B60" i="9"/>
  <c r="A60" i="9"/>
  <c r="B59" i="9"/>
  <c r="A59" i="9"/>
  <c r="B58" i="9"/>
  <c r="A58" i="9"/>
  <c r="B57" i="9"/>
  <c r="A57" i="9"/>
  <c r="B56" i="9"/>
  <c r="A56" i="9"/>
  <c r="B55" i="9"/>
  <c r="A55" i="9"/>
  <c r="B54" i="9"/>
  <c r="A54" i="9"/>
  <c r="B53" i="9"/>
  <c r="A53" i="9"/>
  <c r="B52" i="9"/>
  <c r="A52" i="9"/>
  <c r="B51" i="9"/>
  <c r="A51" i="9"/>
  <c r="B50" i="9"/>
  <c r="A50" i="9"/>
  <c r="B49" i="9"/>
  <c r="A49" i="9"/>
  <c r="B48" i="9"/>
  <c r="A48" i="9"/>
  <c r="M150" i="8"/>
  <c r="M150" i="2"/>
  <c r="L150" i="2"/>
  <c r="K150" i="2"/>
  <c r="J150" i="2"/>
  <c r="I150" i="2"/>
  <c r="H150" i="2"/>
  <c r="G150" i="2"/>
  <c r="F150" i="2"/>
  <c r="E150" i="2"/>
  <c r="D150" i="2"/>
  <c r="D100" i="2"/>
  <c r="E100" i="2"/>
  <c r="F100" i="2"/>
  <c r="G100" i="2"/>
  <c r="H100" i="2"/>
  <c r="P43" i="13" l="1"/>
  <c r="C43" i="13" s="1"/>
  <c r="Q318" i="9"/>
  <c r="P318" i="9" s="1"/>
  <c r="Q314" i="9"/>
  <c r="P314" i="9" s="1"/>
  <c r="Q310" i="9"/>
  <c r="P310" i="9" s="1"/>
  <c r="Q306" i="9"/>
  <c r="P306" i="9" s="1"/>
  <c r="Q302" i="9"/>
  <c r="P302" i="9" s="1"/>
  <c r="Q300" i="9"/>
  <c r="P300" i="9" s="1"/>
  <c r="Q296" i="9"/>
  <c r="P296" i="9" s="1"/>
  <c r="Q292" i="9"/>
  <c r="P292" i="9" s="1"/>
  <c r="Q288" i="9"/>
  <c r="P288" i="9" s="1"/>
  <c r="Q282" i="9"/>
  <c r="P282" i="9" s="1"/>
  <c r="AS304" i="9"/>
  <c r="AR304" i="9" s="1"/>
  <c r="AS306" i="9"/>
  <c r="AR306" i="9" s="1"/>
  <c r="AS308" i="9"/>
  <c r="AR308" i="9" s="1"/>
  <c r="AS310" i="9"/>
  <c r="AR310" i="9" s="1"/>
  <c r="AS312" i="9"/>
  <c r="AR312" i="9" s="1"/>
  <c r="AS314" i="9"/>
  <c r="AR314" i="9" s="1"/>
  <c r="AS316" i="9"/>
  <c r="AR316" i="9" s="1"/>
  <c r="AS318" i="9"/>
  <c r="AR318" i="9" s="1"/>
  <c r="AS241" i="9"/>
  <c r="AR241" i="9" s="1"/>
  <c r="AS243" i="9"/>
  <c r="AR243" i="9" s="1"/>
  <c r="AS245" i="9"/>
  <c r="AR245" i="9" s="1"/>
  <c r="AS247" i="9"/>
  <c r="AR247" i="9" s="1"/>
  <c r="AS249" i="9"/>
  <c r="AR249" i="9" s="1"/>
  <c r="AS251" i="9"/>
  <c r="AR251" i="9" s="1"/>
  <c r="AS253" i="9"/>
  <c r="AR253" i="9" s="1"/>
  <c r="AS255" i="9"/>
  <c r="AR255" i="9" s="1"/>
  <c r="AS257" i="9"/>
  <c r="AR257" i="9" s="1"/>
  <c r="AS259" i="9"/>
  <c r="AR259" i="9" s="1"/>
  <c r="AS261" i="9"/>
  <c r="AR261" i="9" s="1"/>
  <c r="AS263" i="9"/>
  <c r="AR263" i="9" s="1"/>
  <c r="AS265" i="9"/>
  <c r="AR265" i="9" s="1"/>
  <c r="AS267" i="9"/>
  <c r="AR267" i="9" s="1"/>
  <c r="AS269" i="9"/>
  <c r="AR269" i="9" s="1"/>
  <c r="AS271" i="9"/>
  <c r="AR271" i="9" s="1"/>
  <c r="AS273" i="9"/>
  <c r="AR273" i="9" s="1"/>
  <c r="AS275" i="9"/>
  <c r="AR275" i="9" s="1"/>
  <c r="AS277" i="9"/>
  <c r="AR277" i="9" s="1"/>
  <c r="AS282" i="9"/>
  <c r="AR282" i="9" s="1"/>
  <c r="AS283" i="9"/>
  <c r="AR283" i="9" s="1"/>
  <c r="AS284" i="9"/>
  <c r="AR284" i="9" s="1"/>
  <c r="AS285" i="9"/>
  <c r="AR285" i="9" s="1"/>
  <c r="AS294" i="9"/>
  <c r="AR294" i="9" s="1"/>
  <c r="AS286" i="9"/>
  <c r="AR286" i="9" s="1"/>
  <c r="AS287" i="9"/>
  <c r="AR287" i="9" s="1"/>
  <c r="AS288" i="9"/>
  <c r="AR288" i="9" s="1"/>
  <c r="AS289" i="9"/>
  <c r="AR289" i="9" s="1"/>
  <c r="AS290" i="9"/>
  <c r="AR290" i="9" s="1"/>
  <c r="AS291" i="9"/>
  <c r="AR291" i="9" s="1"/>
  <c r="AS292" i="9"/>
  <c r="AR292" i="9" s="1"/>
  <c r="AS293" i="9"/>
  <c r="AR293" i="9" s="1"/>
  <c r="AS295" i="9"/>
  <c r="AR295" i="9" s="1"/>
  <c r="AS296" i="9"/>
  <c r="AR296" i="9" s="1"/>
  <c r="AS297" i="9"/>
  <c r="AR297" i="9" s="1"/>
  <c r="AS298" i="9"/>
  <c r="AR298" i="9" s="1"/>
  <c r="AS299" i="9"/>
  <c r="AR299" i="9" s="1"/>
  <c r="AS300" i="9"/>
  <c r="AR300" i="9" s="1"/>
  <c r="AS301" i="9"/>
  <c r="AR301" i="9" s="1"/>
  <c r="AS302" i="9"/>
  <c r="AR302" i="9" s="1"/>
  <c r="AS303" i="9"/>
  <c r="AR303" i="9" s="1"/>
  <c r="AS305" i="9"/>
  <c r="AR305" i="9" s="1"/>
  <c r="AS307" i="9"/>
  <c r="AR307" i="9" s="1"/>
  <c r="AS309" i="9"/>
  <c r="AR309" i="9" s="1"/>
  <c r="AS311" i="9"/>
  <c r="AR311" i="9" s="1"/>
  <c r="AS313" i="9"/>
  <c r="AR313" i="9" s="1"/>
  <c r="AS315" i="9"/>
  <c r="AR315" i="9" s="1"/>
  <c r="AS317" i="9"/>
  <c r="AR317" i="9" s="1"/>
  <c r="AS319" i="9"/>
  <c r="AR319" i="9" s="1"/>
  <c r="AS240" i="9"/>
  <c r="AR240" i="9" s="1"/>
  <c r="AS242" i="9"/>
  <c r="AR242" i="9" s="1"/>
  <c r="AS244" i="9"/>
  <c r="AR244" i="9" s="1"/>
  <c r="AS246" i="9"/>
  <c r="AR246" i="9" s="1"/>
  <c r="AS248" i="9"/>
  <c r="AR248" i="9" s="1"/>
  <c r="AS250" i="9"/>
  <c r="AR250" i="9" s="1"/>
  <c r="AS252" i="9"/>
  <c r="AR252" i="9" s="1"/>
  <c r="AS254" i="9"/>
  <c r="AR254" i="9" s="1"/>
  <c r="AS256" i="9"/>
  <c r="AR256" i="9" s="1"/>
  <c r="AS258" i="9"/>
  <c r="AR258" i="9" s="1"/>
  <c r="AS260" i="9"/>
  <c r="AR260" i="9" s="1"/>
  <c r="AS262" i="9"/>
  <c r="AR262" i="9" s="1"/>
  <c r="AS264" i="9"/>
  <c r="AR264" i="9" s="1"/>
  <c r="AS266" i="9"/>
  <c r="AR266" i="9" s="1"/>
  <c r="AS268" i="9"/>
  <c r="AR268" i="9" s="1"/>
  <c r="AS270" i="9"/>
  <c r="AR270" i="9" s="1"/>
  <c r="AS272" i="9"/>
  <c r="AR272" i="9" s="1"/>
  <c r="AS274" i="9"/>
  <c r="AR274" i="9" s="1"/>
  <c r="AS276" i="9"/>
  <c r="AR276" i="9" s="1"/>
  <c r="Q319" i="9"/>
  <c r="P319" i="9" s="1"/>
  <c r="Q317" i="9"/>
  <c r="P317" i="9" s="1"/>
  <c r="Q315" i="9"/>
  <c r="P315" i="9" s="1"/>
  <c r="Q313" i="9"/>
  <c r="P313" i="9" s="1"/>
  <c r="Q311" i="9"/>
  <c r="P311" i="9" s="1"/>
  <c r="Q309" i="9"/>
  <c r="P309" i="9" s="1"/>
  <c r="Q307" i="9"/>
  <c r="P307" i="9" s="1"/>
  <c r="Q305" i="9"/>
  <c r="P305" i="9" s="1"/>
  <c r="Q303" i="9"/>
  <c r="P303" i="9" s="1"/>
  <c r="Q301" i="9"/>
  <c r="P301" i="9" s="1"/>
  <c r="Q299" i="9"/>
  <c r="P299" i="9" s="1"/>
  <c r="Q297" i="9"/>
  <c r="P297" i="9" s="1"/>
  <c r="Q295" i="9"/>
  <c r="P295" i="9" s="1"/>
  <c r="Q293" i="9"/>
  <c r="P293" i="9" s="1"/>
  <c r="Q291" i="9"/>
  <c r="P291" i="9" s="1"/>
  <c r="Q289" i="9"/>
  <c r="P289" i="9" s="1"/>
  <c r="Q287" i="9"/>
  <c r="P287" i="9" s="1"/>
  <c r="Q283" i="9"/>
  <c r="P283" i="9" s="1"/>
  <c r="Q277" i="9"/>
  <c r="P277" i="9" s="1"/>
  <c r="Q276" i="9"/>
  <c r="P276" i="9" s="1"/>
  <c r="Q275" i="9"/>
  <c r="P275" i="9" s="1"/>
  <c r="Q274" i="9"/>
  <c r="P274" i="9" s="1"/>
  <c r="Q273" i="9"/>
  <c r="P273" i="9" s="1"/>
  <c r="Q272" i="9"/>
  <c r="P272" i="9" s="1"/>
  <c r="Q271" i="9"/>
  <c r="P271" i="9" s="1"/>
  <c r="Q270" i="9"/>
  <c r="P270" i="9" s="1"/>
  <c r="Q269" i="9"/>
  <c r="P269" i="9" s="1"/>
  <c r="Q268" i="9"/>
  <c r="P268" i="9" s="1"/>
  <c r="Q267" i="9"/>
  <c r="P267" i="9" s="1"/>
  <c r="Q266" i="9"/>
  <c r="P266" i="9" s="1"/>
  <c r="Q265" i="9"/>
  <c r="P265" i="9" s="1"/>
  <c r="Q264" i="9"/>
  <c r="P264" i="9" s="1"/>
  <c r="Q263" i="9"/>
  <c r="P263" i="9" s="1"/>
  <c r="Q262" i="9"/>
  <c r="P262" i="9" s="1"/>
  <c r="Q261" i="9"/>
  <c r="P261" i="9" s="1"/>
  <c r="Q260" i="9"/>
  <c r="P260" i="9" s="1"/>
  <c r="Q259" i="9"/>
  <c r="P259" i="9" s="1"/>
  <c r="Q258" i="9"/>
  <c r="P258" i="9" s="1"/>
  <c r="Q257" i="9"/>
  <c r="P257" i="9" s="1"/>
  <c r="Q256" i="9"/>
  <c r="P256" i="9" s="1"/>
  <c r="Q255" i="9"/>
  <c r="P255" i="9" s="1"/>
  <c r="Q254" i="9"/>
  <c r="P254" i="9" s="1"/>
  <c r="Q253" i="9"/>
  <c r="P253" i="9" s="1"/>
  <c r="Q252" i="9"/>
  <c r="P252" i="9" s="1"/>
  <c r="Q251" i="9"/>
  <c r="P251" i="9" s="1"/>
  <c r="Q250" i="9"/>
  <c r="P250" i="9" s="1"/>
  <c r="Q249" i="9"/>
  <c r="P249" i="9" s="1"/>
  <c r="Q248" i="9"/>
  <c r="P248" i="9" s="1"/>
  <c r="Q247" i="9"/>
  <c r="P247" i="9" s="1"/>
  <c r="Q246" i="9"/>
  <c r="P246" i="9" s="1"/>
  <c r="Q245" i="9"/>
  <c r="P245" i="9" s="1"/>
  <c r="Q244" i="9"/>
  <c r="P244" i="9" s="1"/>
  <c r="Q243" i="9"/>
  <c r="P243" i="9" s="1"/>
  <c r="Q242" i="9"/>
  <c r="P242" i="9" s="1"/>
  <c r="Q241" i="9"/>
  <c r="P241" i="9" s="1"/>
  <c r="Q240" i="9"/>
  <c r="P240" i="9" s="1"/>
  <c r="Q286" i="9"/>
  <c r="P286" i="9" s="1"/>
  <c r="Q316" i="9"/>
  <c r="P316" i="9" s="1"/>
  <c r="Q312" i="9"/>
  <c r="P312" i="9" s="1"/>
  <c r="Q308" i="9"/>
  <c r="P308" i="9" s="1"/>
  <c r="Q304" i="9"/>
  <c r="P304" i="9" s="1"/>
  <c r="Q298" i="9"/>
  <c r="P298" i="9" s="1"/>
  <c r="Q294" i="9"/>
  <c r="P294" i="9" s="1"/>
  <c r="Q290" i="9"/>
  <c r="P290" i="9" s="1"/>
  <c r="Q285" i="9"/>
  <c r="P285" i="9" s="1"/>
  <c r="Q284" i="9"/>
  <c r="P284" i="9" s="1"/>
  <c r="Q361" i="9"/>
  <c r="P361" i="9" s="1"/>
  <c r="Q359" i="9"/>
  <c r="P359" i="9" s="1"/>
  <c r="Q357" i="9"/>
  <c r="P357" i="9" s="1"/>
  <c r="Q355" i="9"/>
  <c r="P355" i="9" s="1"/>
  <c r="Q353" i="9"/>
  <c r="P353" i="9" s="1"/>
  <c r="Q351" i="9"/>
  <c r="P351" i="9" s="1"/>
  <c r="Q349" i="9"/>
  <c r="P349" i="9" s="1"/>
  <c r="Q347" i="9"/>
  <c r="P347" i="9" s="1"/>
  <c r="Q345" i="9"/>
  <c r="P345" i="9" s="1"/>
  <c r="Q343" i="9"/>
  <c r="P343" i="9" s="1"/>
  <c r="Q341" i="9"/>
  <c r="P341" i="9" s="1"/>
  <c r="Q339" i="9"/>
  <c r="P339" i="9" s="1"/>
  <c r="Q337" i="9"/>
  <c r="P337" i="9" s="1"/>
  <c r="Q335" i="9"/>
  <c r="P335" i="9" s="1"/>
  <c r="Q333" i="9"/>
  <c r="P333" i="9" s="1"/>
  <c r="Q331" i="9"/>
  <c r="P331" i="9" s="1"/>
  <c r="Q329" i="9"/>
  <c r="P329" i="9" s="1"/>
  <c r="Q327" i="9"/>
  <c r="P327" i="9" s="1"/>
  <c r="Q325" i="9"/>
  <c r="P325" i="9" s="1"/>
  <c r="Q360" i="9"/>
  <c r="P360" i="9" s="1"/>
  <c r="Q358" i="9"/>
  <c r="P358" i="9" s="1"/>
  <c r="Q356" i="9"/>
  <c r="P356" i="9" s="1"/>
  <c r="Q354" i="9"/>
  <c r="P354" i="9" s="1"/>
  <c r="Q352" i="9"/>
  <c r="P352" i="9" s="1"/>
  <c r="Q350" i="9"/>
  <c r="P350" i="9" s="1"/>
  <c r="Q348" i="9"/>
  <c r="P348" i="9" s="1"/>
  <c r="Q346" i="9"/>
  <c r="P346" i="9" s="1"/>
  <c r="Q344" i="9"/>
  <c r="P344" i="9" s="1"/>
  <c r="Q342" i="9"/>
  <c r="P342" i="9" s="1"/>
  <c r="Q340" i="9"/>
  <c r="P340" i="9" s="1"/>
  <c r="Q338" i="9"/>
  <c r="P338" i="9" s="1"/>
  <c r="Q336" i="9"/>
  <c r="P336" i="9" s="1"/>
  <c r="Q334" i="9"/>
  <c r="P334" i="9" s="1"/>
  <c r="Q332" i="9"/>
  <c r="P332" i="9" s="1"/>
  <c r="Q330" i="9"/>
  <c r="P330" i="9" s="1"/>
  <c r="Q328" i="9"/>
  <c r="P328" i="9" s="1"/>
  <c r="Q326" i="9"/>
  <c r="P326" i="9" s="1"/>
  <c r="Q324" i="9"/>
  <c r="P324" i="9" s="1"/>
  <c r="E214" i="9"/>
  <c r="AY347" i="9"/>
  <c r="AZ347" i="9"/>
  <c r="D236" i="9"/>
  <c r="F198" i="9"/>
  <c r="E198" i="9"/>
  <c r="F199" i="9"/>
  <c r="E199" i="9"/>
  <c r="F200" i="9"/>
  <c r="E200" i="9"/>
  <c r="F201" i="9"/>
  <c r="E201" i="9"/>
  <c r="F202" i="9"/>
  <c r="E202" i="9"/>
  <c r="F203" i="9"/>
  <c r="E203" i="9"/>
  <c r="F204" i="9"/>
  <c r="E204" i="9"/>
  <c r="F205" i="9"/>
  <c r="E205" i="9"/>
  <c r="F206" i="9"/>
  <c r="E206" i="9"/>
  <c r="F207" i="9"/>
  <c r="E207" i="9"/>
  <c r="F208" i="9"/>
  <c r="E208" i="9"/>
  <c r="F209" i="9"/>
  <c r="E209" i="9"/>
  <c r="F210" i="9"/>
  <c r="E210" i="9"/>
  <c r="F212" i="9"/>
  <c r="E212" i="9"/>
  <c r="F213" i="9"/>
  <c r="E213" i="9"/>
  <c r="F215" i="9"/>
  <c r="E215" i="9"/>
  <c r="F216" i="9"/>
  <c r="E216" i="9"/>
  <c r="F217" i="9"/>
  <c r="E217" i="9"/>
  <c r="F218" i="9"/>
  <c r="E218" i="9"/>
  <c r="F219" i="9"/>
  <c r="E219" i="9"/>
  <c r="F220" i="9"/>
  <c r="E220" i="9"/>
  <c r="F221" i="9"/>
  <c r="E221" i="9"/>
  <c r="F222" i="9"/>
  <c r="E222" i="9"/>
  <c r="F223" i="9"/>
  <c r="E223" i="9"/>
  <c r="F224" i="9"/>
  <c r="E224" i="9"/>
  <c r="F226" i="9"/>
  <c r="E226" i="9"/>
  <c r="F227" i="9"/>
  <c r="E227" i="9"/>
  <c r="F228" i="9"/>
  <c r="E228" i="9"/>
  <c r="F229" i="9"/>
  <c r="E229" i="9"/>
  <c r="F230" i="9"/>
  <c r="E230" i="9"/>
  <c r="F231" i="9"/>
  <c r="E231" i="9"/>
  <c r="F232" i="9"/>
  <c r="E232" i="9"/>
  <c r="F233" i="9"/>
  <c r="E233" i="9"/>
  <c r="F234" i="9"/>
  <c r="E234" i="9"/>
  <c r="F235" i="9"/>
  <c r="E235" i="9"/>
  <c r="E211" i="9"/>
  <c r="E225" i="9"/>
  <c r="K193" i="8"/>
  <c r="K191" i="8"/>
  <c r="K189" i="8"/>
  <c r="K187" i="8"/>
  <c r="K185" i="8"/>
  <c r="K183" i="8"/>
  <c r="K181" i="8"/>
  <c r="K179" i="8"/>
  <c r="K177" i="8"/>
  <c r="K175" i="8"/>
  <c r="K173" i="8"/>
  <c r="K171" i="8"/>
  <c r="K169" i="8"/>
  <c r="K192" i="8"/>
  <c r="K190" i="8"/>
  <c r="K188" i="8"/>
  <c r="K186" i="8"/>
  <c r="K184" i="8"/>
  <c r="K182" i="8"/>
  <c r="K180" i="8"/>
  <c r="K178" i="8"/>
  <c r="K176" i="8"/>
  <c r="K174" i="8"/>
  <c r="K170" i="8"/>
  <c r="K167" i="8"/>
  <c r="K165" i="8"/>
  <c r="K163" i="8"/>
  <c r="K161" i="8"/>
  <c r="K159" i="8"/>
  <c r="K157" i="8"/>
  <c r="K172" i="8"/>
  <c r="K168" i="8"/>
  <c r="K166" i="8"/>
  <c r="K164" i="8"/>
  <c r="K162" i="8"/>
  <c r="K160" i="8"/>
  <c r="K158" i="8"/>
  <c r="K156" i="8"/>
  <c r="D192" i="8"/>
  <c r="D190" i="8"/>
  <c r="D188" i="8"/>
  <c r="D186" i="8"/>
  <c r="D184" i="8"/>
  <c r="D182" i="8"/>
  <c r="D180" i="8"/>
  <c r="D178" i="8"/>
  <c r="D176" i="8"/>
  <c r="D174" i="8"/>
  <c r="D172" i="8"/>
  <c r="D170" i="8"/>
  <c r="D193" i="8"/>
  <c r="D191" i="8"/>
  <c r="D189" i="8"/>
  <c r="D187" i="8"/>
  <c r="D185" i="8"/>
  <c r="D183" i="8"/>
  <c r="D181" i="8"/>
  <c r="D179" i="8"/>
  <c r="D177" i="8"/>
  <c r="D175" i="8"/>
  <c r="D171" i="8"/>
  <c r="D168" i="8"/>
  <c r="D166" i="8"/>
  <c r="D164" i="8"/>
  <c r="D162" i="8"/>
  <c r="D160" i="8"/>
  <c r="D158" i="8"/>
  <c r="D173" i="8"/>
  <c r="D169" i="8"/>
  <c r="D167" i="8"/>
  <c r="D165" i="8"/>
  <c r="D163" i="8"/>
  <c r="D161" i="8"/>
  <c r="D159" i="8"/>
  <c r="D157" i="8"/>
  <c r="D156" i="8"/>
  <c r="H192" i="8"/>
  <c r="H190" i="8"/>
  <c r="H188" i="8"/>
  <c r="H186" i="8"/>
  <c r="H184" i="8"/>
  <c r="H182" i="8"/>
  <c r="H180" i="8"/>
  <c r="H178" i="8"/>
  <c r="H176" i="8"/>
  <c r="H174" i="8"/>
  <c r="H172" i="8"/>
  <c r="H170" i="8"/>
  <c r="H193" i="8"/>
  <c r="H191" i="8"/>
  <c r="H189" i="8"/>
  <c r="H187" i="8"/>
  <c r="H185" i="8"/>
  <c r="H183" i="8"/>
  <c r="H181" i="8"/>
  <c r="H179" i="8"/>
  <c r="H177" i="8"/>
  <c r="H175" i="8"/>
  <c r="H173" i="8"/>
  <c r="H171" i="8"/>
  <c r="H168" i="8"/>
  <c r="H166" i="8"/>
  <c r="H164" i="8"/>
  <c r="H162" i="8"/>
  <c r="H160" i="8"/>
  <c r="H158" i="8"/>
  <c r="H156" i="8"/>
  <c r="H169" i="8"/>
  <c r="H167" i="8"/>
  <c r="H165" i="8"/>
  <c r="H163" i="8"/>
  <c r="H161" i="8"/>
  <c r="H159" i="8"/>
  <c r="H157" i="8"/>
  <c r="I155" i="8"/>
  <c r="L192" i="8"/>
  <c r="L190" i="8"/>
  <c r="L188" i="8"/>
  <c r="L186" i="8"/>
  <c r="L184" i="8"/>
  <c r="L182" i="8"/>
  <c r="L180" i="8"/>
  <c r="L178" i="8"/>
  <c r="L176" i="8"/>
  <c r="L174" i="8"/>
  <c r="L172" i="8"/>
  <c r="L170" i="8"/>
  <c r="L193" i="8"/>
  <c r="L191" i="8"/>
  <c r="L189" i="8"/>
  <c r="L187" i="8"/>
  <c r="L185" i="8"/>
  <c r="L183" i="8"/>
  <c r="L181" i="8"/>
  <c r="L179" i="8"/>
  <c r="L177" i="8"/>
  <c r="L175" i="8"/>
  <c r="L173" i="8"/>
  <c r="L171" i="8"/>
  <c r="L168" i="8"/>
  <c r="L166" i="8"/>
  <c r="L164" i="8"/>
  <c r="L162" i="8"/>
  <c r="L160" i="8"/>
  <c r="L158" i="8"/>
  <c r="L156" i="8"/>
  <c r="L169" i="8"/>
  <c r="L167" i="8"/>
  <c r="L165" i="8"/>
  <c r="L163" i="8"/>
  <c r="L161" i="8"/>
  <c r="L159" i="8"/>
  <c r="L157" i="8"/>
  <c r="G193" i="8"/>
  <c r="G191" i="8"/>
  <c r="G189" i="8"/>
  <c r="G187" i="8"/>
  <c r="G185" i="8"/>
  <c r="G183" i="8"/>
  <c r="G181" i="8"/>
  <c r="G179" i="8"/>
  <c r="G177" i="8"/>
  <c r="G175" i="8"/>
  <c r="G173" i="8"/>
  <c r="G171" i="8"/>
  <c r="G192" i="8"/>
  <c r="G190" i="8"/>
  <c r="G188" i="8"/>
  <c r="G186" i="8"/>
  <c r="G184" i="8"/>
  <c r="G182" i="8"/>
  <c r="G180" i="8"/>
  <c r="G178" i="8"/>
  <c r="G176" i="8"/>
  <c r="G174" i="8"/>
  <c r="G170" i="8"/>
  <c r="G169" i="8"/>
  <c r="G167" i="8"/>
  <c r="G165" i="8"/>
  <c r="G163" i="8"/>
  <c r="G161" i="8"/>
  <c r="G159" i="8"/>
  <c r="G157" i="8"/>
  <c r="G172" i="8"/>
  <c r="G168" i="8"/>
  <c r="G166" i="8"/>
  <c r="G164" i="8"/>
  <c r="G162" i="8"/>
  <c r="G160" i="8"/>
  <c r="G158" i="8"/>
  <c r="G156" i="8"/>
  <c r="G194" i="8" s="1"/>
  <c r="M193" i="8"/>
  <c r="M191" i="8"/>
  <c r="M189" i="8"/>
  <c r="M187" i="8"/>
  <c r="M185" i="8"/>
  <c r="M183" i="8"/>
  <c r="M181" i="8"/>
  <c r="M179" i="8"/>
  <c r="M177" i="8"/>
  <c r="M175" i="8"/>
  <c r="M173" i="8"/>
  <c r="M171" i="8"/>
  <c r="M169" i="8"/>
  <c r="M192" i="8"/>
  <c r="M190" i="8"/>
  <c r="M188" i="8"/>
  <c r="M186" i="8"/>
  <c r="M184" i="8"/>
  <c r="M182" i="8"/>
  <c r="M180" i="8"/>
  <c r="M178" i="8"/>
  <c r="M176" i="8"/>
  <c r="M174" i="8"/>
  <c r="M172" i="8"/>
  <c r="M167" i="8"/>
  <c r="M165" i="8"/>
  <c r="M163" i="8"/>
  <c r="M161" i="8"/>
  <c r="M159" i="8"/>
  <c r="M157" i="8"/>
  <c r="M170" i="8"/>
  <c r="M168" i="8"/>
  <c r="M166" i="8"/>
  <c r="M164" i="8"/>
  <c r="M162" i="8"/>
  <c r="M160" i="8"/>
  <c r="M158" i="8"/>
  <c r="M156" i="8"/>
  <c r="M194" i="8" s="1"/>
  <c r="F188" i="8"/>
  <c r="F186" i="8"/>
  <c r="F184" i="8"/>
  <c r="F182" i="8"/>
  <c r="F180" i="8"/>
  <c r="F178" i="8"/>
  <c r="F176" i="8"/>
  <c r="F174" i="8"/>
  <c r="F172" i="8"/>
  <c r="F170" i="8"/>
  <c r="F189" i="8"/>
  <c r="F187" i="8"/>
  <c r="F185" i="8"/>
  <c r="F183" i="8"/>
  <c r="F181" i="8"/>
  <c r="F179" i="8"/>
  <c r="F177" i="8"/>
  <c r="F175" i="8"/>
  <c r="F173" i="8"/>
  <c r="F168" i="8"/>
  <c r="F166" i="8"/>
  <c r="F164" i="8"/>
  <c r="F162" i="8"/>
  <c r="F160" i="8"/>
  <c r="F158" i="8"/>
  <c r="F171" i="8"/>
  <c r="F169" i="8"/>
  <c r="F167" i="8"/>
  <c r="F165" i="8"/>
  <c r="F163" i="8"/>
  <c r="F161" i="8"/>
  <c r="F159" i="8"/>
  <c r="F157" i="8"/>
  <c r="F192" i="8"/>
  <c r="F193" i="8"/>
  <c r="F190" i="8"/>
  <c r="F191" i="8"/>
  <c r="F156" i="8"/>
  <c r="F194" i="8" s="1"/>
  <c r="J192" i="8"/>
  <c r="J190" i="8"/>
  <c r="J188" i="8"/>
  <c r="J186" i="8"/>
  <c r="J184" i="8"/>
  <c r="J182" i="8"/>
  <c r="J180" i="8"/>
  <c r="J178" i="8"/>
  <c r="J176" i="8"/>
  <c r="J174" i="8"/>
  <c r="J172" i="8"/>
  <c r="J170" i="8"/>
  <c r="J193" i="8"/>
  <c r="J191" i="8"/>
  <c r="J189" i="8"/>
  <c r="J187" i="8"/>
  <c r="J185" i="8"/>
  <c r="J183" i="8"/>
  <c r="J181" i="8"/>
  <c r="J179" i="8"/>
  <c r="J177" i="8"/>
  <c r="J175" i="8"/>
  <c r="J173" i="8"/>
  <c r="J169" i="8"/>
  <c r="J168" i="8"/>
  <c r="J166" i="8"/>
  <c r="J164" i="8"/>
  <c r="J162" i="8"/>
  <c r="J160" i="8"/>
  <c r="J158" i="8"/>
  <c r="J156" i="8"/>
  <c r="J171" i="8"/>
  <c r="J167" i="8"/>
  <c r="J165" i="8"/>
  <c r="J163" i="8"/>
  <c r="J161" i="8"/>
  <c r="J159" i="8"/>
  <c r="J157" i="8"/>
  <c r="E193" i="8"/>
  <c r="E191" i="8"/>
  <c r="E189" i="8"/>
  <c r="E187" i="8"/>
  <c r="E185" i="8"/>
  <c r="E183" i="8"/>
  <c r="E181" i="8"/>
  <c r="E179" i="8"/>
  <c r="E177" i="8"/>
  <c r="E175" i="8"/>
  <c r="E173" i="8"/>
  <c r="E171" i="8"/>
  <c r="E192" i="8"/>
  <c r="E190" i="8"/>
  <c r="E188" i="8"/>
  <c r="E186" i="8"/>
  <c r="E184" i="8"/>
  <c r="E182" i="8"/>
  <c r="E180" i="8"/>
  <c r="E178" i="8"/>
  <c r="E176" i="8"/>
  <c r="E174" i="8"/>
  <c r="E172" i="8"/>
  <c r="E169" i="8"/>
  <c r="E167" i="8"/>
  <c r="E165" i="8"/>
  <c r="E163" i="8"/>
  <c r="E161" i="8"/>
  <c r="E159" i="8"/>
  <c r="E157" i="8"/>
  <c r="E170" i="8"/>
  <c r="E168" i="8"/>
  <c r="E166" i="8"/>
  <c r="E164" i="8"/>
  <c r="E162" i="8"/>
  <c r="E160" i="8"/>
  <c r="E158" i="8"/>
  <c r="E156" i="8"/>
  <c r="E194" i="8" s="1"/>
  <c r="M140" i="8"/>
  <c r="L140" i="8"/>
  <c r="K140" i="8"/>
  <c r="J140" i="8"/>
  <c r="G140" i="8"/>
  <c r="F140" i="8"/>
  <c r="E140" i="8"/>
  <c r="D140" i="8"/>
  <c r="L141" i="8"/>
  <c r="J141" i="8"/>
  <c r="G141" i="8"/>
  <c r="M139" i="8"/>
  <c r="L139" i="8"/>
  <c r="K139" i="8"/>
  <c r="J139" i="8"/>
  <c r="G139" i="8"/>
  <c r="F139" i="8"/>
  <c r="E139" i="8"/>
  <c r="M137" i="8"/>
  <c r="L137" i="8"/>
  <c r="K137" i="8"/>
  <c r="J137" i="8"/>
  <c r="G137" i="8"/>
  <c r="F137" i="8"/>
  <c r="E137" i="8"/>
  <c r="B127" i="8"/>
  <c r="A127" i="8"/>
  <c r="B126" i="8"/>
  <c r="A126" i="8"/>
  <c r="B125" i="8"/>
  <c r="A125" i="8"/>
  <c r="B124" i="8"/>
  <c r="A124" i="8"/>
  <c r="B123" i="8"/>
  <c r="A123" i="8"/>
  <c r="B122" i="8"/>
  <c r="A122" i="8"/>
  <c r="B121" i="8"/>
  <c r="A121" i="8"/>
  <c r="B120" i="8"/>
  <c r="A120" i="8"/>
  <c r="B119" i="8"/>
  <c r="A119" i="8"/>
  <c r="B118" i="8"/>
  <c r="A118" i="8"/>
  <c r="B117" i="8"/>
  <c r="A117" i="8"/>
  <c r="B116" i="8"/>
  <c r="A116" i="8"/>
  <c r="B115" i="8"/>
  <c r="A115" i="8"/>
  <c r="B114" i="8"/>
  <c r="A114" i="8"/>
  <c r="B113" i="8"/>
  <c r="A113" i="8"/>
  <c r="B112" i="8"/>
  <c r="A112" i="8"/>
  <c r="B111" i="8"/>
  <c r="A111" i="8"/>
  <c r="B110" i="8"/>
  <c r="A110" i="8"/>
  <c r="B109" i="8"/>
  <c r="A109" i="8"/>
  <c r="B108" i="8"/>
  <c r="A108" i="8"/>
  <c r="B107" i="8"/>
  <c r="A107" i="8"/>
  <c r="B106" i="8"/>
  <c r="A106" i="8"/>
  <c r="B105" i="8"/>
  <c r="A105" i="8"/>
  <c r="B104" i="8"/>
  <c r="A104" i="8"/>
  <c r="B103" i="8"/>
  <c r="A103" i="8"/>
  <c r="B102" i="8"/>
  <c r="A102" i="8"/>
  <c r="B101" i="8"/>
  <c r="A101" i="8"/>
  <c r="B100" i="8"/>
  <c r="A100" i="8"/>
  <c r="B99" i="8"/>
  <c r="A99" i="8"/>
  <c r="B98" i="8"/>
  <c r="A98" i="8"/>
  <c r="B97" i="8"/>
  <c r="A97" i="8"/>
  <c r="B96" i="8"/>
  <c r="A96" i="8"/>
  <c r="B95" i="8"/>
  <c r="A95" i="8"/>
  <c r="B94" i="8"/>
  <c r="A94" i="8"/>
  <c r="B93" i="8"/>
  <c r="A93" i="8"/>
  <c r="B92" i="8"/>
  <c r="A92" i="8"/>
  <c r="B91" i="8"/>
  <c r="A91" i="8"/>
  <c r="B90" i="8"/>
  <c r="A90" i="8"/>
  <c r="B85" i="8"/>
  <c r="A85" i="8"/>
  <c r="B84" i="8"/>
  <c r="A84" i="8"/>
  <c r="B83" i="8"/>
  <c r="A83" i="8"/>
  <c r="B82" i="8"/>
  <c r="A82" i="8"/>
  <c r="B81" i="8"/>
  <c r="A81" i="8"/>
  <c r="B80" i="8"/>
  <c r="A80" i="8"/>
  <c r="B79" i="8"/>
  <c r="A79" i="8"/>
  <c r="B78" i="8"/>
  <c r="A78" i="8"/>
  <c r="B77" i="8"/>
  <c r="A77" i="8"/>
  <c r="B76" i="8"/>
  <c r="A76" i="8"/>
  <c r="B75" i="8"/>
  <c r="A75" i="8"/>
  <c r="B74" i="8"/>
  <c r="A74" i="8"/>
  <c r="B73" i="8"/>
  <c r="A73" i="8"/>
  <c r="B72" i="8"/>
  <c r="A72" i="8"/>
  <c r="B71" i="8"/>
  <c r="A71" i="8"/>
  <c r="B70" i="8"/>
  <c r="A70" i="8"/>
  <c r="B69" i="8"/>
  <c r="A69" i="8"/>
  <c r="B68" i="8"/>
  <c r="A68" i="8"/>
  <c r="B67" i="8"/>
  <c r="A67" i="8"/>
  <c r="B66" i="8"/>
  <c r="A66" i="8"/>
  <c r="B65" i="8"/>
  <c r="A65" i="8"/>
  <c r="B64" i="8"/>
  <c r="A64" i="8"/>
  <c r="B63" i="8"/>
  <c r="A63" i="8"/>
  <c r="B62" i="8"/>
  <c r="A62" i="8"/>
  <c r="B61" i="8"/>
  <c r="A61" i="8"/>
  <c r="B60" i="8"/>
  <c r="A60" i="8"/>
  <c r="B59" i="8"/>
  <c r="A59" i="8"/>
  <c r="B58" i="8"/>
  <c r="A58" i="8"/>
  <c r="B57" i="8"/>
  <c r="A57" i="8"/>
  <c r="B56" i="8"/>
  <c r="A56" i="8"/>
  <c r="B55" i="8"/>
  <c r="A55" i="8"/>
  <c r="B54" i="8"/>
  <c r="A54" i="8"/>
  <c r="B53" i="8"/>
  <c r="A53" i="8"/>
  <c r="B52" i="8"/>
  <c r="A52" i="8"/>
  <c r="B51" i="8"/>
  <c r="A51" i="8"/>
  <c r="B50" i="8"/>
  <c r="A50" i="8"/>
  <c r="B49" i="8"/>
  <c r="A49" i="8"/>
  <c r="B48" i="8"/>
  <c r="A48" i="8"/>
  <c r="M346" i="7"/>
  <c r="L346" i="7"/>
  <c r="K346" i="7"/>
  <c r="J346" i="7"/>
  <c r="I346" i="7"/>
  <c r="H346" i="7"/>
  <c r="G346" i="7"/>
  <c r="D346" i="7"/>
  <c r="F334" i="7"/>
  <c r="F346" i="7" s="1"/>
  <c r="M304" i="7"/>
  <c r="L304" i="7"/>
  <c r="K304" i="7"/>
  <c r="J304" i="7"/>
  <c r="I304" i="7"/>
  <c r="H304" i="7"/>
  <c r="G304" i="7"/>
  <c r="F304" i="7"/>
  <c r="D304" i="7"/>
  <c r="M262" i="7"/>
  <c r="L262" i="7"/>
  <c r="K262" i="7"/>
  <c r="J262" i="7"/>
  <c r="I262" i="7"/>
  <c r="H262" i="7"/>
  <c r="G262" i="7"/>
  <c r="F262" i="7"/>
  <c r="D262" i="7"/>
  <c r="E251" i="7"/>
  <c r="E240" i="7"/>
  <c r="E237" i="7"/>
  <c r="M219" i="7"/>
  <c r="L219" i="7"/>
  <c r="K219" i="7"/>
  <c r="J219" i="7"/>
  <c r="I219" i="7"/>
  <c r="H219" i="7"/>
  <c r="G219" i="7"/>
  <c r="F219" i="7"/>
  <c r="E219" i="7"/>
  <c r="D219" i="7"/>
  <c r="M218" i="7"/>
  <c r="L218" i="7"/>
  <c r="K218" i="7"/>
  <c r="J218" i="7"/>
  <c r="I218" i="7"/>
  <c r="H218" i="7"/>
  <c r="G218" i="7"/>
  <c r="F218" i="7"/>
  <c r="E218" i="7"/>
  <c r="D218" i="7"/>
  <c r="M217" i="7"/>
  <c r="L217" i="7"/>
  <c r="K217" i="7"/>
  <c r="J217" i="7"/>
  <c r="I217" i="7"/>
  <c r="H217" i="7"/>
  <c r="G217" i="7"/>
  <c r="F217" i="7"/>
  <c r="E217" i="7"/>
  <c r="D217" i="7"/>
  <c r="M216" i="7"/>
  <c r="L216" i="7"/>
  <c r="K216" i="7"/>
  <c r="J216" i="7"/>
  <c r="I216" i="7"/>
  <c r="H216" i="7"/>
  <c r="G216" i="7"/>
  <c r="F216" i="7"/>
  <c r="E216" i="7"/>
  <c r="D216" i="7"/>
  <c r="M215" i="7"/>
  <c r="L215" i="7"/>
  <c r="K215" i="7"/>
  <c r="J215" i="7"/>
  <c r="I215" i="7"/>
  <c r="H215" i="7"/>
  <c r="G215" i="7"/>
  <c r="F215" i="7"/>
  <c r="E215" i="7"/>
  <c r="D215" i="7"/>
  <c r="M214" i="7"/>
  <c r="L214" i="7"/>
  <c r="K214" i="7"/>
  <c r="J214" i="7"/>
  <c r="I214" i="7"/>
  <c r="H214" i="7"/>
  <c r="G214" i="7"/>
  <c r="F214" i="7"/>
  <c r="E214" i="7"/>
  <c r="D214" i="7"/>
  <c r="M213" i="7"/>
  <c r="L213" i="7"/>
  <c r="K213" i="7"/>
  <c r="J213" i="7"/>
  <c r="I213" i="7"/>
  <c r="H213" i="7"/>
  <c r="G213" i="7"/>
  <c r="F213" i="7"/>
  <c r="E213" i="7"/>
  <c r="D213" i="7"/>
  <c r="M212" i="7"/>
  <c r="L212" i="7"/>
  <c r="K212" i="7"/>
  <c r="J212" i="7"/>
  <c r="I212" i="7"/>
  <c r="H212" i="7"/>
  <c r="G212" i="7"/>
  <c r="F212" i="7"/>
  <c r="E212" i="7"/>
  <c r="D212" i="7"/>
  <c r="M211" i="7"/>
  <c r="L211" i="7"/>
  <c r="K211" i="7"/>
  <c r="J211" i="7"/>
  <c r="I211" i="7"/>
  <c r="H211" i="7"/>
  <c r="G211" i="7"/>
  <c r="F211" i="7"/>
  <c r="E211" i="7"/>
  <c r="D211" i="7"/>
  <c r="M210" i="7"/>
  <c r="L210" i="7"/>
  <c r="K210" i="7"/>
  <c r="J210" i="7"/>
  <c r="I210" i="7"/>
  <c r="H210" i="7"/>
  <c r="G210" i="7"/>
  <c r="F210" i="7"/>
  <c r="E210" i="7"/>
  <c r="D210" i="7"/>
  <c r="M209" i="7"/>
  <c r="L209" i="7"/>
  <c r="K209" i="7"/>
  <c r="J209" i="7"/>
  <c r="I209" i="7"/>
  <c r="H209" i="7"/>
  <c r="G209" i="7"/>
  <c r="F209" i="7"/>
  <c r="E209" i="7"/>
  <c r="D209" i="7"/>
  <c r="M208" i="7"/>
  <c r="L208" i="7"/>
  <c r="K208" i="7"/>
  <c r="J208" i="7"/>
  <c r="I208" i="7"/>
  <c r="H208" i="7"/>
  <c r="G208" i="7"/>
  <c r="F208" i="7"/>
  <c r="E208" i="7"/>
  <c r="D208" i="7"/>
  <c r="M207" i="7"/>
  <c r="L207" i="7"/>
  <c r="K207" i="7"/>
  <c r="J207" i="7"/>
  <c r="I207" i="7"/>
  <c r="H207" i="7"/>
  <c r="G207" i="7"/>
  <c r="F207" i="7"/>
  <c r="E207" i="7"/>
  <c r="D207" i="7"/>
  <c r="M206" i="7"/>
  <c r="L206" i="7"/>
  <c r="K206" i="7"/>
  <c r="J206" i="7"/>
  <c r="I206" i="7"/>
  <c r="H206" i="7"/>
  <c r="G206" i="7"/>
  <c r="F206" i="7"/>
  <c r="E206" i="7"/>
  <c r="D206" i="7"/>
  <c r="M205" i="7"/>
  <c r="L205" i="7"/>
  <c r="K205" i="7"/>
  <c r="J205" i="7"/>
  <c r="I205" i="7"/>
  <c r="H205" i="7"/>
  <c r="G205" i="7"/>
  <c r="F205" i="7"/>
  <c r="E205" i="7"/>
  <c r="D205" i="7"/>
  <c r="M204" i="7"/>
  <c r="L204" i="7"/>
  <c r="K204" i="7"/>
  <c r="J204" i="7"/>
  <c r="I204" i="7"/>
  <c r="H204" i="7"/>
  <c r="G204" i="7"/>
  <c r="F204" i="7"/>
  <c r="E204" i="7"/>
  <c r="D204" i="7"/>
  <c r="M203" i="7"/>
  <c r="L203" i="7"/>
  <c r="K203" i="7"/>
  <c r="J203" i="7"/>
  <c r="I203" i="7"/>
  <c r="H203" i="7"/>
  <c r="G203" i="7"/>
  <c r="F203" i="7"/>
  <c r="E203" i="7"/>
  <c r="D203" i="7"/>
  <c r="M202" i="7"/>
  <c r="L202" i="7"/>
  <c r="K202" i="7"/>
  <c r="J202" i="7"/>
  <c r="I202" i="7"/>
  <c r="H202" i="7"/>
  <c r="G202" i="7"/>
  <c r="F202" i="7"/>
  <c r="E202" i="7"/>
  <c r="D202" i="7"/>
  <c r="M201" i="7"/>
  <c r="L201" i="7"/>
  <c r="K201" i="7"/>
  <c r="J201" i="7"/>
  <c r="I201" i="7"/>
  <c r="H201" i="7"/>
  <c r="G201" i="7"/>
  <c r="F201" i="7"/>
  <c r="E201" i="7"/>
  <c r="D201" i="7"/>
  <c r="M200" i="7"/>
  <c r="L200" i="7"/>
  <c r="K200" i="7"/>
  <c r="J200" i="7"/>
  <c r="I200" i="7"/>
  <c r="H200" i="7"/>
  <c r="G200" i="7"/>
  <c r="F200" i="7"/>
  <c r="E200" i="7"/>
  <c r="D200" i="7"/>
  <c r="M199" i="7"/>
  <c r="L199" i="7"/>
  <c r="K199" i="7"/>
  <c r="J199" i="7"/>
  <c r="I199" i="7"/>
  <c r="H199" i="7"/>
  <c r="G199" i="7"/>
  <c r="F199" i="7"/>
  <c r="E199" i="7"/>
  <c r="D199" i="7"/>
  <c r="M198" i="7"/>
  <c r="L198" i="7"/>
  <c r="K198" i="7"/>
  <c r="J198" i="7"/>
  <c r="I198" i="7"/>
  <c r="H198" i="7"/>
  <c r="G198" i="7"/>
  <c r="F198" i="7"/>
  <c r="E198" i="7"/>
  <c r="D198" i="7"/>
  <c r="M197" i="7"/>
  <c r="L197" i="7"/>
  <c r="K197" i="7"/>
  <c r="J197" i="7"/>
  <c r="I197" i="7"/>
  <c r="H197" i="7"/>
  <c r="G197" i="7"/>
  <c r="F197" i="7"/>
  <c r="E197" i="7"/>
  <c r="D197" i="7"/>
  <c r="M196" i="7"/>
  <c r="L196" i="7"/>
  <c r="K196" i="7"/>
  <c r="J196" i="7"/>
  <c r="I196" i="7"/>
  <c r="H196" i="7"/>
  <c r="G196" i="7"/>
  <c r="F196" i="7"/>
  <c r="E196" i="7"/>
  <c r="D196" i="7"/>
  <c r="M195" i="7"/>
  <c r="L195" i="7"/>
  <c r="K195" i="7"/>
  <c r="J195" i="7"/>
  <c r="I195" i="7"/>
  <c r="H195" i="7"/>
  <c r="G195" i="7"/>
  <c r="F195" i="7"/>
  <c r="E195" i="7"/>
  <c r="D195" i="7"/>
  <c r="M194" i="7"/>
  <c r="L194" i="7"/>
  <c r="K194" i="7"/>
  <c r="J194" i="7"/>
  <c r="I194" i="7"/>
  <c r="H194" i="7"/>
  <c r="G194" i="7"/>
  <c r="F194" i="7"/>
  <c r="E194" i="7"/>
  <c r="D194" i="7"/>
  <c r="M193" i="7"/>
  <c r="L193" i="7"/>
  <c r="K193" i="7"/>
  <c r="J193" i="7"/>
  <c r="I193" i="7"/>
  <c r="H193" i="7"/>
  <c r="G193" i="7"/>
  <c r="F193" i="7"/>
  <c r="E193" i="7"/>
  <c r="D193" i="7"/>
  <c r="M192" i="7"/>
  <c r="M150" i="7" s="1"/>
  <c r="L192" i="7"/>
  <c r="L150" i="7" s="1"/>
  <c r="K192" i="7"/>
  <c r="K150" i="7" s="1"/>
  <c r="J192" i="7"/>
  <c r="J150" i="7" s="1"/>
  <c r="I192" i="7"/>
  <c r="I150" i="7" s="1"/>
  <c r="H192" i="7"/>
  <c r="H150" i="7" s="1"/>
  <c r="G192" i="7"/>
  <c r="G150" i="7" s="1"/>
  <c r="F192" i="7"/>
  <c r="E192" i="7"/>
  <c r="D192" i="7"/>
  <c r="M191" i="7"/>
  <c r="L191" i="7"/>
  <c r="K191" i="7"/>
  <c r="J191" i="7"/>
  <c r="I191" i="7"/>
  <c r="H191" i="7"/>
  <c r="G191" i="7"/>
  <c r="F191" i="7"/>
  <c r="E191" i="7"/>
  <c r="D191" i="7"/>
  <c r="M190" i="7"/>
  <c r="L190" i="7"/>
  <c r="K190" i="7"/>
  <c r="J190" i="7"/>
  <c r="I190" i="7"/>
  <c r="H190" i="7"/>
  <c r="G190" i="7"/>
  <c r="F190" i="7"/>
  <c r="E190" i="7"/>
  <c r="D190" i="7"/>
  <c r="M189" i="7"/>
  <c r="L189" i="7"/>
  <c r="K189" i="7"/>
  <c r="J189" i="7"/>
  <c r="I189" i="7"/>
  <c r="H189" i="7"/>
  <c r="G189" i="7"/>
  <c r="F189" i="7"/>
  <c r="E189" i="7"/>
  <c r="D189" i="7"/>
  <c r="M188" i="7"/>
  <c r="L188" i="7"/>
  <c r="K188" i="7"/>
  <c r="J188" i="7"/>
  <c r="I188" i="7"/>
  <c r="H188" i="7"/>
  <c r="G188" i="7"/>
  <c r="F188" i="7"/>
  <c r="E188" i="7"/>
  <c r="D188" i="7"/>
  <c r="M187" i="7"/>
  <c r="L187" i="7"/>
  <c r="K187" i="7"/>
  <c r="J187" i="7"/>
  <c r="I187" i="7"/>
  <c r="H187" i="7"/>
  <c r="G187" i="7"/>
  <c r="F187" i="7"/>
  <c r="E187" i="7"/>
  <c r="D187" i="7"/>
  <c r="M186" i="7"/>
  <c r="L186" i="7"/>
  <c r="K186" i="7"/>
  <c r="J186" i="7"/>
  <c r="I186" i="7"/>
  <c r="H186" i="7"/>
  <c r="G186" i="7"/>
  <c r="F186" i="7"/>
  <c r="E186" i="7"/>
  <c r="D186" i="7"/>
  <c r="M185" i="7"/>
  <c r="L185" i="7"/>
  <c r="K185" i="7"/>
  <c r="J185" i="7"/>
  <c r="I185" i="7"/>
  <c r="H185" i="7"/>
  <c r="G185" i="7"/>
  <c r="F185" i="7"/>
  <c r="E185" i="7"/>
  <c r="D185" i="7"/>
  <c r="M184" i="7"/>
  <c r="L184" i="7"/>
  <c r="K184" i="7"/>
  <c r="J184" i="7"/>
  <c r="I184" i="7"/>
  <c r="H184" i="7"/>
  <c r="G184" i="7"/>
  <c r="F184" i="7"/>
  <c r="E184" i="7"/>
  <c r="D184" i="7"/>
  <c r="M183" i="7"/>
  <c r="L183" i="7"/>
  <c r="K183" i="7"/>
  <c r="J183" i="7"/>
  <c r="I183" i="7"/>
  <c r="H183" i="7"/>
  <c r="G183" i="7"/>
  <c r="F183" i="7"/>
  <c r="E183" i="7"/>
  <c r="D183" i="7"/>
  <c r="M182" i="7"/>
  <c r="M220" i="7" s="1"/>
  <c r="L182" i="7"/>
  <c r="L220" i="7" s="1"/>
  <c r="K182" i="7"/>
  <c r="K220" i="7" s="1"/>
  <c r="J182" i="7"/>
  <c r="J220" i="7" s="1"/>
  <c r="I182" i="7"/>
  <c r="I220" i="7" s="1"/>
  <c r="H182" i="7"/>
  <c r="H220" i="7" s="1"/>
  <c r="G182" i="7"/>
  <c r="G220" i="7" s="1"/>
  <c r="F182" i="7"/>
  <c r="F220" i="7" s="1"/>
  <c r="E182" i="7"/>
  <c r="D182" i="7"/>
  <c r="D220" i="7" s="1"/>
  <c r="M177" i="7"/>
  <c r="L177" i="7"/>
  <c r="K177" i="7"/>
  <c r="J177" i="7"/>
  <c r="I177" i="7"/>
  <c r="H177" i="7"/>
  <c r="G177" i="7"/>
  <c r="F177" i="7"/>
  <c r="E177" i="7"/>
  <c r="D177" i="7"/>
  <c r="B177" i="7"/>
  <c r="B219" i="7" s="1"/>
  <c r="B261" i="7" s="1"/>
  <c r="B303" i="7" s="1"/>
  <c r="B345" i="7" s="1"/>
  <c r="A177" i="7"/>
  <c r="A219" i="7" s="1"/>
  <c r="A261" i="7" s="1"/>
  <c r="A303" i="7" s="1"/>
  <c r="A345" i="7" s="1"/>
  <c r="M176" i="7"/>
  <c r="L176" i="7"/>
  <c r="K176" i="7"/>
  <c r="J176" i="7"/>
  <c r="I176" i="7"/>
  <c r="H176" i="7"/>
  <c r="G176" i="7"/>
  <c r="F176" i="7"/>
  <c r="E176" i="7"/>
  <c r="D176" i="7"/>
  <c r="B176" i="7"/>
  <c r="B218" i="7" s="1"/>
  <c r="B260" i="7" s="1"/>
  <c r="B302" i="7" s="1"/>
  <c r="B344" i="7" s="1"/>
  <c r="A176" i="7"/>
  <c r="A218" i="7" s="1"/>
  <c r="A260" i="7" s="1"/>
  <c r="A302" i="7" s="1"/>
  <c r="A344" i="7" s="1"/>
  <c r="M175" i="7"/>
  <c r="L175" i="7"/>
  <c r="K175" i="7"/>
  <c r="J175" i="7"/>
  <c r="I175" i="7"/>
  <c r="H175" i="7"/>
  <c r="G175" i="7"/>
  <c r="F175" i="7"/>
  <c r="E175" i="7"/>
  <c r="D175" i="7"/>
  <c r="B175" i="7"/>
  <c r="B217" i="7" s="1"/>
  <c r="B259" i="7" s="1"/>
  <c r="B301" i="7" s="1"/>
  <c r="B343" i="7" s="1"/>
  <c r="A175" i="7"/>
  <c r="A217" i="7" s="1"/>
  <c r="A259" i="7" s="1"/>
  <c r="A301" i="7" s="1"/>
  <c r="A343" i="7" s="1"/>
  <c r="M174" i="7"/>
  <c r="L174" i="7"/>
  <c r="K174" i="7"/>
  <c r="J174" i="7"/>
  <c r="I174" i="7"/>
  <c r="H174" i="7"/>
  <c r="G174" i="7"/>
  <c r="F174" i="7"/>
  <c r="E174" i="7"/>
  <c r="D174" i="7"/>
  <c r="B174" i="7"/>
  <c r="B216" i="7" s="1"/>
  <c r="B258" i="7" s="1"/>
  <c r="B300" i="7" s="1"/>
  <c r="B342" i="7" s="1"/>
  <c r="A174" i="7"/>
  <c r="A216" i="7" s="1"/>
  <c r="A258" i="7" s="1"/>
  <c r="A300" i="7" s="1"/>
  <c r="A342" i="7" s="1"/>
  <c r="M173" i="7"/>
  <c r="L173" i="7"/>
  <c r="K173" i="7"/>
  <c r="J173" i="7"/>
  <c r="I173" i="7"/>
  <c r="H173" i="7"/>
  <c r="G173" i="7"/>
  <c r="F173" i="7"/>
  <c r="E173" i="7"/>
  <c r="D173" i="7"/>
  <c r="B173" i="7"/>
  <c r="B215" i="7" s="1"/>
  <c r="B257" i="7" s="1"/>
  <c r="B299" i="7" s="1"/>
  <c r="B341" i="7" s="1"/>
  <c r="A173" i="7"/>
  <c r="A215" i="7" s="1"/>
  <c r="A257" i="7" s="1"/>
  <c r="A299" i="7" s="1"/>
  <c r="A341" i="7" s="1"/>
  <c r="M172" i="7"/>
  <c r="L172" i="7"/>
  <c r="K172" i="7"/>
  <c r="J172" i="7"/>
  <c r="I172" i="7"/>
  <c r="H172" i="7"/>
  <c r="G172" i="7"/>
  <c r="F172" i="7"/>
  <c r="E172" i="7"/>
  <c r="D172" i="7"/>
  <c r="B172" i="7"/>
  <c r="B214" i="7" s="1"/>
  <c r="B256" i="7" s="1"/>
  <c r="B298" i="7" s="1"/>
  <c r="B340" i="7" s="1"/>
  <c r="A172" i="7"/>
  <c r="A214" i="7" s="1"/>
  <c r="A256" i="7" s="1"/>
  <c r="A298" i="7" s="1"/>
  <c r="A340" i="7" s="1"/>
  <c r="M171" i="7"/>
  <c r="L171" i="7"/>
  <c r="K171" i="7"/>
  <c r="J171" i="7"/>
  <c r="I171" i="7"/>
  <c r="H171" i="7"/>
  <c r="G171" i="7"/>
  <c r="F171" i="7"/>
  <c r="E171" i="7"/>
  <c r="D171" i="7"/>
  <c r="B171" i="7"/>
  <c r="B213" i="7" s="1"/>
  <c r="B255" i="7" s="1"/>
  <c r="B297" i="7" s="1"/>
  <c r="B339" i="7" s="1"/>
  <c r="A171" i="7"/>
  <c r="A213" i="7" s="1"/>
  <c r="A255" i="7" s="1"/>
  <c r="A297" i="7" s="1"/>
  <c r="A339" i="7" s="1"/>
  <c r="M170" i="7"/>
  <c r="L170" i="7"/>
  <c r="K170" i="7"/>
  <c r="J170" i="7"/>
  <c r="I170" i="7"/>
  <c r="H170" i="7"/>
  <c r="G170" i="7"/>
  <c r="F170" i="7"/>
  <c r="E170" i="7"/>
  <c r="D170" i="7"/>
  <c r="B170" i="7"/>
  <c r="B212" i="7" s="1"/>
  <c r="B254" i="7" s="1"/>
  <c r="B296" i="7" s="1"/>
  <c r="B338" i="7" s="1"/>
  <c r="A170" i="7"/>
  <c r="A212" i="7" s="1"/>
  <c r="A254" i="7" s="1"/>
  <c r="A296" i="7" s="1"/>
  <c r="A338" i="7" s="1"/>
  <c r="M169" i="7"/>
  <c r="L169" i="7"/>
  <c r="K169" i="7"/>
  <c r="J169" i="7"/>
  <c r="I169" i="7"/>
  <c r="H169" i="7"/>
  <c r="G169" i="7"/>
  <c r="F169" i="7"/>
  <c r="E169" i="7"/>
  <c r="D169" i="7"/>
  <c r="B169" i="7"/>
  <c r="B211" i="7" s="1"/>
  <c r="B253" i="7" s="1"/>
  <c r="B295" i="7" s="1"/>
  <c r="B337" i="7" s="1"/>
  <c r="A169" i="7"/>
  <c r="A211" i="7" s="1"/>
  <c r="A253" i="7" s="1"/>
  <c r="A295" i="7" s="1"/>
  <c r="A337" i="7" s="1"/>
  <c r="M168" i="7"/>
  <c r="L168" i="7"/>
  <c r="K168" i="7"/>
  <c r="J168" i="7"/>
  <c r="I168" i="7"/>
  <c r="H168" i="7"/>
  <c r="G168" i="7"/>
  <c r="F168" i="7"/>
  <c r="E168" i="7"/>
  <c r="D168" i="7"/>
  <c r="B168" i="7"/>
  <c r="B210" i="7" s="1"/>
  <c r="B252" i="7" s="1"/>
  <c r="B294" i="7" s="1"/>
  <c r="B336" i="7" s="1"/>
  <c r="A168" i="7"/>
  <c r="A210" i="7" s="1"/>
  <c r="A252" i="7" s="1"/>
  <c r="A294" i="7" s="1"/>
  <c r="A336" i="7" s="1"/>
  <c r="M167" i="7"/>
  <c r="L167" i="7"/>
  <c r="K167" i="7"/>
  <c r="J167" i="7"/>
  <c r="I167" i="7"/>
  <c r="H167" i="7"/>
  <c r="G167" i="7"/>
  <c r="F167" i="7"/>
  <c r="E167" i="7"/>
  <c r="D167" i="7"/>
  <c r="B167" i="7"/>
  <c r="B209" i="7" s="1"/>
  <c r="B251" i="7" s="1"/>
  <c r="B293" i="7" s="1"/>
  <c r="B335" i="7" s="1"/>
  <c r="A167" i="7"/>
  <c r="A209" i="7" s="1"/>
  <c r="A251" i="7" s="1"/>
  <c r="A293" i="7" s="1"/>
  <c r="A335" i="7" s="1"/>
  <c r="M166" i="7"/>
  <c r="L166" i="7"/>
  <c r="K166" i="7"/>
  <c r="J166" i="7"/>
  <c r="I166" i="7"/>
  <c r="H166" i="7"/>
  <c r="G166" i="7"/>
  <c r="F166" i="7"/>
  <c r="E166" i="7"/>
  <c r="D166" i="7"/>
  <c r="B166" i="7"/>
  <c r="B208" i="7" s="1"/>
  <c r="B250" i="7" s="1"/>
  <c r="B292" i="7" s="1"/>
  <c r="B334" i="7" s="1"/>
  <c r="A166" i="7"/>
  <c r="A208" i="7" s="1"/>
  <c r="A250" i="7" s="1"/>
  <c r="A292" i="7" s="1"/>
  <c r="A334" i="7" s="1"/>
  <c r="M165" i="7"/>
  <c r="L165" i="7"/>
  <c r="K165" i="7"/>
  <c r="J165" i="7"/>
  <c r="I165" i="7"/>
  <c r="H165" i="7"/>
  <c r="G165" i="7"/>
  <c r="F165" i="7"/>
  <c r="E165" i="7"/>
  <c r="D165" i="7"/>
  <c r="B165" i="7"/>
  <c r="B207" i="7" s="1"/>
  <c r="B249" i="7" s="1"/>
  <c r="B291" i="7" s="1"/>
  <c r="B333" i="7" s="1"/>
  <c r="A165" i="7"/>
  <c r="A207" i="7" s="1"/>
  <c r="A249" i="7" s="1"/>
  <c r="A291" i="7" s="1"/>
  <c r="A333" i="7" s="1"/>
  <c r="M164" i="7"/>
  <c r="L164" i="7"/>
  <c r="K164" i="7"/>
  <c r="J164" i="7"/>
  <c r="I164" i="7"/>
  <c r="H164" i="7"/>
  <c r="G164" i="7"/>
  <c r="F164" i="7"/>
  <c r="E164" i="7"/>
  <c r="D164" i="7"/>
  <c r="B164" i="7"/>
  <c r="B206" i="7" s="1"/>
  <c r="B248" i="7" s="1"/>
  <c r="B290" i="7" s="1"/>
  <c r="B332" i="7" s="1"/>
  <c r="A164" i="7"/>
  <c r="A206" i="7" s="1"/>
  <c r="A248" i="7" s="1"/>
  <c r="A290" i="7" s="1"/>
  <c r="A332" i="7" s="1"/>
  <c r="M163" i="7"/>
  <c r="L163" i="7"/>
  <c r="K163" i="7"/>
  <c r="J163" i="7"/>
  <c r="I163" i="7"/>
  <c r="H163" i="7"/>
  <c r="G163" i="7"/>
  <c r="F163" i="7"/>
  <c r="E163" i="7"/>
  <c r="D163" i="7"/>
  <c r="B163" i="7"/>
  <c r="B205" i="7" s="1"/>
  <c r="B247" i="7" s="1"/>
  <c r="B289" i="7" s="1"/>
  <c r="B331" i="7" s="1"/>
  <c r="A163" i="7"/>
  <c r="A205" i="7" s="1"/>
  <c r="A247" i="7" s="1"/>
  <c r="A289" i="7" s="1"/>
  <c r="A331" i="7" s="1"/>
  <c r="M162" i="7"/>
  <c r="L162" i="7"/>
  <c r="K162" i="7"/>
  <c r="J162" i="7"/>
  <c r="I162" i="7"/>
  <c r="H162" i="7"/>
  <c r="G162" i="7"/>
  <c r="F162" i="7"/>
  <c r="E162" i="7"/>
  <c r="D162" i="7"/>
  <c r="B162" i="7"/>
  <c r="B204" i="7" s="1"/>
  <c r="B246" i="7" s="1"/>
  <c r="B288" i="7" s="1"/>
  <c r="B330" i="7" s="1"/>
  <c r="A162" i="7"/>
  <c r="A204" i="7" s="1"/>
  <c r="A246" i="7" s="1"/>
  <c r="A288" i="7" s="1"/>
  <c r="A330" i="7" s="1"/>
  <c r="M161" i="7"/>
  <c r="L161" i="7"/>
  <c r="K161" i="7"/>
  <c r="J161" i="7"/>
  <c r="I161" i="7"/>
  <c r="H161" i="7"/>
  <c r="G161" i="7"/>
  <c r="F161" i="7"/>
  <c r="E161" i="7"/>
  <c r="D161" i="7"/>
  <c r="B161" i="7"/>
  <c r="B203" i="7" s="1"/>
  <c r="B245" i="7" s="1"/>
  <c r="B287" i="7" s="1"/>
  <c r="B329" i="7" s="1"/>
  <c r="A161" i="7"/>
  <c r="A203" i="7" s="1"/>
  <c r="A245" i="7" s="1"/>
  <c r="A287" i="7" s="1"/>
  <c r="A329" i="7" s="1"/>
  <c r="M160" i="7"/>
  <c r="L160" i="7"/>
  <c r="K160" i="7"/>
  <c r="J160" i="7"/>
  <c r="I160" i="7"/>
  <c r="H160" i="7"/>
  <c r="G160" i="7"/>
  <c r="F160" i="7"/>
  <c r="E160" i="7"/>
  <c r="D160" i="7"/>
  <c r="B160" i="7"/>
  <c r="B202" i="7" s="1"/>
  <c r="B244" i="7" s="1"/>
  <c r="B286" i="7" s="1"/>
  <c r="B328" i="7" s="1"/>
  <c r="A160" i="7"/>
  <c r="A202" i="7" s="1"/>
  <c r="A244" i="7" s="1"/>
  <c r="A286" i="7" s="1"/>
  <c r="A328" i="7" s="1"/>
  <c r="M159" i="7"/>
  <c r="L159" i="7"/>
  <c r="K159" i="7"/>
  <c r="J159" i="7"/>
  <c r="I159" i="7"/>
  <c r="H159" i="7"/>
  <c r="G159" i="7"/>
  <c r="F159" i="7"/>
  <c r="E159" i="7"/>
  <c r="D159" i="7"/>
  <c r="B159" i="7"/>
  <c r="B201" i="7" s="1"/>
  <c r="B243" i="7" s="1"/>
  <c r="B285" i="7" s="1"/>
  <c r="B327" i="7" s="1"/>
  <c r="A159" i="7"/>
  <c r="A201" i="7" s="1"/>
  <c r="A243" i="7" s="1"/>
  <c r="A285" i="7" s="1"/>
  <c r="A327" i="7" s="1"/>
  <c r="M158" i="7"/>
  <c r="L158" i="7"/>
  <c r="K158" i="7"/>
  <c r="J158" i="7"/>
  <c r="I158" i="7"/>
  <c r="H158" i="7"/>
  <c r="G158" i="7"/>
  <c r="F158" i="7"/>
  <c r="E158" i="7"/>
  <c r="D158" i="7"/>
  <c r="B158" i="7"/>
  <c r="B200" i="7" s="1"/>
  <c r="B242" i="7" s="1"/>
  <c r="B284" i="7" s="1"/>
  <c r="B326" i="7" s="1"/>
  <c r="A158" i="7"/>
  <c r="A200" i="7" s="1"/>
  <c r="A242" i="7" s="1"/>
  <c r="A284" i="7" s="1"/>
  <c r="A326" i="7" s="1"/>
  <c r="M157" i="7"/>
  <c r="L157" i="7"/>
  <c r="K157" i="7"/>
  <c r="J157" i="7"/>
  <c r="I157" i="7"/>
  <c r="H157" i="7"/>
  <c r="G157" i="7"/>
  <c r="F157" i="7"/>
  <c r="E157" i="7"/>
  <c r="D157" i="7"/>
  <c r="B157" i="7"/>
  <c r="B199" i="7" s="1"/>
  <c r="B241" i="7" s="1"/>
  <c r="B283" i="7" s="1"/>
  <c r="B325" i="7" s="1"/>
  <c r="A157" i="7"/>
  <c r="A199" i="7" s="1"/>
  <c r="A241" i="7" s="1"/>
  <c r="A283" i="7" s="1"/>
  <c r="A325" i="7" s="1"/>
  <c r="M156" i="7"/>
  <c r="L156" i="7"/>
  <c r="K156" i="7"/>
  <c r="J156" i="7"/>
  <c r="I156" i="7"/>
  <c r="H156" i="7"/>
  <c r="G156" i="7"/>
  <c r="F156" i="7"/>
  <c r="E156" i="7"/>
  <c r="D156" i="7"/>
  <c r="B156" i="7"/>
  <c r="B198" i="7" s="1"/>
  <c r="B240" i="7" s="1"/>
  <c r="B282" i="7" s="1"/>
  <c r="B324" i="7" s="1"/>
  <c r="A156" i="7"/>
  <c r="A198" i="7" s="1"/>
  <c r="A240" i="7" s="1"/>
  <c r="A282" i="7" s="1"/>
  <c r="A324" i="7" s="1"/>
  <c r="M155" i="7"/>
  <c r="L155" i="7"/>
  <c r="K155" i="7"/>
  <c r="J155" i="7"/>
  <c r="I155" i="7"/>
  <c r="H155" i="7"/>
  <c r="G155" i="7"/>
  <c r="F155" i="7"/>
  <c r="E155" i="7"/>
  <c r="D155" i="7"/>
  <c r="B155" i="7"/>
  <c r="B197" i="7" s="1"/>
  <c r="B239" i="7" s="1"/>
  <c r="B281" i="7" s="1"/>
  <c r="B323" i="7" s="1"/>
  <c r="A155" i="7"/>
  <c r="A197" i="7" s="1"/>
  <c r="A239" i="7" s="1"/>
  <c r="A281" i="7" s="1"/>
  <c r="A323" i="7" s="1"/>
  <c r="M154" i="7"/>
  <c r="L154" i="7"/>
  <c r="K154" i="7"/>
  <c r="J154" i="7"/>
  <c r="I154" i="7"/>
  <c r="H154" i="7"/>
  <c r="G154" i="7"/>
  <c r="F154" i="7"/>
  <c r="E154" i="7"/>
  <c r="D154" i="7"/>
  <c r="B154" i="7"/>
  <c r="B196" i="7" s="1"/>
  <c r="B238" i="7" s="1"/>
  <c r="B280" i="7" s="1"/>
  <c r="B322" i="7" s="1"/>
  <c r="A154" i="7"/>
  <c r="A196" i="7" s="1"/>
  <c r="A238" i="7" s="1"/>
  <c r="A280" i="7" s="1"/>
  <c r="A322" i="7" s="1"/>
  <c r="M153" i="7"/>
  <c r="L153" i="7"/>
  <c r="K153" i="7"/>
  <c r="J153" i="7"/>
  <c r="I153" i="7"/>
  <c r="H153" i="7"/>
  <c r="G153" i="7"/>
  <c r="F153" i="7"/>
  <c r="E153" i="7"/>
  <c r="D153" i="7"/>
  <c r="B153" i="7"/>
  <c r="B195" i="7" s="1"/>
  <c r="B237" i="7" s="1"/>
  <c r="B279" i="7" s="1"/>
  <c r="B321" i="7" s="1"/>
  <c r="A153" i="7"/>
  <c r="A195" i="7" s="1"/>
  <c r="A237" i="7" s="1"/>
  <c r="A279" i="7" s="1"/>
  <c r="A321" i="7" s="1"/>
  <c r="M152" i="7"/>
  <c r="L152" i="7"/>
  <c r="K152" i="7"/>
  <c r="J152" i="7"/>
  <c r="I152" i="7"/>
  <c r="H152" i="7"/>
  <c r="G152" i="7"/>
  <c r="F152" i="7"/>
  <c r="E152" i="7"/>
  <c r="D152" i="7"/>
  <c r="B152" i="7"/>
  <c r="B194" i="7" s="1"/>
  <c r="B236" i="7" s="1"/>
  <c r="B278" i="7" s="1"/>
  <c r="B320" i="7" s="1"/>
  <c r="A152" i="7"/>
  <c r="A194" i="7" s="1"/>
  <c r="A236" i="7" s="1"/>
  <c r="A278" i="7" s="1"/>
  <c r="A320" i="7" s="1"/>
  <c r="M151" i="7"/>
  <c r="L151" i="7"/>
  <c r="K151" i="7"/>
  <c r="J151" i="7"/>
  <c r="I151" i="7"/>
  <c r="H151" i="7"/>
  <c r="G151" i="7"/>
  <c r="F151" i="7"/>
  <c r="E151" i="7"/>
  <c r="D151" i="7"/>
  <c r="B151" i="7"/>
  <c r="B193" i="7" s="1"/>
  <c r="B235" i="7" s="1"/>
  <c r="B277" i="7" s="1"/>
  <c r="B319" i="7" s="1"/>
  <c r="A151" i="7"/>
  <c r="A193" i="7" s="1"/>
  <c r="A235" i="7" s="1"/>
  <c r="A277" i="7" s="1"/>
  <c r="A319" i="7" s="1"/>
  <c r="B150" i="7"/>
  <c r="B192" i="7" s="1"/>
  <c r="B234" i="7" s="1"/>
  <c r="B276" i="7" s="1"/>
  <c r="B318" i="7" s="1"/>
  <c r="A150" i="7"/>
  <c r="A192" i="7" s="1"/>
  <c r="A234" i="7" s="1"/>
  <c r="A276" i="7" s="1"/>
  <c r="A318" i="7" s="1"/>
  <c r="M149" i="7"/>
  <c r="L149" i="7"/>
  <c r="K149" i="7"/>
  <c r="J149" i="7"/>
  <c r="I149" i="7"/>
  <c r="H149" i="7"/>
  <c r="G149" i="7"/>
  <c r="F149" i="7"/>
  <c r="E149" i="7"/>
  <c r="D149" i="7"/>
  <c r="B149" i="7"/>
  <c r="B191" i="7" s="1"/>
  <c r="B233" i="7" s="1"/>
  <c r="B275" i="7" s="1"/>
  <c r="B317" i="7" s="1"/>
  <c r="A149" i="7"/>
  <c r="A191" i="7" s="1"/>
  <c r="A233" i="7" s="1"/>
  <c r="A275" i="7" s="1"/>
  <c r="A317" i="7" s="1"/>
  <c r="M148" i="7"/>
  <c r="L148" i="7"/>
  <c r="K148" i="7"/>
  <c r="J148" i="7"/>
  <c r="I148" i="7"/>
  <c r="H148" i="7"/>
  <c r="G148" i="7"/>
  <c r="F148" i="7"/>
  <c r="E148" i="7"/>
  <c r="D148" i="7"/>
  <c r="B148" i="7"/>
  <c r="B190" i="7" s="1"/>
  <c r="B232" i="7" s="1"/>
  <c r="B274" i="7" s="1"/>
  <c r="B316" i="7" s="1"/>
  <c r="A148" i="7"/>
  <c r="A190" i="7" s="1"/>
  <c r="A232" i="7" s="1"/>
  <c r="A274" i="7" s="1"/>
  <c r="A316" i="7" s="1"/>
  <c r="M147" i="7"/>
  <c r="L147" i="7"/>
  <c r="K147" i="7"/>
  <c r="J147" i="7"/>
  <c r="I147" i="7"/>
  <c r="H147" i="7"/>
  <c r="G147" i="7"/>
  <c r="F147" i="7"/>
  <c r="E147" i="7"/>
  <c r="D147" i="7"/>
  <c r="B147" i="7"/>
  <c r="B189" i="7" s="1"/>
  <c r="B231" i="7" s="1"/>
  <c r="B273" i="7" s="1"/>
  <c r="B315" i="7" s="1"/>
  <c r="A147" i="7"/>
  <c r="A189" i="7" s="1"/>
  <c r="A231" i="7" s="1"/>
  <c r="A273" i="7" s="1"/>
  <c r="A315" i="7" s="1"/>
  <c r="M146" i="7"/>
  <c r="L146" i="7"/>
  <c r="K146" i="7"/>
  <c r="J146" i="7"/>
  <c r="I146" i="7"/>
  <c r="H146" i="7"/>
  <c r="G146" i="7"/>
  <c r="F146" i="7"/>
  <c r="E146" i="7"/>
  <c r="D146" i="7"/>
  <c r="B146" i="7"/>
  <c r="B188" i="7" s="1"/>
  <c r="B230" i="7" s="1"/>
  <c r="B272" i="7" s="1"/>
  <c r="B314" i="7" s="1"/>
  <c r="A146" i="7"/>
  <c r="A188" i="7" s="1"/>
  <c r="A230" i="7" s="1"/>
  <c r="A272" i="7" s="1"/>
  <c r="A314" i="7" s="1"/>
  <c r="M145" i="7"/>
  <c r="L145" i="7"/>
  <c r="K145" i="7"/>
  <c r="J145" i="7"/>
  <c r="I145" i="7"/>
  <c r="H145" i="7"/>
  <c r="G145" i="7"/>
  <c r="F145" i="7"/>
  <c r="E145" i="7"/>
  <c r="D145" i="7"/>
  <c r="B145" i="7"/>
  <c r="B187" i="7" s="1"/>
  <c r="B229" i="7" s="1"/>
  <c r="B271" i="7" s="1"/>
  <c r="B313" i="7" s="1"/>
  <c r="A145" i="7"/>
  <c r="A187" i="7" s="1"/>
  <c r="A229" i="7" s="1"/>
  <c r="A271" i="7" s="1"/>
  <c r="A313" i="7" s="1"/>
  <c r="M144" i="7"/>
  <c r="L144" i="7"/>
  <c r="K144" i="7"/>
  <c r="J144" i="7"/>
  <c r="I144" i="7"/>
  <c r="H144" i="7"/>
  <c r="G144" i="7"/>
  <c r="F144" i="7"/>
  <c r="E144" i="7"/>
  <c r="D144" i="7"/>
  <c r="B144" i="7"/>
  <c r="B186" i="7" s="1"/>
  <c r="B228" i="7" s="1"/>
  <c r="B270" i="7" s="1"/>
  <c r="B312" i="7" s="1"/>
  <c r="A144" i="7"/>
  <c r="A186" i="7" s="1"/>
  <c r="A228" i="7" s="1"/>
  <c r="A270" i="7" s="1"/>
  <c r="A312" i="7" s="1"/>
  <c r="M143" i="7"/>
  <c r="L143" i="7"/>
  <c r="K143" i="7"/>
  <c r="J143" i="7"/>
  <c r="I143" i="7"/>
  <c r="H143" i="7"/>
  <c r="G143" i="7"/>
  <c r="F143" i="7"/>
  <c r="E143" i="7"/>
  <c r="D143" i="7"/>
  <c r="B143" i="7"/>
  <c r="B185" i="7" s="1"/>
  <c r="B227" i="7" s="1"/>
  <c r="B269" i="7" s="1"/>
  <c r="B311" i="7" s="1"/>
  <c r="A143" i="7"/>
  <c r="A185" i="7" s="1"/>
  <c r="A227" i="7" s="1"/>
  <c r="A269" i="7" s="1"/>
  <c r="A311" i="7" s="1"/>
  <c r="M142" i="7"/>
  <c r="L142" i="7"/>
  <c r="K142" i="7"/>
  <c r="J142" i="7"/>
  <c r="I142" i="7"/>
  <c r="H142" i="7"/>
  <c r="G142" i="7"/>
  <c r="F142" i="7"/>
  <c r="E142" i="7"/>
  <c r="D142" i="7"/>
  <c r="B142" i="7"/>
  <c r="B184" i="7" s="1"/>
  <c r="B226" i="7" s="1"/>
  <c r="B268" i="7" s="1"/>
  <c r="B310" i="7" s="1"/>
  <c r="A142" i="7"/>
  <c r="A184" i="7" s="1"/>
  <c r="A226" i="7" s="1"/>
  <c r="A268" i="7" s="1"/>
  <c r="A310" i="7" s="1"/>
  <c r="M141" i="7"/>
  <c r="L141" i="7"/>
  <c r="K141" i="7"/>
  <c r="J141" i="7"/>
  <c r="I141" i="7"/>
  <c r="H141" i="7"/>
  <c r="G141" i="7"/>
  <c r="F141" i="7"/>
  <c r="E141" i="7"/>
  <c r="D141" i="7"/>
  <c r="B141" i="7"/>
  <c r="B183" i="7" s="1"/>
  <c r="B225" i="7" s="1"/>
  <c r="B267" i="7" s="1"/>
  <c r="B309" i="7" s="1"/>
  <c r="A141" i="7"/>
  <c r="A183" i="7" s="1"/>
  <c r="A225" i="7" s="1"/>
  <c r="A267" i="7" s="1"/>
  <c r="A309" i="7" s="1"/>
  <c r="M140" i="7"/>
  <c r="M178" i="7" s="1"/>
  <c r="L140" i="7"/>
  <c r="L178" i="7" s="1"/>
  <c r="K140" i="7"/>
  <c r="K178" i="7" s="1"/>
  <c r="J140" i="7"/>
  <c r="J178" i="7" s="1"/>
  <c r="I140" i="7"/>
  <c r="I178" i="7" s="1"/>
  <c r="H140" i="7"/>
  <c r="H178" i="7" s="1"/>
  <c r="G140" i="7"/>
  <c r="G178" i="7" s="1"/>
  <c r="F140" i="7"/>
  <c r="E140" i="7"/>
  <c r="D140" i="7"/>
  <c r="B140" i="7"/>
  <c r="B182" i="7" s="1"/>
  <c r="B224" i="7" s="1"/>
  <c r="B266" i="7" s="1"/>
  <c r="B308" i="7" s="1"/>
  <c r="A140" i="7"/>
  <c r="A182" i="7" s="1"/>
  <c r="A224" i="7" s="1"/>
  <c r="A266" i="7" s="1"/>
  <c r="A308" i="7" s="1"/>
  <c r="M127" i="7"/>
  <c r="M85" i="7" s="1"/>
  <c r="L127" i="7"/>
  <c r="K127" i="7"/>
  <c r="K85" i="7" s="1"/>
  <c r="J127" i="7"/>
  <c r="I127" i="7"/>
  <c r="I85" i="7" s="1"/>
  <c r="H127" i="7"/>
  <c r="G127" i="7"/>
  <c r="G85" i="7" s="1"/>
  <c r="F127" i="7"/>
  <c r="E127" i="7"/>
  <c r="E85" i="7" s="1"/>
  <c r="D127" i="7"/>
  <c r="B127" i="7"/>
  <c r="A127" i="7"/>
  <c r="M126" i="7"/>
  <c r="M84" i="7" s="1"/>
  <c r="L126" i="7"/>
  <c r="K126" i="7"/>
  <c r="K84" i="7" s="1"/>
  <c r="J126" i="7"/>
  <c r="I126" i="7"/>
  <c r="I84" i="7" s="1"/>
  <c r="H126" i="7"/>
  <c r="G126" i="7"/>
  <c r="G84" i="7" s="1"/>
  <c r="F126" i="7"/>
  <c r="E126" i="7"/>
  <c r="E84" i="7" s="1"/>
  <c r="D126" i="7"/>
  <c r="C126" i="7"/>
  <c r="B126" i="7"/>
  <c r="A126" i="7"/>
  <c r="M125" i="7"/>
  <c r="L125" i="7"/>
  <c r="L83" i="7" s="1"/>
  <c r="K125" i="7"/>
  <c r="J125" i="7"/>
  <c r="J83" i="7" s="1"/>
  <c r="I125" i="7"/>
  <c r="H125" i="7"/>
  <c r="H83" i="7" s="1"/>
  <c r="G125" i="7"/>
  <c r="F125" i="7"/>
  <c r="F83" i="7" s="1"/>
  <c r="E125" i="7"/>
  <c r="D125" i="7"/>
  <c r="B125" i="7"/>
  <c r="A125" i="7"/>
  <c r="M124" i="7"/>
  <c r="L124" i="7"/>
  <c r="L82" i="7" s="1"/>
  <c r="K124" i="7"/>
  <c r="J124" i="7"/>
  <c r="J82" i="7" s="1"/>
  <c r="I124" i="7"/>
  <c r="H124" i="7"/>
  <c r="H82" i="7" s="1"/>
  <c r="G124" i="7"/>
  <c r="F124" i="7"/>
  <c r="F82" i="7" s="1"/>
  <c r="E124" i="7"/>
  <c r="D124" i="7"/>
  <c r="B124" i="7"/>
  <c r="A124" i="7"/>
  <c r="M123" i="7"/>
  <c r="L123" i="7"/>
  <c r="L81" i="7" s="1"/>
  <c r="K123" i="7"/>
  <c r="J123" i="7"/>
  <c r="J81" i="7" s="1"/>
  <c r="I123" i="7"/>
  <c r="H123" i="7"/>
  <c r="H81" i="7" s="1"/>
  <c r="G123" i="7"/>
  <c r="F123" i="7"/>
  <c r="F81" i="7" s="1"/>
  <c r="E123" i="7"/>
  <c r="D123" i="7"/>
  <c r="D81" i="7" s="1"/>
  <c r="B123" i="7"/>
  <c r="A123" i="7"/>
  <c r="M122" i="7"/>
  <c r="L122" i="7"/>
  <c r="L80" i="7" s="1"/>
  <c r="K122" i="7"/>
  <c r="J122" i="7"/>
  <c r="J80" i="7" s="1"/>
  <c r="I122" i="7"/>
  <c r="H122" i="7"/>
  <c r="H80" i="7" s="1"/>
  <c r="G122" i="7"/>
  <c r="F122" i="7"/>
  <c r="F80" i="7" s="1"/>
  <c r="E122" i="7"/>
  <c r="D122" i="7"/>
  <c r="D80" i="7" s="1"/>
  <c r="B122" i="7"/>
  <c r="A122" i="7"/>
  <c r="M121" i="7"/>
  <c r="L121" i="7"/>
  <c r="L79" i="7" s="1"/>
  <c r="K121" i="7"/>
  <c r="J121" i="7"/>
  <c r="J79" i="7" s="1"/>
  <c r="I121" i="7"/>
  <c r="H121" i="7"/>
  <c r="H79" i="7" s="1"/>
  <c r="G121" i="7"/>
  <c r="F121" i="7"/>
  <c r="F79" i="7" s="1"/>
  <c r="E121" i="7"/>
  <c r="D121" i="7"/>
  <c r="D79" i="7" s="1"/>
  <c r="B121" i="7"/>
  <c r="A121" i="7"/>
  <c r="M120" i="7"/>
  <c r="L120" i="7"/>
  <c r="L78" i="7" s="1"/>
  <c r="K120" i="7"/>
  <c r="J120" i="7"/>
  <c r="J78" i="7" s="1"/>
  <c r="I120" i="7"/>
  <c r="H120" i="7"/>
  <c r="H78" i="7" s="1"/>
  <c r="G120" i="7"/>
  <c r="F120" i="7"/>
  <c r="F78" i="7" s="1"/>
  <c r="E120" i="7"/>
  <c r="D120" i="7"/>
  <c r="B120" i="7"/>
  <c r="A120" i="7"/>
  <c r="M119" i="7"/>
  <c r="L119" i="7"/>
  <c r="L77" i="7" s="1"/>
  <c r="K119" i="7"/>
  <c r="J119" i="7"/>
  <c r="J77" i="7" s="1"/>
  <c r="I119" i="7"/>
  <c r="H119" i="7"/>
  <c r="H77" i="7" s="1"/>
  <c r="G119" i="7"/>
  <c r="F119" i="7"/>
  <c r="F77" i="7" s="1"/>
  <c r="E119" i="7"/>
  <c r="D119" i="7"/>
  <c r="D77" i="7" s="1"/>
  <c r="B119" i="7"/>
  <c r="A119" i="7"/>
  <c r="M118" i="7"/>
  <c r="L118" i="7"/>
  <c r="L76" i="7" s="1"/>
  <c r="K118" i="7"/>
  <c r="J118" i="7"/>
  <c r="J76" i="7" s="1"/>
  <c r="I118" i="7"/>
  <c r="H118" i="7"/>
  <c r="H76" i="7" s="1"/>
  <c r="G118" i="7"/>
  <c r="F118" i="7"/>
  <c r="F76" i="7" s="1"/>
  <c r="E118" i="7"/>
  <c r="D118" i="7"/>
  <c r="D76" i="7" s="1"/>
  <c r="B118" i="7"/>
  <c r="A118" i="7"/>
  <c r="M117" i="7"/>
  <c r="L117" i="7"/>
  <c r="L75" i="7" s="1"/>
  <c r="K117" i="7"/>
  <c r="J117" i="7"/>
  <c r="J75" i="7" s="1"/>
  <c r="I117" i="7"/>
  <c r="H117" i="7"/>
  <c r="H75" i="7" s="1"/>
  <c r="G117" i="7"/>
  <c r="F117" i="7"/>
  <c r="F75" i="7" s="1"/>
  <c r="E117" i="7"/>
  <c r="D117" i="7"/>
  <c r="D75" i="7" s="1"/>
  <c r="B117" i="7"/>
  <c r="A117" i="7"/>
  <c r="M116" i="7"/>
  <c r="L116" i="7"/>
  <c r="L74" i="7" s="1"/>
  <c r="K116" i="7"/>
  <c r="J116" i="7"/>
  <c r="J74" i="7" s="1"/>
  <c r="I116" i="7"/>
  <c r="H116" i="7"/>
  <c r="H74" i="7" s="1"/>
  <c r="G116" i="7"/>
  <c r="F116" i="7"/>
  <c r="F74" i="7" s="1"/>
  <c r="E116" i="7"/>
  <c r="D116" i="7"/>
  <c r="B116" i="7"/>
  <c r="A116" i="7"/>
  <c r="M115" i="7"/>
  <c r="L115" i="7"/>
  <c r="L73" i="7" s="1"/>
  <c r="K115" i="7"/>
  <c r="J115" i="7"/>
  <c r="J73" i="7" s="1"/>
  <c r="I115" i="7"/>
  <c r="H115" i="7"/>
  <c r="H73" i="7" s="1"/>
  <c r="G115" i="7"/>
  <c r="F115" i="7"/>
  <c r="F73" i="7" s="1"/>
  <c r="E115" i="7"/>
  <c r="D115" i="7"/>
  <c r="D73" i="7" s="1"/>
  <c r="B115" i="7"/>
  <c r="A115" i="7"/>
  <c r="M114" i="7"/>
  <c r="L114" i="7"/>
  <c r="L72" i="7" s="1"/>
  <c r="K114" i="7"/>
  <c r="J114" i="7"/>
  <c r="J72" i="7" s="1"/>
  <c r="I114" i="7"/>
  <c r="H114" i="7"/>
  <c r="H72" i="7" s="1"/>
  <c r="G114" i="7"/>
  <c r="F114" i="7"/>
  <c r="F72" i="7" s="1"/>
  <c r="E114" i="7"/>
  <c r="D114" i="7"/>
  <c r="D72" i="7" s="1"/>
  <c r="B114" i="7"/>
  <c r="A114" i="7"/>
  <c r="M113" i="7"/>
  <c r="L113" i="7"/>
  <c r="L71" i="7" s="1"/>
  <c r="K113" i="7"/>
  <c r="J113" i="7"/>
  <c r="J71" i="7" s="1"/>
  <c r="I113" i="7"/>
  <c r="H113" i="7"/>
  <c r="H71" i="7" s="1"/>
  <c r="G113" i="7"/>
  <c r="F113" i="7"/>
  <c r="F71" i="7" s="1"/>
  <c r="E113" i="7"/>
  <c r="D113" i="7"/>
  <c r="D71" i="7" s="1"/>
  <c r="B113" i="7"/>
  <c r="A113" i="7"/>
  <c r="M112" i="7"/>
  <c r="L112" i="7"/>
  <c r="L70" i="7" s="1"/>
  <c r="K112" i="7"/>
  <c r="J112" i="7"/>
  <c r="J70" i="7" s="1"/>
  <c r="I112" i="7"/>
  <c r="H112" i="7"/>
  <c r="H70" i="7" s="1"/>
  <c r="G112" i="7"/>
  <c r="F112" i="7"/>
  <c r="F70" i="7" s="1"/>
  <c r="E112" i="7"/>
  <c r="D112" i="7"/>
  <c r="D70" i="7" s="1"/>
  <c r="B112" i="7"/>
  <c r="A112" i="7"/>
  <c r="M111" i="7"/>
  <c r="L111" i="7"/>
  <c r="L69" i="7" s="1"/>
  <c r="K111" i="7"/>
  <c r="J111" i="7"/>
  <c r="J69" i="7" s="1"/>
  <c r="I111" i="7"/>
  <c r="H111" i="7"/>
  <c r="H69" i="7" s="1"/>
  <c r="G111" i="7"/>
  <c r="F111" i="7"/>
  <c r="F69" i="7" s="1"/>
  <c r="E111" i="7"/>
  <c r="D111" i="7"/>
  <c r="D69" i="7" s="1"/>
  <c r="B111" i="7"/>
  <c r="A111" i="7"/>
  <c r="M110" i="7"/>
  <c r="L110" i="7"/>
  <c r="L68" i="7" s="1"/>
  <c r="K110" i="7"/>
  <c r="J110" i="7"/>
  <c r="J68" i="7" s="1"/>
  <c r="I110" i="7"/>
  <c r="H110" i="7"/>
  <c r="H68" i="7" s="1"/>
  <c r="G110" i="7"/>
  <c r="F110" i="7"/>
  <c r="F68" i="7" s="1"/>
  <c r="E110" i="7"/>
  <c r="D110" i="7"/>
  <c r="D68" i="7" s="1"/>
  <c r="B110" i="7"/>
  <c r="A110" i="7"/>
  <c r="M109" i="7"/>
  <c r="L109" i="7"/>
  <c r="K109" i="7"/>
  <c r="J109" i="7"/>
  <c r="I109" i="7"/>
  <c r="H109" i="7"/>
  <c r="G109" i="7"/>
  <c r="F109" i="7"/>
  <c r="E109" i="7"/>
  <c r="D109" i="7"/>
  <c r="B109" i="7"/>
  <c r="A109" i="7"/>
  <c r="M108" i="7"/>
  <c r="L108" i="7"/>
  <c r="K108" i="7"/>
  <c r="J108" i="7"/>
  <c r="I108" i="7"/>
  <c r="H108" i="7"/>
  <c r="G108" i="7"/>
  <c r="F108" i="7"/>
  <c r="E108" i="7"/>
  <c r="D108" i="7"/>
  <c r="B108" i="7"/>
  <c r="A108" i="7"/>
  <c r="M107" i="7"/>
  <c r="L107" i="7"/>
  <c r="K107" i="7"/>
  <c r="J107" i="7"/>
  <c r="I107" i="7"/>
  <c r="H107" i="7"/>
  <c r="G107" i="7"/>
  <c r="F107" i="7"/>
  <c r="E107" i="7"/>
  <c r="D107" i="7"/>
  <c r="B107" i="7"/>
  <c r="A107" i="7"/>
  <c r="M106" i="7"/>
  <c r="L106" i="7"/>
  <c r="K106" i="7"/>
  <c r="J106" i="7"/>
  <c r="I106" i="7"/>
  <c r="H106" i="7"/>
  <c r="G106" i="7"/>
  <c r="F106" i="7"/>
  <c r="E106" i="7"/>
  <c r="D106" i="7"/>
  <c r="C106" i="7" s="1"/>
  <c r="B106" i="7"/>
  <c r="A106" i="7"/>
  <c r="M105" i="7"/>
  <c r="L105" i="7"/>
  <c r="K105" i="7"/>
  <c r="J105" i="7"/>
  <c r="I105" i="7"/>
  <c r="H105" i="7"/>
  <c r="G105" i="7"/>
  <c r="F105" i="7"/>
  <c r="E105" i="7"/>
  <c r="D105" i="7"/>
  <c r="B105" i="7"/>
  <c r="A105" i="7"/>
  <c r="M104" i="7"/>
  <c r="L104" i="7"/>
  <c r="K104" i="7"/>
  <c r="J104" i="7"/>
  <c r="I104" i="7"/>
  <c r="H104" i="7"/>
  <c r="G104" i="7"/>
  <c r="F104" i="7"/>
  <c r="E104" i="7"/>
  <c r="D104" i="7"/>
  <c r="B104" i="7"/>
  <c r="A104" i="7"/>
  <c r="M103" i="7"/>
  <c r="L103" i="7"/>
  <c r="K103" i="7"/>
  <c r="J103" i="7"/>
  <c r="I103" i="7"/>
  <c r="H103" i="7"/>
  <c r="G103" i="7"/>
  <c r="F103" i="7"/>
  <c r="E103" i="7"/>
  <c r="D103" i="7"/>
  <c r="B103" i="7"/>
  <c r="A103" i="7"/>
  <c r="M102" i="7"/>
  <c r="L102" i="7"/>
  <c r="K102" i="7"/>
  <c r="J102" i="7"/>
  <c r="I102" i="7"/>
  <c r="H102" i="7"/>
  <c r="G102" i="7"/>
  <c r="F102" i="7"/>
  <c r="E102" i="7"/>
  <c r="D102" i="7"/>
  <c r="B102" i="7"/>
  <c r="A102" i="7"/>
  <c r="M101" i="7"/>
  <c r="L101" i="7"/>
  <c r="K101" i="7"/>
  <c r="J101" i="7"/>
  <c r="I101" i="7"/>
  <c r="H101" i="7"/>
  <c r="G101" i="7"/>
  <c r="F101" i="7"/>
  <c r="E101" i="7"/>
  <c r="D101" i="7"/>
  <c r="B101" i="7"/>
  <c r="A101" i="7"/>
  <c r="M100" i="7"/>
  <c r="L100" i="7"/>
  <c r="K100" i="7"/>
  <c r="J100" i="7"/>
  <c r="I100" i="7"/>
  <c r="H100" i="7"/>
  <c r="G100" i="7"/>
  <c r="F100" i="7"/>
  <c r="E100" i="7"/>
  <c r="D100" i="7"/>
  <c r="B100" i="7"/>
  <c r="A100" i="7"/>
  <c r="M99" i="7"/>
  <c r="L99" i="7"/>
  <c r="K99" i="7"/>
  <c r="J99" i="7"/>
  <c r="I99" i="7"/>
  <c r="H99" i="7"/>
  <c r="G99" i="7"/>
  <c r="F99" i="7"/>
  <c r="E99" i="7"/>
  <c r="D99" i="7"/>
  <c r="B99" i="7"/>
  <c r="A99" i="7"/>
  <c r="M98" i="7"/>
  <c r="L98" i="7"/>
  <c r="K98" i="7"/>
  <c r="J98" i="7"/>
  <c r="I98" i="7"/>
  <c r="H98" i="7"/>
  <c r="G98" i="7"/>
  <c r="F98" i="7"/>
  <c r="E98" i="7"/>
  <c r="D98" i="7"/>
  <c r="B98" i="7"/>
  <c r="A98" i="7"/>
  <c r="M97" i="7"/>
  <c r="L97" i="7"/>
  <c r="K97" i="7"/>
  <c r="J97" i="7"/>
  <c r="I97" i="7"/>
  <c r="H97" i="7"/>
  <c r="G97" i="7"/>
  <c r="F97" i="7"/>
  <c r="E97" i="7"/>
  <c r="D97" i="7"/>
  <c r="B97" i="7"/>
  <c r="A97" i="7"/>
  <c r="M96" i="7"/>
  <c r="L96" i="7"/>
  <c r="K96" i="7"/>
  <c r="J96" i="7"/>
  <c r="I96" i="7"/>
  <c r="H96" i="7"/>
  <c r="G96" i="7"/>
  <c r="F96" i="7"/>
  <c r="E96" i="7"/>
  <c r="D96" i="7"/>
  <c r="B96" i="7"/>
  <c r="A96" i="7"/>
  <c r="M95" i="7"/>
  <c r="L95" i="7"/>
  <c r="K95" i="7"/>
  <c r="J95" i="7"/>
  <c r="I95" i="7"/>
  <c r="H95" i="7"/>
  <c r="G95" i="7"/>
  <c r="F95" i="7"/>
  <c r="E95" i="7"/>
  <c r="D95" i="7"/>
  <c r="B95" i="7"/>
  <c r="A95" i="7"/>
  <c r="M94" i="7"/>
  <c r="L94" i="7"/>
  <c r="K94" i="7"/>
  <c r="J94" i="7"/>
  <c r="I94" i="7"/>
  <c r="H94" i="7"/>
  <c r="G94" i="7"/>
  <c r="F94" i="7"/>
  <c r="E94" i="7"/>
  <c r="D94" i="7"/>
  <c r="B94" i="7"/>
  <c r="A94" i="7"/>
  <c r="M93" i="7"/>
  <c r="L93" i="7"/>
  <c r="K93" i="7"/>
  <c r="J93" i="7"/>
  <c r="I93" i="7"/>
  <c r="H93" i="7"/>
  <c r="G93" i="7"/>
  <c r="F93" i="7"/>
  <c r="E93" i="7"/>
  <c r="D93" i="7"/>
  <c r="B93" i="7"/>
  <c r="A93" i="7"/>
  <c r="M92" i="7"/>
  <c r="L92" i="7"/>
  <c r="K92" i="7"/>
  <c r="J92" i="7"/>
  <c r="I92" i="7"/>
  <c r="H92" i="7"/>
  <c r="G92" i="7"/>
  <c r="F92" i="7"/>
  <c r="E92" i="7"/>
  <c r="D92" i="7"/>
  <c r="B92" i="7"/>
  <c r="A92" i="7"/>
  <c r="M91" i="7"/>
  <c r="L91" i="7"/>
  <c r="K91" i="7"/>
  <c r="J91" i="7"/>
  <c r="I91" i="7"/>
  <c r="H91" i="7"/>
  <c r="G91" i="7"/>
  <c r="F91" i="7"/>
  <c r="E91" i="7"/>
  <c r="D91" i="7"/>
  <c r="B91" i="7"/>
  <c r="A91" i="7"/>
  <c r="M90" i="7"/>
  <c r="L90" i="7"/>
  <c r="K90" i="7"/>
  <c r="J90" i="7"/>
  <c r="I90" i="7"/>
  <c r="H90" i="7"/>
  <c r="G90" i="7"/>
  <c r="F90" i="7"/>
  <c r="E90" i="7"/>
  <c r="D90" i="7"/>
  <c r="B90" i="7"/>
  <c r="A90" i="7"/>
  <c r="L85" i="7"/>
  <c r="J85" i="7"/>
  <c r="H85" i="7"/>
  <c r="F85" i="7"/>
  <c r="D85" i="7"/>
  <c r="B85" i="7"/>
  <c r="A85" i="7"/>
  <c r="L84" i="7"/>
  <c r="J84" i="7"/>
  <c r="H84" i="7"/>
  <c r="F84" i="7"/>
  <c r="D84" i="7"/>
  <c r="B84" i="7"/>
  <c r="A84" i="7"/>
  <c r="M83" i="7"/>
  <c r="K83" i="7"/>
  <c r="I83" i="7"/>
  <c r="G83" i="7"/>
  <c r="E83" i="7"/>
  <c r="B83" i="7"/>
  <c r="A83" i="7"/>
  <c r="M82" i="7"/>
  <c r="K82" i="7"/>
  <c r="I82" i="7"/>
  <c r="G82" i="7"/>
  <c r="E82" i="7"/>
  <c r="B82" i="7"/>
  <c r="A82" i="7"/>
  <c r="M81" i="7"/>
  <c r="K81" i="7"/>
  <c r="I81" i="7"/>
  <c r="G81" i="7"/>
  <c r="E81" i="7"/>
  <c r="B81" i="7"/>
  <c r="A81" i="7"/>
  <c r="M80" i="7"/>
  <c r="K80" i="7"/>
  <c r="I80" i="7"/>
  <c r="G80" i="7"/>
  <c r="E80" i="7"/>
  <c r="B80" i="7"/>
  <c r="A80" i="7"/>
  <c r="M79" i="7"/>
  <c r="K79" i="7"/>
  <c r="I79" i="7"/>
  <c r="G79" i="7"/>
  <c r="E79" i="7"/>
  <c r="B79" i="7"/>
  <c r="A79" i="7"/>
  <c r="M78" i="7"/>
  <c r="K78" i="7"/>
  <c r="I78" i="7"/>
  <c r="G78" i="7"/>
  <c r="E78" i="7"/>
  <c r="B78" i="7"/>
  <c r="A78" i="7"/>
  <c r="M77" i="7"/>
  <c r="K77" i="7"/>
  <c r="I77" i="7"/>
  <c r="G77" i="7"/>
  <c r="E77" i="7"/>
  <c r="B77" i="7"/>
  <c r="A77" i="7"/>
  <c r="M76" i="7"/>
  <c r="K76" i="7"/>
  <c r="I76" i="7"/>
  <c r="G76" i="7"/>
  <c r="E76" i="7"/>
  <c r="B76" i="7"/>
  <c r="A76" i="7"/>
  <c r="M75" i="7"/>
  <c r="K75" i="7"/>
  <c r="I75" i="7"/>
  <c r="G75" i="7"/>
  <c r="E75" i="7"/>
  <c r="B75" i="7"/>
  <c r="A75" i="7"/>
  <c r="M74" i="7"/>
  <c r="K74" i="7"/>
  <c r="I74" i="7"/>
  <c r="G74" i="7"/>
  <c r="E74" i="7"/>
  <c r="B74" i="7"/>
  <c r="A74" i="7"/>
  <c r="M73" i="7"/>
  <c r="K73" i="7"/>
  <c r="I73" i="7"/>
  <c r="G73" i="7"/>
  <c r="E73" i="7"/>
  <c r="B73" i="7"/>
  <c r="A73" i="7"/>
  <c r="M72" i="7"/>
  <c r="K72" i="7"/>
  <c r="I72" i="7"/>
  <c r="G72" i="7"/>
  <c r="E72" i="7"/>
  <c r="B72" i="7"/>
  <c r="A72" i="7"/>
  <c r="M71" i="7"/>
  <c r="K71" i="7"/>
  <c r="I71" i="7"/>
  <c r="G71" i="7"/>
  <c r="E71" i="7"/>
  <c r="B71" i="7"/>
  <c r="A71" i="7"/>
  <c r="M70" i="7"/>
  <c r="K70" i="7"/>
  <c r="I70" i="7"/>
  <c r="G70" i="7"/>
  <c r="E70" i="7"/>
  <c r="B70" i="7"/>
  <c r="A70" i="7"/>
  <c r="M69" i="7"/>
  <c r="K69" i="7"/>
  <c r="I69" i="7"/>
  <c r="G69" i="7"/>
  <c r="E69" i="7"/>
  <c r="B69" i="7"/>
  <c r="A69" i="7"/>
  <c r="M68" i="7"/>
  <c r="K68" i="7"/>
  <c r="I68" i="7"/>
  <c r="G68" i="7"/>
  <c r="E68" i="7"/>
  <c r="B68" i="7"/>
  <c r="A68" i="7"/>
  <c r="M67" i="7"/>
  <c r="L67" i="7"/>
  <c r="K67" i="7"/>
  <c r="J67" i="7"/>
  <c r="I67" i="7"/>
  <c r="H67" i="7"/>
  <c r="G67" i="7"/>
  <c r="F67" i="7"/>
  <c r="E67" i="7"/>
  <c r="D67" i="7"/>
  <c r="B67" i="7"/>
  <c r="A67" i="7"/>
  <c r="M66" i="7"/>
  <c r="L66" i="7"/>
  <c r="K66" i="7"/>
  <c r="J66" i="7"/>
  <c r="I66" i="7"/>
  <c r="H66" i="7"/>
  <c r="G66" i="7"/>
  <c r="F66" i="7"/>
  <c r="E66" i="7"/>
  <c r="D66" i="7"/>
  <c r="B66" i="7"/>
  <c r="A66" i="7"/>
  <c r="M65" i="7"/>
  <c r="L65" i="7"/>
  <c r="K65" i="7"/>
  <c r="J65" i="7"/>
  <c r="I65" i="7"/>
  <c r="H65" i="7"/>
  <c r="G65" i="7"/>
  <c r="F65" i="7"/>
  <c r="E65" i="7"/>
  <c r="D65" i="7"/>
  <c r="B65" i="7"/>
  <c r="A65" i="7"/>
  <c r="M64" i="7"/>
  <c r="L64" i="7"/>
  <c r="K64" i="7"/>
  <c r="J64" i="7"/>
  <c r="I64" i="7"/>
  <c r="H64" i="7"/>
  <c r="G64" i="7"/>
  <c r="F64" i="7"/>
  <c r="E64" i="7"/>
  <c r="D64" i="7"/>
  <c r="B64" i="7"/>
  <c r="A64" i="7"/>
  <c r="M63" i="7"/>
  <c r="L63" i="7"/>
  <c r="K63" i="7"/>
  <c r="J63" i="7"/>
  <c r="I63" i="7"/>
  <c r="H63" i="7"/>
  <c r="G63" i="7"/>
  <c r="F63" i="7"/>
  <c r="E63" i="7"/>
  <c r="D63" i="7"/>
  <c r="B63" i="7"/>
  <c r="A63" i="7"/>
  <c r="M62" i="7"/>
  <c r="L62" i="7"/>
  <c r="K62" i="7"/>
  <c r="J62" i="7"/>
  <c r="I62" i="7"/>
  <c r="H62" i="7"/>
  <c r="G62" i="7"/>
  <c r="F62" i="7"/>
  <c r="E62" i="7"/>
  <c r="D62" i="7"/>
  <c r="B62" i="7"/>
  <c r="A62" i="7"/>
  <c r="M61" i="7"/>
  <c r="L61" i="7"/>
  <c r="K61" i="7"/>
  <c r="J61" i="7"/>
  <c r="I61" i="7"/>
  <c r="H61" i="7"/>
  <c r="G61" i="7"/>
  <c r="F61" i="7"/>
  <c r="E61" i="7"/>
  <c r="D61" i="7"/>
  <c r="B61" i="7"/>
  <c r="A61" i="7"/>
  <c r="M60" i="7"/>
  <c r="L60" i="7"/>
  <c r="K60" i="7"/>
  <c r="J60" i="7"/>
  <c r="I60" i="7"/>
  <c r="H60" i="7"/>
  <c r="G60" i="7"/>
  <c r="F60" i="7"/>
  <c r="E60" i="7"/>
  <c r="D60" i="7"/>
  <c r="B60" i="7"/>
  <c r="A60" i="7"/>
  <c r="M59" i="7"/>
  <c r="L59" i="7"/>
  <c r="K59" i="7"/>
  <c r="J59" i="7"/>
  <c r="I59" i="7"/>
  <c r="H59" i="7"/>
  <c r="G59" i="7"/>
  <c r="F59" i="7"/>
  <c r="E59" i="7"/>
  <c r="D59" i="7"/>
  <c r="B59" i="7"/>
  <c r="A59" i="7"/>
  <c r="M58" i="7"/>
  <c r="L58" i="7"/>
  <c r="K58" i="7"/>
  <c r="J58" i="7"/>
  <c r="I58" i="7"/>
  <c r="H58" i="7"/>
  <c r="G58" i="7"/>
  <c r="B58" i="7"/>
  <c r="A58" i="7"/>
  <c r="M57" i="7"/>
  <c r="L57" i="7"/>
  <c r="K57" i="7"/>
  <c r="J57" i="7"/>
  <c r="I57" i="7"/>
  <c r="H57" i="7"/>
  <c r="G57" i="7"/>
  <c r="F57" i="7"/>
  <c r="E57" i="7"/>
  <c r="D57" i="7"/>
  <c r="B57" i="7"/>
  <c r="A57" i="7"/>
  <c r="M56" i="7"/>
  <c r="L56" i="7"/>
  <c r="K56" i="7"/>
  <c r="J56" i="7"/>
  <c r="I56" i="7"/>
  <c r="H56" i="7"/>
  <c r="G56" i="7"/>
  <c r="F56" i="7"/>
  <c r="E56" i="7"/>
  <c r="D56" i="7"/>
  <c r="B56" i="7"/>
  <c r="A56" i="7"/>
  <c r="M55" i="7"/>
  <c r="L55" i="7"/>
  <c r="K55" i="7"/>
  <c r="J55" i="7"/>
  <c r="I55" i="7"/>
  <c r="H55" i="7"/>
  <c r="G55" i="7"/>
  <c r="F55" i="7"/>
  <c r="E55" i="7"/>
  <c r="D55" i="7"/>
  <c r="B55" i="7"/>
  <c r="A55" i="7"/>
  <c r="M54" i="7"/>
  <c r="L54" i="7"/>
  <c r="K54" i="7"/>
  <c r="J54" i="7"/>
  <c r="I54" i="7"/>
  <c r="H54" i="7"/>
  <c r="G54" i="7"/>
  <c r="F54" i="7"/>
  <c r="E54" i="7"/>
  <c r="D54" i="7"/>
  <c r="B54" i="7"/>
  <c r="A54" i="7"/>
  <c r="M53" i="7"/>
  <c r="L53" i="7"/>
  <c r="K53" i="7"/>
  <c r="J53" i="7"/>
  <c r="I53" i="7"/>
  <c r="H53" i="7"/>
  <c r="G53" i="7"/>
  <c r="F53" i="7"/>
  <c r="E53" i="7"/>
  <c r="D53" i="7"/>
  <c r="B53" i="7"/>
  <c r="A53" i="7"/>
  <c r="M52" i="7"/>
  <c r="L52" i="7"/>
  <c r="K52" i="7"/>
  <c r="J52" i="7"/>
  <c r="I52" i="7"/>
  <c r="H52" i="7"/>
  <c r="G52" i="7"/>
  <c r="F52" i="7"/>
  <c r="E52" i="7"/>
  <c r="D52" i="7"/>
  <c r="B52" i="7"/>
  <c r="A52" i="7"/>
  <c r="M51" i="7"/>
  <c r="L51" i="7"/>
  <c r="K51" i="7"/>
  <c r="J51" i="7"/>
  <c r="I51" i="7"/>
  <c r="H51" i="7"/>
  <c r="G51" i="7"/>
  <c r="F51" i="7"/>
  <c r="E51" i="7"/>
  <c r="D51" i="7"/>
  <c r="B51" i="7"/>
  <c r="A51" i="7"/>
  <c r="M50" i="7"/>
  <c r="L50" i="7"/>
  <c r="K50" i="7"/>
  <c r="J50" i="7"/>
  <c r="I50" i="7"/>
  <c r="H50" i="7"/>
  <c r="G50" i="7"/>
  <c r="F50" i="7"/>
  <c r="E50" i="7"/>
  <c r="D50" i="7"/>
  <c r="B50" i="7"/>
  <c r="A50" i="7"/>
  <c r="M49" i="7"/>
  <c r="L49" i="7"/>
  <c r="K49" i="7"/>
  <c r="J49" i="7"/>
  <c r="I49" i="7"/>
  <c r="H49" i="7"/>
  <c r="G49" i="7"/>
  <c r="F49" i="7"/>
  <c r="E49" i="7"/>
  <c r="D49" i="7"/>
  <c r="B49" i="7"/>
  <c r="A49" i="7"/>
  <c r="M48" i="7"/>
  <c r="L48" i="7"/>
  <c r="K48" i="7"/>
  <c r="J48" i="7"/>
  <c r="I48" i="7"/>
  <c r="H48" i="7"/>
  <c r="G48" i="7"/>
  <c r="F48" i="7"/>
  <c r="E48" i="7"/>
  <c r="D48" i="7"/>
  <c r="B48" i="7"/>
  <c r="A48" i="7"/>
  <c r="I6" i="13" l="1"/>
  <c r="E9" i="13"/>
  <c r="H8" i="13"/>
  <c r="H40" i="13"/>
  <c r="G21" i="13"/>
  <c r="G32" i="13"/>
  <c r="F5" i="13"/>
  <c r="K39" i="13"/>
  <c r="H31" i="13"/>
  <c r="H23" i="13"/>
  <c r="G25" i="13"/>
  <c r="G36" i="13"/>
  <c r="E34" i="13"/>
  <c r="H35" i="13"/>
  <c r="H33" i="13"/>
  <c r="G27" i="13"/>
  <c r="G42" i="13"/>
  <c r="K19" i="13"/>
  <c r="E19" i="13"/>
  <c r="H12" i="13"/>
  <c r="H38" i="13"/>
  <c r="G29" i="13"/>
  <c r="G41" i="13"/>
  <c r="F35" i="13"/>
  <c r="K34" i="13"/>
  <c r="F7" i="13"/>
  <c r="K20" i="13"/>
  <c r="J33" i="13"/>
  <c r="J16" i="13"/>
  <c r="G37" i="13"/>
  <c r="H30" i="13"/>
  <c r="H27" i="13"/>
  <c r="L5" i="13"/>
  <c r="F30" i="13"/>
  <c r="F27" i="13"/>
  <c r="I22" i="13"/>
  <c r="I8" i="13"/>
  <c r="L36" i="13"/>
  <c r="L41" i="13"/>
  <c r="E7" i="13"/>
  <c r="G31" i="13"/>
  <c r="M5" i="13"/>
  <c r="L20" i="13"/>
  <c r="K7" i="13"/>
  <c r="J18" i="13"/>
  <c r="J21" i="13"/>
  <c r="J26" i="13"/>
  <c r="M37" i="13"/>
  <c r="L17" i="13"/>
  <c r="M27" i="13"/>
  <c r="M42" i="13"/>
  <c r="E29" i="13"/>
  <c r="E41" i="13"/>
  <c r="K10" i="13"/>
  <c r="F20" i="13"/>
  <c r="J24" i="13"/>
  <c r="G33" i="13"/>
  <c r="M22" i="13"/>
  <c r="K17" i="13"/>
  <c r="F33" i="13"/>
  <c r="G24" i="13"/>
  <c r="H11" i="13"/>
  <c r="H42" i="13"/>
  <c r="L35" i="13"/>
  <c r="F11" i="13"/>
  <c r="F42" i="13"/>
  <c r="I7" i="13"/>
  <c r="L10" i="13"/>
  <c r="L15" i="13"/>
  <c r="H20" i="13"/>
  <c r="E31" i="13"/>
  <c r="G35" i="13"/>
  <c r="M35" i="13"/>
  <c r="L24" i="13"/>
  <c r="K5" i="13"/>
  <c r="J10" i="13"/>
  <c r="J15" i="13"/>
  <c r="J12" i="13"/>
  <c r="J40" i="13"/>
  <c r="L16" i="13"/>
  <c r="M15" i="13"/>
  <c r="M30" i="13"/>
  <c r="E21" i="13"/>
  <c r="E32" i="13"/>
  <c r="K25" i="13"/>
  <c r="K36" i="13"/>
  <c r="F37" i="13"/>
  <c r="J39" i="13"/>
  <c r="M23" i="13"/>
  <c r="E16" i="13"/>
  <c r="K38" i="13"/>
  <c r="F16" i="13"/>
  <c r="J38" i="13"/>
  <c r="G20" i="13"/>
  <c r="H36" i="13"/>
  <c r="H41" i="13"/>
  <c r="F18" i="13"/>
  <c r="F21" i="13"/>
  <c r="I33" i="13"/>
  <c r="I26" i="13"/>
  <c r="L13" i="13"/>
  <c r="H24" i="13"/>
  <c r="E35" i="13"/>
  <c r="G5" i="13"/>
  <c r="M31" i="13"/>
  <c r="L34" i="13"/>
  <c r="K35" i="13"/>
  <c r="J30" i="13"/>
  <c r="J27" i="13"/>
  <c r="J7" i="13"/>
  <c r="M20" i="13"/>
  <c r="L33" i="13"/>
  <c r="M10" i="13"/>
  <c r="E11" i="13"/>
  <c r="E18" i="13"/>
  <c r="K13" i="13"/>
  <c r="K28" i="13"/>
  <c r="F34" i="13"/>
  <c r="J9" i="13"/>
  <c r="G22" i="13"/>
  <c r="E17" i="13"/>
  <c r="K33" i="13"/>
  <c r="J17" i="13"/>
  <c r="H10" i="13"/>
  <c r="H15" i="13"/>
  <c r="L8" i="13"/>
  <c r="F10" i="13"/>
  <c r="F15" i="13"/>
  <c r="I23" i="13"/>
  <c r="I35" i="13"/>
  <c r="L28" i="13"/>
  <c r="L25" i="13"/>
  <c r="H34" i="13"/>
  <c r="E5" i="13"/>
  <c r="G7" i="13"/>
  <c r="M7" i="13"/>
  <c r="L9" i="13"/>
  <c r="K26" i="13"/>
  <c r="J11" i="13"/>
  <c r="J42" i="13"/>
  <c r="M19" i="13"/>
  <c r="L38" i="13"/>
  <c r="M25" i="13"/>
  <c r="M36" i="13"/>
  <c r="E27" i="13"/>
  <c r="E42" i="13"/>
  <c r="K29" i="13"/>
  <c r="K41" i="13"/>
  <c r="J20" i="13"/>
  <c r="G23" i="13"/>
  <c r="M16" i="13"/>
  <c r="E38" i="13"/>
  <c r="H6" i="13"/>
  <c r="D41" i="13"/>
  <c r="D21" i="13"/>
  <c r="D36" i="13"/>
  <c r="D18" i="13"/>
  <c r="D35" i="13"/>
  <c r="D26" i="13"/>
  <c r="D37" i="13"/>
  <c r="D24" i="13"/>
  <c r="I34" i="13"/>
  <c r="I29" i="13"/>
  <c r="I41" i="13"/>
  <c r="D42" i="13"/>
  <c r="D25" i="13"/>
  <c r="D11" i="13"/>
  <c r="D28" i="13"/>
  <c r="L6" i="13"/>
  <c r="D40" i="13"/>
  <c r="F14" i="13"/>
  <c r="I39" i="13"/>
  <c r="I27" i="13"/>
  <c r="I42" i="13"/>
  <c r="D17" i="13"/>
  <c r="L14" i="13"/>
  <c r="F6" i="13"/>
  <c r="K6" i="13"/>
  <c r="I20" i="13"/>
  <c r="I25" i="13"/>
  <c r="I36" i="13"/>
  <c r="G6" i="13"/>
  <c r="D12" i="13"/>
  <c r="D19" i="13"/>
  <c r="D20" i="13"/>
  <c r="D23" i="13"/>
  <c r="D16" i="13"/>
  <c r="K14" i="13"/>
  <c r="I24" i="13"/>
  <c r="I10" i="13"/>
  <c r="I14" i="13"/>
  <c r="E20" i="13"/>
  <c r="H7" i="13"/>
  <c r="H17" i="13"/>
  <c r="G10" i="13"/>
  <c r="F12" i="13"/>
  <c r="F40" i="13"/>
  <c r="E39" i="13"/>
  <c r="H16" i="13"/>
  <c r="G11" i="13"/>
  <c r="G18" i="13"/>
  <c r="E37" i="13"/>
  <c r="H26" i="13"/>
  <c r="H22" i="13"/>
  <c r="G13" i="13"/>
  <c r="G28" i="13"/>
  <c r="F31" i="13"/>
  <c r="K24" i="13"/>
  <c r="E24" i="13"/>
  <c r="H5" i="13"/>
  <c r="G15" i="13"/>
  <c r="G30" i="13"/>
  <c r="F26" i="13"/>
  <c r="K37" i="13"/>
  <c r="F8" i="13"/>
  <c r="K9" i="13"/>
  <c r="F17" i="13"/>
  <c r="F38" i="13"/>
  <c r="J23" i="13"/>
  <c r="G34" i="13"/>
  <c r="H13" i="13"/>
  <c r="L12" i="13"/>
  <c r="L40" i="13"/>
  <c r="F13" i="13"/>
  <c r="I17" i="13"/>
  <c r="I5" i="13"/>
  <c r="L18" i="13"/>
  <c r="L21" i="13"/>
  <c r="H9" i="13"/>
  <c r="E12" i="13"/>
  <c r="G26" i="13"/>
  <c r="M8" i="13"/>
  <c r="L19" i="13"/>
  <c r="K12" i="13"/>
  <c r="J36" i="13"/>
  <c r="J41" i="13"/>
  <c r="J35" i="13"/>
  <c r="M34" i="13"/>
  <c r="M13" i="13"/>
  <c r="M28" i="13"/>
  <c r="E15" i="13"/>
  <c r="E30" i="13"/>
  <c r="K21" i="13"/>
  <c r="K32" i="13"/>
  <c r="F19" i="13"/>
  <c r="J37" i="13"/>
  <c r="M17" i="13"/>
  <c r="E33" i="13"/>
  <c r="K22" i="13"/>
  <c r="G19" i="13"/>
  <c r="H28" i="13"/>
  <c r="H25" i="13"/>
  <c r="L26" i="13"/>
  <c r="F28" i="13"/>
  <c r="F25" i="13"/>
  <c r="I16" i="13"/>
  <c r="I12" i="13"/>
  <c r="L32" i="13"/>
  <c r="L29" i="13"/>
  <c r="H19" i="13"/>
  <c r="E26" i="13"/>
  <c r="G40" i="13"/>
  <c r="M40" i="13"/>
  <c r="L37" i="13"/>
  <c r="K8" i="13"/>
  <c r="J32" i="13"/>
  <c r="J29" i="13"/>
  <c r="J5" i="13"/>
  <c r="M39" i="13"/>
  <c r="L23" i="13"/>
  <c r="M29" i="13"/>
  <c r="M41" i="13"/>
  <c r="E10" i="13"/>
  <c r="K11" i="13"/>
  <c r="K18" i="13"/>
  <c r="F24" i="13"/>
  <c r="J34" i="13"/>
  <c r="G16" i="13"/>
  <c r="M38" i="13"/>
  <c r="K23" i="13"/>
  <c r="J22" i="13"/>
  <c r="F23" i="13"/>
  <c r="G9" i="13"/>
  <c r="H18" i="13"/>
  <c r="H21" i="13"/>
  <c r="L31" i="13"/>
  <c r="F36" i="13"/>
  <c r="F41" i="13"/>
  <c r="I31" i="13"/>
  <c r="L30" i="13"/>
  <c r="L27" i="13"/>
  <c r="H37" i="13"/>
  <c r="E40" i="13"/>
  <c r="G8" i="13"/>
  <c r="M26" i="13"/>
  <c r="L39" i="13"/>
  <c r="K40" i="13"/>
  <c r="J13" i="13"/>
  <c r="J8" i="13"/>
  <c r="M9" i="13"/>
  <c r="L22" i="13"/>
  <c r="M21" i="13"/>
  <c r="M32" i="13"/>
  <c r="E25" i="13"/>
  <c r="E36" i="13"/>
  <c r="K27" i="13"/>
  <c r="K42" i="13"/>
  <c r="F39" i="13"/>
  <c r="G17" i="13"/>
  <c r="M33" i="13"/>
  <c r="E22" i="13"/>
  <c r="F22" i="13"/>
  <c r="G39" i="13"/>
  <c r="H32" i="13"/>
  <c r="H29" i="13"/>
  <c r="L7" i="13"/>
  <c r="F32" i="13"/>
  <c r="F29" i="13"/>
  <c r="I38" i="13"/>
  <c r="I40" i="13"/>
  <c r="L11" i="13"/>
  <c r="L42" i="13"/>
  <c r="H39" i="13"/>
  <c r="E8" i="13"/>
  <c r="G12" i="13"/>
  <c r="M12" i="13"/>
  <c r="K31" i="13"/>
  <c r="J28" i="13"/>
  <c r="J25" i="13"/>
  <c r="J31" i="13"/>
  <c r="M24" i="13"/>
  <c r="M11" i="13"/>
  <c r="M18" i="13"/>
  <c r="E13" i="13"/>
  <c r="E28" i="13"/>
  <c r="K15" i="13"/>
  <c r="K30" i="13"/>
  <c r="F9" i="13"/>
  <c r="J19" i="13"/>
  <c r="G38" i="13"/>
  <c r="E23" i="13"/>
  <c r="K16" i="13"/>
  <c r="G14" i="13"/>
  <c r="D27" i="13"/>
  <c r="C27" i="13" s="1"/>
  <c r="D13" i="13"/>
  <c r="D30" i="13"/>
  <c r="E6" i="13"/>
  <c r="D7" i="13"/>
  <c r="C7" i="13" s="1"/>
  <c r="D8" i="13"/>
  <c r="C8" i="13" s="1"/>
  <c r="D9" i="13"/>
  <c r="I37" i="13"/>
  <c r="I15" i="13"/>
  <c r="I30" i="13"/>
  <c r="D14" i="13"/>
  <c r="D29" i="13"/>
  <c r="C29" i="13" s="1"/>
  <c r="D15" i="13"/>
  <c r="C15" i="13" s="1"/>
  <c r="D32" i="13"/>
  <c r="D10" i="13"/>
  <c r="C10" i="13" s="1"/>
  <c r="J6" i="13"/>
  <c r="D31" i="13"/>
  <c r="C31" i="13" s="1"/>
  <c r="E14" i="13"/>
  <c r="I13" i="13"/>
  <c r="I28" i="13"/>
  <c r="D33" i="13"/>
  <c r="C33" i="13" s="1"/>
  <c r="D22" i="13"/>
  <c r="C22" i="13" s="1"/>
  <c r="J14" i="13"/>
  <c r="M6" i="13"/>
  <c r="I9" i="13"/>
  <c r="I11" i="13"/>
  <c r="I18" i="13"/>
  <c r="H14" i="13"/>
  <c r="D5" i="13"/>
  <c r="D39" i="13"/>
  <c r="C39" i="13" s="1"/>
  <c r="D34" i="13"/>
  <c r="C34" i="13" s="1"/>
  <c r="D6" i="13"/>
  <c r="C6" i="13" s="1"/>
  <c r="D38" i="13"/>
  <c r="C38" i="13" s="1"/>
  <c r="M14" i="13"/>
  <c r="I19" i="13"/>
  <c r="I21" i="13"/>
  <c r="I32" i="13"/>
  <c r="C116" i="7"/>
  <c r="D74" i="7"/>
  <c r="C120" i="7"/>
  <c r="D78" i="7"/>
  <c r="C124" i="7"/>
  <c r="D82" i="7"/>
  <c r="C125" i="7"/>
  <c r="D83" i="7"/>
  <c r="C56" i="7"/>
  <c r="C96" i="7"/>
  <c r="C102" i="7"/>
  <c r="C104" i="7"/>
  <c r="C105" i="7"/>
  <c r="C90" i="7"/>
  <c r="C92" i="7"/>
  <c r="C93" i="7"/>
  <c r="C94" i="7"/>
  <c r="C95" i="7"/>
  <c r="C110" i="7"/>
  <c r="C112" i="7"/>
  <c r="C114" i="7"/>
  <c r="C115" i="7"/>
  <c r="C50" i="7"/>
  <c r="C76" i="7"/>
  <c r="C98" i="7"/>
  <c r="C100" i="7"/>
  <c r="C101" i="7"/>
  <c r="C108" i="7"/>
  <c r="C109" i="7"/>
  <c r="C118" i="7"/>
  <c r="C119" i="7"/>
  <c r="C177" i="7"/>
  <c r="C60" i="7"/>
  <c r="C70" i="7"/>
  <c r="C72" i="7"/>
  <c r="C74" i="7"/>
  <c r="C91" i="7"/>
  <c r="C97" i="7"/>
  <c r="C103" i="7"/>
  <c r="C107" i="7"/>
  <c r="C111" i="7"/>
  <c r="C117" i="7"/>
  <c r="C122" i="7"/>
  <c r="C123" i="7"/>
  <c r="C127" i="7"/>
  <c r="C148" i="7"/>
  <c r="C151" i="7"/>
  <c r="C153" i="7"/>
  <c r="C155" i="7"/>
  <c r="C157" i="7"/>
  <c r="C159" i="7"/>
  <c r="C160" i="7"/>
  <c r="F150" i="7"/>
  <c r="F58" i="7" s="1"/>
  <c r="F86" i="7" s="1"/>
  <c r="D150" i="7"/>
  <c r="D58" i="7" s="1"/>
  <c r="E150" i="7"/>
  <c r="E58" i="7" s="1"/>
  <c r="E86" i="7" s="1"/>
  <c r="J278" i="9"/>
  <c r="J320" i="9"/>
  <c r="AX330" i="9"/>
  <c r="AW329" i="9"/>
  <c r="BA329" i="9"/>
  <c r="AX329" i="9"/>
  <c r="AW328" i="9"/>
  <c r="AX328" i="9"/>
  <c r="BA328" i="9"/>
  <c r="AW327" i="9"/>
  <c r="BA327" i="9"/>
  <c r="AX327" i="9"/>
  <c r="AW326" i="9"/>
  <c r="BA326" i="9"/>
  <c r="AX326" i="9"/>
  <c r="AW325" i="9"/>
  <c r="BA325" i="9"/>
  <c r="AX325" i="9"/>
  <c r="AW334" i="9"/>
  <c r="AW333" i="9"/>
  <c r="BA333" i="9"/>
  <c r="AX333" i="9"/>
  <c r="AW332" i="9"/>
  <c r="BA332" i="9"/>
  <c r="AX332" i="9"/>
  <c r="AW331" i="9"/>
  <c r="BA331" i="9"/>
  <c r="AX331" i="9"/>
  <c r="AW330" i="9"/>
  <c r="BA330" i="9"/>
  <c r="AX361" i="9"/>
  <c r="AW361" i="9"/>
  <c r="AX360" i="9"/>
  <c r="AW360" i="9"/>
  <c r="AX359" i="9"/>
  <c r="BB359" i="9"/>
  <c r="AW359" i="9"/>
  <c r="AX358" i="9"/>
  <c r="BB358" i="9"/>
  <c r="AW358" i="9"/>
  <c r="AX357" i="9"/>
  <c r="BB357" i="9"/>
  <c r="AW357" i="9"/>
  <c r="AX356" i="9"/>
  <c r="BB356" i="9"/>
  <c r="AW356" i="9"/>
  <c r="AX355" i="9"/>
  <c r="AW355" i="9"/>
  <c r="AX354" i="9"/>
  <c r="BB354" i="9"/>
  <c r="AW354" i="9"/>
  <c r="AX353" i="9"/>
  <c r="BB353" i="9"/>
  <c r="AW353" i="9"/>
  <c r="AX352" i="9"/>
  <c r="BB352" i="9"/>
  <c r="AW352" i="9"/>
  <c r="AX351" i="9"/>
  <c r="BB351" i="9"/>
  <c r="AW351" i="9"/>
  <c r="AX350" i="9"/>
  <c r="BB350" i="9"/>
  <c r="AW350" i="9"/>
  <c r="AX349" i="9"/>
  <c r="BB349" i="9"/>
  <c r="AW349" i="9"/>
  <c r="AX348" i="9"/>
  <c r="BB348" i="9"/>
  <c r="AW348" i="9"/>
  <c r="AX347" i="9"/>
  <c r="BB347" i="9"/>
  <c r="AU347" i="9"/>
  <c r="AX346" i="9"/>
  <c r="BB346" i="9"/>
  <c r="AW346" i="9"/>
  <c r="AX345" i="9"/>
  <c r="BB345" i="9"/>
  <c r="AW345" i="9"/>
  <c r="AX344" i="9"/>
  <c r="BB344" i="9"/>
  <c r="AW344" i="9"/>
  <c r="AX343" i="9"/>
  <c r="BB343" i="9"/>
  <c r="AW343" i="9"/>
  <c r="AX342" i="9"/>
  <c r="BB342" i="9"/>
  <c r="AW342" i="9"/>
  <c r="AX341" i="9"/>
  <c r="BB341" i="9"/>
  <c r="AW341" i="9"/>
  <c r="AX340" i="9"/>
  <c r="BB340" i="9"/>
  <c r="AW340" i="9"/>
  <c r="AX339" i="9"/>
  <c r="BB339" i="9"/>
  <c r="AW339" i="9"/>
  <c r="AX338" i="9"/>
  <c r="BB338" i="9"/>
  <c r="AW338" i="9"/>
  <c r="AX337" i="9"/>
  <c r="BB337" i="9"/>
  <c r="AW337" i="9"/>
  <c r="AX336" i="9"/>
  <c r="BB336" i="9"/>
  <c r="AW336" i="9"/>
  <c r="AX335" i="9"/>
  <c r="BB335" i="9"/>
  <c r="AW335" i="9"/>
  <c r="AX334" i="9"/>
  <c r="BB334" i="9"/>
  <c r="BB355" i="9"/>
  <c r="BB360" i="9"/>
  <c r="BB361" i="9"/>
  <c r="AU325" i="9"/>
  <c r="AY325" i="9"/>
  <c r="AV325" i="9"/>
  <c r="AZ325" i="9"/>
  <c r="E236" i="9"/>
  <c r="BF361" i="9"/>
  <c r="BA361" i="9"/>
  <c r="BE361" i="9"/>
  <c r="BF360" i="9"/>
  <c r="BA360" i="9"/>
  <c r="BE360" i="9"/>
  <c r="BF359" i="9"/>
  <c r="BA359" i="9"/>
  <c r="BE359" i="9"/>
  <c r="BF358" i="9"/>
  <c r="BA358" i="9"/>
  <c r="BE358" i="9"/>
  <c r="BF357" i="9"/>
  <c r="BA357" i="9"/>
  <c r="BE357" i="9"/>
  <c r="BF356" i="9"/>
  <c r="BA356" i="9"/>
  <c r="BE356" i="9"/>
  <c r="BF355" i="9"/>
  <c r="BA355" i="9"/>
  <c r="BE355" i="9"/>
  <c r="BF354" i="9"/>
  <c r="BA354" i="9"/>
  <c r="BE354" i="9"/>
  <c r="BF353" i="9"/>
  <c r="BA353" i="9"/>
  <c r="BE353" i="9"/>
  <c r="BF352" i="9"/>
  <c r="BA352" i="9"/>
  <c r="BE352" i="9"/>
  <c r="BF351" i="9"/>
  <c r="BA351" i="9"/>
  <c r="BE351" i="9"/>
  <c r="BF350" i="9"/>
  <c r="BA350" i="9"/>
  <c r="BE350" i="9"/>
  <c r="BF349" i="9"/>
  <c r="BA349" i="9"/>
  <c r="BE349" i="9"/>
  <c r="BF348" i="9"/>
  <c r="BA348" i="9"/>
  <c r="BE348" i="9"/>
  <c r="BC347" i="9"/>
  <c r="BE347" i="9"/>
  <c r="BF346" i="9"/>
  <c r="BA346" i="9"/>
  <c r="BE346" i="9"/>
  <c r="BF345" i="9"/>
  <c r="BA345" i="9"/>
  <c r="BE345" i="9"/>
  <c r="BF344" i="9"/>
  <c r="BA344" i="9"/>
  <c r="BE344" i="9"/>
  <c r="BF343" i="9"/>
  <c r="BA343" i="9"/>
  <c r="BE343" i="9"/>
  <c r="BF342" i="9"/>
  <c r="BA342" i="9"/>
  <c r="BE342" i="9"/>
  <c r="BF341" i="9"/>
  <c r="BA341" i="9"/>
  <c r="BE341" i="9"/>
  <c r="BF340" i="9"/>
  <c r="BA340" i="9"/>
  <c r="BE340" i="9"/>
  <c r="BF339" i="9"/>
  <c r="BA339" i="9"/>
  <c r="BE339" i="9"/>
  <c r="BF338" i="9"/>
  <c r="BA338" i="9"/>
  <c r="BE338" i="9"/>
  <c r="BF337" i="9"/>
  <c r="BA337" i="9"/>
  <c r="BE337" i="9"/>
  <c r="BF336" i="9"/>
  <c r="BA336" i="9"/>
  <c r="BE336" i="9"/>
  <c r="BF335" i="9"/>
  <c r="BA335" i="9"/>
  <c r="BE335" i="9"/>
  <c r="BF334" i="9"/>
  <c r="BA334" i="9"/>
  <c r="BE334" i="9"/>
  <c r="BB333" i="9"/>
  <c r="BF333" i="9"/>
  <c r="BE333" i="9"/>
  <c r="BE332" i="9"/>
  <c r="BB332" i="9"/>
  <c r="BF332" i="9"/>
  <c r="BE331" i="9"/>
  <c r="BB331" i="9"/>
  <c r="BF331" i="9"/>
  <c r="BE330" i="9"/>
  <c r="BB330" i="9"/>
  <c r="BF330" i="9"/>
  <c r="BE329" i="9"/>
  <c r="BB329" i="9"/>
  <c r="BF329" i="9"/>
  <c r="BE328" i="9"/>
  <c r="BB328" i="9"/>
  <c r="BF328" i="9"/>
  <c r="BE327" i="9"/>
  <c r="BB327" i="9"/>
  <c r="BF327" i="9"/>
  <c r="BE326" i="9"/>
  <c r="BB326" i="9"/>
  <c r="BF326" i="9"/>
  <c r="BE325" i="9"/>
  <c r="BB325" i="9"/>
  <c r="BF325" i="9"/>
  <c r="BI362" i="9"/>
  <c r="AW324" i="9"/>
  <c r="BM362" i="9"/>
  <c r="BA324" i="9"/>
  <c r="BQ362" i="9"/>
  <c r="BE324" i="9"/>
  <c r="BJ362" i="9"/>
  <c r="AX324" i="9"/>
  <c r="BN362" i="9"/>
  <c r="BB324" i="9"/>
  <c r="BR362" i="9"/>
  <c r="BF324" i="9"/>
  <c r="F236" i="9"/>
  <c r="AV361" i="9"/>
  <c r="AZ361" i="9"/>
  <c r="BD361" i="9"/>
  <c r="AU361" i="9"/>
  <c r="AY361" i="9"/>
  <c r="BC361" i="9"/>
  <c r="AV360" i="9"/>
  <c r="AZ360" i="9"/>
  <c r="BD360" i="9"/>
  <c r="AU360" i="9"/>
  <c r="AY360" i="9"/>
  <c r="BC360" i="9"/>
  <c r="AV359" i="9"/>
  <c r="AZ359" i="9"/>
  <c r="BD359" i="9"/>
  <c r="AU359" i="9"/>
  <c r="AY359" i="9"/>
  <c r="BC359" i="9"/>
  <c r="AV358" i="9"/>
  <c r="AZ358" i="9"/>
  <c r="BD358" i="9"/>
  <c r="AU358" i="9"/>
  <c r="AY358" i="9"/>
  <c r="BC358" i="9"/>
  <c r="AV357" i="9"/>
  <c r="AZ357" i="9"/>
  <c r="BD357" i="9"/>
  <c r="AU357" i="9"/>
  <c r="AY357" i="9"/>
  <c r="BC357" i="9"/>
  <c r="AV356" i="9"/>
  <c r="AZ356" i="9"/>
  <c r="BD356" i="9"/>
  <c r="AU356" i="9"/>
  <c r="AY356" i="9"/>
  <c r="BC356" i="9"/>
  <c r="AV355" i="9"/>
  <c r="AZ355" i="9"/>
  <c r="BD355" i="9"/>
  <c r="AU355" i="9"/>
  <c r="AY355" i="9"/>
  <c r="BC355" i="9"/>
  <c r="AV354" i="9"/>
  <c r="AZ354" i="9"/>
  <c r="BD354" i="9"/>
  <c r="AU354" i="9"/>
  <c r="AY354" i="9"/>
  <c r="BC354" i="9"/>
  <c r="AV353" i="9"/>
  <c r="AZ353" i="9"/>
  <c r="BD353" i="9"/>
  <c r="AU353" i="9"/>
  <c r="AY353" i="9"/>
  <c r="BC353" i="9"/>
  <c r="AV352" i="9"/>
  <c r="AZ352" i="9"/>
  <c r="BD352" i="9"/>
  <c r="AU352" i="9"/>
  <c r="AY352" i="9"/>
  <c r="BC352" i="9"/>
  <c r="AV351" i="9"/>
  <c r="AZ351" i="9"/>
  <c r="BD351" i="9"/>
  <c r="AU351" i="9"/>
  <c r="AY351" i="9"/>
  <c r="BC351" i="9"/>
  <c r="AV350" i="9"/>
  <c r="AZ350" i="9"/>
  <c r="BD350" i="9"/>
  <c r="AU350" i="9"/>
  <c r="AY350" i="9"/>
  <c r="BC350" i="9"/>
  <c r="AV349" i="9"/>
  <c r="AZ349" i="9"/>
  <c r="BD349" i="9"/>
  <c r="AU349" i="9"/>
  <c r="AY349" i="9"/>
  <c r="BC349" i="9"/>
  <c r="AV348" i="9"/>
  <c r="AZ348" i="9"/>
  <c r="BD348" i="9"/>
  <c r="AU348" i="9"/>
  <c r="AY348" i="9"/>
  <c r="BC348" i="9"/>
  <c r="AV347" i="9"/>
  <c r="BD347" i="9"/>
  <c r="AW347" i="9"/>
  <c r="BA347" i="9"/>
  <c r="BF347" i="9"/>
  <c r="AV346" i="9"/>
  <c r="AZ346" i="9"/>
  <c r="BD346" i="9"/>
  <c r="AU346" i="9"/>
  <c r="AY346" i="9"/>
  <c r="BC346" i="9"/>
  <c r="AV345" i="9"/>
  <c r="AZ345" i="9"/>
  <c r="BD345" i="9"/>
  <c r="AU345" i="9"/>
  <c r="AY345" i="9"/>
  <c r="BC345" i="9"/>
  <c r="AV344" i="9"/>
  <c r="AZ344" i="9"/>
  <c r="BD344" i="9"/>
  <c r="AU344" i="9"/>
  <c r="AY344" i="9"/>
  <c r="BC344" i="9"/>
  <c r="AV343" i="9"/>
  <c r="AZ343" i="9"/>
  <c r="BD343" i="9"/>
  <c r="AU343" i="9"/>
  <c r="AY343" i="9"/>
  <c r="BC343" i="9"/>
  <c r="AV342" i="9"/>
  <c r="AZ342" i="9"/>
  <c r="BD342" i="9"/>
  <c r="AU342" i="9"/>
  <c r="AY342" i="9"/>
  <c r="BC342" i="9"/>
  <c r="AV341" i="9"/>
  <c r="AZ341" i="9"/>
  <c r="BD341" i="9"/>
  <c r="AU341" i="9"/>
  <c r="AY341" i="9"/>
  <c r="BC341" i="9"/>
  <c r="AV340" i="9"/>
  <c r="AZ340" i="9"/>
  <c r="BD340" i="9"/>
  <c r="AU340" i="9"/>
  <c r="AY340" i="9"/>
  <c r="BC340" i="9"/>
  <c r="AV339" i="9"/>
  <c r="AZ339" i="9"/>
  <c r="BD339" i="9"/>
  <c r="AU339" i="9"/>
  <c r="AY339" i="9"/>
  <c r="BC339" i="9"/>
  <c r="AV338" i="9"/>
  <c r="AZ338" i="9"/>
  <c r="BD338" i="9"/>
  <c r="AU338" i="9"/>
  <c r="AY338" i="9"/>
  <c r="BC338" i="9"/>
  <c r="AV337" i="9"/>
  <c r="AZ337" i="9"/>
  <c r="BD337" i="9"/>
  <c r="AU337" i="9"/>
  <c r="AY337" i="9"/>
  <c r="BC337" i="9"/>
  <c r="AV336" i="9"/>
  <c r="AZ336" i="9"/>
  <c r="BD336" i="9"/>
  <c r="AU336" i="9"/>
  <c r="AY336" i="9"/>
  <c r="BC336" i="9"/>
  <c r="AV335" i="9"/>
  <c r="AZ335" i="9"/>
  <c r="BD335" i="9"/>
  <c r="AU335" i="9"/>
  <c r="AY335" i="9"/>
  <c r="BC335" i="9"/>
  <c r="AV334" i="9"/>
  <c r="AZ334" i="9"/>
  <c r="BD334" i="9"/>
  <c r="AU334" i="9"/>
  <c r="AY334" i="9"/>
  <c r="BC334" i="9"/>
  <c r="AU333" i="9"/>
  <c r="AY333" i="9"/>
  <c r="AV333" i="9"/>
  <c r="AZ333" i="9"/>
  <c r="BD333" i="9"/>
  <c r="BC333" i="9"/>
  <c r="AU332" i="9"/>
  <c r="AY332" i="9"/>
  <c r="BC332" i="9"/>
  <c r="AV332" i="9"/>
  <c r="AZ332" i="9"/>
  <c r="BD332" i="9"/>
  <c r="AU331" i="9"/>
  <c r="AY331" i="9"/>
  <c r="BC331" i="9"/>
  <c r="AV331" i="9"/>
  <c r="AZ331" i="9"/>
  <c r="BD331" i="9"/>
  <c r="AU330" i="9"/>
  <c r="AY330" i="9"/>
  <c r="BC330" i="9"/>
  <c r="AV330" i="9"/>
  <c r="AZ330" i="9"/>
  <c r="BD330" i="9"/>
  <c r="AU329" i="9"/>
  <c r="AY329" i="9"/>
  <c r="BC329" i="9"/>
  <c r="AV329" i="9"/>
  <c r="AZ329" i="9"/>
  <c r="BD329" i="9"/>
  <c r="AU328" i="9"/>
  <c r="AY328" i="9"/>
  <c r="BC328" i="9"/>
  <c r="AV328" i="9"/>
  <c r="AZ328" i="9"/>
  <c r="BD328" i="9"/>
  <c r="AU327" i="9"/>
  <c r="AY327" i="9"/>
  <c r="BC327" i="9"/>
  <c r="AV327" i="9"/>
  <c r="AZ327" i="9"/>
  <c r="BD327" i="9"/>
  <c r="AU326" i="9"/>
  <c r="AY326" i="9"/>
  <c r="BC326" i="9"/>
  <c r="AV326" i="9"/>
  <c r="AZ326" i="9"/>
  <c r="BD326" i="9"/>
  <c r="BC325" i="9"/>
  <c r="BD325" i="9"/>
  <c r="BG362" i="9"/>
  <c r="AU362" i="9" s="1"/>
  <c r="AU324" i="9"/>
  <c r="BK362" i="9"/>
  <c r="AY362" i="9" s="1"/>
  <c r="AY324" i="9"/>
  <c r="BO362" i="9"/>
  <c r="BC324" i="9"/>
  <c r="BH362" i="9"/>
  <c r="AV362" i="9" s="1"/>
  <c r="AV324" i="9"/>
  <c r="BL362" i="9"/>
  <c r="AZ362" i="9" s="1"/>
  <c r="AZ324" i="9"/>
  <c r="BP362" i="9"/>
  <c r="BD324" i="9"/>
  <c r="J192" i="11"/>
  <c r="J190" i="11"/>
  <c r="J188" i="11"/>
  <c r="J186" i="11"/>
  <c r="J184" i="11"/>
  <c r="J182" i="11"/>
  <c r="J180" i="11"/>
  <c r="J178" i="11"/>
  <c r="J176" i="11"/>
  <c r="J174" i="11"/>
  <c r="J172" i="11"/>
  <c r="J170" i="11"/>
  <c r="J168" i="11"/>
  <c r="J166" i="11"/>
  <c r="J164" i="11"/>
  <c r="J162" i="11"/>
  <c r="J160" i="11"/>
  <c r="J158" i="11"/>
  <c r="J156" i="11"/>
  <c r="J193" i="11"/>
  <c r="J191" i="11"/>
  <c r="J189" i="11"/>
  <c r="J187" i="11"/>
  <c r="J185" i="11"/>
  <c r="J183" i="11"/>
  <c r="J181" i="11"/>
  <c r="J179" i="11"/>
  <c r="J177" i="11"/>
  <c r="J175" i="11"/>
  <c r="J173" i="11"/>
  <c r="J171" i="11"/>
  <c r="J169" i="11"/>
  <c r="J167" i="11"/>
  <c r="J140" i="11" s="1"/>
  <c r="J165" i="11"/>
  <c r="J163" i="11"/>
  <c r="J161" i="11"/>
  <c r="J159" i="11"/>
  <c r="J157" i="11"/>
  <c r="J137" i="11" s="1"/>
  <c r="F193" i="11"/>
  <c r="F191" i="11"/>
  <c r="F189" i="11"/>
  <c r="F187" i="11"/>
  <c r="F185" i="11"/>
  <c r="F183" i="11"/>
  <c r="F181" i="11"/>
  <c r="F179" i="11"/>
  <c r="F177" i="11"/>
  <c r="F192" i="11"/>
  <c r="F190" i="11"/>
  <c r="F188" i="11"/>
  <c r="F186" i="11"/>
  <c r="F184" i="11"/>
  <c r="F182" i="11"/>
  <c r="F180" i="11"/>
  <c r="F178" i="11"/>
  <c r="F176" i="11"/>
  <c r="F158" i="11"/>
  <c r="F160" i="11"/>
  <c r="F162" i="11"/>
  <c r="F164" i="11"/>
  <c r="F166" i="11"/>
  <c r="F168" i="11"/>
  <c r="F170" i="11"/>
  <c r="F172" i="11"/>
  <c r="F174" i="11"/>
  <c r="F157" i="11"/>
  <c r="F159" i="11"/>
  <c r="F161" i="11"/>
  <c r="F163" i="11"/>
  <c r="F165" i="11"/>
  <c r="F167" i="11"/>
  <c r="F169" i="11"/>
  <c r="F171" i="11"/>
  <c r="F173" i="11"/>
  <c r="F175" i="11"/>
  <c r="F156" i="11"/>
  <c r="G192" i="11"/>
  <c r="G190" i="11"/>
  <c r="G188" i="11"/>
  <c r="G186" i="11"/>
  <c r="G184" i="11"/>
  <c r="G182" i="11"/>
  <c r="G180" i="11"/>
  <c r="G178" i="11"/>
  <c r="G176" i="11"/>
  <c r="G174" i="11"/>
  <c r="G172" i="11"/>
  <c r="G170" i="11"/>
  <c r="G168" i="11"/>
  <c r="G166" i="11"/>
  <c r="G164" i="11"/>
  <c r="G162" i="11"/>
  <c r="G160" i="11"/>
  <c r="G158" i="11"/>
  <c r="G156" i="11"/>
  <c r="G193" i="11"/>
  <c r="G191" i="11"/>
  <c r="G189" i="11"/>
  <c r="G187" i="11"/>
  <c r="G185" i="11"/>
  <c r="G183" i="11"/>
  <c r="G181" i="11"/>
  <c r="G179" i="11"/>
  <c r="G177" i="11"/>
  <c r="G175" i="11"/>
  <c r="G173" i="11"/>
  <c r="G171" i="11"/>
  <c r="G169" i="11"/>
  <c r="G167" i="11"/>
  <c r="G165" i="11"/>
  <c r="G163" i="11"/>
  <c r="G161" i="11"/>
  <c r="G159" i="11"/>
  <c r="G157" i="11"/>
  <c r="G137" i="11" s="1"/>
  <c r="D193" i="11"/>
  <c r="D191" i="11"/>
  <c r="D189" i="11"/>
  <c r="D187" i="11"/>
  <c r="D185" i="11"/>
  <c r="D183" i="11"/>
  <c r="D181" i="11"/>
  <c r="D179" i="11"/>
  <c r="D177" i="11"/>
  <c r="D175" i="11"/>
  <c r="D173" i="11"/>
  <c r="D171" i="11"/>
  <c r="D169" i="11"/>
  <c r="D167" i="11"/>
  <c r="D165" i="11"/>
  <c r="D163" i="11"/>
  <c r="D161" i="11"/>
  <c r="D159" i="11"/>
  <c r="D157" i="11"/>
  <c r="D192" i="11"/>
  <c r="D190" i="11"/>
  <c r="D188" i="11"/>
  <c r="D186" i="11"/>
  <c r="D184" i="11"/>
  <c r="D182" i="11"/>
  <c r="D180" i="11"/>
  <c r="D178" i="11"/>
  <c r="D176" i="11"/>
  <c r="D174" i="11"/>
  <c r="D172" i="11"/>
  <c r="D170" i="11"/>
  <c r="D168" i="11"/>
  <c r="D166" i="11"/>
  <c r="D164" i="11"/>
  <c r="D162" i="11"/>
  <c r="D160" i="11"/>
  <c r="D158" i="11"/>
  <c r="D156" i="11"/>
  <c r="M193" i="11"/>
  <c r="M191" i="11"/>
  <c r="M189" i="11"/>
  <c r="M187" i="11"/>
  <c r="M185" i="11"/>
  <c r="M183" i="11"/>
  <c r="M181" i="11"/>
  <c r="M179" i="11"/>
  <c r="M177" i="11"/>
  <c r="M175" i="11"/>
  <c r="M173" i="11"/>
  <c r="M171" i="11"/>
  <c r="M169" i="11"/>
  <c r="M167" i="11"/>
  <c r="M165" i="11"/>
  <c r="M163" i="11"/>
  <c r="M161" i="11"/>
  <c r="M159" i="11"/>
  <c r="M157" i="11"/>
  <c r="M137" i="11" s="1"/>
  <c r="M192" i="11"/>
  <c r="M190" i="11"/>
  <c r="M188" i="11"/>
  <c r="M186" i="11"/>
  <c r="M184" i="11"/>
  <c r="M182" i="11"/>
  <c r="M180" i="11"/>
  <c r="M178" i="11"/>
  <c r="M176" i="11"/>
  <c r="M174" i="11"/>
  <c r="M172" i="11"/>
  <c r="M170" i="11"/>
  <c r="M168" i="11"/>
  <c r="M166" i="11"/>
  <c r="M164" i="11"/>
  <c r="M162" i="11"/>
  <c r="M160" i="11"/>
  <c r="M158" i="11"/>
  <c r="M156" i="11"/>
  <c r="E192" i="11"/>
  <c r="E190" i="11"/>
  <c r="E188" i="11"/>
  <c r="E186" i="11"/>
  <c r="E184" i="11"/>
  <c r="E182" i="11"/>
  <c r="E180" i="11"/>
  <c r="E178" i="11"/>
  <c r="E176" i="11"/>
  <c r="E174" i="11"/>
  <c r="E172" i="11"/>
  <c r="E170" i="11"/>
  <c r="E168" i="11"/>
  <c r="E166" i="11"/>
  <c r="E164" i="11"/>
  <c r="E162" i="11"/>
  <c r="E160" i="11"/>
  <c r="E158" i="11"/>
  <c r="E156" i="11"/>
  <c r="E193" i="11"/>
  <c r="E191" i="11"/>
  <c r="E189" i="11"/>
  <c r="E187" i="11"/>
  <c r="E185" i="11"/>
  <c r="E183" i="11"/>
  <c r="E181" i="11"/>
  <c r="E179" i="11"/>
  <c r="E177" i="11"/>
  <c r="E175" i="11"/>
  <c r="E173" i="11"/>
  <c r="E171" i="11"/>
  <c r="E169" i="11"/>
  <c r="E167" i="11"/>
  <c r="E165" i="11"/>
  <c r="E163" i="11"/>
  <c r="E161" i="11"/>
  <c r="E159" i="11"/>
  <c r="E157" i="11"/>
  <c r="E137" i="11" s="1"/>
  <c r="N192" i="11"/>
  <c r="N190" i="11"/>
  <c r="N188" i="11"/>
  <c r="N186" i="11"/>
  <c r="N184" i="11"/>
  <c r="N182" i="11"/>
  <c r="N180" i="11"/>
  <c r="N178" i="11"/>
  <c r="N176" i="11"/>
  <c r="N174" i="11"/>
  <c r="N172" i="11"/>
  <c r="N170" i="11"/>
  <c r="N168" i="11"/>
  <c r="N166" i="11"/>
  <c r="N164" i="11"/>
  <c r="N162" i="11"/>
  <c r="N160" i="11"/>
  <c r="N158" i="11"/>
  <c r="N156" i="11"/>
  <c r="N193" i="11"/>
  <c r="N191" i="11"/>
  <c r="N189" i="11"/>
  <c r="N187" i="11"/>
  <c r="N185" i="11"/>
  <c r="N183" i="11"/>
  <c r="N181" i="11"/>
  <c r="N179" i="11"/>
  <c r="N177" i="11"/>
  <c r="N175" i="11"/>
  <c r="N173" i="11"/>
  <c r="N171" i="11"/>
  <c r="N169" i="11"/>
  <c r="N167" i="11"/>
  <c r="N165" i="11"/>
  <c r="N163" i="11"/>
  <c r="N161" i="11"/>
  <c r="N159" i="11"/>
  <c r="N157" i="11"/>
  <c r="N137" i="11" s="1"/>
  <c r="K193" i="11"/>
  <c r="K191" i="11"/>
  <c r="K189" i="11"/>
  <c r="K187" i="11"/>
  <c r="K185" i="11"/>
  <c r="K183" i="11"/>
  <c r="K181" i="11"/>
  <c r="K179" i="11"/>
  <c r="K177" i="11"/>
  <c r="K175" i="11"/>
  <c r="K173" i="11"/>
  <c r="K171" i="11"/>
  <c r="K169" i="11"/>
  <c r="K167" i="11"/>
  <c r="K165" i="11"/>
  <c r="K163" i="11"/>
  <c r="K161" i="11"/>
  <c r="K159" i="11"/>
  <c r="K157" i="11"/>
  <c r="K137" i="11" s="1"/>
  <c r="K192" i="11"/>
  <c r="K190" i="11"/>
  <c r="K188" i="11"/>
  <c r="K186" i="11"/>
  <c r="K184" i="11"/>
  <c r="K182" i="11"/>
  <c r="K180" i="11"/>
  <c r="K178" i="11"/>
  <c r="K176" i="11"/>
  <c r="K174" i="11"/>
  <c r="K172" i="11"/>
  <c r="K170" i="11"/>
  <c r="K168" i="11"/>
  <c r="K166" i="11"/>
  <c r="K164" i="11"/>
  <c r="K162" i="11"/>
  <c r="K160" i="11"/>
  <c r="K158" i="11"/>
  <c r="K156" i="11"/>
  <c r="L192" i="11"/>
  <c r="L190" i="11"/>
  <c r="L188" i="11"/>
  <c r="L186" i="11"/>
  <c r="L184" i="11"/>
  <c r="L182" i="11"/>
  <c r="L180" i="11"/>
  <c r="L178" i="11"/>
  <c r="L176" i="11"/>
  <c r="L174" i="11"/>
  <c r="L172" i="11"/>
  <c r="L170" i="11"/>
  <c r="L168" i="11"/>
  <c r="L166" i="11"/>
  <c r="L164" i="11"/>
  <c r="L162" i="11"/>
  <c r="L160" i="11"/>
  <c r="L158" i="11"/>
  <c r="L156" i="11"/>
  <c r="L193" i="11"/>
  <c r="L191" i="11"/>
  <c r="L189" i="11"/>
  <c r="L187" i="11"/>
  <c r="L185" i="11"/>
  <c r="L183" i="11"/>
  <c r="L181" i="11"/>
  <c r="L179" i="11"/>
  <c r="L177" i="11"/>
  <c r="L175" i="11"/>
  <c r="L173" i="11"/>
  <c r="L171" i="11"/>
  <c r="L169" i="11"/>
  <c r="L167" i="11"/>
  <c r="L165" i="11"/>
  <c r="L163" i="11"/>
  <c r="L161" i="11"/>
  <c r="L159" i="11"/>
  <c r="L157" i="11"/>
  <c r="L137" i="11" s="1"/>
  <c r="H193" i="11"/>
  <c r="H191" i="11"/>
  <c r="H189" i="11"/>
  <c r="H187" i="11"/>
  <c r="H185" i="11"/>
  <c r="H183" i="11"/>
  <c r="H181" i="11"/>
  <c r="H179" i="11"/>
  <c r="H177" i="11"/>
  <c r="H175" i="11"/>
  <c r="H173" i="11"/>
  <c r="H171" i="11"/>
  <c r="H169" i="11"/>
  <c r="H167" i="11"/>
  <c r="H165" i="11"/>
  <c r="H163" i="11"/>
  <c r="H161" i="11"/>
  <c r="H159" i="11"/>
  <c r="H157" i="11"/>
  <c r="H192" i="11"/>
  <c r="H190" i="11"/>
  <c r="H188" i="11"/>
  <c r="H186" i="11"/>
  <c r="H184" i="11"/>
  <c r="H182" i="11"/>
  <c r="H180" i="11"/>
  <c r="H178" i="11"/>
  <c r="H176" i="11"/>
  <c r="H174" i="11"/>
  <c r="H172" i="11"/>
  <c r="H170" i="11"/>
  <c r="H168" i="11"/>
  <c r="H166" i="11"/>
  <c r="H164" i="11"/>
  <c r="H162" i="11"/>
  <c r="H160" i="11"/>
  <c r="H158" i="11"/>
  <c r="H156" i="11"/>
  <c r="J194" i="8"/>
  <c r="L194" i="8"/>
  <c r="D194" i="8"/>
  <c r="K194" i="8"/>
  <c r="I193" i="8"/>
  <c r="I191" i="8"/>
  <c r="C191" i="8" s="1"/>
  <c r="I189" i="8"/>
  <c r="I187" i="8"/>
  <c r="C187" i="8" s="1"/>
  <c r="I185" i="8"/>
  <c r="I183" i="8"/>
  <c r="C183" i="8" s="1"/>
  <c r="I181" i="8"/>
  <c r="I179" i="8"/>
  <c r="C179" i="8" s="1"/>
  <c r="I177" i="8"/>
  <c r="I175" i="8"/>
  <c r="C175" i="8" s="1"/>
  <c r="I173" i="8"/>
  <c r="C173" i="8" s="1"/>
  <c r="I171" i="8"/>
  <c r="I169" i="8"/>
  <c r="I192" i="8"/>
  <c r="I190" i="8"/>
  <c r="C190" i="8" s="1"/>
  <c r="I188" i="8"/>
  <c r="I186" i="8"/>
  <c r="C186" i="8" s="1"/>
  <c r="I184" i="8"/>
  <c r="I182" i="8"/>
  <c r="C182" i="8" s="1"/>
  <c r="I180" i="8"/>
  <c r="I178" i="8"/>
  <c r="C178" i="8" s="1"/>
  <c r="I176" i="8"/>
  <c r="I174" i="8"/>
  <c r="C174" i="8" s="1"/>
  <c r="I172" i="8"/>
  <c r="I167" i="8"/>
  <c r="H140" i="8" s="1"/>
  <c r="D146" i="8" s="1"/>
  <c r="D134" i="8" s="1"/>
  <c r="I165" i="8"/>
  <c r="I163" i="8"/>
  <c r="C163" i="8" s="1"/>
  <c r="I161" i="8"/>
  <c r="I159" i="8"/>
  <c r="C159" i="8" s="1"/>
  <c r="I157" i="8"/>
  <c r="I170" i="8"/>
  <c r="C170" i="8" s="1"/>
  <c r="I168" i="8"/>
  <c r="C168" i="8" s="1"/>
  <c r="I166" i="8"/>
  <c r="C166" i="8" s="1"/>
  <c r="I164" i="8"/>
  <c r="C164" i="8" s="1"/>
  <c r="I162" i="8"/>
  <c r="I160" i="8"/>
  <c r="I158" i="8"/>
  <c r="C158" i="8" s="1"/>
  <c r="I156" i="8"/>
  <c r="H194" i="8"/>
  <c r="C157" i="8"/>
  <c r="C161" i="8"/>
  <c r="C165" i="8"/>
  <c r="C169" i="8"/>
  <c r="C162" i="8"/>
  <c r="C171" i="8"/>
  <c r="C177" i="8"/>
  <c r="C181" i="8"/>
  <c r="C185" i="8"/>
  <c r="C189" i="8"/>
  <c r="C193" i="8"/>
  <c r="C172" i="8"/>
  <c r="C176" i="8"/>
  <c r="C180" i="8"/>
  <c r="C184" i="8"/>
  <c r="C188" i="8"/>
  <c r="C192" i="8"/>
  <c r="E138" i="8"/>
  <c r="G138" i="8"/>
  <c r="K138" i="8"/>
  <c r="M138" i="8"/>
  <c r="D139" i="8"/>
  <c r="H146" i="8"/>
  <c r="H134" i="8" s="1"/>
  <c r="L146" i="8"/>
  <c r="L134" i="8" s="1"/>
  <c r="D138" i="8"/>
  <c r="F138" i="8"/>
  <c r="J138" i="8"/>
  <c r="L138" i="8"/>
  <c r="D137" i="8"/>
  <c r="H137" i="8"/>
  <c r="K141" i="8"/>
  <c r="M141" i="8"/>
  <c r="E146" i="8"/>
  <c r="E134" i="8" s="1"/>
  <c r="G146" i="8"/>
  <c r="G134" i="8" s="1"/>
  <c r="K146" i="8"/>
  <c r="K134" i="8" s="1"/>
  <c r="M146" i="8"/>
  <c r="M134" i="8" s="1"/>
  <c r="F141" i="8"/>
  <c r="C82" i="7"/>
  <c r="C52" i="7"/>
  <c r="C54" i="7"/>
  <c r="C62" i="7"/>
  <c r="C64" i="7"/>
  <c r="C66" i="7"/>
  <c r="C68" i="7"/>
  <c r="C149" i="7"/>
  <c r="C78" i="7"/>
  <c r="C80" i="7"/>
  <c r="C84" i="7"/>
  <c r="C140" i="7"/>
  <c r="D86" i="7"/>
  <c r="H86" i="7"/>
  <c r="L86" i="7"/>
  <c r="C49" i="7"/>
  <c r="C53" i="7"/>
  <c r="C57" i="7"/>
  <c r="C48" i="7"/>
  <c r="C51" i="7"/>
  <c r="C55" i="7"/>
  <c r="C59" i="7"/>
  <c r="C63" i="7"/>
  <c r="C67" i="7"/>
  <c r="C71" i="7"/>
  <c r="C75" i="7"/>
  <c r="C79" i="7"/>
  <c r="C83" i="7"/>
  <c r="C99" i="7"/>
  <c r="C152" i="7"/>
  <c r="C154" i="7"/>
  <c r="C156" i="7"/>
  <c r="C158" i="7"/>
  <c r="C61" i="7"/>
  <c r="C65" i="7"/>
  <c r="C69" i="7"/>
  <c r="C73" i="7"/>
  <c r="C77" i="7"/>
  <c r="C81" i="7"/>
  <c r="C85" i="7"/>
  <c r="C113" i="7"/>
  <c r="C121" i="7"/>
  <c r="C141" i="7"/>
  <c r="C142" i="7"/>
  <c r="C143" i="7"/>
  <c r="C144" i="7"/>
  <c r="C145" i="7"/>
  <c r="C146" i="7"/>
  <c r="C147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J86" i="7"/>
  <c r="G86" i="7"/>
  <c r="I86" i="7"/>
  <c r="K86" i="7"/>
  <c r="M86" i="7"/>
  <c r="Q38" i="13" l="1"/>
  <c r="Q34" i="13"/>
  <c r="Q33" i="13"/>
  <c r="Q31" i="13"/>
  <c r="Q10" i="13"/>
  <c r="Q15" i="13"/>
  <c r="Q7" i="13"/>
  <c r="Q27" i="13"/>
  <c r="Q6" i="13"/>
  <c r="Q39" i="13"/>
  <c r="Q22" i="13"/>
  <c r="Q29" i="13"/>
  <c r="Q8" i="13"/>
  <c r="C20" i="13"/>
  <c r="D43" i="13"/>
  <c r="C5" i="13"/>
  <c r="C14" i="13"/>
  <c r="C9" i="13"/>
  <c r="C30" i="13"/>
  <c r="J43" i="13"/>
  <c r="I43" i="13"/>
  <c r="H43" i="13"/>
  <c r="C23" i="13"/>
  <c r="C19" i="13"/>
  <c r="C40" i="13"/>
  <c r="C28" i="13"/>
  <c r="C25" i="13"/>
  <c r="C37" i="13"/>
  <c r="C35" i="13"/>
  <c r="C36" i="13"/>
  <c r="C41" i="13"/>
  <c r="E43" i="13"/>
  <c r="G43" i="13"/>
  <c r="M43" i="13"/>
  <c r="C32" i="13"/>
  <c r="C13" i="13"/>
  <c r="C16" i="13"/>
  <c r="C12" i="13"/>
  <c r="C17" i="13"/>
  <c r="C11" i="13"/>
  <c r="C42" i="13"/>
  <c r="C24" i="13"/>
  <c r="C26" i="13"/>
  <c r="C18" i="13"/>
  <c r="C21" i="13"/>
  <c r="K43" i="13"/>
  <c r="L43" i="13"/>
  <c r="F43" i="13"/>
  <c r="E178" i="7"/>
  <c r="C58" i="7"/>
  <c r="C86" i="7" s="1"/>
  <c r="D178" i="7"/>
  <c r="C150" i="7"/>
  <c r="C178" i="7" s="1"/>
  <c r="F178" i="7"/>
  <c r="AS348" i="9"/>
  <c r="AR348" i="9" s="1"/>
  <c r="AS349" i="9"/>
  <c r="AR349" i="9" s="1"/>
  <c r="AS350" i="9"/>
  <c r="AR350" i="9" s="1"/>
  <c r="AS351" i="9"/>
  <c r="AR351" i="9" s="1"/>
  <c r="AS352" i="9"/>
  <c r="AR352" i="9" s="1"/>
  <c r="AS353" i="9"/>
  <c r="AR353" i="9" s="1"/>
  <c r="AS354" i="9"/>
  <c r="AR354" i="9" s="1"/>
  <c r="AS355" i="9"/>
  <c r="AR355" i="9" s="1"/>
  <c r="AS356" i="9"/>
  <c r="AR356" i="9" s="1"/>
  <c r="AS357" i="9"/>
  <c r="AR357" i="9" s="1"/>
  <c r="AS358" i="9"/>
  <c r="AR358" i="9" s="1"/>
  <c r="AS359" i="9"/>
  <c r="AR359" i="9" s="1"/>
  <c r="AS360" i="9"/>
  <c r="AR360" i="9" s="1"/>
  <c r="AS361" i="9"/>
  <c r="AR361" i="9" s="1"/>
  <c r="AS326" i="9"/>
  <c r="AR326" i="9" s="1"/>
  <c r="AS327" i="9"/>
  <c r="AR327" i="9" s="1"/>
  <c r="AS328" i="9"/>
  <c r="AR328" i="9" s="1"/>
  <c r="AS329" i="9"/>
  <c r="AR329" i="9" s="1"/>
  <c r="AS330" i="9"/>
  <c r="AR330" i="9" s="1"/>
  <c r="AS331" i="9"/>
  <c r="AR331" i="9" s="1"/>
  <c r="AS332" i="9"/>
  <c r="AR332" i="9" s="1"/>
  <c r="AS333" i="9"/>
  <c r="AR333" i="9" s="1"/>
  <c r="AS324" i="9"/>
  <c r="AR324" i="9" s="1"/>
  <c r="AS334" i="9"/>
  <c r="AR334" i="9" s="1"/>
  <c r="AS335" i="9"/>
  <c r="AR335" i="9" s="1"/>
  <c r="AS336" i="9"/>
  <c r="AR336" i="9" s="1"/>
  <c r="AS337" i="9"/>
  <c r="AR337" i="9" s="1"/>
  <c r="AS338" i="9"/>
  <c r="AR338" i="9" s="1"/>
  <c r="AS339" i="9"/>
  <c r="AR339" i="9" s="1"/>
  <c r="AS340" i="9"/>
  <c r="AR340" i="9" s="1"/>
  <c r="AS341" i="9"/>
  <c r="AR341" i="9" s="1"/>
  <c r="AS342" i="9"/>
  <c r="AR342" i="9" s="1"/>
  <c r="AS343" i="9"/>
  <c r="AR343" i="9" s="1"/>
  <c r="AS344" i="9"/>
  <c r="AR344" i="9" s="1"/>
  <c r="AS345" i="9"/>
  <c r="AR345" i="9" s="1"/>
  <c r="AS346" i="9"/>
  <c r="AR346" i="9" s="1"/>
  <c r="AS325" i="9"/>
  <c r="AR325" i="9" s="1"/>
  <c r="AS347" i="9"/>
  <c r="AR347" i="9" s="1"/>
  <c r="J232" i="9"/>
  <c r="J224" i="9"/>
  <c r="J216" i="9"/>
  <c r="J212" i="9"/>
  <c r="J204" i="9"/>
  <c r="J200" i="9"/>
  <c r="J199" i="9"/>
  <c r="L140" i="11"/>
  <c r="N140" i="11"/>
  <c r="E140" i="11"/>
  <c r="G140" i="11"/>
  <c r="F140" i="11"/>
  <c r="H138" i="8"/>
  <c r="J146" i="8"/>
  <c r="J134" i="8" s="1"/>
  <c r="F146" i="8"/>
  <c r="F134" i="8" s="1"/>
  <c r="L144" i="8"/>
  <c r="L132" i="8" s="1"/>
  <c r="L125" i="8" s="1"/>
  <c r="L83" i="8" s="1"/>
  <c r="H143" i="8"/>
  <c r="H131" i="8" s="1"/>
  <c r="J234" i="9"/>
  <c r="J230" i="9"/>
  <c r="J228" i="9"/>
  <c r="J226" i="9"/>
  <c r="J210" i="9"/>
  <c r="J208" i="9"/>
  <c r="J206" i="9"/>
  <c r="J202" i="9"/>
  <c r="J227" i="9"/>
  <c r="J223" i="9"/>
  <c r="J219" i="9"/>
  <c r="J215" i="9"/>
  <c r="J207" i="9"/>
  <c r="BC362" i="9"/>
  <c r="J198" i="9"/>
  <c r="J201" i="9"/>
  <c r="J233" i="9"/>
  <c r="J231" i="9"/>
  <c r="J229" i="9"/>
  <c r="J221" i="9"/>
  <c r="J217" i="9"/>
  <c r="J213" i="9"/>
  <c r="J209" i="9"/>
  <c r="J205" i="9"/>
  <c r="BD362" i="9"/>
  <c r="BF362" i="9"/>
  <c r="BB362" i="9"/>
  <c r="AX362" i="9"/>
  <c r="BE362" i="9"/>
  <c r="BA362" i="9"/>
  <c r="AW362" i="9"/>
  <c r="I192" i="11"/>
  <c r="C192" i="11" s="1"/>
  <c r="I190" i="11"/>
  <c r="C190" i="11" s="1"/>
  <c r="I188" i="11"/>
  <c r="C188" i="11" s="1"/>
  <c r="I186" i="11"/>
  <c r="I184" i="11"/>
  <c r="C184" i="11" s="1"/>
  <c r="I182" i="11"/>
  <c r="C182" i="11" s="1"/>
  <c r="I180" i="11"/>
  <c r="C180" i="11" s="1"/>
  <c r="I178" i="11"/>
  <c r="C178" i="11" s="1"/>
  <c r="I176" i="11"/>
  <c r="I174" i="11"/>
  <c r="C174" i="11" s="1"/>
  <c r="I172" i="11"/>
  <c r="C172" i="11" s="1"/>
  <c r="I170" i="11"/>
  <c r="C170" i="11" s="1"/>
  <c r="I168" i="11"/>
  <c r="C168" i="11" s="1"/>
  <c r="I166" i="11"/>
  <c r="C166" i="11" s="1"/>
  <c r="I164" i="11"/>
  <c r="C164" i="11" s="1"/>
  <c r="I162" i="11"/>
  <c r="C162" i="11" s="1"/>
  <c r="I160" i="11"/>
  <c r="C160" i="11" s="1"/>
  <c r="I158" i="11"/>
  <c r="C158" i="11" s="1"/>
  <c r="I156" i="11"/>
  <c r="C156" i="11" s="1"/>
  <c r="I193" i="11"/>
  <c r="C193" i="11" s="1"/>
  <c r="I191" i="11"/>
  <c r="C191" i="11" s="1"/>
  <c r="I189" i="11"/>
  <c r="I187" i="11"/>
  <c r="C187" i="11" s="1"/>
  <c r="I185" i="11"/>
  <c r="C185" i="11" s="1"/>
  <c r="I183" i="11"/>
  <c r="C183" i="11" s="1"/>
  <c r="I181" i="11"/>
  <c r="C181" i="11" s="1"/>
  <c r="I179" i="11"/>
  <c r="C179" i="11" s="1"/>
  <c r="I177" i="11"/>
  <c r="C177" i="11" s="1"/>
  <c r="I175" i="11"/>
  <c r="C175" i="11" s="1"/>
  <c r="I173" i="11"/>
  <c r="C173" i="11" s="1"/>
  <c r="I171" i="11"/>
  <c r="C171" i="11" s="1"/>
  <c r="I169" i="11"/>
  <c r="C169" i="11" s="1"/>
  <c r="I167" i="11"/>
  <c r="C167" i="11" s="1"/>
  <c r="I165" i="11"/>
  <c r="C165" i="11" s="1"/>
  <c r="I163" i="11"/>
  <c r="C163" i="11" s="1"/>
  <c r="I161" i="11"/>
  <c r="I159" i="11"/>
  <c r="C159" i="11" s="1"/>
  <c r="I157" i="11"/>
  <c r="H137" i="11" s="1"/>
  <c r="L194" i="11"/>
  <c r="L138" i="11"/>
  <c r="L139" i="11"/>
  <c r="H194" i="11"/>
  <c r="L141" i="11"/>
  <c r="K194" i="11"/>
  <c r="K138" i="11"/>
  <c r="K139" i="11"/>
  <c r="K140" i="11"/>
  <c r="N141" i="11"/>
  <c r="E141" i="11"/>
  <c r="M194" i="11"/>
  <c r="M138" i="11"/>
  <c r="M139" i="11"/>
  <c r="M140" i="11"/>
  <c r="D194" i="11"/>
  <c r="D138" i="11"/>
  <c r="D139" i="11"/>
  <c r="C176" i="11"/>
  <c r="D140" i="11"/>
  <c r="G141" i="11"/>
  <c r="F194" i="11"/>
  <c r="F138" i="11"/>
  <c r="F141" i="11"/>
  <c r="F137" i="11"/>
  <c r="F139" i="11"/>
  <c r="J141" i="11"/>
  <c r="K141" i="11"/>
  <c r="N194" i="11"/>
  <c r="N138" i="11"/>
  <c r="N139" i="11"/>
  <c r="E194" i="11"/>
  <c r="E138" i="11"/>
  <c r="E139" i="11"/>
  <c r="M141" i="11"/>
  <c r="C186" i="11"/>
  <c r="D137" i="11"/>
  <c r="D141" i="11"/>
  <c r="C189" i="11"/>
  <c r="G194" i="11"/>
  <c r="G138" i="11"/>
  <c r="G139" i="11"/>
  <c r="J194" i="11"/>
  <c r="J138" i="11"/>
  <c r="J139" i="11"/>
  <c r="D123" i="8"/>
  <c r="D118" i="8"/>
  <c r="D108" i="8"/>
  <c r="D107" i="8"/>
  <c r="D102" i="8"/>
  <c r="D101" i="8"/>
  <c r="M123" i="8"/>
  <c r="M81" i="8" s="1"/>
  <c r="M118" i="8"/>
  <c r="M76" i="8" s="1"/>
  <c r="M108" i="8"/>
  <c r="M66" i="8" s="1"/>
  <c r="M107" i="8"/>
  <c r="M65" i="8" s="1"/>
  <c r="M102" i="8"/>
  <c r="M60" i="8" s="1"/>
  <c r="M101" i="8"/>
  <c r="M59" i="8" s="1"/>
  <c r="G123" i="8"/>
  <c r="G81" i="8" s="1"/>
  <c r="G118" i="8"/>
  <c r="G76" i="8" s="1"/>
  <c r="G108" i="8"/>
  <c r="G66" i="8" s="1"/>
  <c r="G107" i="8"/>
  <c r="G65" i="8" s="1"/>
  <c r="G102" i="8"/>
  <c r="G60" i="8" s="1"/>
  <c r="G101" i="8"/>
  <c r="G59" i="8" s="1"/>
  <c r="I131" i="8"/>
  <c r="H99" i="8"/>
  <c r="H57" i="8" s="1"/>
  <c r="H91" i="8"/>
  <c r="H49" i="8" s="1"/>
  <c r="L120" i="8"/>
  <c r="L78" i="8" s="1"/>
  <c r="L111" i="8"/>
  <c r="L69" i="8" s="1"/>
  <c r="L93" i="8"/>
  <c r="L51" i="8" s="1"/>
  <c r="L90" i="8"/>
  <c r="L48" i="8" s="1"/>
  <c r="L123" i="8"/>
  <c r="L81" i="8" s="1"/>
  <c r="L118" i="8"/>
  <c r="L76" i="8" s="1"/>
  <c r="L108" i="8"/>
  <c r="L66" i="8" s="1"/>
  <c r="L107" i="8"/>
  <c r="L65" i="8" s="1"/>
  <c r="L102" i="8"/>
  <c r="L60" i="8" s="1"/>
  <c r="L101" i="8"/>
  <c r="L59" i="8" s="1"/>
  <c r="I134" i="8"/>
  <c r="H123" i="8"/>
  <c r="H81" i="8" s="1"/>
  <c r="H118" i="8"/>
  <c r="H76" i="8" s="1"/>
  <c r="H108" i="8"/>
  <c r="H66" i="8" s="1"/>
  <c r="H107" i="8"/>
  <c r="H65" i="8" s="1"/>
  <c r="H102" i="8"/>
  <c r="H60" i="8" s="1"/>
  <c r="H101" i="8"/>
  <c r="H59" i="8" s="1"/>
  <c r="I194" i="8"/>
  <c r="H139" i="8"/>
  <c r="H141" i="8"/>
  <c r="C160" i="8"/>
  <c r="C167" i="8"/>
  <c r="K123" i="8"/>
  <c r="K81" i="8" s="1"/>
  <c r="K118" i="8"/>
  <c r="K76" i="8" s="1"/>
  <c r="K108" i="8"/>
  <c r="K66" i="8" s="1"/>
  <c r="K107" i="8"/>
  <c r="K65" i="8" s="1"/>
  <c r="K102" i="8"/>
  <c r="K60" i="8" s="1"/>
  <c r="K101" i="8"/>
  <c r="K59" i="8" s="1"/>
  <c r="E123" i="8"/>
  <c r="E81" i="8" s="1"/>
  <c r="E118" i="8"/>
  <c r="E76" i="8" s="1"/>
  <c r="E108" i="8"/>
  <c r="E66" i="8" s="1"/>
  <c r="E107" i="8"/>
  <c r="E65" i="8" s="1"/>
  <c r="E102" i="8"/>
  <c r="E60" i="8" s="1"/>
  <c r="E101" i="8"/>
  <c r="E59" i="8" s="1"/>
  <c r="J123" i="8"/>
  <c r="J81" i="8" s="1"/>
  <c r="J118" i="8"/>
  <c r="J76" i="8" s="1"/>
  <c r="J108" i="8"/>
  <c r="J66" i="8" s="1"/>
  <c r="J107" i="8"/>
  <c r="J65" i="8" s="1"/>
  <c r="J102" i="8"/>
  <c r="J60" i="8" s="1"/>
  <c r="J101" i="8"/>
  <c r="J59" i="8" s="1"/>
  <c r="F123" i="8"/>
  <c r="F81" i="8" s="1"/>
  <c r="F118" i="8"/>
  <c r="F76" i="8" s="1"/>
  <c r="F108" i="8"/>
  <c r="F66" i="8" s="1"/>
  <c r="F107" i="8"/>
  <c r="F65" i="8" s="1"/>
  <c r="F102" i="8"/>
  <c r="F60" i="8" s="1"/>
  <c r="F101" i="8"/>
  <c r="F59" i="8" s="1"/>
  <c r="C156" i="8"/>
  <c r="L143" i="8"/>
  <c r="L131" i="8" s="1"/>
  <c r="D143" i="8"/>
  <c r="D131" i="8" s="1"/>
  <c r="H144" i="8"/>
  <c r="H132" i="8" s="1"/>
  <c r="F144" i="8"/>
  <c r="F132" i="8" s="1"/>
  <c r="D144" i="8"/>
  <c r="D132" i="8" s="1"/>
  <c r="D141" i="8"/>
  <c r="M143" i="8"/>
  <c r="M131" i="8" s="1"/>
  <c r="G143" i="8"/>
  <c r="G131" i="8" s="1"/>
  <c r="M144" i="8"/>
  <c r="M132" i="8" s="1"/>
  <c r="K144" i="8"/>
  <c r="K132" i="8" s="1"/>
  <c r="G144" i="8"/>
  <c r="G132" i="8" s="1"/>
  <c r="E144" i="8"/>
  <c r="E132" i="8" s="1"/>
  <c r="J144" i="8"/>
  <c r="J132" i="8" s="1"/>
  <c r="E141" i="8"/>
  <c r="K145" i="8"/>
  <c r="K133" i="8" s="1"/>
  <c r="E145" i="8"/>
  <c r="E133" i="8" s="1"/>
  <c r="J143" i="8"/>
  <c r="J131" i="8" s="1"/>
  <c r="F143" i="8"/>
  <c r="F131" i="8" s="1"/>
  <c r="J145" i="8"/>
  <c r="J133" i="8" s="1"/>
  <c r="F145" i="8"/>
  <c r="F133" i="8" s="1"/>
  <c r="K143" i="8"/>
  <c r="K131" i="8" s="1"/>
  <c r="E143" i="8"/>
  <c r="E131" i="8" s="1"/>
  <c r="D42" i="6"/>
  <c r="C42" i="6"/>
  <c r="G42" i="6" s="1"/>
  <c r="Z28" i="12" l="1"/>
  <c r="AA28" i="12" s="1"/>
  <c r="AB28" i="12" s="1"/>
  <c r="AH28" i="6"/>
  <c r="AI28" i="6" s="1"/>
  <c r="AJ28" i="6" s="1"/>
  <c r="Z38" i="12"/>
  <c r="AA38" i="12" s="1"/>
  <c r="AB38" i="12" s="1"/>
  <c r="AH38" i="6"/>
  <c r="AI38" i="6" s="1"/>
  <c r="AJ38" i="6" s="1"/>
  <c r="Z26" i="12"/>
  <c r="AA26" i="12" s="1"/>
  <c r="AB26" i="12" s="1"/>
  <c r="AH26" i="6"/>
  <c r="AI26" i="6" s="1"/>
  <c r="AJ26" i="6" s="1"/>
  <c r="Z14" i="12"/>
  <c r="AA14" i="12" s="1"/>
  <c r="AB14" i="12" s="1"/>
  <c r="AH14" i="6"/>
  <c r="AI14" i="6" s="1"/>
  <c r="AJ14" i="6" s="1"/>
  <c r="Z30" i="12"/>
  <c r="AA30" i="12" s="1"/>
  <c r="AB30" i="12" s="1"/>
  <c r="AH30" i="6"/>
  <c r="AI30" i="6" s="1"/>
  <c r="AJ30" i="6" s="1"/>
  <c r="AH33" i="6"/>
  <c r="AI33" i="6" s="1"/>
  <c r="AJ33" i="6" s="1"/>
  <c r="Z33" i="12"/>
  <c r="AA33" i="12" s="1"/>
  <c r="AB33" i="12" s="1"/>
  <c r="AH7" i="6"/>
  <c r="AI7" i="6" s="1"/>
  <c r="AJ7" i="6" s="1"/>
  <c r="Z7" i="12"/>
  <c r="AA7" i="12" s="1"/>
  <c r="AB7" i="12" s="1"/>
  <c r="AH21" i="6"/>
  <c r="AI21" i="6" s="1"/>
  <c r="AJ21" i="6" s="1"/>
  <c r="Z21" i="12"/>
  <c r="AA21" i="12" s="1"/>
  <c r="AB21" i="12" s="1"/>
  <c r="AH5" i="6"/>
  <c r="AI5" i="6" s="1"/>
  <c r="AJ5" i="6" s="1"/>
  <c r="Z5" i="12"/>
  <c r="AA5" i="12" s="1"/>
  <c r="AB5" i="12" s="1"/>
  <c r="Z6" i="12"/>
  <c r="AA6" i="12" s="1"/>
  <c r="AB6" i="12" s="1"/>
  <c r="AH6" i="6"/>
  <c r="AI6" i="6" s="1"/>
  <c r="AJ6" i="6" s="1"/>
  <c r="AH9" i="6"/>
  <c r="AI9" i="6" s="1"/>
  <c r="AJ9" i="6" s="1"/>
  <c r="Z9" i="12"/>
  <c r="AA9" i="12" s="1"/>
  <c r="AB9" i="12" s="1"/>
  <c r="Z32" i="12"/>
  <c r="AA32" i="12" s="1"/>
  <c r="AB32" i="12" s="1"/>
  <c r="AH32" i="6"/>
  <c r="AI32" i="6" s="1"/>
  <c r="AJ32" i="6" s="1"/>
  <c r="AH37" i="6"/>
  <c r="AI37" i="6" s="1"/>
  <c r="AJ37" i="6" s="1"/>
  <c r="Z37" i="12"/>
  <c r="AA37" i="12" s="1"/>
  <c r="AB37" i="12" s="1"/>
  <c r="Q18" i="13"/>
  <c r="Q24" i="13"/>
  <c r="Q11" i="13"/>
  <c r="Q12" i="13"/>
  <c r="Q13" i="13"/>
  <c r="Q36" i="13"/>
  <c r="Q37" i="13"/>
  <c r="Q28" i="13"/>
  <c r="Q19" i="13"/>
  <c r="Q9" i="13"/>
  <c r="Q5" i="13"/>
  <c r="Q20" i="13"/>
  <c r="Q21" i="13"/>
  <c r="Q26" i="13"/>
  <c r="Q42" i="13"/>
  <c r="Q17" i="13"/>
  <c r="Q16" i="13"/>
  <c r="Q32" i="13"/>
  <c r="Q41" i="13"/>
  <c r="Q35" i="13"/>
  <c r="Q25" i="13"/>
  <c r="Q40" i="13"/>
  <c r="Q23" i="13"/>
  <c r="Q30" i="13"/>
  <c r="Q14" i="13"/>
  <c r="J362" i="9"/>
  <c r="H138" i="11"/>
  <c r="H141" i="11"/>
  <c r="J147" i="11" s="1"/>
  <c r="J135" i="11" s="1"/>
  <c r="H140" i="11"/>
  <c r="G146" i="11" s="1"/>
  <c r="G134" i="11" s="1"/>
  <c r="M147" i="11"/>
  <c r="M135" i="11" s="1"/>
  <c r="M114" i="11" s="1"/>
  <c r="M72" i="11" s="1"/>
  <c r="H139" i="11"/>
  <c r="H145" i="11" s="1"/>
  <c r="H133" i="11" s="1"/>
  <c r="G144" i="11"/>
  <c r="G132" i="11" s="1"/>
  <c r="G111" i="11" s="1"/>
  <c r="G69" i="11" s="1"/>
  <c r="C161" i="11"/>
  <c r="C157" i="11"/>
  <c r="C194" i="8"/>
  <c r="L92" i="8"/>
  <c r="L50" i="8" s="1"/>
  <c r="L97" i="8"/>
  <c r="L55" i="8" s="1"/>
  <c r="L116" i="8"/>
  <c r="L74" i="8" s="1"/>
  <c r="E147" i="8"/>
  <c r="E135" i="8" s="1"/>
  <c r="H143" i="11"/>
  <c r="H131" i="11" s="1"/>
  <c r="G143" i="11"/>
  <c r="G131" i="11" s="1"/>
  <c r="H124" i="11"/>
  <c r="H82" i="11" s="1"/>
  <c r="H122" i="11"/>
  <c r="H80" i="11" s="1"/>
  <c r="H104" i="11"/>
  <c r="H62" i="11" s="1"/>
  <c r="H94" i="11"/>
  <c r="H52" i="11" s="1"/>
  <c r="I133" i="11"/>
  <c r="H119" i="11"/>
  <c r="H77" i="11" s="1"/>
  <c r="H109" i="11"/>
  <c r="H67" i="11" s="1"/>
  <c r="H105" i="11"/>
  <c r="H63" i="11" s="1"/>
  <c r="G125" i="11"/>
  <c r="G83" i="11" s="1"/>
  <c r="E145" i="11"/>
  <c r="E133" i="11" s="1"/>
  <c r="F145" i="11"/>
  <c r="F133" i="11" s="1"/>
  <c r="N147" i="11"/>
  <c r="N135" i="11" s="1"/>
  <c r="K144" i="11"/>
  <c r="K132" i="11" s="1"/>
  <c r="H144" i="11"/>
  <c r="H132" i="11" s="1"/>
  <c r="J145" i="11"/>
  <c r="J133" i="11" s="1"/>
  <c r="M126" i="11"/>
  <c r="M84" i="11" s="1"/>
  <c r="M106" i="11"/>
  <c r="M64" i="11" s="1"/>
  <c r="M127" i="11"/>
  <c r="M85" i="11" s="1"/>
  <c r="M113" i="11"/>
  <c r="M71" i="11" s="1"/>
  <c r="N145" i="11"/>
  <c r="N133" i="11" s="1"/>
  <c r="K147" i="11"/>
  <c r="K135" i="11" s="1"/>
  <c r="F147" i="11"/>
  <c r="F135" i="11" s="1"/>
  <c r="M144" i="11"/>
  <c r="M132" i="11" s="1"/>
  <c r="E147" i="11"/>
  <c r="E135" i="11" s="1"/>
  <c r="K146" i="11"/>
  <c r="K134" i="11" s="1"/>
  <c r="L147" i="11"/>
  <c r="L135" i="11" s="1"/>
  <c r="H146" i="11"/>
  <c r="H134" i="11" s="1"/>
  <c r="L145" i="11"/>
  <c r="L133" i="11" s="1"/>
  <c r="J144" i="11"/>
  <c r="J132" i="11" s="1"/>
  <c r="J146" i="11"/>
  <c r="J134" i="11" s="1"/>
  <c r="G145" i="11"/>
  <c r="G133" i="11" s="1"/>
  <c r="D143" i="11"/>
  <c r="D131" i="11" s="1"/>
  <c r="M143" i="11"/>
  <c r="M131" i="11" s="1"/>
  <c r="E144" i="11"/>
  <c r="E132" i="11" s="1"/>
  <c r="E146" i="11"/>
  <c r="E134" i="11" s="1"/>
  <c r="N144" i="11"/>
  <c r="N132" i="11" s="1"/>
  <c r="N146" i="11"/>
  <c r="N134" i="11" s="1"/>
  <c r="K143" i="11"/>
  <c r="K131" i="11" s="1"/>
  <c r="J143" i="11"/>
  <c r="J131" i="11" s="1"/>
  <c r="F143" i="11"/>
  <c r="F131" i="11" s="1"/>
  <c r="F144" i="11"/>
  <c r="F132" i="11" s="1"/>
  <c r="G147" i="11"/>
  <c r="G135" i="11" s="1"/>
  <c r="D146" i="11"/>
  <c r="D134" i="11" s="1"/>
  <c r="D145" i="11"/>
  <c r="D133" i="11" s="1"/>
  <c r="D144" i="11"/>
  <c r="D132" i="11" s="1"/>
  <c r="M145" i="11"/>
  <c r="M133" i="11" s="1"/>
  <c r="E143" i="11"/>
  <c r="E131" i="11" s="1"/>
  <c r="N143" i="11"/>
  <c r="N131" i="11" s="1"/>
  <c r="K145" i="11"/>
  <c r="K133" i="11" s="1"/>
  <c r="L143" i="11"/>
  <c r="L131" i="11" s="1"/>
  <c r="L144" i="11"/>
  <c r="L132" i="11" s="1"/>
  <c r="I194" i="11"/>
  <c r="K99" i="8"/>
  <c r="K57" i="8" s="1"/>
  <c r="K91" i="8"/>
  <c r="K49" i="8" s="1"/>
  <c r="J124" i="8"/>
  <c r="J82" i="8" s="1"/>
  <c r="J122" i="8"/>
  <c r="J80" i="8" s="1"/>
  <c r="J119" i="8"/>
  <c r="J77" i="8" s="1"/>
  <c r="J109" i="8"/>
  <c r="J67" i="8" s="1"/>
  <c r="J105" i="8"/>
  <c r="J63" i="8" s="1"/>
  <c r="J104" i="8"/>
  <c r="J62" i="8" s="1"/>
  <c r="J94" i="8"/>
  <c r="J52" i="8" s="1"/>
  <c r="F99" i="8"/>
  <c r="F57" i="8" s="1"/>
  <c r="F91" i="8"/>
  <c r="F49" i="8" s="1"/>
  <c r="E124" i="8"/>
  <c r="E82" i="8" s="1"/>
  <c r="E122" i="8"/>
  <c r="E80" i="8" s="1"/>
  <c r="E119" i="8"/>
  <c r="E77" i="8" s="1"/>
  <c r="E109" i="8"/>
  <c r="E67" i="8" s="1"/>
  <c r="E105" i="8"/>
  <c r="E63" i="8" s="1"/>
  <c r="E104" i="8"/>
  <c r="E62" i="8" s="1"/>
  <c r="E94" i="8"/>
  <c r="E52" i="8" s="1"/>
  <c r="E127" i="8"/>
  <c r="E85" i="8" s="1"/>
  <c r="E126" i="8"/>
  <c r="E84" i="8" s="1"/>
  <c r="E121" i="8"/>
  <c r="E79" i="8" s="1"/>
  <c r="E117" i="8"/>
  <c r="E75" i="8" s="1"/>
  <c r="E115" i="8"/>
  <c r="E73" i="8" s="1"/>
  <c r="E114" i="8"/>
  <c r="E72" i="8" s="1"/>
  <c r="E113" i="8"/>
  <c r="E71" i="8" s="1"/>
  <c r="E112" i="8"/>
  <c r="E70" i="8" s="1"/>
  <c r="E110" i="8"/>
  <c r="E68" i="8" s="1"/>
  <c r="E106" i="8"/>
  <c r="E64" i="8" s="1"/>
  <c r="E103" i="8"/>
  <c r="E61" i="8" s="1"/>
  <c r="E100" i="8"/>
  <c r="E58" i="8" s="1"/>
  <c r="E98" i="8"/>
  <c r="E56" i="8" s="1"/>
  <c r="E96" i="8"/>
  <c r="E54" i="8" s="1"/>
  <c r="E95" i="8"/>
  <c r="E53" i="8" s="1"/>
  <c r="G125" i="8"/>
  <c r="G83" i="8" s="1"/>
  <c r="G120" i="8"/>
  <c r="G78" i="8" s="1"/>
  <c r="G116" i="8"/>
  <c r="G74" i="8" s="1"/>
  <c r="G111" i="8"/>
  <c r="G69" i="8" s="1"/>
  <c r="G97" i="8"/>
  <c r="G55" i="8" s="1"/>
  <c r="G93" i="8"/>
  <c r="G51" i="8" s="1"/>
  <c r="G92" i="8"/>
  <c r="G50" i="8" s="1"/>
  <c r="G90" i="8"/>
  <c r="G48" i="8" s="1"/>
  <c r="M125" i="8"/>
  <c r="M83" i="8" s="1"/>
  <c r="M120" i="8"/>
  <c r="M78" i="8" s="1"/>
  <c r="M116" i="8"/>
  <c r="M74" i="8" s="1"/>
  <c r="M111" i="8"/>
  <c r="M69" i="8" s="1"/>
  <c r="M97" i="8"/>
  <c r="M55" i="8" s="1"/>
  <c r="M93" i="8"/>
  <c r="M51" i="8" s="1"/>
  <c r="M92" i="8"/>
  <c r="M50" i="8" s="1"/>
  <c r="M90" i="8"/>
  <c r="M48" i="8" s="1"/>
  <c r="M99" i="8"/>
  <c r="M57" i="8" s="1"/>
  <c r="M91" i="8"/>
  <c r="M49" i="8" s="1"/>
  <c r="D125" i="8"/>
  <c r="D120" i="8"/>
  <c r="D116" i="8"/>
  <c r="D111" i="8"/>
  <c r="D97" i="8"/>
  <c r="D93" i="8"/>
  <c r="D92" i="8"/>
  <c r="D90" i="8"/>
  <c r="I132" i="8"/>
  <c r="H125" i="8"/>
  <c r="H83" i="8" s="1"/>
  <c r="H120" i="8"/>
  <c r="H78" i="8" s="1"/>
  <c r="H116" i="8"/>
  <c r="H74" i="8" s="1"/>
  <c r="H111" i="8"/>
  <c r="H69" i="8" s="1"/>
  <c r="H97" i="8"/>
  <c r="H55" i="8" s="1"/>
  <c r="H93" i="8"/>
  <c r="H51" i="8" s="1"/>
  <c r="H92" i="8"/>
  <c r="H50" i="8" s="1"/>
  <c r="H90" i="8"/>
  <c r="H48" i="8" s="1"/>
  <c r="L99" i="8"/>
  <c r="L57" i="8" s="1"/>
  <c r="L91" i="8"/>
  <c r="L49" i="8" s="1"/>
  <c r="C134" i="8"/>
  <c r="I123" i="8"/>
  <c r="I81" i="8" s="1"/>
  <c r="I118" i="8"/>
  <c r="I76" i="8" s="1"/>
  <c r="I108" i="8"/>
  <c r="I66" i="8" s="1"/>
  <c r="I107" i="8"/>
  <c r="I65" i="8" s="1"/>
  <c r="I102" i="8"/>
  <c r="I60" i="8" s="1"/>
  <c r="I101" i="8"/>
  <c r="I59" i="8" s="1"/>
  <c r="D59" i="8"/>
  <c r="C101" i="8"/>
  <c r="D65" i="8"/>
  <c r="C107" i="8"/>
  <c r="D76" i="8"/>
  <c r="C76" i="8" s="1"/>
  <c r="C118" i="8"/>
  <c r="E99" i="8"/>
  <c r="E57" i="8" s="1"/>
  <c r="E91" i="8"/>
  <c r="E49" i="8" s="1"/>
  <c r="F124" i="8"/>
  <c r="F82" i="8" s="1"/>
  <c r="F122" i="8"/>
  <c r="F80" i="8" s="1"/>
  <c r="F119" i="8"/>
  <c r="F77" i="8" s="1"/>
  <c r="F109" i="8"/>
  <c r="F67" i="8" s="1"/>
  <c r="F105" i="8"/>
  <c r="F63" i="8" s="1"/>
  <c r="F104" i="8"/>
  <c r="F62" i="8" s="1"/>
  <c r="F94" i="8"/>
  <c r="F52" i="8" s="1"/>
  <c r="J99" i="8"/>
  <c r="J57" i="8" s="1"/>
  <c r="J91" i="8"/>
  <c r="J49" i="8" s="1"/>
  <c r="K124" i="8"/>
  <c r="K82" i="8" s="1"/>
  <c r="K122" i="8"/>
  <c r="K80" i="8" s="1"/>
  <c r="K119" i="8"/>
  <c r="K77" i="8" s="1"/>
  <c r="K109" i="8"/>
  <c r="K67" i="8" s="1"/>
  <c r="K105" i="8"/>
  <c r="K63" i="8" s="1"/>
  <c r="K104" i="8"/>
  <c r="K62" i="8" s="1"/>
  <c r="K94" i="8"/>
  <c r="K52" i="8" s="1"/>
  <c r="J125" i="8"/>
  <c r="J83" i="8" s="1"/>
  <c r="J120" i="8"/>
  <c r="J78" i="8" s="1"/>
  <c r="J116" i="8"/>
  <c r="J74" i="8" s="1"/>
  <c r="J111" i="8"/>
  <c r="J69" i="8" s="1"/>
  <c r="J97" i="8"/>
  <c r="J55" i="8" s="1"/>
  <c r="J93" i="8"/>
  <c r="J51" i="8" s="1"/>
  <c r="J92" i="8"/>
  <c r="J50" i="8" s="1"/>
  <c r="J90" i="8"/>
  <c r="J48" i="8" s="1"/>
  <c r="E125" i="8"/>
  <c r="E83" i="8" s="1"/>
  <c r="E120" i="8"/>
  <c r="E78" i="8" s="1"/>
  <c r="E116" i="8"/>
  <c r="E74" i="8" s="1"/>
  <c r="E111" i="8"/>
  <c r="E69" i="8" s="1"/>
  <c r="E97" i="8"/>
  <c r="E55" i="8" s="1"/>
  <c r="E93" i="8"/>
  <c r="E51" i="8" s="1"/>
  <c r="E92" i="8"/>
  <c r="E50" i="8" s="1"/>
  <c r="E90" i="8"/>
  <c r="E48" i="8" s="1"/>
  <c r="K125" i="8"/>
  <c r="K83" i="8" s="1"/>
  <c r="K120" i="8"/>
  <c r="K78" i="8" s="1"/>
  <c r="K116" i="8"/>
  <c r="K74" i="8" s="1"/>
  <c r="K111" i="8"/>
  <c r="K69" i="8" s="1"/>
  <c r="K97" i="8"/>
  <c r="K55" i="8" s="1"/>
  <c r="K93" i="8"/>
  <c r="K51" i="8" s="1"/>
  <c r="K92" i="8"/>
  <c r="K50" i="8" s="1"/>
  <c r="K90" i="8"/>
  <c r="K48" i="8" s="1"/>
  <c r="G99" i="8"/>
  <c r="G57" i="8" s="1"/>
  <c r="G91" i="8"/>
  <c r="G49" i="8" s="1"/>
  <c r="F125" i="8"/>
  <c r="F83" i="8" s="1"/>
  <c r="F120" i="8"/>
  <c r="F78" i="8" s="1"/>
  <c r="F116" i="8"/>
  <c r="F74" i="8" s="1"/>
  <c r="F111" i="8"/>
  <c r="F69" i="8" s="1"/>
  <c r="F97" i="8"/>
  <c r="F55" i="8" s="1"/>
  <c r="F93" i="8"/>
  <c r="F51" i="8" s="1"/>
  <c r="F92" i="8"/>
  <c r="F50" i="8" s="1"/>
  <c r="F90" i="8"/>
  <c r="F48" i="8" s="1"/>
  <c r="D99" i="8"/>
  <c r="D91" i="8"/>
  <c r="H145" i="8"/>
  <c r="H133" i="8" s="1"/>
  <c r="G145" i="8"/>
  <c r="G133" i="8" s="1"/>
  <c r="L145" i="8"/>
  <c r="L133" i="8" s="1"/>
  <c r="M145" i="8"/>
  <c r="M133" i="8" s="1"/>
  <c r="D145" i="8"/>
  <c r="D133" i="8" s="1"/>
  <c r="C131" i="8"/>
  <c r="I99" i="8"/>
  <c r="I57" i="8" s="1"/>
  <c r="I91" i="8"/>
  <c r="I49" i="8" s="1"/>
  <c r="D60" i="8"/>
  <c r="C60" i="8" s="1"/>
  <c r="C102" i="8"/>
  <c r="D66" i="8"/>
  <c r="C66" i="8" s="1"/>
  <c r="C108" i="8"/>
  <c r="D81" i="8"/>
  <c r="C81" i="8" s="1"/>
  <c r="C123" i="8"/>
  <c r="K147" i="8"/>
  <c r="K135" i="8" s="1"/>
  <c r="D147" i="8"/>
  <c r="D135" i="8" s="1"/>
  <c r="H147" i="8"/>
  <c r="H135" i="8" s="1"/>
  <c r="L147" i="8"/>
  <c r="L135" i="8" s="1"/>
  <c r="J147" i="8"/>
  <c r="J135" i="8" s="1"/>
  <c r="G147" i="8"/>
  <c r="G135" i="8" s="1"/>
  <c r="M147" i="8"/>
  <c r="M135" i="8" s="1"/>
  <c r="F147" i="8"/>
  <c r="F135" i="8" s="1"/>
  <c r="M100" i="2"/>
  <c r="L100" i="2"/>
  <c r="K100" i="2"/>
  <c r="J100" i="2"/>
  <c r="I100" i="2"/>
  <c r="M127" i="2"/>
  <c r="L127" i="2"/>
  <c r="K127" i="2"/>
  <c r="J127" i="2"/>
  <c r="I127" i="2"/>
  <c r="H127" i="2"/>
  <c r="G127" i="2"/>
  <c r="F127" i="2"/>
  <c r="E127" i="2"/>
  <c r="D127" i="2"/>
  <c r="M126" i="2"/>
  <c r="L126" i="2"/>
  <c r="K126" i="2"/>
  <c r="J126" i="2"/>
  <c r="I126" i="2"/>
  <c r="H126" i="2"/>
  <c r="G126" i="2"/>
  <c r="F126" i="2"/>
  <c r="E126" i="2"/>
  <c r="D126" i="2"/>
  <c r="M125" i="2"/>
  <c r="L125" i="2"/>
  <c r="K125" i="2"/>
  <c r="J125" i="2"/>
  <c r="I125" i="2"/>
  <c r="H125" i="2"/>
  <c r="G125" i="2"/>
  <c r="F125" i="2"/>
  <c r="E125" i="2"/>
  <c r="D125" i="2"/>
  <c r="M124" i="2"/>
  <c r="L124" i="2"/>
  <c r="K124" i="2"/>
  <c r="J124" i="2"/>
  <c r="I124" i="2"/>
  <c r="H124" i="2"/>
  <c r="G124" i="2"/>
  <c r="F124" i="2"/>
  <c r="E124" i="2"/>
  <c r="D124" i="2"/>
  <c r="M123" i="2"/>
  <c r="L123" i="2"/>
  <c r="K123" i="2"/>
  <c r="J123" i="2"/>
  <c r="I123" i="2"/>
  <c r="H123" i="2"/>
  <c r="G123" i="2"/>
  <c r="F123" i="2"/>
  <c r="E123" i="2"/>
  <c r="D123" i="2"/>
  <c r="M122" i="2"/>
  <c r="L122" i="2"/>
  <c r="K122" i="2"/>
  <c r="J122" i="2"/>
  <c r="I122" i="2"/>
  <c r="H122" i="2"/>
  <c r="G122" i="2"/>
  <c r="F122" i="2"/>
  <c r="E122" i="2"/>
  <c r="D122" i="2"/>
  <c r="M121" i="2"/>
  <c r="L121" i="2"/>
  <c r="K121" i="2"/>
  <c r="J121" i="2"/>
  <c r="I121" i="2"/>
  <c r="H121" i="2"/>
  <c r="G121" i="2"/>
  <c r="F121" i="2"/>
  <c r="E121" i="2"/>
  <c r="D121" i="2"/>
  <c r="M120" i="2"/>
  <c r="L120" i="2"/>
  <c r="K120" i="2"/>
  <c r="J120" i="2"/>
  <c r="I120" i="2"/>
  <c r="H120" i="2"/>
  <c r="G120" i="2"/>
  <c r="F120" i="2"/>
  <c r="E120" i="2"/>
  <c r="D120" i="2"/>
  <c r="M119" i="2"/>
  <c r="L119" i="2"/>
  <c r="K119" i="2"/>
  <c r="J119" i="2"/>
  <c r="I119" i="2"/>
  <c r="H119" i="2"/>
  <c r="G119" i="2"/>
  <c r="F119" i="2"/>
  <c r="E119" i="2"/>
  <c r="D119" i="2"/>
  <c r="M118" i="2"/>
  <c r="L118" i="2"/>
  <c r="K118" i="2"/>
  <c r="J118" i="2"/>
  <c r="I118" i="2"/>
  <c r="H118" i="2"/>
  <c r="G118" i="2"/>
  <c r="F118" i="2"/>
  <c r="E118" i="2"/>
  <c r="D118" i="2"/>
  <c r="M117" i="2"/>
  <c r="L117" i="2"/>
  <c r="K117" i="2"/>
  <c r="J117" i="2"/>
  <c r="I117" i="2"/>
  <c r="H117" i="2"/>
  <c r="G117" i="2"/>
  <c r="F117" i="2"/>
  <c r="E117" i="2"/>
  <c r="D117" i="2"/>
  <c r="M116" i="2"/>
  <c r="L116" i="2"/>
  <c r="K116" i="2"/>
  <c r="J116" i="2"/>
  <c r="I116" i="2"/>
  <c r="H116" i="2"/>
  <c r="G116" i="2"/>
  <c r="F116" i="2"/>
  <c r="E116" i="2"/>
  <c r="D116" i="2"/>
  <c r="M115" i="2"/>
  <c r="L115" i="2"/>
  <c r="K115" i="2"/>
  <c r="J115" i="2"/>
  <c r="I115" i="2"/>
  <c r="H115" i="2"/>
  <c r="G115" i="2"/>
  <c r="F115" i="2"/>
  <c r="E115" i="2"/>
  <c r="D115" i="2"/>
  <c r="M114" i="2"/>
  <c r="L114" i="2"/>
  <c r="K114" i="2"/>
  <c r="J114" i="2"/>
  <c r="I114" i="2"/>
  <c r="H114" i="2"/>
  <c r="G114" i="2"/>
  <c r="F114" i="2"/>
  <c r="E114" i="2"/>
  <c r="D114" i="2"/>
  <c r="M113" i="2"/>
  <c r="L113" i="2"/>
  <c r="K113" i="2"/>
  <c r="J113" i="2"/>
  <c r="I113" i="2"/>
  <c r="H113" i="2"/>
  <c r="G113" i="2"/>
  <c r="F113" i="2"/>
  <c r="E113" i="2"/>
  <c r="D113" i="2"/>
  <c r="M112" i="2"/>
  <c r="L112" i="2"/>
  <c r="K112" i="2"/>
  <c r="J112" i="2"/>
  <c r="I112" i="2"/>
  <c r="H112" i="2"/>
  <c r="G112" i="2"/>
  <c r="F112" i="2"/>
  <c r="E112" i="2"/>
  <c r="D112" i="2"/>
  <c r="M111" i="2"/>
  <c r="L111" i="2"/>
  <c r="K111" i="2"/>
  <c r="J111" i="2"/>
  <c r="I111" i="2"/>
  <c r="H111" i="2"/>
  <c r="G111" i="2"/>
  <c r="F111" i="2"/>
  <c r="E111" i="2"/>
  <c r="D111" i="2"/>
  <c r="M110" i="2"/>
  <c r="L110" i="2"/>
  <c r="K110" i="2"/>
  <c r="J110" i="2"/>
  <c r="I110" i="2"/>
  <c r="H110" i="2"/>
  <c r="G110" i="2"/>
  <c r="F110" i="2"/>
  <c r="E110" i="2"/>
  <c r="D110" i="2"/>
  <c r="M109" i="2"/>
  <c r="L109" i="2"/>
  <c r="K109" i="2"/>
  <c r="J109" i="2"/>
  <c r="I109" i="2"/>
  <c r="H109" i="2"/>
  <c r="G109" i="2"/>
  <c r="F109" i="2"/>
  <c r="E109" i="2"/>
  <c r="D109" i="2"/>
  <c r="M108" i="2"/>
  <c r="L108" i="2"/>
  <c r="K108" i="2"/>
  <c r="J108" i="2"/>
  <c r="I108" i="2"/>
  <c r="H108" i="2"/>
  <c r="G108" i="2"/>
  <c r="F108" i="2"/>
  <c r="E108" i="2"/>
  <c r="D108" i="2"/>
  <c r="M107" i="2"/>
  <c r="L107" i="2"/>
  <c r="K107" i="2"/>
  <c r="J107" i="2"/>
  <c r="I107" i="2"/>
  <c r="H107" i="2"/>
  <c r="G107" i="2"/>
  <c r="F107" i="2"/>
  <c r="E107" i="2"/>
  <c r="D107" i="2"/>
  <c r="M106" i="2"/>
  <c r="L106" i="2"/>
  <c r="K106" i="2"/>
  <c r="J106" i="2"/>
  <c r="I106" i="2"/>
  <c r="H106" i="2"/>
  <c r="G106" i="2"/>
  <c r="F106" i="2"/>
  <c r="E106" i="2"/>
  <c r="D106" i="2"/>
  <c r="M105" i="2"/>
  <c r="L105" i="2"/>
  <c r="K105" i="2"/>
  <c r="J105" i="2"/>
  <c r="I105" i="2"/>
  <c r="H105" i="2"/>
  <c r="G105" i="2"/>
  <c r="F105" i="2"/>
  <c r="E105" i="2"/>
  <c r="D105" i="2"/>
  <c r="M104" i="2"/>
  <c r="L104" i="2"/>
  <c r="K104" i="2"/>
  <c r="J104" i="2"/>
  <c r="I104" i="2"/>
  <c r="H104" i="2"/>
  <c r="G104" i="2"/>
  <c r="F104" i="2"/>
  <c r="E104" i="2"/>
  <c r="D104" i="2"/>
  <c r="M103" i="2"/>
  <c r="L103" i="2"/>
  <c r="K103" i="2"/>
  <c r="J103" i="2"/>
  <c r="I103" i="2"/>
  <c r="H103" i="2"/>
  <c r="G103" i="2"/>
  <c r="F103" i="2"/>
  <c r="E103" i="2"/>
  <c r="D103" i="2"/>
  <c r="M102" i="2"/>
  <c r="L102" i="2"/>
  <c r="K102" i="2"/>
  <c r="J102" i="2"/>
  <c r="I102" i="2"/>
  <c r="H102" i="2"/>
  <c r="G102" i="2"/>
  <c r="F102" i="2"/>
  <c r="E102" i="2"/>
  <c r="D102" i="2"/>
  <c r="M101" i="2"/>
  <c r="L101" i="2"/>
  <c r="K101" i="2"/>
  <c r="J101" i="2"/>
  <c r="I101" i="2"/>
  <c r="H101" i="2"/>
  <c r="G101" i="2"/>
  <c r="F101" i="2"/>
  <c r="E101" i="2"/>
  <c r="D101" i="2"/>
  <c r="M99" i="2"/>
  <c r="L99" i="2"/>
  <c r="K99" i="2"/>
  <c r="J99" i="2"/>
  <c r="I99" i="2"/>
  <c r="H99" i="2"/>
  <c r="G99" i="2"/>
  <c r="F99" i="2"/>
  <c r="E99" i="2"/>
  <c r="D99" i="2"/>
  <c r="M98" i="2"/>
  <c r="L98" i="2"/>
  <c r="K98" i="2"/>
  <c r="J98" i="2"/>
  <c r="I98" i="2"/>
  <c r="H98" i="2"/>
  <c r="G98" i="2"/>
  <c r="F98" i="2"/>
  <c r="E98" i="2"/>
  <c r="D98" i="2"/>
  <c r="M97" i="2"/>
  <c r="L97" i="2"/>
  <c r="K97" i="2"/>
  <c r="J97" i="2"/>
  <c r="I97" i="2"/>
  <c r="H97" i="2"/>
  <c r="G97" i="2"/>
  <c r="F97" i="2"/>
  <c r="E97" i="2"/>
  <c r="D97" i="2"/>
  <c r="M96" i="2"/>
  <c r="L96" i="2"/>
  <c r="K96" i="2"/>
  <c r="J96" i="2"/>
  <c r="I96" i="2"/>
  <c r="H96" i="2"/>
  <c r="G96" i="2"/>
  <c r="F96" i="2"/>
  <c r="E96" i="2"/>
  <c r="D96" i="2"/>
  <c r="M95" i="2"/>
  <c r="L95" i="2"/>
  <c r="K95" i="2"/>
  <c r="J95" i="2"/>
  <c r="I95" i="2"/>
  <c r="H95" i="2"/>
  <c r="G95" i="2"/>
  <c r="F95" i="2"/>
  <c r="E95" i="2"/>
  <c r="D95" i="2"/>
  <c r="M94" i="2"/>
  <c r="L94" i="2"/>
  <c r="K94" i="2"/>
  <c r="J94" i="2"/>
  <c r="I94" i="2"/>
  <c r="H94" i="2"/>
  <c r="G94" i="2"/>
  <c r="F94" i="2"/>
  <c r="E94" i="2"/>
  <c r="D94" i="2"/>
  <c r="M93" i="2"/>
  <c r="L93" i="2"/>
  <c r="K93" i="2"/>
  <c r="J93" i="2"/>
  <c r="I93" i="2"/>
  <c r="H93" i="2"/>
  <c r="G93" i="2"/>
  <c r="F93" i="2"/>
  <c r="E93" i="2"/>
  <c r="D93" i="2"/>
  <c r="M92" i="2"/>
  <c r="L92" i="2"/>
  <c r="K92" i="2"/>
  <c r="J92" i="2"/>
  <c r="I92" i="2"/>
  <c r="H92" i="2"/>
  <c r="G92" i="2"/>
  <c r="F92" i="2"/>
  <c r="E92" i="2"/>
  <c r="D92" i="2"/>
  <c r="M91" i="2"/>
  <c r="L91" i="2"/>
  <c r="K91" i="2"/>
  <c r="J91" i="2"/>
  <c r="I91" i="2"/>
  <c r="H91" i="2"/>
  <c r="G91" i="2"/>
  <c r="F91" i="2"/>
  <c r="E91" i="2"/>
  <c r="D91" i="2"/>
  <c r="M90" i="2"/>
  <c r="L90" i="2"/>
  <c r="K90" i="2"/>
  <c r="J90" i="2"/>
  <c r="I90" i="2"/>
  <c r="H90" i="2"/>
  <c r="G90" i="2"/>
  <c r="F90" i="2"/>
  <c r="E90" i="2"/>
  <c r="D90" i="2"/>
  <c r="M95" i="11" l="1"/>
  <c r="M53" i="11" s="1"/>
  <c r="M117" i="11"/>
  <c r="M75" i="11" s="1"/>
  <c r="M98" i="11"/>
  <c r="M56" i="11" s="1"/>
  <c r="M112" i="11"/>
  <c r="M70" i="11" s="1"/>
  <c r="G120" i="11"/>
  <c r="G78" i="11" s="1"/>
  <c r="AH13" i="6"/>
  <c r="AI13" i="6" s="1"/>
  <c r="AJ13" i="6" s="1"/>
  <c r="Z13" i="12"/>
  <c r="AA13" i="12" s="1"/>
  <c r="AB13" i="12" s="1"/>
  <c r="Z22" i="12"/>
  <c r="AA22" i="12" s="1"/>
  <c r="AB22" i="12" s="1"/>
  <c r="AH22" i="6"/>
  <c r="AI22" i="6" s="1"/>
  <c r="AJ22" i="6" s="1"/>
  <c r="Z24" i="12"/>
  <c r="AA24" i="12" s="1"/>
  <c r="AB24" i="12" s="1"/>
  <c r="AH24" i="6"/>
  <c r="AI24" i="6" s="1"/>
  <c r="AJ24" i="6" s="1"/>
  <c r="Z40" i="12"/>
  <c r="AA40" i="12" s="1"/>
  <c r="AB40" i="12" s="1"/>
  <c r="AH40" i="6"/>
  <c r="AI40" i="6" s="1"/>
  <c r="AJ40" i="6" s="1"/>
  <c r="AH15" i="6"/>
  <c r="AI15" i="6" s="1"/>
  <c r="AJ15" i="6" s="1"/>
  <c r="Z15" i="12"/>
  <c r="AA15" i="12" s="1"/>
  <c r="AB15" i="12" s="1"/>
  <c r="AH41" i="6"/>
  <c r="AI41" i="6" s="1"/>
  <c r="AJ41" i="6" s="1"/>
  <c r="Z41" i="12"/>
  <c r="AA41" i="12" s="1"/>
  <c r="AB41" i="12" s="1"/>
  <c r="Z20" i="12"/>
  <c r="AA20" i="12" s="1"/>
  <c r="AB20" i="12" s="1"/>
  <c r="AH20" i="6"/>
  <c r="AI20" i="6" s="1"/>
  <c r="AJ20" i="6" s="1"/>
  <c r="Z8" i="12"/>
  <c r="AA8" i="12" s="1"/>
  <c r="AB8" i="12" s="1"/>
  <c r="AH8" i="6"/>
  <c r="AI8" i="6" s="1"/>
  <c r="AJ8" i="6" s="1"/>
  <c r="AH27" i="6"/>
  <c r="AI27" i="6" s="1"/>
  <c r="AJ27" i="6" s="1"/>
  <c r="Z27" i="12"/>
  <c r="AA27" i="12" s="1"/>
  <c r="AB27" i="12" s="1"/>
  <c r="AH35" i="6"/>
  <c r="AI35" i="6" s="1"/>
  <c r="AJ35" i="6" s="1"/>
  <c r="Z35" i="12"/>
  <c r="AA35" i="12" s="1"/>
  <c r="AB35" i="12" s="1"/>
  <c r="AH11" i="6"/>
  <c r="AI11" i="6" s="1"/>
  <c r="AJ11" i="6" s="1"/>
  <c r="Z11" i="12"/>
  <c r="AA11" i="12" s="1"/>
  <c r="AB11" i="12" s="1"/>
  <c r="AH23" i="6"/>
  <c r="AI23" i="6" s="1"/>
  <c r="AJ23" i="6" s="1"/>
  <c r="Z23" i="12"/>
  <c r="AA23" i="12" s="1"/>
  <c r="AB23" i="12" s="1"/>
  <c r="AH29" i="6"/>
  <c r="AI29" i="6" s="1"/>
  <c r="AJ29" i="6" s="1"/>
  <c r="Z29" i="12"/>
  <c r="AA29" i="12" s="1"/>
  <c r="AB29" i="12" s="1"/>
  <c r="AH39" i="6"/>
  <c r="AI39" i="6" s="1"/>
  <c r="AJ39" i="6" s="1"/>
  <c r="Z39" i="12"/>
  <c r="AA39" i="12" s="1"/>
  <c r="AB39" i="12" s="1"/>
  <c r="Z34" i="12"/>
  <c r="AA34" i="12" s="1"/>
  <c r="AB34" i="12" s="1"/>
  <c r="AH34" i="6"/>
  <c r="AI34" i="6" s="1"/>
  <c r="AJ34" i="6" s="1"/>
  <c r="AH31" i="6"/>
  <c r="AI31" i="6" s="1"/>
  <c r="AJ31" i="6" s="1"/>
  <c r="Z31" i="12"/>
  <c r="AA31" i="12" s="1"/>
  <c r="AB31" i="12" s="1"/>
  <c r="Z16" i="12"/>
  <c r="AA16" i="12" s="1"/>
  <c r="AB16" i="12" s="1"/>
  <c r="AH16" i="6"/>
  <c r="AI16" i="6" s="1"/>
  <c r="AJ16" i="6" s="1"/>
  <c r="AH25" i="6"/>
  <c r="AI25" i="6" s="1"/>
  <c r="AJ25" i="6" s="1"/>
  <c r="Z25" i="12"/>
  <c r="AA25" i="12" s="1"/>
  <c r="AB25" i="12" s="1"/>
  <c r="AH19" i="6"/>
  <c r="AI19" i="6" s="1"/>
  <c r="AJ19" i="6" s="1"/>
  <c r="Z19" i="12"/>
  <c r="AA19" i="12" s="1"/>
  <c r="AB19" i="12" s="1"/>
  <c r="Z4" i="12"/>
  <c r="AA4" i="12" s="1"/>
  <c r="AB4" i="12" s="1"/>
  <c r="AH4" i="6"/>
  <c r="Z18" i="12"/>
  <c r="AA18" i="12" s="1"/>
  <c r="AB18" i="12" s="1"/>
  <c r="AH18" i="6"/>
  <c r="AI18" i="6" s="1"/>
  <c r="AJ18" i="6" s="1"/>
  <c r="Z36" i="12"/>
  <c r="AA36" i="12" s="1"/>
  <c r="AB36" i="12" s="1"/>
  <c r="AH36" i="6"/>
  <c r="AI36" i="6" s="1"/>
  <c r="AJ36" i="6" s="1"/>
  <c r="Z12" i="12"/>
  <c r="AA12" i="12" s="1"/>
  <c r="AB12" i="12" s="1"/>
  <c r="AH12" i="6"/>
  <c r="AI12" i="6" s="1"/>
  <c r="AJ12" i="6" s="1"/>
  <c r="Z10" i="12"/>
  <c r="AA10" i="12" s="1"/>
  <c r="AB10" i="12" s="1"/>
  <c r="AH10" i="6"/>
  <c r="AI10" i="6" s="1"/>
  <c r="AJ10" i="6" s="1"/>
  <c r="AH17" i="6"/>
  <c r="AI17" i="6" s="1"/>
  <c r="AJ17" i="6" s="1"/>
  <c r="Z17" i="12"/>
  <c r="AA17" i="12" s="1"/>
  <c r="AB17" i="12" s="1"/>
  <c r="AI4" i="6"/>
  <c r="AJ4" i="6" s="1"/>
  <c r="P43" i="7"/>
  <c r="D147" i="11"/>
  <c r="D135" i="11" s="1"/>
  <c r="H147" i="11"/>
  <c r="H135" i="11" s="1"/>
  <c r="M103" i="11"/>
  <c r="M61" i="11" s="1"/>
  <c r="M115" i="11"/>
  <c r="M73" i="11" s="1"/>
  <c r="M121" i="11"/>
  <c r="M79" i="11" s="1"/>
  <c r="M96" i="11"/>
  <c r="M54" i="11" s="1"/>
  <c r="M100" i="11"/>
  <c r="M58" i="11" s="1"/>
  <c r="M110" i="11"/>
  <c r="M68" i="11" s="1"/>
  <c r="G92" i="11"/>
  <c r="G50" i="11" s="1"/>
  <c r="G97" i="11"/>
  <c r="G55" i="11" s="1"/>
  <c r="C194" i="11"/>
  <c r="M146" i="11"/>
  <c r="M134" i="11" s="1"/>
  <c r="F146" i="11"/>
  <c r="F134" i="11" s="1"/>
  <c r="G107" i="11"/>
  <c r="G65" i="11" s="1"/>
  <c r="G118" i="11"/>
  <c r="G76" i="11" s="1"/>
  <c r="G102" i="11"/>
  <c r="G60" i="11" s="1"/>
  <c r="G123" i="11"/>
  <c r="G81" i="11" s="1"/>
  <c r="G101" i="11"/>
  <c r="G59" i="11" s="1"/>
  <c r="G108" i="11"/>
  <c r="G66" i="11" s="1"/>
  <c r="L146" i="11"/>
  <c r="L134" i="11" s="1"/>
  <c r="F107" i="11"/>
  <c r="F65" i="11" s="1"/>
  <c r="F102" i="11"/>
  <c r="F60" i="11" s="1"/>
  <c r="M107" i="11"/>
  <c r="M65" i="11" s="1"/>
  <c r="M102" i="11"/>
  <c r="M60" i="11" s="1"/>
  <c r="G90" i="11"/>
  <c r="G48" i="11" s="1"/>
  <c r="G116" i="11"/>
  <c r="G74" i="11" s="1"/>
  <c r="G93" i="11"/>
  <c r="G51" i="11" s="1"/>
  <c r="C65" i="8"/>
  <c r="C59" i="8"/>
  <c r="J211" i="9"/>
  <c r="J222" i="9"/>
  <c r="J214" i="9"/>
  <c r="J218" i="9"/>
  <c r="J220" i="9"/>
  <c r="J225" i="9"/>
  <c r="J235" i="9"/>
  <c r="L123" i="11"/>
  <c r="L81" i="11" s="1"/>
  <c r="L107" i="11"/>
  <c r="L65" i="11" s="1"/>
  <c r="L101" i="11"/>
  <c r="L59" i="11" s="1"/>
  <c r="L118" i="11"/>
  <c r="L76" i="11" s="1"/>
  <c r="L108" i="11"/>
  <c r="L66" i="11" s="1"/>
  <c r="L102" i="11"/>
  <c r="L60" i="11" s="1"/>
  <c r="K124" i="11"/>
  <c r="K82" i="11" s="1"/>
  <c r="K122" i="11"/>
  <c r="K80" i="11" s="1"/>
  <c r="K104" i="11"/>
  <c r="K62" i="11" s="1"/>
  <c r="K94" i="11"/>
  <c r="K52" i="11" s="1"/>
  <c r="K119" i="11"/>
  <c r="K77" i="11" s="1"/>
  <c r="K109" i="11"/>
  <c r="K67" i="11" s="1"/>
  <c r="K105" i="11"/>
  <c r="K63" i="11" s="1"/>
  <c r="E99" i="11"/>
  <c r="E57" i="11" s="1"/>
  <c r="E91" i="11"/>
  <c r="E49" i="11" s="1"/>
  <c r="D124" i="11"/>
  <c r="D122" i="11"/>
  <c r="D104" i="11"/>
  <c r="D94" i="11"/>
  <c r="D119" i="11"/>
  <c r="D109" i="11"/>
  <c r="D105" i="11"/>
  <c r="G127" i="11"/>
  <c r="G85" i="11" s="1"/>
  <c r="G121" i="11"/>
  <c r="G79" i="11" s="1"/>
  <c r="G117" i="11"/>
  <c r="G75" i="11" s="1"/>
  <c r="G115" i="11"/>
  <c r="G73" i="11" s="1"/>
  <c r="G113" i="11"/>
  <c r="G71" i="11" s="1"/>
  <c r="G103" i="11"/>
  <c r="G61" i="11" s="1"/>
  <c r="G95" i="11"/>
  <c r="G53" i="11" s="1"/>
  <c r="G126" i="11"/>
  <c r="G84" i="11" s="1"/>
  <c r="G114" i="11"/>
  <c r="G72" i="11" s="1"/>
  <c r="G112" i="11"/>
  <c r="G70" i="11" s="1"/>
  <c r="G110" i="11"/>
  <c r="G68" i="11" s="1"/>
  <c r="G106" i="11"/>
  <c r="G64" i="11" s="1"/>
  <c r="G100" i="11"/>
  <c r="G58" i="11" s="1"/>
  <c r="G98" i="11"/>
  <c r="G56" i="11" s="1"/>
  <c r="G96" i="11"/>
  <c r="G54" i="11" s="1"/>
  <c r="F99" i="11"/>
  <c r="F57" i="11" s="1"/>
  <c r="F91" i="11"/>
  <c r="F49" i="11" s="1"/>
  <c r="K99" i="11"/>
  <c r="K57" i="11" s="1"/>
  <c r="K91" i="11"/>
  <c r="K49" i="11" s="1"/>
  <c r="N125" i="11"/>
  <c r="N83" i="11" s="1"/>
  <c r="N111" i="11"/>
  <c r="N69" i="11" s="1"/>
  <c r="N97" i="11"/>
  <c r="N55" i="11" s="1"/>
  <c r="N93" i="11"/>
  <c r="N51" i="11" s="1"/>
  <c r="N120" i="11"/>
  <c r="N78" i="11" s="1"/>
  <c r="N116" i="11"/>
  <c r="N74" i="11" s="1"/>
  <c r="N92" i="11"/>
  <c r="N50" i="11" s="1"/>
  <c r="N90" i="11"/>
  <c r="N48" i="11" s="1"/>
  <c r="E125" i="11"/>
  <c r="E83" i="11" s="1"/>
  <c r="E111" i="11"/>
  <c r="E69" i="11" s="1"/>
  <c r="E97" i="11"/>
  <c r="E55" i="11" s="1"/>
  <c r="E93" i="11"/>
  <c r="E51" i="11" s="1"/>
  <c r="E120" i="11"/>
  <c r="E78" i="11" s="1"/>
  <c r="E116" i="11"/>
  <c r="E74" i="11" s="1"/>
  <c r="E92" i="11"/>
  <c r="E50" i="11" s="1"/>
  <c r="E90" i="11"/>
  <c r="E48" i="11" s="1"/>
  <c r="D99" i="11"/>
  <c r="D91" i="11"/>
  <c r="G119" i="11"/>
  <c r="G77" i="11" s="1"/>
  <c r="G109" i="11"/>
  <c r="G67" i="11" s="1"/>
  <c r="G105" i="11"/>
  <c r="G63" i="11" s="1"/>
  <c r="G124" i="11"/>
  <c r="G82" i="11" s="1"/>
  <c r="G122" i="11"/>
  <c r="G80" i="11" s="1"/>
  <c r="G104" i="11"/>
  <c r="G62" i="11" s="1"/>
  <c r="G94" i="11"/>
  <c r="G52" i="11" s="1"/>
  <c r="J125" i="11"/>
  <c r="J83" i="11" s="1"/>
  <c r="J111" i="11"/>
  <c r="J69" i="11" s="1"/>
  <c r="J97" i="11"/>
  <c r="J55" i="11" s="1"/>
  <c r="J93" i="11"/>
  <c r="J51" i="11" s="1"/>
  <c r="J120" i="11"/>
  <c r="J78" i="11" s="1"/>
  <c r="J116" i="11"/>
  <c r="J74" i="11" s="1"/>
  <c r="J92" i="11"/>
  <c r="J50" i="11" s="1"/>
  <c r="J90" i="11"/>
  <c r="J48" i="11" s="1"/>
  <c r="H126" i="11"/>
  <c r="H84" i="11" s="1"/>
  <c r="H114" i="11"/>
  <c r="H72" i="11" s="1"/>
  <c r="H112" i="11"/>
  <c r="H70" i="11" s="1"/>
  <c r="H110" i="11"/>
  <c r="H68" i="11" s="1"/>
  <c r="H106" i="11"/>
  <c r="H64" i="11" s="1"/>
  <c r="H100" i="11"/>
  <c r="H58" i="11" s="1"/>
  <c r="H98" i="11"/>
  <c r="H56" i="11" s="1"/>
  <c r="H96" i="11"/>
  <c r="H54" i="11" s="1"/>
  <c r="I135" i="11"/>
  <c r="H127" i="11"/>
  <c r="H85" i="11" s="1"/>
  <c r="H121" i="11"/>
  <c r="H79" i="11" s="1"/>
  <c r="H117" i="11"/>
  <c r="H75" i="11" s="1"/>
  <c r="H115" i="11"/>
  <c r="H73" i="11" s="1"/>
  <c r="H113" i="11"/>
  <c r="H71" i="11" s="1"/>
  <c r="H103" i="11"/>
  <c r="H61" i="11" s="1"/>
  <c r="H95" i="11"/>
  <c r="H53" i="11" s="1"/>
  <c r="L127" i="11"/>
  <c r="L85" i="11" s="1"/>
  <c r="L121" i="11"/>
  <c r="L79" i="11" s="1"/>
  <c r="L117" i="11"/>
  <c r="L75" i="11" s="1"/>
  <c r="L115" i="11"/>
  <c r="L73" i="11" s="1"/>
  <c r="L113" i="11"/>
  <c r="L71" i="11" s="1"/>
  <c r="L103" i="11"/>
  <c r="L61" i="11" s="1"/>
  <c r="L95" i="11"/>
  <c r="L53" i="11" s="1"/>
  <c r="L126" i="11"/>
  <c r="L84" i="11" s="1"/>
  <c r="L114" i="11"/>
  <c r="L72" i="11" s="1"/>
  <c r="L112" i="11"/>
  <c r="L70" i="11" s="1"/>
  <c r="L110" i="11"/>
  <c r="L68" i="11" s="1"/>
  <c r="L106" i="11"/>
  <c r="L64" i="11" s="1"/>
  <c r="L100" i="11"/>
  <c r="L58" i="11" s="1"/>
  <c r="L98" i="11"/>
  <c r="L56" i="11" s="1"/>
  <c r="L96" i="11"/>
  <c r="L54" i="11" s="1"/>
  <c r="E127" i="11"/>
  <c r="E85" i="11" s="1"/>
  <c r="E121" i="11"/>
  <c r="E79" i="11" s="1"/>
  <c r="E117" i="11"/>
  <c r="E75" i="11" s="1"/>
  <c r="E115" i="11"/>
  <c r="E73" i="11" s="1"/>
  <c r="E113" i="11"/>
  <c r="E71" i="11" s="1"/>
  <c r="E103" i="11"/>
  <c r="E61" i="11" s="1"/>
  <c r="E95" i="11"/>
  <c r="E53" i="11" s="1"/>
  <c r="E126" i="11"/>
  <c r="E84" i="11" s="1"/>
  <c r="E114" i="11"/>
  <c r="E72" i="11" s="1"/>
  <c r="E112" i="11"/>
  <c r="E70" i="11" s="1"/>
  <c r="E110" i="11"/>
  <c r="E68" i="11" s="1"/>
  <c r="E106" i="11"/>
  <c r="E64" i="11" s="1"/>
  <c r="E100" i="11"/>
  <c r="E58" i="11" s="1"/>
  <c r="E98" i="11"/>
  <c r="E56" i="11" s="1"/>
  <c r="E96" i="11"/>
  <c r="E54" i="11" s="1"/>
  <c r="F126" i="11"/>
  <c r="F84" i="11" s="1"/>
  <c r="F114" i="11"/>
  <c r="F72" i="11" s="1"/>
  <c r="F112" i="11"/>
  <c r="F70" i="11" s="1"/>
  <c r="F110" i="11"/>
  <c r="F68" i="11" s="1"/>
  <c r="F106" i="11"/>
  <c r="F64" i="11" s="1"/>
  <c r="F100" i="11"/>
  <c r="F58" i="11" s="1"/>
  <c r="F98" i="11"/>
  <c r="F56" i="11" s="1"/>
  <c r="F96" i="11"/>
  <c r="F54" i="11" s="1"/>
  <c r="F127" i="11"/>
  <c r="F85" i="11" s="1"/>
  <c r="F121" i="11"/>
  <c r="F79" i="11" s="1"/>
  <c r="F117" i="11"/>
  <c r="F75" i="11" s="1"/>
  <c r="F115" i="11"/>
  <c r="F73" i="11" s="1"/>
  <c r="F113" i="11"/>
  <c r="F71" i="11" s="1"/>
  <c r="F103" i="11"/>
  <c r="F61" i="11" s="1"/>
  <c r="F95" i="11"/>
  <c r="F53" i="11" s="1"/>
  <c r="K126" i="11"/>
  <c r="K84" i="11" s="1"/>
  <c r="K114" i="11"/>
  <c r="K72" i="11" s="1"/>
  <c r="K112" i="11"/>
  <c r="K70" i="11" s="1"/>
  <c r="K110" i="11"/>
  <c r="K68" i="11" s="1"/>
  <c r="K106" i="11"/>
  <c r="K64" i="11" s="1"/>
  <c r="K100" i="11"/>
  <c r="K58" i="11" s="1"/>
  <c r="K98" i="11"/>
  <c r="K56" i="11" s="1"/>
  <c r="K96" i="11"/>
  <c r="K54" i="11" s="1"/>
  <c r="K127" i="11"/>
  <c r="K85" i="11" s="1"/>
  <c r="K121" i="11"/>
  <c r="K79" i="11" s="1"/>
  <c r="K117" i="11"/>
  <c r="K75" i="11" s="1"/>
  <c r="K115" i="11"/>
  <c r="K73" i="11" s="1"/>
  <c r="K113" i="11"/>
  <c r="K71" i="11" s="1"/>
  <c r="K103" i="11"/>
  <c r="K61" i="11" s="1"/>
  <c r="K95" i="11"/>
  <c r="K53" i="11" s="1"/>
  <c r="I132" i="11"/>
  <c r="H120" i="11"/>
  <c r="H78" i="11" s="1"/>
  <c r="H116" i="11"/>
  <c r="H74" i="11" s="1"/>
  <c r="H92" i="11"/>
  <c r="H50" i="11" s="1"/>
  <c r="H90" i="11"/>
  <c r="H48" i="11" s="1"/>
  <c r="H125" i="11"/>
  <c r="H83" i="11" s="1"/>
  <c r="H111" i="11"/>
  <c r="H69" i="11" s="1"/>
  <c r="H97" i="11"/>
  <c r="H55" i="11" s="1"/>
  <c r="H93" i="11"/>
  <c r="H51" i="11" s="1"/>
  <c r="N127" i="11"/>
  <c r="N85" i="11" s="1"/>
  <c r="N121" i="11"/>
  <c r="N79" i="11" s="1"/>
  <c r="N117" i="11"/>
  <c r="N75" i="11" s="1"/>
  <c r="N115" i="11"/>
  <c r="N73" i="11" s="1"/>
  <c r="N113" i="11"/>
  <c r="N71" i="11" s="1"/>
  <c r="N103" i="11"/>
  <c r="N61" i="11" s="1"/>
  <c r="N95" i="11"/>
  <c r="N53" i="11" s="1"/>
  <c r="N126" i="11"/>
  <c r="N84" i="11" s="1"/>
  <c r="N114" i="11"/>
  <c r="N72" i="11" s="1"/>
  <c r="N112" i="11"/>
  <c r="N70" i="11" s="1"/>
  <c r="N110" i="11"/>
  <c r="N68" i="11" s="1"/>
  <c r="N106" i="11"/>
  <c r="N64" i="11" s="1"/>
  <c r="N100" i="11"/>
  <c r="N58" i="11" s="1"/>
  <c r="N98" i="11"/>
  <c r="N56" i="11" s="1"/>
  <c r="N96" i="11"/>
  <c r="N54" i="11" s="1"/>
  <c r="G99" i="11"/>
  <c r="G57" i="11" s="1"/>
  <c r="G91" i="11"/>
  <c r="G49" i="11" s="1"/>
  <c r="L125" i="11"/>
  <c r="L83" i="11" s="1"/>
  <c r="L111" i="11"/>
  <c r="L69" i="11" s="1"/>
  <c r="L97" i="11"/>
  <c r="L55" i="11" s="1"/>
  <c r="L93" i="11"/>
  <c r="L51" i="11" s="1"/>
  <c r="L120" i="11"/>
  <c r="L78" i="11" s="1"/>
  <c r="L116" i="11"/>
  <c r="L74" i="11" s="1"/>
  <c r="L92" i="11"/>
  <c r="L50" i="11" s="1"/>
  <c r="L90" i="11"/>
  <c r="L48" i="11" s="1"/>
  <c r="L99" i="11"/>
  <c r="L57" i="11" s="1"/>
  <c r="L91" i="11"/>
  <c r="L49" i="11" s="1"/>
  <c r="N99" i="11"/>
  <c r="N57" i="11" s="1"/>
  <c r="N91" i="11"/>
  <c r="N49" i="11" s="1"/>
  <c r="M124" i="11"/>
  <c r="M82" i="11" s="1"/>
  <c r="M122" i="11"/>
  <c r="M80" i="11" s="1"/>
  <c r="M104" i="11"/>
  <c r="M62" i="11" s="1"/>
  <c r="M94" i="11"/>
  <c r="M52" i="11" s="1"/>
  <c r="M119" i="11"/>
  <c r="M77" i="11" s="1"/>
  <c r="M109" i="11"/>
  <c r="M67" i="11" s="1"/>
  <c r="M105" i="11"/>
  <c r="M63" i="11" s="1"/>
  <c r="D120" i="11"/>
  <c r="D116" i="11"/>
  <c r="D92" i="11"/>
  <c r="D90" i="11"/>
  <c r="D125" i="11"/>
  <c r="D111" i="11"/>
  <c r="D97" i="11"/>
  <c r="D93" i="11"/>
  <c r="D118" i="11"/>
  <c r="D108" i="11"/>
  <c r="D102" i="11"/>
  <c r="D123" i="11"/>
  <c r="D107" i="11"/>
  <c r="D101" i="11"/>
  <c r="F120" i="11"/>
  <c r="F78" i="11" s="1"/>
  <c r="F116" i="11"/>
  <c r="F74" i="11" s="1"/>
  <c r="F92" i="11"/>
  <c r="F50" i="11" s="1"/>
  <c r="F90" i="11"/>
  <c r="F48" i="11" s="1"/>
  <c r="F125" i="11"/>
  <c r="F83" i="11" s="1"/>
  <c r="F111" i="11"/>
  <c r="F69" i="11" s="1"/>
  <c r="F97" i="11"/>
  <c r="F55" i="11" s="1"/>
  <c r="F93" i="11"/>
  <c r="F51" i="11" s="1"/>
  <c r="J99" i="11"/>
  <c r="J57" i="11" s="1"/>
  <c r="J91" i="11"/>
  <c r="J49" i="11" s="1"/>
  <c r="N123" i="11"/>
  <c r="N81" i="11" s="1"/>
  <c r="N107" i="11"/>
  <c r="N65" i="11" s="1"/>
  <c r="N101" i="11"/>
  <c r="N59" i="11" s="1"/>
  <c r="N118" i="11"/>
  <c r="N76" i="11" s="1"/>
  <c r="N108" i="11"/>
  <c r="N66" i="11" s="1"/>
  <c r="N102" i="11"/>
  <c r="N60" i="11" s="1"/>
  <c r="E123" i="11"/>
  <c r="E81" i="11" s="1"/>
  <c r="E107" i="11"/>
  <c r="E65" i="11" s="1"/>
  <c r="E101" i="11"/>
  <c r="E59" i="11" s="1"/>
  <c r="E118" i="11"/>
  <c r="E76" i="11" s="1"/>
  <c r="E108" i="11"/>
  <c r="E66" i="11" s="1"/>
  <c r="E102" i="11"/>
  <c r="E60" i="11" s="1"/>
  <c r="M99" i="11"/>
  <c r="M57" i="11" s="1"/>
  <c r="M91" i="11"/>
  <c r="M49" i="11" s="1"/>
  <c r="D126" i="11"/>
  <c r="D114" i="11"/>
  <c r="D112" i="11"/>
  <c r="D110" i="11"/>
  <c r="D106" i="11"/>
  <c r="D100" i="11"/>
  <c r="D98" i="11"/>
  <c r="D96" i="11"/>
  <c r="D127" i="11"/>
  <c r="D121" i="11"/>
  <c r="D117" i="11"/>
  <c r="D115" i="11"/>
  <c r="D113" i="11"/>
  <c r="D103" i="11"/>
  <c r="D95" i="11"/>
  <c r="J123" i="11"/>
  <c r="J81" i="11" s="1"/>
  <c r="J107" i="11"/>
  <c r="J65" i="11" s="1"/>
  <c r="J101" i="11"/>
  <c r="J59" i="11" s="1"/>
  <c r="J118" i="11"/>
  <c r="J76" i="11" s="1"/>
  <c r="J108" i="11"/>
  <c r="J66" i="11" s="1"/>
  <c r="J102" i="11"/>
  <c r="J60" i="11" s="1"/>
  <c r="L119" i="11"/>
  <c r="L77" i="11" s="1"/>
  <c r="L109" i="11"/>
  <c r="L67" i="11" s="1"/>
  <c r="L105" i="11"/>
  <c r="L63" i="11" s="1"/>
  <c r="L124" i="11"/>
  <c r="L82" i="11" s="1"/>
  <c r="L122" i="11"/>
  <c r="L80" i="11" s="1"/>
  <c r="L104" i="11"/>
  <c r="L62" i="11" s="1"/>
  <c r="L94" i="11"/>
  <c r="L52" i="11" s="1"/>
  <c r="I134" i="11"/>
  <c r="H118" i="11"/>
  <c r="H76" i="11" s="1"/>
  <c r="H108" i="11"/>
  <c r="H66" i="11" s="1"/>
  <c r="H102" i="11"/>
  <c r="H60" i="11" s="1"/>
  <c r="H123" i="11"/>
  <c r="H81" i="11" s="1"/>
  <c r="H107" i="11"/>
  <c r="H65" i="11" s="1"/>
  <c r="H101" i="11"/>
  <c r="H59" i="11" s="1"/>
  <c r="K118" i="11"/>
  <c r="K76" i="11" s="1"/>
  <c r="K108" i="11"/>
  <c r="K66" i="11" s="1"/>
  <c r="K102" i="11"/>
  <c r="K60" i="11" s="1"/>
  <c r="K123" i="11"/>
  <c r="K81" i="11" s="1"/>
  <c r="K107" i="11"/>
  <c r="K65" i="11" s="1"/>
  <c r="K101" i="11"/>
  <c r="K59" i="11" s="1"/>
  <c r="M120" i="11"/>
  <c r="M78" i="11" s="1"/>
  <c r="M116" i="11"/>
  <c r="M74" i="11" s="1"/>
  <c r="M92" i="11"/>
  <c r="M50" i="11" s="1"/>
  <c r="M90" i="11"/>
  <c r="M48" i="11" s="1"/>
  <c r="M125" i="11"/>
  <c r="M83" i="11" s="1"/>
  <c r="M111" i="11"/>
  <c r="M69" i="11" s="1"/>
  <c r="M97" i="11"/>
  <c r="M55" i="11" s="1"/>
  <c r="M93" i="11"/>
  <c r="M51" i="11" s="1"/>
  <c r="J127" i="11"/>
  <c r="J85" i="11" s="1"/>
  <c r="J121" i="11"/>
  <c r="J79" i="11" s="1"/>
  <c r="J117" i="11"/>
  <c r="J75" i="11" s="1"/>
  <c r="J115" i="11"/>
  <c r="J73" i="11" s="1"/>
  <c r="J113" i="11"/>
  <c r="J71" i="11" s="1"/>
  <c r="J103" i="11"/>
  <c r="J61" i="11" s="1"/>
  <c r="J95" i="11"/>
  <c r="J53" i="11" s="1"/>
  <c r="J126" i="11"/>
  <c r="J84" i="11" s="1"/>
  <c r="J114" i="11"/>
  <c r="J72" i="11" s="1"/>
  <c r="J112" i="11"/>
  <c r="J70" i="11" s="1"/>
  <c r="J110" i="11"/>
  <c r="J68" i="11" s="1"/>
  <c r="J106" i="11"/>
  <c r="J64" i="11" s="1"/>
  <c r="J100" i="11"/>
  <c r="J58" i="11" s="1"/>
  <c r="J98" i="11"/>
  <c r="J56" i="11" s="1"/>
  <c r="J96" i="11"/>
  <c r="J54" i="11" s="1"/>
  <c r="N119" i="11"/>
  <c r="N77" i="11" s="1"/>
  <c r="N109" i="11"/>
  <c r="N67" i="11" s="1"/>
  <c r="N105" i="11"/>
  <c r="N63" i="11" s="1"/>
  <c r="N124" i="11"/>
  <c r="N82" i="11" s="1"/>
  <c r="N122" i="11"/>
  <c r="N80" i="11" s="1"/>
  <c r="N104" i="11"/>
  <c r="N62" i="11" s="1"/>
  <c r="N94" i="11"/>
  <c r="N52" i="11" s="1"/>
  <c r="J119" i="11"/>
  <c r="J77" i="11" s="1"/>
  <c r="J109" i="11"/>
  <c r="J67" i="11" s="1"/>
  <c r="J105" i="11"/>
  <c r="J63" i="11" s="1"/>
  <c r="J124" i="11"/>
  <c r="J82" i="11" s="1"/>
  <c r="J122" i="11"/>
  <c r="J80" i="11" s="1"/>
  <c r="J104" i="11"/>
  <c r="J62" i="11" s="1"/>
  <c r="J94" i="11"/>
  <c r="J52" i="11" s="1"/>
  <c r="K120" i="11"/>
  <c r="K78" i="11" s="1"/>
  <c r="K116" i="11"/>
  <c r="K74" i="11" s="1"/>
  <c r="K92" i="11"/>
  <c r="K50" i="11" s="1"/>
  <c r="K90" i="11"/>
  <c r="K48" i="11" s="1"/>
  <c r="K125" i="11"/>
  <c r="K83" i="11" s="1"/>
  <c r="K111" i="11"/>
  <c r="K69" i="11" s="1"/>
  <c r="K97" i="11"/>
  <c r="K55" i="11" s="1"/>
  <c r="K93" i="11"/>
  <c r="K51" i="11" s="1"/>
  <c r="F124" i="11"/>
  <c r="F82" i="11" s="1"/>
  <c r="F122" i="11"/>
  <c r="F80" i="11" s="1"/>
  <c r="F104" i="11"/>
  <c r="F62" i="11" s="1"/>
  <c r="F94" i="11"/>
  <c r="F52" i="11" s="1"/>
  <c r="F119" i="11"/>
  <c r="F77" i="11" s="1"/>
  <c r="F109" i="11"/>
  <c r="F67" i="11" s="1"/>
  <c r="F105" i="11"/>
  <c r="F63" i="11" s="1"/>
  <c r="E119" i="11"/>
  <c r="E77" i="11" s="1"/>
  <c r="E109" i="11"/>
  <c r="E67" i="11" s="1"/>
  <c r="E105" i="11"/>
  <c r="E63" i="11" s="1"/>
  <c r="E124" i="11"/>
  <c r="E82" i="11" s="1"/>
  <c r="E122" i="11"/>
  <c r="E80" i="11" s="1"/>
  <c r="E104" i="11"/>
  <c r="E62" i="11" s="1"/>
  <c r="E94" i="11"/>
  <c r="E52" i="11" s="1"/>
  <c r="I119" i="11"/>
  <c r="I77" i="11" s="1"/>
  <c r="I109" i="11"/>
  <c r="I67" i="11" s="1"/>
  <c r="I105" i="11"/>
  <c r="I63" i="11" s="1"/>
  <c r="C133" i="11"/>
  <c r="I124" i="11"/>
  <c r="I82" i="11" s="1"/>
  <c r="I122" i="11"/>
  <c r="I80" i="11" s="1"/>
  <c r="I104" i="11"/>
  <c r="I62" i="11" s="1"/>
  <c r="I94" i="11"/>
  <c r="I52" i="11" s="1"/>
  <c r="I131" i="11"/>
  <c r="H99" i="11"/>
  <c r="H57" i="11" s="1"/>
  <c r="H91" i="11"/>
  <c r="H49" i="11" s="1"/>
  <c r="M127" i="8"/>
  <c r="M85" i="8" s="1"/>
  <c r="M126" i="8"/>
  <c r="M84" i="8" s="1"/>
  <c r="M121" i="8"/>
  <c r="M79" i="8" s="1"/>
  <c r="M117" i="8"/>
  <c r="M75" i="8" s="1"/>
  <c r="M115" i="8"/>
  <c r="M73" i="8" s="1"/>
  <c r="M114" i="8"/>
  <c r="M72" i="8" s="1"/>
  <c r="M113" i="8"/>
  <c r="M71" i="8" s="1"/>
  <c r="M112" i="8"/>
  <c r="M70" i="8" s="1"/>
  <c r="M110" i="8"/>
  <c r="M68" i="8" s="1"/>
  <c r="M106" i="8"/>
  <c r="M64" i="8" s="1"/>
  <c r="M103" i="8"/>
  <c r="M61" i="8" s="1"/>
  <c r="M100" i="8"/>
  <c r="M58" i="8" s="1"/>
  <c r="M96" i="8"/>
  <c r="M54" i="8" s="1"/>
  <c r="M95" i="8"/>
  <c r="M53" i="8" s="1"/>
  <c r="M98" i="8"/>
  <c r="M56" i="8" s="1"/>
  <c r="J127" i="8"/>
  <c r="J85" i="8" s="1"/>
  <c r="J126" i="8"/>
  <c r="J84" i="8" s="1"/>
  <c r="J121" i="8"/>
  <c r="J79" i="8" s="1"/>
  <c r="J117" i="8"/>
  <c r="J75" i="8" s="1"/>
  <c r="J115" i="8"/>
  <c r="J73" i="8" s="1"/>
  <c r="J114" i="8"/>
  <c r="J72" i="8" s="1"/>
  <c r="J113" i="8"/>
  <c r="J71" i="8" s="1"/>
  <c r="J112" i="8"/>
  <c r="J70" i="8" s="1"/>
  <c r="J110" i="8"/>
  <c r="J68" i="8" s="1"/>
  <c r="J106" i="8"/>
  <c r="J64" i="8" s="1"/>
  <c r="J103" i="8"/>
  <c r="J61" i="8" s="1"/>
  <c r="J100" i="8"/>
  <c r="J58" i="8" s="1"/>
  <c r="J98" i="8"/>
  <c r="J56" i="8" s="1"/>
  <c r="J96" i="8"/>
  <c r="J54" i="8" s="1"/>
  <c r="J95" i="8"/>
  <c r="J53" i="8" s="1"/>
  <c r="I135" i="8"/>
  <c r="H127" i="8"/>
  <c r="H85" i="8" s="1"/>
  <c r="H126" i="8"/>
  <c r="H84" i="8" s="1"/>
  <c r="H121" i="8"/>
  <c r="H79" i="8" s="1"/>
  <c r="H117" i="8"/>
  <c r="H75" i="8" s="1"/>
  <c r="H115" i="8"/>
  <c r="H73" i="8" s="1"/>
  <c r="H114" i="8"/>
  <c r="H72" i="8" s="1"/>
  <c r="H113" i="8"/>
  <c r="H71" i="8" s="1"/>
  <c r="H112" i="8"/>
  <c r="H70" i="8" s="1"/>
  <c r="H110" i="8"/>
  <c r="H68" i="8" s="1"/>
  <c r="H106" i="8"/>
  <c r="H64" i="8" s="1"/>
  <c r="H103" i="8"/>
  <c r="H61" i="8" s="1"/>
  <c r="H100" i="8"/>
  <c r="H58" i="8" s="1"/>
  <c r="H98" i="8"/>
  <c r="H56" i="8" s="1"/>
  <c r="H96" i="8"/>
  <c r="H54" i="8" s="1"/>
  <c r="H95" i="8"/>
  <c r="H53" i="8" s="1"/>
  <c r="K127" i="8"/>
  <c r="K85" i="8" s="1"/>
  <c r="K126" i="8"/>
  <c r="K84" i="8" s="1"/>
  <c r="K121" i="8"/>
  <c r="K79" i="8" s="1"/>
  <c r="K117" i="8"/>
  <c r="K75" i="8" s="1"/>
  <c r="K115" i="8"/>
  <c r="K73" i="8" s="1"/>
  <c r="K114" i="8"/>
  <c r="K72" i="8" s="1"/>
  <c r="K113" i="8"/>
  <c r="K71" i="8" s="1"/>
  <c r="K112" i="8"/>
  <c r="K70" i="8" s="1"/>
  <c r="K110" i="8"/>
  <c r="K68" i="8" s="1"/>
  <c r="K106" i="8"/>
  <c r="K64" i="8" s="1"/>
  <c r="K103" i="8"/>
  <c r="K61" i="8" s="1"/>
  <c r="K100" i="8"/>
  <c r="K58" i="8" s="1"/>
  <c r="K98" i="8"/>
  <c r="K56" i="8" s="1"/>
  <c r="K96" i="8"/>
  <c r="K54" i="8" s="1"/>
  <c r="K95" i="8"/>
  <c r="K53" i="8" s="1"/>
  <c r="M124" i="8"/>
  <c r="M82" i="8" s="1"/>
  <c r="M122" i="8"/>
  <c r="M80" i="8" s="1"/>
  <c r="M119" i="8"/>
  <c r="M77" i="8" s="1"/>
  <c r="M109" i="8"/>
  <c r="M67" i="8" s="1"/>
  <c r="M105" i="8"/>
  <c r="M63" i="8" s="1"/>
  <c r="M104" i="8"/>
  <c r="M62" i="8" s="1"/>
  <c r="M94" i="8"/>
  <c r="M52" i="8" s="1"/>
  <c r="G124" i="8"/>
  <c r="G82" i="8" s="1"/>
  <c r="G122" i="8"/>
  <c r="G80" i="8" s="1"/>
  <c r="G119" i="8"/>
  <c r="G77" i="8" s="1"/>
  <c r="G109" i="8"/>
  <c r="G67" i="8" s="1"/>
  <c r="G105" i="8"/>
  <c r="G63" i="8" s="1"/>
  <c r="G104" i="8"/>
  <c r="G62" i="8" s="1"/>
  <c r="G94" i="8"/>
  <c r="G52" i="8" s="1"/>
  <c r="D49" i="8"/>
  <c r="C49" i="8" s="1"/>
  <c r="C91" i="8"/>
  <c r="K86" i="8"/>
  <c r="J86" i="8"/>
  <c r="C132" i="8"/>
  <c r="I125" i="8"/>
  <c r="I83" i="8" s="1"/>
  <c r="I120" i="8"/>
  <c r="I78" i="8" s="1"/>
  <c r="I116" i="8"/>
  <c r="I74" i="8" s="1"/>
  <c r="I111" i="8"/>
  <c r="I69" i="8" s="1"/>
  <c r="I97" i="8"/>
  <c r="I55" i="8" s="1"/>
  <c r="I93" i="8"/>
  <c r="I51" i="8" s="1"/>
  <c r="I92" i="8"/>
  <c r="I50" i="8" s="1"/>
  <c r="I90" i="8"/>
  <c r="I48" i="8" s="1"/>
  <c r="D50" i="8"/>
  <c r="C50" i="8" s="1"/>
  <c r="C92" i="8"/>
  <c r="D55" i="8"/>
  <c r="C97" i="8"/>
  <c r="D74" i="8"/>
  <c r="C74" i="8" s="1"/>
  <c r="C116" i="8"/>
  <c r="D83" i="8"/>
  <c r="C83" i="8" s="1"/>
  <c r="C125" i="8"/>
  <c r="E86" i="8"/>
  <c r="F127" i="8"/>
  <c r="F85" i="8" s="1"/>
  <c r="F126" i="8"/>
  <c r="F84" i="8" s="1"/>
  <c r="F121" i="8"/>
  <c r="F79" i="8" s="1"/>
  <c r="F117" i="8"/>
  <c r="F75" i="8" s="1"/>
  <c r="F115" i="8"/>
  <c r="F73" i="8" s="1"/>
  <c r="F114" i="8"/>
  <c r="F72" i="8" s="1"/>
  <c r="F113" i="8"/>
  <c r="F71" i="8" s="1"/>
  <c r="F112" i="8"/>
  <c r="F70" i="8" s="1"/>
  <c r="F110" i="8"/>
  <c r="F68" i="8" s="1"/>
  <c r="F106" i="8"/>
  <c r="F64" i="8" s="1"/>
  <c r="F103" i="8"/>
  <c r="F61" i="8" s="1"/>
  <c r="F100" i="8"/>
  <c r="F58" i="8" s="1"/>
  <c r="F98" i="8"/>
  <c r="F56" i="8" s="1"/>
  <c r="F96" i="8"/>
  <c r="F54" i="8" s="1"/>
  <c r="F95" i="8"/>
  <c r="F53" i="8" s="1"/>
  <c r="F86" i="8" s="1"/>
  <c r="G127" i="8"/>
  <c r="G85" i="8" s="1"/>
  <c r="G126" i="8"/>
  <c r="G84" i="8" s="1"/>
  <c r="G121" i="8"/>
  <c r="G79" i="8" s="1"/>
  <c r="G117" i="8"/>
  <c r="G75" i="8" s="1"/>
  <c r="G115" i="8"/>
  <c r="G73" i="8" s="1"/>
  <c r="G114" i="8"/>
  <c r="G72" i="8" s="1"/>
  <c r="G113" i="8"/>
  <c r="G71" i="8" s="1"/>
  <c r="G112" i="8"/>
  <c r="G70" i="8" s="1"/>
  <c r="G110" i="8"/>
  <c r="G68" i="8" s="1"/>
  <c r="G106" i="8"/>
  <c r="G64" i="8" s="1"/>
  <c r="G103" i="8"/>
  <c r="G61" i="8" s="1"/>
  <c r="G100" i="8"/>
  <c r="G58" i="8" s="1"/>
  <c r="G98" i="8"/>
  <c r="G56" i="8" s="1"/>
  <c r="G96" i="8"/>
  <c r="G54" i="8" s="1"/>
  <c r="G95" i="8"/>
  <c r="G53" i="8" s="1"/>
  <c r="L127" i="8"/>
  <c r="L85" i="8" s="1"/>
  <c r="L126" i="8"/>
  <c r="L84" i="8" s="1"/>
  <c r="L121" i="8"/>
  <c r="L79" i="8" s="1"/>
  <c r="L117" i="8"/>
  <c r="L75" i="8" s="1"/>
  <c r="L115" i="8"/>
  <c r="L73" i="8" s="1"/>
  <c r="L114" i="8"/>
  <c r="L72" i="8" s="1"/>
  <c r="L113" i="8"/>
  <c r="L71" i="8" s="1"/>
  <c r="L112" i="8"/>
  <c r="L70" i="8" s="1"/>
  <c r="L110" i="8"/>
  <c r="L68" i="8" s="1"/>
  <c r="L106" i="8"/>
  <c r="L64" i="8" s="1"/>
  <c r="L103" i="8"/>
  <c r="L61" i="8" s="1"/>
  <c r="L100" i="8"/>
  <c r="L58" i="8" s="1"/>
  <c r="L98" i="8"/>
  <c r="L56" i="8" s="1"/>
  <c r="L96" i="8"/>
  <c r="L54" i="8" s="1"/>
  <c r="L95" i="8"/>
  <c r="L53" i="8" s="1"/>
  <c r="D127" i="8"/>
  <c r="D126" i="8"/>
  <c r="D121" i="8"/>
  <c r="D117" i="8"/>
  <c r="D115" i="8"/>
  <c r="D114" i="8"/>
  <c r="D113" i="8"/>
  <c r="D112" i="8"/>
  <c r="D110" i="8"/>
  <c r="D106" i="8"/>
  <c r="D103" i="8"/>
  <c r="D100" i="8"/>
  <c r="D98" i="8"/>
  <c r="D96" i="8"/>
  <c r="D95" i="8"/>
  <c r="D124" i="8"/>
  <c r="D122" i="8"/>
  <c r="D119" i="8"/>
  <c r="D109" i="8"/>
  <c r="D105" i="8"/>
  <c r="D104" i="8"/>
  <c r="D94" i="8"/>
  <c r="L124" i="8"/>
  <c r="L82" i="8" s="1"/>
  <c r="L122" i="8"/>
  <c r="L80" i="8" s="1"/>
  <c r="L119" i="8"/>
  <c r="L77" i="8" s="1"/>
  <c r="L109" i="8"/>
  <c r="L67" i="8" s="1"/>
  <c r="L105" i="8"/>
  <c r="L63" i="8" s="1"/>
  <c r="L104" i="8"/>
  <c r="L62" i="8" s="1"/>
  <c r="L94" i="8"/>
  <c r="L52" i="8" s="1"/>
  <c r="I133" i="8"/>
  <c r="H124" i="8"/>
  <c r="H82" i="8" s="1"/>
  <c r="H122" i="8"/>
  <c r="H80" i="8" s="1"/>
  <c r="H119" i="8"/>
  <c r="H77" i="8" s="1"/>
  <c r="H109" i="8"/>
  <c r="H67" i="8" s="1"/>
  <c r="H105" i="8"/>
  <c r="H63" i="8" s="1"/>
  <c r="H104" i="8"/>
  <c r="H62" i="8" s="1"/>
  <c r="H94" i="8"/>
  <c r="H52" i="8" s="1"/>
  <c r="D57" i="8"/>
  <c r="C57" i="8" s="1"/>
  <c r="C99" i="8"/>
  <c r="C55" i="8"/>
  <c r="D48" i="8"/>
  <c r="C90" i="8"/>
  <c r="D51" i="8"/>
  <c r="C51" i="8" s="1"/>
  <c r="C93" i="8"/>
  <c r="D69" i="8"/>
  <c r="C69" i="8" s="1"/>
  <c r="C111" i="8"/>
  <c r="D78" i="8"/>
  <c r="C120" i="8"/>
  <c r="M86" i="8"/>
  <c r="G86" i="8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A82" i="3"/>
  <c r="B82" i="3"/>
  <c r="A83" i="3"/>
  <c r="B83" i="3"/>
  <c r="A84" i="3"/>
  <c r="B84" i="3"/>
  <c r="A85" i="3"/>
  <c r="B85" i="3"/>
  <c r="A86" i="3"/>
  <c r="B86" i="3"/>
  <c r="A91" i="3"/>
  <c r="B91" i="3"/>
  <c r="D91" i="3"/>
  <c r="E91" i="3"/>
  <c r="F91" i="3"/>
  <c r="G91" i="3"/>
  <c r="G49" i="3" s="1"/>
  <c r="H91" i="3"/>
  <c r="H49" i="3" s="1"/>
  <c r="I91" i="3"/>
  <c r="I49" i="3" s="1"/>
  <c r="J91" i="3"/>
  <c r="J49" i="3" s="1"/>
  <c r="K91" i="3"/>
  <c r="K49" i="3" s="1"/>
  <c r="L91" i="3"/>
  <c r="L49" i="3" s="1"/>
  <c r="M91" i="3"/>
  <c r="M49" i="3" s="1"/>
  <c r="A92" i="3"/>
  <c r="B92" i="3"/>
  <c r="D92" i="3"/>
  <c r="E92" i="3"/>
  <c r="F92" i="3"/>
  <c r="G92" i="3"/>
  <c r="G50" i="3" s="1"/>
  <c r="H92" i="3"/>
  <c r="H50" i="3" s="1"/>
  <c r="I92" i="3"/>
  <c r="I50" i="3" s="1"/>
  <c r="J92" i="3"/>
  <c r="J50" i="3" s="1"/>
  <c r="K92" i="3"/>
  <c r="K50" i="3" s="1"/>
  <c r="L92" i="3"/>
  <c r="L50" i="3" s="1"/>
  <c r="M92" i="3"/>
  <c r="M50" i="3" s="1"/>
  <c r="A93" i="3"/>
  <c r="B93" i="3"/>
  <c r="D93" i="3"/>
  <c r="E93" i="3"/>
  <c r="F93" i="3"/>
  <c r="G93" i="3"/>
  <c r="G51" i="3" s="1"/>
  <c r="H93" i="3"/>
  <c r="H51" i="3" s="1"/>
  <c r="I93" i="3"/>
  <c r="I51" i="3" s="1"/>
  <c r="J93" i="3"/>
  <c r="J51" i="3" s="1"/>
  <c r="K93" i="3"/>
  <c r="K51" i="3" s="1"/>
  <c r="L93" i="3"/>
  <c r="L51" i="3" s="1"/>
  <c r="M93" i="3"/>
  <c r="M51" i="3" s="1"/>
  <c r="A94" i="3"/>
  <c r="B94" i="3"/>
  <c r="D94" i="3"/>
  <c r="E94" i="3"/>
  <c r="F94" i="3"/>
  <c r="G94" i="3"/>
  <c r="G52" i="3" s="1"/>
  <c r="H94" i="3"/>
  <c r="H52" i="3" s="1"/>
  <c r="I94" i="3"/>
  <c r="I52" i="3" s="1"/>
  <c r="J94" i="3"/>
  <c r="J52" i="3" s="1"/>
  <c r="K94" i="3"/>
  <c r="K52" i="3" s="1"/>
  <c r="L94" i="3"/>
  <c r="L52" i="3" s="1"/>
  <c r="M94" i="3"/>
  <c r="M52" i="3" s="1"/>
  <c r="A95" i="3"/>
  <c r="B95" i="3"/>
  <c r="D95" i="3"/>
  <c r="E95" i="3"/>
  <c r="F95" i="3"/>
  <c r="G95" i="3"/>
  <c r="G53" i="3" s="1"/>
  <c r="H95" i="3"/>
  <c r="H53" i="3" s="1"/>
  <c r="I95" i="3"/>
  <c r="I53" i="3" s="1"/>
  <c r="J95" i="3"/>
  <c r="J53" i="3" s="1"/>
  <c r="K95" i="3"/>
  <c r="K53" i="3" s="1"/>
  <c r="L95" i="3"/>
  <c r="L53" i="3" s="1"/>
  <c r="M95" i="3"/>
  <c r="M53" i="3" s="1"/>
  <c r="A96" i="3"/>
  <c r="B96" i="3"/>
  <c r="D96" i="3"/>
  <c r="E96" i="3"/>
  <c r="F96" i="3"/>
  <c r="G96" i="3"/>
  <c r="G54" i="3" s="1"/>
  <c r="H96" i="3"/>
  <c r="H54" i="3" s="1"/>
  <c r="I96" i="3"/>
  <c r="I54" i="3" s="1"/>
  <c r="J96" i="3"/>
  <c r="J54" i="3" s="1"/>
  <c r="K96" i="3"/>
  <c r="K54" i="3" s="1"/>
  <c r="L96" i="3"/>
  <c r="L54" i="3" s="1"/>
  <c r="M96" i="3"/>
  <c r="M54" i="3" s="1"/>
  <c r="A97" i="3"/>
  <c r="B97" i="3"/>
  <c r="D97" i="3"/>
  <c r="E97" i="3"/>
  <c r="F97" i="3"/>
  <c r="G97" i="3"/>
  <c r="G55" i="3" s="1"/>
  <c r="H97" i="3"/>
  <c r="H55" i="3" s="1"/>
  <c r="I97" i="3"/>
  <c r="I55" i="3" s="1"/>
  <c r="J97" i="3"/>
  <c r="J55" i="3" s="1"/>
  <c r="K97" i="3"/>
  <c r="K55" i="3" s="1"/>
  <c r="L97" i="3"/>
  <c r="L55" i="3" s="1"/>
  <c r="M97" i="3"/>
  <c r="M55" i="3" s="1"/>
  <c r="A98" i="3"/>
  <c r="B98" i="3"/>
  <c r="D98" i="3"/>
  <c r="E98" i="3"/>
  <c r="F98" i="3"/>
  <c r="G98" i="3"/>
  <c r="G56" i="3" s="1"/>
  <c r="H98" i="3"/>
  <c r="H56" i="3" s="1"/>
  <c r="I98" i="3"/>
  <c r="I56" i="3" s="1"/>
  <c r="J98" i="3"/>
  <c r="J56" i="3" s="1"/>
  <c r="K98" i="3"/>
  <c r="K56" i="3" s="1"/>
  <c r="L98" i="3"/>
  <c r="L56" i="3" s="1"/>
  <c r="M98" i="3"/>
  <c r="M56" i="3" s="1"/>
  <c r="A99" i="3"/>
  <c r="B99" i="3"/>
  <c r="D99" i="3"/>
  <c r="E99" i="3"/>
  <c r="F99" i="3"/>
  <c r="G99" i="3"/>
  <c r="G57" i="3" s="1"/>
  <c r="H99" i="3"/>
  <c r="H57" i="3" s="1"/>
  <c r="I99" i="3"/>
  <c r="I57" i="3" s="1"/>
  <c r="J99" i="3"/>
  <c r="J57" i="3" s="1"/>
  <c r="K99" i="3"/>
  <c r="K57" i="3" s="1"/>
  <c r="L99" i="3"/>
  <c r="L57" i="3" s="1"/>
  <c r="M99" i="3"/>
  <c r="M57" i="3" s="1"/>
  <c r="A100" i="3"/>
  <c r="B100" i="3"/>
  <c r="D100" i="3"/>
  <c r="E100" i="3"/>
  <c r="F100" i="3"/>
  <c r="G100" i="3"/>
  <c r="G58" i="3" s="1"/>
  <c r="H100" i="3"/>
  <c r="H58" i="3" s="1"/>
  <c r="I100" i="3"/>
  <c r="I58" i="3" s="1"/>
  <c r="J100" i="3"/>
  <c r="J58" i="3" s="1"/>
  <c r="K100" i="3"/>
  <c r="K58" i="3" s="1"/>
  <c r="L100" i="3"/>
  <c r="L58" i="3" s="1"/>
  <c r="M100" i="3"/>
  <c r="M58" i="3" s="1"/>
  <c r="A101" i="3"/>
  <c r="B101" i="3"/>
  <c r="D101" i="3"/>
  <c r="E101" i="3"/>
  <c r="F101" i="3"/>
  <c r="G101" i="3"/>
  <c r="G59" i="3" s="1"/>
  <c r="H101" i="3"/>
  <c r="H59" i="3" s="1"/>
  <c r="I101" i="3"/>
  <c r="I59" i="3" s="1"/>
  <c r="J101" i="3"/>
  <c r="J59" i="3" s="1"/>
  <c r="K101" i="3"/>
  <c r="K59" i="3" s="1"/>
  <c r="L101" i="3"/>
  <c r="L59" i="3" s="1"/>
  <c r="M101" i="3"/>
  <c r="M59" i="3" s="1"/>
  <c r="A102" i="3"/>
  <c r="B102" i="3"/>
  <c r="D102" i="3"/>
  <c r="E102" i="3"/>
  <c r="F102" i="3"/>
  <c r="G102" i="3"/>
  <c r="G60" i="3" s="1"/>
  <c r="H102" i="3"/>
  <c r="H60" i="3" s="1"/>
  <c r="I102" i="3"/>
  <c r="I60" i="3" s="1"/>
  <c r="J102" i="3"/>
  <c r="J60" i="3" s="1"/>
  <c r="K102" i="3"/>
  <c r="K60" i="3" s="1"/>
  <c r="L102" i="3"/>
  <c r="L60" i="3" s="1"/>
  <c r="M102" i="3"/>
  <c r="M60" i="3" s="1"/>
  <c r="A103" i="3"/>
  <c r="B103" i="3"/>
  <c r="D103" i="3"/>
  <c r="E103" i="3"/>
  <c r="F103" i="3"/>
  <c r="G103" i="3"/>
  <c r="G61" i="3" s="1"/>
  <c r="H103" i="3"/>
  <c r="H61" i="3" s="1"/>
  <c r="I103" i="3"/>
  <c r="I61" i="3" s="1"/>
  <c r="J103" i="3"/>
  <c r="J61" i="3" s="1"/>
  <c r="K103" i="3"/>
  <c r="K61" i="3" s="1"/>
  <c r="L103" i="3"/>
  <c r="L61" i="3" s="1"/>
  <c r="M103" i="3"/>
  <c r="M61" i="3" s="1"/>
  <c r="A104" i="3"/>
  <c r="B104" i="3"/>
  <c r="D104" i="3"/>
  <c r="F104" i="3"/>
  <c r="G104" i="3"/>
  <c r="G62" i="3" s="1"/>
  <c r="H104" i="3"/>
  <c r="H62" i="3" s="1"/>
  <c r="I104" i="3"/>
  <c r="I62" i="3" s="1"/>
  <c r="J104" i="3"/>
  <c r="J62" i="3" s="1"/>
  <c r="K104" i="3"/>
  <c r="K62" i="3" s="1"/>
  <c r="L104" i="3"/>
  <c r="L62" i="3" s="1"/>
  <c r="M104" i="3"/>
  <c r="M62" i="3" s="1"/>
  <c r="A105" i="3"/>
  <c r="B105" i="3"/>
  <c r="D105" i="3"/>
  <c r="E105" i="3"/>
  <c r="F105" i="3"/>
  <c r="G105" i="3"/>
  <c r="G63" i="3" s="1"/>
  <c r="H105" i="3"/>
  <c r="H63" i="3" s="1"/>
  <c r="I105" i="3"/>
  <c r="I63" i="3" s="1"/>
  <c r="J105" i="3"/>
  <c r="J63" i="3" s="1"/>
  <c r="K105" i="3"/>
  <c r="K63" i="3" s="1"/>
  <c r="L105" i="3"/>
  <c r="L63" i="3" s="1"/>
  <c r="M105" i="3"/>
  <c r="M63" i="3" s="1"/>
  <c r="A106" i="3"/>
  <c r="B106" i="3"/>
  <c r="D106" i="3"/>
  <c r="E106" i="3"/>
  <c r="F106" i="3"/>
  <c r="G106" i="3"/>
  <c r="G64" i="3" s="1"/>
  <c r="H106" i="3"/>
  <c r="H64" i="3" s="1"/>
  <c r="I106" i="3"/>
  <c r="I64" i="3" s="1"/>
  <c r="J106" i="3"/>
  <c r="J64" i="3" s="1"/>
  <c r="K106" i="3"/>
  <c r="K64" i="3" s="1"/>
  <c r="L106" i="3"/>
  <c r="L64" i="3" s="1"/>
  <c r="M106" i="3"/>
  <c r="M64" i="3" s="1"/>
  <c r="A107" i="3"/>
  <c r="B107" i="3"/>
  <c r="D107" i="3"/>
  <c r="F107" i="3"/>
  <c r="G107" i="3"/>
  <c r="G65" i="3" s="1"/>
  <c r="H107" i="3"/>
  <c r="H65" i="3" s="1"/>
  <c r="I107" i="3"/>
  <c r="I65" i="3" s="1"/>
  <c r="J107" i="3"/>
  <c r="J65" i="3" s="1"/>
  <c r="K107" i="3"/>
  <c r="K65" i="3" s="1"/>
  <c r="L107" i="3"/>
  <c r="L65" i="3" s="1"/>
  <c r="M107" i="3"/>
  <c r="M65" i="3" s="1"/>
  <c r="A108" i="3"/>
  <c r="B108" i="3"/>
  <c r="D108" i="3"/>
  <c r="E108" i="3"/>
  <c r="F108" i="3"/>
  <c r="G108" i="3"/>
  <c r="G66" i="3" s="1"/>
  <c r="H108" i="3"/>
  <c r="H66" i="3" s="1"/>
  <c r="I108" i="3"/>
  <c r="I66" i="3" s="1"/>
  <c r="J108" i="3"/>
  <c r="J66" i="3" s="1"/>
  <c r="K108" i="3"/>
  <c r="K66" i="3" s="1"/>
  <c r="L108" i="3"/>
  <c r="L66" i="3" s="1"/>
  <c r="M108" i="3"/>
  <c r="M66" i="3" s="1"/>
  <c r="A109" i="3"/>
  <c r="B109" i="3"/>
  <c r="D109" i="3"/>
  <c r="E109" i="3"/>
  <c r="F109" i="3"/>
  <c r="G109" i="3"/>
  <c r="G67" i="3" s="1"/>
  <c r="H109" i="3"/>
  <c r="H67" i="3" s="1"/>
  <c r="I109" i="3"/>
  <c r="I67" i="3" s="1"/>
  <c r="J109" i="3"/>
  <c r="J67" i="3" s="1"/>
  <c r="K109" i="3"/>
  <c r="K67" i="3" s="1"/>
  <c r="L109" i="3"/>
  <c r="L67" i="3" s="1"/>
  <c r="M109" i="3"/>
  <c r="M67" i="3" s="1"/>
  <c r="A110" i="3"/>
  <c r="B110" i="3"/>
  <c r="D110" i="3"/>
  <c r="E110" i="3"/>
  <c r="F110" i="3"/>
  <c r="G110" i="3"/>
  <c r="G68" i="3" s="1"/>
  <c r="H110" i="3"/>
  <c r="H68" i="3" s="1"/>
  <c r="I110" i="3"/>
  <c r="I68" i="3" s="1"/>
  <c r="J110" i="3"/>
  <c r="J68" i="3" s="1"/>
  <c r="K110" i="3"/>
  <c r="K68" i="3" s="1"/>
  <c r="L110" i="3"/>
  <c r="L68" i="3" s="1"/>
  <c r="M110" i="3"/>
  <c r="M68" i="3" s="1"/>
  <c r="A111" i="3"/>
  <c r="B111" i="3"/>
  <c r="D111" i="3"/>
  <c r="E111" i="3"/>
  <c r="F111" i="3"/>
  <c r="G111" i="3"/>
  <c r="G69" i="3" s="1"/>
  <c r="H111" i="3"/>
  <c r="H69" i="3" s="1"/>
  <c r="I111" i="3"/>
  <c r="I69" i="3" s="1"/>
  <c r="J111" i="3"/>
  <c r="J69" i="3" s="1"/>
  <c r="K111" i="3"/>
  <c r="K69" i="3" s="1"/>
  <c r="L111" i="3"/>
  <c r="L69" i="3" s="1"/>
  <c r="M111" i="3"/>
  <c r="M69" i="3" s="1"/>
  <c r="A112" i="3"/>
  <c r="B112" i="3"/>
  <c r="D112" i="3"/>
  <c r="E112" i="3"/>
  <c r="F112" i="3"/>
  <c r="G112" i="3"/>
  <c r="G70" i="3" s="1"/>
  <c r="H112" i="3"/>
  <c r="H70" i="3" s="1"/>
  <c r="I112" i="3"/>
  <c r="I70" i="3" s="1"/>
  <c r="J112" i="3"/>
  <c r="J70" i="3" s="1"/>
  <c r="K112" i="3"/>
  <c r="K70" i="3" s="1"/>
  <c r="L112" i="3"/>
  <c r="L70" i="3" s="1"/>
  <c r="M112" i="3"/>
  <c r="M70" i="3" s="1"/>
  <c r="A113" i="3"/>
  <c r="B113" i="3"/>
  <c r="D113" i="3"/>
  <c r="E113" i="3"/>
  <c r="F113" i="3"/>
  <c r="G113" i="3"/>
  <c r="G71" i="3" s="1"/>
  <c r="H113" i="3"/>
  <c r="H71" i="3" s="1"/>
  <c r="I113" i="3"/>
  <c r="I71" i="3" s="1"/>
  <c r="J113" i="3"/>
  <c r="J71" i="3" s="1"/>
  <c r="K113" i="3"/>
  <c r="K71" i="3" s="1"/>
  <c r="L113" i="3"/>
  <c r="L71" i="3" s="1"/>
  <c r="M113" i="3"/>
  <c r="M71" i="3" s="1"/>
  <c r="A114" i="3"/>
  <c r="B114" i="3"/>
  <c r="D114" i="3"/>
  <c r="E114" i="3"/>
  <c r="F114" i="3"/>
  <c r="G114" i="3"/>
  <c r="G72" i="3" s="1"/>
  <c r="H114" i="3"/>
  <c r="H72" i="3" s="1"/>
  <c r="I114" i="3"/>
  <c r="I72" i="3" s="1"/>
  <c r="J114" i="3"/>
  <c r="J72" i="3" s="1"/>
  <c r="K114" i="3"/>
  <c r="K72" i="3" s="1"/>
  <c r="L114" i="3"/>
  <c r="L72" i="3" s="1"/>
  <c r="M114" i="3"/>
  <c r="M72" i="3" s="1"/>
  <c r="A115" i="3"/>
  <c r="B115" i="3"/>
  <c r="D115" i="3"/>
  <c r="E115" i="3"/>
  <c r="F115" i="3"/>
  <c r="G115" i="3"/>
  <c r="G73" i="3" s="1"/>
  <c r="H115" i="3"/>
  <c r="H73" i="3" s="1"/>
  <c r="I115" i="3"/>
  <c r="I73" i="3" s="1"/>
  <c r="J115" i="3"/>
  <c r="J73" i="3" s="1"/>
  <c r="K115" i="3"/>
  <c r="K73" i="3" s="1"/>
  <c r="L115" i="3"/>
  <c r="L73" i="3" s="1"/>
  <c r="M115" i="3"/>
  <c r="M73" i="3" s="1"/>
  <c r="A116" i="3"/>
  <c r="B116" i="3"/>
  <c r="D116" i="3"/>
  <c r="E116" i="3"/>
  <c r="F116" i="3"/>
  <c r="G116" i="3"/>
  <c r="G74" i="3" s="1"/>
  <c r="H116" i="3"/>
  <c r="H74" i="3" s="1"/>
  <c r="I116" i="3"/>
  <c r="I74" i="3" s="1"/>
  <c r="J116" i="3"/>
  <c r="J74" i="3" s="1"/>
  <c r="K116" i="3"/>
  <c r="K74" i="3" s="1"/>
  <c r="L116" i="3"/>
  <c r="L74" i="3" s="1"/>
  <c r="M116" i="3"/>
  <c r="M74" i="3" s="1"/>
  <c r="A117" i="3"/>
  <c r="B117" i="3"/>
  <c r="D117" i="3"/>
  <c r="E117" i="3"/>
  <c r="G117" i="3"/>
  <c r="G75" i="3" s="1"/>
  <c r="H117" i="3"/>
  <c r="H75" i="3" s="1"/>
  <c r="I117" i="3"/>
  <c r="I75" i="3" s="1"/>
  <c r="J117" i="3"/>
  <c r="J75" i="3" s="1"/>
  <c r="K117" i="3"/>
  <c r="K75" i="3" s="1"/>
  <c r="L117" i="3"/>
  <c r="L75" i="3" s="1"/>
  <c r="M117" i="3"/>
  <c r="M75" i="3" s="1"/>
  <c r="A118" i="3"/>
  <c r="B118" i="3"/>
  <c r="D118" i="3"/>
  <c r="F118" i="3"/>
  <c r="G118" i="3"/>
  <c r="G76" i="3" s="1"/>
  <c r="H118" i="3"/>
  <c r="H76" i="3" s="1"/>
  <c r="I118" i="3"/>
  <c r="I76" i="3" s="1"/>
  <c r="J118" i="3"/>
  <c r="J76" i="3" s="1"/>
  <c r="K118" i="3"/>
  <c r="K76" i="3" s="1"/>
  <c r="L118" i="3"/>
  <c r="L76" i="3" s="1"/>
  <c r="M118" i="3"/>
  <c r="M76" i="3" s="1"/>
  <c r="A119" i="3"/>
  <c r="B119" i="3"/>
  <c r="D119" i="3"/>
  <c r="E119" i="3"/>
  <c r="F119" i="3"/>
  <c r="G119" i="3"/>
  <c r="G77" i="3" s="1"/>
  <c r="H119" i="3"/>
  <c r="H77" i="3" s="1"/>
  <c r="I119" i="3"/>
  <c r="I77" i="3" s="1"/>
  <c r="J119" i="3"/>
  <c r="J77" i="3" s="1"/>
  <c r="K119" i="3"/>
  <c r="K77" i="3" s="1"/>
  <c r="L119" i="3"/>
  <c r="L77" i="3" s="1"/>
  <c r="M119" i="3"/>
  <c r="M77" i="3" s="1"/>
  <c r="A120" i="3"/>
  <c r="B120" i="3"/>
  <c r="D120" i="3"/>
  <c r="E120" i="3"/>
  <c r="F120" i="3"/>
  <c r="G120" i="3"/>
  <c r="G78" i="3" s="1"/>
  <c r="H120" i="3"/>
  <c r="H78" i="3" s="1"/>
  <c r="I120" i="3"/>
  <c r="I78" i="3" s="1"/>
  <c r="J120" i="3"/>
  <c r="J78" i="3" s="1"/>
  <c r="K120" i="3"/>
  <c r="K78" i="3" s="1"/>
  <c r="L120" i="3"/>
  <c r="L78" i="3" s="1"/>
  <c r="M120" i="3"/>
  <c r="M78" i="3" s="1"/>
  <c r="A121" i="3"/>
  <c r="B121" i="3"/>
  <c r="D121" i="3"/>
  <c r="E121" i="3"/>
  <c r="F121" i="3"/>
  <c r="G121" i="3"/>
  <c r="G79" i="3" s="1"/>
  <c r="H121" i="3"/>
  <c r="H79" i="3" s="1"/>
  <c r="I121" i="3"/>
  <c r="I79" i="3" s="1"/>
  <c r="J121" i="3"/>
  <c r="J79" i="3" s="1"/>
  <c r="K121" i="3"/>
  <c r="K79" i="3" s="1"/>
  <c r="L121" i="3"/>
  <c r="L79" i="3" s="1"/>
  <c r="M121" i="3"/>
  <c r="M79" i="3" s="1"/>
  <c r="A122" i="3"/>
  <c r="B122" i="3"/>
  <c r="D122" i="3"/>
  <c r="E122" i="3"/>
  <c r="F122" i="3"/>
  <c r="G122" i="3"/>
  <c r="G80" i="3" s="1"/>
  <c r="H122" i="3"/>
  <c r="H80" i="3" s="1"/>
  <c r="I122" i="3"/>
  <c r="I80" i="3" s="1"/>
  <c r="J122" i="3"/>
  <c r="J80" i="3" s="1"/>
  <c r="K122" i="3"/>
  <c r="K80" i="3" s="1"/>
  <c r="L122" i="3"/>
  <c r="L80" i="3" s="1"/>
  <c r="M122" i="3"/>
  <c r="M80" i="3" s="1"/>
  <c r="A123" i="3"/>
  <c r="B123" i="3"/>
  <c r="D123" i="3"/>
  <c r="E123" i="3"/>
  <c r="F123" i="3"/>
  <c r="G123" i="3"/>
  <c r="G81" i="3" s="1"/>
  <c r="H123" i="3"/>
  <c r="H81" i="3" s="1"/>
  <c r="I123" i="3"/>
  <c r="I81" i="3" s="1"/>
  <c r="J123" i="3"/>
  <c r="J81" i="3" s="1"/>
  <c r="K123" i="3"/>
  <c r="K81" i="3" s="1"/>
  <c r="L123" i="3"/>
  <c r="L81" i="3" s="1"/>
  <c r="M123" i="3"/>
  <c r="M81" i="3" s="1"/>
  <c r="A124" i="3"/>
  <c r="B124" i="3"/>
  <c r="D124" i="3"/>
  <c r="E124" i="3"/>
  <c r="F124" i="3"/>
  <c r="G124" i="3"/>
  <c r="G82" i="3" s="1"/>
  <c r="H124" i="3"/>
  <c r="H82" i="3" s="1"/>
  <c r="I124" i="3"/>
  <c r="I82" i="3" s="1"/>
  <c r="J124" i="3"/>
  <c r="J82" i="3" s="1"/>
  <c r="K124" i="3"/>
  <c r="K82" i="3" s="1"/>
  <c r="L124" i="3"/>
  <c r="L82" i="3" s="1"/>
  <c r="M124" i="3"/>
  <c r="M82" i="3" s="1"/>
  <c r="A125" i="3"/>
  <c r="B125" i="3"/>
  <c r="D125" i="3"/>
  <c r="E125" i="3"/>
  <c r="F125" i="3"/>
  <c r="G125" i="3"/>
  <c r="G83" i="3" s="1"/>
  <c r="H125" i="3"/>
  <c r="H83" i="3" s="1"/>
  <c r="I125" i="3"/>
  <c r="I83" i="3" s="1"/>
  <c r="J125" i="3"/>
  <c r="J83" i="3" s="1"/>
  <c r="K125" i="3"/>
  <c r="K83" i="3" s="1"/>
  <c r="L125" i="3"/>
  <c r="L83" i="3" s="1"/>
  <c r="M125" i="3"/>
  <c r="M83" i="3" s="1"/>
  <c r="A126" i="3"/>
  <c r="B126" i="3"/>
  <c r="D126" i="3"/>
  <c r="E126" i="3"/>
  <c r="F126" i="3"/>
  <c r="G126" i="3"/>
  <c r="G84" i="3" s="1"/>
  <c r="H126" i="3"/>
  <c r="H84" i="3" s="1"/>
  <c r="I126" i="3"/>
  <c r="I84" i="3" s="1"/>
  <c r="J126" i="3"/>
  <c r="J84" i="3" s="1"/>
  <c r="K126" i="3"/>
  <c r="K84" i="3" s="1"/>
  <c r="L126" i="3"/>
  <c r="L84" i="3" s="1"/>
  <c r="M126" i="3"/>
  <c r="M84" i="3" s="1"/>
  <c r="A127" i="3"/>
  <c r="B127" i="3"/>
  <c r="D127" i="3"/>
  <c r="E127" i="3"/>
  <c r="F127" i="3"/>
  <c r="G127" i="3"/>
  <c r="G85" i="3" s="1"/>
  <c r="H127" i="3"/>
  <c r="H85" i="3" s="1"/>
  <c r="I127" i="3"/>
  <c r="I85" i="3" s="1"/>
  <c r="J127" i="3"/>
  <c r="J85" i="3" s="1"/>
  <c r="K127" i="3"/>
  <c r="K85" i="3" s="1"/>
  <c r="L127" i="3"/>
  <c r="L85" i="3" s="1"/>
  <c r="M127" i="3"/>
  <c r="M85" i="3" s="1"/>
  <c r="A128" i="3"/>
  <c r="B128" i="3"/>
  <c r="D128" i="3"/>
  <c r="E128" i="3"/>
  <c r="F128" i="3"/>
  <c r="G128" i="3"/>
  <c r="G86" i="3" s="1"/>
  <c r="H128" i="3"/>
  <c r="H86" i="3" s="1"/>
  <c r="I128" i="3"/>
  <c r="I86" i="3" s="1"/>
  <c r="J128" i="3"/>
  <c r="J86" i="3" s="1"/>
  <c r="K128" i="3"/>
  <c r="K86" i="3" s="1"/>
  <c r="L128" i="3"/>
  <c r="L86" i="3" s="1"/>
  <c r="M128" i="3"/>
  <c r="M86" i="3" s="1"/>
  <c r="D129" i="3"/>
  <c r="H129" i="3"/>
  <c r="J129" i="3"/>
  <c r="L129" i="3"/>
  <c r="A133" i="3"/>
  <c r="B133" i="3"/>
  <c r="A134" i="3"/>
  <c r="B134" i="3"/>
  <c r="A135" i="3"/>
  <c r="B135" i="3"/>
  <c r="A136" i="3"/>
  <c r="B136" i="3"/>
  <c r="A137" i="3"/>
  <c r="B137" i="3"/>
  <c r="A138" i="3"/>
  <c r="B138" i="3"/>
  <c r="A139" i="3"/>
  <c r="B139" i="3"/>
  <c r="A140" i="3"/>
  <c r="B140" i="3"/>
  <c r="A141" i="3"/>
  <c r="B141" i="3"/>
  <c r="A142" i="3"/>
  <c r="B142" i="3"/>
  <c r="A143" i="3"/>
  <c r="B143" i="3"/>
  <c r="A144" i="3"/>
  <c r="B144" i="3"/>
  <c r="A145" i="3"/>
  <c r="B145" i="3"/>
  <c r="A146" i="3"/>
  <c r="B146" i="3"/>
  <c r="E146" i="3"/>
  <c r="E104" i="3" s="1"/>
  <c r="A147" i="3"/>
  <c r="B147" i="3"/>
  <c r="A148" i="3"/>
  <c r="B148" i="3"/>
  <c r="A149" i="3"/>
  <c r="B149" i="3"/>
  <c r="E149" i="3"/>
  <c r="E107" i="3" s="1"/>
  <c r="A150" i="3"/>
  <c r="B150" i="3"/>
  <c r="A151" i="3"/>
  <c r="B151" i="3"/>
  <c r="A152" i="3"/>
  <c r="B152" i="3"/>
  <c r="A153" i="3"/>
  <c r="B153" i="3"/>
  <c r="A154" i="3"/>
  <c r="B154" i="3"/>
  <c r="A155" i="3"/>
  <c r="B155" i="3"/>
  <c r="A156" i="3"/>
  <c r="B156" i="3"/>
  <c r="A157" i="3"/>
  <c r="B157" i="3"/>
  <c r="A158" i="3"/>
  <c r="B158" i="3"/>
  <c r="A159" i="3"/>
  <c r="B159" i="3"/>
  <c r="A160" i="3"/>
  <c r="B160" i="3"/>
  <c r="E160" i="3"/>
  <c r="E118" i="3" s="1"/>
  <c r="A161" i="3"/>
  <c r="A203" i="3" s="1"/>
  <c r="A245" i="3" s="1"/>
  <c r="B161" i="3"/>
  <c r="A162" i="3"/>
  <c r="B162" i="3"/>
  <c r="A163" i="3"/>
  <c r="B163" i="3"/>
  <c r="A164" i="3"/>
  <c r="B164" i="3"/>
  <c r="A165" i="3"/>
  <c r="B165" i="3"/>
  <c r="A166" i="3"/>
  <c r="B166" i="3"/>
  <c r="A167" i="3"/>
  <c r="B167" i="3"/>
  <c r="A168" i="3"/>
  <c r="B168" i="3"/>
  <c r="A169" i="3"/>
  <c r="B169" i="3"/>
  <c r="A170" i="3"/>
  <c r="B170" i="3"/>
  <c r="D171" i="3"/>
  <c r="F171" i="3"/>
  <c r="G171" i="3"/>
  <c r="H171" i="3"/>
  <c r="I171" i="3"/>
  <c r="J171" i="3"/>
  <c r="K171" i="3"/>
  <c r="L171" i="3"/>
  <c r="M171" i="3"/>
  <c r="A175" i="3"/>
  <c r="B175" i="3"/>
  <c r="A176" i="3"/>
  <c r="B176" i="3"/>
  <c r="A177" i="3"/>
  <c r="B177" i="3"/>
  <c r="A178" i="3"/>
  <c r="B178" i="3"/>
  <c r="A179" i="3"/>
  <c r="B179" i="3"/>
  <c r="A180" i="3"/>
  <c r="B180" i="3"/>
  <c r="A181" i="3"/>
  <c r="B181" i="3"/>
  <c r="A182" i="3"/>
  <c r="B182" i="3"/>
  <c r="A183" i="3"/>
  <c r="B183" i="3"/>
  <c r="A184" i="3"/>
  <c r="B184" i="3"/>
  <c r="A185" i="3"/>
  <c r="B185" i="3"/>
  <c r="A186" i="3"/>
  <c r="B186" i="3"/>
  <c r="A187" i="3"/>
  <c r="B187" i="3"/>
  <c r="A188" i="3"/>
  <c r="B188" i="3"/>
  <c r="A189" i="3"/>
  <c r="B189" i="3"/>
  <c r="A190" i="3"/>
  <c r="B190" i="3"/>
  <c r="A191" i="3"/>
  <c r="B191" i="3"/>
  <c r="A192" i="3"/>
  <c r="B192" i="3"/>
  <c r="A193" i="3"/>
  <c r="B193" i="3"/>
  <c r="A194" i="3"/>
  <c r="B194" i="3"/>
  <c r="A195" i="3"/>
  <c r="B195" i="3"/>
  <c r="A196" i="3"/>
  <c r="B196" i="3"/>
  <c r="A197" i="3"/>
  <c r="B197" i="3"/>
  <c r="A198" i="3"/>
  <c r="B198" i="3"/>
  <c r="A199" i="3"/>
  <c r="B199" i="3"/>
  <c r="A200" i="3"/>
  <c r="B200" i="3"/>
  <c r="A201" i="3"/>
  <c r="B201" i="3"/>
  <c r="A202" i="3"/>
  <c r="B202" i="3"/>
  <c r="B203" i="3"/>
  <c r="A204" i="3"/>
  <c r="B204" i="3"/>
  <c r="A205" i="3"/>
  <c r="B205" i="3"/>
  <c r="A206" i="3"/>
  <c r="B206" i="3"/>
  <c r="A207" i="3"/>
  <c r="B207" i="3"/>
  <c r="A208" i="3"/>
  <c r="B208" i="3"/>
  <c r="A209" i="3"/>
  <c r="B209" i="3"/>
  <c r="A210" i="3"/>
  <c r="B210" i="3"/>
  <c r="B252" i="3" s="1"/>
  <c r="A211" i="3"/>
  <c r="B211" i="3"/>
  <c r="A212" i="3"/>
  <c r="B212" i="3"/>
  <c r="D213" i="3"/>
  <c r="F213" i="3"/>
  <c r="G213" i="3"/>
  <c r="H213" i="3"/>
  <c r="I213" i="3"/>
  <c r="J213" i="3"/>
  <c r="K213" i="3"/>
  <c r="L213" i="3"/>
  <c r="M213" i="3"/>
  <c r="A217" i="3"/>
  <c r="B217" i="3"/>
  <c r="A218" i="3"/>
  <c r="B218" i="3"/>
  <c r="A219" i="3"/>
  <c r="B219" i="3"/>
  <c r="A220" i="3"/>
  <c r="B220" i="3"/>
  <c r="A221" i="3"/>
  <c r="B221" i="3"/>
  <c r="A222" i="3"/>
  <c r="B222" i="3"/>
  <c r="A223" i="3"/>
  <c r="B223" i="3"/>
  <c r="A224" i="3"/>
  <c r="B224" i="3"/>
  <c r="A225" i="3"/>
  <c r="B225" i="3"/>
  <c r="A226" i="3"/>
  <c r="B226" i="3"/>
  <c r="A227" i="3"/>
  <c r="B227" i="3"/>
  <c r="A228" i="3"/>
  <c r="B228" i="3"/>
  <c r="A229" i="3"/>
  <c r="B229" i="3"/>
  <c r="A230" i="3"/>
  <c r="B230" i="3"/>
  <c r="A231" i="3"/>
  <c r="B231" i="3"/>
  <c r="A232" i="3"/>
  <c r="B232" i="3"/>
  <c r="A233" i="3"/>
  <c r="B233" i="3"/>
  <c r="A234" i="3"/>
  <c r="B234" i="3"/>
  <c r="A235" i="3"/>
  <c r="B235" i="3"/>
  <c r="A236" i="3"/>
  <c r="B236" i="3"/>
  <c r="A237" i="3"/>
  <c r="B237" i="3"/>
  <c r="A238" i="3"/>
  <c r="B238" i="3"/>
  <c r="A239" i="3"/>
  <c r="B239" i="3"/>
  <c r="A240" i="3"/>
  <c r="B240" i="3"/>
  <c r="A241" i="3"/>
  <c r="B241" i="3"/>
  <c r="A242" i="3"/>
  <c r="B242" i="3"/>
  <c r="A243" i="3"/>
  <c r="B243" i="3"/>
  <c r="F243" i="3"/>
  <c r="F117" i="3" s="1"/>
  <c r="F129" i="3" s="1"/>
  <c r="A244" i="3"/>
  <c r="B244" i="3"/>
  <c r="B245" i="3"/>
  <c r="A246" i="3"/>
  <c r="B246" i="3"/>
  <c r="A247" i="3"/>
  <c r="B247" i="3"/>
  <c r="A248" i="3"/>
  <c r="B248" i="3"/>
  <c r="A249" i="3"/>
  <c r="B249" i="3"/>
  <c r="A250" i="3"/>
  <c r="B250" i="3"/>
  <c r="A251" i="3"/>
  <c r="B251" i="3"/>
  <c r="A252" i="3"/>
  <c r="A253" i="3"/>
  <c r="B253" i="3"/>
  <c r="A254" i="3"/>
  <c r="B254" i="3"/>
  <c r="D255" i="3"/>
  <c r="F255" i="3"/>
  <c r="G255" i="3"/>
  <c r="H255" i="3"/>
  <c r="I255" i="3"/>
  <c r="J255" i="3"/>
  <c r="K255" i="3"/>
  <c r="L255" i="3"/>
  <c r="M255" i="3"/>
  <c r="AH42" i="6" l="1"/>
  <c r="AI42" i="6" s="1"/>
  <c r="AJ44" i="6"/>
  <c r="AJ42" i="6"/>
  <c r="J203" i="9"/>
  <c r="J236" i="9" s="1"/>
  <c r="M118" i="11"/>
  <c r="M76" i="11" s="1"/>
  <c r="M123" i="11"/>
  <c r="M81" i="11" s="1"/>
  <c r="M108" i="11"/>
  <c r="M66" i="11" s="1"/>
  <c r="M101" i="11"/>
  <c r="M59" i="11" s="1"/>
  <c r="F118" i="11"/>
  <c r="F76" i="11" s="1"/>
  <c r="F108" i="11"/>
  <c r="F66" i="11" s="1"/>
  <c r="F101" i="11"/>
  <c r="F59" i="11" s="1"/>
  <c r="F123" i="11"/>
  <c r="F81" i="11" s="1"/>
  <c r="H86" i="8"/>
  <c r="L86" i="8"/>
  <c r="C103" i="11"/>
  <c r="D61" i="11"/>
  <c r="C121" i="11"/>
  <c r="D79" i="11"/>
  <c r="C100" i="11"/>
  <c r="D58" i="11"/>
  <c r="C114" i="11"/>
  <c r="D72" i="11"/>
  <c r="D81" i="11"/>
  <c r="C93" i="11"/>
  <c r="D51" i="11"/>
  <c r="C90" i="11"/>
  <c r="D48" i="11"/>
  <c r="C116" i="11"/>
  <c r="D74" i="11"/>
  <c r="I127" i="11"/>
  <c r="I85" i="11" s="1"/>
  <c r="I121" i="11"/>
  <c r="I79" i="11" s="1"/>
  <c r="I117" i="11"/>
  <c r="I75" i="11" s="1"/>
  <c r="I115" i="11"/>
  <c r="I73" i="11" s="1"/>
  <c r="I113" i="11"/>
  <c r="I71" i="11" s="1"/>
  <c r="I103" i="11"/>
  <c r="I61" i="11" s="1"/>
  <c r="I95" i="11"/>
  <c r="I53" i="11" s="1"/>
  <c r="C135" i="11"/>
  <c r="I126" i="11"/>
  <c r="I84" i="11" s="1"/>
  <c r="I114" i="11"/>
  <c r="I72" i="11" s="1"/>
  <c r="I112" i="11"/>
  <c r="I70" i="11" s="1"/>
  <c r="I110" i="11"/>
  <c r="I68" i="11" s="1"/>
  <c r="I106" i="11"/>
  <c r="I64" i="11" s="1"/>
  <c r="I100" i="11"/>
  <c r="I58" i="11" s="1"/>
  <c r="I98" i="11"/>
  <c r="I56" i="11" s="1"/>
  <c r="I96" i="11"/>
  <c r="I54" i="11" s="1"/>
  <c r="C91" i="11"/>
  <c r="D49" i="11"/>
  <c r="E86" i="11"/>
  <c r="N86" i="11"/>
  <c r="C109" i="11"/>
  <c r="D67" i="11"/>
  <c r="C94" i="11"/>
  <c r="D52" i="11"/>
  <c r="C122" i="11"/>
  <c r="D80" i="11"/>
  <c r="C134" i="11"/>
  <c r="I123" i="11"/>
  <c r="I81" i="11" s="1"/>
  <c r="I107" i="11"/>
  <c r="I65" i="11" s="1"/>
  <c r="I101" i="11"/>
  <c r="I59" i="11" s="1"/>
  <c r="I118" i="11"/>
  <c r="I76" i="11" s="1"/>
  <c r="I108" i="11"/>
  <c r="I66" i="11" s="1"/>
  <c r="I102" i="11"/>
  <c r="I60" i="11" s="1"/>
  <c r="C115" i="11"/>
  <c r="D73" i="11"/>
  <c r="C96" i="11"/>
  <c r="D54" i="11"/>
  <c r="C110" i="11"/>
  <c r="D68" i="11"/>
  <c r="D59" i="11"/>
  <c r="D66" i="11"/>
  <c r="C111" i="11"/>
  <c r="D69" i="11"/>
  <c r="I99" i="11"/>
  <c r="I57" i="11" s="1"/>
  <c r="I91" i="11"/>
  <c r="I49" i="11" s="1"/>
  <c r="C131" i="11"/>
  <c r="K86" i="11"/>
  <c r="C95" i="11"/>
  <c r="D53" i="11"/>
  <c r="C113" i="11"/>
  <c r="D71" i="11"/>
  <c r="C117" i="11"/>
  <c r="D75" i="11"/>
  <c r="C127" i="11"/>
  <c r="D85" i="11"/>
  <c r="C98" i="11"/>
  <c r="D56" i="11"/>
  <c r="C106" i="11"/>
  <c r="D64" i="11"/>
  <c r="C112" i="11"/>
  <c r="D70" i="11"/>
  <c r="C126" i="11"/>
  <c r="D84" i="11"/>
  <c r="C107" i="11"/>
  <c r="D65" i="11"/>
  <c r="C102" i="11"/>
  <c r="D60" i="11"/>
  <c r="C118" i="11"/>
  <c r="D76" i="11"/>
  <c r="C97" i="11"/>
  <c r="D55" i="11"/>
  <c r="C125" i="11"/>
  <c r="D83" i="11"/>
  <c r="C92" i="11"/>
  <c r="D50" i="11"/>
  <c r="C120" i="11"/>
  <c r="D78" i="11"/>
  <c r="L86" i="11"/>
  <c r="G86" i="11"/>
  <c r="H86" i="11"/>
  <c r="C132" i="11"/>
  <c r="I125" i="11"/>
  <c r="I83" i="11" s="1"/>
  <c r="I111" i="11"/>
  <c r="I69" i="11" s="1"/>
  <c r="I97" i="11"/>
  <c r="I55" i="11" s="1"/>
  <c r="I93" i="11"/>
  <c r="I51" i="11" s="1"/>
  <c r="I120" i="11"/>
  <c r="I78" i="11" s="1"/>
  <c r="I116" i="11"/>
  <c r="I74" i="11" s="1"/>
  <c r="I92" i="11"/>
  <c r="I50" i="11" s="1"/>
  <c r="I90" i="11"/>
  <c r="I48" i="11" s="1"/>
  <c r="J86" i="11"/>
  <c r="C99" i="11"/>
  <c r="D57" i="11"/>
  <c r="C105" i="11"/>
  <c r="D63" i="11"/>
  <c r="C119" i="11"/>
  <c r="D77" i="11"/>
  <c r="C104" i="11"/>
  <c r="D62" i="11"/>
  <c r="C124" i="11"/>
  <c r="D82" i="11"/>
  <c r="C48" i="8"/>
  <c r="D62" i="8"/>
  <c r="C104" i="8"/>
  <c r="D67" i="8"/>
  <c r="C109" i="8"/>
  <c r="D80" i="8"/>
  <c r="C122" i="8"/>
  <c r="D53" i="8"/>
  <c r="C95" i="8"/>
  <c r="D56" i="8"/>
  <c r="C98" i="8"/>
  <c r="D61" i="8"/>
  <c r="C103" i="8"/>
  <c r="D68" i="8"/>
  <c r="C110" i="8"/>
  <c r="D71" i="8"/>
  <c r="C113" i="8"/>
  <c r="D73" i="8"/>
  <c r="C115" i="8"/>
  <c r="D79" i="8"/>
  <c r="C121" i="8"/>
  <c r="D85" i="8"/>
  <c r="C127" i="8"/>
  <c r="C78" i="8"/>
  <c r="C133" i="8"/>
  <c r="I124" i="8"/>
  <c r="I82" i="8" s="1"/>
  <c r="I122" i="8"/>
  <c r="I80" i="8" s="1"/>
  <c r="I119" i="8"/>
  <c r="I77" i="8" s="1"/>
  <c r="I109" i="8"/>
  <c r="I67" i="8" s="1"/>
  <c r="I105" i="8"/>
  <c r="I63" i="8" s="1"/>
  <c r="I104" i="8"/>
  <c r="I62" i="8" s="1"/>
  <c r="I94" i="8"/>
  <c r="I52" i="8" s="1"/>
  <c r="D52" i="8"/>
  <c r="C94" i="8"/>
  <c r="D63" i="8"/>
  <c r="C105" i="8"/>
  <c r="D77" i="8"/>
  <c r="C119" i="8"/>
  <c r="D82" i="8"/>
  <c r="C124" i="8"/>
  <c r="D54" i="8"/>
  <c r="C96" i="8"/>
  <c r="C100" i="8"/>
  <c r="D58" i="8"/>
  <c r="D64" i="8"/>
  <c r="C106" i="8"/>
  <c r="D70" i="8"/>
  <c r="C112" i="8"/>
  <c r="D72" i="8"/>
  <c r="C114" i="8"/>
  <c r="D75" i="8"/>
  <c r="C117" i="8"/>
  <c r="D84" i="8"/>
  <c r="C126" i="8"/>
  <c r="C135" i="8"/>
  <c r="I127" i="8"/>
  <c r="I85" i="8" s="1"/>
  <c r="I126" i="8"/>
  <c r="I84" i="8" s="1"/>
  <c r="I121" i="8"/>
  <c r="I79" i="8" s="1"/>
  <c r="C79" i="8" s="1"/>
  <c r="I117" i="8"/>
  <c r="I75" i="8" s="1"/>
  <c r="I115" i="8"/>
  <c r="I73" i="8" s="1"/>
  <c r="I114" i="8"/>
  <c r="I72" i="8" s="1"/>
  <c r="I113" i="8"/>
  <c r="I71" i="8" s="1"/>
  <c r="I112" i="8"/>
  <c r="I70" i="8" s="1"/>
  <c r="I110" i="8"/>
  <c r="I68" i="8" s="1"/>
  <c r="I106" i="8"/>
  <c r="I64" i="8" s="1"/>
  <c r="I103" i="8"/>
  <c r="I61" i="8" s="1"/>
  <c r="I100" i="8"/>
  <c r="I58" i="8" s="1"/>
  <c r="I96" i="8"/>
  <c r="I54" i="8" s="1"/>
  <c r="I95" i="8"/>
  <c r="I53" i="8" s="1"/>
  <c r="I98" i="8"/>
  <c r="I56" i="8" s="1"/>
  <c r="M129" i="3"/>
  <c r="K129" i="3"/>
  <c r="I129" i="3"/>
  <c r="G129" i="3"/>
  <c r="E86" i="3"/>
  <c r="D86" i="3"/>
  <c r="F86" i="3"/>
  <c r="D85" i="3"/>
  <c r="F85" i="3"/>
  <c r="E85" i="3"/>
  <c r="E84" i="3"/>
  <c r="D84" i="3"/>
  <c r="F84" i="3"/>
  <c r="D83" i="3"/>
  <c r="F83" i="3"/>
  <c r="E83" i="3"/>
  <c r="E82" i="3"/>
  <c r="D82" i="3"/>
  <c r="F82" i="3"/>
  <c r="D81" i="3"/>
  <c r="F81" i="3"/>
  <c r="E81" i="3"/>
  <c r="E80" i="3"/>
  <c r="D80" i="3"/>
  <c r="F80" i="3"/>
  <c r="D79" i="3"/>
  <c r="F79" i="3"/>
  <c r="E79" i="3"/>
  <c r="E78" i="3"/>
  <c r="D78" i="3"/>
  <c r="F78" i="3"/>
  <c r="D77" i="3"/>
  <c r="F77" i="3"/>
  <c r="E77" i="3"/>
  <c r="E76" i="3"/>
  <c r="D76" i="3"/>
  <c r="F76" i="3"/>
  <c r="D75" i="3"/>
  <c r="F75" i="3"/>
  <c r="E75" i="3"/>
  <c r="E74" i="3"/>
  <c r="D74" i="3"/>
  <c r="F74" i="3"/>
  <c r="D73" i="3"/>
  <c r="F73" i="3"/>
  <c r="E73" i="3"/>
  <c r="E72" i="3"/>
  <c r="D72" i="3"/>
  <c r="F72" i="3"/>
  <c r="D71" i="3"/>
  <c r="F71" i="3"/>
  <c r="E71" i="3"/>
  <c r="E70" i="3"/>
  <c r="D70" i="3"/>
  <c r="F70" i="3"/>
  <c r="D69" i="3"/>
  <c r="F69" i="3"/>
  <c r="E69" i="3"/>
  <c r="M87" i="3"/>
  <c r="K87" i="3"/>
  <c r="I87" i="3"/>
  <c r="G87" i="3"/>
  <c r="E68" i="3"/>
  <c r="D68" i="3"/>
  <c r="F68" i="3"/>
  <c r="D67" i="3"/>
  <c r="F67" i="3"/>
  <c r="E67" i="3"/>
  <c r="E66" i="3"/>
  <c r="D66" i="3"/>
  <c r="F66" i="3"/>
  <c r="D65" i="3"/>
  <c r="F65" i="3"/>
  <c r="E65" i="3"/>
  <c r="E64" i="3"/>
  <c r="D64" i="3"/>
  <c r="F64" i="3"/>
  <c r="D63" i="3"/>
  <c r="F63" i="3"/>
  <c r="E63" i="3"/>
  <c r="E62" i="3"/>
  <c r="D62" i="3"/>
  <c r="F62" i="3"/>
  <c r="D61" i="3"/>
  <c r="F61" i="3"/>
  <c r="E61" i="3"/>
  <c r="E60" i="3"/>
  <c r="D60" i="3"/>
  <c r="F60" i="3"/>
  <c r="D59" i="3"/>
  <c r="F59" i="3"/>
  <c r="E59" i="3"/>
  <c r="E58" i="3"/>
  <c r="D58" i="3"/>
  <c r="F58" i="3"/>
  <c r="D57" i="3"/>
  <c r="F57" i="3"/>
  <c r="E57" i="3"/>
  <c r="E56" i="3"/>
  <c r="D56" i="3"/>
  <c r="F56" i="3"/>
  <c r="D55" i="3"/>
  <c r="F55" i="3"/>
  <c r="E55" i="3"/>
  <c r="E54" i="3"/>
  <c r="D54" i="3"/>
  <c r="F54" i="3"/>
  <c r="D53" i="3"/>
  <c r="F53" i="3"/>
  <c r="E53" i="3"/>
  <c r="E52" i="3"/>
  <c r="D52" i="3"/>
  <c r="F52" i="3"/>
  <c r="D51" i="3"/>
  <c r="F51" i="3"/>
  <c r="E51" i="3"/>
  <c r="E50" i="3"/>
  <c r="D50" i="3"/>
  <c r="F50" i="3"/>
  <c r="D49" i="3"/>
  <c r="F49" i="3"/>
  <c r="E49" i="3"/>
  <c r="L87" i="3"/>
  <c r="J87" i="3"/>
  <c r="H87" i="3"/>
  <c r="M86" i="11" l="1"/>
  <c r="C108" i="11"/>
  <c r="C101" i="11"/>
  <c r="F86" i="11"/>
  <c r="C123" i="11"/>
  <c r="I86" i="8"/>
  <c r="C82" i="11"/>
  <c r="C62" i="11"/>
  <c r="C77" i="11"/>
  <c r="C63" i="11"/>
  <c r="C69" i="11"/>
  <c r="C66" i="11"/>
  <c r="C59" i="11"/>
  <c r="C80" i="11"/>
  <c r="C52" i="11"/>
  <c r="C67" i="11"/>
  <c r="C49" i="11"/>
  <c r="C74" i="11"/>
  <c r="D86" i="11"/>
  <c r="C48" i="11"/>
  <c r="C51" i="11"/>
  <c r="C81" i="11"/>
  <c r="C72" i="11"/>
  <c r="C58" i="11"/>
  <c r="C79" i="11"/>
  <c r="C61" i="11"/>
  <c r="C57" i="11"/>
  <c r="I86" i="11"/>
  <c r="C78" i="11"/>
  <c r="C50" i="11"/>
  <c r="C83" i="11"/>
  <c r="C55" i="11"/>
  <c r="C76" i="11"/>
  <c r="C60" i="11"/>
  <c r="C65" i="11"/>
  <c r="C84" i="11"/>
  <c r="C70" i="11"/>
  <c r="C64" i="11"/>
  <c r="C56" i="11"/>
  <c r="C85" i="11"/>
  <c r="C75" i="11"/>
  <c r="C71" i="11"/>
  <c r="C53" i="11"/>
  <c r="C68" i="11"/>
  <c r="C54" i="11"/>
  <c r="C73" i="11"/>
  <c r="C85" i="8"/>
  <c r="C61" i="8"/>
  <c r="C75" i="8"/>
  <c r="C54" i="8"/>
  <c r="C82" i="8"/>
  <c r="C77" i="8"/>
  <c r="C63" i="8"/>
  <c r="C52" i="8"/>
  <c r="C72" i="8"/>
  <c r="C64" i="8"/>
  <c r="C73" i="8"/>
  <c r="C71" i="8"/>
  <c r="C68" i="8"/>
  <c r="C56" i="8"/>
  <c r="C53" i="8"/>
  <c r="C80" i="8"/>
  <c r="C67" i="8"/>
  <c r="C62" i="8"/>
  <c r="C58" i="8"/>
  <c r="C84" i="8"/>
  <c r="C70" i="8"/>
  <c r="D86" i="8"/>
  <c r="E87" i="3"/>
  <c r="C53" i="3"/>
  <c r="C55" i="3"/>
  <c r="C57" i="3"/>
  <c r="C59" i="3"/>
  <c r="C61" i="3"/>
  <c r="C63" i="3"/>
  <c r="C65" i="3"/>
  <c r="C67" i="3"/>
  <c r="C69" i="3"/>
  <c r="C71" i="3"/>
  <c r="C73" i="3"/>
  <c r="C75" i="3"/>
  <c r="C77" i="3"/>
  <c r="C79" i="3"/>
  <c r="C81" i="3"/>
  <c r="C83" i="3"/>
  <c r="C85" i="3"/>
  <c r="C49" i="3"/>
  <c r="D87" i="3"/>
  <c r="C51" i="3"/>
  <c r="F87" i="3"/>
  <c r="C50" i="3"/>
  <c r="C52" i="3"/>
  <c r="C54" i="3"/>
  <c r="C56" i="3"/>
  <c r="C58" i="3"/>
  <c r="C60" i="3"/>
  <c r="C62" i="3"/>
  <c r="C64" i="3"/>
  <c r="C66" i="3"/>
  <c r="C68" i="3"/>
  <c r="C70" i="3"/>
  <c r="C72" i="3"/>
  <c r="C74" i="3"/>
  <c r="C76" i="3"/>
  <c r="C78" i="3"/>
  <c r="C80" i="3"/>
  <c r="C82" i="3"/>
  <c r="C84" i="3"/>
  <c r="C86" i="3"/>
  <c r="C123" i="2"/>
  <c r="C96" i="2"/>
  <c r="C103" i="2"/>
  <c r="C110" i="2"/>
  <c r="C113" i="2"/>
  <c r="C115" i="2"/>
  <c r="C121" i="2"/>
  <c r="B121" i="2"/>
  <c r="C126" i="2"/>
  <c r="C125" i="2"/>
  <c r="C116" i="2"/>
  <c r="C97" i="2"/>
  <c r="C90" i="2"/>
  <c r="M346" i="2"/>
  <c r="L346" i="2"/>
  <c r="K346" i="2"/>
  <c r="J346" i="2"/>
  <c r="I346" i="2"/>
  <c r="H346" i="2"/>
  <c r="G346" i="2"/>
  <c r="D346" i="2"/>
  <c r="F334" i="2"/>
  <c r="F346" i="2" s="1"/>
  <c r="M304" i="2"/>
  <c r="L304" i="2"/>
  <c r="K304" i="2"/>
  <c r="J304" i="2"/>
  <c r="I304" i="2"/>
  <c r="H304" i="2"/>
  <c r="G304" i="2"/>
  <c r="F304" i="2"/>
  <c r="D304" i="2"/>
  <c r="M262" i="2"/>
  <c r="L262" i="2"/>
  <c r="K262" i="2"/>
  <c r="J262" i="2"/>
  <c r="I262" i="2"/>
  <c r="H262" i="2"/>
  <c r="G262" i="2"/>
  <c r="F262" i="2"/>
  <c r="D262" i="2"/>
  <c r="E251" i="2"/>
  <c r="E240" i="2"/>
  <c r="E237" i="2"/>
  <c r="M219" i="2"/>
  <c r="L219" i="2"/>
  <c r="K219" i="2"/>
  <c r="J219" i="2"/>
  <c r="I219" i="2"/>
  <c r="H219" i="2"/>
  <c r="G219" i="2"/>
  <c r="F219" i="2"/>
  <c r="E219" i="2"/>
  <c r="D219" i="2"/>
  <c r="M218" i="2"/>
  <c r="L218" i="2"/>
  <c r="K218" i="2"/>
  <c r="J218" i="2"/>
  <c r="I218" i="2"/>
  <c r="H218" i="2"/>
  <c r="G218" i="2"/>
  <c r="F218" i="2"/>
  <c r="E218" i="2"/>
  <c r="D218" i="2"/>
  <c r="M217" i="2"/>
  <c r="L217" i="2"/>
  <c r="K217" i="2"/>
  <c r="J217" i="2"/>
  <c r="I217" i="2"/>
  <c r="H217" i="2"/>
  <c r="G217" i="2"/>
  <c r="F217" i="2"/>
  <c r="E217" i="2"/>
  <c r="D217" i="2"/>
  <c r="M216" i="2"/>
  <c r="L216" i="2"/>
  <c r="K216" i="2"/>
  <c r="J216" i="2"/>
  <c r="I216" i="2"/>
  <c r="H216" i="2"/>
  <c r="G216" i="2"/>
  <c r="F216" i="2"/>
  <c r="E216" i="2"/>
  <c r="D216" i="2"/>
  <c r="M215" i="2"/>
  <c r="L215" i="2"/>
  <c r="K215" i="2"/>
  <c r="J215" i="2"/>
  <c r="I215" i="2"/>
  <c r="H215" i="2"/>
  <c r="G215" i="2"/>
  <c r="F215" i="2"/>
  <c r="E215" i="2"/>
  <c r="D215" i="2"/>
  <c r="M214" i="2"/>
  <c r="L214" i="2"/>
  <c r="K214" i="2"/>
  <c r="J214" i="2"/>
  <c r="I214" i="2"/>
  <c r="H214" i="2"/>
  <c r="G214" i="2"/>
  <c r="F214" i="2"/>
  <c r="E214" i="2"/>
  <c r="D214" i="2"/>
  <c r="M213" i="2"/>
  <c r="L213" i="2"/>
  <c r="K213" i="2"/>
  <c r="J213" i="2"/>
  <c r="I213" i="2"/>
  <c r="H213" i="2"/>
  <c r="G213" i="2"/>
  <c r="F213" i="2"/>
  <c r="E213" i="2"/>
  <c r="D213" i="2"/>
  <c r="M212" i="2"/>
  <c r="L212" i="2"/>
  <c r="K212" i="2"/>
  <c r="J212" i="2"/>
  <c r="I212" i="2"/>
  <c r="H212" i="2"/>
  <c r="G212" i="2"/>
  <c r="F212" i="2"/>
  <c r="E212" i="2"/>
  <c r="D212" i="2"/>
  <c r="M211" i="2"/>
  <c r="L211" i="2"/>
  <c r="K211" i="2"/>
  <c r="J211" i="2"/>
  <c r="I211" i="2"/>
  <c r="H211" i="2"/>
  <c r="G211" i="2"/>
  <c r="F211" i="2"/>
  <c r="E211" i="2"/>
  <c r="D211" i="2"/>
  <c r="M210" i="2"/>
  <c r="L210" i="2"/>
  <c r="K210" i="2"/>
  <c r="J210" i="2"/>
  <c r="I210" i="2"/>
  <c r="H210" i="2"/>
  <c r="G210" i="2"/>
  <c r="F210" i="2"/>
  <c r="E210" i="2"/>
  <c r="D210" i="2"/>
  <c r="M209" i="2"/>
  <c r="L209" i="2"/>
  <c r="K209" i="2"/>
  <c r="J209" i="2"/>
  <c r="I209" i="2"/>
  <c r="H209" i="2"/>
  <c r="G209" i="2"/>
  <c r="F209" i="2"/>
  <c r="E209" i="2"/>
  <c r="D209" i="2"/>
  <c r="M208" i="2"/>
  <c r="L208" i="2"/>
  <c r="K208" i="2"/>
  <c r="J208" i="2"/>
  <c r="I208" i="2"/>
  <c r="H208" i="2"/>
  <c r="G208" i="2"/>
  <c r="F208" i="2"/>
  <c r="E208" i="2"/>
  <c r="D208" i="2"/>
  <c r="M207" i="2"/>
  <c r="L207" i="2"/>
  <c r="K207" i="2"/>
  <c r="J207" i="2"/>
  <c r="I207" i="2"/>
  <c r="H207" i="2"/>
  <c r="G207" i="2"/>
  <c r="F207" i="2"/>
  <c r="E207" i="2"/>
  <c r="D207" i="2"/>
  <c r="M206" i="2"/>
  <c r="L206" i="2"/>
  <c r="K206" i="2"/>
  <c r="J206" i="2"/>
  <c r="I206" i="2"/>
  <c r="H206" i="2"/>
  <c r="G206" i="2"/>
  <c r="F206" i="2"/>
  <c r="E206" i="2"/>
  <c r="D206" i="2"/>
  <c r="M205" i="2"/>
  <c r="L205" i="2"/>
  <c r="K205" i="2"/>
  <c r="J205" i="2"/>
  <c r="I205" i="2"/>
  <c r="H205" i="2"/>
  <c r="G205" i="2"/>
  <c r="F205" i="2"/>
  <c r="E205" i="2"/>
  <c r="D205" i="2"/>
  <c r="M204" i="2"/>
  <c r="L204" i="2"/>
  <c r="K204" i="2"/>
  <c r="J204" i="2"/>
  <c r="I204" i="2"/>
  <c r="H204" i="2"/>
  <c r="G204" i="2"/>
  <c r="F204" i="2"/>
  <c r="E204" i="2"/>
  <c r="D204" i="2"/>
  <c r="M203" i="2"/>
  <c r="L203" i="2"/>
  <c r="K203" i="2"/>
  <c r="J203" i="2"/>
  <c r="I203" i="2"/>
  <c r="H203" i="2"/>
  <c r="G203" i="2"/>
  <c r="F203" i="2"/>
  <c r="E203" i="2"/>
  <c r="D203" i="2"/>
  <c r="M202" i="2"/>
  <c r="L202" i="2"/>
  <c r="K202" i="2"/>
  <c r="J202" i="2"/>
  <c r="I202" i="2"/>
  <c r="H202" i="2"/>
  <c r="G202" i="2"/>
  <c r="F202" i="2"/>
  <c r="E202" i="2"/>
  <c r="D202" i="2"/>
  <c r="M201" i="2"/>
  <c r="L201" i="2"/>
  <c r="K201" i="2"/>
  <c r="J201" i="2"/>
  <c r="I201" i="2"/>
  <c r="H201" i="2"/>
  <c r="G201" i="2"/>
  <c r="F201" i="2"/>
  <c r="E201" i="2"/>
  <c r="D201" i="2"/>
  <c r="M200" i="2"/>
  <c r="L200" i="2"/>
  <c r="K200" i="2"/>
  <c r="J200" i="2"/>
  <c r="I200" i="2"/>
  <c r="H200" i="2"/>
  <c r="G200" i="2"/>
  <c r="F200" i="2"/>
  <c r="E200" i="2"/>
  <c r="D200" i="2"/>
  <c r="M199" i="2"/>
  <c r="L199" i="2"/>
  <c r="K199" i="2"/>
  <c r="J199" i="2"/>
  <c r="I199" i="2"/>
  <c r="H199" i="2"/>
  <c r="G199" i="2"/>
  <c r="F199" i="2"/>
  <c r="E199" i="2"/>
  <c r="D199" i="2"/>
  <c r="M198" i="2"/>
  <c r="L198" i="2"/>
  <c r="K198" i="2"/>
  <c r="J198" i="2"/>
  <c r="I198" i="2"/>
  <c r="H198" i="2"/>
  <c r="G198" i="2"/>
  <c r="F198" i="2"/>
  <c r="E198" i="2"/>
  <c r="D198" i="2"/>
  <c r="M197" i="2"/>
  <c r="L197" i="2"/>
  <c r="K197" i="2"/>
  <c r="J197" i="2"/>
  <c r="I197" i="2"/>
  <c r="H197" i="2"/>
  <c r="G197" i="2"/>
  <c r="F197" i="2"/>
  <c r="E197" i="2"/>
  <c r="D197" i="2"/>
  <c r="M196" i="2"/>
  <c r="L196" i="2"/>
  <c r="K196" i="2"/>
  <c r="J196" i="2"/>
  <c r="I196" i="2"/>
  <c r="H196" i="2"/>
  <c r="G196" i="2"/>
  <c r="F196" i="2"/>
  <c r="E196" i="2"/>
  <c r="D196" i="2"/>
  <c r="M195" i="2"/>
  <c r="L195" i="2"/>
  <c r="K195" i="2"/>
  <c r="J195" i="2"/>
  <c r="I195" i="2"/>
  <c r="H195" i="2"/>
  <c r="G195" i="2"/>
  <c r="F195" i="2"/>
  <c r="E195" i="2"/>
  <c r="D195" i="2"/>
  <c r="M194" i="2"/>
  <c r="L194" i="2"/>
  <c r="K194" i="2"/>
  <c r="J194" i="2"/>
  <c r="I194" i="2"/>
  <c r="H194" i="2"/>
  <c r="G194" i="2"/>
  <c r="F194" i="2"/>
  <c r="E194" i="2"/>
  <c r="D194" i="2"/>
  <c r="M193" i="2"/>
  <c r="L193" i="2"/>
  <c r="K193" i="2"/>
  <c r="J193" i="2"/>
  <c r="I193" i="2"/>
  <c r="H193" i="2"/>
  <c r="G193" i="2"/>
  <c r="F193" i="2"/>
  <c r="E193" i="2"/>
  <c r="D193" i="2"/>
  <c r="M192" i="2"/>
  <c r="L192" i="2"/>
  <c r="K192" i="2"/>
  <c r="J192" i="2"/>
  <c r="I192" i="2"/>
  <c r="H192" i="2"/>
  <c r="G192" i="2"/>
  <c r="F192" i="2"/>
  <c r="E192" i="2"/>
  <c r="D192" i="2"/>
  <c r="M191" i="2"/>
  <c r="L191" i="2"/>
  <c r="K191" i="2"/>
  <c r="J191" i="2"/>
  <c r="I191" i="2"/>
  <c r="H191" i="2"/>
  <c r="G191" i="2"/>
  <c r="F191" i="2"/>
  <c r="E191" i="2"/>
  <c r="D191" i="2"/>
  <c r="M190" i="2"/>
  <c r="L190" i="2"/>
  <c r="K190" i="2"/>
  <c r="J190" i="2"/>
  <c r="I190" i="2"/>
  <c r="H190" i="2"/>
  <c r="G190" i="2"/>
  <c r="F190" i="2"/>
  <c r="E190" i="2"/>
  <c r="D190" i="2"/>
  <c r="M189" i="2"/>
  <c r="L189" i="2"/>
  <c r="K189" i="2"/>
  <c r="J189" i="2"/>
  <c r="I189" i="2"/>
  <c r="H189" i="2"/>
  <c r="G189" i="2"/>
  <c r="F189" i="2"/>
  <c r="E189" i="2"/>
  <c r="D189" i="2"/>
  <c r="M188" i="2"/>
  <c r="L188" i="2"/>
  <c r="K188" i="2"/>
  <c r="J188" i="2"/>
  <c r="I188" i="2"/>
  <c r="H188" i="2"/>
  <c r="G188" i="2"/>
  <c r="F188" i="2"/>
  <c r="E188" i="2"/>
  <c r="D188" i="2"/>
  <c r="M187" i="2"/>
  <c r="L187" i="2"/>
  <c r="K187" i="2"/>
  <c r="J187" i="2"/>
  <c r="I187" i="2"/>
  <c r="H187" i="2"/>
  <c r="G187" i="2"/>
  <c r="F187" i="2"/>
  <c r="E187" i="2"/>
  <c r="D187" i="2"/>
  <c r="M186" i="2"/>
  <c r="L186" i="2"/>
  <c r="K186" i="2"/>
  <c r="J186" i="2"/>
  <c r="I186" i="2"/>
  <c r="H186" i="2"/>
  <c r="G186" i="2"/>
  <c r="F186" i="2"/>
  <c r="E186" i="2"/>
  <c r="D186" i="2"/>
  <c r="M185" i="2"/>
  <c r="L185" i="2"/>
  <c r="K185" i="2"/>
  <c r="J185" i="2"/>
  <c r="I185" i="2"/>
  <c r="H185" i="2"/>
  <c r="G185" i="2"/>
  <c r="F185" i="2"/>
  <c r="E185" i="2"/>
  <c r="D185" i="2"/>
  <c r="M184" i="2"/>
  <c r="L184" i="2"/>
  <c r="K184" i="2"/>
  <c r="J184" i="2"/>
  <c r="I184" i="2"/>
  <c r="H184" i="2"/>
  <c r="G184" i="2"/>
  <c r="F184" i="2"/>
  <c r="E184" i="2"/>
  <c r="D184" i="2"/>
  <c r="M183" i="2"/>
  <c r="L183" i="2"/>
  <c r="K183" i="2"/>
  <c r="J183" i="2"/>
  <c r="I183" i="2"/>
  <c r="H183" i="2"/>
  <c r="G183" i="2"/>
  <c r="F183" i="2"/>
  <c r="E183" i="2"/>
  <c r="D183" i="2"/>
  <c r="M182" i="2"/>
  <c r="M220" i="2" s="1"/>
  <c r="L182" i="2"/>
  <c r="L220" i="2" s="1"/>
  <c r="K182" i="2"/>
  <c r="K220" i="2" s="1"/>
  <c r="J182" i="2"/>
  <c r="J220" i="2" s="1"/>
  <c r="I182" i="2"/>
  <c r="I220" i="2" s="1"/>
  <c r="H182" i="2"/>
  <c r="H220" i="2" s="1"/>
  <c r="G182" i="2"/>
  <c r="G220" i="2" s="1"/>
  <c r="F182" i="2"/>
  <c r="F220" i="2" s="1"/>
  <c r="E182" i="2"/>
  <c r="D182" i="2"/>
  <c r="D220" i="2" s="1"/>
  <c r="M177" i="2"/>
  <c r="L177" i="2"/>
  <c r="K177" i="2"/>
  <c r="J177" i="2"/>
  <c r="I177" i="2"/>
  <c r="H177" i="2"/>
  <c r="G177" i="2"/>
  <c r="F177" i="2"/>
  <c r="E177" i="2"/>
  <c r="D177" i="2"/>
  <c r="B177" i="2"/>
  <c r="B219" i="2" s="1"/>
  <c r="B261" i="2" s="1"/>
  <c r="B303" i="2" s="1"/>
  <c r="B345" i="2" s="1"/>
  <c r="A177" i="2"/>
  <c r="A219" i="2" s="1"/>
  <c r="A261" i="2" s="1"/>
  <c r="A303" i="2" s="1"/>
  <c r="A345" i="2" s="1"/>
  <c r="M176" i="2"/>
  <c r="L176" i="2"/>
  <c r="K176" i="2"/>
  <c r="J176" i="2"/>
  <c r="I176" i="2"/>
  <c r="H176" i="2"/>
  <c r="G176" i="2"/>
  <c r="F176" i="2"/>
  <c r="E176" i="2"/>
  <c r="D176" i="2"/>
  <c r="B176" i="2"/>
  <c r="B218" i="2" s="1"/>
  <c r="B260" i="2" s="1"/>
  <c r="B302" i="2" s="1"/>
  <c r="B344" i="2" s="1"/>
  <c r="A176" i="2"/>
  <c r="A218" i="2" s="1"/>
  <c r="A260" i="2" s="1"/>
  <c r="A302" i="2" s="1"/>
  <c r="A344" i="2" s="1"/>
  <c r="M175" i="2"/>
  <c r="L175" i="2"/>
  <c r="K175" i="2"/>
  <c r="J175" i="2"/>
  <c r="I175" i="2"/>
  <c r="H175" i="2"/>
  <c r="G175" i="2"/>
  <c r="F175" i="2"/>
  <c r="E175" i="2"/>
  <c r="D175" i="2"/>
  <c r="B175" i="2"/>
  <c r="B217" i="2" s="1"/>
  <c r="B259" i="2" s="1"/>
  <c r="B301" i="2" s="1"/>
  <c r="B343" i="2" s="1"/>
  <c r="A175" i="2"/>
  <c r="A217" i="2" s="1"/>
  <c r="A259" i="2" s="1"/>
  <c r="A301" i="2" s="1"/>
  <c r="A343" i="2" s="1"/>
  <c r="M174" i="2"/>
  <c r="L174" i="2"/>
  <c r="K174" i="2"/>
  <c r="J174" i="2"/>
  <c r="I174" i="2"/>
  <c r="H174" i="2"/>
  <c r="G174" i="2"/>
  <c r="F174" i="2"/>
  <c r="E174" i="2"/>
  <c r="D174" i="2"/>
  <c r="B174" i="2"/>
  <c r="B216" i="2" s="1"/>
  <c r="B258" i="2" s="1"/>
  <c r="B300" i="2" s="1"/>
  <c r="B342" i="2" s="1"/>
  <c r="A174" i="2"/>
  <c r="A216" i="2" s="1"/>
  <c r="A258" i="2" s="1"/>
  <c r="A300" i="2" s="1"/>
  <c r="A342" i="2" s="1"/>
  <c r="M173" i="2"/>
  <c r="L173" i="2"/>
  <c r="K173" i="2"/>
  <c r="J173" i="2"/>
  <c r="I173" i="2"/>
  <c r="H173" i="2"/>
  <c r="G173" i="2"/>
  <c r="F173" i="2"/>
  <c r="E173" i="2"/>
  <c r="D173" i="2"/>
  <c r="B173" i="2"/>
  <c r="B215" i="2" s="1"/>
  <c r="B257" i="2" s="1"/>
  <c r="B299" i="2" s="1"/>
  <c r="B341" i="2" s="1"/>
  <c r="A173" i="2"/>
  <c r="A215" i="2" s="1"/>
  <c r="A257" i="2" s="1"/>
  <c r="A299" i="2" s="1"/>
  <c r="A341" i="2" s="1"/>
  <c r="M172" i="2"/>
  <c r="L172" i="2"/>
  <c r="K172" i="2"/>
  <c r="J172" i="2"/>
  <c r="I172" i="2"/>
  <c r="H172" i="2"/>
  <c r="G172" i="2"/>
  <c r="F172" i="2"/>
  <c r="E172" i="2"/>
  <c r="D172" i="2"/>
  <c r="B172" i="2"/>
  <c r="B214" i="2" s="1"/>
  <c r="B256" i="2" s="1"/>
  <c r="B298" i="2" s="1"/>
  <c r="B340" i="2" s="1"/>
  <c r="A172" i="2"/>
  <c r="A214" i="2" s="1"/>
  <c r="A256" i="2" s="1"/>
  <c r="A298" i="2" s="1"/>
  <c r="A340" i="2" s="1"/>
  <c r="M171" i="2"/>
  <c r="L171" i="2"/>
  <c r="K171" i="2"/>
  <c r="J171" i="2"/>
  <c r="I171" i="2"/>
  <c r="H171" i="2"/>
  <c r="G171" i="2"/>
  <c r="F171" i="2"/>
  <c r="E171" i="2"/>
  <c r="D171" i="2"/>
  <c r="B171" i="2"/>
  <c r="B213" i="2" s="1"/>
  <c r="B255" i="2" s="1"/>
  <c r="B297" i="2" s="1"/>
  <c r="B339" i="2" s="1"/>
  <c r="A171" i="2"/>
  <c r="A213" i="2" s="1"/>
  <c r="A255" i="2" s="1"/>
  <c r="A297" i="2" s="1"/>
  <c r="A339" i="2" s="1"/>
  <c r="M170" i="2"/>
  <c r="L170" i="2"/>
  <c r="K170" i="2"/>
  <c r="J170" i="2"/>
  <c r="I170" i="2"/>
  <c r="H170" i="2"/>
  <c r="G170" i="2"/>
  <c r="F170" i="2"/>
  <c r="E170" i="2"/>
  <c r="D170" i="2"/>
  <c r="B170" i="2"/>
  <c r="B212" i="2" s="1"/>
  <c r="B254" i="2" s="1"/>
  <c r="B296" i="2" s="1"/>
  <c r="B338" i="2" s="1"/>
  <c r="A170" i="2"/>
  <c r="A212" i="2" s="1"/>
  <c r="A254" i="2" s="1"/>
  <c r="A296" i="2" s="1"/>
  <c r="A338" i="2" s="1"/>
  <c r="M169" i="2"/>
  <c r="L169" i="2"/>
  <c r="K169" i="2"/>
  <c r="J169" i="2"/>
  <c r="I169" i="2"/>
  <c r="H169" i="2"/>
  <c r="G169" i="2"/>
  <c r="F169" i="2"/>
  <c r="E169" i="2"/>
  <c r="D169" i="2"/>
  <c r="B169" i="2"/>
  <c r="B211" i="2" s="1"/>
  <c r="B253" i="2" s="1"/>
  <c r="B295" i="2" s="1"/>
  <c r="B337" i="2" s="1"/>
  <c r="A169" i="2"/>
  <c r="A211" i="2" s="1"/>
  <c r="A253" i="2" s="1"/>
  <c r="A295" i="2" s="1"/>
  <c r="A337" i="2" s="1"/>
  <c r="M168" i="2"/>
  <c r="L168" i="2"/>
  <c r="K168" i="2"/>
  <c r="J168" i="2"/>
  <c r="I168" i="2"/>
  <c r="H168" i="2"/>
  <c r="G168" i="2"/>
  <c r="F168" i="2"/>
  <c r="E168" i="2"/>
  <c r="D168" i="2"/>
  <c r="B168" i="2"/>
  <c r="B210" i="2" s="1"/>
  <c r="B252" i="2" s="1"/>
  <c r="B294" i="2" s="1"/>
  <c r="B336" i="2" s="1"/>
  <c r="A168" i="2"/>
  <c r="A210" i="2" s="1"/>
  <c r="A252" i="2" s="1"/>
  <c r="A294" i="2" s="1"/>
  <c r="A336" i="2" s="1"/>
  <c r="M167" i="2"/>
  <c r="L167" i="2"/>
  <c r="K167" i="2"/>
  <c r="J167" i="2"/>
  <c r="I167" i="2"/>
  <c r="H167" i="2"/>
  <c r="G167" i="2"/>
  <c r="F167" i="2"/>
  <c r="E167" i="2"/>
  <c r="D167" i="2"/>
  <c r="B167" i="2"/>
  <c r="B209" i="2" s="1"/>
  <c r="B251" i="2" s="1"/>
  <c r="B293" i="2" s="1"/>
  <c r="B335" i="2" s="1"/>
  <c r="A167" i="2"/>
  <c r="A209" i="2" s="1"/>
  <c r="A251" i="2" s="1"/>
  <c r="A293" i="2" s="1"/>
  <c r="A335" i="2" s="1"/>
  <c r="M166" i="2"/>
  <c r="L166" i="2"/>
  <c r="K166" i="2"/>
  <c r="J166" i="2"/>
  <c r="I166" i="2"/>
  <c r="H166" i="2"/>
  <c r="G166" i="2"/>
  <c r="F166" i="2"/>
  <c r="E166" i="2"/>
  <c r="D166" i="2"/>
  <c r="B166" i="2"/>
  <c r="B208" i="2" s="1"/>
  <c r="B250" i="2" s="1"/>
  <c r="B292" i="2" s="1"/>
  <c r="B334" i="2" s="1"/>
  <c r="A166" i="2"/>
  <c r="A208" i="2" s="1"/>
  <c r="A250" i="2" s="1"/>
  <c r="A292" i="2" s="1"/>
  <c r="A334" i="2" s="1"/>
  <c r="M165" i="2"/>
  <c r="L165" i="2"/>
  <c r="K165" i="2"/>
  <c r="J165" i="2"/>
  <c r="I165" i="2"/>
  <c r="H165" i="2"/>
  <c r="G165" i="2"/>
  <c r="F165" i="2"/>
  <c r="E165" i="2"/>
  <c r="D165" i="2"/>
  <c r="B165" i="2"/>
  <c r="B207" i="2" s="1"/>
  <c r="B249" i="2" s="1"/>
  <c r="B291" i="2" s="1"/>
  <c r="B333" i="2" s="1"/>
  <c r="A165" i="2"/>
  <c r="A207" i="2" s="1"/>
  <c r="A249" i="2" s="1"/>
  <c r="A291" i="2" s="1"/>
  <c r="A333" i="2" s="1"/>
  <c r="M164" i="2"/>
  <c r="L164" i="2"/>
  <c r="K164" i="2"/>
  <c r="J164" i="2"/>
  <c r="I164" i="2"/>
  <c r="H164" i="2"/>
  <c r="G164" i="2"/>
  <c r="F164" i="2"/>
  <c r="E164" i="2"/>
  <c r="D164" i="2"/>
  <c r="B164" i="2"/>
  <c r="B206" i="2" s="1"/>
  <c r="B248" i="2" s="1"/>
  <c r="B290" i="2" s="1"/>
  <c r="B332" i="2" s="1"/>
  <c r="A164" i="2"/>
  <c r="A206" i="2" s="1"/>
  <c r="A248" i="2" s="1"/>
  <c r="A290" i="2" s="1"/>
  <c r="A332" i="2" s="1"/>
  <c r="M163" i="2"/>
  <c r="L163" i="2"/>
  <c r="K163" i="2"/>
  <c r="J163" i="2"/>
  <c r="I163" i="2"/>
  <c r="H163" i="2"/>
  <c r="G163" i="2"/>
  <c r="F163" i="2"/>
  <c r="E163" i="2"/>
  <c r="D163" i="2"/>
  <c r="B163" i="2"/>
  <c r="B205" i="2" s="1"/>
  <c r="B247" i="2" s="1"/>
  <c r="B289" i="2" s="1"/>
  <c r="B331" i="2" s="1"/>
  <c r="A163" i="2"/>
  <c r="A205" i="2" s="1"/>
  <c r="A247" i="2" s="1"/>
  <c r="A289" i="2" s="1"/>
  <c r="A331" i="2" s="1"/>
  <c r="M162" i="2"/>
  <c r="L162" i="2"/>
  <c r="K162" i="2"/>
  <c r="J162" i="2"/>
  <c r="I162" i="2"/>
  <c r="H162" i="2"/>
  <c r="G162" i="2"/>
  <c r="F162" i="2"/>
  <c r="E162" i="2"/>
  <c r="D162" i="2"/>
  <c r="B162" i="2"/>
  <c r="B204" i="2" s="1"/>
  <c r="B246" i="2" s="1"/>
  <c r="B288" i="2" s="1"/>
  <c r="B330" i="2" s="1"/>
  <c r="A162" i="2"/>
  <c r="A204" i="2" s="1"/>
  <c r="A246" i="2" s="1"/>
  <c r="A288" i="2" s="1"/>
  <c r="A330" i="2" s="1"/>
  <c r="M161" i="2"/>
  <c r="L161" i="2"/>
  <c r="K161" i="2"/>
  <c r="J161" i="2"/>
  <c r="I161" i="2"/>
  <c r="H161" i="2"/>
  <c r="G161" i="2"/>
  <c r="F161" i="2"/>
  <c r="E161" i="2"/>
  <c r="D161" i="2"/>
  <c r="B161" i="2"/>
  <c r="B203" i="2" s="1"/>
  <c r="B245" i="2" s="1"/>
  <c r="B287" i="2" s="1"/>
  <c r="B329" i="2" s="1"/>
  <c r="A161" i="2"/>
  <c r="A203" i="2" s="1"/>
  <c r="A245" i="2" s="1"/>
  <c r="A287" i="2" s="1"/>
  <c r="A329" i="2" s="1"/>
  <c r="M160" i="2"/>
  <c r="L160" i="2"/>
  <c r="K160" i="2"/>
  <c r="J160" i="2"/>
  <c r="I160" i="2"/>
  <c r="H160" i="2"/>
  <c r="G160" i="2"/>
  <c r="F160" i="2"/>
  <c r="E160" i="2"/>
  <c r="D160" i="2"/>
  <c r="B160" i="2"/>
  <c r="B202" i="2" s="1"/>
  <c r="B244" i="2" s="1"/>
  <c r="B286" i="2" s="1"/>
  <c r="B328" i="2" s="1"/>
  <c r="A160" i="2"/>
  <c r="A202" i="2" s="1"/>
  <c r="A244" i="2" s="1"/>
  <c r="A286" i="2" s="1"/>
  <c r="A328" i="2" s="1"/>
  <c r="M159" i="2"/>
  <c r="L159" i="2"/>
  <c r="K159" i="2"/>
  <c r="J159" i="2"/>
  <c r="I159" i="2"/>
  <c r="H159" i="2"/>
  <c r="G159" i="2"/>
  <c r="F159" i="2"/>
  <c r="E159" i="2"/>
  <c r="D159" i="2"/>
  <c r="B159" i="2"/>
  <c r="B201" i="2" s="1"/>
  <c r="B243" i="2" s="1"/>
  <c r="B285" i="2" s="1"/>
  <c r="B327" i="2" s="1"/>
  <c r="A159" i="2"/>
  <c r="A201" i="2" s="1"/>
  <c r="A243" i="2" s="1"/>
  <c r="A285" i="2" s="1"/>
  <c r="A327" i="2" s="1"/>
  <c r="M158" i="2"/>
  <c r="L158" i="2"/>
  <c r="K158" i="2"/>
  <c r="J158" i="2"/>
  <c r="I158" i="2"/>
  <c r="H158" i="2"/>
  <c r="G158" i="2"/>
  <c r="F158" i="2"/>
  <c r="E158" i="2"/>
  <c r="D158" i="2"/>
  <c r="B158" i="2"/>
  <c r="B200" i="2" s="1"/>
  <c r="B242" i="2" s="1"/>
  <c r="B284" i="2" s="1"/>
  <c r="B326" i="2" s="1"/>
  <c r="A158" i="2"/>
  <c r="A200" i="2" s="1"/>
  <c r="A242" i="2" s="1"/>
  <c r="A284" i="2" s="1"/>
  <c r="A326" i="2" s="1"/>
  <c r="M157" i="2"/>
  <c r="L157" i="2"/>
  <c r="K157" i="2"/>
  <c r="J157" i="2"/>
  <c r="I157" i="2"/>
  <c r="H157" i="2"/>
  <c r="G157" i="2"/>
  <c r="F157" i="2"/>
  <c r="E157" i="2"/>
  <c r="D157" i="2"/>
  <c r="B157" i="2"/>
  <c r="B199" i="2" s="1"/>
  <c r="B241" i="2" s="1"/>
  <c r="B283" i="2" s="1"/>
  <c r="B325" i="2" s="1"/>
  <c r="A157" i="2"/>
  <c r="A199" i="2" s="1"/>
  <c r="A241" i="2" s="1"/>
  <c r="A283" i="2" s="1"/>
  <c r="A325" i="2" s="1"/>
  <c r="M156" i="2"/>
  <c r="L156" i="2"/>
  <c r="K156" i="2"/>
  <c r="J156" i="2"/>
  <c r="I156" i="2"/>
  <c r="H156" i="2"/>
  <c r="G156" i="2"/>
  <c r="F156" i="2"/>
  <c r="E156" i="2"/>
  <c r="D156" i="2"/>
  <c r="B156" i="2"/>
  <c r="B198" i="2" s="1"/>
  <c r="B240" i="2" s="1"/>
  <c r="B282" i="2" s="1"/>
  <c r="B324" i="2" s="1"/>
  <c r="A156" i="2"/>
  <c r="A198" i="2" s="1"/>
  <c r="A240" i="2" s="1"/>
  <c r="A282" i="2" s="1"/>
  <c r="A324" i="2" s="1"/>
  <c r="M155" i="2"/>
  <c r="L155" i="2"/>
  <c r="K155" i="2"/>
  <c r="J155" i="2"/>
  <c r="I155" i="2"/>
  <c r="H155" i="2"/>
  <c r="G155" i="2"/>
  <c r="F155" i="2"/>
  <c r="E155" i="2"/>
  <c r="D155" i="2"/>
  <c r="C155" i="2"/>
  <c r="B155" i="2"/>
  <c r="B197" i="2" s="1"/>
  <c r="B239" i="2" s="1"/>
  <c r="B281" i="2" s="1"/>
  <c r="B323" i="2" s="1"/>
  <c r="A155" i="2"/>
  <c r="A197" i="2" s="1"/>
  <c r="A239" i="2" s="1"/>
  <c r="A281" i="2" s="1"/>
  <c r="A323" i="2" s="1"/>
  <c r="M154" i="2"/>
  <c r="L154" i="2"/>
  <c r="K154" i="2"/>
  <c r="J154" i="2"/>
  <c r="I154" i="2"/>
  <c r="H154" i="2"/>
  <c r="G154" i="2"/>
  <c r="F154" i="2"/>
  <c r="E154" i="2"/>
  <c r="D154" i="2"/>
  <c r="B154" i="2"/>
  <c r="B196" i="2" s="1"/>
  <c r="B238" i="2" s="1"/>
  <c r="B280" i="2" s="1"/>
  <c r="B322" i="2" s="1"/>
  <c r="A154" i="2"/>
  <c r="A196" i="2" s="1"/>
  <c r="A238" i="2" s="1"/>
  <c r="A280" i="2" s="1"/>
  <c r="A322" i="2" s="1"/>
  <c r="M153" i="2"/>
  <c r="L153" i="2"/>
  <c r="K153" i="2"/>
  <c r="J153" i="2"/>
  <c r="I153" i="2"/>
  <c r="H153" i="2"/>
  <c r="G153" i="2"/>
  <c r="F153" i="2"/>
  <c r="E153" i="2"/>
  <c r="D153" i="2"/>
  <c r="B153" i="2"/>
  <c r="B195" i="2" s="1"/>
  <c r="B237" i="2" s="1"/>
  <c r="B279" i="2" s="1"/>
  <c r="B321" i="2" s="1"/>
  <c r="A153" i="2"/>
  <c r="A195" i="2" s="1"/>
  <c r="A237" i="2" s="1"/>
  <c r="A279" i="2" s="1"/>
  <c r="A321" i="2" s="1"/>
  <c r="M152" i="2"/>
  <c r="L152" i="2"/>
  <c r="K152" i="2"/>
  <c r="J152" i="2"/>
  <c r="I152" i="2"/>
  <c r="H152" i="2"/>
  <c r="G152" i="2"/>
  <c r="F152" i="2"/>
  <c r="E152" i="2"/>
  <c r="D152" i="2"/>
  <c r="B152" i="2"/>
  <c r="B194" i="2" s="1"/>
  <c r="B236" i="2" s="1"/>
  <c r="B278" i="2" s="1"/>
  <c r="B320" i="2" s="1"/>
  <c r="A152" i="2"/>
  <c r="A194" i="2" s="1"/>
  <c r="A236" i="2" s="1"/>
  <c r="A278" i="2" s="1"/>
  <c r="A320" i="2" s="1"/>
  <c r="M151" i="2"/>
  <c r="L151" i="2"/>
  <c r="K151" i="2"/>
  <c r="J151" i="2"/>
  <c r="I151" i="2"/>
  <c r="H151" i="2"/>
  <c r="G151" i="2"/>
  <c r="F151" i="2"/>
  <c r="E151" i="2"/>
  <c r="D151" i="2"/>
  <c r="B151" i="2"/>
  <c r="B193" i="2" s="1"/>
  <c r="B235" i="2" s="1"/>
  <c r="B277" i="2" s="1"/>
  <c r="B319" i="2" s="1"/>
  <c r="A151" i="2"/>
  <c r="A193" i="2" s="1"/>
  <c r="A235" i="2" s="1"/>
  <c r="A277" i="2" s="1"/>
  <c r="A319" i="2" s="1"/>
  <c r="B150" i="2"/>
  <c r="B192" i="2" s="1"/>
  <c r="B234" i="2" s="1"/>
  <c r="B276" i="2" s="1"/>
  <c r="B318" i="2" s="1"/>
  <c r="A150" i="2"/>
  <c r="A192" i="2" s="1"/>
  <c r="A234" i="2" s="1"/>
  <c r="A276" i="2" s="1"/>
  <c r="A318" i="2" s="1"/>
  <c r="M149" i="2"/>
  <c r="L149" i="2"/>
  <c r="K149" i="2"/>
  <c r="J149" i="2"/>
  <c r="I149" i="2"/>
  <c r="H149" i="2"/>
  <c r="G149" i="2"/>
  <c r="F149" i="2"/>
  <c r="E149" i="2"/>
  <c r="D149" i="2"/>
  <c r="B149" i="2"/>
  <c r="B191" i="2" s="1"/>
  <c r="B233" i="2" s="1"/>
  <c r="B275" i="2" s="1"/>
  <c r="B317" i="2" s="1"/>
  <c r="A149" i="2"/>
  <c r="A191" i="2" s="1"/>
  <c r="A233" i="2" s="1"/>
  <c r="A275" i="2" s="1"/>
  <c r="A317" i="2" s="1"/>
  <c r="M148" i="2"/>
  <c r="L148" i="2"/>
  <c r="K148" i="2"/>
  <c r="J148" i="2"/>
  <c r="I148" i="2"/>
  <c r="H148" i="2"/>
  <c r="G148" i="2"/>
  <c r="F148" i="2"/>
  <c r="E148" i="2"/>
  <c r="D148" i="2"/>
  <c r="B148" i="2"/>
  <c r="B190" i="2" s="1"/>
  <c r="B232" i="2" s="1"/>
  <c r="B274" i="2" s="1"/>
  <c r="B316" i="2" s="1"/>
  <c r="A148" i="2"/>
  <c r="A190" i="2" s="1"/>
  <c r="A232" i="2" s="1"/>
  <c r="A274" i="2" s="1"/>
  <c r="A316" i="2" s="1"/>
  <c r="M147" i="2"/>
  <c r="L147" i="2"/>
  <c r="K147" i="2"/>
  <c r="J147" i="2"/>
  <c r="I147" i="2"/>
  <c r="H147" i="2"/>
  <c r="G147" i="2"/>
  <c r="F147" i="2"/>
  <c r="E147" i="2"/>
  <c r="D147" i="2"/>
  <c r="B147" i="2"/>
  <c r="B189" i="2" s="1"/>
  <c r="B231" i="2" s="1"/>
  <c r="B273" i="2" s="1"/>
  <c r="B315" i="2" s="1"/>
  <c r="A147" i="2"/>
  <c r="A189" i="2" s="1"/>
  <c r="A231" i="2" s="1"/>
  <c r="A273" i="2" s="1"/>
  <c r="A315" i="2" s="1"/>
  <c r="M146" i="2"/>
  <c r="L146" i="2"/>
  <c r="K146" i="2"/>
  <c r="J146" i="2"/>
  <c r="I146" i="2"/>
  <c r="H146" i="2"/>
  <c r="G146" i="2"/>
  <c r="F146" i="2"/>
  <c r="E146" i="2"/>
  <c r="D146" i="2"/>
  <c r="B146" i="2"/>
  <c r="B188" i="2" s="1"/>
  <c r="B230" i="2" s="1"/>
  <c r="B272" i="2" s="1"/>
  <c r="B314" i="2" s="1"/>
  <c r="A146" i="2"/>
  <c r="A188" i="2" s="1"/>
  <c r="A230" i="2" s="1"/>
  <c r="A272" i="2" s="1"/>
  <c r="A314" i="2" s="1"/>
  <c r="M145" i="2"/>
  <c r="L145" i="2"/>
  <c r="K145" i="2"/>
  <c r="J145" i="2"/>
  <c r="I145" i="2"/>
  <c r="H145" i="2"/>
  <c r="G145" i="2"/>
  <c r="F145" i="2"/>
  <c r="E145" i="2"/>
  <c r="D145" i="2"/>
  <c r="B145" i="2"/>
  <c r="B187" i="2" s="1"/>
  <c r="B229" i="2" s="1"/>
  <c r="B271" i="2" s="1"/>
  <c r="B313" i="2" s="1"/>
  <c r="A145" i="2"/>
  <c r="A187" i="2" s="1"/>
  <c r="A229" i="2" s="1"/>
  <c r="A271" i="2" s="1"/>
  <c r="A313" i="2" s="1"/>
  <c r="M144" i="2"/>
  <c r="L144" i="2"/>
  <c r="K144" i="2"/>
  <c r="J144" i="2"/>
  <c r="I144" i="2"/>
  <c r="H144" i="2"/>
  <c r="G144" i="2"/>
  <c r="F144" i="2"/>
  <c r="E144" i="2"/>
  <c r="D144" i="2"/>
  <c r="B144" i="2"/>
  <c r="B186" i="2" s="1"/>
  <c r="B228" i="2" s="1"/>
  <c r="B270" i="2" s="1"/>
  <c r="B312" i="2" s="1"/>
  <c r="A144" i="2"/>
  <c r="A186" i="2" s="1"/>
  <c r="A228" i="2" s="1"/>
  <c r="A270" i="2" s="1"/>
  <c r="A312" i="2" s="1"/>
  <c r="M143" i="2"/>
  <c r="L143" i="2"/>
  <c r="K143" i="2"/>
  <c r="J143" i="2"/>
  <c r="I143" i="2"/>
  <c r="H143" i="2"/>
  <c r="G143" i="2"/>
  <c r="F143" i="2"/>
  <c r="E143" i="2"/>
  <c r="D143" i="2"/>
  <c r="B143" i="2"/>
  <c r="B185" i="2" s="1"/>
  <c r="B227" i="2" s="1"/>
  <c r="B269" i="2" s="1"/>
  <c r="B311" i="2" s="1"/>
  <c r="A143" i="2"/>
  <c r="A185" i="2" s="1"/>
  <c r="A227" i="2" s="1"/>
  <c r="A269" i="2" s="1"/>
  <c r="A311" i="2" s="1"/>
  <c r="M142" i="2"/>
  <c r="L142" i="2"/>
  <c r="K142" i="2"/>
  <c r="J142" i="2"/>
  <c r="I142" i="2"/>
  <c r="H142" i="2"/>
  <c r="G142" i="2"/>
  <c r="F142" i="2"/>
  <c r="E142" i="2"/>
  <c r="D142" i="2"/>
  <c r="C142" i="2" s="1"/>
  <c r="B142" i="2"/>
  <c r="B184" i="2" s="1"/>
  <c r="B226" i="2" s="1"/>
  <c r="B268" i="2" s="1"/>
  <c r="B310" i="2" s="1"/>
  <c r="A142" i="2"/>
  <c r="A184" i="2" s="1"/>
  <c r="A226" i="2" s="1"/>
  <c r="A268" i="2" s="1"/>
  <c r="A310" i="2" s="1"/>
  <c r="M141" i="2"/>
  <c r="L141" i="2"/>
  <c r="K141" i="2"/>
  <c r="J141" i="2"/>
  <c r="I141" i="2"/>
  <c r="H141" i="2"/>
  <c r="G141" i="2"/>
  <c r="F141" i="2"/>
  <c r="E141" i="2"/>
  <c r="D141" i="2"/>
  <c r="B141" i="2"/>
  <c r="B183" i="2" s="1"/>
  <c r="B225" i="2" s="1"/>
  <c r="B267" i="2" s="1"/>
  <c r="B309" i="2" s="1"/>
  <c r="A141" i="2"/>
  <c r="A183" i="2" s="1"/>
  <c r="A225" i="2" s="1"/>
  <c r="A267" i="2" s="1"/>
  <c r="A309" i="2" s="1"/>
  <c r="M140" i="2"/>
  <c r="M178" i="2" s="1"/>
  <c r="L140" i="2"/>
  <c r="L178" i="2" s="1"/>
  <c r="K140" i="2"/>
  <c r="K178" i="2" s="1"/>
  <c r="J140" i="2"/>
  <c r="J178" i="2" s="1"/>
  <c r="I140" i="2"/>
  <c r="I178" i="2" s="1"/>
  <c r="H140" i="2"/>
  <c r="H178" i="2" s="1"/>
  <c r="G140" i="2"/>
  <c r="G178" i="2" s="1"/>
  <c r="F140" i="2"/>
  <c r="F178" i="2" s="1"/>
  <c r="E140" i="2"/>
  <c r="E178" i="2" s="1"/>
  <c r="D140" i="2"/>
  <c r="D178" i="2" s="1"/>
  <c r="B140" i="2"/>
  <c r="B182" i="2" s="1"/>
  <c r="B224" i="2" s="1"/>
  <c r="B266" i="2" s="1"/>
  <c r="B308" i="2" s="1"/>
  <c r="A140" i="2"/>
  <c r="A182" i="2" s="1"/>
  <c r="A224" i="2" s="1"/>
  <c r="A266" i="2" s="1"/>
  <c r="A308" i="2" s="1"/>
  <c r="B127" i="2"/>
  <c r="A127" i="2"/>
  <c r="B126" i="2"/>
  <c r="A126" i="2"/>
  <c r="B125" i="2"/>
  <c r="A125" i="2"/>
  <c r="B124" i="2"/>
  <c r="A124" i="2"/>
  <c r="B123" i="2"/>
  <c r="A123" i="2"/>
  <c r="B122" i="2"/>
  <c r="A122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M85" i="2"/>
  <c r="L85" i="2"/>
  <c r="K85" i="2"/>
  <c r="J85" i="2"/>
  <c r="I85" i="2"/>
  <c r="H85" i="2"/>
  <c r="G85" i="2"/>
  <c r="F85" i="2"/>
  <c r="E85" i="2"/>
  <c r="D85" i="2"/>
  <c r="B85" i="2"/>
  <c r="A85" i="2"/>
  <c r="M84" i="2"/>
  <c r="L84" i="2"/>
  <c r="K84" i="2"/>
  <c r="J84" i="2"/>
  <c r="I84" i="2"/>
  <c r="H84" i="2"/>
  <c r="G84" i="2"/>
  <c r="F84" i="2"/>
  <c r="E84" i="2"/>
  <c r="D84" i="2"/>
  <c r="B84" i="2"/>
  <c r="A84" i="2"/>
  <c r="M83" i="2"/>
  <c r="L83" i="2"/>
  <c r="K83" i="2"/>
  <c r="J83" i="2"/>
  <c r="I83" i="2"/>
  <c r="H83" i="2"/>
  <c r="G83" i="2"/>
  <c r="F83" i="2"/>
  <c r="E83" i="2"/>
  <c r="D83" i="2"/>
  <c r="B83" i="2"/>
  <c r="A83" i="2"/>
  <c r="M82" i="2"/>
  <c r="L82" i="2"/>
  <c r="K82" i="2"/>
  <c r="J82" i="2"/>
  <c r="I82" i="2"/>
  <c r="H82" i="2"/>
  <c r="G82" i="2"/>
  <c r="F82" i="2"/>
  <c r="E82" i="2"/>
  <c r="D82" i="2"/>
  <c r="B82" i="2"/>
  <c r="A82" i="2"/>
  <c r="M81" i="2"/>
  <c r="L81" i="2"/>
  <c r="K81" i="2"/>
  <c r="J81" i="2"/>
  <c r="I81" i="2"/>
  <c r="H81" i="2"/>
  <c r="G81" i="2"/>
  <c r="F81" i="2"/>
  <c r="E81" i="2"/>
  <c r="D81" i="2"/>
  <c r="B81" i="2"/>
  <c r="A81" i="2"/>
  <c r="M80" i="2"/>
  <c r="L80" i="2"/>
  <c r="K80" i="2"/>
  <c r="J80" i="2"/>
  <c r="I80" i="2"/>
  <c r="H80" i="2"/>
  <c r="G80" i="2"/>
  <c r="F80" i="2"/>
  <c r="E80" i="2"/>
  <c r="D80" i="2"/>
  <c r="B80" i="2"/>
  <c r="A80" i="2"/>
  <c r="M79" i="2"/>
  <c r="L79" i="2"/>
  <c r="K79" i="2"/>
  <c r="J79" i="2"/>
  <c r="I79" i="2"/>
  <c r="H79" i="2"/>
  <c r="G79" i="2"/>
  <c r="F79" i="2"/>
  <c r="E79" i="2"/>
  <c r="D79" i="2"/>
  <c r="B79" i="2"/>
  <c r="A79" i="2"/>
  <c r="M78" i="2"/>
  <c r="L78" i="2"/>
  <c r="K78" i="2"/>
  <c r="J78" i="2"/>
  <c r="I78" i="2"/>
  <c r="H78" i="2"/>
  <c r="G78" i="2"/>
  <c r="F78" i="2"/>
  <c r="E78" i="2"/>
  <c r="D78" i="2"/>
  <c r="B78" i="2"/>
  <c r="A78" i="2"/>
  <c r="M77" i="2"/>
  <c r="L77" i="2"/>
  <c r="K77" i="2"/>
  <c r="J77" i="2"/>
  <c r="I77" i="2"/>
  <c r="H77" i="2"/>
  <c r="G77" i="2"/>
  <c r="F77" i="2"/>
  <c r="E77" i="2"/>
  <c r="D77" i="2"/>
  <c r="B77" i="2"/>
  <c r="A77" i="2"/>
  <c r="M76" i="2"/>
  <c r="L76" i="2"/>
  <c r="K76" i="2"/>
  <c r="J76" i="2"/>
  <c r="I76" i="2"/>
  <c r="H76" i="2"/>
  <c r="G76" i="2"/>
  <c r="F76" i="2"/>
  <c r="E76" i="2"/>
  <c r="D76" i="2"/>
  <c r="B76" i="2"/>
  <c r="A76" i="2"/>
  <c r="M75" i="2"/>
  <c r="L75" i="2"/>
  <c r="K75" i="2"/>
  <c r="J75" i="2"/>
  <c r="I75" i="2"/>
  <c r="H75" i="2"/>
  <c r="G75" i="2"/>
  <c r="F75" i="2"/>
  <c r="E75" i="2"/>
  <c r="D75" i="2"/>
  <c r="B75" i="2"/>
  <c r="A75" i="2"/>
  <c r="M74" i="2"/>
  <c r="K74" i="2"/>
  <c r="J74" i="2"/>
  <c r="I74" i="2"/>
  <c r="H74" i="2"/>
  <c r="G74" i="2"/>
  <c r="F74" i="2"/>
  <c r="E74" i="2"/>
  <c r="D74" i="2"/>
  <c r="B74" i="2"/>
  <c r="A74" i="2"/>
  <c r="M73" i="2"/>
  <c r="L73" i="2"/>
  <c r="K73" i="2"/>
  <c r="J73" i="2"/>
  <c r="I73" i="2"/>
  <c r="H73" i="2"/>
  <c r="G73" i="2"/>
  <c r="F73" i="2"/>
  <c r="E73" i="2"/>
  <c r="D73" i="2"/>
  <c r="B73" i="2"/>
  <c r="A73" i="2"/>
  <c r="M72" i="2"/>
  <c r="L72" i="2"/>
  <c r="K72" i="2"/>
  <c r="J72" i="2"/>
  <c r="I72" i="2"/>
  <c r="H72" i="2"/>
  <c r="G72" i="2"/>
  <c r="F72" i="2"/>
  <c r="E72" i="2"/>
  <c r="D72" i="2"/>
  <c r="B72" i="2"/>
  <c r="A72" i="2"/>
  <c r="M71" i="2"/>
  <c r="L71" i="2"/>
  <c r="K71" i="2"/>
  <c r="J71" i="2"/>
  <c r="I71" i="2"/>
  <c r="H71" i="2"/>
  <c r="G71" i="2"/>
  <c r="F71" i="2"/>
  <c r="E71" i="2"/>
  <c r="D71" i="2"/>
  <c r="B71" i="2"/>
  <c r="A71" i="2"/>
  <c r="M70" i="2"/>
  <c r="L70" i="2"/>
  <c r="K70" i="2"/>
  <c r="J70" i="2"/>
  <c r="I70" i="2"/>
  <c r="H70" i="2"/>
  <c r="G70" i="2"/>
  <c r="F70" i="2"/>
  <c r="E70" i="2"/>
  <c r="D70" i="2"/>
  <c r="B70" i="2"/>
  <c r="A70" i="2"/>
  <c r="M69" i="2"/>
  <c r="L69" i="2"/>
  <c r="K69" i="2"/>
  <c r="J69" i="2"/>
  <c r="I69" i="2"/>
  <c r="H69" i="2"/>
  <c r="G69" i="2"/>
  <c r="F69" i="2"/>
  <c r="E69" i="2"/>
  <c r="D69" i="2"/>
  <c r="B69" i="2"/>
  <c r="A69" i="2"/>
  <c r="M68" i="2"/>
  <c r="L68" i="2"/>
  <c r="K68" i="2"/>
  <c r="J68" i="2"/>
  <c r="I68" i="2"/>
  <c r="H68" i="2"/>
  <c r="G68" i="2"/>
  <c r="F68" i="2"/>
  <c r="E68" i="2"/>
  <c r="D68" i="2"/>
  <c r="B68" i="2"/>
  <c r="A68" i="2"/>
  <c r="M67" i="2"/>
  <c r="L67" i="2"/>
  <c r="K67" i="2"/>
  <c r="J67" i="2"/>
  <c r="I67" i="2"/>
  <c r="H67" i="2"/>
  <c r="G67" i="2"/>
  <c r="F67" i="2"/>
  <c r="E67" i="2"/>
  <c r="D67" i="2"/>
  <c r="B67" i="2"/>
  <c r="A67" i="2"/>
  <c r="M66" i="2"/>
  <c r="L66" i="2"/>
  <c r="K66" i="2"/>
  <c r="J66" i="2"/>
  <c r="I66" i="2"/>
  <c r="H66" i="2"/>
  <c r="G66" i="2"/>
  <c r="F66" i="2"/>
  <c r="E66" i="2"/>
  <c r="D66" i="2"/>
  <c r="B66" i="2"/>
  <c r="A66" i="2"/>
  <c r="M65" i="2"/>
  <c r="L65" i="2"/>
  <c r="K65" i="2"/>
  <c r="J65" i="2"/>
  <c r="I65" i="2"/>
  <c r="H65" i="2"/>
  <c r="G65" i="2"/>
  <c r="F65" i="2"/>
  <c r="E65" i="2"/>
  <c r="D65" i="2"/>
  <c r="B65" i="2"/>
  <c r="A65" i="2"/>
  <c r="M64" i="2"/>
  <c r="L64" i="2"/>
  <c r="K64" i="2"/>
  <c r="J64" i="2"/>
  <c r="I64" i="2"/>
  <c r="H64" i="2"/>
  <c r="G64" i="2"/>
  <c r="F64" i="2"/>
  <c r="E64" i="2"/>
  <c r="D64" i="2"/>
  <c r="B64" i="2"/>
  <c r="A64" i="2"/>
  <c r="M63" i="2"/>
  <c r="L63" i="2"/>
  <c r="K63" i="2"/>
  <c r="J63" i="2"/>
  <c r="I63" i="2"/>
  <c r="H63" i="2"/>
  <c r="G63" i="2"/>
  <c r="F63" i="2"/>
  <c r="E63" i="2"/>
  <c r="D63" i="2"/>
  <c r="B63" i="2"/>
  <c r="A63" i="2"/>
  <c r="M62" i="2"/>
  <c r="L62" i="2"/>
  <c r="K62" i="2"/>
  <c r="J62" i="2"/>
  <c r="I62" i="2"/>
  <c r="H62" i="2"/>
  <c r="G62" i="2"/>
  <c r="F62" i="2"/>
  <c r="E62" i="2"/>
  <c r="D62" i="2"/>
  <c r="B62" i="2"/>
  <c r="A62" i="2"/>
  <c r="M61" i="2"/>
  <c r="L61" i="2"/>
  <c r="K61" i="2"/>
  <c r="J61" i="2"/>
  <c r="I61" i="2"/>
  <c r="H61" i="2"/>
  <c r="G61" i="2"/>
  <c r="F61" i="2"/>
  <c r="E61" i="2"/>
  <c r="D61" i="2"/>
  <c r="B61" i="2"/>
  <c r="A61" i="2"/>
  <c r="M60" i="2"/>
  <c r="L60" i="2"/>
  <c r="K60" i="2"/>
  <c r="J60" i="2"/>
  <c r="I60" i="2"/>
  <c r="H60" i="2"/>
  <c r="G60" i="2"/>
  <c r="F60" i="2"/>
  <c r="E60" i="2"/>
  <c r="D60" i="2"/>
  <c r="B60" i="2"/>
  <c r="A60" i="2"/>
  <c r="M59" i="2"/>
  <c r="L59" i="2"/>
  <c r="K59" i="2"/>
  <c r="J59" i="2"/>
  <c r="I59" i="2"/>
  <c r="H59" i="2"/>
  <c r="G59" i="2"/>
  <c r="F59" i="2"/>
  <c r="E59" i="2"/>
  <c r="D59" i="2"/>
  <c r="B59" i="2"/>
  <c r="A59" i="2"/>
  <c r="K58" i="2"/>
  <c r="F58" i="2"/>
  <c r="E58" i="2"/>
  <c r="D58" i="2"/>
  <c r="B58" i="2"/>
  <c r="A58" i="2"/>
  <c r="M57" i="2"/>
  <c r="L57" i="2"/>
  <c r="K57" i="2"/>
  <c r="J57" i="2"/>
  <c r="I57" i="2"/>
  <c r="H57" i="2"/>
  <c r="G57" i="2"/>
  <c r="F57" i="2"/>
  <c r="E57" i="2"/>
  <c r="D57" i="2"/>
  <c r="B57" i="2"/>
  <c r="A57" i="2"/>
  <c r="M56" i="2"/>
  <c r="L56" i="2"/>
  <c r="K56" i="2"/>
  <c r="J56" i="2"/>
  <c r="I56" i="2"/>
  <c r="H56" i="2"/>
  <c r="G56" i="2"/>
  <c r="F56" i="2"/>
  <c r="E56" i="2"/>
  <c r="D56" i="2"/>
  <c r="B56" i="2"/>
  <c r="A56" i="2"/>
  <c r="M55" i="2"/>
  <c r="L55" i="2"/>
  <c r="K55" i="2"/>
  <c r="J55" i="2"/>
  <c r="I55" i="2"/>
  <c r="H55" i="2"/>
  <c r="G55" i="2"/>
  <c r="F55" i="2"/>
  <c r="E55" i="2"/>
  <c r="D55" i="2"/>
  <c r="B55" i="2"/>
  <c r="A55" i="2"/>
  <c r="M54" i="2"/>
  <c r="L54" i="2"/>
  <c r="K54" i="2"/>
  <c r="J54" i="2"/>
  <c r="I54" i="2"/>
  <c r="H54" i="2"/>
  <c r="G54" i="2"/>
  <c r="F54" i="2"/>
  <c r="E54" i="2"/>
  <c r="D54" i="2"/>
  <c r="B54" i="2"/>
  <c r="A54" i="2"/>
  <c r="M53" i="2"/>
  <c r="L53" i="2"/>
  <c r="K53" i="2"/>
  <c r="J53" i="2"/>
  <c r="I53" i="2"/>
  <c r="H53" i="2"/>
  <c r="G53" i="2"/>
  <c r="F53" i="2"/>
  <c r="E53" i="2"/>
  <c r="D53" i="2"/>
  <c r="B53" i="2"/>
  <c r="A53" i="2"/>
  <c r="M52" i="2"/>
  <c r="L52" i="2"/>
  <c r="K52" i="2"/>
  <c r="J52" i="2"/>
  <c r="I52" i="2"/>
  <c r="H52" i="2"/>
  <c r="G52" i="2"/>
  <c r="F52" i="2"/>
  <c r="E52" i="2"/>
  <c r="D52" i="2"/>
  <c r="B52" i="2"/>
  <c r="A52" i="2"/>
  <c r="M51" i="2"/>
  <c r="L51" i="2"/>
  <c r="K51" i="2"/>
  <c r="J51" i="2"/>
  <c r="I51" i="2"/>
  <c r="H51" i="2"/>
  <c r="G51" i="2"/>
  <c r="F51" i="2"/>
  <c r="E51" i="2"/>
  <c r="D51" i="2"/>
  <c r="B51" i="2"/>
  <c r="A51" i="2"/>
  <c r="M50" i="2"/>
  <c r="L50" i="2"/>
  <c r="K50" i="2"/>
  <c r="J50" i="2"/>
  <c r="I50" i="2"/>
  <c r="H50" i="2"/>
  <c r="G50" i="2"/>
  <c r="F50" i="2"/>
  <c r="E50" i="2"/>
  <c r="D50" i="2"/>
  <c r="B50" i="2"/>
  <c r="A50" i="2"/>
  <c r="M49" i="2"/>
  <c r="L49" i="2"/>
  <c r="K49" i="2"/>
  <c r="J49" i="2"/>
  <c r="I49" i="2"/>
  <c r="H49" i="2"/>
  <c r="G49" i="2"/>
  <c r="F49" i="2"/>
  <c r="E49" i="2"/>
  <c r="D49" i="2"/>
  <c r="B49" i="2"/>
  <c r="A49" i="2"/>
  <c r="M48" i="2"/>
  <c r="L48" i="2"/>
  <c r="K48" i="2"/>
  <c r="K86" i="2" s="1"/>
  <c r="J48" i="2"/>
  <c r="I48" i="2"/>
  <c r="H48" i="2"/>
  <c r="G48" i="2"/>
  <c r="F48" i="2"/>
  <c r="E48" i="2"/>
  <c r="E86" i="2" s="1"/>
  <c r="D48" i="2"/>
  <c r="B48" i="2"/>
  <c r="A48" i="2"/>
  <c r="C43" i="7" l="1"/>
  <c r="I7" i="7" s="1"/>
  <c r="F17" i="7"/>
  <c r="G10" i="7"/>
  <c r="K13" i="7"/>
  <c r="J16" i="7"/>
  <c r="L19" i="7"/>
  <c r="F23" i="7"/>
  <c r="G26" i="7"/>
  <c r="K29" i="7"/>
  <c r="J32" i="7"/>
  <c r="L35" i="7"/>
  <c r="F39" i="7"/>
  <c r="G42" i="7"/>
  <c r="I20" i="7"/>
  <c r="I23" i="7"/>
  <c r="L26" i="7"/>
  <c r="D30" i="7"/>
  <c r="J5" i="7"/>
  <c r="M8" i="7"/>
  <c r="H10" i="7"/>
  <c r="M11" i="7"/>
  <c r="H13" i="7"/>
  <c r="G15" i="7"/>
  <c r="M16" i="7"/>
  <c r="G5" i="7"/>
  <c r="M6" i="7"/>
  <c r="H8" i="7"/>
  <c r="M9" i="7"/>
  <c r="H11" i="7"/>
  <c r="G13" i="7"/>
  <c r="M14" i="7"/>
  <c r="H16" i="7"/>
  <c r="M17" i="7"/>
  <c r="H19" i="7"/>
  <c r="G21" i="7"/>
  <c r="M22" i="7"/>
  <c r="H24" i="7"/>
  <c r="M25" i="7"/>
  <c r="H27" i="7"/>
  <c r="G29" i="7"/>
  <c r="M30" i="7"/>
  <c r="H32" i="7"/>
  <c r="M33" i="7"/>
  <c r="H35" i="7"/>
  <c r="G37" i="7"/>
  <c r="M38" i="7"/>
  <c r="H40" i="7"/>
  <c r="M41" i="7"/>
  <c r="F18" i="7"/>
  <c r="E20" i="7"/>
  <c r="J21" i="7"/>
  <c r="E23" i="7"/>
  <c r="K24" i="7"/>
  <c r="F26" i="7"/>
  <c r="E28" i="7"/>
  <c r="J29" i="7"/>
  <c r="E31" i="7"/>
  <c r="K32" i="7"/>
  <c r="F34" i="7"/>
  <c r="L6" i="7"/>
  <c r="I8" i="7"/>
  <c r="D10" i="7"/>
  <c r="I11" i="7"/>
  <c r="D13" i="7"/>
  <c r="L14" i="7"/>
  <c r="I16" i="7"/>
  <c r="F5" i="7"/>
  <c r="I6" i="7"/>
  <c r="D8" i="7"/>
  <c r="I9" i="7"/>
  <c r="D11" i="7"/>
  <c r="L12" i="7"/>
  <c r="I14" i="7"/>
  <c r="D16" i="7"/>
  <c r="I17" i="7"/>
  <c r="D19" i="7"/>
  <c r="L20" i="7"/>
  <c r="I22" i="7"/>
  <c r="D24" i="7"/>
  <c r="I25" i="7"/>
  <c r="D27" i="7"/>
  <c r="L28" i="7"/>
  <c r="I30" i="7"/>
  <c r="D32" i="7"/>
  <c r="I33" i="7"/>
  <c r="D35" i="7"/>
  <c r="L36" i="7"/>
  <c r="I38" i="7"/>
  <c r="D40" i="7"/>
  <c r="I41" i="7"/>
  <c r="L17" i="7"/>
  <c r="K19" i="7"/>
  <c r="F21" i="7"/>
  <c r="J22" i="7"/>
  <c r="G24" i="7"/>
  <c r="L25" i="7"/>
  <c r="K27" i="7"/>
  <c r="F29" i="7"/>
  <c r="J30" i="7"/>
  <c r="F169" i="9"/>
  <c r="F172" i="9"/>
  <c r="F187" i="9"/>
  <c r="F188" i="9"/>
  <c r="F171" i="9"/>
  <c r="F179" i="9"/>
  <c r="F175" i="9"/>
  <c r="F167" i="9"/>
  <c r="F163" i="9"/>
  <c r="F159" i="9"/>
  <c r="F156" i="9"/>
  <c r="F189" i="9"/>
  <c r="F170" i="9"/>
  <c r="F186" i="9"/>
  <c r="F180" i="9"/>
  <c r="F176" i="9"/>
  <c r="F168" i="9"/>
  <c r="F164" i="9"/>
  <c r="F160" i="9"/>
  <c r="F183" i="9"/>
  <c r="F190" i="9"/>
  <c r="F193" i="9"/>
  <c r="F184" i="9"/>
  <c r="F181" i="9"/>
  <c r="F177" i="9"/>
  <c r="F173" i="9"/>
  <c r="F165" i="9"/>
  <c r="F161" i="9"/>
  <c r="F157" i="9"/>
  <c r="F137" i="9" s="1"/>
  <c r="F192" i="9"/>
  <c r="F185" i="9"/>
  <c r="F191" i="9"/>
  <c r="F182" i="9"/>
  <c r="F178" i="9"/>
  <c r="F174" i="9"/>
  <c r="F166" i="9"/>
  <c r="F162" i="9"/>
  <c r="F158" i="9"/>
  <c r="E169" i="9"/>
  <c r="E178" i="9"/>
  <c r="E167" i="9"/>
  <c r="E160" i="9"/>
  <c r="E175" i="9"/>
  <c r="E161" i="9"/>
  <c r="E183" i="9"/>
  <c r="E190" i="9"/>
  <c r="E186" i="9"/>
  <c r="E170" i="9"/>
  <c r="E180" i="9"/>
  <c r="E166" i="9"/>
  <c r="E158" i="9"/>
  <c r="E181" i="9"/>
  <c r="E173" i="9"/>
  <c r="E163" i="9"/>
  <c r="E193" i="9"/>
  <c r="E189" i="9"/>
  <c r="E185" i="9"/>
  <c r="E182" i="9"/>
  <c r="E174" i="9"/>
  <c r="E164" i="9"/>
  <c r="E179" i="9"/>
  <c r="E165" i="9"/>
  <c r="E157" i="9"/>
  <c r="E192" i="9"/>
  <c r="E188" i="9"/>
  <c r="E184" i="9"/>
  <c r="E172" i="9"/>
  <c r="E176" i="9"/>
  <c r="E162" i="9"/>
  <c r="E156" i="9"/>
  <c r="E177" i="9"/>
  <c r="E168" i="9"/>
  <c r="E159" i="9"/>
  <c r="E191" i="9"/>
  <c r="E187" i="9"/>
  <c r="E171" i="9"/>
  <c r="I155" i="9"/>
  <c r="H192" i="9"/>
  <c r="H190" i="9"/>
  <c r="H188" i="9"/>
  <c r="H186" i="9"/>
  <c r="H184" i="9"/>
  <c r="H182" i="9"/>
  <c r="H180" i="9"/>
  <c r="H178" i="9"/>
  <c r="H176" i="9"/>
  <c r="H174" i="9"/>
  <c r="H172" i="9"/>
  <c r="H170" i="9"/>
  <c r="H168" i="9"/>
  <c r="H166" i="9"/>
  <c r="H164" i="9"/>
  <c r="H162" i="9"/>
  <c r="H160" i="9"/>
  <c r="H158" i="9"/>
  <c r="H156" i="9"/>
  <c r="H193" i="9"/>
  <c r="H191" i="9"/>
  <c r="H189" i="9"/>
  <c r="H187" i="9"/>
  <c r="H185" i="9"/>
  <c r="H183" i="9"/>
  <c r="H181" i="9"/>
  <c r="H179" i="9"/>
  <c r="H177" i="9"/>
  <c r="H175" i="9"/>
  <c r="H173" i="9"/>
  <c r="H171" i="9"/>
  <c r="H169" i="9"/>
  <c r="H167" i="9"/>
  <c r="H165" i="9"/>
  <c r="H163" i="9"/>
  <c r="H161" i="9"/>
  <c r="H159" i="9"/>
  <c r="H157" i="9"/>
  <c r="J190" i="9"/>
  <c r="J182" i="9"/>
  <c r="J174" i="9"/>
  <c r="J166" i="9"/>
  <c r="J158" i="9"/>
  <c r="J177" i="9"/>
  <c r="J161" i="9"/>
  <c r="J188" i="9"/>
  <c r="J180" i="9"/>
  <c r="J172" i="9"/>
  <c r="J164" i="9"/>
  <c r="J181" i="9"/>
  <c r="J165" i="9"/>
  <c r="J157" i="9"/>
  <c r="J189" i="9"/>
  <c r="J187" i="9"/>
  <c r="J167" i="9"/>
  <c r="J159" i="9"/>
  <c r="J179" i="9"/>
  <c r="J186" i="9"/>
  <c r="J178" i="9"/>
  <c r="J170" i="9"/>
  <c r="J162" i="9"/>
  <c r="J185" i="9"/>
  <c r="J169" i="9"/>
  <c r="J192" i="9"/>
  <c r="J184" i="9"/>
  <c r="J176" i="9"/>
  <c r="J168" i="9"/>
  <c r="J160" i="9"/>
  <c r="J173" i="9"/>
  <c r="J193" i="9"/>
  <c r="J175" i="9"/>
  <c r="J171" i="9"/>
  <c r="J156" i="9"/>
  <c r="J183" i="9"/>
  <c r="J163" i="9"/>
  <c r="J191" i="9"/>
  <c r="G193" i="9"/>
  <c r="G191" i="9"/>
  <c r="G189" i="9"/>
  <c r="G187" i="9"/>
  <c r="G185" i="9"/>
  <c r="G183" i="9"/>
  <c r="G181" i="9"/>
  <c r="G179" i="9"/>
  <c r="G177" i="9"/>
  <c r="G175" i="9"/>
  <c r="G173" i="9"/>
  <c r="G171" i="9"/>
  <c r="G169" i="9"/>
  <c r="G167" i="9"/>
  <c r="G165" i="9"/>
  <c r="G163" i="9"/>
  <c r="G161" i="9"/>
  <c r="G159" i="9"/>
  <c r="G157" i="9"/>
  <c r="G137" i="9" s="1"/>
  <c r="G192" i="9"/>
  <c r="G190" i="9"/>
  <c r="G188" i="9"/>
  <c r="G186" i="9"/>
  <c r="G184" i="9"/>
  <c r="G182" i="9"/>
  <c r="G180" i="9"/>
  <c r="G178" i="9"/>
  <c r="G176" i="9"/>
  <c r="G174" i="9"/>
  <c r="G172" i="9"/>
  <c r="G170" i="9"/>
  <c r="G168" i="9"/>
  <c r="G166" i="9"/>
  <c r="G164" i="9"/>
  <c r="G162" i="9"/>
  <c r="G160" i="9"/>
  <c r="G158" i="9"/>
  <c r="G156" i="9"/>
  <c r="L193" i="9"/>
  <c r="L191" i="9"/>
  <c r="L189" i="9"/>
  <c r="L187" i="9"/>
  <c r="L185" i="9"/>
  <c r="L183" i="9"/>
  <c r="L181" i="9"/>
  <c r="L179" i="9"/>
  <c r="L177" i="9"/>
  <c r="L175" i="9"/>
  <c r="L173" i="9"/>
  <c r="L171" i="9"/>
  <c r="L169" i="9"/>
  <c r="L167" i="9"/>
  <c r="L165" i="9"/>
  <c r="L163" i="9"/>
  <c r="L161" i="9"/>
  <c r="L159" i="9"/>
  <c r="L157" i="9"/>
  <c r="L137" i="9" s="1"/>
  <c r="L192" i="9"/>
  <c r="L190" i="9"/>
  <c r="L188" i="9"/>
  <c r="L186" i="9"/>
  <c r="L184" i="9"/>
  <c r="L182" i="9"/>
  <c r="L180" i="9"/>
  <c r="L178" i="9"/>
  <c r="L176" i="9"/>
  <c r="L174" i="9"/>
  <c r="L172" i="9"/>
  <c r="L170" i="9"/>
  <c r="L168" i="9"/>
  <c r="L166" i="9"/>
  <c r="L164" i="9"/>
  <c r="L162" i="9"/>
  <c r="L160" i="9"/>
  <c r="L158" i="9"/>
  <c r="L156" i="9"/>
  <c r="K193" i="9"/>
  <c r="K191" i="9"/>
  <c r="K189" i="9"/>
  <c r="K187" i="9"/>
  <c r="K185" i="9"/>
  <c r="K183" i="9"/>
  <c r="K181" i="9"/>
  <c r="K179" i="9"/>
  <c r="K177" i="9"/>
  <c r="K175" i="9"/>
  <c r="K173" i="9"/>
  <c r="K171" i="9"/>
  <c r="K169" i="9"/>
  <c r="K167" i="9"/>
  <c r="K165" i="9"/>
  <c r="K163" i="9"/>
  <c r="K161" i="9"/>
  <c r="K159" i="9"/>
  <c r="K157" i="9"/>
  <c r="K137" i="9" s="1"/>
  <c r="K192" i="9"/>
  <c r="K190" i="9"/>
  <c r="K188" i="9"/>
  <c r="K186" i="9"/>
  <c r="K184" i="9"/>
  <c r="K182" i="9"/>
  <c r="K180" i="9"/>
  <c r="K178" i="9"/>
  <c r="K176" i="9"/>
  <c r="K174" i="9"/>
  <c r="K172" i="9"/>
  <c r="K170" i="9"/>
  <c r="K168" i="9"/>
  <c r="K166" i="9"/>
  <c r="K164" i="9"/>
  <c r="K162" i="9"/>
  <c r="K160" i="9"/>
  <c r="K158" i="9"/>
  <c r="K156" i="9"/>
  <c r="D193" i="9"/>
  <c r="D191" i="9"/>
  <c r="D189" i="9"/>
  <c r="D187" i="9"/>
  <c r="D185" i="9"/>
  <c r="D183" i="9"/>
  <c r="D181" i="9"/>
  <c r="D179" i="9"/>
  <c r="D177" i="9"/>
  <c r="D175" i="9"/>
  <c r="D173" i="9"/>
  <c r="D171" i="9"/>
  <c r="D169" i="9"/>
  <c r="D167" i="9"/>
  <c r="D165" i="9"/>
  <c r="D163" i="9"/>
  <c r="D161" i="9"/>
  <c r="D159" i="9"/>
  <c r="D157" i="9"/>
  <c r="D192" i="9"/>
  <c r="D190" i="9"/>
  <c r="D188" i="9"/>
  <c r="D186" i="9"/>
  <c r="D184" i="9"/>
  <c r="D182" i="9"/>
  <c r="D180" i="9"/>
  <c r="D178" i="9"/>
  <c r="D176" i="9"/>
  <c r="D174" i="9"/>
  <c r="D172" i="9"/>
  <c r="D170" i="9"/>
  <c r="D168" i="9"/>
  <c r="D166" i="9"/>
  <c r="D164" i="9"/>
  <c r="D162" i="9"/>
  <c r="D160" i="9"/>
  <c r="D158" i="9"/>
  <c r="D156" i="9"/>
  <c r="N193" i="9"/>
  <c r="N191" i="9"/>
  <c r="N189" i="9"/>
  <c r="N187" i="9"/>
  <c r="N185" i="9"/>
  <c r="N183" i="9"/>
  <c r="N181" i="9"/>
  <c r="N179" i="9"/>
  <c r="N177" i="9"/>
  <c r="N175" i="9"/>
  <c r="N173" i="9"/>
  <c r="N171" i="9"/>
  <c r="N169" i="9"/>
  <c r="N167" i="9"/>
  <c r="N165" i="9"/>
  <c r="N163" i="9"/>
  <c r="N161" i="9"/>
  <c r="N159" i="9"/>
  <c r="N157" i="9"/>
  <c r="N137" i="9" s="1"/>
  <c r="N192" i="9"/>
  <c r="N190" i="9"/>
  <c r="N188" i="9"/>
  <c r="N186" i="9"/>
  <c r="N184" i="9"/>
  <c r="N182" i="9"/>
  <c r="N180" i="9"/>
  <c r="N178" i="9"/>
  <c r="N176" i="9"/>
  <c r="N174" i="9"/>
  <c r="N172" i="9"/>
  <c r="N170" i="9"/>
  <c r="N168" i="9"/>
  <c r="N166" i="9"/>
  <c r="N164" i="9"/>
  <c r="N162" i="9"/>
  <c r="N160" i="9"/>
  <c r="N158" i="9"/>
  <c r="N156" i="9"/>
  <c r="M193" i="9"/>
  <c r="M191" i="9"/>
  <c r="M189" i="9"/>
  <c r="M187" i="9"/>
  <c r="M185" i="9"/>
  <c r="M183" i="9"/>
  <c r="M181" i="9"/>
  <c r="M179" i="9"/>
  <c r="M177" i="9"/>
  <c r="M175" i="9"/>
  <c r="M173" i="9"/>
  <c r="M171" i="9"/>
  <c r="M169" i="9"/>
  <c r="M167" i="9"/>
  <c r="M165" i="9"/>
  <c r="M163" i="9"/>
  <c r="M161" i="9"/>
  <c r="M159" i="9"/>
  <c r="M157" i="9"/>
  <c r="M137" i="9" s="1"/>
  <c r="M192" i="9"/>
  <c r="M190" i="9"/>
  <c r="M188" i="9"/>
  <c r="M186" i="9"/>
  <c r="M184" i="9"/>
  <c r="M182" i="9"/>
  <c r="M180" i="9"/>
  <c r="M178" i="9"/>
  <c r="M176" i="9"/>
  <c r="M174" i="9"/>
  <c r="M172" i="9"/>
  <c r="M170" i="9"/>
  <c r="M168" i="9"/>
  <c r="M166" i="9"/>
  <c r="M164" i="9"/>
  <c r="M162" i="9"/>
  <c r="M160" i="9"/>
  <c r="M158" i="9"/>
  <c r="M156" i="9"/>
  <c r="C86" i="11"/>
  <c r="Q11" i="11" s="1"/>
  <c r="C86" i="8"/>
  <c r="F86" i="2"/>
  <c r="C91" i="2"/>
  <c r="C99" i="2"/>
  <c r="C146" i="2"/>
  <c r="C143" i="2"/>
  <c r="C145" i="2"/>
  <c r="C147" i="2"/>
  <c r="C148" i="2"/>
  <c r="C149" i="2"/>
  <c r="C150" i="2"/>
  <c r="C151" i="2"/>
  <c r="C152" i="2"/>
  <c r="C153" i="2"/>
  <c r="C107" i="2"/>
  <c r="C101" i="2"/>
  <c r="C104" i="2"/>
  <c r="C108" i="2"/>
  <c r="C119" i="2"/>
  <c r="C124" i="2"/>
  <c r="C93" i="2"/>
  <c r="C141" i="2"/>
  <c r="C156" i="2"/>
  <c r="C158" i="2"/>
  <c r="C159" i="2"/>
  <c r="C160" i="2"/>
  <c r="C161" i="2"/>
  <c r="C162" i="2"/>
  <c r="C163" i="2"/>
  <c r="C165" i="2"/>
  <c r="C168" i="2"/>
  <c r="C170" i="2"/>
  <c r="C171" i="2"/>
  <c r="C174" i="2"/>
  <c r="C176" i="2"/>
  <c r="C92" i="2"/>
  <c r="C117" i="2"/>
  <c r="C112" i="2"/>
  <c r="C111" i="2"/>
  <c r="C120" i="2"/>
  <c r="C127" i="2"/>
  <c r="C114" i="2"/>
  <c r="C106" i="2"/>
  <c r="C98" i="2"/>
  <c r="C95" i="2"/>
  <c r="C118" i="2"/>
  <c r="C102" i="2"/>
  <c r="C94" i="2"/>
  <c r="C105" i="2"/>
  <c r="C109" i="2"/>
  <c r="C122" i="2"/>
  <c r="C87" i="3"/>
  <c r="C140" i="2"/>
  <c r="C154" i="2"/>
  <c r="C172" i="2"/>
  <c r="C157" i="2"/>
  <c r="C75" i="2"/>
  <c r="P75" i="2" s="1"/>
  <c r="C76" i="2"/>
  <c r="P76" i="2" s="1"/>
  <c r="C77" i="2"/>
  <c r="P77" i="2" s="1"/>
  <c r="C78" i="2"/>
  <c r="P78" i="2" s="1"/>
  <c r="C79" i="2"/>
  <c r="P79" i="2" s="1"/>
  <c r="C80" i="2"/>
  <c r="P80" i="2" s="1"/>
  <c r="C81" i="2"/>
  <c r="P81" i="2" s="1"/>
  <c r="C82" i="2"/>
  <c r="P82" i="2" s="1"/>
  <c r="C83" i="2"/>
  <c r="P83" i="2" s="1"/>
  <c r="C84" i="2"/>
  <c r="P84" i="2" s="1"/>
  <c r="C85" i="2"/>
  <c r="P85" i="2" s="1"/>
  <c r="C166" i="2"/>
  <c r="C173" i="2"/>
  <c r="C49" i="2"/>
  <c r="P49" i="2" s="1"/>
  <c r="C50" i="2"/>
  <c r="P50" i="2" s="1"/>
  <c r="C51" i="2"/>
  <c r="P51" i="2" s="1"/>
  <c r="C52" i="2"/>
  <c r="P52" i="2" s="1"/>
  <c r="C53" i="2"/>
  <c r="P53" i="2" s="1"/>
  <c r="C54" i="2"/>
  <c r="P54" i="2" s="1"/>
  <c r="C55" i="2"/>
  <c r="P55" i="2" s="1"/>
  <c r="C56" i="2"/>
  <c r="P56" i="2" s="1"/>
  <c r="C57" i="2"/>
  <c r="P57" i="2" s="1"/>
  <c r="C59" i="2"/>
  <c r="P59" i="2" s="1"/>
  <c r="C60" i="2"/>
  <c r="P60" i="2" s="1"/>
  <c r="C61" i="2"/>
  <c r="P61" i="2" s="1"/>
  <c r="C177" i="2"/>
  <c r="C144" i="2"/>
  <c r="C167" i="2"/>
  <c r="C175" i="2"/>
  <c r="L74" i="2"/>
  <c r="I58" i="2"/>
  <c r="M58" i="2"/>
  <c r="C62" i="2"/>
  <c r="P62" i="2" s="1"/>
  <c r="C63" i="2"/>
  <c r="P63" i="2" s="1"/>
  <c r="C64" i="2"/>
  <c r="P64" i="2" s="1"/>
  <c r="C65" i="2"/>
  <c r="P65" i="2" s="1"/>
  <c r="C66" i="2"/>
  <c r="P66" i="2" s="1"/>
  <c r="C67" i="2"/>
  <c r="P67" i="2" s="1"/>
  <c r="C68" i="2"/>
  <c r="P68" i="2" s="1"/>
  <c r="C69" i="2"/>
  <c r="P69" i="2" s="1"/>
  <c r="C70" i="2"/>
  <c r="P70" i="2" s="1"/>
  <c r="C71" i="2"/>
  <c r="P71" i="2" s="1"/>
  <c r="C72" i="2"/>
  <c r="P72" i="2" s="1"/>
  <c r="C73" i="2"/>
  <c r="P73" i="2" s="1"/>
  <c r="C164" i="2"/>
  <c r="C169" i="2"/>
  <c r="G58" i="2"/>
  <c r="C100" i="2"/>
  <c r="I86" i="2"/>
  <c r="C74" i="2"/>
  <c r="P74" i="2" s="1"/>
  <c r="C48" i="2"/>
  <c r="P48" i="2" s="1"/>
  <c r="M86" i="2"/>
  <c r="D86" i="2"/>
  <c r="H58" i="2"/>
  <c r="J58" i="2"/>
  <c r="L58" i="2"/>
  <c r="Q19" i="11" l="1"/>
  <c r="Q23" i="11"/>
  <c r="Q24" i="11"/>
  <c r="Q5" i="11"/>
  <c r="Q15" i="11"/>
  <c r="Q7" i="11"/>
  <c r="Q17" i="11"/>
  <c r="Q21" i="11"/>
  <c r="Q28" i="11"/>
  <c r="Q30" i="11"/>
  <c r="Q34" i="11"/>
  <c r="Q16" i="11"/>
  <c r="Q6" i="11"/>
  <c r="Q29" i="11"/>
  <c r="Q14" i="11"/>
  <c r="Q40" i="11"/>
  <c r="Q22" i="11"/>
  <c r="Q13" i="11"/>
  <c r="Q10" i="11"/>
  <c r="Q20" i="11"/>
  <c r="Q37" i="11"/>
  <c r="Q31" i="11"/>
  <c r="Q38" i="11"/>
  <c r="Q18" i="11"/>
  <c r="Q12" i="11"/>
  <c r="Q41" i="11"/>
  <c r="Q42" i="11"/>
  <c r="Q25" i="11"/>
  <c r="Q39" i="11"/>
  <c r="Q26" i="11"/>
  <c r="Q9" i="11"/>
  <c r="Q8" i="11"/>
  <c r="Q36" i="11"/>
  <c r="Q35" i="11"/>
  <c r="Q33" i="11"/>
  <c r="Q27" i="11"/>
  <c r="Q32" i="11"/>
  <c r="J10" i="7"/>
  <c r="F7" i="7"/>
  <c r="L13" i="7"/>
  <c r="K7" i="7"/>
  <c r="H33" i="7"/>
  <c r="H30" i="7"/>
  <c r="G27" i="7"/>
  <c r="M23" i="7"/>
  <c r="M20" i="7"/>
  <c r="K42" i="7"/>
  <c r="F36" i="7"/>
  <c r="E30" i="7"/>
  <c r="J23" i="7"/>
  <c r="E17" i="7"/>
  <c r="K10" i="7"/>
  <c r="J17" i="7"/>
  <c r="E11" i="7"/>
  <c r="K42" i="12"/>
  <c r="L42" i="12" s="1"/>
  <c r="J26" i="7"/>
  <c r="D39" i="7"/>
  <c r="I26" i="7"/>
  <c r="J13" i="7"/>
  <c r="G20" i="7"/>
  <c r="L32" i="7"/>
  <c r="I13" i="7"/>
  <c r="E24" i="7"/>
  <c r="D20" i="7"/>
  <c r="D7" i="7"/>
  <c r="E7" i="7"/>
  <c r="H36" i="7"/>
  <c r="F30" i="7"/>
  <c r="M42" i="7"/>
  <c r="H23" i="7"/>
  <c r="M29" i="7"/>
  <c r="G17" i="7"/>
  <c r="M10" i="7"/>
  <c r="D17" i="7"/>
  <c r="L10" i="7"/>
  <c r="J39" i="7"/>
  <c r="E33" i="7"/>
  <c r="K26" i="7"/>
  <c r="F20" i="7"/>
  <c r="E14" i="7"/>
  <c r="J7" i="7"/>
  <c r="F14" i="7"/>
  <c r="E8" i="7"/>
  <c r="L29" i="7"/>
  <c r="K23" i="7"/>
  <c r="I42" i="7"/>
  <c r="D36" i="7"/>
  <c r="I29" i="7"/>
  <c r="D23" i="7"/>
  <c r="L16" i="7"/>
  <c r="I10" i="7"/>
  <c r="K16" i="7"/>
  <c r="F10" i="7"/>
  <c r="J33" i="7"/>
  <c r="E27" i="7"/>
  <c r="K20" i="7"/>
  <c r="H39" i="7"/>
  <c r="G33" i="7"/>
  <c r="M26" i="7"/>
  <c r="H20" i="7"/>
  <c r="M13" i="7"/>
  <c r="H7" i="7"/>
  <c r="D14" i="7"/>
  <c r="D5" i="7"/>
  <c r="D6" i="7"/>
  <c r="D9" i="7"/>
  <c r="I12" i="7"/>
  <c r="I15" i="7"/>
  <c r="M5" i="7"/>
  <c r="G9" i="7"/>
  <c r="H12" i="7"/>
  <c r="H15" i="7"/>
  <c r="M18" i="7"/>
  <c r="M21" i="7"/>
  <c r="G25" i="7"/>
  <c r="H28" i="7"/>
  <c r="H31" i="7"/>
  <c r="M34" i="7"/>
  <c r="M37" i="7"/>
  <c r="G41" i="7"/>
  <c r="E19" i="7"/>
  <c r="F22" i="7"/>
  <c r="J25" i="7"/>
  <c r="K28" i="7"/>
  <c r="E32" i="7"/>
  <c r="H5" i="7"/>
  <c r="K8" i="7"/>
  <c r="E12" i="7"/>
  <c r="E15" i="7"/>
  <c r="I5" i="7"/>
  <c r="L8" i="7"/>
  <c r="D12" i="7"/>
  <c r="D15" i="7"/>
  <c r="I18" i="7"/>
  <c r="I21" i="7"/>
  <c r="L24" i="7"/>
  <c r="D28" i="7"/>
  <c r="D31" i="7"/>
  <c r="I34" i="7"/>
  <c r="I37" i="7"/>
  <c r="L40" i="7"/>
  <c r="J18" i="7"/>
  <c r="L21" i="7"/>
  <c r="F25" i="7"/>
  <c r="G28" i="7"/>
  <c r="K31" i="7"/>
  <c r="F6" i="7"/>
  <c r="J9" i="7"/>
  <c r="K12" i="7"/>
  <c r="E16" i="7"/>
  <c r="E6" i="7"/>
  <c r="E9" i="7"/>
  <c r="F12" i="7"/>
  <c r="J15" i="7"/>
  <c r="K18" i="7"/>
  <c r="E22" i="7"/>
  <c r="E25" i="7"/>
  <c r="F28" i="7"/>
  <c r="J31" i="7"/>
  <c r="K34" i="7"/>
  <c r="E38" i="7"/>
  <c r="E41" i="7"/>
  <c r="G19" i="7"/>
  <c r="H22" i="7"/>
  <c r="H25" i="7"/>
  <c r="M28" i="7"/>
  <c r="M31" i="7"/>
  <c r="L5" i="7"/>
  <c r="F9" i="7"/>
  <c r="G12" i="7"/>
  <c r="K15" i="7"/>
  <c r="K5" i="7"/>
  <c r="J8" i="7"/>
  <c r="L11" i="7"/>
  <c r="F15" i="7"/>
  <c r="G18" i="7"/>
  <c r="K21" i="7"/>
  <c r="J24" i="7"/>
  <c r="L27" i="7"/>
  <c r="F31" i="7"/>
  <c r="G34" i="7"/>
  <c r="K37" i="7"/>
  <c r="J40" i="7"/>
  <c r="L18" i="7"/>
  <c r="D22" i="7"/>
  <c r="D25" i="7"/>
  <c r="I28" i="7"/>
  <c r="I31" i="7"/>
  <c r="G7" i="7"/>
  <c r="L33" i="7"/>
  <c r="G32" i="7"/>
  <c r="D33" i="7"/>
  <c r="J6" i="7"/>
  <c r="L9" i="7"/>
  <c r="F13" i="7"/>
  <c r="G16" i="7"/>
  <c r="K6" i="7"/>
  <c r="E10" i="7"/>
  <c r="E13" i="7"/>
  <c r="C13" i="7" s="1"/>
  <c r="F16" i="7"/>
  <c r="C16" i="7" s="1"/>
  <c r="J19" i="7"/>
  <c r="K22" i="7"/>
  <c r="E26" i="7"/>
  <c r="E29" i="7"/>
  <c r="F32" i="7"/>
  <c r="J35" i="7"/>
  <c r="K38" i="7"/>
  <c r="E42" i="7"/>
  <c r="M19" i="7"/>
  <c r="G23" i="7"/>
  <c r="H26" i="7"/>
  <c r="H29" i="7"/>
  <c r="M32" i="7"/>
  <c r="H6" i="7"/>
  <c r="H9" i="7"/>
  <c r="M12" i="7"/>
  <c r="M15" i="7"/>
  <c r="G6" i="7"/>
  <c r="K9" i="7"/>
  <c r="J12" i="7"/>
  <c r="L15" i="7"/>
  <c r="F19" i="7"/>
  <c r="G22" i="7"/>
  <c r="K25" i="7"/>
  <c r="J28" i="7"/>
  <c r="L31" i="7"/>
  <c r="F35" i="7"/>
  <c r="G38" i="7"/>
  <c r="K41" i="7"/>
  <c r="I19" i="7"/>
  <c r="L22" i="7"/>
  <c r="D26" i="7"/>
  <c r="D29" i="7"/>
  <c r="I32" i="7"/>
  <c r="D34" i="7"/>
  <c r="L41" i="7"/>
  <c r="G40" i="7"/>
  <c r="J38" i="7"/>
  <c r="F37" i="7"/>
  <c r="K35" i="7"/>
  <c r="H42" i="7"/>
  <c r="M40" i="7"/>
  <c r="G39" i="7"/>
  <c r="H37" i="7"/>
  <c r="M35" i="7"/>
  <c r="F42" i="7"/>
  <c r="K40" i="7"/>
  <c r="E39" i="7"/>
  <c r="J37" i="7"/>
  <c r="E36" i="7"/>
  <c r="J42" i="7"/>
  <c r="F41" i="7"/>
  <c r="K39" i="7"/>
  <c r="L37" i="7"/>
  <c r="G36" i="7"/>
  <c r="E35" i="7"/>
  <c r="G8" i="7"/>
  <c r="K11" i="7"/>
  <c r="J14" i="7"/>
  <c r="E5" i="7"/>
  <c r="F8" i="7"/>
  <c r="J11" i="7"/>
  <c r="K14" i="7"/>
  <c r="E18" i="7"/>
  <c r="E21" i="7"/>
  <c r="F24" i="7"/>
  <c r="J27" i="7"/>
  <c r="K30" i="7"/>
  <c r="E34" i="7"/>
  <c r="E37" i="7"/>
  <c r="F40" i="7"/>
  <c r="H18" i="7"/>
  <c r="H21" i="7"/>
  <c r="M24" i="7"/>
  <c r="M27" i="7"/>
  <c r="G31" i="7"/>
  <c r="H34" i="7"/>
  <c r="M7" i="7"/>
  <c r="G11" i="7"/>
  <c r="H14" i="7"/>
  <c r="H17" i="7"/>
  <c r="L7" i="7"/>
  <c r="F11" i="7"/>
  <c r="G14" i="7"/>
  <c r="K17" i="7"/>
  <c r="J20" i="7"/>
  <c r="L23" i="7"/>
  <c r="F27" i="7"/>
  <c r="G30" i="7"/>
  <c r="K33" i="7"/>
  <c r="J36" i="7"/>
  <c r="L39" i="7"/>
  <c r="D18" i="7"/>
  <c r="D21" i="7"/>
  <c r="I24" i="7"/>
  <c r="I27" i="7"/>
  <c r="L30" i="7"/>
  <c r="F33" i="7"/>
  <c r="L42" i="7"/>
  <c r="D41" i="7"/>
  <c r="I39" i="7"/>
  <c r="D38" i="7"/>
  <c r="I36" i="7"/>
  <c r="L34" i="7"/>
  <c r="J41" i="7"/>
  <c r="E40" i="7"/>
  <c r="F38" i="7"/>
  <c r="K36" i="7"/>
  <c r="J34" i="7"/>
  <c r="H41" i="7"/>
  <c r="M39" i="7"/>
  <c r="H38" i="7"/>
  <c r="M36" i="7"/>
  <c r="G35" i="7"/>
  <c r="D42" i="7"/>
  <c r="I40" i="7"/>
  <c r="L38" i="7"/>
  <c r="D37" i="7"/>
  <c r="I35" i="7"/>
  <c r="K12" i="12"/>
  <c r="L12" i="12" s="1"/>
  <c r="Q16" i="7"/>
  <c r="M139" i="9"/>
  <c r="N139" i="9"/>
  <c r="D139" i="9"/>
  <c r="K139" i="9"/>
  <c r="L139" i="9"/>
  <c r="G139" i="9"/>
  <c r="J137" i="9"/>
  <c r="E137" i="9"/>
  <c r="M194" i="9"/>
  <c r="M138" i="9"/>
  <c r="M141" i="9"/>
  <c r="N141" i="9"/>
  <c r="D137" i="9"/>
  <c r="D141" i="9"/>
  <c r="K141" i="9"/>
  <c r="L141" i="9"/>
  <c r="G141" i="9"/>
  <c r="J138" i="9"/>
  <c r="J194" i="9"/>
  <c r="J140" i="9"/>
  <c r="J141" i="9"/>
  <c r="H194" i="9"/>
  <c r="E138" i="9"/>
  <c r="E194" i="9"/>
  <c r="E141" i="9"/>
  <c r="E139" i="9"/>
  <c r="F141" i="9"/>
  <c r="F140" i="9"/>
  <c r="M140" i="9"/>
  <c r="N138" i="9"/>
  <c r="N194" i="9"/>
  <c r="N140" i="9"/>
  <c r="D138" i="9"/>
  <c r="D194" i="9"/>
  <c r="D140" i="9"/>
  <c r="K194" i="9"/>
  <c r="K138" i="9"/>
  <c r="K140" i="9"/>
  <c r="L138" i="9"/>
  <c r="L194" i="9"/>
  <c r="L140" i="9"/>
  <c r="G138" i="9"/>
  <c r="G194" i="9"/>
  <c r="G140" i="9"/>
  <c r="J139" i="9"/>
  <c r="I193" i="9"/>
  <c r="C193" i="9" s="1"/>
  <c r="I191" i="9"/>
  <c r="C191" i="9" s="1"/>
  <c r="I189" i="9"/>
  <c r="C189" i="9" s="1"/>
  <c r="I187" i="9"/>
  <c r="C187" i="9" s="1"/>
  <c r="I185" i="9"/>
  <c r="C185" i="9" s="1"/>
  <c r="I183" i="9"/>
  <c r="C183" i="9" s="1"/>
  <c r="I181" i="9"/>
  <c r="C181" i="9" s="1"/>
  <c r="I179" i="9"/>
  <c r="C179" i="9" s="1"/>
  <c r="I177" i="9"/>
  <c r="C177" i="9" s="1"/>
  <c r="I175" i="9"/>
  <c r="C175" i="9" s="1"/>
  <c r="I173" i="9"/>
  <c r="C173" i="9" s="1"/>
  <c r="I171" i="9"/>
  <c r="C171" i="9" s="1"/>
  <c r="I169" i="9"/>
  <c r="C169" i="9" s="1"/>
  <c r="I167" i="9"/>
  <c r="I165" i="9"/>
  <c r="C165" i="9" s="1"/>
  <c r="I163" i="9"/>
  <c r="C163" i="9" s="1"/>
  <c r="I161" i="9"/>
  <c r="I159" i="9"/>
  <c r="C159" i="9" s="1"/>
  <c r="I157" i="9"/>
  <c r="H137" i="9" s="1"/>
  <c r="I192" i="9"/>
  <c r="C192" i="9" s="1"/>
  <c r="I190" i="9"/>
  <c r="C190" i="9" s="1"/>
  <c r="I188" i="9"/>
  <c r="C188" i="9" s="1"/>
  <c r="I186" i="9"/>
  <c r="C186" i="9" s="1"/>
  <c r="I184" i="9"/>
  <c r="C184" i="9" s="1"/>
  <c r="I182" i="9"/>
  <c r="C182" i="9" s="1"/>
  <c r="I180" i="9"/>
  <c r="C180" i="9" s="1"/>
  <c r="I178" i="9"/>
  <c r="C178" i="9" s="1"/>
  <c r="I176" i="9"/>
  <c r="C176" i="9" s="1"/>
  <c r="I174" i="9"/>
  <c r="C174" i="9" s="1"/>
  <c r="I172" i="9"/>
  <c r="C172" i="9" s="1"/>
  <c r="I170" i="9"/>
  <c r="C170" i="9" s="1"/>
  <c r="I168" i="9"/>
  <c r="C168" i="9" s="1"/>
  <c r="I166" i="9"/>
  <c r="C166" i="9" s="1"/>
  <c r="I164" i="9"/>
  <c r="C164" i="9" s="1"/>
  <c r="I162" i="9"/>
  <c r="C162" i="9" s="1"/>
  <c r="I160" i="9"/>
  <c r="I158" i="9"/>
  <c r="C158" i="9" s="1"/>
  <c r="I156" i="9"/>
  <c r="E140" i="9"/>
  <c r="F139" i="9"/>
  <c r="F138" i="9"/>
  <c r="F194" i="9"/>
  <c r="G39" i="8"/>
  <c r="L32" i="8"/>
  <c r="K29" i="8"/>
  <c r="H26" i="8"/>
  <c r="K40" i="8"/>
  <c r="H37" i="8"/>
  <c r="G34" i="8"/>
  <c r="G30" i="8"/>
  <c r="G26" i="8"/>
  <c r="L40" i="8"/>
  <c r="L36" i="8"/>
  <c r="K33" i="8"/>
  <c r="H30" i="8"/>
  <c r="G27" i="8"/>
  <c r="H41" i="8"/>
  <c r="G38" i="8"/>
  <c r="L31" i="8"/>
  <c r="L25" i="8"/>
  <c r="L27" i="8"/>
  <c r="D40" i="8"/>
  <c r="E26" i="8"/>
  <c r="F25" i="8"/>
  <c r="K30" i="8"/>
  <c r="M24" i="8"/>
  <c r="K26" i="8"/>
  <c r="L29" i="8"/>
  <c r="L33" i="8"/>
  <c r="D33" i="8"/>
  <c r="G36" i="8"/>
  <c r="L37" i="8"/>
  <c r="H39" i="8"/>
  <c r="L41" i="8"/>
  <c r="G29" i="8"/>
  <c r="K27" i="8"/>
  <c r="L26" i="8"/>
  <c r="L30" i="8"/>
  <c r="L38" i="8"/>
  <c r="K31" i="8"/>
  <c r="H36" i="8"/>
  <c r="G37" i="8"/>
  <c r="K39" i="8"/>
  <c r="M26" i="8"/>
  <c r="J31" i="8"/>
  <c r="F29" i="8"/>
  <c r="F27" i="8"/>
  <c r="M28" i="8"/>
  <c r="E32" i="8"/>
  <c r="M32" i="8"/>
  <c r="M36" i="8"/>
  <c r="I38" i="8"/>
  <c r="E36" i="8"/>
  <c r="J39" i="8"/>
  <c r="J35" i="8"/>
  <c r="F37" i="8"/>
  <c r="M38" i="8"/>
  <c r="I40" i="8"/>
  <c r="F39" i="8"/>
  <c r="M40" i="8"/>
  <c r="J26" i="8"/>
  <c r="J28" i="8"/>
  <c r="M25" i="8"/>
  <c r="F30" i="8"/>
  <c r="M27" i="8"/>
  <c r="E31" i="8"/>
  <c r="E29" i="8"/>
  <c r="J30" i="8"/>
  <c r="M31" i="8"/>
  <c r="I33" i="8"/>
  <c r="E35" i="8"/>
  <c r="I31" i="8"/>
  <c r="E33" i="8"/>
  <c r="J34" i="8"/>
  <c r="J40" i="8"/>
  <c r="F36" i="8"/>
  <c r="M37" i="8"/>
  <c r="M39" i="8"/>
  <c r="L42" i="8"/>
  <c r="L24" i="8"/>
  <c r="F33" i="8"/>
  <c r="H42" i="8"/>
  <c r="L5" i="8"/>
  <c r="J6" i="8"/>
  <c r="L23" i="8"/>
  <c r="F6" i="8"/>
  <c r="K8" i="8"/>
  <c r="I7" i="8"/>
  <c r="L10" i="8"/>
  <c r="K11" i="8"/>
  <c r="I16" i="8"/>
  <c r="E12" i="8"/>
  <c r="H18" i="8"/>
  <c r="D14" i="8"/>
  <c r="F17" i="8"/>
  <c r="M12" i="8"/>
  <c r="H14" i="8"/>
  <c r="E16" i="8"/>
  <c r="J17" i="8"/>
  <c r="F21" i="8"/>
  <c r="K19" i="8"/>
  <c r="D22" i="8"/>
  <c r="K10" i="8"/>
  <c r="F12" i="8"/>
  <c r="J21" i="8"/>
  <c r="G23" i="8"/>
  <c r="K14" i="8"/>
  <c r="L11" i="8"/>
  <c r="F16" i="8"/>
  <c r="M13" i="8"/>
  <c r="E17" i="8"/>
  <c r="J16" i="8"/>
  <c r="K18" i="8"/>
  <c r="H19" i="8"/>
  <c r="F20" i="8"/>
  <c r="E21" i="8"/>
  <c r="F40" i="8"/>
  <c r="F23" i="8"/>
  <c r="K22" i="8"/>
  <c r="G25" i="8"/>
  <c r="I22" i="8"/>
  <c r="H24" i="8"/>
  <c r="E22" i="8"/>
  <c r="M18" i="8"/>
  <c r="G17" i="8"/>
  <c r="J15" i="8"/>
  <c r="E14" i="8"/>
  <c r="H12" i="8"/>
  <c r="M10" i="8"/>
  <c r="M23" i="8"/>
  <c r="F22" i="8"/>
  <c r="K20" i="8"/>
  <c r="E19" i="8"/>
  <c r="H17" i="8"/>
  <c r="M15" i="8"/>
  <c r="F14" i="8"/>
  <c r="K12" i="8"/>
  <c r="E11" i="8"/>
  <c r="J9" i="8"/>
  <c r="E8" i="8"/>
  <c r="H6" i="8"/>
  <c r="D5" i="8"/>
  <c r="J8" i="8"/>
  <c r="L7" i="8"/>
  <c r="D7" i="8"/>
  <c r="G6" i="8"/>
  <c r="I5" i="8"/>
  <c r="M22" i="8"/>
  <c r="J19" i="8"/>
  <c r="K17" i="8"/>
  <c r="D16" i="8"/>
  <c r="I14" i="8"/>
  <c r="L12" i="8"/>
  <c r="F11" i="8"/>
  <c r="G24" i="8"/>
  <c r="J22" i="8"/>
  <c r="L17" i="8"/>
  <c r="G16" i="8"/>
  <c r="J14" i="8"/>
  <c r="I8" i="8"/>
  <c r="F5" i="8"/>
  <c r="L8" i="8"/>
  <c r="F7" i="8"/>
  <c r="K5" i="8"/>
  <c r="F9" i="8"/>
  <c r="D6" i="8"/>
  <c r="G9" i="8"/>
  <c r="J7" i="8"/>
  <c r="E6" i="8"/>
  <c r="F19" i="8"/>
  <c r="K37" i="8"/>
  <c r="H34" i="8"/>
  <c r="G31" i="8"/>
  <c r="G42" i="8"/>
  <c r="L35" i="8"/>
  <c r="K32" i="8"/>
  <c r="H29" i="8"/>
  <c r="K24" i="8"/>
  <c r="H38" i="8"/>
  <c r="G35" i="8"/>
  <c r="L28" i="8"/>
  <c r="K25" i="8"/>
  <c r="L39" i="8"/>
  <c r="K36" i="8"/>
  <c r="H33" i="8"/>
  <c r="K28" i="8"/>
  <c r="D31" i="8"/>
  <c r="H25" i="8"/>
  <c r="K41" i="8"/>
  <c r="G32" i="8"/>
  <c r="H27" i="8"/>
  <c r="H35" i="8"/>
  <c r="J25" i="8"/>
  <c r="G28" i="8"/>
  <c r="H31" i="8"/>
  <c r="K34" i="8"/>
  <c r="K38" i="8"/>
  <c r="G40" i="8"/>
  <c r="D26" i="8"/>
  <c r="K42" i="8"/>
  <c r="H32" i="8"/>
  <c r="H28" i="8"/>
  <c r="L34" i="8"/>
  <c r="G33" i="8"/>
  <c r="F42" i="8"/>
  <c r="K35" i="8"/>
  <c r="H40" i="8"/>
  <c r="D38" i="8"/>
  <c r="G41" i="8"/>
  <c r="E30" i="8"/>
  <c r="J27" i="8"/>
  <c r="M30" i="8"/>
  <c r="I26" i="8"/>
  <c r="E28" i="8"/>
  <c r="J29" i="8"/>
  <c r="F31" i="8"/>
  <c r="J33" i="8"/>
  <c r="E34" i="8"/>
  <c r="F35" i="8"/>
  <c r="J37" i="8"/>
  <c r="M34" i="8"/>
  <c r="E38" i="8"/>
  <c r="F41" i="8"/>
  <c r="E42" i="8"/>
  <c r="E40" i="8"/>
  <c r="J41" i="8"/>
  <c r="M42" i="8"/>
  <c r="E27" i="8"/>
  <c r="F28" i="8"/>
  <c r="M29" i="8"/>
  <c r="J32" i="8"/>
  <c r="F34" i="8"/>
  <c r="J36" i="8"/>
  <c r="F38" i="8"/>
  <c r="F32" i="8"/>
  <c r="M33" i="8"/>
  <c r="M35" i="8"/>
  <c r="E39" i="8"/>
  <c r="I35" i="8"/>
  <c r="E37" i="8"/>
  <c r="J38" i="8"/>
  <c r="E41" i="8"/>
  <c r="M41" i="8"/>
  <c r="J42" i="8"/>
  <c r="F26" i="8"/>
  <c r="F24" i="8"/>
  <c r="M7" i="8"/>
  <c r="H9" i="8"/>
  <c r="H5" i="8"/>
  <c r="E7" i="8"/>
  <c r="G8" i="8"/>
  <c r="L9" i="8"/>
  <c r="H10" i="8"/>
  <c r="F13" i="8"/>
  <c r="G11" i="8"/>
  <c r="L14" i="8"/>
  <c r="I12" i="8"/>
  <c r="K15" i="8"/>
  <c r="E20" i="8"/>
  <c r="J13" i="8"/>
  <c r="G15" i="8"/>
  <c r="M16" i="8"/>
  <c r="G19" i="8"/>
  <c r="L22" i="8"/>
  <c r="L18" i="8"/>
  <c r="K23" i="8"/>
  <c r="J24" i="8"/>
  <c r="M20" i="8"/>
  <c r="H22" i="8"/>
  <c r="E24" i="8"/>
  <c r="H11" i="8"/>
  <c r="E13" i="8"/>
  <c r="J12" i="8"/>
  <c r="H15" i="8"/>
  <c r="G18" i="8"/>
  <c r="G14" i="8"/>
  <c r="L15" i="8"/>
  <c r="I17" i="8"/>
  <c r="M17" i="8"/>
  <c r="L19" i="8"/>
  <c r="J20" i="8"/>
  <c r="M21" i="8"/>
  <c r="D23" i="8"/>
  <c r="G22" i="8"/>
  <c r="K21" i="8"/>
  <c r="H23" i="8"/>
  <c r="J23" i="8"/>
  <c r="L20" i="8"/>
  <c r="H20" i="8"/>
  <c r="E18" i="8"/>
  <c r="H16" i="8"/>
  <c r="M14" i="8"/>
  <c r="G13" i="8"/>
  <c r="J11" i="8"/>
  <c r="E25" i="8"/>
  <c r="E23" i="8"/>
  <c r="H21" i="8"/>
  <c r="M19" i="8"/>
  <c r="F18" i="8"/>
  <c r="K16" i="8"/>
  <c r="E15" i="8"/>
  <c r="H13" i="8"/>
  <c r="M11" i="8"/>
  <c r="F10" i="8"/>
  <c r="M8" i="8"/>
  <c r="G7" i="8"/>
  <c r="J5" i="8"/>
  <c r="M9" i="8"/>
  <c r="E9" i="8"/>
  <c r="F8" i="8"/>
  <c r="H7" i="8"/>
  <c r="K6" i="8"/>
  <c r="M5" i="8"/>
  <c r="E5" i="8"/>
  <c r="G21" i="8"/>
  <c r="L16" i="8"/>
  <c r="F15" i="8"/>
  <c r="K13" i="8"/>
  <c r="D12" i="8"/>
  <c r="I23" i="8"/>
  <c r="C23" i="8" s="1"/>
  <c r="Q23" i="8" s="1"/>
  <c r="L21" i="8"/>
  <c r="G20" i="8"/>
  <c r="J18" i="8"/>
  <c r="D17" i="8"/>
  <c r="C17" i="8" s="1"/>
  <c r="Q17" i="8" s="1"/>
  <c r="L13" i="8"/>
  <c r="G12" i="8"/>
  <c r="E10" i="8"/>
  <c r="L6" i="8"/>
  <c r="K9" i="8"/>
  <c r="D8" i="8"/>
  <c r="I6" i="8"/>
  <c r="J10" i="8"/>
  <c r="K7" i="8"/>
  <c r="G10" i="8"/>
  <c r="H8" i="8"/>
  <c r="M6" i="8"/>
  <c r="G5" i="8"/>
  <c r="D35" i="8"/>
  <c r="C35" i="8" s="1"/>
  <c r="Q35" i="8" s="1"/>
  <c r="I13" i="8"/>
  <c r="I18" i="8"/>
  <c r="I28" i="8"/>
  <c r="I36" i="8"/>
  <c r="D41" i="8"/>
  <c r="D32" i="8"/>
  <c r="D27" i="8"/>
  <c r="I19" i="8"/>
  <c r="I37" i="8"/>
  <c r="D36" i="8"/>
  <c r="C36" i="8" s="1"/>
  <c r="Q36" i="8" s="1"/>
  <c r="D30" i="8"/>
  <c r="D28" i="8"/>
  <c r="C28" i="8" s="1"/>
  <c r="Q28" i="8" s="1"/>
  <c r="D25" i="8"/>
  <c r="I10" i="8"/>
  <c r="I21" i="8"/>
  <c r="I29" i="8"/>
  <c r="I41" i="8"/>
  <c r="D15" i="8"/>
  <c r="I20" i="8"/>
  <c r="I39" i="8"/>
  <c r="I11" i="8"/>
  <c r="I25" i="8"/>
  <c r="I30" i="8"/>
  <c r="I42" i="8"/>
  <c r="D29" i="8"/>
  <c r="D21" i="8"/>
  <c r="C21" i="8" s="1"/>
  <c r="Q21" i="8" s="1"/>
  <c r="D11" i="8"/>
  <c r="C11" i="8" s="1"/>
  <c r="Q11" i="8" s="1"/>
  <c r="D39" i="8"/>
  <c r="C39" i="8" s="1"/>
  <c r="Q39" i="8" s="1"/>
  <c r="D34" i="8"/>
  <c r="D20" i="8"/>
  <c r="D9" i="8"/>
  <c r="I24" i="8"/>
  <c r="D42" i="8"/>
  <c r="D18" i="8"/>
  <c r="C18" i="8" s="1"/>
  <c r="Q18" i="8" s="1"/>
  <c r="D13" i="8"/>
  <c r="C13" i="8" s="1"/>
  <c r="Q13" i="8" s="1"/>
  <c r="D10" i="8"/>
  <c r="C10" i="8" s="1"/>
  <c r="Q10" i="8" s="1"/>
  <c r="D37" i="8"/>
  <c r="C37" i="8" s="1"/>
  <c r="Q37" i="8" s="1"/>
  <c r="D24" i="8"/>
  <c r="C24" i="8" s="1"/>
  <c r="Q24" i="8" s="1"/>
  <c r="D19" i="8"/>
  <c r="C19" i="8" s="1"/>
  <c r="Q19" i="8" s="1"/>
  <c r="I15" i="8"/>
  <c r="I27" i="8"/>
  <c r="I32" i="8"/>
  <c r="I9" i="8"/>
  <c r="I34" i="8"/>
  <c r="C178" i="2"/>
  <c r="G86" i="2"/>
  <c r="C58" i="2"/>
  <c r="J86" i="2"/>
  <c r="L86" i="2"/>
  <c r="H86" i="2"/>
  <c r="Q43" i="11" l="1"/>
  <c r="C43" i="11" s="1"/>
  <c r="C8" i="7"/>
  <c r="Q8" i="7" s="1"/>
  <c r="C12" i="7"/>
  <c r="Q12" i="7" s="1"/>
  <c r="C6" i="7"/>
  <c r="Q6" i="7" s="1"/>
  <c r="Q13" i="7"/>
  <c r="C20" i="7"/>
  <c r="Q20" i="7" s="1"/>
  <c r="C31" i="7"/>
  <c r="C26" i="7"/>
  <c r="K25" i="12" s="1"/>
  <c r="L25" i="12" s="1"/>
  <c r="C10" i="7"/>
  <c r="O23" i="12"/>
  <c r="P23" i="12" s="1"/>
  <c r="O17" i="12"/>
  <c r="P17" i="12" s="1"/>
  <c r="O38" i="12"/>
  <c r="P38" i="12" s="1"/>
  <c r="O20" i="12"/>
  <c r="P20" i="12" s="1"/>
  <c r="O27" i="12"/>
  <c r="P27" i="12" s="1"/>
  <c r="O35" i="12"/>
  <c r="P35" i="12" s="1"/>
  <c r="O34" i="12"/>
  <c r="P34" i="12" s="1"/>
  <c r="O16" i="12"/>
  <c r="P16" i="12" s="1"/>
  <c r="O22" i="12"/>
  <c r="P22" i="12" s="1"/>
  <c r="O9" i="12"/>
  <c r="P9" i="12" s="1"/>
  <c r="O18" i="12"/>
  <c r="P18" i="12" s="1"/>
  <c r="O36" i="12"/>
  <c r="P36" i="12" s="1"/>
  <c r="O12" i="12"/>
  <c r="P12" i="12" s="1"/>
  <c r="O10" i="12"/>
  <c r="P10" i="12" s="1"/>
  <c r="C18" i="7"/>
  <c r="Q18" i="7" s="1"/>
  <c r="Q31" i="7"/>
  <c r="C25" i="7"/>
  <c r="Q25" i="7" s="1"/>
  <c r="H43" i="7"/>
  <c r="K30" i="12"/>
  <c r="L30" i="12" s="1"/>
  <c r="C42" i="7"/>
  <c r="C34" i="7"/>
  <c r="Q34" i="7" s="1"/>
  <c r="C23" i="7"/>
  <c r="C11" i="7"/>
  <c r="K10" i="12" s="1"/>
  <c r="L10" i="12" s="1"/>
  <c r="C29" i="7"/>
  <c r="C28" i="7"/>
  <c r="C15" i="7"/>
  <c r="K14" i="12" s="1"/>
  <c r="L14" i="12" s="1"/>
  <c r="C38" i="7"/>
  <c r="Q38" i="7" s="1"/>
  <c r="K11" i="12"/>
  <c r="L11" i="12" s="1"/>
  <c r="I43" i="7"/>
  <c r="C40" i="7"/>
  <c r="K39" i="12" s="1"/>
  <c r="L39" i="12" s="1"/>
  <c r="G43" i="7"/>
  <c r="C37" i="7"/>
  <c r="K36" i="12" s="1"/>
  <c r="L36" i="12" s="1"/>
  <c r="C22" i="7"/>
  <c r="K21" i="12" s="1"/>
  <c r="L21" i="12" s="1"/>
  <c r="C9" i="7"/>
  <c r="C32" i="7"/>
  <c r="K43" i="7"/>
  <c r="D43" i="7"/>
  <c r="C41" i="7"/>
  <c r="K40" i="12" s="1"/>
  <c r="L40" i="12" s="1"/>
  <c r="K15" i="12"/>
  <c r="L15" i="12" s="1"/>
  <c r="Q42" i="7"/>
  <c r="Q40" i="7"/>
  <c r="Q22" i="7"/>
  <c r="C30" i="7"/>
  <c r="C17" i="7"/>
  <c r="F43" i="7"/>
  <c r="J43" i="7"/>
  <c r="K7" i="12"/>
  <c r="L7" i="12" s="1"/>
  <c r="K24" i="12"/>
  <c r="L24" i="12" s="1"/>
  <c r="C24" i="7"/>
  <c r="C21" i="7"/>
  <c r="C27" i="7"/>
  <c r="C14" i="7"/>
  <c r="C7" i="7"/>
  <c r="L43" i="7"/>
  <c r="M43" i="7"/>
  <c r="C5" i="7"/>
  <c r="E43" i="7"/>
  <c r="C35" i="7"/>
  <c r="C36" i="7"/>
  <c r="C39" i="7"/>
  <c r="C19" i="7"/>
  <c r="C33" i="7"/>
  <c r="H143" i="9"/>
  <c r="H131" i="9" s="1"/>
  <c r="H91" i="9" s="1"/>
  <c r="H49" i="9" s="1"/>
  <c r="H141" i="9"/>
  <c r="E147" i="9" s="1"/>
  <c r="E135" i="9" s="1"/>
  <c r="F143" i="9"/>
  <c r="F131" i="9" s="1"/>
  <c r="L143" i="9"/>
  <c r="L131" i="9" s="1"/>
  <c r="M143" i="9"/>
  <c r="M131" i="9" s="1"/>
  <c r="G143" i="9"/>
  <c r="G131" i="9" s="1"/>
  <c r="J143" i="9"/>
  <c r="J131" i="9" s="1"/>
  <c r="E143" i="9"/>
  <c r="E131" i="9" s="1"/>
  <c r="K143" i="9"/>
  <c r="K131" i="9" s="1"/>
  <c r="N143" i="9"/>
  <c r="N131" i="9" s="1"/>
  <c r="D143" i="9"/>
  <c r="D131" i="9" s="1"/>
  <c r="C156" i="9"/>
  <c r="H138" i="9"/>
  <c r="D144" i="9" s="1"/>
  <c r="D132" i="9" s="1"/>
  <c r="I194" i="9"/>
  <c r="C160" i="9"/>
  <c r="H139" i="9"/>
  <c r="D145" i="9" s="1"/>
  <c r="D133" i="9" s="1"/>
  <c r="C167" i="9"/>
  <c r="H140" i="9"/>
  <c r="F146" i="9" s="1"/>
  <c r="F134" i="9" s="1"/>
  <c r="N144" i="9"/>
  <c r="N132" i="9" s="1"/>
  <c r="E145" i="9"/>
  <c r="E133" i="9" s="1"/>
  <c r="J144" i="9"/>
  <c r="J132" i="9" s="1"/>
  <c r="C161" i="9"/>
  <c r="C157" i="9"/>
  <c r="M147" i="9"/>
  <c r="M135" i="9" s="1"/>
  <c r="C42" i="8"/>
  <c r="Q42" i="8" s="1"/>
  <c r="C29" i="8"/>
  <c r="Q29" i="8" s="1"/>
  <c r="G43" i="8"/>
  <c r="C15" i="8"/>
  <c r="Q15" i="8" s="1"/>
  <c r="C32" i="8"/>
  <c r="Q32" i="8" s="1"/>
  <c r="C8" i="8"/>
  <c r="Q8" i="8" s="1"/>
  <c r="C12" i="8"/>
  <c r="Q12" i="8" s="1"/>
  <c r="C20" i="8"/>
  <c r="Q20" i="8" s="1"/>
  <c r="E43" i="8"/>
  <c r="C38" i="8"/>
  <c r="Q38" i="8" s="1"/>
  <c r="C6" i="8"/>
  <c r="Q6" i="8" s="1"/>
  <c r="K43" i="8"/>
  <c r="D43" i="8"/>
  <c r="C5" i="8"/>
  <c r="Q5" i="8" s="1"/>
  <c r="C22" i="8"/>
  <c r="Q22" i="8" s="1"/>
  <c r="C14" i="8"/>
  <c r="Q14" i="8" s="1"/>
  <c r="C33" i="8"/>
  <c r="Q33" i="8" s="1"/>
  <c r="C40" i="8"/>
  <c r="Q40" i="8" s="1"/>
  <c r="C9" i="8"/>
  <c r="Q9" i="8" s="1"/>
  <c r="C34" i="8"/>
  <c r="Q34" i="8" s="1"/>
  <c r="C25" i="8"/>
  <c r="Q25" i="8" s="1"/>
  <c r="C30" i="8"/>
  <c r="Q30" i="8" s="1"/>
  <c r="C27" i="8"/>
  <c r="Q27" i="8" s="1"/>
  <c r="C41" i="8"/>
  <c r="Q41" i="8" s="1"/>
  <c r="M43" i="8"/>
  <c r="J43" i="8"/>
  <c r="H43" i="8"/>
  <c r="C26" i="8"/>
  <c r="Q26" i="8" s="1"/>
  <c r="C31" i="8"/>
  <c r="Q31" i="8" s="1"/>
  <c r="F43" i="8"/>
  <c r="C16" i="8"/>
  <c r="Q16" i="8" s="1"/>
  <c r="I43" i="8"/>
  <c r="C7" i="8"/>
  <c r="Q7" i="8" s="1"/>
  <c r="L43" i="8"/>
  <c r="P58" i="2"/>
  <c r="P86" i="2" s="1"/>
  <c r="C44" i="2" s="1"/>
  <c r="C86" i="2"/>
  <c r="M28" i="11" l="1"/>
  <c r="M21" i="11"/>
  <c r="F17" i="11"/>
  <c r="M33" i="11"/>
  <c r="G31" i="11"/>
  <c r="H34" i="11"/>
  <c r="M18" i="11"/>
  <c r="M15" i="11"/>
  <c r="F38" i="11"/>
  <c r="G23" i="11"/>
  <c r="G35" i="11"/>
  <c r="H19" i="11"/>
  <c r="F33" i="11"/>
  <c r="G22" i="11"/>
  <c r="H9" i="11"/>
  <c r="M23" i="11"/>
  <c r="M32" i="11"/>
  <c r="F22" i="11"/>
  <c r="G5" i="11"/>
  <c r="M30" i="11"/>
  <c r="M25" i="11"/>
  <c r="F23" i="11"/>
  <c r="G7" i="11"/>
  <c r="H24" i="11"/>
  <c r="H14" i="11"/>
  <c r="E34" i="11"/>
  <c r="J19" i="11"/>
  <c r="J21" i="11"/>
  <c r="K16" i="11"/>
  <c r="L24" i="11"/>
  <c r="N33" i="11"/>
  <c r="M34" i="11"/>
  <c r="G14" i="11"/>
  <c r="N32" i="11"/>
  <c r="K11" i="11"/>
  <c r="F13" i="11"/>
  <c r="E18" i="11"/>
  <c r="L28" i="11"/>
  <c r="H13" i="11"/>
  <c r="J35" i="11"/>
  <c r="G39" i="11"/>
  <c r="E26" i="11"/>
  <c r="N8" i="11"/>
  <c r="G11" i="11"/>
  <c r="G10" i="11"/>
  <c r="E6" i="11"/>
  <c r="K39" i="11"/>
  <c r="L22" i="11"/>
  <c r="E20" i="11"/>
  <c r="K35" i="11"/>
  <c r="N34" i="11"/>
  <c r="M26" i="11"/>
  <c r="H23" i="11"/>
  <c r="J38" i="11"/>
  <c r="N22" i="11"/>
  <c r="N14" i="11"/>
  <c r="N15" i="11"/>
  <c r="H40" i="11"/>
  <c r="K15" i="11"/>
  <c r="F21" i="11"/>
  <c r="E30" i="11"/>
  <c r="L32" i="11"/>
  <c r="I19" i="11"/>
  <c r="E19" i="11"/>
  <c r="F34" i="11"/>
  <c r="K26" i="11"/>
  <c r="J9" i="11"/>
  <c r="N19" i="11"/>
  <c r="J15" i="11"/>
  <c r="J28" i="11"/>
  <c r="M40" i="11"/>
  <c r="K17" i="11"/>
  <c r="H33" i="11"/>
  <c r="L34" i="11"/>
  <c r="J22" i="11"/>
  <c r="E38" i="11"/>
  <c r="J14" i="11"/>
  <c r="F35" i="11"/>
  <c r="N6" i="11"/>
  <c r="L26" i="11"/>
  <c r="N27" i="11"/>
  <c r="N36" i="11"/>
  <c r="H5" i="11"/>
  <c r="K42" i="11"/>
  <c r="K41" i="11"/>
  <c r="M42" i="11"/>
  <c r="M41" i="11"/>
  <c r="M22" i="11"/>
  <c r="G33" i="11"/>
  <c r="G26" i="11"/>
  <c r="H37" i="11"/>
  <c r="M36" i="11"/>
  <c r="M29" i="11"/>
  <c r="M38" i="11"/>
  <c r="G38" i="11"/>
  <c r="G40" i="11"/>
  <c r="M13" i="11"/>
  <c r="M17" i="11"/>
  <c r="G8" i="11"/>
  <c r="M16" i="11"/>
  <c r="M10" i="11"/>
  <c r="M27" i="11"/>
  <c r="G17" i="11"/>
  <c r="H20" i="11"/>
  <c r="M11" i="11"/>
  <c r="F16" i="11"/>
  <c r="G16" i="11"/>
  <c r="G12" i="11"/>
  <c r="H39" i="11"/>
  <c r="I24" i="11"/>
  <c r="K12" i="11"/>
  <c r="N20" i="11"/>
  <c r="J30" i="11"/>
  <c r="H38" i="11"/>
  <c r="E17" i="11"/>
  <c r="F26" i="11"/>
  <c r="L14" i="11"/>
  <c r="N25" i="11"/>
  <c r="H35" i="11"/>
  <c r="F10" i="11"/>
  <c r="E13" i="11"/>
  <c r="L15" i="11"/>
  <c r="H30" i="11"/>
  <c r="H41" i="11"/>
  <c r="J40" i="11"/>
  <c r="E31" i="11"/>
  <c r="N5" i="11"/>
  <c r="K6" i="11"/>
  <c r="G25" i="11"/>
  <c r="G32" i="11"/>
  <c r="K34" i="11"/>
  <c r="L17" i="11"/>
  <c r="I9" i="11"/>
  <c r="F37" i="11"/>
  <c r="N9" i="11"/>
  <c r="J18" i="11"/>
  <c r="K38" i="11"/>
  <c r="L39" i="11"/>
  <c r="E33" i="11"/>
  <c r="M20" i="11"/>
  <c r="L12" i="11"/>
  <c r="N28" i="11"/>
  <c r="K18" i="11"/>
  <c r="F28" i="11"/>
  <c r="E21" i="11"/>
  <c r="L25" i="11"/>
  <c r="H6" i="11"/>
  <c r="I20" i="11"/>
  <c r="E24" i="11"/>
  <c r="F39" i="11"/>
  <c r="K5" i="11"/>
  <c r="J20" i="11"/>
  <c r="N24" i="11"/>
  <c r="J29" i="11"/>
  <c r="J42" i="11"/>
  <c r="M35" i="11"/>
  <c r="H22" i="11"/>
  <c r="L37" i="11"/>
  <c r="J17" i="11"/>
  <c r="E23" i="11"/>
  <c r="N16" i="11"/>
  <c r="F40" i="11"/>
  <c r="M9" i="11"/>
  <c r="L31" i="11"/>
  <c r="N13" i="11"/>
  <c r="N18" i="11"/>
  <c r="H26" i="11"/>
  <c r="K28" i="11"/>
  <c r="K21" i="11"/>
  <c r="F30" i="11"/>
  <c r="F25" i="11"/>
  <c r="E25" i="11"/>
  <c r="E32" i="11"/>
  <c r="L27" i="11"/>
  <c r="L36" i="11"/>
  <c r="H32" i="11"/>
  <c r="H25" i="11"/>
  <c r="J26" i="11"/>
  <c r="G34" i="11"/>
  <c r="E40" i="11"/>
  <c r="N40" i="11"/>
  <c r="G21" i="11"/>
  <c r="G30" i="11"/>
  <c r="K9" i="11"/>
  <c r="L38" i="11"/>
  <c r="E37" i="11"/>
  <c r="K7" i="11"/>
  <c r="J13" i="11"/>
  <c r="M8" i="11"/>
  <c r="K23" i="11"/>
  <c r="J16" i="11"/>
  <c r="J6" i="11"/>
  <c r="M39" i="11"/>
  <c r="N11" i="11"/>
  <c r="H12" i="11"/>
  <c r="K25" i="11"/>
  <c r="F27" i="11"/>
  <c r="E36" i="11"/>
  <c r="L42" i="11"/>
  <c r="H36" i="11"/>
  <c r="J7" i="11"/>
  <c r="G19" i="11"/>
  <c r="E5" i="11"/>
  <c r="N31" i="11"/>
  <c r="F6" i="11"/>
  <c r="G29" i="11"/>
  <c r="G42" i="11"/>
  <c r="K19" i="11"/>
  <c r="E9" i="11"/>
  <c r="K40" i="11"/>
  <c r="N37" i="11"/>
  <c r="J36" i="11"/>
  <c r="H16" i="11"/>
  <c r="M6" i="11"/>
  <c r="F8" i="11"/>
  <c r="M19" i="11"/>
  <c r="L40" i="11"/>
  <c r="N42" i="11"/>
  <c r="K36" i="11"/>
  <c r="F42" i="11"/>
  <c r="E41" i="11"/>
  <c r="L10" i="11"/>
  <c r="I39" i="11"/>
  <c r="E39" i="11"/>
  <c r="F19" i="11"/>
  <c r="K31" i="11"/>
  <c r="J34" i="11"/>
  <c r="J11" i="11"/>
  <c r="J10" i="11"/>
  <c r="M12" i="11"/>
  <c r="K22" i="11"/>
  <c r="H17" i="11"/>
  <c r="L20" i="11"/>
  <c r="M14" i="11"/>
  <c r="N23" i="11"/>
  <c r="F12" i="11"/>
  <c r="M24" i="11"/>
  <c r="L6" i="11"/>
  <c r="L8" i="11"/>
  <c r="N21" i="11"/>
  <c r="N30" i="11"/>
  <c r="H31" i="11"/>
  <c r="K32" i="11"/>
  <c r="K27" i="11"/>
  <c r="F36" i="11"/>
  <c r="F29" i="11"/>
  <c r="E29" i="11"/>
  <c r="E42" i="11"/>
  <c r="L41" i="11"/>
  <c r="H28" i="11"/>
  <c r="H15" i="11"/>
  <c r="J5" i="11"/>
  <c r="G9" i="11"/>
  <c r="E7" i="11"/>
  <c r="F11" i="11"/>
  <c r="E11" i="11"/>
  <c r="E10" i="11"/>
  <c r="L13" i="11"/>
  <c r="L18" i="11"/>
  <c r="H10" i="11"/>
  <c r="H11" i="11"/>
  <c r="J31" i="11"/>
  <c r="G37" i="11"/>
  <c r="E35" i="11"/>
  <c r="N35" i="11"/>
  <c r="F14" i="11"/>
  <c r="G41" i="11"/>
  <c r="E14" i="11"/>
  <c r="L23" i="11"/>
  <c r="I37" i="11"/>
  <c r="F9" i="11"/>
  <c r="J24" i="11"/>
  <c r="J41" i="11"/>
  <c r="M5" i="11"/>
  <c r="L19" i="11"/>
  <c r="E22" i="11"/>
  <c r="F31" i="11"/>
  <c r="L35" i="11"/>
  <c r="N10" i="11"/>
  <c r="K30" i="11"/>
  <c r="F32" i="11"/>
  <c r="E27" i="11"/>
  <c r="L29" i="11"/>
  <c r="H18" i="11"/>
  <c r="H27" i="11"/>
  <c r="J12" i="11"/>
  <c r="G24" i="11"/>
  <c r="E8" i="11"/>
  <c r="N26" i="11"/>
  <c r="G15" i="11"/>
  <c r="G28" i="11"/>
  <c r="K20" i="11"/>
  <c r="L33" i="11"/>
  <c r="F24" i="11"/>
  <c r="J39" i="11"/>
  <c r="J27" i="11"/>
  <c r="M31" i="11"/>
  <c r="J23" i="11"/>
  <c r="N17" i="11"/>
  <c r="F5" i="11"/>
  <c r="L7" i="11"/>
  <c r="N29" i="11"/>
  <c r="H7" i="11"/>
  <c r="K29" i="11"/>
  <c r="F41" i="11"/>
  <c r="L11" i="11"/>
  <c r="H21" i="11"/>
  <c r="I34" i="11"/>
  <c r="F20" i="11"/>
  <c r="K8" i="11"/>
  <c r="J37" i="11"/>
  <c r="N39" i="11"/>
  <c r="J25" i="11"/>
  <c r="J32" i="11"/>
  <c r="M7" i="11"/>
  <c r="K33" i="11"/>
  <c r="L9" i="11"/>
  <c r="J33" i="11"/>
  <c r="E16" i="11"/>
  <c r="N38" i="11"/>
  <c r="F7" i="11"/>
  <c r="M37" i="11"/>
  <c r="L5" i="11"/>
  <c r="G6" i="11"/>
  <c r="N41" i="11"/>
  <c r="H8" i="11"/>
  <c r="K10" i="11"/>
  <c r="K13" i="11"/>
  <c r="F18" i="11"/>
  <c r="F15" i="11"/>
  <c r="E15" i="11"/>
  <c r="E28" i="11"/>
  <c r="L21" i="11"/>
  <c r="L30" i="11"/>
  <c r="H42" i="11"/>
  <c r="H29" i="11"/>
  <c r="J8" i="11"/>
  <c r="G20" i="11"/>
  <c r="E12" i="11"/>
  <c r="N12" i="11"/>
  <c r="G13" i="11"/>
  <c r="N7" i="11"/>
  <c r="G27" i="11"/>
  <c r="G36" i="11"/>
  <c r="K37" i="11"/>
  <c r="I7" i="11"/>
  <c r="I14" i="11"/>
  <c r="D23" i="11"/>
  <c r="I33" i="11"/>
  <c r="D9" i="11"/>
  <c r="C9" i="11" s="1"/>
  <c r="R9" i="11" s="1"/>
  <c r="I25" i="11"/>
  <c r="I36" i="11"/>
  <c r="D5" i="11"/>
  <c r="I31" i="11"/>
  <c r="D35" i="11"/>
  <c r="D40" i="11"/>
  <c r="D22" i="11"/>
  <c r="D42" i="11"/>
  <c r="D28" i="11"/>
  <c r="D25" i="11"/>
  <c r="I38" i="11"/>
  <c r="I41" i="11"/>
  <c r="I42" i="11"/>
  <c r="D19" i="11"/>
  <c r="C19" i="11" s="1"/>
  <c r="D20" i="11"/>
  <c r="I40" i="11"/>
  <c r="I22" i="11"/>
  <c r="D6" i="11"/>
  <c r="I29" i="11"/>
  <c r="D8" i="11"/>
  <c r="D15" i="11"/>
  <c r="D18" i="11"/>
  <c r="I5" i="11"/>
  <c r="D33" i="11"/>
  <c r="C33" i="11" s="1"/>
  <c r="R33" i="11" s="1"/>
  <c r="D41" i="11"/>
  <c r="D13" i="11"/>
  <c r="D11" i="11"/>
  <c r="I16" i="11"/>
  <c r="I27" i="11"/>
  <c r="I32" i="11"/>
  <c r="K14" i="11"/>
  <c r="G18" i="11"/>
  <c r="K24" i="11"/>
  <c r="L16" i="11"/>
  <c r="I12" i="11"/>
  <c r="D26" i="11"/>
  <c r="D16" i="11"/>
  <c r="D37" i="11"/>
  <c r="C37" i="11" s="1"/>
  <c r="R37" i="11" s="1"/>
  <c r="I11" i="11"/>
  <c r="I18" i="11"/>
  <c r="D31" i="11"/>
  <c r="D29" i="11"/>
  <c r="C29" i="11" s="1"/>
  <c r="R29" i="11" s="1"/>
  <c r="I26" i="11"/>
  <c r="D7" i="11"/>
  <c r="C7" i="11" s="1"/>
  <c r="R7" i="11" s="1"/>
  <c r="D12" i="11"/>
  <c r="D27" i="11"/>
  <c r="D32" i="11"/>
  <c r="D10" i="11"/>
  <c r="I23" i="11"/>
  <c r="I21" i="11"/>
  <c r="I28" i="11"/>
  <c r="D39" i="11"/>
  <c r="C39" i="11" s="1"/>
  <c r="R39" i="11" s="1"/>
  <c r="D34" i="11"/>
  <c r="I35" i="11"/>
  <c r="I17" i="11"/>
  <c r="D24" i="11"/>
  <c r="C24" i="11" s="1"/>
  <c r="R24" i="11" s="1"/>
  <c r="I15" i="11"/>
  <c r="I30" i="11"/>
  <c r="D38" i="11"/>
  <c r="D36" i="11"/>
  <c r="C36" i="11" s="1"/>
  <c r="R36" i="11" s="1"/>
  <c r="D14" i="11"/>
  <c r="I8" i="11"/>
  <c r="D17" i="11"/>
  <c r="D21" i="11"/>
  <c r="C21" i="11" s="1"/>
  <c r="R21" i="11" s="1"/>
  <c r="I6" i="11"/>
  <c r="D30" i="11"/>
  <c r="C30" i="11" s="1"/>
  <c r="R30" i="11" s="1"/>
  <c r="I13" i="11"/>
  <c r="I10" i="11"/>
  <c r="Q15" i="7"/>
  <c r="R19" i="11"/>
  <c r="Q29" i="7"/>
  <c r="K41" i="12"/>
  <c r="L41" i="12" s="1"/>
  <c r="K5" i="12"/>
  <c r="L5" i="12" s="1"/>
  <c r="Q26" i="7"/>
  <c r="K17" i="12"/>
  <c r="L17" i="12" s="1"/>
  <c r="K28" i="12"/>
  <c r="L28" i="12" s="1"/>
  <c r="K19" i="12"/>
  <c r="L19" i="12" s="1"/>
  <c r="K9" i="12"/>
  <c r="L9" i="12" s="1"/>
  <c r="Q10" i="7"/>
  <c r="O25" i="12"/>
  <c r="P25" i="12" s="1"/>
  <c r="O40" i="12"/>
  <c r="P40" i="12" s="1"/>
  <c r="O29" i="12"/>
  <c r="P29" i="12" s="1"/>
  <c r="O33" i="12"/>
  <c r="P33" i="12" s="1"/>
  <c r="O39" i="12"/>
  <c r="P39" i="12" s="1"/>
  <c r="O13" i="12"/>
  <c r="P13" i="12" s="1"/>
  <c r="O4" i="12"/>
  <c r="P4" i="12" s="1"/>
  <c r="O37" i="12"/>
  <c r="P37" i="12" s="1"/>
  <c r="O19" i="12"/>
  <c r="P19" i="12" s="1"/>
  <c r="O7" i="12"/>
  <c r="P7" i="12" s="1"/>
  <c r="O14" i="12"/>
  <c r="P14" i="12" s="1"/>
  <c r="O41" i="12"/>
  <c r="P41" i="12" s="1"/>
  <c r="O6" i="12"/>
  <c r="P6" i="12" s="1"/>
  <c r="O15" i="12"/>
  <c r="P15" i="12" s="1"/>
  <c r="O30" i="12"/>
  <c r="P30" i="12" s="1"/>
  <c r="O26" i="12"/>
  <c r="P26" i="12" s="1"/>
  <c r="O24" i="12"/>
  <c r="P24" i="12" s="1"/>
  <c r="O8" i="12"/>
  <c r="P8" i="12" s="1"/>
  <c r="O32" i="12"/>
  <c r="P32" i="12" s="1"/>
  <c r="O21" i="12"/>
  <c r="P21" i="12" s="1"/>
  <c r="O5" i="12"/>
  <c r="P5" i="12" s="1"/>
  <c r="O11" i="12"/>
  <c r="P11" i="12" s="1"/>
  <c r="O31" i="12"/>
  <c r="P31" i="12" s="1"/>
  <c r="O28" i="12"/>
  <c r="P28" i="12" s="1"/>
  <c r="K33" i="12"/>
  <c r="L33" i="12" s="1"/>
  <c r="K37" i="12"/>
  <c r="L37" i="12" s="1"/>
  <c r="Q37" i="7"/>
  <c r="Q28" i="7"/>
  <c r="K27" i="12"/>
  <c r="L27" i="12" s="1"/>
  <c r="Q11" i="7"/>
  <c r="K22" i="12"/>
  <c r="L22" i="12" s="1"/>
  <c r="Q23" i="7"/>
  <c r="K8" i="12"/>
  <c r="L8" i="12" s="1"/>
  <c r="Q9" i="7"/>
  <c r="Q41" i="7"/>
  <c r="Q32" i="7"/>
  <c r="K31" i="12"/>
  <c r="L31" i="12" s="1"/>
  <c r="K18" i="12"/>
  <c r="L18" i="12" s="1"/>
  <c r="Q19" i="7"/>
  <c r="Q36" i="7"/>
  <c r="K35" i="12"/>
  <c r="L35" i="12" s="1"/>
  <c r="Q7" i="7"/>
  <c r="K6" i="12"/>
  <c r="L6" i="12" s="1"/>
  <c r="Q27" i="7"/>
  <c r="K26" i="12"/>
  <c r="L26" i="12" s="1"/>
  <c r="Q24" i="7"/>
  <c r="K23" i="12"/>
  <c r="L23" i="12" s="1"/>
  <c r="Q17" i="7"/>
  <c r="K16" i="12"/>
  <c r="L16" i="12" s="1"/>
  <c r="Q33" i="7"/>
  <c r="K32" i="12"/>
  <c r="L32" i="12" s="1"/>
  <c r="K38" i="12"/>
  <c r="L38" i="12" s="1"/>
  <c r="Q39" i="7"/>
  <c r="Q35" i="7"/>
  <c r="K34" i="12"/>
  <c r="L34" i="12" s="1"/>
  <c r="Q5" i="7"/>
  <c r="K4" i="12"/>
  <c r="L4" i="12" s="1"/>
  <c r="K13" i="12"/>
  <c r="L13" i="12" s="1"/>
  <c r="Q14" i="7"/>
  <c r="Q21" i="7"/>
  <c r="K20" i="12"/>
  <c r="L20" i="12" s="1"/>
  <c r="K29" i="12"/>
  <c r="L29" i="12" s="1"/>
  <c r="Q30" i="7"/>
  <c r="H99" i="9"/>
  <c r="H57" i="9" s="1"/>
  <c r="I131" i="9"/>
  <c r="J147" i="9"/>
  <c r="J135" i="9" s="1"/>
  <c r="C131" i="9"/>
  <c r="F147" i="9"/>
  <c r="F135" i="9" s="1"/>
  <c r="D116" i="9"/>
  <c r="D74" i="9" s="1"/>
  <c r="D93" i="9"/>
  <c r="D51" i="9" s="1"/>
  <c r="D120" i="9"/>
  <c r="D78" i="9" s="1"/>
  <c r="D92" i="9"/>
  <c r="D50" i="9" s="1"/>
  <c r="D125" i="9"/>
  <c r="D83" i="9" s="1"/>
  <c r="D97" i="9"/>
  <c r="D55" i="9" s="1"/>
  <c r="D111" i="9"/>
  <c r="D69" i="9" s="1"/>
  <c r="D90" i="9"/>
  <c r="D48" i="9" s="1"/>
  <c r="E127" i="9"/>
  <c r="E85" i="9" s="1"/>
  <c r="E113" i="9"/>
  <c r="E71" i="9" s="1"/>
  <c r="E110" i="9"/>
  <c r="E68" i="9" s="1"/>
  <c r="E96" i="9"/>
  <c r="E54" i="9" s="1"/>
  <c r="E121" i="9"/>
  <c r="E79" i="9" s="1"/>
  <c r="E126" i="9"/>
  <c r="E84" i="9" s="1"/>
  <c r="E106" i="9"/>
  <c r="E64" i="9" s="1"/>
  <c r="E103" i="9"/>
  <c r="E61" i="9" s="1"/>
  <c r="E117" i="9"/>
  <c r="E75" i="9" s="1"/>
  <c r="E114" i="9"/>
  <c r="E72" i="9" s="1"/>
  <c r="E100" i="9"/>
  <c r="E58" i="9" s="1"/>
  <c r="E95" i="9"/>
  <c r="E53" i="9" s="1"/>
  <c r="E115" i="9"/>
  <c r="E73" i="9" s="1"/>
  <c r="E112" i="9"/>
  <c r="E70" i="9" s="1"/>
  <c r="E98" i="9"/>
  <c r="E56" i="9" s="1"/>
  <c r="M112" i="9"/>
  <c r="M70" i="9" s="1"/>
  <c r="M121" i="9"/>
  <c r="M79" i="9" s="1"/>
  <c r="M103" i="9"/>
  <c r="M61" i="9" s="1"/>
  <c r="M96" i="9"/>
  <c r="M54" i="9" s="1"/>
  <c r="M110" i="9"/>
  <c r="M68" i="9" s="1"/>
  <c r="M117" i="9"/>
  <c r="M75" i="9" s="1"/>
  <c r="M95" i="9"/>
  <c r="M53" i="9" s="1"/>
  <c r="M126" i="9"/>
  <c r="M84" i="9" s="1"/>
  <c r="M106" i="9"/>
  <c r="M64" i="9" s="1"/>
  <c r="M115" i="9"/>
  <c r="M73" i="9" s="1"/>
  <c r="M100" i="9"/>
  <c r="M58" i="9" s="1"/>
  <c r="M114" i="9"/>
  <c r="M72" i="9" s="1"/>
  <c r="M127" i="9"/>
  <c r="M85" i="9" s="1"/>
  <c r="M113" i="9"/>
  <c r="M71" i="9" s="1"/>
  <c r="M98" i="9"/>
  <c r="M56" i="9" s="1"/>
  <c r="E119" i="9"/>
  <c r="E77" i="9" s="1"/>
  <c r="E94" i="9"/>
  <c r="E52" i="9" s="1"/>
  <c r="E122" i="9"/>
  <c r="E80" i="9" s="1"/>
  <c r="E109" i="9"/>
  <c r="E67" i="9" s="1"/>
  <c r="E105" i="9"/>
  <c r="E63" i="9" s="1"/>
  <c r="E124" i="9"/>
  <c r="E82" i="9" s="1"/>
  <c r="E104" i="9"/>
  <c r="E62" i="9" s="1"/>
  <c r="F108" i="9"/>
  <c r="F66" i="9" s="1"/>
  <c r="F102" i="9"/>
  <c r="F60" i="9" s="1"/>
  <c r="F123" i="9"/>
  <c r="F81" i="9" s="1"/>
  <c r="F107" i="9"/>
  <c r="F65" i="9" s="1"/>
  <c r="F118" i="9"/>
  <c r="F76" i="9" s="1"/>
  <c r="F101" i="9"/>
  <c r="F59" i="9" s="1"/>
  <c r="K146" i="9"/>
  <c r="K134" i="9" s="1"/>
  <c r="N146" i="9"/>
  <c r="N134" i="9" s="1"/>
  <c r="J146" i="9"/>
  <c r="J134" i="9" s="1"/>
  <c r="G146" i="9"/>
  <c r="G134" i="9" s="1"/>
  <c r="H146" i="9"/>
  <c r="H134" i="9" s="1"/>
  <c r="I134" i="9" s="1"/>
  <c r="M146" i="9"/>
  <c r="M134" i="9" s="1"/>
  <c r="E146" i="9"/>
  <c r="E134" i="9" s="1"/>
  <c r="J145" i="9"/>
  <c r="J133" i="9" s="1"/>
  <c r="N145" i="9"/>
  <c r="N133" i="9" s="1"/>
  <c r="L145" i="9"/>
  <c r="L133" i="9" s="1"/>
  <c r="F145" i="9"/>
  <c r="F133" i="9" s="1"/>
  <c r="K145" i="9"/>
  <c r="K133" i="9" s="1"/>
  <c r="M145" i="9"/>
  <c r="M133" i="9" s="1"/>
  <c r="G145" i="9"/>
  <c r="G133" i="9" s="1"/>
  <c r="H145" i="9"/>
  <c r="H133" i="9" s="1"/>
  <c r="I133" i="9" s="1"/>
  <c r="C194" i="9"/>
  <c r="N147" i="9"/>
  <c r="N135" i="9" s="1"/>
  <c r="N99" i="9"/>
  <c r="N57" i="9" s="1"/>
  <c r="N91" i="9"/>
  <c r="N49" i="9" s="1"/>
  <c r="E99" i="9"/>
  <c r="E57" i="9" s="1"/>
  <c r="E91" i="9"/>
  <c r="E49" i="9" s="1"/>
  <c r="G91" i="9"/>
  <c r="G49" i="9" s="1"/>
  <c r="G99" i="9"/>
  <c r="G57" i="9" s="1"/>
  <c r="L99" i="9"/>
  <c r="L57" i="9" s="1"/>
  <c r="L91" i="9"/>
  <c r="L49" i="9" s="1"/>
  <c r="K147" i="9"/>
  <c r="K135" i="9" s="1"/>
  <c r="J116" i="9"/>
  <c r="J74" i="9" s="1"/>
  <c r="J120" i="9"/>
  <c r="J78" i="9" s="1"/>
  <c r="J90" i="9"/>
  <c r="J48" i="9" s="1"/>
  <c r="J92" i="9"/>
  <c r="J50" i="9" s="1"/>
  <c r="J111" i="9"/>
  <c r="J69" i="9" s="1"/>
  <c r="J125" i="9"/>
  <c r="J83" i="9" s="1"/>
  <c r="J93" i="9"/>
  <c r="J51" i="9" s="1"/>
  <c r="J97" i="9"/>
  <c r="J55" i="9" s="1"/>
  <c r="D104" i="9"/>
  <c r="D62" i="9" s="1"/>
  <c r="D105" i="9"/>
  <c r="D63" i="9" s="1"/>
  <c r="D119" i="9"/>
  <c r="D77" i="9" s="1"/>
  <c r="D122" i="9"/>
  <c r="D94" i="9"/>
  <c r="D52" i="9" s="1"/>
  <c r="D124" i="9"/>
  <c r="D82" i="9" s="1"/>
  <c r="D109" i="9"/>
  <c r="D67" i="9" s="1"/>
  <c r="N125" i="9"/>
  <c r="N83" i="9" s="1"/>
  <c r="N93" i="9"/>
  <c r="N51" i="9" s="1"/>
  <c r="N116" i="9"/>
  <c r="N74" i="9" s="1"/>
  <c r="N92" i="9"/>
  <c r="N50" i="9" s="1"/>
  <c r="N111" i="9"/>
  <c r="N69" i="9" s="1"/>
  <c r="N97" i="9"/>
  <c r="N55" i="9" s="1"/>
  <c r="N120" i="9"/>
  <c r="N78" i="9" s="1"/>
  <c r="N90" i="9"/>
  <c r="N48" i="9" s="1"/>
  <c r="H144" i="9"/>
  <c r="H132" i="9" s="1"/>
  <c r="I132" i="9" s="1"/>
  <c r="L144" i="9"/>
  <c r="L132" i="9" s="1"/>
  <c r="M144" i="9"/>
  <c r="M132" i="9" s="1"/>
  <c r="F144" i="9"/>
  <c r="F132" i="9" s="1"/>
  <c r="G144" i="9"/>
  <c r="G132" i="9" s="1"/>
  <c r="E144" i="9"/>
  <c r="E132" i="9" s="1"/>
  <c r="K144" i="9"/>
  <c r="K132" i="9" s="1"/>
  <c r="L146" i="9"/>
  <c r="L134" i="9" s="1"/>
  <c r="D99" i="9"/>
  <c r="D91" i="9"/>
  <c r="K91" i="9"/>
  <c r="K49" i="9" s="1"/>
  <c r="K99" i="9"/>
  <c r="K57" i="9" s="1"/>
  <c r="J91" i="9"/>
  <c r="J49" i="9" s="1"/>
  <c r="J99" i="9"/>
  <c r="J57" i="9" s="1"/>
  <c r="M91" i="9"/>
  <c r="M49" i="9" s="1"/>
  <c r="M99" i="9"/>
  <c r="M57" i="9" s="1"/>
  <c r="F99" i="9"/>
  <c r="F57" i="9" s="1"/>
  <c r="F91" i="9"/>
  <c r="F49" i="9" s="1"/>
  <c r="J121" i="9"/>
  <c r="J79" i="9" s="1"/>
  <c r="J106" i="9"/>
  <c r="J64" i="9" s="1"/>
  <c r="J127" i="9"/>
  <c r="J85" i="9" s="1"/>
  <c r="J98" i="9"/>
  <c r="J56" i="9" s="1"/>
  <c r="J103" i="9"/>
  <c r="J61" i="9" s="1"/>
  <c r="J112" i="9"/>
  <c r="J70" i="9" s="1"/>
  <c r="J100" i="9"/>
  <c r="J58" i="9" s="1"/>
  <c r="J126" i="9"/>
  <c r="J84" i="9" s="1"/>
  <c r="J113" i="9"/>
  <c r="J71" i="9" s="1"/>
  <c r="J114" i="9"/>
  <c r="J72" i="9" s="1"/>
  <c r="J110" i="9"/>
  <c r="J68" i="9" s="1"/>
  <c r="J95" i="9"/>
  <c r="J53" i="9" s="1"/>
  <c r="J115" i="9"/>
  <c r="J73" i="9" s="1"/>
  <c r="J117" i="9"/>
  <c r="J75" i="9" s="1"/>
  <c r="J96" i="9"/>
  <c r="J54" i="9" s="1"/>
  <c r="F110" i="9"/>
  <c r="F68" i="9" s="1"/>
  <c r="F115" i="9"/>
  <c r="F73" i="9" s="1"/>
  <c r="F95" i="9"/>
  <c r="F53" i="9" s="1"/>
  <c r="F126" i="9"/>
  <c r="F84" i="9" s="1"/>
  <c r="F127" i="9"/>
  <c r="F85" i="9" s="1"/>
  <c r="F113" i="9"/>
  <c r="F71" i="9" s="1"/>
  <c r="F100" i="9"/>
  <c r="F58" i="9" s="1"/>
  <c r="F114" i="9"/>
  <c r="F72" i="9" s="1"/>
  <c r="F121" i="9"/>
  <c r="F79" i="9" s="1"/>
  <c r="F106" i="9"/>
  <c r="F64" i="9" s="1"/>
  <c r="F98" i="9"/>
  <c r="F56" i="9" s="1"/>
  <c r="F112" i="9"/>
  <c r="F70" i="9" s="1"/>
  <c r="F117" i="9"/>
  <c r="F75" i="9" s="1"/>
  <c r="F103" i="9"/>
  <c r="F61" i="9" s="1"/>
  <c r="F96" i="9"/>
  <c r="F54" i="9" s="1"/>
  <c r="H147" i="9"/>
  <c r="H135" i="9" s="1"/>
  <c r="I135" i="9" s="1"/>
  <c r="L147" i="9"/>
  <c r="L135" i="9" s="1"/>
  <c r="D147" i="9"/>
  <c r="D135" i="9" s="1"/>
  <c r="G147" i="9"/>
  <c r="G135" i="9" s="1"/>
  <c r="D146" i="9"/>
  <c r="D134" i="9" s="1"/>
  <c r="L42" i="2"/>
  <c r="J42" i="2"/>
  <c r="H42" i="2"/>
  <c r="F42" i="2"/>
  <c r="D42" i="2"/>
  <c r="M41" i="2"/>
  <c r="K41" i="2"/>
  <c r="I41" i="2"/>
  <c r="G41" i="2"/>
  <c r="E41" i="2"/>
  <c r="L40" i="2"/>
  <c r="J40" i="2"/>
  <c r="H40" i="2"/>
  <c r="F40" i="2"/>
  <c r="D40" i="2"/>
  <c r="M39" i="2"/>
  <c r="K39" i="2"/>
  <c r="I39" i="2"/>
  <c r="G39" i="2"/>
  <c r="E39" i="2"/>
  <c r="L38" i="2"/>
  <c r="J38" i="2"/>
  <c r="H38" i="2"/>
  <c r="F38" i="2"/>
  <c r="D38" i="2"/>
  <c r="M37" i="2"/>
  <c r="K37" i="2"/>
  <c r="I37" i="2"/>
  <c r="G37" i="2"/>
  <c r="E37" i="2"/>
  <c r="L36" i="2"/>
  <c r="J36" i="2"/>
  <c r="H36" i="2"/>
  <c r="F36" i="2"/>
  <c r="D36" i="2"/>
  <c r="M35" i="2"/>
  <c r="K35" i="2"/>
  <c r="I35" i="2"/>
  <c r="G35" i="2"/>
  <c r="E35" i="2"/>
  <c r="L34" i="2"/>
  <c r="J34" i="2"/>
  <c r="H34" i="2"/>
  <c r="F34" i="2"/>
  <c r="D34" i="2"/>
  <c r="M33" i="2"/>
  <c r="K33" i="2"/>
  <c r="I33" i="2"/>
  <c r="G33" i="2"/>
  <c r="E33" i="2"/>
  <c r="L32" i="2"/>
  <c r="J32" i="2"/>
  <c r="H32" i="2"/>
  <c r="F32" i="2"/>
  <c r="D32" i="2"/>
  <c r="M31" i="2"/>
  <c r="K31" i="2"/>
  <c r="I31" i="2"/>
  <c r="G31" i="2"/>
  <c r="E31" i="2"/>
  <c r="L30" i="2"/>
  <c r="J30" i="2"/>
  <c r="H30" i="2"/>
  <c r="F30" i="2"/>
  <c r="D30" i="2"/>
  <c r="M29" i="2"/>
  <c r="K29" i="2"/>
  <c r="I29" i="2"/>
  <c r="G29" i="2"/>
  <c r="E29" i="2"/>
  <c r="L28" i="2"/>
  <c r="J28" i="2"/>
  <c r="H28" i="2"/>
  <c r="F28" i="2"/>
  <c r="D28" i="2"/>
  <c r="M27" i="2"/>
  <c r="K27" i="2"/>
  <c r="M42" i="2"/>
  <c r="K42" i="2"/>
  <c r="I42" i="2"/>
  <c r="G42" i="2"/>
  <c r="E42" i="2"/>
  <c r="L41" i="2"/>
  <c r="J41" i="2"/>
  <c r="H41" i="2"/>
  <c r="F41" i="2"/>
  <c r="D41" i="2"/>
  <c r="M40" i="2"/>
  <c r="K40" i="2"/>
  <c r="I40" i="2"/>
  <c r="G40" i="2"/>
  <c r="E40" i="2"/>
  <c r="L39" i="2"/>
  <c r="J39" i="2"/>
  <c r="H39" i="2"/>
  <c r="F39" i="2"/>
  <c r="D39" i="2"/>
  <c r="M38" i="2"/>
  <c r="K38" i="2"/>
  <c r="I38" i="2"/>
  <c r="G38" i="2"/>
  <c r="E38" i="2"/>
  <c r="L37" i="2"/>
  <c r="J37" i="2"/>
  <c r="H37" i="2"/>
  <c r="F37" i="2"/>
  <c r="D37" i="2"/>
  <c r="M36" i="2"/>
  <c r="K36" i="2"/>
  <c r="I36" i="2"/>
  <c r="G36" i="2"/>
  <c r="E36" i="2"/>
  <c r="L35" i="2"/>
  <c r="J35" i="2"/>
  <c r="H35" i="2"/>
  <c r="F35" i="2"/>
  <c r="D35" i="2"/>
  <c r="M34" i="2"/>
  <c r="K34" i="2"/>
  <c r="I34" i="2"/>
  <c r="G34" i="2"/>
  <c r="E34" i="2"/>
  <c r="L33" i="2"/>
  <c r="J33" i="2"/>
  <c r="H33" i="2"/>
  <c r="F33" i="2"/>
  <c r="D33" i="2"/>
  <c r="M32" i="2"/>
  <c r="K32" i="2"/>
  <c r="I32" i="2"/>
  <c r="G32" i="2"/>
  <c r="E32" i="2"/>
  <c r="L31" i="2"/>
  <c r="J31" i="2"/>
  <c r="H31" i="2"/>
  <c r="F31" i="2"/>
  <c r="D31" i="2"/>
  <c r="K30" i="2"/>
  <c r="G30" i="2"/>
  <c r="L29" i="2"/>
  <c r="H29" i="2"/>
  <c r="D29" i="2"/>
  <c r="K28" i="2"/>
  <c r="G28" i="2"/>
  <c r="L27" i="2"/>
  <c r="I27" i="2"/>
  <c r="G27" i="2"/>
  <c r="E27" i="2"/>
  <c r="L26" i="2"/>
  <c r="J26" i="2"/>
  <c r="H26" i="2"/>
  <c r="F26" i="2"/>
  <c r="D26" i="2"/>
  <c r="M25" i="2"/>
  <c r="K25" i="2"/>
  <c r="I25" i="2"/>
  <c r="G25" i="2"/>
  <c r="E25" i="2"/>
  <c r="L24" i="2"/>
  <c r="J24" i="2"/>
  <c r="H24" i="2"/>
  <c r="F24" i="2"/>
  <c r="D24" i="2"/>
  <c r="M23" i="2"/>
  <c r="K23" i="2"/>
  <c r="I23" i="2"/>
  <c r="G23" i="2"/>
  <c r="E23" i="2"/>
  <c r="L22" i="2"/>
  <c r="J22" i="2"/>
  <c r="H22" i="2"/>
  <c r="F22" i="2"/>
  <c r="D22" i="2"/>
  <c r="M21" i="2"/>
  <c r="K21" i="2"/>
  <c r="I21" i="2"/>
  <c r="G21" i="2"/>
  <c r="E21" i="2"/>
  <c r="L20" i="2"/>
  <c r="J20" i="2"/>
  <c r="H20" i="2"/>
  <c r="F20" i="2"/>
  <c r="D20" i="2"/>
  <c r="M19" i="2"/>
  <c r="K19" i="2"/>
  <c r="I19" i="2"/>
  <c r="G19" i="2"/>
  <c r="E19" i="2"/>
  <c r="L18" i="2"/>
  <c r="J18" i="2"/>
  <c r="H18" i="2"/>
  <c r="F18" i="2"/>
  <c r="D18" i="2"/>
  <c r="M17" i="2"/>
  <c r="K17" i="2"/>
  <c r="I17" i="2"/>
  <c r="G17" i="2"/>
  <c r="E17" i="2"/>
  <c r="L16" i="2"/>
  <c r="J16" i="2"/>
  <c r="H16" i="2"/>
  <c r="F16" i="2"/>
  <c r="D16" i="2"/>
  <c r="K15" i="2"/>
  <c r="I15" i="2"/>
  <c r="E15" i="2"/>
  <c r="L14" i="2"/>
  <c r="J14" i="2"/>
  <c r="H14" i="2"/>
  <c r="F14" i="2"/>
  <c r="D14" i="2"/>
  <c r="M13" i="2"/>
  <c r="K13" i="2"/>
  <c r="I13" i="2"/>
  <c r="G13" i="2"/>
  <c r="E13" i="2"/>
  <c r="L12" i="2"/>
  <c r="J12" i="2"/>
  <c r="H12" i="2"/>
  <c r="F12" i="2"/>
  <c r="D12" i="2"/>
  <c r="M11" i="2"/>
  <c r="K11" i="2"/>
  <c r="I11" i="2"/>
  <c r="G11" i="2"/>
  <c r="E11" i="2"/>
  <c r="L10" i="2"/>
  <c r="J10" i="2"/>
  <c r="H10" i="2"/>
  <c r="F10" i="2"/>
  <c r="D10" i="2"/>
  <c r="M9" i="2"/>
  <c r="K9" i="2"/>
  <c r="I9" i="2"/>
  <c r="G9" i="2"/>
  <c r="E9" i="2"/>
  <c r="L8" i="2"/>
  <c r="J8" i="2"/>
  <c r="H8" i="2"/>
  <c r="F8" i="2"/>
  <c r="D8" i="2"/>
  <c r="M7" i="2"/>
  <c r="K7" i="2"/>
  <c r="I7" i="2"/>
  <c r="G7" i="2"/>
  <c r="E7" i="2"/>
  <c r="L6" i="2"/>
  <c r="J6" i="2"/>
  <c r="H6" i="2"/>
  <c r="F6" i="2"/>
  <c r="D6" i="2"/>
  <c r="M5" i="2"/>
  <c r="K5" i="2"/>
  <c r="I5" i="2"/>
  <c r="G5" i="2"/>
  <c r="E5" i="2"/>
  <c r="M30" i="2"/>
  <c r="E30" i="2"/>
  <c r="J29" i="2"/>
  <c r="M28" i="2"/>
  <c r="E28" i="2"/>
  <c r="J27" i="2"/>
  <c r="F27" i="2"/>
  <c r="M26" i="2"/>
  <c r="I26" i="2"/>
  <c r="E26" i="2"/>
  <c r="J25" i="2"/>
  <c r="F25" i="2"/>
  <c r="M24" i="2"/>
  <c r="I24" i="2"/>
  <c r="E24" i="2"/>
  <c r="J23" i="2"/>
  <c r="F23" i="2"/>
  <c r="M22" i="2"/>
  <c r="I22" i="2"/>
  <c r="E22" i="2"/>
  <c r="J21" i="2"/>
  <c r="F21" i="2"/>
  <c r="M20" i="2"/>
  <c r="I20" i="2"/>
  <c r="E20" i="2"/>
  <c r="J19" i="2"/>
  <c r="F19" i="2"/>
  <c r="M18" i="2"/>
  <c r="I18" i="2"/>
  <c r="E18" i="2"/>
  <c r="J17" i="2"/>
  <c r="F17" i="2"/>
  <c r="M16" i="2"/>
  <c r="I16" i="2"/>
  <c r="E16" i="2"/>
  <c r="F15" i="2"/>
  <c r="M14" i="2"/>
  <c r="I14" i="2"/>
  <c r="E14" i="2"/>
  <c r="J13" i="2"/>
  <c r="F13" i="2"/>
  <c r="M12" i="2"/>
  <c r="I12" i="2"/>
  <c r="E12" i="2"/>
  <c r="J11" i="2"/>
  <c r="F11" i="2"/>
  <c r="M10" i="2"/>
  <c r="I10" i="2"/>
  <c r="E10" i="2"/>
  <c r="J9" i="2"/>
  <c r="F9" i="2"/>
  <c r="M8" i="2"/>
  <c r="I8" i="2"/>
  <c r="E8" i="2"/>
  <c r="J7" i="2"/>
  <c r="F7" i="2"/>
  <c r="M6" i="2"/>
  <c r="I6" i="2"/>
  <c r="J5" i="2"/>
  <c r="I30" i="2"/>
  <c r="F29" i="2"/>
  <c r="I28" i="2"/>
  <c r="H27" i="2"/>
  <c r="D27" i="2"/>
  <c r="K26" i="2"/>
  <c r="G26" i="2"/>
  <c r="L25" i="2"/>
  <c r="H25" i="2"/>
  <c r="D25" i="2"/>
  <c r="K24" i="2"/>
  <c r="G24" i="2"/>
  <c r="L23" i="2"/>
  <c r="H23" i="2"/>
  <c r="D23" i="2"/>
  <c r="K22" i="2"/>
  <c r="G22" i="2"/>
  <c r="L21" i="2"/>
  <c r="H21" i="2"/>
  <c r="D21" i="2"/>
  <c r="K20" i="2"/>
  <c r="G20" i="2"/>
  <c r="L19" i="2"/>
  <c r="H19" i="2"/>
  <c r="D19" i="2"/>
  <c r="K18" i="2"/>
  <c r="G18" i="2"/>
  <c r="L17" i="2"/>
  <c r="H17" i="2"/>
  <c r="D17" i="2"/>
  <c r="K16" i="2"/>
  <c r="G16" i="2"/>
  <c r="D15" i="2"/>
  <c r="K14" i="2"/>
  <c r="G14" i="2"/>
  <c r="L13" i="2"/>
  <c r="H13" i="2"/>
  <c r="D13" i="2"/>
  <c r="K12" i="2"/>
  <c r="G12" i="2"/>
  <c r="L11" i="2"/>
  <c r="H11" i="2"/>
  <c r="D11" i="2"/>
  <c r="K10" i="2"/>
  <c r="G10" i="2"/>
  <c r="L9" i="2"/>
  <c r="H9" i="2"/>
  <c r="D9" i="2"/>
  <c r="K8" i="2"/>
  <c r="G8" i="2"/>
  <c r="L7" i="2"/>
  <c r="H7" i="2"/>
  <c r="D7" i="2"/>
  <c r="K6" i="2"/>
  <c r="G6" i="2"/>
  <c r="L5" i="2"/>
  <c r="H5" i="2"/>
  <c r="D5" i="2"/>
  <c r="E6" i="2"/>
  <c r="F5" i="2"/>
  <c r="M15" i="2"/>
  <c r="G15" i="2"/>
  <c r="L15" i="2"/>
  <c r="J15" i="2"/>
  <c r="H15" i="2"/>
  <c r="C17" i="11" l="1"/>
  <c r="R17" i="11" s="1"/>
  <c r="C14" i="11"/>
  <c r="R14" i="11" s="1"/>
  <c r="V13" i="12" s="1"/>
  <c r="W13" i="12" s="1"/>
  <c r="X13" i="12" s="1"/>
  <c r="C38" i="11"/>
  <c r="R38" i="11" s="1"/>
  <c r="C34" i="11"/>
  <c r="R34" i="11" s="1"/>
  <c r="V33" i="12" s="1"/>
  <c r="W33" i="12" s="1"/>
  <c r="X33" i="12" s="1"/>
  <c r="C32" i="11"/>
  <c r="R32" i="11" s="1"/>
  <c r="C12" i="11"/>
  <c r="R12" i="11" s="1"/>
  <c r="V11" i="12" s="1"/>
  <c r="W11" i="12" s="1"/>
  <c r="X11" i="12" s="1"/>
  <c r="C31" i="11"/>
  <c r="R31" i="11" s="1"/>
  <c r="C16" i="11"/>
  <c r="R16" i="11" s="1"/>
  <c r="V15" i="12" s="1"/>
  <c r="W15" i="12" s="1"/>
  <c r="X15" i="12" s="1"/>
  <c r="C41" i="11"/>
  <c r="R41" i="11" s="1"/>
  <c r="C20" i="11"/>
  <c r="R20" i="11" s="1"/>
  <c r="V19" i="12" s="1"/>
  <c r="W19" i="12" s="1"/>
  <c r="X19" i="12" s="1"/>
  <c r="V32" i="12"/>
  <c r="W32" i="12" s="1"/>
  <c r="X32" i="12" s="1"/>
  <c r="AD32" i="6"/>
  <c r="AE32" i="6" s="1"/>
  <c r="AF32" i="6" s="1"/>
  <c r="V8" i="12"/>
  <c r="W8" i="12" s="1"/>
  <c r="X8" i="12" s="1"/>
  <c r="AD8" i="6"/>
  <c r="AE8" i="6" s="1"/>
  <c r="AF8" i="6" s="1"/>
  <c r="V31" i="12"/>
  <c r="W31" i="12" s="1"/>
  <c r="X31" i="12" s="1"/>
  <c r="AD31" i="6"/>
  <c r="AE31" i="6" s="1"/>
  <c r="AF31" i="6" s="1"/>
  <c r="V36" i="12"/>
  <c r="W36" i="12" s="1"/>
  <c r="X36" i="12" s="1"/>
  <c r="AD36" i="6"/>
  <c r="AE36" i="6" s="1"/>
  <c r="AF36" i="6" s="1"/>
  <c r="V18" i="12"/>
  <c r="W18" i="12" s="1"/>
  <c r="X18" i="12" s="1"/>
  <c r="AD18" i="6"/>
  <c r="AE18" i="6" s="1"/>
  <c r="AF18" i="6" s="1"/>
  <c r="V29" i="12"/>
  <c r="W29" i="12" s="1"/>
  <c r="X29" i="12" s="1"/>
  <c r="AD29" i="6"/>
  <c r="AE29" i="6" s="1"/>
  <c r="AF29" i="6" s="1"/>
  <c r="V20" i="12"/>
  <c r="W20" i="12" s="1"/>
  <c r="X20" i="12" s="1"/>
  <c r="AD20" i="6"/>
  <c r="AE20" i="6" s="1"/>
  <c r="AF20" i="6" s="1"/>
  <c r="V35" i="12"/>
  <c r="W35" i="12" s="1"/>
  <c r="X35" i="12" s="1"/>
  <c r="AD35" i="6"/>
  <c r="AE35" i="6" s="1"/>
  <c r="AF35" i="6" s="1"/>
  <c r="V23" i="12"/>
  <c r="W23" i="12" s="1"/>
  <c r="X23" i="12" s="1"/>
  <c r="AD23" i="6"/>
  <c r="AE23" i="6" s="1"/>
  <c r="AF23" i="6" s="1"/>
  <c r="V38" i="12"/>
  <c r="W38" i="12" s="1"/>
  <c r="X38" i="12" s="1"/>
  <c r="AD38" i="6"/>
  <c r="AE38" i="6" s="1"/>
  <c r="AF38" i="6" s="1"/>
  <c r="C10" i="11"/>
  <c r="R10" i="11" s="1"/>
  <c r="C27" i="11"/>
  <c r="R27" i="11" s="1"/>
  <c r="V6" i="12"/>
  <c r="W6" i="12" s="1"/>
  <c r="X6" i="12" s="1"/>
  <c r="AD6" i="6"/>
  <c r="AE6" i="6" s="1"/>
  <c r="AF6" i="6" s="1"/>
  <c r="C26" i="11"/>
  <c r="R26" i="11" s="1"/>
  <c r="C13" i="11"/>
  <c r="R13" i="11" s="1"/>
  <c r="C18" i="11"/>
  <c r="R18" i="11" s="1"/>
  <c r="C8" i="11"/>
  <c r="R8" i="11" s="1"/>
  <c r="C6" i="11"/>
  <c r="R6" i="11" s="1"/>
  <c r="C25" i="11"/>
  <c r="R25" i="11" s="1"/>
  <c r="C42" i="11"/>
  <c r="R42" i="11" s="1"/>
  <c r="C40" i="11"/>
  <c r="R40" i="11" s="1"/>
  <c r="C23" i="11"/>
  <c r="R23" i="11" s="1"/>
  <c r="F43" i="11"/>
  <c r="M43" i="11"/>
  <c r="J43" i="11"/>
  <c r="V30" i="12"/>
  <c r="W30" i="12" s="1"/>
  <c r="X30" i="12" s="1"/>
  <c r="AD30" i="6"/>
  <c r="AE30" i="6" s="1"/>
  <c r="AF30" i="6" s="1"/>
  <c r="AD15" i="6"/>
  <c r="AE15" i="6" s="1"/>
  <c r="AF15" i="6" s="1"/>
  <c r="V28" i="12"/>
  <c r="W28" i="12" s="1"/>
  <c r="X28" i="12" s="1"/>
  <c r="AD28" i="6"/>
  <c r="AE28" i="6" s="1"/>
  <c r="AF28" i="6" s="1"/>
  <c r="V40" i="12"/>
  <c r="W40" i="12" s="1"/>
  <c r="X40" i="12" s="1"/>
  <c r="AD40" i="6"/>
  <c r="AE40" i="6" s="1"/>
  <c r="AF40" i="6" s="1"/>
  <c r="V16" i="12"/>
  <c r="W16" i="12" s="1"/>
  <c r="X16" i="12" s="1"/>
  <c r="AD16" i="6"/>
  <c r="AE16" i="6" s="1"/>
  <c r="AF16" i="6" s="1"/>
  <c r="AD13" i="6"/>
  <c r="AE13" i="6" s="1"/>
  <c r="AF13" i="6" s="1"/>
  <c r="V37" i="12"/>
  <c r="W37" i="12" s="1"/>
  <c r="X37" i="12" s="1"/>
  <c r="AD37" i="6"/>
  <c r="AE37" i="6" s="1"/>
  <c r="AF37" i="6" s="1"/>
  <c r="AD33" i="6"/>
  <c r="AE33" i="6" s="1"/>
  <c r="AF33" i="6" s="1"/>
  <c r="AD11" i="6"/>
  <c r="AE11" i="6" s="1"/>
  <c r="AF11" i="6" s="1"/>
  <c r="C11" i="11"/>
  <c r="R11" i="11" s="1"/>
  <c r="I43" i="11"/>
  <c r="C15" i="11"/>
  <c r="R15" i="11" s="1"/>
  <c r="C28" i="11"/>
  <c r="R28" i="11" s="1"/>
  <c r="C22" i="11"/>
  <c r="R22" i="11" s="1"/>
  <c r="C35" i="11"/>
  <c r="R35" i="11" s="1"/>
  <c r="D43" i="11"/>
  <c r="C5" i="11"/>
  <c r="R5" i="11" s="1"/>
  <c r="L43" i="11"/>
  <c r="E43" i="11"/>
  <c r="K43" i="11"/>
  <c r="N43" i="11"/>
  <c r="H43" i="11"/>
  <c r="G43" i="11"/>
  <c r="I99" i="9"/>
  <c r="I57" i="9" s="1"/>
  <c r="I91" i="9"/>
  <c r="I49" i="9" s="1"/>
  <c r="G115" i="9"/>
  <c r="G73" i="9" s="1"/>
  <c r="G112" i="9"/>
  <c r="G70" i="9" s="1"/>
  <c r="G98" i="9"/>
  <c r="G56" i="9" s="1"/>
  <c r="G127" i="9"/>
  <c r="G85" i="9" s="1"/>
  <c r="G113" i="9"/>
  <c r="G71" i="9" s="1"/>
  <c r="G110" i="9"/>
  <c r="G68" i="9" s="1"/>
  <c r="G96" i="9"/>
  <c r="G54" i="9" s="1"/>
  <c r="G121" i="9"/>
  <c r="G79" i="9" s="1"/>
  <c r="G126" i="9"/>
  <c r="G84" i="9" s="1"/>
  <c r="G106" i="9"/>
  <c r="G64" i="9" s="1"/>
  <c r="G103" i="9"/>
  <c r="G61" i="9" s="1"/>
  <c r="G117" i="9"/>
  <c r="G75" i="9" s="1"/>
  <c r="G114" i="9"/>
  <c r="G72" i="9" s="1"/>
  <c r="G100" i="9"/>
  <c r="G58" i="9" s="1"/>
  <c r="G95" i="9"/>
  <c r="G53" i="9" s="1"/>
  <c r="L127" i="9"/>
  <c r="L85" i="9" s="1"/>
  <c r="L113" i="9"/>
  <c r="L71" i="9" s="1"/>
  <c r="L110" i="9"/>
  <c r="L68" i="9" s="1"/>
  <c r="L96" i="9"/>
  <c r="L54" i="9" s="1"/>
  <c r="L121" i="9"/>
  <c r="L79" i="9" s="1"/>
  <c r="L126" i="9"/>
  <c r="L84" i="9" s="1"/>
  <c r="L106" i="9"/>
  <c r="L64" i="9" s="1"/>
  <c r="L103" i="9"/>
  <c r="L61" i="9" s="1"/>
  <c r="L114" i="9"/>
  <c r="L72" i="9" s="1"/>
  <c r="L95" i="9"/>
  <c r="L53" i="9" s="1"/>
  <c r="L112" i="9"/>
  <c r="L70" i="9" s="1"/>
  <c r="L117" i="9"/>
  <c r="L75" i="9" s="1"/>
  <c r="L100" i="9"/>
  <c r="L58" i="9" s="1"/>
  <c r="L115" i="9"/>
  <c r="L73" i="9" s="1"/>
  <c r="L98" i="9"/>
  <c r="L56" i="9" s="1"/>
  <c r="D49" i="9"/>
  <c r="C91" i="9"/>
  <c r="L107" i="9"/>
  <c r="L65" i="9" s="1"/>
  <c r="L101" i="9"/>
  <c r="L59" i="9" s="1"/>
  <c r="L118" i="9"/>
  <c r="L76" i="9" s="1"/>
  <c r="L108" i="9"/>
  <c r="L66" i="9" s="1"/>
  <c r="L123" i="9"/>
  <c r="L81" i="9" s="1"/>
  <c r="L102" i="9"/>
  <c r="L60" i="9" s="1"/>
  <c r="E92" i="9"/>
  <c r="E93" i="9"/>
  <c r="E90" i="9"/>
  <c r="E97" i="9"/>
  <c r="E111" i="9"/>
  <c r="E125" i="9"/>
  <c r="E116" i="9"/>
  <c r="E120" i="9"/>
  <c r="F120" i="9"/>
  <c r="F78" i="9" s="1"/>
  <c r="F93" i="9"/>
  <c r="F51" i="9" s="1"/>
  <c r="F125" i="9"/>
  <c r="F83" i="9" s="1"/>
  <c r="F92" i="9"/>
  <c r="F50" i="9" s="1"/>
  <c r="F116" i="9"/>
  <c r="F74" i="9" s="1"/>
  <c r="F97" i="9"/>
  <c r="F55" i="9" s="1"/>
  <c r="F111" i="9"/>
  <c r="F69" i="9" s="1"/>
  <c r="F90" i="9"/>
  <c r="F48" i="9" s="1"/>
  <c r="L111" i="9"/>
  <c r="L69" i="9" s="1"/>
  <c r="L93" i="9"/>
  <c r="L51" i="9" s="1"/>
  <c r="L116" i="9"/>
  <c r="L74" i="9" s="1"/>
  <c r="L92" i="9"/>
  <c r="L50" i="9" s="1"/>
  <c r="L125" i="9"/>
  <c r="L83" i="9" s="1"/>
  <c r="L97" i="9"/>
  <c r="L55" i="9" s="1"/>
  <c r="L120" i="9"/>
  <c r="L78" i="9" s="1"/>
  <c r="L90" i="9"/>
  <c r="L48" i="9" s="1"/>
  <c r="N121" i="9"/>
  <c r="N79" i="9" s="1"/>
  <c r="N126" i="9"/>
  <c r="N84" i="9" s="1"/>
  <c r="N106" i="9"/>
  <c r="N64" i="9" s="1"/>
  <c r="N103" i="9"/>
  <c r="N61" i="9" s="1"/>
  <c r="N117" i="9"/>
  <c r="N75" i="9" s="1"/>
  <c r="N114" i="9"/>
  <c r="N72" i="9" s="1"/>
  <c r="N100" i="9"/>
  <c r="N58" i="9" s="1"/>
  <c r="N95" i="9"/>
  <c r="N53" i="9" s="1"/>
  <c r="N115" i="9"/>
  <c r="N73" i="9" s="1"/>
  <c r="N112" i="9"/>
  <c r="N70" i="9" s="1"/>
  <c r="N98" i="9"/>
  <c r="N56" i="9" s="1"/>
  <c r="N127" i="9"/>
  <c r="N85" i="9" s="1"/>
  <c r="N113" i="9"/>
  <c r="N71" i="9" s="1"/>
  <c r="N110" i="9"/>
  <c r="N68" i="9" s="1"/>
  <c r="N96" i="9"/>
  <c r="N54" i="9" s="1"/>
  <c r="H105" i="9"/>
  <c r="H63" i="9" s="1"/>
  <c r="H109" i="9"/>
  <c r="H67" i="9" s="1"/>
  <c r="H122" i="9"/>
  <c r="H80" i="9" s="1"/>
  <c r="H124" i="9"/>
  <c r="H82" i="9" s="1"/>
  <c r="H119" i="9"/>
  <c r="H77" i="9" s="1"/>
  <c r="H104" i="9"/>
  <c r="H62" i="9" s="1"/>
  <c r="H94" i="9"/>
  <c r="H52" i="9" s="1"/>
  <c r="M104" i="9"/>
  <c r="M62" i="9" s="1"/>
  <c r="M124" i="9"/>
  <c r="M82" i="9" s="1"/>
  <c r="M119" i="9"/>
  <c r="M77" i="9" s="1"/>
  <c r="M122" i="9"/>
  <c r="M80" i="9" s="1"/>
  <c r="M94" i="9"/>
  <c r="M52" i="9" s="1"/>
  <c r="M109" i="9"/>
  <c r="M67" i="9" s="1"/>
  <c r="M105" i="9"/>
  <c r="M63" i="9" s="1"/>
  <c r="F124" i="9"/>
  <c r="F109" i="9"/>
  <c r="F94" i="9"/>
  <c r="F122" i="9"/>
  <c r="F80" i="9" s="1"/>
  <c r="F105" i="9"/>
  <c r="F104" i="9"/>
  <c r="F119" i="9"/>
  <c r="N122" i="9"/>
  <c r="N80" i="9" s="1"/>
  <c r="N104" i="9"/>
  <c r="N62" i="9" s="1"/>
  <c r="N105" i="9"/>
  <c r="N63" i="9" s="1"/>
  <c r="N119" i="9"/>
  <c r="N77" i="9" s="1"/>
  <c r="N109" i="9"/>
  <c r="N67" i="9" s="1"/>
  <c r="N124" i="9"/>
  <c r="N82" i="9" s="1"/>
  <c r="N94" i="9"/>
  <c r="N52" i="9" s="1"/>
  <c r="E102" i="9"/>
  <c r="E60" i="9" s="1"/>
  <c r="E108" i="9"/>
  <c r="E66" i="9" s="1"/>
  <c r="E118" i="9"/>
  <c r="E76" i="9" s="1"/>
  <c r="E107" i="9"/>
  <c r="E65" i="9" s="1"/>
  <c r="E101" i="9"/>
  <c r="E59" i="9" s="1"/>
  <c r="E123" i="9"/>
  <c r="E81" i="9" s="1"/>
  <c r="H123" i="9"/>
  <c r="H81" i="9" s="1"/>
  <c r="H108" i="9"/>
  <c r="H66" i="9" s="1"/>
  <c r="H102" i="9"/>
  <c r="H60" i="9" s="1"/>
  <c r="H118" i="9"/>
  <c r="H76" i="9" s="1"/>
  <c r="H101" i="9"/>
  <c r="H59" i="9" s="1"/>
  <c r="H107" i="9"/>
  <c r="H65" i="9" s="1"/>
  <c r="J118" i="9"/>
  <c r="J76" i="9" s="1"/>
  <c r="J107" i="9"/>
  <c r="J65" i="9" s="1"/>
  <c r="J101" i="9"/>
  <c r="J59" i="9" s="1"/>
  <c r="J102" i="9"/>
  <c r="J60" i="9" s="1"/>
  <c r="J108" i="9"/>
  <c r="J66" i="9" s="1"/>
  <c r="J123" i="9"/>
  <c r="J81" i="9" s="1"/>
  <c r="K118" i="9"/>
  <c r="K76" i="9" s="1"/>
  <c r="K101" i="9"/>
  <c r="K59" i="9" s="1"/>
  <c r="K107" i="9"/>
  <c r="K65" i="9" s="1"/>
  <c r="K123" i="9"/>
  <c r="K81" i="9" s="1"/>
  <c r="K108" i="9"/>
  <c r="K66" i="9" s="1"/>
  <c r="K102" i="9"/>
  <c r="K60" i="9" s="1"/>
  <c r="D118" i="9"/>
  <c r="D101" i="9"/>
  <c r="D107" i="9"/>
  <c r="D123" i="9"/>
  <c r="D108" i="9"/>
  <c r="D102" i="9"/>
  <c r="D121" i="9"/>
  <c r="D103" i="9"/>
  <c r="D112" i="9"/>
  <c r="D96" i="9"/>
  <c r="D126" i="9"/>
  <c r="D95" i="9"/>
  <c r="D110" i="9"/>
  <c r="D98" i="9"/>
  <c r="D115" i="9"/>
  <c r="D113" i="9"/>
  <c r="D117" i="9"/>
  <c r="D100" i="9"/>
  <c r="D106" i="9"/>
  <c r="D127" i="9"/>
  <c r="D114" i="9"/>
  <c r="H112" i="9"/>
  <c r="H70" i="9" s="1"/>
  <c r="H117" i="9"/>
  <c r="H75" i="9" s="1"/>
  <c r="H95" i="9"/>
  <c r="H53" i="9" s="1"/>
  <c r="H96" i="9"/>
  <c r="H54" i="9" s="1"/>
  <c r="H110" i="9"/>
  <c r="H68" i="9" s="1"/>
  <c r="H115" i="9"/>
  <c r="H73" i="9" s="1"/>
  <c r="H106" i="9"/>
  <c r="H64" i="9" s="1"/>
  <c r="H126" i="9"/>
  <c r="H84" i="9" s="1"/>
  <c r="H127" i="9"/>
  <c r="H85" i="9" s="1"/>
  <c r="H113" i="9"/>
  <c r="H71" i="9" s="1"/>
  <c r="H100" i="9"/>
  <c r="H58" i="9" s="1"/>
  <c r="H114" i="9"/>
  <c r="H72" i="9" s="1"/>
  <c r="H121" i="9"/>
  <c r="H79" i="9" s="1"/>
  <c r="H103" i="9"/>
  <c r="H61" i="9" s="1"/>
  <c r="H98" i="9"/>
  <c r="H56" i="9" s="1"/>
  <c r="D57" i="9"/>
  <c r="C99" i="9"/>
  <c r="K120" i="9"/>
  <c r="K78" i="9" s="1"/>
  <c r="K90" i="9"/>
  <c r="K48" i="9" s="1"/>
  <c r="K111" i="9"/>
  <c r="K69" i="9" s="1"/>
  <c r="K125" i="9"/>
  <c r="K83" i="9" s="1"/>
  <c r="K116" i="9"/>
  <c r="K74" i="9" s="1"/>
  <c r="K92" i="9"/>
  <c r="K50" i="9" s="1"/>
  <c r="K97" i="9"/>
  <c r="K55" i="9" s="1"/>
  <c r="K93" i="9"/>
  <c r="K51" i="9" s="1"/>
  <c r="G111" i="9"/>
  <c r="G69" i="9" s="1"/>
  <c r="G92" i="9"/>
  <c r="G50" i="9" s="1"/>
  <c r="G116" i="9"/>
  <c r="G74" i="9" s="1"/>
  <c r="G90" i="9"/>
  <c r="G48" i="9" s="1"/>
  <c r="G125" i="9"/>
  <c r="G83" i="9" s="1"/>
  <c r="G97" i="9"/>
  <c r="G55" i="9" s="1"/>
  <c r="G120" i="9"/>
  <c r="G78" i="9" s="1"/>
  <c r="G93" i="9"/>
  <c r="G51" i="9" s="1"/>
  <c r="M116" i="9"/>
  <c r="M74" i="9" s="1"/>
  <c r="M92" i="9"/>
  <c r="M50" i="9" s="1"/>
  <c r="M111" i="9"/>
  <c r="M69" i="9" s="1"/>
  <c r="M93" i="9"/>
  <c r="M51" i="9" s="1"/>
  <c r="M120" i="9"/>
  <c r="M78" i="9" s="1"/>
  <c r="M97" i="9"/>
  <c r="M55" i="9" s="1"/>
  <c r="M125" i="9"/>
  <c r="M83" i="9" s="1"/>
  <c r="M90" i="9"/>
  <c r="M48" i="9" s="1"/>
  <c r="H116" i="9"/>
  <c r="H74" i="9" s="1"/>
  <c r="H97" i="9"/>
  <c r="H55" i="9" s="1"/>
  <c r="H93" i="9"/>
  <c r="H51" i="9" s="1"/>
  <c r="H90" i="9"/>
  <c r="H48" i="9" s="1"/>
  <c r="H120" i="9"/>
  <c r="H78" i="9" s="1"/>
  <c r="H92" i="9"/>
  <c r="H50" i="9" s="1"/>
  <c r="H111" i="9"/>
  <c r="H69" i="9" s="1"/>
  <c r="H125" i="9"/>
  <c r="H83" i="9" s="1"/>
  <c r="D80" i="9"/>
  <c r="K110" i="9"/>
  <c r="K68" i="9" s="1"/>
  <c r="K117" i="9"/>
  <c r="K75" i="9" s="1"/>
  <c r="K95" i="9"/>
  <c r="K53" i="9" s="1"/>
  <c r="K126" i="9"/>
  <c r="K84" i="9" s="1"/>
  <c r="K106" i="9"/>
  <c r="K64" i="9" s="1"/>
  <c r="K115" i="9"/>
  <c r="K73" i="9" s="1"/>
  <c r="K100" i="9"/>
  <c r="K58" i="9" s="1"/>
  <c r="K114" i="9"/>
  <c r="K72" i="9" s="1"/>
  <c r="K127" i="9"/>
  <c r="K85" i="9" s="1"/>
  <c r="K113" i="9"/>
  <c r="K71" i="9" s="1"/>
  <c r="K98" i="9"/>
  <c r="K56" i="9" s="1"/>
  <c r="K112" i="9"/>
  <c r="K70" i="9" s="1"/>
  <c r="K121" i="9"/>
  <c r="K79" i="9" s="1"/>
  <c r="K103" i="9"/>
  <c r="K61" i="9" s="1"/>
  <c r="K96" i="9"/>
  <c r="K54" i="9" s="1"/>
  <c r="G119" i="9"/>
  <c r="G77" i="9" s="1"/>
  <c r="G105" i="9"/>
  <c r="G63" i="9" s="1"/>
  <c r="G122" i="9"/>
  <c r="G80" i="9" s="1"/>
  <c r="G109" i="9"/>
  <c r="G67" i="9" s="1"/>
  <c r="G104" i="9"/>
  <c r="G62" i="9" s="1"/>
  <c r="G124" i="9"/>
  <c r="G82" i="9" s="1"/>
  <c r="G94" i="9"/>
  <c r="G52" i="9" s="1"/>
  <c r="K122" i="9"/>
  <c r="K80" i="9" s="1"/>
  <c r="K119" i="9"/>
  <c r="K77" i="9" s="1"/>
  <c r="K104" i="9"/>
  <c r="K62" i="9" s="1"/>
  <c r="K94" i="9"/>
  <c r="K52" i="9" s="1"/>
  <c r="K105" i="9"/>
  <c r="K63" i="9" s="1"/>
  <c r="K109" i="9"/>
  <c r="K67" i="9" s="1"/>
  <c r="K124" i="9"/>
  <c r="K82" i="9" s="1"/>
  <c r="L94" i="9"/>
  <c r="L52" i="9" s="1"/>
  <c r="L124" i="9"/>
  <c r="L82" i="9" s="1"/>
  <c r="L105" i="9"/>
  <c r="L63" i="9" s="1"/>
  <c r="L119" i="9"/>
  <c r="L77" i="9" s="1"/>
  <c r="L104" i="9"/>
  <c r="L62" i="9" s="1"/>
  <c r="L109" i="9"/>
  <c r="L67" i="9" s="1"/>
  <c r="L122" i="9"/>
  <c r="L80" i="9" s="1"/>
  <c r="J109" i="9"/>
  <c r="J67" i="9" s="1"/>
  <c r="J104" i="9"/>
  <c r="J62" i="9" s="1"/>
  <c r="J94" i="9"/>
  <c r="J52" i="9" s="1"/>
  <c r="J124" i="9"/>
  <c r="J82" i="9" s="1"/>
  <c r="J122" i="9"/>
  <c r="J80" i="9" s="1"/>
  <c r="J119" i="9"/>
  <c r="J77" i="9" s="1"/>
  <c r="J105" i="9"/>
  <c r="J63" i="9" s="1"/>
  <c r="M108" i="9"/>
  <c r="M66" i="9" s="1"/>
  <c r="M102" i="9"/>
  <c r="M60" i="9" s="1"/>
  <c r="M123" i="9"/>
  <c r="M81" i="9" s="1"/>
  <c r="M107" i="9"/>
  <c r="M65" i="9" s="1"/>
  <c r="M118" i="9"/>
  <c r="M76" i="9" s="1"/>
  <c r="M101" i="9"/>
  <c r="M59" i="9" s="1"/>
  <c r="G108" i="9"/>
  <c r="G66" i="9" s="1"/>
  <c r="G123" i="9"/>
  <c r="G81" i="9" s="1"/>
  <c r="G102" i="9"/>
  <c r="G60" i="9" s="1"/>
  <c r="G107" i="9"/>
  <c r="G65" i="9" s="1"/>
  <c r="G101" i="9"/>
  <c r="G59" i="9" s="1"/>
  <c r="G118" i="9"/>
  <c r="G76" i="9" s="1"/>
  <c r="N123" i="9"/>
  <c r="N81" i="9" s="1"/>
  <c r="N102" i="9"/>
  <c r="N60" i="9" s="1"/>
  <c r="N108" i="9"/>
  <c r="N66" i="9" s="1"/>
  <c r="N118" i="9"/>
  <c r="N76" i="9" s="1"/>
  <c r="N107" i="9"/>
  <c r="N65" i="9" s="1"/>
  <c r="N101" i="9"/>
  <c r="N59" i="9" s="1"/>
  <c r="F43" i="2"/>
  <c r="S30" i="6"/>
  <c r="T30" i="6" s="1"/>
  <c r="S10" i="6"/>
  <c r="T10" i="6" s="1"/>
  <c r="S11" i="6"/>
  <c r="T11" i="6" s="1"/>
  <c r="S27" i="6"/>
  <c r="T27" i="6" s="1"/>
  <c r="S4" i="6"/>
  <c r="T4" i="6" s="1"/>
  <c r="S16" i="6"/>
  <c r="T16" i="6" s="1"/>
  <c r="S24" i="6"/>
  <c r="T24" i="6" s="1"/>
  <c r="S32" i="6"/>
  <c r="T32" i="6" s="1"/>
  <c r="S6" i="6"/>
  <c r="T6" i="6" s="1"/>
  <c r="S40" i="6"/>
  <c r="T40" i="6" s="1"/>
  <c r="S15" i="6"/>
  <c r="T15" i="6" s="1"/>
  <c r="S31" i="6"/>
  <c r="T31" i="6" s="1"/>
  <c r="S12" i="6"/>
  <c r="T12" i="6" s="1"/>
  <c r="S22" i="6"/>
  <c r="T22" i="6" s="1"/>
  <c r="S9" i="6"/>
  <c r="T9" i="6" s="1"/>
  <c r="S25" i="6"/>
  <c r="T25" i="6" s="1"/>
  <c r="S39" i="6"/>
  <c r="T39" i="6" s="1"/>
  <c r="S5" i="6"/>
  <c r="T5" i="6" s="1"/>
  <c r="S21" i="6"/>
  <c r="T21" i="6" s="1"/>
  <c r="S17" i="6"/>
  <c r="T17" i="6" s="1"/>
  <c r="S29" i="6"/>
  <c r="T29" i="6" s="1"/>
  <c r="S41" i="6"/>
  <c r="T41" i="6" s="1"/>
  <c r="S13" i="6"/>
  <c r="T13" i="6" s="1"/>
  <c r="S33" i="6"/>
  <c r="T33" i="6" s="1"/>
  <c r="S36" i="6"/>
  <c r="T36" i="6" s="1"/>
  <c r="S19" i="6"/>
  <c r="T19" i="6" s="1"/>
  <c r="S35" i="6"/>
  <c r="T35" i="6" s="1"/>
  <c r="S8" i="6"/>
  <c r="T8" i="6" s="1"/>
  <c r="S20" i="6"/>
  <c r="T20" i="6" s="1"/>
  <c r="S28" i="6"/>
  <c r="T28" i="6" s="1"/>
  <c r="S38" i="6"/>
  <c r="T38" i="6" s="1"/>
  <c r="S14" i="6"/>
  <c r="T14" i="6" s="1"/>
  <c r="S7" i="6"/>
  <c r="T7" i="6" s="1"/>
  <c r="S23" i="6"/>
  <c r="T23" i="6" s="1"/>
  <c r="S37" i="6"/>
  <c r="T37" i="6" s="1"/>
  <c r="S18" i="6"/>
  <c r="T18" i="6" s="1"/>
  <c r="S26" i="6"/>
  <c r="T26" i="6" s="1"/>
  <c r="S34" i="6"/>
  <c r="T34" i="6" s="1"/>
  <c r="C7" i="2"/>
  <c r="C11" i="2"/>
  <c r="C19" i="2"/>
  <c r="C23" i="2"/>
  <c r="C27" i="2"/>
  <c r="H43" i="2"/>
  <c r="C15" i="2"/>
  <c r="E43" i="2"/>
  <c r="I43" i="2"/>
  <c r="M43" i="2"/>
  <c r="C29" i="2"/>
  <c r="D43" i="2"/>
  <c r="C5" i="2"/>
  <c r="L43" i="2"/>
  <c r="C9" i="2"/>
  <c r="C13" i="2"/>
  <c r="C17" i="2"/>
  <c r="C21" i="2"/>
  <c r="C25" i="2"/>
  <c r="J43" i="2"/>
  <c r="G43" i="2"/>
  <c r="K43" i="2"/>
  <c r="C6" i="2"/>
  <c r="C8" i="2"/>
  <c r="C10" i="2"/>
  <c r="C12" i="2"/>
  <c r="C14" i="2"/>
  <c r="C16" i="2"/>
  <c r="C18" i="2"/>
  <c r="C20" i="2"/>
  <c r="C22" i="2"/>
  <c r="C24" i="2"/>
  <c r="C26" i="2"/>
  <c r="C31" i="2"/>
  <c r="C33" i="2"/>
  <c r="C35" i="2"/>
  <c r="C37" i="2"/>
  <c r="C39" i="2"/>
  <c r="C41" i="2"/>
  <c r="C28" i="2"/>
  <c r="C30" i="2"/>
  <c r="C32" i="2"/>
  <c r="C34" i="2"/>
  <c r="C36" i="2"/>
  <c r="C38" i="2"/>
  <c r="C40" i="2"/>
  <c r="C42" i="2"/>
  <c r="AD19" i="6" l="1"/>
  <c r="AE19" i="6" s="1"/>
  <c r="AF19" i="6" s="1"/>
  <c r="V4" i="12"/>
  <c r="W4" i="12" s="1"/>
  <c r="X4" i="12" s="1"/>
  <c r="AD4" i="6"/>
  <c r="V34" i="12"/>
  <c r="W34" i="12" s="1"/>
  <c r="X34" i="12" s="1"/>
  <c r="AD34" i="6"/>
  <c r="AE34" i="6" s="1"/>
  <c r="AF34" i="6" s="1"/>
  <c r="V27" i="12"/>
  <c r="W27" i="12" s="1"/>
  <c r="X27" i="12" s="1"/>
  <c r="AD27" i="6"/>
  <c r="AE27" i="6" s="1"/>
  <c r="AF27" i="6" s="1"/>
  <c r="V39" i="12"/>
  <c r="W39" i="12" s="1"/>
  <c r="X39" i="12" s="1"/>
  <c r="AD39" i="6"/>
  <c r="AE39" i="6" s="1"/>
  <c r="AF39" i="6" s="1"/>
  <c r="V24" i="12"/>
  <c r="W24" i="12" s="1"/>
  <c r="X24" i="12" s="1"/>
  <c r="AD24" i="6"/>
  <c r="AE24" i="6" s="1"/>
  <c r="AF24" i="6" s="1"/>
  <c r="V7" i="12"/>
  <c r="W7" i="12" s="1"/>
  <c r="X7" i="12" s="1"/>
  <c r="AD7" i="6"/>
  <c r="AE7" i="6" s="1"/>
  <c r="AF7" i="6" s="1"/>
  <c r="V12" i="12"/>
  <c r="W12" i="12" s="1"/>
  <c r="X12" i="12" s="1"/>
  <c r="AD12" i="6"/>
  <c r="AE12" i="6" s="1"/>
  <c r="AF12" i="6" s="1"/>
  <c r="V26" i="12"/>
  <c r="W26" i="12" s="1"/>
  <c r="X26" i="12" s="1"/>
  <c r="AD26" i="6"/>
  <c r="AE26" i="6" s="1"/>
  <c r="AF26" i="6" s="1"/>
  <c r="V21" i="12"/>
  <c r="W21" i="12" s="1"/>
  <c r="X21" i="12" s="1"/>
  <c r="AD21" i="6"/>
  <c r="AE21" i="6" s="1"/>
  <c r="AF21" i="6" s="1"/>
  <c r="V14" i="12"/>
  <c r="W14" i="12" s="1"/>
  <c r="X14" i="12" s="1"/>
  <c r="AD14" i="6"/>
  <c r="AE14" i="6" s="1"/>
  <c r="AF14" i="6" s="1"/>
  <c r="V10" i="12"/>
  <c r="W10" i="12" s="1"/>
  <c r="X10" i="12" s="1"/>
  <c r="AD10" i="6"/>
  <c r="AE10" i="6" s="1"/>
  <c r="AF10" i="6" s="1"/>
  <c r="V22" i="12"/>
  <c r="W22" i="12" s="1"/>
  <c r="X22" i="12" s="1"/>
  <c r="AD22" i="6"/>
  <c r="AE22" i="6" s="1"/>
  <c r="AF22" i="6" s="1"/>
  <c r="V41" i="12"/>
  <c r="W41" i="12" s="1"/>
  <c r="X41" i="12" s="1"/>
  <c r="AD41" i="6"/>
  <c r="AE41" i="6" s="1"/>
  <c r="AF41" i="6" s="1"/>
  <c r="V5" i="12"/>
  <c r="W5" i="12" s="1"/>
  <c r="X5" i="12" s="1"/>
  <c r="AD5" i="6"/>
  <c r="AE5" i="6" s="1"/>
  <c r="AF5" i="6" s="1"/>
  <c r="V17" i="12"/>
  <c r="W17" i="12" s="1"/>
  <c r="X17" i="12" s="1"/>
  <c r="AD17" i="6"/>
  <c r="AE17" i="6" s="1"/>
  <c r="AF17" i="6" s="1"/>
  <c r="V25" i="12"/>
  <c r="W25" i="12" s="1"/>
  <c r="X25" i="12" s="1"/>
  <c r="AD25" i="6"/>
  <c r="AE25" i="6" s="1"/>
  <c r="AF25" i="6" s="1"/>
  <c r="V9" i="12"/>
  <c r="W9" i="12" s="1"/>
  <c r="X9" i="12" s="1"/>
  <c r="AD9" i="6"/>
  <c r="AE9" i="6" s="1"/>
  <c r="AF9" i="6" s="1"/>
  <c r="C57" i="9"/>
  <c r="J86" i="9"/>
  <c r="C122" i="9"/>
  <c r="M86" i="9"/>
  <c r="G86" i="9"/>
  <c r="K86" i="9"/>
  <c r="D72" i="9"/>
  <c r="C114" i="9"/>
  <c r="D64" i="9"/>
  <c r="C106" i="9"/>
  <c r="D75" i="9"/>
  <c r="C117" i="9"/>
  <c r="D73" i="9"/>
  <c r="C115" i="9"/>
  <c r="D68" i="9"/>
  <c r="C110" i="9"/>
  <c r="D84" i="9"/>
  <c r="C126" i="9"/>
  <c r="D70" i="9"/>
  <c r="C112" i="9"/>
  <c r="D79" i="9"/>
  <c r="C121" i="9"/>
  <c r="D66" i="9"/>
  <c r="C108" i="9"/>
  <c r="D65" i="9"/>
  <c r="C107" i="9"/>
  <c r="D76" i="9"/>
  <c r="C118" i="9"/>
  <c r="N86" i="9"/>
  <c r="F62" i="9"/>
  <c r="C104" i="9"/>
  <c r="F67" i="9"/>
  <c r="C109" i="9"/>
  <c r="C133" i="9"/>
  <c r="I124" i="9"/>
  <c r="I82" i="9" s="1"/>
  <c r="I94" i="9"/>
  <c r="I52" i="9" s="1"/>
  <c r="I122" i="9"/>
  <c r="I80" i="9" s="1"/>
  <c r="I119" i="9"/>
  <c r="I77" i="9" s="1"/>
  <c r="I105" i="9"/>
  <c r="I63" i="9" s="1"/>
  <c r="I109" i="9"/>
  <c r="I67" i="9" s="1"/>
  <c r="C67" i="9" s="1"/>
  <c r="I104" i="9"/>
  <c r="I62" i="9" s="1"/>
  <c r="L86" i="9"/>
  <c r="E78" i="9"/>
  <c r="C120" i="9"/>
  <c r="E83" i="9"/>
  <c r="C125" i="9"/>
  <c r="E55" i="9"/>
  <c r="C97" i="9"/>
  <c r="E51" i="9"/>
  <c r="C93" i="9"/>
  <c r="C80" i="9"/>
  <c r="H86" i="9"/>
  <c r="C132" i="9"/>
  <c r="I116" i="9"/>
  <c r="I74" i="9" s="1"/>
  <c r="I125" i="9"/>
  <c r="I83" i="9" s="1"/>
  <c r="I111" i="9"/>
  <c r="I69" i="9" s="1"/>
  <c r="I97" i="9"/>
  <c r="I55" i="9" s="1"/>
  <c r="I93" i="9"/>
  <c r="I51" i="9" s="1"/>
  <c r="I92" i="9"/>
  <c r="I50" i="9" s="1"/>
  <c r="I90" i="9"/>
  <c r="I48" i="9" s="1"/>
  <c r="I120" i="9"/>
  <c r="I78" i="9" s="1"/>
  <c r="C135" i="9"/>
  <c r="I117" i="9"/>
  <c r="I75" i="9" s="1"/>
  <c r="I126" i="9"/>
  <c r="I84" i="9" s="1"/>
  <c r="I106" i="9"/>
  <c r="I64" i="9" s="1"/>
  <c r="I103" i="9"/>
  <c r="I61" i="9" s="1"/>
  <c r="I115" i="9"/>
  <c r="I73" i="9" s="1"/>
  <c r="I110" i="9"/>
  <c r="I68" i="9" s="1"/>
  <c r="I96" i="9"/>
  <c r="I54" i="9" s="1"/>
  <c r="I127" i="9"/>
  <c r="I85" i="9" s="1"/>
  <c r="I113" i="9"/>
  <c r="I71" i="9" s="1"/>
  <c r="I112" i="9"/>
  <c r="I70" i="9" s="1"/>
  <c r="I98" i="9"/>
  <c r="I56" i="9" s="1"/>
  <c r="I121" i="9"/>
  <c r="I79" i="9" s="1"/>
  <c r="I114" i="9"/>
  <c r="I72" i="9" s="1"/>
  <c r="I100" i="9"/>
  <c r="I58" i="9" s="1"/>
  <c r="I95" i="9"/>
  <c r="I53" i="9" s="1"/>
  <c r="D85" i="9"/>
  <c r="C85" i="9" s="1"/>
  <c r="C127" i="9"/>
  <c r="D58" i="9"/>
  <c r="C58" i="9" s="1"/>
  <c r="C100" i="9"/>
  <c r="D71" i="9"/>
  <c r="C113" i="9"/>
  <c r="D56" i="9"/>
  <c r="C98" i="9"/>
  <c r="D53" i="9"/>
  <c r="C95" i="9"/>
  <c r="D54" i="9"/>
  <c r="C96" i="9"/>
  <c r="D61" i="9"/>
  <c r="C61" i="9" s="1"/>
  <c r="C103" i="9"/>
  <c r="D60" i="9"/>
  <c r="C102" i="9"/>
  <c r="D81" i="9"/>
  <c r="C123" i="9"/>
  <c r="D59" i="9"/>
  <c r="C101" i="9"/>
  <c r="C134" i="9"/>
  <c r="I107" i="9"/>
  <c r="I65" i="9" s="1"/>
  <c r="I101" i="9"/>
  <c r="I59" i="9" s="1"/>
  <c r="C59" i="9" s="1"/>
  <c r="I118" i="9"/>
  <c r="I76" i="9" s="1"/>
  <c r="C76" i="9" s="1"/>
  <c r="I108" i="9"/>
  <c r="I66" i="9" s="1"/>
  <c r="I123" i="9"/>
  <c r="I81" i="9" s="1"/>
  <c r="I102" i="9"/>
  <c r="I60" i="9" s="1"/>
  <c r="F77" i="9"/>
  <c r="C119" i="9"/>
  <c r="F63" i="9"/>
  <c r="C63" i="9" s="1"/>
  <c r="C105" i="9"/>
  <c r="F52" i="9"/>
  <c r="C94" i="9"/>
  <c r="F82" i="9"/>
  <c r="C82" i="9" s="1"/>
  <c r="C124" i="9"/>
  <c r="E74" i="9"/>
  <c r="C116" i="9"/>
  <c r="E69" i="9"/>
  <c r="C111" i="9"/>
  <c r="E48" i="9"/>
  <c r="C90" i="9"/>
  <c r="E50" i="9"/>
  <c r="C50" i="9" s="1"/>
  <c r="C92" i="9"/>
  <c r="C49" i="9"/>
  <c r="R42" i="6"/>
  <c r="S42" i="6" s="1"/>
  <c r="C43" i="2"/>
  <c r="N42" i="6" s="1"/>
  <c r="O42" i="6" s="1"/>
  <c r="AE4" i="6" l="1"/>
  <c r="AF4" i="6" s="1"/>
  <c r="AD42" i="6"/>
  <c r="AE42" i="6" s="1"/>
  <c r="C69" i="9"/>
  <c r="C74" i="9"/>
  <c r="C52" i="9"/>
  <c r="C62" i="9"/>
  <c r="D86" i="9"/>
  <c r="C54" i="9"/>
  <c r="C56" i="9"/>
  <c r="C71" i="9"/>
  <c r="C53" i="9"/>
  <c r="C81" i="9"/>
  <c r="C60" i="9"/>
  <c r="I86" i="9"/>
  <c r="F86" i="9"/>
  <c r="C65" i="9"/>
  <c r="C66" i="9"/>
  <c r="C79" i="9"/>
  <c r="C70" i="9"/>
  <c r="C84" i="9"/>
  <c r="C68" i="9"/>
  <c r="C73" i="9"/>
  <c r="C75" i="9"/>
  <c r="C64" i="9"/>
  <c r="C72" i="9"/>
  <c r="C48" i="9"/>
  <c r="E86" i="9"/>
  <c r="C51" i="9"/>
  <c r="C55" i="9"/>
  <c r="C83" i="9"/>
  <c r="C78" i="9"/>
  <c r="C77" i="9"/>
  <c r="N6" i="6"/>
  <c r="O6" i="6" s="1"/>
  <c r="P6" i="6" s="1"/>
  <c r="N26" i="6"/>
  <c r="O26" i="6" s="1"/>
  <c r="P26" i="6" s="1"/>
  <c r="N28" i="6"/>
  <c r="O28" i="6" s="1"/>
  <c r="P28" i="6" s="1"/>
  <c r="N8" i="6"/>
  <c r="O8" i="6" s="1"/>
  <c r="P8" i="6" s="1"/>
  <c r="N24" i="6"/>
  <c r="O24" i="6" s="1"/>
  <c r="P24" i="6" s="1"/>
  <c r="N9" i="6"/>
  <c r="O9" i="6" s="1"/>
  <c r="P9" i="6" s="1"/>
  <c r="N17" i="6"/>
  <c r="O17" i="6" s="1"/>
  <c r="P17" i="6" s="1"/>
  <c r="N25" i="6"/>
  <c r="O25" i="6" s="1"/>
  <c r="P25" i="6" s="1"/>
  <c r="N36" i="6"/>
  <c r="O36" i="6" s="1"/>
  <c r="P36" i="6" s="1"/>
  <c r="N29" i="6"/>
  <c r="O29" i="6" s="1"/>
  <c r="P29" i="6" s="1"/>
  <c r="N37" i="6"/>
  <c r="O37" i="6" s="1"/>
  <c r="P37" i="6" s="1"/>
  <c r="N22" i="6"/>
  <c r="O22" i="6" s="1"/>
  <c r="P22" i="6" s="1"/>
  <c r="N20" i="6"/>
  <c r="O20" i="6" s="1"/>
  <c r="P20" i="6" s="1"/>
  <c r="N11" i="6"/>
  <c r="O11" i="6" s="1"/>
  <c r="P11" i="6" s="1"/>
  <c r="N19" i="6"/>
  <c r="O19" i="6" s="1"/>
  <c r="P19" i="6" s="1"/>
  <c r="N30" i="6"/>
  <c r="O30" i="6" s="1"/>
  <c r="P30" i="6" s="1"/>
  <c r="N38" i="6"/>
  <c r="O38" i="6" s="1"/>
  <c r="P38" i="6" s="1"/>
  <c r="N31" i="6"/>
  <c r="O31" i="6" s="1"/>
  <c r="P31" i="6" s="1"/>
  <c r="N39" i="6"/>
  <c r="O39" i="6" s="1"/>
  <c r="P39" i="6" s="1"/>
  <c r="N18" i="6"/>
  <c r="O18" i="6" s="1"/>
  <c r="P18" i="6" s="1"/>
  <c r="N14" i="6"/>
  <c r="O14" i="6" s="1"/>
  <c r="P14" i="6" s="1"/>
  <c r="N4" i="6"/>
  <c r="O4" i="6" s="1"/>
  <c r="P4" i="6" s="1"/>
  <c r="N16" i="6"/>
  <c r="O16" i="6" s="1"/>
  <c r="P16" i="6" s="1"/>
  <c r="N5" i="6"/>
  <c r="O5" i="6" s="1"/>
  <c r="P5" i="6" s="1"/>
  <c r="N13" i="6"/>
  <c r="O13" i="6" s="1"/>
  <c r="P13" i="6" s="1"/>
  <c r="N21" i="6"/>
  <c r="O21" i="6" s="1"/>
  <c r="P21" i="6" s="1"/>
  <c r="N32" i="6"/>
  <c r="O32" i="6" s="1"/>
  <c r="P32" i="6" s="1"/>
  <c r="N40" i="6"/>
  <c r="O40" i="6" s="1"/>
  <c r="P40" i="6" s="1"/>
  <c r="N33" i="6"/>
  <c r="O33" i="6" s="1"/>
  <c r="P33" i="6" s="1"/>
  <c r="N10" i="6"/>
  <c r="O10" i="6" s="1"/>
  <c r="P10" i="6" s="1"/>
  <c r="N12" i="6"/>
  <c r="O12" i="6" s="1"/>
  <c r="P12" i="6" s="1"/>
  <c r="N7" i="6"/>
  <c r="O7" i="6" s="1"/>
  <c r="P7" i="6" s="1"/>
  <c r="N15" i="6"/>
  <c r="O15" i="6" s="1"/>
  <c r="P15" i="6" s="1"/>
  <c r="N23" i="6"/>
  <c r="O23" i="6" s="1"/>
  <c r="P23" i="6" s="1"/>
  <c r="N34" i="6"/>
  <c r="O34" i="6" s="1"/>
  <c r="P34" i="6" s="1"/>
  <c r="N27" i="6"/>
  <c r="O27" i="6" s="1"/>
  <c r="P27" i="6" s="1"/>
  <c r="N35" i="6"/>
  <c r="O35" i="6" s="1"/>
  <c r="P35" i="6" s="1"/>
  <c r="N41" i="6"/>
  <c r="O41" i="6" s="1"/>
  <c r="P41" i="6" s="1"/>
  <c r="C43" i="3"/>
  <c r="C42" i="3" s="1"/>
  <c r="J41" i="6" s="1"/>
  <c r="K41" i="6" s="1"/>
  <c r="L41" i="6" s="1"/>
  <c r="T44" i="6"/>
  <c r="T42" i="6"/>
  <c r="C18" i="3"/>
  <c r="J17" i="6" s="1"/>
  <c r="K17" i="6" s="1"/>
  <c r="L17" i="6" s="1"/>
  <c r="C7" i="3"/>
  <c r="J6" i="6" s="1"/>
  <c r="K6" i="6" s="1"/>
  <c r="L6" i="6" s="1"/>
  <c r="C31" i="3"/>
  <c r="J30" i="6" s="1"/>
  <c r="K30" i="6" s="1"/>
  <c r="L30" i="6" s="1"/>
  <c r="C23" i="3"/>
  <c r="J22" i="6" s="1"/>
  <c r="C15" i="3"/>
  <c r="J14" i="6" s="1"/>
  <c r="K14" i="6" s="1"/>
  <c r="L14" i="6" s="1"/>
  <c r="C21" i="3"/>
  <c r="J20" i="6" s="1"/>
  <c r="C26" i="3"/>
  <c r="J25" i="6" s="1"/>
  <c r="K25" i="6" s="1"/>
  <c r="L25" i="6" s="1"/>
  <c r="C10" i="3"/>
  <c r="J9" i="6" s="1"/>
  <c r="K9" i="6" s="1"/>
  <c r="L9" i="6" s="1"/>
  <c r="C35" i="3"/>
  <c r="J34" i="6" s="1"/>
  <c r="K34" i="6" s="1"/>
  <c r="L34" i="6" s="1"/>
  <c r="C27" i="3"/>
  <c r="J26" i="6" s="1"/>
  <c r="C19" i="3"/>
  <c r="J18" i="6" s="1"/>
  <c r="K18" i="6" s="1"/>
  <c r="L18" i="6" s="1"/>
  <c r="C11" i="3"/>
  <c r="J10" i="6" s="1"/>
  <c r="K10" i="6" s="1"/>
  <c r="L10" i="6" s="1"/>
  <c r="C36" i="3"/>
  <c r="J35" i="6" s="1"/>
  <c r="K35" i="6" s="1"/>
  <c r="L35" i="6" s="1"/>
  <c r="C13" i="3"/>
  <c r="J12" i="6" s="1"/>
  <c r="K12" i="6" s="1"/>
  <c r="L12" i="6" s="1"/>
  <c r="C37" i="3"/>
  <c r="J36" i="6" s="1"/>
  <c r="K36" i="6" s="1"/>
  <c r="L36" i="6" s="1"/>
  <c r="C6" i="3"/>
  <c r="J5" i="6" s="1"/>
  <c r="C22" i="3"/>
  <c r="J21" i="6" s="1"/>
  <c r="K21" i="6" s="1"/>
  <c r="L21" i="6" s="1"/>
  <c r="C38" i="3"/>
  <c r="J37" i="6" s="1"/>
  <c r="K37" i="6" s="1"/>
  <c r="L37" i="6" s="1"/>
  <c r="C17" i="3"/>
  <c r="J16" i="6" s="1"/>
  <c r="K16" i="6" s="1"/>
  <c r="L16" i="6" s="1"/>
  <c r="C33" i="3"/>
  <c r="J32" i="6" s="1"/>
  <c r="C5" i="3"/>
  <c r="C20" i="3"/>
  <c r="J19" i="6" s="1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L23" i="3"/>
  <c r="C34" i="3"/>
  <c r="J33" i="6" s="1"/>
  <c r="K33" i="6" s="1"/>
  <c r="L33" i="6" s="1"/>
  <c r="C29" i="3"/>
  <c r="J28" i="6" s="1"/>
  <c r="K28" i="6" s="1"/>
  <c r="L28" i="6" s="1"/>
  <c r="C39" i="3"/>
  <c r="J38" i="6" s="1"/>
  <c r="K38" i="6" s="1"/>
  <c r="L38" i="6" s="1"/>
  <c r="C14" i="3"/>
  <c r="J13" i="6" s="1"/>
  <c r="C30" i="3"/>
  <c r="J29" i="6" s="1"/>
  <c r="K29" i="6" s="1"/>
  <c r="L29" i="6" s="1"/>
  <c r="C9" i="3"/>
  <c r="J8" i="6" s="1"/>
  <c r="C25" i="3"/>
  <c r="J24" i="6" s="1"/>
  <c r="K24" i="6" s="1"/>
  <c r="L24" i="6" s="1"/>
  <c r="C41" i="3"/>
  <c r="J40" i="6" s="1"/>
  <c r="C12" i="3"/>
  <c r="J11" i="6" s="1"/>
  <c r="K11" i="6" s="1"/>
  <c r="L11" i="6" s="1"/>
  <c r="C28" i="3"/>
  <c r="J27" i="6" s="1"/>
  <c r="K27" i="6" s="1"/>
  <c r="L27" i="6" s="1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H24" i="3"/>
  <c r="H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J11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J41" i="3"/>
  <c r="J39" i="3"/>
  <c r="J37" i="3"/>
  <c r="J35" i="3"/>
  <c r="J33" i="3"/>
  <c r="J31" i="3"/>
  <c r="J29" i="3"/>
  <c r="J27" i="3"/>
  <c r="J25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J23" i="3"/>
  <c r="J21" i="3"/>
  <c r="J19" i="3"/>
  <c r="J17" i="3"/>
  <c r="J15" i="3"/>
  <c r="J13" i="3"/>
  <c r="J10" i="3"/>
  <c r="J8" i="3"/>
  <c r="J6" i="3"/>
  <c r="E5" i="3"/>
  <c r="D9" i="3"/>
  <c r="E12" i="3"/>
  <c r="F14" i="3"/>
  <c r="E16" i="3"/>
  <c r="F18" i="3"/>
  <c r="E20" i="3"/>
  <c r="F22" i="3"/>
  <c r="E24" i="3"/>
  <c r="F26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J42" i="3"/>
  <c r="J40" i="3"/>
  <c r="J38" i="3"/>
  <c r="J36" i="3"/>
  <c r="J34" i="3"/>
  <c r="J32" i="3"/>
  <c r="J30" i="3"/>
  <c r="J28" i="3"/>
  <c r="J26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J24" i="3"/>
  <c r="J22" i="3"/>
  <c r="J20" i="3"/>
  <c r="J18" i="3"/>
  <c r="J16" i="3"/>
  <c r="J14" i="3"/>
  <c r="J12" i="3"/>
  <c r="J9" i="3"/>
  <c r="J7" i="3"/>
  <c r="J5" i="3"/>
  <c r="E6" i="3"/>
  <c r="E10" i="3"/>
  <c r="D13" i="3"/>
  <c r="E15" i="3"/>
  <c r="D17" i="3"/>
  <c r="E19" i="3"/>
  <c r="D21" i="3"/>
  <c r="E23" i="3"/>
  <c r="D25" i="3"/>
  <c r="E27" i="3"/>
  <c r="E28" i="3"/>
  <c r="F30" i="3"/>
  <c r="E32" i="3"/>
  <c r="F34" i="3"/>
  <c r="E36" i="3"/>
  <c r="F38" i="3"/>
  <c r="E40" i="3"/>
  <c r="F42" i="3"/>
  <c r="E7" i="3"/>
  <c r="E11" i="3"/>
  <c r="F9" i="3"/>
  <c r="F13" i="3"/>
  <c r="F17" i="3"/>
  <c r="F21" i="3"/>
  <c r="F25" i="3"/>
  <c r="F29" i="3"/>
  <c r="F33" i="3"/>
  <c r="F37" i="3"/>
  <c r="F41" i="3"/>
  <c r="D11" i="3"/>
  <c r="E13" i="3"/>
  <c r="D15" i="3"/>
  <c r="E17" i="3"/>
  <c r="D19" i="3"/>
  <c r="E21" i="3"/>
  <c r="D23" i="3"/>
  <c r="E25" i="3"/>
  <c r="D27" i="3"/>
  <c r="E29" i="3"/>
  <c r="D31" i="3"/>
  <c r="E33" i="3"/>
  <c r="D35" i="3"/>
  <c r="E37" i="3"/>
  <c r="D39" i="3"/>
  <c r="E41" i="3"/>
  <c r="F6" i="3"/>
  <c r="F8" i="3"/>
  <c r="F5" i="3"/>
  <c r="F7" i="3"/>
  <c r="F11" i="3"/>
  <c r="F15" i="3"/>
  <c r="F19" i="3"/>
  <c r="F23" i="3"/>
  <c r="F27" i="3"/>
  <c r="F31" i="3"/>
  <c r="F35" i="3"/>
  <c r="F39" i="3"/>
  <c r="C8" i="3"/>
  <c r="J7" i="6" s="1"/>
  <c r="K7" i="6" s="1"/>
  <c r="L7" i="6" s="1"/>
  <c r="C24" i="3"/>
  <c r="J23" i="6" s="1"/>
  <c r="K23" i="6" s="1"/>
  <c r="L23" i="6" s="1"/>
  <c r="C40" i="3"/>
  <c r="J39" i="6" s="1"/>
  <c r="D29" i="3"/>
  <c r="E31" i="3"/>
  <c r="D33" i="3"/>
  <c r="E35" i="3"/>
  <c r="D37" i="3"/>
  <c r="E39" i="3"/>
  <c r="D41" i="3"/>
  <c r="D5" i="3"/>
  <c r="E9" i="3"/>
  <c r="D8" i="3"/>
  <c r="D12" i="3"/>
  <c r="D16" i="3"/>
  <c r="D20" i="3"/>
  <c r="D24" i="3"/>
  <c r="D28" i="3"/>
  <c r="D32" i="3"/>
  <c r="D36" i="3"/>
  <c r="D40" i="3"/>
  <c r="E8" i="3"/>
  <c r="F12" i="3"/>
  <c r="E14" i="3"/>
  <c r="F16" i="3"/>
  <c r="E18" i="3"/>
  <c r="F20" i="3"/>
  <c r="E22" i="3"/>
  <c r="F24" i="3"/>
  <c r="E26" i="3"/>
  <c r="F28" i="3"/>
  <c r="E30" i="3"/>
  <c r="F32" i="3"/>
  <c r="E34" i="3"/>
  <c r="F36" i="3"/>
  <c r="E38" i="3"/>
  <c r="F40" i="3"/>
  <c r="E42" i="3"/>
  <c r="D7" i="3"/>
  <c r="F10" i="3"/>
  <c r="D6" i="3"/>
  <c r="D10" i="3"/>
  <c r="D14" i="3"/>
  <c r="D18" i="3"/>
  <c r="D22" i="3"/>
  <c r="D26" i="3"/>
  <c r="D30" i="3"/>
  <c r="D34" i="3"/>
  <c r="D38" i="3"/>
  <c r="D42" i="3"/>
  <c r="C16" i="3"/>
  <c r="J15" i="6" s="1"/>
  <c r="K15" i="6" s="1"/>
  <c r="L15" i="6" s="1"/>
  <c r="C32" i="3"/>
  <c r="J31" i="6" s="1"/>
  <c r="K26" i="6"/>
  <c r="L26" i="6" s="1"/>
  <c r="K8" i="6"/>
  <c r="L8" i="6" s="1"/>
  <c r="K5" i="6"/>
  <c r="L5" i="6" s="1"/>
  <c r="K13" i="6"/>
  <c r="L13" i="6" s="1"/>
  <c r="K32" i="6"/>
  <c r="L32" i="6" s="1"/>
  <c r="K40" i="6"/>
  <c r="L40" i="6" s="1"/>
  <c r="K22" i="6"/>
  <c r="L22" i="6" s="1"/>
  <c r="K20" i="6"/>
  <c r="L20" i="6" s="1"/>
  <c r="K19" i="6"/>
  <c r="L19" i="6" s="1"/>
  <c r="K31" i="6"/>
  <c r="L31" i="6" s="1"/>
  <c r="K39" i="6"/>
  <c r="L39" i="6" s="1"/>
  <c r="AF44" i="6" l="1"/>
  <c r="AF42" i="6"/>
  <c r="C86" i="9"/>
  <c r="J4" i="6"/>
  <c r="P42" i="6"/>
  <c r="P44" i="6"/>
  <c r="H43" i="3"/>
  <c r="K4" i="6"/>
  <c r="L4" i="6" s="1"/>
  <c r="J42" i="6"/>
  <c r="K42" i="6" s="1"/>
  <c r="D43" i="3"/>
  <c r="F43" i="3"/>
  <c r="J43" i="3"/>
  <c r="M43" i="3"/>
  <c r="E43" i="3"/>
  <c r="I43" i="3"/>
  <c r="L43" i="3"/>
  <c r="K43" i="3"/>
  <c r="G43" i="3"/>
  <c r="H12" i="9" l="1"/>
  <c r="F22" i="9"/>
  <c r="K27" i="9"/>
  <c r="K29" i="9"/>
  <c r="E10" i="9"/>
  <c r="N39" i="9"/>
  <c r="K39" i="9"/>
  <c r="E6" i="9"/>
  <c r="E34" i="9"/>
  <c r="J24" i="9"/>
  <c r="L21" i="9"/>
  <c r="L25" i="9"/>
  <c r="J32" i="9"/>
  <c r="J29" i="9"/>
  <c r="G9" i="9"/>
  <c r="L24" i="9"/>
  <c r="K16" i="9"/>
  <c r="M25" i="9"/>
  <c r="M27" i="9"/>
  <c r="N10" i="9"/>
  <c r="N18" i="9"/>
  <c r="L33" i="9"/>
  <c r="M19" i="9"/>
  <c r="N40" i="9"/>
  <c r="J26" i="9"/>
  <c r="H13" i="9"/>
  <c r="H15" i="9"/>
  <c r="G10" i="9"/>
  <c r="G18" i="9"/>
  <c r="F11" i="9"/>
  <c r="F13" i="9"/>
  <c r="H26" i="9"/>
  <c r="F38" i="9"/>
  <c r="K30" i="9"/>
  <c r="K32" i="9"/>
  <c r="E41" i="9"/>
  <c r="E28" i="9"/>
  <c r="F14" i="9"/>
  <c r="K37" i="9"/>
  <c r="E24" i="9"/>
  <c r="H14" i="9"/>
  <c r="L30" i="9"/>
  <c r="L32" i="9"/>
  <c r="J13" i="9"/>
  <c r="G37" i="9"/>
  <c r="L39" i="9"/>
  <c r="M13" i="9"/>
  <c r="M15" i="9"/>
  <c r="G33" i="9"/>
  <c r="N25" i="9"/>
  <c r="N27" i="9"/>
  <c r="L23" i="9"/>
  <c r="M9" i="9"/>
  <c r="N26" i="9"/>
  <c r="J5" i="9"/>
  <c r="K6" i="9"/>
  <c r="H25" i="9"/>
  <c r="H27" i="9"/>
  <c r="G28" i="9"/>
  <c r="G30" i="9"/>
  <c r="F41" i="9"/>
  <c r="H8" i="9"/>
  <c r="G14" i="9"/>
  <c r="K11" i="9"/>
  <c r="K13" i="9"/>
  <c r="E13" i="9"/>
  <c r="E15" i="9"/>
  <c r="N9" i="9"/>
  <c r="F6" i="9"/>
  <c r="E9" i="9"/>
  <c r="J19" i="9"/>
  <c r="I7" i="9"/>
  <c r="N38" i="9"/>
  <c r="L26" i="9"/>
  <c r="E22" i="9"/>
  <c r="F12" i="9"/>
  <c r="I30" i="9"/>
  <c r="I32" i="9"/>
  <c r="D8" i="9"/>
  <c r="D7" i="9"/>
  <c r="K31" i="9"/>
  <c r="H39" i="9"/>
  <c r="I14" i="9"/>
  <c r="H38" i="9"/>
  <c r="M8" i="9"/>
  <c r="D12" i="9"/>
  <c r="G40" i="9"/>
  <c r="E40" i="9"/>
  <c r="I12" i="9"/>
  <c r="N16" i="9"/>
  <c r="L5" i="9"/>
  <c r="E23" i="9"/>
  <c r="F40" i="9"/>
  <c r="I15" i="9"/>
  <c r="I27" i="9"/>
  <c r="K26" i="9"/>
  <c r="D39" i="9"/>
  <c r="H24" i="9"/>
  <c r="J33" i="9"/>
  <c r="D17" i="9"/>
  <c r="M16" i="9"/>
  <c r="M5" i="9"/>
  <c r="D26" i="9"/>
  <c r="G26" i="9"/>
  <c r="D19" i="9"/>
  <c r="D37" i="9"/>
  <c r="F39" i="9"/>
  <c r="D32" i="9"/>
  <c r="D30" i="9"/>
  <c r="D42" i="9"/>
  <c r="I35" i="9"/>
  <c r="I8" i="9"/>
  <c r="L7" i="9"/>
  <c r="E16" i="9"/>
  <c r="F31" i="9"/>
  <c r="I18" i="9"/>
  <c r="K8" i="9"/>
  <c r="H9" i="9"/>
  <c r="J38" i="9"/>
  <c r="D38" i="9"/>
  <c r="M38" i="9"/>
  <c r="M26" i="9"/>
  <c r="D14" i="9"/>
  <c r="G12" i="9"/>
  <c r="E26" i="9"/>
  <c r="F20" i="9"/>
  <c r="D16" i="9"/>
  <c r="I31" i="9"/>
  <c r="L35" i="9"/>
  <c r="E33" i="9"/>
  <c r="F7" i="9"/>
  <c r="I10" i="9"/>
  <c r="I13" i="9"/>
  <c r="K40" i="9"/>
  <c r="D9" i="9"/>
  <c r="H20" i="9"/>
  <c r="D18" i="9"/>
  <c r="D11" i="9"/>
  <c r="D10" i="9"/>
  <c r="D13" i="9"/>
  <c r="I6" i="9"/>
  <c r="H33" i="9"/>
  <c r="M40" i="9"/>
  <c r="D40" i="9"/>
  <c r="G5" i="9"/>
  <c r="E12" i="9"/>
  <c r="E7" i="9"/>
  <c r="F37" i="9"/>
  <c r="I37" i="9"/>
  <c r="I16" i="9"/>
  <c r="I20" i="9"/>
  <c r="I9" i="9"/>
  <c r="I22" i="9"/>
  <c r="I34" i="9"/>
  <c r="I23" i="9"/>
  <c r="F25" i="9"/>
  <c r="F16" i="9"/>
  <c r="K18" i="9"/>
  <c r="K28" i="9"/>
  <c r="E27" i="9"/>
  <c r="E29" i="9"/>
  <c r="N34" i="9"/>
  <c r="K20" i="9"/>
  <c r="E37" i="9"/>
  <c r="J9" i="9"/>
  <c r="M6" i="9"/>
  <c r="L36" i="9"/>
  <c r="L42" i="9"/>
  <c r="J10" i="9"/>
  <c r="J41" i="9"/>
  <c r="G19" i="9"/>
  <c r="L34" i="9"/>
  <c r="M10" i="9"/>
  <c r="M18" i="9"/>
  <c r="G38" i="9"/>
  <c r="N29" i="9"/>
  <c r="N41" i="9"/>
  <c r="L22" i="9"/>
  <c r="N31" i="9"/>
  <c r="J8" i="9"/>
  <c r="K14" i="9"/>
  <c r="H36" i="9"/>
  <c r="H42" i="9"/>
  <c r="G29" i="9"/>
  <c r="G41" i="9"/>
  <c r="F32" i="9"/>
  <c r="F36" i="9"/>
  <c r="H35" i="9"/>
  <c r="F23" i="9"/>
  <c r="K41" i="9"/>
  <c r="E18" i="9"/>
  <c r="E11" i="9"/>
  <c r="N19" i="9"/>
  <c r="K19" i="9"/>
  <c r="E39" i="9"/>
  <c r="J34" i="9"/>
  <c r="L13" i="9"/>
  <c r="L15" i="9"/>
  <c r="J27" i="9"/>
  <c r="J21" i="9"/>
  <c r="G34" i="9"/>
  <c r="K23" i="9"/>
  <c r="M42" i="9"/>
  <c r="M21" i="9"/>
  <c r="G22" i="9"/>
  <c r="N42" i="9"/>
  <c r="L17" i="9"/>
  <c r="M20" i="9"/>
  <c r="N35" i="9"/>
  <c r="J7" i="9"/>
  <c r="J31" i="9"/>
  <c r="H21" i="9"/>
  <c r="H10" i="9"/>
  <c r="G11" i="9"/>
  <c r="G13" i="9"/>
  <c r="F28" i="9"/>
  <c r="F30" i="9"/>
  <c r="H31" i="9"/>
  <c r="F33" i="9"/>
  <c r="K36" i="9"/>
  <c r="K42" i="9"/>
  <c r="E30" i="9"/>
  <c r="E32" i="9"/>
  <c r="N24" i="9"/>
  <c r="K24" i="9"/>
  <c r="J39" i="9"/>
  <c r="D22" i="9"/>
  <c r="N23" i="9"/>
  <c r="L31" i="9"/>
  <c r="E38" i="9"/>
  <c r="F5" i="9"/>
  <c r="I11" i="9"/>
  <c r="I21" i="9"/>
  <c r="D31" i="9"/>
  <c r="D35" i="9"/>
  <c r="K12" i="9"/>
  <c r="H19" i="9"/>
  <c r="J23" i="9"/>
  <c r="H17" i="9"/>
  <c r="M17" i="9"/>
  <c r="M7" i="9"/>
  <c r="G35" i="9"/>
  <c r="E35" i="9"/>
  <c r="F19" i="9"/>
  <c r="I40" i="9"/>
  <c r="N33" i="9"/>
  <c r="L12" i="9"/>
  <c r="D6" i="9"/>
  <c r="F35" i="9"/>
  <c r="I36" i="9"/>
  <c r="I42" i="9"/>
  <c r="K5" i="9"/>
  <c r="D24" i="9"/>
  <c r="J16" i="9"/>
  <c r="D23" i="9"/>
  <c r="H16" i="9"/>
  <c r="M22" i="9"/>
  <c r="M12" i="9"/>
  <c r="G31" i="9"/>
  <c r="E8" i="9"/>
  <c r="D20" i="9"/>
  <c r="F9" i="9"/>
  <c r="D28" i="9"/>
  <c r="D15" i="9"/>
  <c r="D21" i="9"/>
  <c r="D29" i="9"/>
  <c r="I5" i="9"/>
  <c r="N17" i="9"/>
  <c r="L8" i="9"/>
  <c r="F26" i="9"/>
  <c r="I25" i="9"/>
  <c r="I41" i="9"/>
  <c r="K7" i="9"/>
  <c r="H34" i="9"/>
  <c r="J17" i="9"/>
  <c r="H23" i="9"/>
  <c r="M23" i="9"/>
  <c r="M31" i="9"/>
  <c r="G8" i="9"/>
  <c r="E31" i="9"/>
  <c r="F34" i="9"/>
  <c r="D33" i="9"/>
  <c r="I26" i="9"/>
  <c r="N22" i="9"/>
  <c r="L40" i="9"/>
  <c r="E17" i="9"/>
  <c r="F8" i="9"/>
  <c r="I29" i="9"/>
  <c r="I28" i="9"/>
  <c r="K35" i="9"/>
  <c r="H37" i="9"/>
  <c r="D36" i="9"/>
  <c r="D27" i="9"/>
  <c r="D41" i="9"/>
  <c r="D25" i="9"/>
  <c r="J22" i="9"/>
  <c r="H22" i="9"/>
  <c r="M33" i="9"/>
  <c r="M35" i="9"/>
  <c r="D5" i="9"/>
  <c r="G7" i="9"/>
  <c r="E5" i="9"/>
  <c r="D34" i="9"/>
  <c r="F24" i="9"/>
  <c r="I39" i="9"/>
  <c r="I19" i="9"/>
  <c r="I38" i="9"/>
  <c r="I33" i="9"/>
  <c r="I24" i="9"/>
  <c r="I17" i="9"/>
  <c r="F10" i="9"/>
  <c r="G27" i="9"/>
  <c r="G25" i="9"/>
  <c r="H11" i="9"/>
  <c r="J35" i="9"/>
  <c r="H30" i="9"/>
  <c r="N5" i="9"/>
  <c r="M24" i="9"/>
  <c r="M37" i="9"/>
  <c r="N30" i="9"/>
  <c r="N11" i="9"/>
  <c r="M41" i="9"/>
  <c r="M28" i="9"/>
  <c r="L20" i="9"/>
  <c r="K17" i="9"/>
  <c r="K38" i="9"/>
  <c r="J42" i="9"/>
  <c r="K34" i="9"/>
  <c r="J15" i="9"/>
  <c r="E19" i="9"/>
  <c r="G20" i="9"/>
  <c r="J18" i="9"/>
  <c r="L27" i="9"/>
  <c r="E20" i="9"/>
  <c r="K9" i="9"/>
  <c r="E42" i="9"/>
  <c r="N20" i="9"/>
  <c r="E21" i="9"/>
  <c r="K21" i="9"/>
  <c r="K15" i="9"/>
  <c r="H40" i="9"/>
  <c r="H7" i="9"/>
  <c r="G36" i="9"/>
  <c r="G32" i="9"/>
  <c r="F18" i="9"/>
  <c r="G15" i="9"/>
  <c r="H41" i="9"/>
  <c r="J40" i="9"/>
  <c r="N8" i="9"/>
  <c r="L6" i="9"/>
  <c r="N7" i="9"/>
  <c r="L16" i="9"/>
  <c r="N21" i="9"/>
  <c r="M36" i="9"/>
  <c r="N36" i="9"/>
  <c r="G23" i="9"/>
  <c r="M11" i="9"/>
  <c r="K33" i="9"/>
  <c r="L19" i="9"/>
  <c r="J11" i="9"/>
  <c r="J28" i="9"/>
  <c r="L41" i="9"/>
  <c r="H6" i="9"/>
  <c r="L11" i="9"/>
  <c r="H5" i="9"/>
  <c r="F42" i="9"/>
  <c r="F15" i="9"/>
  <c r="G42" i="9"/>
  <c r="N14" i="9"/>
  <c r="H32" i="9"/>
  <c r="L14" i="9"/>
  <c r="N12" i="9"/>
  <c r="L38" i="9"/>
  <c r="J14" i="9"/>
  <c r="N13" i="9"/>
  <c r="N28" i="9"/>
  <c r="G16" i="9"/>
  <c r="M30" i="9"/>
  <c r="M29" i="9"/>
  <c r="L10" i="9"/>
  <c r="L9" i="9"/>
  <c r="J20" i="9"/>
  <c r="G24" i="9"/>
  <c r="M14" i="9"/>
  <c r="N37" i="9"/>
  <c r="J36" i="9"/>
  <c r="L29" i="9"/>
  <c r="J37" i="9"/>
  <c r="E14" i="9"/>
  <c r="E36" i="9"/>
  <c r="K25" i="9"/>
  <c r="E25" i="9"/>
  <c r="K10" i="9"/>
  <c r="G6" i="9"/>
  <c r="F17" i="9"/>
  <c r="F21" i="9"/>
  <c r="F29" i="9"/>
  <c r="F27" i="9"/>
  <c r="G21" i="9"/>
  <c r="H28" i="9"/>
  <c r="H29" i="9"/>
  <c r="N6" i="9"/>
  <c r="H18" i="9"/>
  <c r="J12" i="9"/>
  <c r="M39" i="9"/>
  <c r="M34" i="9"/>
  <c r="N15" i="9"/>
  <c r="J6" i="9"/>
  <c r="N32" i="9"/>
  <c r="M32" i="9"/>
  <c r="G17" i="9"/>
  <c r="K22" i="9"/>
  <c r="G39" i="9"/>
  <c r="J25" i="9"/>
  <c r="L37" i="9"/>
  <c r="J30" i="9"/>
  <c r="L28" i="9"/>
  <c r="L18" i="9"/>
  <c r="L44" i="6"/>
  <c r="L42" i="6"/>
  <c r="C10" i="9" l="1"/>
  <c r="C14" i="9"/>
  <c r="C24" i="9"/>
  <c r="C19" i="9"/>
  <c r="C8" i="9"/>
  <c r="C41" i="9"/>
  <c r="C33" i="9"/>
  <c r="C7" i="9"/>
  <c r="C18" i="9"/>
  <c r="C16" i="9"/>
  <c r="C40" i="9"/>
  <c r="C42" i="9"/>
  <c r="E43" i="9"/>
  <c r="D43" i="9"/>
  <c r="C5" i="9"/>
  <c r="C36" i="9"/>
  <c r="C29" i="9"/>
  <c r="C15" i="9"/>
  <c r="K43" i="9"/>
  <c r="C6" i="9"/>
  <c r="C31" i="9"/>
  <c r="C13" i="9"/>
  <c r="C11" i="9"/>
  <c r="C38" i="9"/>
  <c r="C32" i="9"/>
  <c r="C37" i="9"/>
  <c r="M43" i="9"/>
  <c r="C17" i="9"/>
  <c r="C12" i="9"/>
  <c r="H43" i="9"/>
  <c r="N43" i="9"/>
  <c r="C34" i="9"/>
  <c r="C25" i="9"/>
  <c r="C27" i="9"/>
  <c r="I43" i="9"/>
  <c r="C21" i="9"/>
  <c r="C28" i="9"/>
  <c r="C20" i="9"/>
  <c r="C23" i="9"/>
  <c r="C35" i="9"/>
  <c r="F43" i="9"/>
  <c r="C22" i="9"/>
  <c r="G43" i="9"/>
  <c r="C9" i="9"/>
  <c r="C30" i="9"/>
  <c r="C26" i="9"/>
  <c r="C39" i="9"/>
  <c r="L43" i="9"/>
  <c r="J43" i="9"/>
  <c r="W22" i="6"/>
  <c r="X22" i="6" s="1"/>
  <c r="W13" i="6"/>
  <c r="X13" i="6" s="1"/>
  <c r="W34" i="6"/>
  <c r="X34" i="6" s="1"/>
  <c r="W20" i="6"/>
  <c r="X20" i="6" s="1"/>
  <c r="W7" i="6"/>
  <c r="X7" i="6" s="1"/>
  <c r="W24" i="6"/>
  <c r="X24" i="6" s="1"/>
  <c r="W11" i="6"/>
  <c r="X11" i="6" s="1"/>
  <c r="W19" i="6"/>
  <c r="X19" i="6" s="1"/>
  <c r="W37" i="6"/>
  <c r="X37" i="6" s="1"/>
  <c r="W29" i="6"/>
  <c r="X29" i="6" s="1"/>
  <c r="W8" i="6"/>
  <c r="X8" i="6" s="1"/>
  <c r="W23" i="6"/>
  <c r="X23" i="6" s="1"/>
  <c r="W41" i="6"/>
  <c r="X41" i="6" s="1"/>
  <c r="W4" i="6"/>
  <c r="X4" i="6" s="1"/>
  <c r="W14" i="6"/>
  <c r="X14" i="6" s="1"/>
  <c r="W35" i="6"/>
  <c r="X35" i="6" s="1"/>
  <c r="W9" i="6"/>
  <c r="X9" i="6" s="1"/>
  <c r="W26" i="6"/>
  <c r="X26" i="6" s="1"/>
  <c r="W31" i="6"/>
  <c r="X31" i="6" s="1"/>
  <c r="W5" i="6"/>
  <c r="X5" i="6" s="1"/>
  <c r="W33" i="6"/>
  <c r="X33" i="6" s="1"/>
  <c r="W17" i="6"/>
  <c r="X17" i="6" s="1"/>
  <c r="W10" i="6"/>
  <c r="X10" i="6" s="1"/>
  <c r="W15" i="6"/>
  <c r="X15" i="6" s="1"/>
  <c r="W25" i="6"/>
  <c r="X25" i="6" s="1"/>
  <c r="W27" i="6"/>
  <c r="X27" i="6" s="1"/>
  <c r="W32" i="6"/>
  <c r="X32" i="6" s="1"/>
  <c r="W30" i="6"/>
  <c r="X30" i="6" s="1"/>
  <c r="W6" i="6"/>
  <c r="X6" i="6" s="1"/>
  <c r="W16" i="6"/>
  <c r="X16" i="6" s="1"/>
  <c r="W39" i="6"/>
  <c r="X39" i="6" s="1"/>
  <c r="W36" i="6"/>
  <c r="X36" i="6" s="1"/>
  <c r="W21" i="6"/>
  <c r="X21" i="6" s="1"/>
  <c r="W12" i="6"/>
  <c r="X12" i="6" s="1"/>
  <c r="W28" i="6"/>
  <c r="X28" i="6" s="1"/>
  <c r="W40" i="6"/>
  <c r="X40" i="6" s="1"/>
  <c r="W38" i="6"/>
  <c r="X38" i="6" s="1"/>
  <c r="W18" i="6"/>
  <c r="X18" i="6" s="1"/>
  <c r="R26" i="9" l="1"/>
  <c r="S25" i="12"/>
  <c r="T25" i="12" s="1"/>
  <c r="R9" i="9"/>
  <c r="S8" i="12"/>
  <c r="T8" i="12" s="1"/>
  <c r="R22" i="9"/>
  <c r="S21" i="12"/>
  <c r="T21" i="12" s="1"/>
  <c r="R35" i="9"/>
  <c r="S34" i="12"/>
  <c r="T34" i="12" s="1"/>
  <c r="S19" i="12"/>
  <c r="T19" i="12" s="1"/>
  <c r="R20" i="9"/>
  <c r="R21" i="9"/>
  <c r="S20" i="12"/>
  <c r="T20" i="12" s="1"/>
  <c r="R27" i="9"/>
  <c r="S26" i="12"/>
  <c r="T26" i="12" s="1"/>
  <c r="R34" i="9"/>
  <c r="S33" i="12"/>
  <c r="T33" i="12" s="1"/>
  <c r="R17" i="9"/>
  <c r="S16" i="12"/>
  <c r="T16" i="12" s="1"/>
  <c r="R37" i="9"/>
  <c r="S36" i="12"/>
  <c r="T36" i="12" s="1"/>
  <c r="R38" i="9"/>
  <c r="S37" i="12"/>
  <c r="T37" i="12" s="1"/>
  <c r="R13" i="9"/>
  <c r="S12" i="12"/>
  <c r="T12" i="12" s="1"/>
  <c r="R6" i="9"/>
  <c r="S5" i="12"/>
  <c r="T5" i="12" s="1"/>
  <c r="R15" i="9"/>
  <c r="S14" i="12"/>
  <c r="T14" i="12" s="1"/>
  <c r="S35" i="12"/>
  <c r="T35" i="12" s="1"/>
  <c r="R36" i="9"/>
  <c r="R42" i="9"/>
  <c r="S41" i="12"/>
  <c r="T41" i="12" s="1"/>
  <c r="S15" i="12"/>
  <c r="T15" i="12" s="1"/>
  <c r="R16" i="9"/>
  <c r="R7" i="9"/>
  <c r="S6" i="12"/>
  <c r="T6" i="12" s="1"/>
  <c r="R41" i="9"/>
  <c r="S40" i="12"/>
  <c r="T40" i="12" s="1"/>
  <c r="R19" i="9"/>
  <c r="S18" i="12"/>
  <c r="T18" i="12" s="1"/>
  <c r="R14" i="9"/>
  <c r="S13" i="12"/>
  <c r="T13" i="12" s="1"/>
  <c r="R39" i="9"/>
  <c r="S38" i="12"/>
  <c r="T38" i="12" s="1"/>
  <c r="R30" i="9"/>
  <c r="S29" i="12"/>
  <c r="T29" i="12" s="1"/>
  <c r="R23" i="9"/>
  <c r="S22" i="12"/>
  <c r="T22" i="12" s="1"/>
  <c r="S27" i="12"/>
  <c r="T27" i="12" s="1"/>
  <c r="R28" i="9"/>
  <c r="R25" i="9"/>
  <c r="S24" i="12"/>
  <c r="T24" i="12" s="1"/>
  <c r="S11" i="12"/>
  <c r="T11" i="12" s="1"/>
  <c r="R12" i="9"/>
  <c r="S31" i="12"/>
  <c r="T31" i="12" s="1"/>
  <c r="R32" i="9"/>
  <c r="R11" i="9"/>
  <c r="S10" i="12"/>
  <c r="T10" i="12" s="1"/>
  <c r="R31" i="9"/>
  <c r="S30" i="12"/>
  <c r="T30" i="12" s="1"/>
  <c r="R29" i="9"/>
  <c r="S28" i="12"/>
  <c r="T28" i="12" s="1"/>
  <c r="R5" i="9"/>
  <c r="S4" i="12"/>
  <c r="T4" i="12" s="1"/>
  <c r="S39" i="12"/>
  <c r="T39" i="12" s="1"/>
  <c r="R40" i="9"/>
  <c r="R18" i="9"/>
  <c r="S17" i="12"/>
  <c r="T17" i="12" s="1"/>
  <c r="R33" i="9"/>
  <c r="S32" i="12"/>
  <c r="T32" i="12" s="1"/>
  <c r="S7" i="12"/>
  <c r="T7" i="12" s="1"/>
  <c r="R8" i="9"/>
  <c r="S23" i="12"/>
  <c r="T23" i="12" s="1"/>
  <c r="R24" i="9"/>
  <c r="R10" i="9"/>
  <c r="S9" i="12"/>
  <c r="T9" i="12" s="1"/>
  <c r="X42" i="6"/>
  <c r="X44" i="6"/>
  <c r="V42" i="6"/>
  <c r="W42" i="6" s="1"/>
  <c r="AA41" i="6" l="1"/>
  <c r="AB41" i="6" s="1"/>
  <c r="AA37" i="6"/>
  <c r="AB37" i="6" s="1"/>
  <c r="AA21" i="6"/>
  <c r="AB21" i="6" s="1"/>
  <c r="AA11" i="6"/>
  <c r="AB11" i="6" s="1"/>
  <c r="AA31" i="6"/>
  <c r="AB31" i="6" s="1"/>
  <c r="AA23" i="6"/>
  <c r="AB23" i="6" s="1"/>
  <c r="AA18" i="6"/>
  <c r="AB18" i="6" s="1"/>
  <c r="AA16" i="6"/>
  <c r="AB16" i="6" s="1"/>
  <c r="AA14" i="6"/>
  <c r="AB14" i="6" s="1"/>
  <c r="AA40" i="6"/>
  <c r="AB40" i="6" s="1"/>
  <c r="AA15" i="6"/>
  <c r="AB15" i="6" s="1"/>
  <c r="AA24" i="6"/>
  <c r="AB24" i="6" s="1"/>
  <c r="AA39" i="6"/>
  <c r="AB39" i="6" s="1"/>
  <c r="AA36" i="6"/>
  <c r="AB36" i="6" s="1"/>
  <c r="AA20" i="6"/>
  <c r="AB20" i="6" s="1"/>
  <c r="AA29" i="6"/>
  <c r="AB29" i="6" s="1"/>
  <c r="AA12" i="6"/>
  <c r="AB12" i="6" s="1"/>
  <c r="AA8" i="6"/>
  <c r="AB8" i="6" s="1"/>
  <c r="AA35" i="6"/>
  <c r="AB35" i="6" s="1"/>
  <c r="AA22" i="6"/>
  <c r="AB22" i="6" s="1"/>
  <c r="AA34" i="6"/>
  <c r="AB34" i="6" s="1"/>
  <c r="AA33" i="6"/>
  <c r="AB33" i="6" s="1"/>
  <c r="AA6" i="6"/>
  <c r="AB6" i="6" s="1"/>
  <c r="AA17" i="6"/>
  <c r="AB17" i="6" s="1"/>
  <c r="AA9" i="6"/>
  <c r="AB9" i="6" s="1"/>
  <c r="AA7" i="6"/>
  <c r="AB7" i="6" s="1"/>
  <c r="AA38" i="6"/>
  <c r="AB38" i="6" s="1"/>
  <c r="AA30" i="6"/>
  <c r="AB30" i="6" s="1"/>
  <c r="AA13" i="6"/>
  <c r="AB13" i="6" s="1"/>
  <c r="AA19" i="6"/>
  <c r="AB19" i="6" s="1"/>
  <c r="AA5" i="6"/>
  <c r="AB5" i="6" s="1"/>
  <c r="AA26" i="6"/>
  <c r="AB26" i="6" s="1"/>
  <c r="AA27" i="6"/>
  <c r="AB27" i="6" s="1"/>
  <c r="AA10" i="6"/>
  <c r="AB10" i="6" s="1"/>
  <c r="AA25" i="6"/>
  <c r="AB25" i="6" s="1"/>
  <c r="AA32" i="6"/>
  <c r="AB32" i="6" s="1"/>
  <c r="AA28" i="6"/>
  <c r="AB28" i="6" s="1"/>
  <c r="AA4" i="6" l="1"/>
  <c r="AB4" i="6" s="1"/>
  <c r="Z42" i="6"/>
  <c r="AA42" i="6" l="1"/>
  <c r="AB42" i="6" l="1"/>
  <c r="AB44" i="6"/>
</calcChain>
</file>

<file path=xl/sharedStrings.xml><?xml version="1.0" encoding="utf-8"?>
<sst xmlns="http://schemas.openxmlformats.org/spreadsheetml/2006/main" count="2253" uniqueCount="157">
  <si>
    <t>Hours Completed - CBM002 or CBM00S</t>
  </si>
  <si>
    <t>At-Risk Degrees - CBM009 meeting criteria in statute for At-Risk</t>
  </si>
  <si>
    <t>Science Teaching Certificates - Certification website</t>
  </si>
  <si>
    <t>Undergraduate Critical Fields - CTGs critical fields CBM009</t>
  </si>
  <si>
    <t>Cost Weighted Degrees - Fiscal Year Upper-Level weight per degree</t>
  </si>
  <si>
    <t>Undergraduate FTSE - CBM004 PREP fall of fiscal year state-funded hours divided by 15</t>
  </si>
  <si>
    <t>6-Yr/3-Yr Graduation Rates - CBM001/CBM009 Reports</t>
  </si>
  <si>
    <t>Undergraduate Degrees - CBM009 Report</t>
  </si>
  <si>
    <t>Sources</t>
  </si>
  <si>
    <t xml:space="preserve">Texas A&amp;M Galveston is given an additional weight of 1.5 to all metrics for ship operation similar to the instructions and operations formula. </t>
  </si>
  <si>
    <t>Graduation Rates for UNTD, TAMUSA, and TAMUCT are assumed to be the same as their parent institutions. 3-Year Graduation Rate used for Upper-Level institutions.</t>
  </si>
  <si>
    <t>Total</t>
  </si>
  <si>
    <t>90 Hours</t>
  </si>
  <si>
    <t>60 Hours</t>
  </si>
  <si>
    <t>30 Hours</t>
  </si>
  <si>
    <t>Hours Completed</t>
  </si>
  <si>
    <t>At-Risk Degrees</t>
  </si>
  <si>
    <t>Math and Science Teaching Certificates</t>
  </si>
  <si>
    <t>Undergraduate Critical Field Degrees</t>
  </si>
  <si>
    <t>Cost Weighted Degrees</t>
  </si>
  <si>
    <t>Undergraduate FTSE</t>
  </si>
  <si>
    <t>6-Year Graduation Rate</t>
  </si>
  <si>
    <t>Undergraduate Degrees</t>
  </si>
  <si>
    <t>Name</t>
  </si>
  <si>
    <t>FICE</t>
  </si>
  <si>
    <t>Fiscal Year 2010</t>
  </si>
  <si>
    <t>Fiscal Year 2011</t>
  </si>
  <si>
    <t>Fiscal Year 2012</t>
  </si>
  <si>
    <t>Total Undergraduate Degrees</t>
  </si>
  <si>
    <t>Three-Year Average</t>
  </si>
  <si>
    <t>Weights</t>
  </si>
  <si>
    <t>Cost Weighted</t>
  </si>
  <si>
    <t>per 100 FTSE</t>
  </si>
  <si>
    <t>Adjusted by 6-Year Graduation Rate</t>
  </si>
  <si>
    <t>Retention Metrics</t>
  </si>
  <si>
    <t xml:space="preserve">Total Undergraduate Degrees </t>
  </si>
  <si>
    <t>Total Points</t>
  </si>
  <si>
    <t>SRRG</t>
  </si>
  <si>
    <t>SRSU</t>
  </si>
  <si>
    <t>SHSU</t>
  </si>
  <si>
    <t>Lamar</t>
  </si>
  <si>
    <t>TWU</t>
  </si>
  <si>
    <t>Angelo</t>
  </si>
  <si>
    <t>TTU</t>
  </si>
  <si>
    <t>TSU</t>
  </si>
  <si>
    <t>SFA</t>
  </si>
  <si>
    <t>UNTD</t>
  </si>
  <si>
    <t>UNT</t>
  </si>
  <si>
    <t>Midwestern</t>
  </si>
  <si>
    <t>UHV</t>
  </si>
  <si>
    <t>UHD</t>
  </si>
  <si>
    <t>UHCL</t>
  </si>
  <si>
    <t>UH</t>
  </si>
  <si>
    <t>TAMUT</t>
  </si>
  <si>
    <t>TAMUC</t>
  </si>
  <si>
    <t>WTAMU</t>
  </si>
  <si>
    <t>TAMI</t>
  </si>
  <si>
    <t>TAMUSA</t>
  </si>
  <si>
    <t>TAMUK</t>
  </si>
  <si>
    <t>TAMUCC</t>
  </si>
  <si>
    <t>TAMUCT</t>
  </si>
  <si>
    <t>Tarleton</t>
  </si>
  <si>
    <t>Prairie View</t>
  </si>
  <si>
    <t>TAMUG</t>
  </si>
  <si>
    <t>TAMU</t>
  </si>
  <si>
    <t>UTT</t>
  </si>
  <si>
    <t>UTSA</t>
  </si>
  <si>
    <t>UTPB</t>
  </si>
  <si>
    <t>UTB</t>
  </si>
  <si>
    <t>UTPA</t>
  </si>
  <si>
    <t>UTEP</t>
  </si>
  <si>
    <t>UTD</t>
  </si>
  <si>
    <t>UT</t>
  </si>
  <si>
    <t>UTA</t>
  </si>
  <si>
    <t>Funding</t>
  </si>
  <si>
    <t>Points Three-Year Average - Scaled</t>
  </si>
  <si>
    <t>Points Three-Year Average - Scaled and Weighted</t>
  </si>
  <si>
    <t>Total Weights</t>
  </si>
  <si>
    <t>NR</t>
  </si>
  <si>
    <t>Scale</t>
  </si>
  <si>
    <t>Percent Funded</t>
  </si>
  <si>
    <t>Difference  (Millions)</t>
  </si>
  <si>
    <t>Research</t>
  </si>
  <si>
    <t>Emerging</t>
  </si>
  <si>
    <t>Doctoral</t>
  </si>
  <si>
    <t>Master's</t>
  </si>
  <si>
    <t>Comprehensive</t>
  </si>
  <si>
    <t>Points Weighted Three-Year Average</t>
  </si>
  <si>
    <t>Percent of Undergraduate Funding</t>
  </si>
  <si>
    <t>Weights by Group</t>
  </si>
  <si>
    <t>2014-2015 Proposed Model</t>
  </si>
  <si>
    <t>2014-2015 Instruction and Operations Percent of Total</t>
  </si>
  <si>
    <t>Percent Difference From 2014-2015 I&amp;O</t>
  </si>
  <si>
    <t>Total Losses</t>
  </si>
  <si>
    <r>
      <t xml:space="preserve">Option 1 - Outcomes Based Funding (FY 2010 - FY 2012 Averaged) </t>
    </r>
    <r>
      <rPr>
        <sz val="10"/>
        <rFont val="Tahoma"/>
        <family val="2"/>
      </rPr>
      <t>with Total Degrees adjusted by Six-Year Graduation Rate (3-Year Rate for Upper-Levels), Total Degrees per 100 FTSE, Critical Field Degrees (weighted 2), At-Risk Degrees, Retention Metrics of 30, 60, and 90 hours, and Total Degrees adjusted by Cost Based Weights.  Funded at 10 percent of undergraduate formula funding.</t>
    </r>
  </si>
  <si>
    <t>TXST</t>
  </si>
  <si>
    <t>SREB Carnegie 2011-12 Classification</t>
  </si>
  <si>
    <t>Texas SREB Carnegie Salaries 2011-2012</t>
  </si>
  <si>
    <t>Texas SREB Carnegie Salary Times Total Points</t>
  </si>
  <si>
    <t>Accountability Group</t>
  </si>
  <si>
    <t>Percent Difference From 2014-2015 Undergraduate I&amp;O</t>
  </si>
  <si>
    <t>Option 1 - As proposed for 2014-2015 Compared to Undergraduate I&amp;O</t>
  </si>
  <si>
    <t>Option 1 - As proposed for 2014-2015 Compared to Total I&amp;O</t>
  </si>
  <si>
    <t>2014-2015 Undergraduate Instruction and Operations Percent of Total</t>
  </si>
  <si>
    <r>
      <t xml:space="preserve">Option 2 - Outcomes Based Funding (FY 2010 - FY 2012 Averaged) </t>
    </r>
    <r>
      <rPr>
        <sz val="10"/>
        <rFont val="Tahoma"/>
        <family val="2"/>
      </rPr>
      <t xml:space="preserve">with Total Degrees adjusted by Six-Year Graduation Rate (3-Year Rate for Upper-Levels), Total Degrees per 100 FTSE, Critical Field Degrees, At-Risk Degrees, Retention Metrics of 30, 60, and 90 hours, and Total Degrees adjusted by Cost Based Weights. Metrics </t>
    </r>
    <r>
      <rPr>
        <b/>
        <sz val="10"/>
        <rFont val="Tahoma"/>
        <family val="2"/>
      </rPr>
      <t>scaled</t>
    </r>
    <r>
      <rPr>
        <sz val="10"/>
        <rFont val="Tahoma"/>
        <family val="2"/>
      </rPr>
      <t xml:space="preserve"> for mathematical comparability, </t>
    </r>
    <r>
      <rPr>
        <b/>
        <sz val="10"/>
        <rFont val="Tahoma"/>
        <family val="2"/>
      </rPr>
      <t>weighted</t>
    </r>
    <r>
      <rPr>
        <sz val="10"/>
        <rFont val="Tahoma"/>
        <family val="2"/>
      </rPr>
      <t xml:space="preserve"> by </t>
    </r>
    <r>
      <rPr>
        <b/>
        <sz val="10"/>
        <rFont val="Tahoma"/>
        <family val="2"/>
      </rPr>
      <t>accountability group</t>
    </r>
    <r>
      <rPr>
        <sz val="10"/>
        <rFont val="Tahoma"/>
        <family val="2"/>
      </rPr>
      <t xml:space="preserve">, and </t>
    </r>
    <r>
      <rPr>
        <b/>
        <sz val="10"/>
        <rFont val="Tahoma"/>
        <family val="2"/>
      </rPr>
      <t>monetized</t>
    </r>
    <r>
      <rPr>
        <sz val="10"/>
        <rFont val="Tahoma"/>
        <family val="2"/>
      </rPr>
      <t xml:space="preserve"> using SREB salaries by Carnegie classifications. Funded at 10 percent of undergraduate formula funding.</t>
    </r>
  </si>
  <si>
    <r>
      <t xml:space="preserve">Option 6 - Outcomes Based Funding (FY 2010 - FY 2012 Averaged) </t>
    </r>
    <r>
      <rPr>
        <sz val="10"/>
        <rFont val="Tahoma"/>
        <family val="2"/>
      </rPr>
      <t xml:space="preserve">with Total Degrees adjusted by Six-Year Graduation Rate (3-Year Rate for Upper-Levels), Total Degrees per 100 FTSE, Critical Field Degrees, At-Risk Degrees, Retention Metrics of 30, 60, and 90 hours, and Total Degrees adjusted by Cost Based Weights. Metrics </t>
    </r>
    <r>
      <rPr>
        <b/>
        <sz val="10"/>
        <rFont val="Tahoma"/>
        <family val="2"/>
      </rPr>
      <t>scaled</t>
    </r>
    <r>
      <rPr>
        <sz val="10"/>
        <rFont val="Tahoma"/>
        <family val="2"/>
      </rPr>
      <t xml:space="preserve"> for mathematical comparability and </t>
    </r>
    <r>
      <rPr>
        <b/>
        <sz val="10"/>
        <rFont val="Tahoma"/>
        <family val="2"/>
      </rPr>
      <t>weighted</t>
    </r>
    <r>
      <rPr>
        <sz val="10"/>
        <rFont val="Tahoma"/>
        <family val="2"/>
      </rPr>
      <t xml:space="preserve"> by </t>
    </r>
    <r>
      <rPr>
        <b/>
        <sz val="10"/>
        <rFont val="Tahoma"/>
        <family val="2"/>
      </rPr>
      <t>accountability group</t>
    </r>
    <r>
      <rPr>
        <sz val="10"/>
        <rFont val="Tahoma"/>
        <family val="2"/>
      </rPr>
      <t>. Funded at 10 percent of undergraduate formula funding.</t>
    </r>
  </si>
  <si>
    <t>Option 6 - Option 2 without Monetization, At-Risk Weight of 1</t>
  </si>
  <si>
    <t>Option 6</t>
  </si>
  <si>
    <t>Option2</t>
  </si>
  <si>
    <t>Option 7</t>
  </si>
  <si>
    <t>Option 8</t>
  </si>
  <si>
    <t>Option 2 - Option 1 Scaled, Weighted, and Monetized by Accountability Group 
Percent of Total</t>
  </si>
  <si>
    <t>Total Average Scaled Points per Institution By Group</t>
  </si>
  <si>
    <t>Rank of Total Average Scaled Points per Institution By Group</t>
  </si>
  <si>
    <t>Weights per Rank</t>
  </si>
  <si>
    <t>Option 7 - Option 6 with Optimal Weights</t>
  </si>
  <si>
    <t>Institution FTIC Cohort</t>
  </si>
  <si>
    <t>Institution FTIC Graduates</t>
  </si>
  <si>
    <t>Institution FTIC Student Cohort Distribution</t>
  </si>
  <si>
    <t>Institution FTIC 6-Year Graduation Rate</t>
  </si>
  <si>
    <t>High SAT - PELL</t>
  </si>
  <si>
    <t>Mid SAT - PELL</t>
  </si>
  <si>
    <t>Low SAT - PELL</t>
  </si>
  <si>
    <t>High SAT - No PELL</t>
  </si>
  <si>
    <t>Mid SAT - No PELL</t>
  </si>
  <si>
    <t>Low SAT - No PELL</t>
  </si>
  <si>
    <t>Student Characteristic Adjusted Graduates</t>
  </si>
  <si>
    <t>Transfer Graduates</t>
  </si>
  <si>
    <r>
      <t xml:space="preserve">Option 7 - Outcomes Based Funding (FY 2010 - FY 2012 Averaged) </t>
    </r>
    <r>
      <rPr>
        <sz val="10"/>
        <rFont val="Tahoma"/>
        <family val="2"/>
      </rPr>
      <t xml:space="preserve">with Total Degrees adjusted by Six-Year Graduation Rate (3-Year Rate for Upper-Levels), Total Degrees per 100 FTSE, Critical Field Degrees, At-Risk Degrees, Retention Metrics of 30, 60, and 90 hours, and Total Degrees adjusted by Cost Based Weights. Metrics </t>
    </r>
    <r>
      <rPr>
        <b/>
        <sz val="10"/>
        <rFont val="Tahoma"/>
        <family val="2"/>
      </rPr>
      <t>evenly</t>
    </r>
    <r>
      <rPr>
        <sz val="10"/>
        <rFont val="Tahoma"/>
        <family val="2"/>
      </rPr>
      <t xml:space="preserve"> </t>
    </r>
    <r>
      <rPr>
        <b/>
        <sz val="10"/>
        <rFont val="Tahoma"/>
        <family val="2"/>
      </rPr>
      <t>scaled</t>
    </r>
    <r>
      <rPr>
        <sz val="10"/>
        <rFont val="Tahoma"/>
        <family val="2"/>
      </rPr>
      <t xml:space="preserve"> for mathematical comparability and </t>
    </r>
    <r>
      <rPr>
        <b/>
        <sz val="10"/>
        <rFont val="Tahoma"/>
        <family val="2"/>
      </rPr>
      <t>weighted</t>
    </r>
    <r>
      <rPr>
        <sz val="10"/>
        <rFont val="Tahoma"/>
        <family val="2"/>
      </rPr>
      <t xml:space="preserve"> by </t>
    </r>
    <r>
      <rPr>
        <b/>
        <sz val="10"/>
        <rFont val="Tahoma"/>
        <family val="2"/>
      </rPr>
      <t xml:space="preserve">accountability group - </t>
    </r>
    <r>
      <rPr>
        <b/>
        <u/>
        <sz val="10"/>
        <rFont val="Tahoma"/>
        <family val="2"/>
      </rPr>
      <t>Optimized</t>
    </r>
    <r>
      <rPr>
        <sz val="10"/>
        <rFont val="Tahoma"/>
        <family val="2"/>
      </rPr>
      <t>. Funded at 10 percent of undergraduate formula funding.</t>
    </r>
  </si>
  <si>
    <t>Option 9</t>
  </si>
  <si>
    <t>High GPA - PELL</t>
  </si>
  <si>
    <t>Mid GPA - PELL</t>
  </si>
  <si>
    <t>Low GPA - PELL</t>
  </si>
  <si>
    <t>High GPA - No PELL</t>
  </si>
  <si>
    <t>Mid GPA - No PELL</t>
  </si>
  <si>
    <t>Low GPA - No PELL</t>
  </si>
  <si>
    <r>
      <t xml:space="preserve">Option 8 - Outcomes Based Funding (FY 2010 - FY 2012 Averaged) </t>
    </r>
    <r>
      <rPr>
        <sz val="10"/>
        <rFont val="Tahoma"/>
        <family val="2"/>
      </rPr>
      <t xml:space="preserve">with Total Degrees adjusted by Six-Year Graduation Rate (3-Year Rate for Upper-Levels), Total Degrees per 100 FTSE, Critical Field Degrees, At-Risk Degrees, </t>
    </r>
    <r>
      <rPr>
        <b/>
        <sz val="10"/>
        <rFont val="Tahoma"/>
        <family val="2"/>
      </rPr>
      <t xml:space="preserve">Student Characteristic Adjusted Graduates, </t>
    </r>
    <r>
      <rPr>
        <sz val="10"/>
        <rFont val="Tahoma"/>
        <family val="2"/>
      </rPr>
      <t xml:space="preserve">Retention Metrics of 30, 60, and 90 hours, and Total Degrees adjusted by Cost Based Weights. Metrics </t>
    </r>
    <r>
      <rPr>
        <b/>
        <sz val="10"/>
        <rFont val="Tahoma"/>
        <family val="2"/>
      </rPr>
      <t>evenly</t>
    </r>
    <r>
      <rPr>
        <sz val="10"/>
        <rFont val="Tahoma"/>
        <family val="2"/>
      </rPr>
      <t xml:space="preserve"> </t>
    </r>
    <r>
      <rPr>
        <b/>
        <sz val="10"/>
        <rFont val="Tahoma"/>
        <family val="2"/>
      </rPr>
      <t>scaled</t>
    </r>
    <r>
      <rPr>
        <sz val="10"/>
        <rFont val="Tahoma"/>
        <family val="2"/>
      </rPr>
      <t xml:space="preserve"> for mathematical comparability and </t>
    </r>
    <r>
      <rPr>
        <b/>
        <sz val="10"/>
        <rFont val="Tahoma"/>
        <family val="2"/>
      </rPr>
      <t>weighted</t>
    </r>
    <r>
      <rPr>
        <sz val="10"/>
        <rFont val="Tahoma"/>
        <family val="2"/>
      </rPr>
      <t xml:space="preserve"> by </t>
    </r>
    <r>
      <rPr>
        <b/>
        <sz val="10"/>
        <rFont val="Tahoma"/>
        <family val="2"/>
      </rPr>
      <t xml:space="preserve">accountability group - </t>
    </r>
    <r>
      <rPr>
        <b/>
        <u/>
        <sz val="10"/>
        <rFont val="Tahoma"/>
        <family val="2"/>
      </rPr>
      <t>Optimized</t>
    </r>
    <r>
      <rPr>
        <sz val="10"/>
        <rFont val="Tahoma"/>
        <family val="2"/>
      </rPr>
      <t>. Funded at 10 percent of undergraduate formula funding.</t>
    </r>
  </si>
  <si>
    <r>
      <t xml:space="preserve">Option 9 - Outcomes Based Funding (FY 2010 - FY 2012 Averaged) </t>
    </r>
    <r>
      <rPr>
        <sz val="10"/>
        <rFont val="Tahoma"/>
        <family val="2"/>
      </rPr>
      <t xml:space="preserve">with Total Degrees adjusted by Six-Year Graduation Rate (3-Year Rate for Upper-Levels), Total Degrees per 100 FTSE, Critical Field Degrees, At-Risk Degrees, </t>
    </r>
    <r>
      <rPr>
        <b/>
        <sz val="10"/>
        <rFont val="Tahoma"/>
        <family val="2"/>
      </rPr>
      <t xml:space="preserve">Transfer Degrees, </t>
    </r>
    <r>
      <rPr>
        <sz val="10"/>
        <rFont val="Tahoma"/>
        <family val="2"/>
      </rPr>
      <t xml:space="preserve">Retention Metrics of 30, 60, and 90 hours, and Total Degrees adjusted by Cost Based Weights. Metrics </t>
    </r>
    <r>
      <rPr>
        <b/>
        <sz val="10"/>
        <rFont val="Tahoma"/>
        <family val="2"/>
      </rPr>
      <t>evenly</t>
    </r>
    <r>
      <rPr>
        <sz val="10"/>
        <rFont val="Tahoma"/>
        <family val="2"/>
      </rPr>
      <t xml:space="preserve"> </t>
    </r>
    <r>
      <rPr>
        <b/>
        <sz val="10"/>
        <rFont val="Tahoma"/>
        <family val="2"/>
      </rPr>
      <t>scaled</t>
    </r>
    <r>
      <rPr>
        <sz val="10"/>
        <rFont val="Tahoma"/>
        <family val="2"/>
      </rPr>
      <t xml:space="preserve"> for mathematical comparability and </t>
    </r>
    <r>
      <rPr>
        <b/>
        <sz val="10"/>
        <rFont val="Tahoma"/>
        <family val="2"/>
      </rPr>
      <t>weighted</t>
    </r>
    <r>
      <rPr>
        <sz val="10"/>
        <rFont val="Tahoma"/>
        <family val="2"/>
      </rPr>
      <t xml:space="preserve"> by </t>
    </r>
    <r>
      <rPr>
        <b/>
        <sz val="10"/>
        <rFont val="Tahoma"/>
        <family val="2"/>
      </rPr>
      <t xml:space="preserve">accountability group - </t>
    </r>
    <r>
      <rPr>
        <b/>
        <u/>
        <sz val="10"/>
        <rFont val="Tahoma"/>
        <family val="2"/>
      </rPr>
      <t>Optimized</t>
    </r>
    <r>
      <rPr>
        <sz val="10"/>
        <rFont val="Tahoma"/>
        <family val="2"/>
      </rPr>
      <t>. Funded at 10 percent of undergraduate formula funding.</t>
    </r>
  </si>
  <si>
    <t>Option 8 - Option 7 with Student Characteristic Adjusted (SAT or GPA)</t>
  </si>
  <si>
    <t>Option 9 - Option 7 with Transfer Grads</t>
  </si>
  <si>
    <t>Actual Graduation Rate</t>
  </si>
  <si>
    <t>Adjusted Graduation Rate</t>
  </si>
  <si>
    <t>Adjusted Graduates</t>
  </si>
  <si>
    <t>Percent</t>
  </si>
  <si>
    <t>Option 1 - As proposed for 2014-2015</t>
  </si>
  <si>
    <t>Difference From 
Option 1</t>
  </si>
  <si>
    <t xml:space="preserve">Option 2 - Option 1 Scaled, Weighted, and Monetized by Accountability Group </t>
  </si>
  <si>
    <t>Threshold</t>
  </si>
  <si>
    <t>Phase-In Set-Asides</t>
  </si>
  <si>
    <t>Funding After Set-Asides</t>
  </si>
  <si>
    <t>Phase-In Adjustment</t>
  </si>
  <si>
    <t>Option 10</t>
  </si>
  <si>
    <t>Option 10 - Option 7 with Modified Scaling</t>
  </si>
  <si>
    <t>Option 10 - Option 7 with Modified Weights</t>
  </si>
  <si>
    <r>
      <t xml:space="preserve">Option 10 - Outcomes Based Funding (FY 2010 - FY 2012 Averaged) </t>
    </r>
    <r>
      <rPr>
        <sz val="10"/>
        <rFont val="Tahoma"/>
        <family val="2"/>
      </rPr>
      <t xml:space="preserve">with Total Degrees adjusted by Six-Year Graduation Rate (3-Year Rate for Upper-Levels), Total Degrees per 100 FTSE, Critical Field Degrees, At-Risk Degrees, Retention Metrics of 30, 60, and 90 hours, and Total Degrees adjusted by Cost Based Weights. Metrics </t>
    </r>
    <r>
      <rPr>
        <b/>
        <sz val="10"/>
        <rFont val="Tahoma"/>
        <family val="2"/>
      </rPr>
      <t>re-</t>
    </r>
    <r>
      <rPr>
        <b/>
        <sz val="10"/>
        <rFont val="Tahoma"/>
        <family val="2"/>
      </rPr>
      <t>scaled</t>
    </r>
    <r>
      <rPr>
        <sz val="10"/>
        <rFont val="Tahoma"/>
        <family val="2"/>
      </rPr>
      <t xml:space="preserve"> for mathematical comparability and </t>
    </r>
    <r>
      <rPr>
        <b/>
        <sz val="10"/>
        <rFont val="Tahoma"/>
        <family val="2"/>
      </rPr>
      <t>weighted</t>
    </r>
    <r>
      <rPr>
        <sz val="10"/>
        <rFont val="Tahoma"/>
        <family val="2"/>
      </rPr>
      <t xml:space="preserve"> by </t>
    </r>
    <r>
      <rPr>
        <b/>
        <sz val="10"/>
        <rFont val="Tahoma"/>
        <family val="2"/>
      </rPr>
      <t xml:space="preserve">accountability group - </t>
    </r>
    <r>
      <rPr>
        <b/>
        <u/>
        <sz val="10"/>
        <rFont val="Tahoma"/>
        <family val="2"/>
      </rPr>
      <t>Optimized</t>
    </r>
    <r>
      <rPr>
        <sz val="10"/>
        <rFont val="Tahoma"/>
        <family val="2"/>
      </rPr>
      <t>. Funded at 10 percent of undergraduate formula funding.</t>
    </r>
  </si>
  <si>
    <t>Outcomes-Based Funding Comparisons to Option 1 - With Phase-In</t>
  </si>
  <si>
    <t>Outcomes-Based Funding Comparisons to Instruction and Operations Distribution - With Phase-In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</si>
</sst>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00000"/>
    <numFmt numFmtId="166" formatCode="_(&quot;$&quot;* #,##0_);_(&quot;$&quot;* \(#,##0\);_(&quot;$&quot;* &quot;-&quot;??_);_(@_)"/>
    <numFmt numFmtId="167" formatCode="0.0%"/>
    <numFmt numFmtId="168" formatCode="_(&quot;$&quot;* #,##0.0_);_(&quot;$&quot;* \(#,##0.0\);_(&quot;$&quot;* &quot;-&quot;??_);_(@_)"/>
    <numFmt numFmtId="169" formatCode="_(* #,##0.0_);_(* \(#,##0.0\);_(* &quot;-&quot;??_);_(@_)"/>
  </numFmts>
  <fonts count="14" x14ac:knownFonts="1"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  <font>
      <sz val="10"/>
      <name val="System"/>
      <family val="2"/>
    </font>
    <font>
      <sz val="10"/>
      <name val="Tahoma"/>
      <family val="2"/>
    </font>
    <font>
      <i/>
      <sz val="10"/>
      <name val="System"/>
      <family val="2"/>
    </font>
    <font>
      <b/>
      <sz val="10"/>
      <name val="Tahoma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2"/>
      <name val="Arial"/>
      <family val="2"/>
    </font>
    <font>
      <sz val="10"/>
      <color theme="1"/>
      <name val="Tahoma"/>
      <family val="2"/>
    </font>
    <font>
      <b/>
      <u/>
      <sz val="1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indexed="64"/>
      </bottom>
      <diagonal/>
    </border>
    <border>
      <left style="medium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 style="medium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 style="medium">
        <color theme="0"/>
      </right>
      <top style="medium">
        <color indexed="64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/>
      <top/>
      <bottom style="medium">
        <color indexed="64"/>
      </bottom>
      <diagonal/>
    </border>
    <border>
      <left/>
      <right style="medium">
        <color theme="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theme="0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61">
    <xf numFmtId="0" fontId="0" fillId="0" borderId="0"/>
    <xf numFmtId="9" fontId="7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3" fontId="7" fillId="0" borderId="0"/>
    <xf numFmtId="3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10" fillId="0" borderId="0"/>
    <xf numFmtId="0" fontId="7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344">
    <xf numFmtId="0" fontId="0" fillId="0" borderId="0" xfId="0"/>
    <xf numFmtId="0" fontId="4" fillId="0" borderId="0" xfId="2" applyFont="1"/>
    <xf numFmtId="0" fontId="4" fillId="0" borderId="0" xfId="2" applyNumberFormat="1" applyFont="1"/>
    <xf numFmtId="164" fontId="4" fillId="0" borderId="1" xfId="2" applyNumberFormat="1" applyFont="1" applyBorder="1"/>
    <xf numFmtId="164" fontId="4" fillId="0" borderId="2" xfId="2" applyNumberFormat="1" applyFont="1" applyBorder="1"/>
    <xf numFmtId="164" fontId="4" fillId="0" borderId="3" xfId="2" applyNumberFormat="1" applyFont="1" applyBorder="1"/>
    <xf numFmtId="164" fontId="4" fillId="0" borderId="4" xfId="2" applyNumberFormat="1" applyFont="1" applyBorder="1"/>
    <xf numFmtId="164" fontId="4" fillId="0" borderId="2" xfId="3" applyNumberFormat="1" applyFont="1" applyBorder="1"/>
    <xf numFmtId="9" fontId="4" fillId="0" borderId="2" xfId="4" applyFont="1" applyBorder="1"/>
    <xf numFmtId="164" fontId="4" fillId="0" borderId="3" xfId="3" applyNumberFormat="1" applyFont="1" applyBorder="1"/>
    <xf numFmtId="164" fontId="4" fillId="0" borderId="5" xfId="2" applyNumberFormat="1" applyFont="1" applyBorder="1" applyAlignment="1">
      <alignment horizontal="right"/>
    </xf>
    <xf numFmtId="0" fontId="4" fillId="0" borderId="1" xfId="2" applyFont="1" applyBorder="1" applyAlignment="1">
      <alignment horizontal="right"/>
    </xf>
    <xf numFmtId="0" fontId="4" fillId="0" borderId="3" xfId="2" applyFont="1" applyBorder="1"/>
    <xf numFmtId="164" fontId="4" fillId="0" borderId="6" xfId="3" applyNumberFormat="1" applyFont="1" applyBorder="1"/>
    <xf numFmtId="164" fontId="4" fillId="0" borderId="7" xfId="3" applyNumberFormat="1" applyFont="1" applyBorder="1"/>
    <xf numFmtId="164" fontId="4" fillId="0" borderId="8" xfId="3" applyNumberFormat="1" applyFont="1" applyBorder="1"/>
    <xf numFmtId="164" fontId="4" fillId="0" borderId="9" xfId="3" applyNumberFormat="1" applyFont="1" applyBorder="1"/>
    <xf numFmtId="9" fontId="6" fillId="0" borderId="7" xfId="4" applyFont="1" applyBorder="1"/>
    <xf numFmtId="164" fontId="4" fillId="0" borderId="10" xfId="2" applyNumberFormat="1" applyFont="1" applyBorder="1"/>
    <xf numFmtId="0" fontId="4" fillId="0" borderId="6" xfId="2" applyFont="1" applyBorder="1"/>
    <xf numFmtId="165" fontId="4" fillId="0" borderId="8" xfId="2" applyNumberFormat="1" applyFont="1" applyBorder="1"/>
    <xf numFmtId="9" fontId="4" fillId="0" borderId="7" xfId="4" applyFont="1" applyBorder="1"/>
    <xf numFmtId="164" fontId="4" fillId="2" borderId="6" xfId="3" applyNumberFormat="1" applyFont="1" applyFill="1" applyBorder="1"/>
    <xf numFmtId="164" fontId="4" fillId="2" borderId="7" xfId="3" applyNumberFormat="1" applyFont="1" applyFill="1" applyBorder="1"/>
    <xf numFmtId="164" fontId="4" fillId="2" borderId="8" xfId="3" applyNumberFormat="1" applyFont="1" applyFill="1" applyBorder="1"/>
    <xf numFmtId="164" fontId="4" fillId="2" borderId="9" xfId="3" applyNumberFormat="1" applyFont="1" applyFill="1" applyBorder="1"/>
    <xf numFmtId="9" fontId="4" fillId="2" borderId="7" xfId="4" applyFont="1" applyFill="1" applyBorder="1"/>
    <xf numFmtId="165" fontId="4" fillId="0" borderId="8" xfId="2" quotePrefix="1" applyNumberFormat="1" applyFont="1" applyBorder="1"/>
    <xf numFmtId="164" fontId="4" fillId="0" borderId="6" xfId="3" applyNumberFormat="1" applyFont="1" applyFill="1" applyBorder="1"/>
    <xf numFmtId="164" fontId="4" fillId="0" borderId="7" xfId="3" applyNumberFormat="1" applyFont="1" applyFill="1" applyBorder="1"/>
    <xf numFmtId="164" fontId="4" fillId="0" borderId="8" xfId="3" applyNumberFormat="1" applyFont="1" applyFill="1" applyBorder="1"/>
    <xf numFmtId="164" fontId="4" fillId="0" borderId="11" xfId="3" applyNumberFormat="1" applyFont="1" applyBorder="1"/>
    <xf numFmtId="164" fontId="4" fillId="0" borderId="12" xfId="3" applyNumberFormat="1" applyFont="1" applyBorder="1"/>
    <xf numFmtId="164" fontId="4" fillId="0" borderId="13" xfId="3" applyNumberFormat="1" applyFont="1" applyBorder="1"/>
    <xf numFmtId="164" fontId="4" fillId="0" borderId="14" xfId="3" applyNumberFormat="1" applyFont="1" applyBorder="1"/>
    <xf numFmtId="164" fontId="4" fillId="0" borderId="15" xfId="3" applyNumberFormat="1" applyFont="1" applyBorder="1"/>
    <xf numFmtId="164" fontId="4" fillId="0" borderId="16" xfId="3" applyNumberFormat="1" applyFont="1" applyBorder="1"/>
    <xf numFmtId="9" fontId="4" fillId="0" borderId="12" xfId="4" applyFont="1" applyBorder="1"/>
    <xf numFmtId="164" fontId="4" fillId="0" borderId="17" xfId="2" applyNumberFormat="1" applyFont="1" applyBorder="1"/>
    <xf numFmtId="0" fontId="4" fillId="0" borderId="15" xfId="2" applyFont="1" applyBorder="1"/>
    <xf numFmtId="165" fontId="4" fillId="0" borderId="16" xfId="2" applyNumberFormat="1" applyFont="1" applyBorder="1"/>
    <xf numFmtId="0" fontId="4" fillId="0" borderId="0" xfId="2" applyFont="1" applyAlignment="1">
      <alignment horizontal="center"/>
    </xf>
    <xf numFmtId="164" fontId="2" fillId="3" borderId="18" xfId="3" applyNumberFormat="1" applyFont="1" applyFill="1" applyBorder="1" applyAlignment="1">
      <alignment horizontal="center" wrapText="1"/>
    </xf>
    <xf numFmtId="164" fontId="2" fillId="3" borderId="19" xfId="3" applyNumberFormat="1" applyFont="1" applyFill="1" applyBorder="1" applyAlignment="1">
      <alignment horizontal="center" wrapText="1"/>
    </xf>
    <xf numFmtId="164" fontId="2" fillId="3" borderId="20" xfId="3" applyNumberFormat="1" applyFont="1" applyFill="1" applyBorder="1" applyAlignment="1">
      <alignment horizontal="center" wrapText="1"/>
    </xf>
    <xf numFmtId="0" fontId="6" fillId="0" borderId="0" xfId="2" applyFont="1"/>
    <xf numFmtId="164" fontId="4" fillId="0" borderId="9" xfId="3" applyNumberFormat="1" applyFont="1" applyFill="1" applyBorder="1"/>
    <xf numFmtId="9" fontId="4" fillId="0" borderId="7" xfId="4" applyFont="1" applyFill="1" applyBorder="1"/>
    <xf numFmtId="164" fontId="4" fillId="4" borderId="6" xfId="3" applyNumberFormat="1" applyFont="1" applyFill="1" applyBorder="1"/>
    <xf numFmtId="164" fontId="4" fillId="4" borderId="7" xfId="3" applyNumberFormat="1" applyFont="1" applyFill="1" applyBorder="1"/>
    <xf numFmtId="164" fontId="4" fillId="4" borderId="8" xfId="3" applyNumberFormat="1" applyFont="1" applyFill="1" applyBorder="1"/>
    <xf numFmtId="164" fontId="4" fillId="0" borderId="11" xfId="3" applyNumberFormat="1" applyFont="1" applyFill="1" applyBorder="1"/>
    <xf numFmtId="164" fontId="4" fillId="0" borderId="12" xfId="3" applyNumberFormat="1" applyFont="1" applyFill="1" applyBorder="1"/>
    <xf numFmtId="164" fontId="4" fillId="0" borderId="13" xfId="3" applyNumberFormat="1" applyFont="1" applyFill="1" applyBorder="1"/>
    <xf numFmtId="3" fontId="6" fillId="0" borderId="0" xfId="2" applyNumberFormat="1" applyFont="1"/>
    <xf numFmtId="9" fontId="4" fillId="0" borderId="0" xfId="1" applyFont="1"/>
    <xf numFmtId="0" fontId="1" fillId="0" borderId="0" xfId="2" applyFont="1" applyBorder="1" applyAlignment="1">
      <alignment horizontal="center" vertical="center"/>
    </xf>
    <xf numFmtId="164" fontId="4" fillId="0" borderId="39" xfId="2" applyNumberFormat="1" applyFont="1" applyBorder="1" applyAlignment="1">
      <alignment horizontal="right"/>
    </xf>
    <xf numFmtId="164" fontId="4" fillId="0" borderId="40" xfId="2" applyNumberFormat="1" applyFont="1" applyBorder="1"/>
    <xf numFmtId="164" fontId="4" fillId="0" borderId="41" xfId="3" applyNumberFormat="1" applyFont="1" applyBorder="1"/>
    <xf numFmtId="0" fontId="6" fillId="0" borderId="11" xfId="3" applyNumberFormat="1" applyFont="1" applyBorder="1" applyAlignment="1">
      <alignment horizontal="center"/>
    </xf>
    <xf numFmtId="0" fontId="6" fillId="0" borderId="12" xfId="3" applyNumberFormat="1" applyFont="1" applyBorder="1" applyAlignment="1">
      <alignment horizontal="center"/>
    </xf>
    <xf numFmtId="0" fontId="6" fillId="0" borderId="13" xfId="3" applyNumberFormat="1" applyFont="1" applyBorder="1" applyAlignment="1">
      <alignment horizontal="center"/>
    </xf>
    <xf numFmtId="0" fontId="6" fillId="0" borderId="42" xfId="3" applyNumberFormat="1" applyFont="1" applyBorder="1" applyAlignment="1">
      <alignment horizontal="center"/>
    </xf>
    <xf numFmtId="0" fontId="6" fillId="0" borderId="15" xfId="3" applyNumberFormat="1" applyFont="1" applyBorder="1" applyAlignment="1">
      <alignment horizontal="center"/>
    </xf>
    <xf numFmtId="0" fontId="6" fillId="0" borderId="16" xfId="3" applyNumberFormat="1" applyFont="1" applyBorder="1" applyAlignment="1">
      <alignment horizontal="center"/>
    </xf>
    <xf numFmtId="164" fontId="2" fillId="3" borderId="22" xfId="3" applyNumberFormat="1" applyFont="1" applyFill="1" applyBorder="1" applyAlignment="1">
      <alignment horizontal="center" wrapText="1"/>
    </xf>
    <xf numFmtId="0" fontId="2" fillId="3" borderId="19" xfId="2" applyFont="1" applyFill="1" applyBorder="1" applyAlignment="1">
      <alignment horizontal="center" wrapText="1"/>
    </xf>
    <xf numFmtId="0" fontId="2" fillId="3" borderId="45" xfId="2" applyFont="1" applyFill="1" applyBorder="1" applyAlignment="1">
      <alignment wrapText="1"/>
    </xf>
    <xf numFmtId="0" fontId="6" fillId="0" borderId="0" xfId="2" applyFont="1" applyAlignment="1"/>
    <xf numFmtId="166" fontId="4" fillId="0" borderId="0" xfId="5" applyNumberFormat="1" applyFont="1" applyBorder="1"/>
    <xf numFmtId="0" fontId="4" fillId="0" borderId="0" xfId="2" applyFont="1" applyAlignment="1">
      <alignment horizontal="left"/>
    </xf>
    <xf numFmtId="0" fontId="4" fillId="0" borderId="0" xfId="2" applyFont="1" applyBorder="1"/>
    <xf numFmtId="166" fontId="4" fillId="0" borderId="1" xfId="5" applyNumberFormat="1" applyFont="1" applyBorder="1"/>
    <xf numFmtId="166" fontId="4" fillId="0" borderId="2" xfId="5" applyNumberFormat="1" applyFont="1" applyBorder="1"/>
    <xf numFmtId="166" fontId="4" fillId="0" borderId="3" xfId="5" applyNumberFormat="1" applyFont="1" applyBorder="1"/>
    <xf numFmtId="166" fontId="4" fillId="0" borderId="4" xfId="5" applyNumberFormat="1" applyFont="1" applyBorder="1"/>
    <xf numFmtId="164" fontId="4" fillId="0" borderId="9" xfId="2" applyNumberFormat="1" applyFont="1" applyBorder="1"/>
    <xf numFmtId="0" fontId="4" fillId="0" borderId="8" xfId="2" quotePrefix="1" applyFont="1" applyBorder="1"/>
    <xf numFmtId="166" fontId="4" fillId="0" borderId="15" xfId="5" applyNumberFormat="1" applyFont="1" applyBorder="1"/>
    <xf numFmtId="166" fontId="4" fillId="0" borderId="41" xfId="5" applyNumberFormat="1" applyFont="1" applyBorder="1"/>
    <xf numFmtId="166" fontId="4" fillId="0" borderId="16" xfId="5" applyNumberFormat="1" applyFont="1" applyBorder="1"/>
    <xf numFmtId="166" fontId="4" fillId="0" borderId="14" xfId="5" applyNumberFormat="1" applyFont="1" applyBorder="1"/>
    <xf numFmtId="166" fontId="4" fillId="0" borderId="43" xfId="5" applyNumberFormat="1" applyFont="1" applyBorder="1"/>
    <xf numFmtId="0" fontId="2" fillId="3" borderId="50" xfId="2" applyFont="1" applyFill="1" applyBorder="1" applyAlignment="1">
      <alignment wrapText="1"/>
    </xf>
    <xf numFmtId="0" fontId="4" fillId="0" borderId="50" xfId="2" applyFont="1" applyBorder="1"/>
    <xf numFmtId="0" fontId="6" fillId="0" borderId="50" xfId="2" applyFont="1" applyBorder="1"/>
    <xf numFmtId="0" fontId="4" fillId="0" borderId="8" xfId="3" applyNumberFormat="1" applyFont="1" applyBorder="1" applyAlignment="1">
      <alignment horizontal="center"/>
    </xf>
    <xf numFmtId="0" fontId="4" fillId="0" borderId="13" xfId="5" applyNumberFormat="1" applyFont="1" applyFill="1" applyBorder="1" applyAlignment="1">
      <alignment horizontal="center"/>
    </xf>
    <xf numFmtId="0" fontId="4" fillId="0" borderId="8" xfId="3" applyNumberFormat="1" applyFont="1" applyFill="1" applyBorder="1" applyAlignment="1">
      <alignment horizontal="center"/>
    </xf>
    <xf numFmtId="167" fontId="4" fillId="0" borderId="40" xfId="1" applyNumberFormat="1" applyFont="1" applyBorder="1"/>
    <xf numFmtId="167" fontId="4" fillId="0" borderId="8" xfId="1" applyNumberFormat="1" applyFont="1" applyBorder="1"/>
    <xf numFmtId="167" fontId="4" fillId="0" borderId="7" xfId="1" applyNumberFormat="1" applyFont="1" applyBorder="1"/>
    <xf numFmtId="167" fontId="4" fillId="0" borderId="6" xfId="1" applyNumberFormat="1" applyFont="1" applyBorder="1"/>
    <xf numFmtId="167" fontId="4" fillId="0" borderId="16" xfId="1" applyNumberFormat="1" applyFont="1" applyBorder="1"/>
    <xf numFmtId="167" fontId="4" fillId="0" borderId="15" xfId="1" applyNumberFormat="1" applyFont="1" applyBorder="1"/>
    <xf numFmtId="167" fontId="4" fillId="0" borderId="14" xfId="1" applyNumberFormat="1" applyFont="1" applyBorder="1"/>
    <xf numFmtId="167" fontId="4" fillId="0" borderId="41" xfId="1" applyNumberFormat="1" applyFont="1" applyBorder="1"/>
    <xf numFmtId="167" fontId="4" fillId="0" borderId="9" xfId="1" applyNumberFormat="1" applyFont="1" applyBorder="1"/>
    <xf numFmtId="0" fontId="4" fillId="0" borderId="13" xfId="5" applyNumberFormat="1" applyFont="1" applyBorder="1" applyAlignment="1">
      <alignment horizontal="center"/>
    </xf>
    <xf numFmtId="166" fontId="4" fillId="0" borderId="11" xfId="5" applyNumberFormat="1" applyFont="1" applyBorder="1"/>
    <xf numFmtId="0" fontId="4" fillId="0" borderId="53" xfId="2" applyFont="1" applyBorder="1"/>
    <xf numFmtId="0" fontId="4" fillId="0" borderId="59" xfId="2" applyFont="1" applyBorder="1"/>
    <xf numFmtId="166" fontId="4" fillId="0" borderId="13" xfId="5" applyNumberFormat="1" applyFont="1" applyBorder="1"/>
    <xf numFmtId="10" fontId="4" fillId="5" borderId="49" xfId="4" applyNumberFormat="1" applyFont="1" applyFill="1" applyBorder="1"/>
    <xf numFmtId="0" fontId="2" fillId="6" borderId="12" xfId="2" applyFont="1" applyFill="1" applyBorder="1" applyAlignment="1">
      <alignment horizontal="center" wrapText="1"/>
    </xf>
    <xf numFmtId="10" fontId="4" fillId="0" borderId="7" xfId="2" applyNumberFormat="1" applyFont="1" applyBorder="1"/>
    <xf numFmtId="10" fontId="4" fillId="0" borderId="2" xfId="2" applyNumberFormat="1" applyFont="1" applyBorder="1"/>
    <xf numFmtId="0" fontId="2" fillId="6" borderId="13" xfId="2" applyFont="1" applyFill="1" applyBorder="1" applyAlignment="1">
      <alignment horizontal="center" wrapText="1"/>
    </xf>
    <xf numFmtId="167" fontId="4" fillId="0" borderId="3" xfId="1" applyNumberFormat="1" applyFont="1" applyBorder="1"/>
    <xf numFmtId="0" fontId="2" fillId="6" borderId="11" xfId="2" applyFont="1" applyFill="1" applyBorder="1" applyAlignment="1">
      <alignment horizontal="center" wrapText="1"/>
    </xf>
    <xf numFmtId="168" fontId="4" fillId="0" borderId="6" xfId="59" applyNumberFormat="1" applyFont="1" applyBorder="1"/>
    <xf numFmtId="169" fontId="4" fillId="0" borderId="6" xfId="58" applyNumberFormat="1" applyFont="1" applyBorder="1"/>
    <xf numFmtId="169" fontId="4" fillId="0" borderId="1" xfId="58" applyNumberFormat="1" applyFont="1" applyBorder="1"/>
    <xf numFmtId="164" fontId="2" fillId="3" borderId="22" xfId="3" applyNumberFormat="1" applyFont="1" applyFill="1" applyBorder="1" applyAlignment="1">
      <alignment horizontal="center" wrapText="1"/>
    </xf>
    <xf numFmtId="164" fontId="2" fillId="3" borderId="22" xfId="3" applyNumberFormat="1" applyFont="1" applyFill="1" applyBorder="1" applyAlignment="1">
      <alignment horizontal="center" wrapText="1"/>
    </xf>
    <xf numFmtId="9" fontId="4" fillId="5" borderId="49" xfId="4" applyFont="1" applyFill="1" applyBorder="1"/>
    <xf numFmtId="166" fontId="4" fillId="0" borderId="4" xfId="5" applyNumberFormat="1" applyFont="1" applyFill="1" applyBorder="1" applyAlignment="1">
      <alignment horizontal="right"/>
    </xf>
    <xf numFmtId="165" fontId="4" fillId="0" borderId="0" xfId="2" applyNumberFormat="1" applyFont="1" applyBorder="1"/>
    <xf numFmtId="167" fontId="4" fillId="0" borderId="0" xfId="1" applyNumberFormat="1" applyFont="1" applyBorder="1"/>
    <xf numFmtId="0" fontId="4" fillId="0" borderId="0" xfId="3" applyNumberFormat="1" applyFont="1" applyFill="1" applyBorder="1" applyAlignment="1">
      <alignment horizontal="center"/>
    </xf>
    <xf numFmtId="165" fontId="6" fillId="0" borderId="0" xfId="2" applyNumberFormat="1" applyFont="1" applyBorder="1"/>
    <xf numFmtId="167" fontId="4" fillId="0" borderId="40" xfId="60" applyNumberFormat="1" applyFont="1" applyBorder="1"/>
    <xf numFmtId="167" fontId="4" fillId="7" borderId="8" xfId="60" applyNumberFormat="1" applyFont="1" applyFill="1" applyBorder="1"/>
    <xf numFmtId="167" fontId="4" fillId="8" borderId="7" xfId="60" applyNumberFormat="1" applyFont="1" applyFill="1" applyBorder="1"/>
    <xf numFmtId="167" fontId="4" fillId="7" borderId="6" xfId="60" applyNumberFormat="1" applyFont="1" applyFill="1" applyBorder="1"/>
    <xf numFmtId="167" fontId="4" fillId="7" borderId="16" xfId="60" applyNumberFormat="1" applyFont="1" applyFill="1" applyBorder="1"/>
    <xf numFmtId="167" fontId="4" fillId="7" borderId="15" xfId="60" applyNumberFormat="1" applyFont="1" applyFill="1" applyBorder="1"/>
    <xf numFmtId="167" fontId="4" fillId="7" borderId="14" xfId="60" applyNumberFormat="1" applyFont="1" applyFill="1" applyBorder="1"/>
    <xf numFmtId="167" fontId="4" fillId="7" borderId="41" xfId="60" applyNumberFormat="1" applyFont="1" applyFill="1" applyBorder="1"/>
    <xf numFmtId="167" fontId="4" fillId="10" borderId="8" xfId="60" applyNumberFormat="1" applyFont="1" applyFill="1" applyBorder="1"/>
    <xf numFmtId="167" fontId="4" fillId="9" borderId="7" xfId="60" applyNumberFormat="1" applyFont="1" applyFill="1" applyBorder="1"/>
    <xf numFmtId="167" fontId="4" fillId="10" borderId="6" xfId="60" applyNumberFormat="1" applyFont="1" applyFill="1" applyBorder="1"/>
    <xf numFmtId="167" fontId="4" fillId="10" borderId="9" xfId="60" applyNumberFormat="1" applyFont="1" applyFill="1" applyBorder="1"/>
    <xf numFmtId="167" fontId="4" fillId="7" borderId="7" xfId="60" applyNumberFormat="1" applyFont="1" applyFill="1" applyBorder="1"/>
    <xf numFmtId="167" fontId="4" fillId="10" borderId="7" xfId="60" applyNumberFormat="1" applyFont="1" applyFill="1" applyBorder="1"/>
    <xf numFmtId="167" fontId="4" fillId="0" borderId="43" xfId="1" applyNumberFormat="1" applyFont="1" applyBorder="1"/>
    <xf numFmtId="0" fontId="2" fillId="6" borderId="38" xfId="2" applyFont="1" applyFill="1" applyBorder="1" applyAlignment="1">
      <alignment horizontal="center" wrapText="1"/>
    </xf>
    <xf numFmtId="0" fontId="2" fillId="6" borderId="34" xfId="2" applyFont="1" applyFill="1" applyBorder="1" applyAlignment="1">
      <alignment horizontal="center" wrapText="1"/>
    </xf>
    <xf numFmtId="0" fontId="2" fillId="6" borderId="60" xfId="2" applyFont="1" applyFill="1" applyBorder="1" applyAlignment="1">
      <alignment horizontal="center" wrapText="1"/>
    </xf>
    <xf numFmtId="0" fontId="2" fillId="0" borderId="0" xfId="2" applyFont="1" applyFill="1" applyBorder="1" applyAlignment="1">
      <alignment horizontal="center" wrapText="1"/>
    </xf>
    <xf numFmtId="167" fontId="4" fillId="0" borderId="0" xfId="1" applyNumberFormat="1" applyFont="1" applyFill="1" applyBorder="1"/>
    <xf numFmtId="167" fontId="4" fillId="0" borderId="61" xfId="1" applyNumberFormat="1" applyFont="1" applyFill="1" applyBorder="1"/>
    <xf numFmtId="166" fontId="4" fillId="0" borderId="61" xfId="5" applyNumberFormat="1" applyFont="1" applyFill="1" applyBorder="1" applyAlignment="1">
      <alignment horizontal="right"/>
    </xf>
    <xf numFmtId="0" fontId="0" fillId="0" borderId="0" xfId="0" applyFill="1" applyBorder="1"/>
    <xf numFmtId="167" fontId="4" fillId="0" borderId="4" xfId="1" applyNumberFormat="1" applyFont="1" applyFill="1" applyBorder="1" applyAlignment="1">
      <alignment horizontal="right"/>
    </xf>
    <xf numFmtId="168" fontId="0" fillId="0" borderId="0" xfId="59" applyNumberFormat="1" applyFont="1"/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6" fillId="0" borderId="0" xfId="2" applyFont="1" applyAlignment="1">
      <alignment vertical="top"/>
    </xf>
    <xf numFmtId="0" fontId="6" fillId="0" borderId="0" xfId="2" applyFont="1" applyFill="1" applyBorder="1" applyAlignment="1">
      <alignment horizontal="left"/>
    </xf>
    <xf numFmtId="167" fontId="4" fillId="0" borderId="0" xfId="1" applyNumberFormat="1" applyFont="1"/>
    <xf numFmtId="164" fontId="2" fillId="3" borderId="22" xfId="3" applyNumberFormat="1" applyFont="1" applyFill="1" applyBorder="1" applyAlignment="1">
      <alignment horizontal="center" wrapText="1"/>
    </xf>
    <xf numFmtId="164" fontId="2" fillId="3" borderId="22" xfId="3" applyNumberFormat="1" applyFont="1" applyFill="1" applyBorder="1" applyAlignment="1">
      <alignment horizontal="center" wrapText="1"/>
    </xf>
    <xf numFmtId="10" fontId="4" fillId="0" borderId="47" xfId="4" applyNumberFormat="1" applyFont="1" applyFill="1" applyBorder="1"/>
    <xf numFmtId="0" fontId="4" fillId="0" borderId="47" xfId="2" applyFont="1" applyFill="1" applyBorder="1" applyAlignment="1">
      <alignment horizontal="left"/>
    </xf>
    <xf numFmtId="167" fontId="4" fillId="0" borderId="0" xfId="60" applyNumberFormat="1" applyFont="1" applyBorder="1"/>
    <xf numFmtId="167" fontId="4" fillId="0" borderId="0" xfId="60" applyNumberFormat="1" applyFont="1" applyFill="1" applyBorder="1"/>
    <xf numFmtId="167" fontId="4" fillId="0" borderId="13" xfId="60" applyNumberFormat="1" applyFont="1" applyFill="1" applyBorder="1"/>
    <xf numFmtId="167" fontId="4" fillId="0" borderId="12" xfId="60" applyNumberFormat="1" applyFont="1" applyFill="1" applyBorder="1"/>
    <xf numFmtId="167" fontId="4" fillId="0" borderId="11" xfId="60" applyNumberFormat="1" applyFont="1" applyFill="1" applyBorder="1"/>
    <xf numFmtId="167" fontId="4" fillId="0" borderId="8" xfId="60" applyNumberFormat="1" applyFont="1" applyFill="1" applyBorder="1"/>
    <xf numFmtId="167" fontId="4" fillId="0" borderId="7" xfId="60" applyNumberFormat="1" applyFont="1" applyFill="1" applyBorder="1"/>
    <xf numFmtId="167" fontId="4" fillId="0" borderId="6" xfId="60" applyNumberFormat="1" applyFont="1" applyFill="1" applyBorder="1"/>
    <xf numFmtId="164" fontId="4" fillId="0" borderId="13" xfId="58" applyNumberFormat="1" applyFont="1" applyFill="1" applyBorder="1"/>
    <xf numFmtId="164" fontId="4" fillId="0" borderId="12" xfId="58" applyNumberFormat="1" applyFont="1" applyFill="1" applyBorder="1"/>
    <xf numFmtId="164" fontId="4" fillId="0" borderId="11" xfId="58" applyNumberFormat="1" applyFont="1" applyFill="1" applyBorder="1"/>
    <xf numFmtId="164" fontId="4" fillId="0" borderId="62" xfId="58" applyNumberFormat="1" applyFont="1" applyFill="1" applyBorder="1"/>
    <xf numFmtId="164" fontId="4" fillId="0" borderId="8" xfId="58" applyNumberFormat="1" applyFont="1" applyFill="1" applyBorder="1"/>
    <xf numFmtId="164" fontId="4" fillId="0" borderId="7" xfId="58" applyNumberFormat="1" applyFont="1" applyFill="1" applyBorder="1"/>
    <xf numFmtId="164" fontId="4" fillId="0" borderId="6" xfId="58" applyNumberFormat="1" applyFont="1" applyFill="1" applyBorder="1"/>
    <xf numFmtId="164" fontId="4" fillId="0" borderId="64" xfId="3" applyNumberFormat="1" applyFont="1" applyBorder="1"/>
    <xf numFmtId="164" fontId="4" fillId="0" borderId="65" xfId="3" applyNumberFormat="1" applyFont="1" applyBorder="1"/>
    <xf numFmtId="164" fontId="4" fillId="0" borderId="66" xfId="2" applyNumberFormat="1" applyFont="1" applyBorder="1"/>
    <xf numFmtId="0" fontId="4" fillId="0" borderId="9" xfId="3" applyNumberFormat="1" applyFont="1" applyFill="1" applyBorder="1" applyAlignment="1">
      <alignment horizontal="center"/>
    </xf>
    <xf numFmtId="9" fontId="4" fillId="0" borderId="5" xfId="1" applyFont="1" applyBorder="1"/>
    <xf numFmtId="0" fontId="4" fillId="0" borderId="14" xfId="5" applyNumberFormat="1" applyFont="1" applyFill="1" applyBorder="1" applyAlignment="1">
      <alignment horizontal="center"/>
    </xf>
    <xf numFmtId="0" fontId="4" fillId="0" borderId="62" xfId="2" applyFont="1" applyBorder="1"/>
    <xf numFmtId="164" fontId="4" fillId="0" borderId="0" xfId="58" applyNumberFormat="1" applyFont="1" applyFill="1" applyBorder="1"/>
    <xf numFmtId="167" fontId="4" fillId="0" borderId="1" xfId="1" applyNumberFormat="1" applyFont="1" applyFill="1" applyBorder="1"/>
    <xf numFmtId="167" fontId="4" fillId="0" borderId="2" xfId="1" applyNumberFormat="1" applyFont="1" applyFill="1" applyBorder="1"/>
    <xf numFmtId="167" fontId="4" fillId="0" borderId="3" xfId="1" applyNumberFormat="1" applyFont="1" applyFill="1" applyBorder="1"/>
    <xf numFmtId="0" fontId="4" fillId="0" borderId="13" xfId="58" applyNumberFormat="1" applyFont="1" applyFill="1" applyBorder="1" applyAlignment="1">
      <alignment horizontal="center"/>
    </xf>
    <xf numFmtId="0" fontId="4" fillId="0" borderId="12" xfId="58" applyNumberFormat="1" applyFont="1" applyFill="1" applyBorder="1" applyAlignment="1">
      <alignment horizontal="center"/>
    </xf>
    <xf numFmtId="0" fontId="4" fillId="0" borderId="11" xfId="58" applyNumberFormat="1" applyFont="1" applyFill="1" applyBorder="1" applyAlignment="1">
      <alignment horizontal="center"/>
    </xf>
    <xf numFmtId="9" fontId="4" fillId="0" borderId="7" xfId="1" applyFont="1" applyBorder="1"/>
    <xf numFmtId="3" fontId="0" fillId="0" borderId="0" xfId="0" applyNumberFormat="1"/>
    <xf numFmtId="167" fontId="0" fillId="0" borderId="0" xfId="0" applyNumberFormat="1"/>
    <xf numFmtId="164" fontId="4" fillId="0" borderId="7" xfId="58" applyNumberFormat="1" applyFont="1" applyBorder="1"/>
    <xf numFmtId="9" fontId="4" fillId="2" borderId="7" xfId="1" applyFont="1" applyFill="1" applyBorder="1"/>
    <xf numFmtId="164" fontId="4" fillId="2" borderId="7" xfId="58" applyNumberFormat="1" applyFont="1" applyFill="1" applyBorder="1"/>
    <xf numFmtId="0" fontId="2" fillId="6" borderId="7" xfId="2" applyFont="1" applyFill="1" applyBorder="1" applyAlignment="1">
      <alignment horizontal="center" wrapText="1"/>
    </xf>
    <xf numFmtId="0" fontId="2" fillId="6" borderId="8" xfId="2" applyFont="1" applyFill="1" applyBorder="1" applyAlignment="1">
      <alignment horizontal="center" wrapText="1"/>
    </xf>
    <xf numFmtId="0" fontId="2" fillId="6" borderId="6" xfId="2" applyFont="1" applyFill="1" applyBorder="1" applyAlignment="1">
      <alignment horizontal="center" wrapText="1"/>
    </xf>
    <xf numFmtId="164" fontId="4" fillId="2" borderId="8" xfId="58" applyNumberFormat="1" applyFont="1" applyFill="1" applyBorder="1"/>
    <xf numFmtId="164" fontId="4" fillId="2" borderId="6" xfId="58" applyNumberFormat="1" applyFont="1" applyFill="1" applyBorder="1"/>
    <xf numFmtId="164" fontId="4" fillId="2" borderId="3" xfId="58" applyNumberFormat="1" applyFont="1" applyFill="1" applyBorder="1"/>
    <xf numFmtId="164" fontId="4" fillId="2" borderId="2" xfId="58" applyNumberFormat="1" applyFont="1" applyFill="1" applyBorder="1"/>
    <xf numFmtId="164" fontId="4" fillId="2" borderId="1" xfId="58" applyNumberFormat="1" applyFont="1" applyFill="1" applyBorder="1"/>
    <xf numFmtId="9" fontId="4" fillId="2" borderId="8" xfId="1" applyFont="1" applyFill="1" applyBorder="1"/>
    <xf numFmtId="9" fontId="4" fillId="2" borderId="6" xfId="1" applyFont="1" applyFill="1" applyBorder="1"/>
    <xf numFmtId="9" fontId="4" fillId="0" borderId="3" xfId="1" applyFont="1" applyBorder="1"/>
    <xf numFmtId="9" fontId="4" fillId="0" borderId="2" xfId="1" applyFont="1" applyBorder="1"/>
    <xf numFmtId="9" fontId="4" fillId="0" borderId="1" xfId="1" applyFont="1" applyBorder="1"/>
    <xf numFmtId="9" fontId="4" fillId="0" borderId="8" xfId="1" applyFont="1" applyBorder="1"/>
    <xf numFmtId="9" fontId="4" fillId="0" borderId="6" xfId="1" applyFont="1" applyBorder="1"/>
    <xf numFmtId="9" fontId="4" fillId="2" borderId="3" xfId="1" applyFont="1" applyFill="1" applyBorder="1"/>
    <xf numFmtId="9" fontId="4" fillId="2" borderId="2" xfId="1" applyFont="1" applyFill="1" applyBorder="1"/>
    <xf numFmtId="9" fontId="4" fillId="2" borderId="1" xfId="1" applyFont="1" applyFill="1" applyBorder="1"/>
    <xf numFmtId="164" fontId="4" fillId="0" borderId="3" xfId="58" applyNumberFormat="1" applyFont="1" applyBorder="1"/>
    <xf numFmtId="164" fontId="4" fillId="0" borderId="2" xfId="58" applyNumberFormat="1" applyFont="1" applyBorder="1"/>
    <xf numFmtId="164" fontId="4" fillId="0" borderId="1" xfId="58" applyNumberFormat="1" applyFont="1" applyBorder="1"/>
    <xf numFmtId="164" fontId="2" fillId="3" borderId="47" xfId="3" applyNumberFormat="1" applyFont="1" applyFill="1" applyBorder="1" applyAlignment="1">
      <alignment horizontal="center" wrapText="1"/>
    </xf>
    <xf numFmtId="164" fontId="2" fillId="3" borderId="50" xfId="3" applyNumberFormat="1" applyFont="1" applyFill="1" applyBorder="1" applyAlignment="1">
      <alignment horizontal="center" wrapText="1"/>
    </xf>
    <xf numFmtId="164" fontId="4" fillId="0" borderId="40" xfId="3" applyNumberFormat="1" applyFont="1" applyBorder="1"/>
    <xf numFmtId="164" fontId="4" fillId="0" borderId="43" xfId="3" applyNumberFormat="1" applyFont="1" applyBorder="1"/>
    <xf numFmtId="164" fontId="4" fillId="0" borderId="39" xfId="2" applyNumberFormat="1" applyFont="1" applyBorder="1"/>
    <xf numFmtId="164" fontId="4" fillId="4" borderId="40" xfId="3" applyNumberFormat="1" applyFont="1" applyFill="1" applyBorder="1"/>
    <xf numFmtId="164" fontId="4" fillId="0" borderId="40" xfId="3" applyNumberFormat="1" applyFont="1" applyFill="1" applyBorder="1"/>
    <xf numFmtId="164" fontId="4" fillId="2" borderId="40" xfId="3" applyNumberFormat="1" applyFont="1" applyFill="1" applyBorder="1"/>
    <xf numFmtId="164" fontId="6" fillId="0" borderId="13" xfId="58" applyNumberFormat="1" applyFont="1" applyBorder="1" applyAlignment="1">
      <alignment horizontal="center"/>
    </xf>
    <xf numFmtId="164" fontId="6" fillId="0" borderId="12" xfId="58" applyNumberFormat="1" applyFont="1" applyBorder="1" applyAlignment="1">
      <alignment horizontal="center"/>
    </xf>
    <xf numFmtId="164" fontId="6" fillId="0" borderId="11" xfId="58" applyNumberFormat="1" applyFont="1" applyBorder="1" applyAlignment="1">
      <alignment horizontal="center"/>
    </xf>
    <xf numFmtId="164" fontId="6" fillId="0" borderId="15" xfId="58" applyNumberFormat="1" applyFont="1" applyBorder="1" applyAlignment="1">
      <alignment horizontal="center"/>
    </xf>
    <xf numFmtId="164" fontId="6" fillId="0" borderId="42" xfId="58" applyNumberFormat="1" applyFont="1" applyBorder="1" applyAlignment="1">
      <alignment horizontal="center"/>
    </xf>
    <xf numFmtId="164" fontId="6" fillId="0" borderId="63" xfId="58" applyNumberFormat="1" applyFont="1" applyBorder="1" applyAlignment="1">
      <alignment horizontal="center"/>
    </xf>
    <xf numFmtId="164" fontId="4" fillId="0" borderId="12" xfId="58" applyNumberFormat="1" applyFont="1" applyBorder="1"/>
    <xf numFmtId="164" fontId="6" fillId="0" borderId="16" xfId="58" applyNumberFormat="1" applyFont="1" applyBorder="1" applyAlignment="1">
      <alignment horizontal="center"/>
    </xf>
    <xf numFmtId="164" fontId="4" fillId="0" borderId="0" xfId="2" applyNumberFormat="1" applyFont="1"/>
    <xf numFmtId="1" fontId="6" fillId="0" borderId="12" xfId="3" applyNumberFormat="1" applyFont="1" applyBorder="1" applyAlignment="1">
      <alignment horizontal="center"/>
    </xf>
    <xf numFmtId="1" fontId="6" fillId="0" borderId="11" xfId="3" applyNumberFormat="1" applyFont="1" applyBorder="1" applyAlignment="1">
      <alignment horizontal="center"/>
    </xf>
    <xf numFmtId="1" fontId="6" fillId="0" borderId="42" xfId="3" applyNumberFormat="1" applyFont="1" applyBorder="1" applyAlignment="1">
      <alignment horizontal="center"/>
    </xf>
    <xf numFmtId="1" fontId="6" fillId="0" borderId="13" xfId="3" applyNumberFormat="1" applyFont="1" applyBorder="1" applyAlignment="1">
      <alignment horizontal="center"/>
    </xf>
    <xf numFmtId="1" fontId="6" fillId="0" borderId="63" xfId="3" applyNumberFormat="1" applyFont="1" applyBorder="1" applyAlignment="1">
      <alignment horizontal="center"/>
    </xf>
    <xf numFmtId="43" fontId="4" fillId="0" borderId="14" xfId="3" applyNumberFormat="1" applyFont="1" applyBorder="1"/>
    <xf numFmtId="43" fontId="4" fillId="0" borderId="9" xfId="3" applyNumberFormat="1" applyFont="1" applyBorder="1"/>
    <xf numFmtId="0" fontId="4" fillId="0" borderId="0" xfId="5" applyNumberFormat="1" applyFont="1" applyFill="1" applyBorder="1" applyAlignment="1">
      <alignment horizontal="center"/>
    </xf>
    <xf numFmtId="0" fontId="4" fillId="0" borderId="0" xfId="58" applyNumberFormat="1" applyFont="1" applyFill="1" applyBorder="1" applyAlignment="1">
      <alignment horizontal="center"/>
    </xf>
    <xf numFmtId="9" fontId="4" fillId="0" borderId="0" xfId="1" applyFont="1" applyBorder="1"/>
    <xf numFmtId="167" fontId="4" fillId="0" borderId="4" xfId="1" applyNumberFormat="1" applyFont="1" applyBorder="1"/>
    <xf numFmtId="0" fontId="1" fillId="0" borderId="50" xfId="0" applyFont="1" applyBorder="1" applyAlignment="1">
      <alignment horizontal="left" wrapText="1"/>
    </xf>
    <xf numFmtId="166" fontId="4" fillId="0" borderId="8" xfId="59" applyNumberFormat="1" applyFont="1" applyBorder="1"/>
    <xf numFmtId="166" fontId="4" fillId="0" borderId="3" xfId="59" applyNumberFormat="1" applyFont="1" applyBorder="1"/>
    <xf numFmtId="164" fontId="4" fillId="0" borderId="8" xfId="59" applyNumberFormat="1" applyFont="1" applyBorder="1"/>
    <xf numFmtId="41" fontId="4" fillId="0" borderId="7" xfId="59" applyNumberFormat="1" applyFont="1" applyBorder="1"/>
    <xf numFmtId="166" fontId="4" fillId="0" borderId="7" xfId="59" applyNumberFormat="1" applyFont="1" applyBorder="1"/>
    <xf numFmtId="166" fontId="4" fillId="0" borderId="2" xfId="59" applyNumberFormat="1" applyFont="1" applyBorder="1"/>
    <xf numFmtId="164" fontId="2" fillId="3" borderId="22" xfId="3" applyNumberFormat="1" applyFont="1" applyFill="1" applyBorder="1" applyAlignment="1">
      <alignment horizontal="center" wrapText="1"/>
    </xf>
    <xf numFmtId="167" fontId="4" fillId="0" borderId="7" xfId="1" applyNumberFormat="1" applyFont="1" applyFill="1" applyBorder="1" applyAlignment="1">
      <alignment horizontal="right"/>
    </xf>
    <xf numFmtId="0" fontId="2" fillId="6" borderId="7" xfId="2" applyFont="1" applyFill="1" applyBorder="1" applyAlignment="1">
      <alignment horizontal="right"/>
    </xf>
    <xf numFmtId="10" fontId="4" fillId="0" borderId="0" xfId="1" applyNumberFormat="1" applyFont="1"/>
    <xf numFmtId="166" fontId="4" fillId="0" borderId="0" xfId="2" applyNumberFormat="1" applyFont="1"/>
    <xf numFmtId="166" fontId="4" fillId="0" borderId="0" xfId="59" applyNumberFormat="1" applyFont="1"/>
    <xf numFmtId="0" fontId="4" fillId="0" borderId="0" xfId="2" applyFont="1" applyFill="1" applyBorder="1"/>
    <xf numFmtId="0" fontId="2" fillId="0" borderId="0" xfId="2" applyFont="1" applyFill="1" applyBorder="1" applyAlignment="1">
      <alignment horizontal="right"/>
    </xf>
    <xf numFmtId="167" fontId="4" fillId="0" borderId="0" xfId="1" applyNumberFormat="1" applyFont="1" applyFill="1" applyBorder="1" applyAlignment="1">
      <alignment horizontal="right"/>
    </xf>
    <xf numFmtId="164" fontId="4" fillId="0" borderId="0" xfId="58" applyNumberFormat="1" applyFont="1"/>
    <xf numFmtId="166" fontId="4" fillId="0" borderId="7" xfId="5" applyNumberFormat="1" applyFont="1" applyBorder="1"/>
    <xf numFmtId="164" fontId="4" fillId="0" borderId="7" xfId="2" applyNumberFormat="1" applyFont="1" applyBorder="1"/>
    <xf numFmtId="166" fontId="4" fillId="11" borderId="7" xfId="59" applyNumberFormat="1" applyFont="1" applyFill="1" applyBorder="1"/>
    <xf numFmtId="167" fontId="4" fillId="11" borderId="7" xfId="1" applyNumberFormat="1" applyFont="1" applyFill="1" applyBorder="1"/>
    <xf numFmtId="0" fontId="2" fillId="6" borderId="71" xfId="2" applyFont="1" applyFill="1" applyBorder="1" applyAlignment="1">
      <alignment horizontal="center" wrapText="1"/>
    </xf>
    <xf numFmtId="0" fontId="2" fillId="6" borderId="72" xfId="2" applyFont="1" applyFill="1" applyBorder="1" applyAlignment="1">
      <alignment horizontal="center" wrapText="1"/>
    </xf>
    <xf numFmtId="0" fontId="2" fillId="6" borderId="73" xfId="2" applyFont="1" applyFill="1" applyBorder="1" applyAlignment="1">
      <alignment horizontal="center" wrapText="1"/>
    </xf>
    <xf numFmtId="0" fontId="2" fillId="6" borderId="50" xfId="2" applyFont="1" applyFill="1" applyBorder="1" applyAlignment="1">
      <alignment wrapText="1"/>
    </xf>
    <xf numFmtId="0" fontId="2" fillId="6" borderId="19" xfId="2" applyFont="1" applyFill="1" applyBorder="1" applyAlignment="1">
      <alignment horizontal="center" wrapText="1"/>
    </xf>
    <xf numFmtId="164" fontId="2" fillId="6" borderId="18" xfId="3" applyNumberFormat="1" applyFont="1" applyFill="1" applyBorder="1" applyAlignment="1">
      <alignment horizontal="center" wrapText="1"/>
    </xf>
    <xf numFmtId="164" fontId="2" fillId="6" borderId="20" xfId="3" applyNumberFormat="1" applyFont="1" applyFill="1" applyBorder="1" applyAlignment="1">
      <alignment horizontal="center" wrapText="1"/>
    </xf>
    <xf numFmtId="164" fontId="2" fillId="6" borderId="19" xfId="3" applyNumberFormat="1" applyFont="1" applyFill="1" applyBorder="1" applyAlignment="1">
      <alignment horizontal="center" wrapText="1"/>
    </xf>
    <xf numFmtId="164" fontId="2" fillId="6" borderId="47" xfId="3" applyNumberFormat="1" applyFont="1" applyFill="1" applyBorder="1" applyAlignment="1">
      <alignment horizontal="center" wrapText="1"/>
    </xf>
    <xf numFmtId="164" fontId="2" fillId="6" borderId="50" xfId="3" applyNumberFormat="1" applyFont="1" applyFill="1" applyBorder="1" applyAlignment="1">
      <alignment horizontal="center" wrapText="1"/>
    </xf>
    <xf numFmtId="0" fontId="1" fillId="0" borderId="50" xfId="0" applyFont="1" applyBorder="1" applyAlignment="1">
      <alignment horizontal="center" wrapText="1"/>
    </xf>
    <xf numFmtId="0" fontId="1" fillId="0" borderId="50" xfId="0" applyFont="1" applyBorder="1" applyAlignment="1">
      <alignment horizontal="left" wrapText="1"/>
    </xf>
    <xf numFmtId="0" fontId="2" fillId="3" borderId="38" xfId="2" applyFont="1" applyFill="1" applyBorder="1" applyAlignment="1">
      <alignment horizontal="center" wrapText="1"/>
    </xf>
    <xf numFmtId="0" fontId="2" fillId="3" borderId="28" xfId="2" applyFont="1" applyFill="1" applyBorder="1" applyAlignment="1">
      <alignment horizontal="center" wrapText="1"/>
    </xf>
    <xf numFmtId="0" fontId="2" fillId="3" borderId="35" xfId="2" applyFont="1" applyFill="1" applyBorder="1" applyAlignment="1">
      <alignment horizontal="center" wrapText="1"/>
    </xf>
    <xf numFmtId="0" fontId="2" fillId="3" borderId="25" xfId="2" applyFont="1" applyFill="1" applyBorder="1" applyAlignment="1">
      <alignment horizontal="center" wrapText="1"/>
    </xf>
    <xf numFmtId="0" fontId="2" fillId="3" borderId="34" xfId="2" applyFont="1" applyFill="1" applyBorder="1" applyAlignment="1">
      <alignment horizontal="center" wrapText="1"/>
    </xf>
    <xf numFmtId="0" fontId="2" fillId="3" borderId="24" xfId="2" applyFont="1" applyFill="1" applyBorder="1" applyAlignment="1">
      <alignment horizontal="center" wrapText="1"/>
    </xf>
    <xf numFmtId="0" fontId="2" fillId="3" borderId="48" xfId="2" applyFont="1" applyFill="1" applyBorder="1" applyAlignment="1">
      <alignment horizontal="center" vertical="center" wrapText="1"/>
    </xf>
    <xf numFmtId="0" fontId="2" fillId="3" borderId="47" xfId="2" applyFont="1" applyFill="1" applyBorder="1" applyAlignment="1">
      <alignment horizontal="center" vertical="center" wrapText="1"/>
    </xf>
    <xf numFmtId="0" fontId="2" fillId="3" borderId="46" xfId="2" applyFont="1" applyFill="1" applyBorder="1" applyAlignment="1">
      <alignment horizontal="center" vertical="center" wrapText="1"/>
    </xf>
    <xf numFmtId="164" fontId="2" fillId="3" borderId="33" xfId="3" applyNumberFormat="1" applyFont="1" applyFill="1" applyBorder="1" applyAlignment="1">
      <alignment horizontal="center" wrapText="1"/>
    </xf>
    <xf numFmtId="164" fontId="2" fillId="3" borderId="23" xfId="3" applyNumberFormat="1" applyFont="1" applyFill="1" applyBorder="1" applyAlignment="1">
      <alignment horizontal="center" wrapText="1"/>
    </xf>
    <xf numFmtId="0" fontId="6" fillId="0" borderId="0" xfId="2" applyFont="1" applyAlignment="1">
      <alignment horizontal="left" vertical="top" wrapText="1"/>
    </xf>
    <xf numFmtId="0" fontId="2" fillId="3" borderId="56" xfId="2" applyFont="1" applyFill="1" applyBorder="1" applyAlignment="1">
      <alignment horizontal="center" wrapText="1"/>
    </xf>
    <xf numFmtId="0" fontId="2" fillId="3" borderId="53" xfId="2" applyFont="1" applyFill="1" applyBorder="1" applyAlignment="1">
      <alignment horizontal="center" wrapText="1"/>
    </xf>
    <xf numFmtId="0" fontId="2" fillId="3" borderId="55" xfId="2" applyFont="1" applyFill="1" applyBorder="1" applyAlignment="1">
      <alignment horizontal="center" wrapText="1"/>
    </xf>
    <xf numFmtId="0" fontId="2" fillId="3" borderId="52" xfId="2" applyFont="1" applyFill="1" applyBorder="1" applyAlignment="1">
      <alignment horizontal="center" wrapText="1"/>
    </xf>
    <xf numFmtId="0" fontId="2" fillId="3" borderId="54" xfId="2" applyFont="1" applyFill="1" applyBorder="1" applyAlignment="1">
      <alignment horizontal="center" wrapText="1"/>
    </xf>
    <xf numFmtId="0" fontId="2" fillId="3" borderId="51" xfId="2" applyFont="1" applyFill="1" applyBorder="1" applyAlignment="1">
      <alignment horizontal="center" wrapText="1"/>
    </xf>
    <xf numFmtId="164" fontId="2" fillId="3" borderId="32" xfId="3" applyNumberFormat="1" applyFont="1" applyFill="1" applyBorder="1" applyAlignment="1">
      <alignment horizontal="center" wrapText="1"/>
    </xf>
    <xf numFmtId="164" fontId="2" fillId="3" borderId="22" xfId="3" applyNumberFormat="1" applyFont="1" applyFill="1" applyBorder="1" applyAlignment="1">
      <alignment horizontal="center" wrapText="1"/>
    </xf>
    <xf numFmtId="164" fontId="2" fillId="3" borderId="31" xfId="3" applyNumberFormat="1" applyFont="1" applyFill="1" applyBorder="1" applyAlignment="1">
      <alignment horizontal="center" wrapText="1"/>
    </xf>
    <xf numFmtId="164" fontId="2" fillId="3" borderId="21" xfId="3" applyNumberFormat="1" applyFont="1" applyFill="1" applyBorder="1" applyAlignment="1">
      <alignment horizontal="center" wrapText="1"/>
    </xf>
    <xf numFmtId="164" fontId="2" fillId="3" borderId="30" xfId="3" applyNumberFormat="1" applyFont="1" applyFill="1" applyBorder="1" applyAlignment="1">
      <alignment horizontal="center" vertical="center" wrapText="1"/>
    </xf>
    <xf numFmtId="164" fontId="2" fillId="3" borderId="29" xfId="3" applyNumberFormat="1" applyFont="1" applyFill="1" applyBorder="1" applyAlignment="1">
      <alignment horizontal="center" vertical="center" wrapText="1"/>
    </xf>
    <xf numFmtId="164" fontId="2" fillId="3" borderId="34" xfId="3" applyNumberFormat="1" applyFont="1" applyFill="1" applyBorder="1" applyAlignment="1">
      <alignment horizontal="center" wrapText="1"/>
    </xf>
    <xf numFmtId="164" fontId="2" fillId="3" borderId="24" xfId="3" applyNumberFormat="1" applyFont="1" applyFill="1" applyBorder="1" applyAlignment="1">
      <alignment horizontal="center" wrapText="1"/>
    </xf>
    <xf numFmtId="164" fontId="2" fillId="3" borderId="33" xfId="3" applyNumberFormat="1" applyFont="1" applyFill="1" applyBorder="1" applyAlignment="1">
      <alignment horizontal="center" vertical="center" wrapText="1"/>
    </xf>
    <xf numFmtId="164" fontId="2" fillId="3" borderId="23" xfId="3" applyNumberFormat="1" applyFont="1" applyFill="1" applyBorder="1" applyAlignment="1">
      <alignment horizontal="center" vertical="center" wrapText="1"/>
    </xf>
    <xf numFmtId="164" fontId="2" fillId="3" borderId="36" xfId="3" applyNumberFormat="1" applyFont="1" applyFill="1" applyBorder="1" applyAlignment="1">
      <alignment horizontal="center" wrapText="1"/>
    </xf>
    <xf numFmtId="164" fontId="2" fillId="3" borderId="26" xfId="3" applyNumberFormat="1" applyFont="1" applyFill="1" applyBorder="1" applyAlignment="1">
      <alignment horizontal="center" wrapText="1"/>
    </xf>
    <xf numFmtId="0" fontId="6" fillId="0" borderId="42" xfId="2" applyFont="1" applyBorder="1" applyAlignment="1">
      <alignment horizontal="right"/>
    </xf>
    <xf numFmtId="0" fontId="6" fillId="0" borderId="44" xfId="2" applyFont="1" applyBorder="1" applyAlignment="1">
      <alignment horizontal="right"/>
    </xf>
    <xf numFmtId="0" fontId="6" fillId="0" borderId="43" xfId="2" applyFont="1" applyBorder="1" applyAlignment="1">
      <alignment horizontal="right"/>
    </xf>
    <xf numFmtId="0" fontId="2" fillId="3" borderId="37" xfId="2" applyFont="1" applyFill="1" applyBorder="1" applyAlignment="1">
      <alignment horizontal="center" wrapText="1"/>
    </xf>
    <xf numFmtId="0" fontId="2" fillId="3" borderId="27" xfId="2" applyFont="1" applyFill="1" applyBorder="1" applyAlignment="1">
      <alignment horizontal="center" wrapText="1"/>
    </xf>
    <xf numFmtId="0" fontId="2" fillId="3" borderId="33" xfId="2" applyFont="1" applyFill="1" applyBorder="1" applyAlignment="1">
      <alignment horizontal="center" wrapText="1"/>
    </xf>
    <xf numFmtId="0" fontId="2" fillId="3" borderId="23" xfId="2" applyFont="1" applyFill="1" applyBorder="1" applyAlignment="1">
      <alignment horizontal="center" wrapText="1"/>
    </xf>
    <xf numFmtId="0" fontId="2" fillId="3" borderId="57" xfId="2" applyFont="1" applyFill="1" applyBorder="1" applyAlignment="1">
      <alignment horizontal="center" wrapText="1"/>
    </xf>
    <xf numFmtId="0" fontId="2" fillId="3" borderId="58" xfId="2" applyFont="1" applyFill="1" applyBorder="1" applyAlignment="1">
      <alignment horizontal="center" wrapText="1"/>
    </xf>
    <xf numFmtId="0" fontId="2" fillId="6" borderId="68" xfId="2" applyFont="1" applyFill="1" applyBorder="1" applyAlignment="1">
      <alignment horizontal="center"/>
    </xf>
    <xf numFmtId="0" fontId="2" fillId="6" borderId="69" xfId="2" applyFont="1" applyFill="1" applyBorder="1" applyAlignment="1">
      <alignment horizontal="center"/>
    </xf>
    <xf numFmtId="0" fontId="2" fillId="6" borderId="70" xfId="2" applyFont="1" applyFill="1" applyBorder="1" applyAlignment="1">
      <alignment horizontal="center"/>
    </xf>
    <xf numFmtId="0" fontId="2" fillId="6" borderId="56" xfId="2" applyFont="1" applyFill="1" applyBorder="1" applyAlignment="1">
      <alignment horizontal="center" wrapText="1"/>
    </xf>
    <xf numFmtId="0" fontId="2" fillId="6" borderId="53" xfId="2" applyFont="1" applyFill="1" applyBorder="1" applyAlignment="1">
      <alignment horizontal="center" wrapText="1"/>
    </xf>
    <xf numFmtId="0" fontId="2" fillId="6" borderId="55" xfId="2" applyFont="1" applyFill="1" applyBorder="1" applyAlignment="1">
      <alignment horizontal="center" wrapText="1"/>
    </xf>
    <xf numFmtId="0" fontId="2" fillId="6" borderId="52" xfId="2" applyFont="1" applyFill="1" applyBorder="1" applyAlignment="1">
      <alignment horizontal="center" wrapText="1"/>
    </xf>
    <xf numFmtId="0" fontId="2" fillId="6" borderId="54" xfId="2" applyFont="1" applyFill="1" applyBorder="1" applyAlignment="1">
      <alignment horizontal="center" wrapText="1"/>
    </xf>
    <xf numFmtId="0" fontId="2" fillId="6" borderId="51" xfId="2" applyFont="1" applyFill="1" applyBorder="1" applyAlignment="1">
      <alignment horizontal="center" wrapText="1"/>
    </xf>
    <xf numFmtId="0" fontId="2" fillId="6" borderId="47" xfId="2" applyFont="1" applyFill="1" applyBorder="1" applyAlignment="1">
      <alignment horizontal="center" vertical="center" wrapText="1"/>
    </xf>
    <xf numFmtId="164" fontId="2" fillId="6" borderId="33" xfId="3" applyNumberFormat="1" applyFont="1" applyFill="1" applyBorder="1" applyAlignment="1">
      <alignment horizontal="center" wrapText="1"/>
    </xf>
    <xf numFmtId="164" fontId="2" fillId="6" borderId="23" xfId="3" applyNumberFormat="1" applyFont="1" applyFill="1" applyBorder="1" applyAlignment="1">
      <alignment horizontal="center" wrapText="1"/>
    </xf>
    <xf numFmtId="164" fontId="2" fillId="6" borderId="32" xfId="3" applyNumberFormat="1" applyFont="1" applyFill="1" applyBorder="1" applyAlignment="1">
      <alignment horizontal="center" wrapText="1"/>
    </xf>
    <xf numFmtId="164" fontId="2" fillId="6" borderId="22" xfId="3" applyNumberFormat="1" applyFont="1" applyFill="1" applyBorder="1" applyAlignment="1">
      <alignment horizontal="center" wrapText="1"/>
    </xf>
    <xf numFmtId="164" fontId="2" fillId="6" borderId="31" xfId="3" applyNumberFormat="1" applyFont="1" applyFill="1" applyBorder="1" applyAlignment="1">
      <alignment horizontal="center" wrapText="1"/>
    </xf>
    <xf numFmtId="164" fontId="2" fillId="6" borderId="21" xfId="3" applyNumberFormat="1" applyFont="1" applyFill="1" applyBorder="1" applyAlignment="1">
      <alignment horizontal="center" wrapText="1"/>
    </xf>
    <xf numFmtId="164" fontId="2" fillId="6" borderId="30" xfId="3" applyNumberFormat="1" applyFont="1" applyFill="1" applyBorder="1" applyAlignment="1">
      <alignment horizontal="center" vertical="center" wrapText="1"/>
    </xf>
    <xf numFmtId="164" fontId="2" fillId="6" borderId="29" xfId="3" applyNumberFormat="1" applyFont="1" applyFill="1" applyBorder="1" applyAlignment="1">
      <alignment horizontal="center" vertical="center" wrapText="1"/>
    </xf>
    <xf numFmtId="0" fontId="2" fillId="3" borderId="60" xfId="2" applyFont="1" applyFill="1" applyBorder="1" applyAlignment="1">
      <alignment horizontal="center" wrapText="1"/>
    </xf>
    <xf numFmtId="0" fontId="2" fillId="3" borderId="67" xfId="2" applyFont="1" applyFill="1" applyBorder="1" applyAlignment="1">
      <alignment horizontal="center" wrapText="1"/>
    </xf>
    <xf numFmtId="164" fontId="2" fillId="3" borderId="48" xfId="3" applyNumberFormat="1" applyFont="1" applyFill="1" applyBorder="1" applyAlignment="1">
      <alignment horizontal="center" wrapText="1"/>
    </xf>
    <xf numFmtId="164" fontId="2" fillId="3" borderId="45" xfId="3" applyNumberFormat="1" applyFont="1" applyFill="1" applyBorder="1" applyAlignment="1">
      <alignment horizontal="center" wrapText="1"/>
    </xf>
    <xf numFmtId="164" fontId="2" fillId="6" borderId="13" xfId="58" applyNumberFormat="1" applyFont="1" applyFill="1" applyBorder="1" applyAlignment="1">
      <alignment horizontal="center"/>
    </xf>
    <xf numFmtId="164" fontId="2" fillId="6" borderId="12" xfId="58" applyNumberFormat="1" applyFont="1" applyFill="1" applyBorder="1" applyAlignment="1">
      <alignment horizontal="center"/>
    </xf>
    <xf numFmtId="164" fontId="2" fillId="6" borderId="11" xfId="58" applyNumberFormat="1" applyFont="1" applyFill="1" applyBorder="1" applyAlignment="1">
      <alignment horizontal="center"/>
    </xf>
    <xf numFmtId="0" fontId="2" fillId="6" borderId="17" xfId="2" applyFont="1" applyFill="1" applyBorder="1" applyAlignment="1">
      <alignment horizontal="center" wrapText="1"/>
    </xf>
    <xf numFmtId="0" fontId="2" fillId="6" borderId="14" xfId="2" applyFont="1" applyFill="1" applyBorder="1" applyAlignment="1">
      <alignment horizontal="center" wrapText="1"/>
    </xf>
    <xf numFmtId="0" fontId="2" fillId="6" borderId="13" xfId="2" applyFont="1" applyFill="1" applyBorder="1" applyAlignment="1">
      <alignment horizontal="center"/>
    </xf>
    <xf numFmtId="0" fontId="2" fillId="6" borderId="12" xfId="2" applyFont="1" applyFill="1" applyBorder="1" applyAlignment="1">
      <alignment horizontal="center"/>
    </xf>
    <xf numFmtId="0" fontId="2" fillId="6" borderId="11" xfId="2" applyFont="1" applyFill="1" applyBorder="1" applyAlignment="1">
      <alignment horizontal="center"/>
    </xf>
    <xf numFmtId="164" fontId="2" fillId="6" borderId="48" xfId="3" applyNumberFormat="1" applyFont="1" applyFill="1" applyBorder="1" applyAlignment="1">
      <alignment horizontal="center" wrapText="1"/>
    </xf>
    <xf numFmtId="164" fontId="2" fillId="6" borderId="45" xfId="3" applyNumberFormat="1" applyFont="1" applyFill="1" applyBorder="1" applyAlignment="1">
      <alignment horizontal="center" wrapText="1"/>
    </xf>
  </cellXfs>
  <cellStyles count="61">
    <cellStyle name="Comma" xfId="58" builtinId="3"/>
    <cellStyle name="Comma 2" xfId="6"/>
    <cellStyle name="Comma 2 2" xfId="7"/>
    <cellStyle name="Comma 3" xfId="8"/>
    <cellStyle name="Comma 3 2" xfId="9"/>
    <cellStyle name="Comma 4" xfId="10"/>
    <cellStyle name="Comma 4 2" xfId="11"/>
    <cellStyle name="Comma 5" xfId="3"/>
    <cellStyle name="Comma 6" xfId="12"/>
    <cellStyle name="Comma 6 2" xfId="13"/>
    <cellStyle name="Comma 7" xfId="14"/>
    <cellStyle name="Comma0" xfId="15"/>
    <cellStyle name="Comma0 2" xfId="16"/>
    <cellStyle name="Currency" xfId="59" builtinId="4"/>
    <cellStyle name="Currency 2" xfId="17"/>
    <cellStyle name="Currency 2 2" xfId="18"/>
    <cellStyle name="Currency 3" xfId="19"/>
    <cellStyle name="Currency 3 2" xfId="20"/>
    <cellStyle name="Currency 4" xfId="5"/>
    <cellStyle name="Currency 5" xfId="21"/>
    <cellStyle name="Normal" xfId="0" builtinId="0"/>
    <cellStyle name="Normal 10" xfId="22"/>
    <cellStyle name="Normal 10 2" xfId="23"/>
    <cellStyle name="Normal 11" xfId="2"/>
    <cellStyle name="Normal 12" xfId="24"/>
    <cellStyle name="Normal 12 2" xfId="25"/>
    <cellStyle name="Normal 13" xfId="26"/>
    <cellStyle name="Normal 13 2" xfId="27"/>
    <cellStyle name="Normal 2" xfId="28"/>
    <cellStyle name="Normal 2 10" xfId="29"/>
    <cellStyle name="Normal 2 11" xfId="30"/>
    <cellStyle name="Normal 2 12" xfId="31"/>
    <cellStyle name="Normal 2 13" xfId="32"/>
    <cellStyle name="Normal 2 2" xfId="33"/>
    <cellStyle name="Normal 2 3" xfId="34"/>
    <cellStyle name="Normal 2 4" xfId="35"/>
    <cellStyle name="Normal 2 5" xfId="36"/>
    <cellStyle name="Normal 2 6" xfId="37"/>
    <cellStyle name="Normal 2 7" xfId="38"/>
    <cellStyle name="Normal 2 8" xfId="39"/>
    <cellStyle name="Normal 2 9" xfId="40"/>
    <cellStyle name="Normal 3" xfId="41"/>
    <cellStyle name="Normal 3 2" xfId="42"/>
    <cellStyle name="Normal 3 3" xfId="43"/>
    <cellStyle name="Normal 4" xfId="44"/>
    <cellStyle name="Normal 4 2" xfId="45"/>
    <cellStyle name="Normal 5" xfId="46"/>
    <cellStyle name="Normal 6" xfId="47"/>
    <cellStyle name="Normal 7" xfId="48"/>
    <cellStyle name="Normal 8" xfId="49"/>
    <cellStyle name="Normal 9" xfId="50"/>
    <cellStyle name="Percent" xfId="1" builtinId="5"/>
    <cellStyle name="Percent 2" xfId="51"/>
    <cellStyle name="Percent 2 2" xfId="52"/>
    <cellStyle name="Percent 3" xfId="53"/>
    <cellStyle name="Percent 3 2" xfId="54"/>
    <cellStyle name="Percent 4" xfId="55"/>
    <cellStyle name="Percent 4 2" xfId="56"/>
    <cellStyle name="Percent 5" xfId="4"/>
    <cellStyle name="Percent 6" xfId="57"/>
    <cellStyle name="Percent 7" xfId="60"/>
  </cellStyles>
  <dxfs count="65">
    <dxf>
      <font>
        <color auto="1"/>
      </font>
      <fill>
        <patternFill>
          <bgColor rgb="FFB482DA"/>
        </patternFill>
      </fill>
    </dxf>
    <dxf>
      <fill>
        <patternFill>
          <bgColor rgb="FFFF6161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theme="3" tint="0.39994506668294322"/>
        </patternFill>
      </fill>
    </dxf>
    <dxf>
      <font>
        <color theme="0"/>
      </font>
      <fill>
        <patternFill>
          <bgColor theme="3"/>
        </patternFill>
      </fill>
    </dxf>
    <dxf>
      <font>
        <color auto="1"/>
      </font>
      <fill>
        <patternFill>
          <bgColor rgb="FFB482DA"/>
        </patternFill>
      </fill>
    </dxf>
    <dxf>
      <fill>
        <patternFill>
          <bgColor rgb="FFFF6161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theme="3" tint="0.39994506668294322"/>
        </patternFill>
      </fill>
    </dxf>
    <dxf>
      <font>
        <color theme="0"/>
      </font>
      <fill>
        <patternFill>
          <bgColor theme="3"/>
        </patternFill>
      </fill>
    </dxf>
    <dxf>
      <font>
        <color auto="1"/>
      </font>
      <fill>
        <patternFill>
          <bgColor rgb="FFB482DA"/>
        </patternFill>
      </fill>
    </dxf>
    <dxf>
      <fill>
        <patternFill>
          <bgColor rgb="FFFF6161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theme="3" tint="0.39994506668294322"/>
        </patternFill>
      </fill>
    </dxf>
    <dxf>
      <font>
        <color theme="0"/>
      </font>
      <fill>
        <patternFill>
          <bgColor theme="3"/>
        </patternFill>
      </fill>
    </dxf>
    <dxf>
      <font>
        <color auto="1"/>
      </font>
      <fill>
        <patternFill>
          <bgColor rgb="FFB482DA"/>
        </patternFill>
      </fill>
    </dxf>
    <dxf>
      <fill>
        <patternFill>
          <bgColor rgb="FFFF6161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theme="3" tint="0.39994506668294322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161"/>
      <color rgb="FFB482DA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P/PA/Resource/FinanceFiles/Formula/LBB%20Request/2014-2015/GAI/Final/GAI%20Formulas%20Model%20Final%20Run%20-%20Certified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PP\PA\Resource\FinanceFiles\Appropriations\Biennium20122013\GAI\GAI%20Formulas%20Model%20Proo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NACUBO"/>
      <sheetName val="Funding Levels"/>
      <sheetName val="I and O"/>
      <sheetName val="OBF"/>
      <sheetName val="SCH"/>
      <sheetName val="Cost Study"/>
      <sheetName val="Infrastructure"/>
      <sheetName val="Utilities"/>
      <sheetName val="TAMUG"/>
      <sheetName val="SIS"/>
      <sheetName val="Comparison"/>
      <sheetName val="Law VM Tuition"/>
      <sheetName val="Growth"/>
      <sheetName val="CP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A3" t="str">
            <v>Institution</v>
          </cell>
          <cell r="C3" t="str">
            <v>FY 2014 - FY 2015 Total</v>
          </cell>
          <cell r="D3" t="str">
            <v>FY 2014</v>
          </cell>
          <cell r="E3" t="str">
            <v>O&amp;M 
Funding</v>
          </cell>
          <cell r="F3" t="str">
            <v>Utility 
Funding</v>
          </cell>
          <cell r="G3" t="str">
            <v>FY 2015</v>
          </cell>
          <cell r="H3" t="str">
            <v>O&amp;M 
Funding</v>
          </cell>
          <cell r="I3" t="str">
            <v>Utility 
Funding</v>
          </cell>
          <cell r="J3" t="str">
            <v>Utility Rate Adjustment</v>
          </cell>
          <cell r="K3" t="str">
            <v>Adjusted Utility Square Feet</v>
          </cell>
          <cell r="L3" t="str">
            <v xml:space="preserve">Predicted
Square Feet1 </v>
          </cell>
        </row>
        <row r="4">
          <cell r="B4" t="str">
            <v>UT-Arlington</v>
          </cell>
          <cell r="C4">
            <v>31807080.209555022</v>
          </cell>
          <cell r="D4">
            <v>15903540.104777511</v>
          </cell>
          <cell r="E4">
            <v>8447924.4938445706</v>
          </cell>
          <cell r="F4">
            <v>7455615.6109329397</v>
          </cell>
          <cell r="G4">
            <v>15903540.104777511</v>
          </cell>
          <cell r="H4">
            <v>8447924.4938445706</v>
          </cell>
          <cell r="I4">
            <v>7455615.6109329397</v>
          </cell>
          <cell r="J4">
            <v>0.97647769000000006</v>
          </cell>
          <cell r="K4">
            <v>2746908.8837075103</v>
          </cell>
        </row>
        <row r="5">
          <cell r="B5" t="str">
            <v>UT-Austin</v>
          </cell>
          <cell r="C5">
            <v>118011935.5017083</v>
          </cell>
          <cell r="D5">
            <v>59005967.750854149</v>
          </cell>
          <cell r="E5">
            <v>30423926.699605692</v>
          </cell>
          <cell r="F5">
            <v>28582041.051248457</v>
          </cell>
          <cell r="G5">
            <v>59005967.750854149</v>
          </cell>
          <cell r="H5">
            <v>30423926.699605692</v>
          </cell>
          <cell r="I5">
            <v>28582041.051248457</v>
          </cell>
          <cell r="J5">
            <v>1.0394576799999999</v>
          </cell>
          <cell r="K5">
            <v>10530621.021158399</v>
          </cell>
        </row>
        <row r="6">
          <cell r="B6" t="str">
            <v>UT-Dallas</v>
          </cell>
          <cell r="C6">
            <v>25853817.889887951</v>
          </cell>
          <cell r="D6">
            <v>12926908.944943976</v>
          </cell>
          <cell r="E6">
            <v>6945551.5160211297</v>
          </cell>
          <cell r="F6">
            <v>5981357.428922846</v>
          </cell>
          <cell r="G6">
            <v>12926908.944943976</v>
          </cell>
          <cell r="H6">
            <v>6945551.5160211297</v>
          </cell>
          <cell r="I6">
            <v>5981357.428922846</v>
          </cell>
          <cell r="J6">
            <v>0.95284411999999996</v>
          </cell>
          <cell r="K6">
            <v>2203740.7392683597</v>
          </cell>
        </row>
        <row r="7">
          <cell r="B7" t="str">
            <v>UT-El Paso</v>
          </cell>
          <cell r="C7">
            <v>24665595.778528862</v>
          </cell>
          <cell r="D7">
            <v>12332797.889264431</v>
          </cell>
          <cell r="E7">
            <v>6677420.7815366331</v>
          </cell>
          <cell r="F7">
            <v>5655377.1077277968</v>
          </cell>
          <cell r="G7">
            <v>12332797.889264431</v>
          </cell>
          <cell r="H7">
            <v>6677420.7815366331</v>
          </cell>
          <cell r="I7">
            <v>5655377.1077277968</v>
          </cell>
          <cell r="J7">
            <v>0.93709078000000001</v>
          </cell>
          <cell r="K7">
            <v>2083638.21696404</v>
          </cell>
        </row>
        <row r="8">
          <cell r="B8" t="str">
            <v>UT-Pan American</v>
          </cell>
          <cell r="C8">
            <v>17906809.314481311</v>
          </cell>
          <cell r="D8">
            <v>8953404.6572406553</v>
          </cell>
          <cell r="E8">
            <v>4705523.96494467</v>
          </cell>
          <cell r="F8">
            <v>4247880.6922959853</v>
          </cell>
          <cell r="G8">
            <v>8953404.6572406553</v>
          </cell>
          <cell r="H8">
            <v>4705523.96494467</v>
          </cell>
          <cell r="I8">
            <v>4247880.6922959853</v>
          </cell>
          <cell r="J8">
            <v>0.99883363999999997</v>
          </cell>
          <cell r="K8">
            <v>1565067.4363477998</v>
          </cell>
        </row>
        <row r="9">
          <cell r="B9" t="str">
            <v>UT-Brownsville</v>
          </cell>
          <cell r="C9">
            <v>7272866.8572981711</v>
          </cell>
          <cell r="D9">
            <v>3636433.4286490856</v>
          </cell>
          <cell r="E9">
            <v>2069536.2248945273</v>
          </cell>
          <cell r="F9">
            <v>1566897.203754558</v>
          </cell>
          <cell r="G9">
            <v>3636433.4286490856</v>
          </cell>
          <cell r="H9">
            <v>2069536.2248945273</v>
          </cell>
          <cell r="I9">
            <v>1566897.203754558</v>
          </cell>
          <cell r="J9">
            <v>0.83771503999999997</v>
          </cell>
          <cell r="K9">
            <v>577299.59180544002</v>
          </cell>
        </row>
        <row r="10">
          <cell r="B10" t="str">
            <v>UT-Permian Basin</v>
          </cell>
          <cell r="C10">
            <v>3544603.8918381473</v>
          </cell>
          <cell r="D10">
            <v>1772301.9459190737</v>
          </cell>
          <cell r="E10">
            <v>921470.60200433829</v>
          </cell>
          <cell r="F10">
            <v>850831.34391473536</v>
          </cell>
          <cell r="G10">
            <v>1772301.9459190737</v>
          </cell>
          <cell r="H10">
            <v>921470.60200433829</v>
          </cell>
          <cell r="I10">
            <v>850831.34391473536</v>
          </cell>
          <cell r="J10">
            <v>1.0216234100000001</v>
          </cell>
          <cell r="K10">
            <v>313475.94874781003</v>
          </cell>
        </row>
        <row r="11">
          <cell r="B11" t="str">
            <v>UT-San Antonio</v>
          </cell>
          <cell r="C11">
            <v>30837556.348135367</v>
          </cell>
          <cell r="D11">
            <v>15418778.174067684</v>
          </cell>
          <cell r="E11">
            <v>8248041.9429507628</v>
          </cell>
          <cell r="F11">
            <v>7170736.2311169207</v>
          </cell>
          <cell r="G11">
            <v>15418778.174067684</v>
          </cell>
          <cell r="H11">
            <v>8248041.9429507628</v>
          </cell>
          <cell r="I11">
            <v>7170736.2311169207</v>
          </cell>
          <cell r="J11">
            <v>0.9619261400000001</v>
          </cell>
          <cell r="K11">
            <v>2641949.3820328005</v>
          </cell>
        </row>
        <row r="12">
          <cell r="B12" t="str">
            <v>UT-Tyler</v>
          </cell>
          <cell r="C12">
            <v>6501496.805446472</v>
          </cell>
          <cell r="D12">
            <v>3250748.402723236</v>
          </cell>
          <cell r="E12">
            <v>1762218.1918236145</v>
          </cell>
          <cell r="F12">
            <v>1488530.2108996217</v>
          </cell>
          <cell r="G12">
            <v>3250748.402723236</v>
          </cell>
          <cell r="H12">
            <v>1762218.1918236145</v>
          </cell>
          <cell r="I12">
            <v>1488530.2108996217</v>
          </cell>
          <cell r="J12">
            <v>0.93460222999999998</v>
          </cell>
          <cell r="K12">
            <v>548426.45776846004</v>
          </cell>
        </row>
        <row r="13">
          <cell r="B13" t="str">
            <v>TAMU</v>
          </cell>
          <cell r="C13">
            <v>73035527.867271066</v>
          </cell>
          <cell r="D13">
            <v>36517763.933635533</v>
          </cell>
          <cell r="E13">
            <v>19260411.605443515</v>
          </cell>
          <cell r="F13">
            <v>17257352.328192022</v>
          </cell>
          <cell r="G13">
            <v>36517763.933635533</v>
          </cell>
          <cell r="H13">
            <v>19260411.605443515</v>
          </cell>
          <cell r="I13">
            <v>17257352.328192022</v>
          </cell>
          <cell r="J13">
            <v>0.99137381000000002</v>
          </cell>
          <cell r="K13">
            <v>6358210.6285183504</v>
          </cell>
        </row>
        <row r="14">
          <cell r="B14" t="str">
            <v>TAMU-Galveston</v>
          </cell>
          <cell r="C14">
            <v>5014329.727057917</v>
          </cell>
          <cell r="D14">
            <v>2507164.8635289585</v>
          </cell>
          <cell r="E14">
            <v>1252051.7518960969</v>
          </cell>
          <cell r="F14">
            <v>1255113.1116328614</v>
          </cell>
          <cell r="G14">
            <v>2507164.8635289585</v>
          </cell>
          <cell r="H14">
            <v>1252051.7518960969</v>
          </cell>
          <cell r="I14">
            <v>1255113.1116328614</v>
          </cell>
          <cell r="J14">
            <v>1.1091478100000001</v>
          </cell>
          <cell r="K14">
            <v>462427.45553383837</v>
          </cell>
        </row>
        <row r="15">
          <cell r="B15" t="str">
            <v>Prairie View</v>
          </cell>
          <cell r="C15">
            <v>10018161.925815467</v>
          </cell>
          <cell r="D15">
            <v>5009080.9629077334</v>
          </cell>
          <cell r="E15">
            <v>2697151.6384568824</v>
          </cell>
          <cell r="F15">
            <v>2311929.3244508514</v>
          </cell>
          <cell r="G15">
            <v>5009080.9629077334</v>
          </cell>
          <cell r="H15">
            <v>2697151.6384568824</v>
          </cell>
          <cell r="I15">
            <v>2311929.3244508514</v>
          </cell>
          <cell r="J15">
            <v>0.94841416000000001</v>
          </cell>
          <cell r="K15">
            <v>851795.41586416005</v>
          </cell>
        </row>
        <row r="16">
          <cell r="B16" t="str">
            <v>Tarleton</v>
          </cell>
          <cell r="C16">
            <v>10206654.77763319</v>
          </cell>
          <cell r="D16">
            <v>5103327.3888165951</v>
          </cell>
          <cell r="E16">
            <v>2575730.7742951852</v>
          </cell>
          <cell r="F16">
            <v>2527596.6145214094</v>
          </cell>
          <cell r="G16">
            <v>5103327.3888165951</v>
          </cell>
          <cell r="H16">
            <v>2575730.7742951852</v>
          </cell>
          <cell r="I16">
            <v>2527596.6145214094</v>
          </cell>
          <cell r="J16">
            <v>1.08576575</v>
          </cell>
          <cell r="K16">
            <v>931254.76918049995</v>
          </cell>
        </row>
        <row r="17">
          <cell r="B17" t="str">
            <v>TAMU-Central</v>
          </cell>
          <cell r="C17">
            <v>1709348.3130202568</v>
          </cell>
          <cell r="D17">
            <v>854674.15651012841</v>
          </cell>
          <cell r="E17">
            <v>448637.3599832881</v>
          </cell>
          <cell r="F17">
            <v>406036.79652684031</v>
          </cell>
          <cell r="G17">
            <v>854674.15651012841</v>
          </cell>
          <cell r="H17">
            <v>448637.3599832881</v>
          </cell>
          <cell r="I17">
            <v>406036.79652684031</v>
          </cell>
          <cell r="J17">
            <v>1.00137973</v>
          </cell>
          <cell r="K17">
            <v>149598.12062416002</v>
          </cell>
        </row>
        <row r="18">
          <cell r="B18" t="str">
            <v>TAMU-CC</v>
          </cell>
          <cell r="C18">
            <v>12273085.966621902</v>
          </cell>
          <cell r="D18">
            <v>6136542.9833109509</v>
          </cell>
          <cell r="E18">
            <v>2895163.2653703592</v>
          </cell>
          <cell r="F18">
            <v>3241379.7179405917</v>
          </cell>
          <cell r="G18">
            <v>6136542.9833109509</v>
          </cell>
          <cell r="H18">
            <v>2895163.2653703592</v>
          </cell>
          <cell r="I18">
            <v>3241379.7179405917</v>
          </cell>
          <cell r="J18">
            <v>1.23875577</v>
          </cell>
          <cell r="K18">
            <v>1194237.36513774</v>
          </cell>
        </row>
        <row r="19">
          <cell r="B19" t="str">
            <v>TAMU-Kingsville</v>
          </cell>
          <cell r="C19">
            <v>9757393.959249109</v>
          </cell>
          <cell r="D19">
            <v>4878696.9796245545</v>
          </cell>
          <cell r="E19">
            <v>2316759.4589760327</v>
          </cell>
          <cell r="F19">
            <v>2561937.5206485218</v>
          </cell>
          <cell r="G19">
            <v>4878696.9796245545</v>
          </cell>
          <cell r="H19">
            <v>2316759.4589760327</v>
          </cell>
          <cell r="I19">
            <v>2561937.5206485218</v>
          </cell>
          <cell r="J19">
            <v>1.2235350899999999</v>
          </cell>
          <cell r="K19">
            <v>943907.15699630999</v>
          </cell>
        </row>
        <row r="20">
          <cell r="B20" t="str">
            <v>TAMU-San Antonio</v>
          </cell>
          <cell r="C20">
            <v>3290461.7972570127</v>
          </cell>
          <cell r="D20">
            <v>1645230.8986285063</v>
          </cell>
          <cell r="E20">
            <v>762294.91235191911</v>
          </cell>
          <cell r="F20">
            <v>882935.98627658735</v>
          </cell>
          <cell r="G20">
            <v>1645230.8986285063</v>
          </cell>
          <cell r="H20">
            <v>762294.91235191911</v>
          </cell>
          <cell r="I20">
            <v>882935.98627658735</v>
          </cell>
          <cell r="J20">
            <v>1.2815484700000002</v>
          </cell>
          <cell r="K20">
            <v>325304.41897939006</v>
          </cell>
        </row>
        <row r="21">
          <cell r="B21" t="str">
            <v>TAMI</v>
          </cell>
          <cell r="C21">
            <v>6776232.8558748756</v>
          </cell>
          <cell r="D21">
            <v>3388116.4279374378</v>
          </cell>
          <cell r="E21">
            <v>1642698.2825247573</v>
          </cell>
          <cell r="F21">
            <v>1745418.1454126807</v>
          </cell>
          <cell r="G21">
            <v>3388116.4279374378</v>
          </cell>
          <cell r="H21">
            <v>1642698.2825247573</v>
          </cell>
          <cell r="I21">
            <v>1745418.1454126807</v>
          </cell>
          <cell r="J21">
            <v>1.17562963</v>
          </cell>
          <cell r="K21">
            <v>643072.93449888995</v>
          </cell>
        </row>
        <row r="22">
          <cell r="B22" t="str">
            <v>WTAMU</v>
          </cell>
          <cell r="C22">
            <v>7179148.812675735</v>
          </cell>
          <cell r="D22">
            <v>3589574.4063378675</v>
          </cell>
          <cell r="E22">
            <v>2159061.2887430722</v>
          </cell>
          <cell r="F22">
            <v>1430513.1175947953</v>
          </cell>
          <cell r="G22">
            <v>3589574.4063378675</v>
          </cell>
          <cell r="H22">
            <v>2159061.2887430722</v>
          </cell>
          <cell r="I22">
            <v>1430513.1175947953</v>
          </cell>
          <cell r="J22">
            <v>0.73308732999999993</v>
          </cell>
          <cell r="K22">
            <v>527050.93664150999</v>
          </cell>
        </row>
        <row r="23">
          <cell r="B23" t="str">
            <v>TAMU-Commerce</v>
          </cell>
          <cell r="C23">
            <v>9707455.9245321043</v>
          </cell>
          <cell r="D23">
            <v>4853727.9622660521</v>
          </cell>
          <cell r="E23">
            <v>2365235.3095225827</v>
          </cell>
          <cell r="F23">
            <v>2488492.6527434699</v>
          </cell>
          <cell r="G23">
            <v>4853727.9622660521</v>
          </cell>
          <cell r="H23">
            <v>2365235.3095225827</v>
          </cell>
          <cell r="I23">
            <v>2488492.6527434699</v>
          </cell>
          <cell r="J23">
            <v>1.1641014999999999</v>
          </cell>
          <cell r="K23">
            <v>916847.50550149987</v>
          </cell>
        </row>
        <row r="24">
          <cell r="B24" t="str">
            <v>TAMU-Texarkana</v>
          </cell>
          <cell r="C24">
            <v>1858593.730301199</v>
          </cell>
          <cell r="D24">
            <v>929296.86515059951</v>
          </cell>
          <cell r="E24">
            <v>492917.89624328585</v>
          </cell>
          <cell r="F24">
            <v>436378.9689073136</v>
          </cell>
          <cell r="G24">
            <v>929296.86515059951</v>
          </cell>
          <cell r="H24">
            <v>492917.89624328585</v>
          </cell>
          <cell r="I24">
            <v>436378.9689073136</v>
          </cell>
          <cell r="J24">
            <v>0.97953073000000013</v>
          </cell>
          <cell r="K24">
            <v>160777.23543001001</v>
          </cell>
        </row>
        <row r="25">
          <cell r="B25" t="str">
            <v>UH</v>
          </cell>
          <cell r="C25">
            <v>50660951.07582137</v>
          </cell>
          <cell r="D25">
            <v>25330475.537910685</v>
          </cell>
          <cell r="E25">
            <v>13048658.697361207</v>
          </cell>
          <cell r="F25">
            <v>12281816.840549476</v>
          </cell>
          <cell r="G25">
            <v>25330475.537910685</v>
          </cell>
          <cell r="H25">
            <v>13048658.697361207</v>
          </cell>
          <cell r="I25">
            <v>12281816.840549476</v>
          </cell>
          <cell r="J25">
            <v>1.0414192099999999</v>
          </cell>
          <cell r="K25">
            <v>4525049.7809867999</v>
          </cell>
        </row>
        <row r="26">
          <cell r="B26" t="str">
            <v>UH-Clear Lake</v>
          </cell>
          <cell r="C26">
            <v>6982764.9199850224</v>
          </cell>
          <cell r="D26">
            <v>3491382.4599925112</v>
          </cell>
          <cell r="E26">
            <v>1779930.4063276136</v>
          </cell>
          <cell r="F26">
            <v>1711452.0536648978</v>
          </cell>
          <cell r="G26">
            <v>3491382.4599925112</v>
          </cell>
          <cell r="H26">
            <v>1779930.4063276136</v>
          </cell>
          <cell r="I26">
            <v>1711452.0536648978</v>
          </cell>
          <cell r="J26">
            <v>1.06387488</v>
          </cell>
          <cell r="K26">
            <v>630558.64137600001</v>
          </cell>
        </row>
        <row r="27">
          <cell r="B27" t="str">
            <v>UH-Downtown</v>
          </cell>
          <cell r="C27">
            <v>12038967.521617878</v>
          </cell>
          <cell r="D27">
            <v>6019483.7608089391</v>
          </cell>
          <cell r="E27">
            <v>2704950.6586445537</v>
          </cell>
          <cell r="F27">
            <v>3314533.1021643854</v>
          </cell>
          <cell r="G27">
            <v>6019483.7608089391</v>
          </cell>
          <cell r="H27">
            <v>2704950.6586445537</v>
          </cell>
          <cell r="I27">
            <v>3314533.1021643854</v>
          </cell>
          <cell r="J27">
            <v>1.35578821</v>
          </cell>
          <cell r="K27">
            <v>1221189.6238758301</v>
          </cell>
        </row>
        <row r="28">
          <cell r="B28" t="str">
            <v>UH-Victoria</v>
          </cell>
          <cell r="C28">
            <v>3404580.2988143298</v>
          </cell>
          <cell r="D28">
            <v>1702290.1494071649</v>
          </cell>
          <cell r="E28">
            <v>838795.58245617023</v>
          </cell>
          <cell r="F28">
            <v>863494.56695099466</v>
          </cell>
          <cell r="G28">
            <v>1702290.1494071649</v>
          </cell>
          <cell r="H28">
            <v>838795.58245617023</v>
          </cell>
          <cell r="I28">
            <v>863494.56695099466</v>
          </cell>
          <cell r="J28">
            <v>1.1390225299999999</v>
          </cell>
          <cell r="K28">
            <v>318141.52187682997</v>
          </cell>
        </row>
        <row r="29">
          <cell r="B29" t="str">
            <v>Midwestern</v>
          </cell>
          <cell r="C29">
            <v>5587638.8098004386</v>
          </cell>
          <cell r="D29">
            <v>2793819.4049002193</v>
          </cell>
          <cell r="E29">
            <v>1472059.8050185293</v>
          </cell>
          <cell r="F29">
            <v>1321759.5998816902</v>
          </cell>
          <cell r="G29">
            <v>2793819.4049002193</v>
          </cell>
          <cell r="H29">
            <v>1472059.8050185293</v>
          </cell>
          <cell r="I29">
            <v>1321759.5998816902</v>
          </cell>
          <cell r="J29">
            <v>0.99347252000000008</v>
          </cell>
          <cell r="K29">
            <v>486982.34679864004</v>
          </cell>
        </row>
        <row r="30">
          <cell r="B30" t="str">
            <v>UNT</v>
          </cell>
          <cell r="C30">
            <v>36686554.013207778</v>
          </cell>
          <cell r="D30">
            <v>18343277.006603889</v>
          </cell>
          <cell r="E30">
            <v>9574671.1932413913</v>
          </cell>
          <cell r="F30">
            <v>8768605.8133624978</v>
          </cell>
          <cell r="G30">
            <v>18343277.006603889</v>
          </cell>
          <cell r="H30">
            <v>9574671.1932413913</v>
          </cell>
          <cell r="I30">
            <v>8768605.8133624978</v>
          </cell>
          <cell r="J30">
            <v>1.0132941100000001</v>
          </cell>
          <cell r="K30">
            <v>3230660.2785602505</v>
          </cell>
        </row>
        <row r="31">
          <cell r="B31" t="str">
            <v>UNT-Dallas</v>
          </cell>
          <cell r="C31">
            <v>1911047.1053005573</v>
          </cell>
          <cell r="D31">
            <v>955523.55265027867</v>
          </cell>
          <cell r="E31">
            <v>425720.79354042321</v>
          </cell>
          <cell r="F31">
            <v>529802.7591098554</v>
          </cell>
          <cell r="G31">
            <v>955523.55265027867</v>
          </cell>
          <cell r="H31">
            <v>425720.79354042321</v>
          </cell>
          <cell r="I31">
            <v>529802.7591098554</v>
          </cell>
          <cell r="J31">
            <v>1.3769500699999999</v>
          </cell>
          <cell r="K31">
            <v>195197.81887326998</v>
          </cell>
        </row>
        <row r="32">
          <cell r="B32" t="str">
            <v>SFA</v>
          </cell>
          <cell r="C32">
            <v>13644367.631960317</v>
          </cell>
          <cell r="D32">
            <v>6822183.8159801587</v>
          </cell>
          <cell r="E32">
            <v>3525736.7208598829</v>
          </cell>
          <cell r="F32">
            <v>3296447.0951202754</v>
          </cell>
          <cell r="G32">
            <v>6822183.8159801587</v>
          </cell>
          <cell r="H32">
            <v>3525736.7208598829</v>
          </cell>
          <cell r="I32">
            <v>3296447.0951202754</v>
          </cell>
          <cell r="J32">
            <v>1.0344870799999999</v>
          </cell>
          <cell r="K32">
            <v>1214526.10794196</v>
          </cell>
        </row>
        <row r="33">
          <cell r="B33" t="str">
            <v>TSU</v>
          </cell>
          <cell r="C33">
            <v>14915514.181661531</v>
          </cell>
          <cell r="D33">
            <v>7457757.0908307657</v>
          </cell>
          <cell r="E33">
            <v>3345587.4628629517</v>
          </cell>
          <cell r="F33">
            <v>4112169.6279678144</v>
          </cell>
          <cell r="G33">
            <v>7457757.0908307657</v>
          </cell>
          <cell r="H33">
            <v>3345587.4628629517</v>
          </cell>
          <cell r="I33">
            <v>4112169.6279678144</v>
          </cell>
          <cell r="J33">
            <v>1.3599641899999999</v>
          </cell>
          <cell r="K33">
            <v>1515066.7459053099</v>
          </cell>
        </row>
        <row r="34">
          <cell r="B34" t="str">
            <v>TTU</v>
          </cell>
          <cell r="C34">
            <v>44505620.760491803</v>
          </cell>
          <cell r="D34">
            <v>22252810.380245902</v>
          </cell>
          <cell r="E34">
            <v>11994025.156134026</v>
          </cell>
          <cell r="F34">
            <v>10258785.224111876</v>
          </cell>
          <cell r="G34">
            <v>22252810.380245902</v>
          </cell>
          <cell r="H34">
            <v>11994025.156134026</v>
          </cell>
          <cell r="I34">
            <v>10258785.224111876</v>
          </cell>
          <cell r="J34">
            <v>0.94636750999999997</v>
          </cell>
          <cell r="K34">
            <v>3779694.3590864697</v>
          </cell>
        </row>
        <row r="35">
          <cell r="B35" t="str">
            <v>Angelo</v>
          </cell>
          <cell r="C35">
            <v>7977428.4714653566</v>
          </cell>
          <cell r="D35">
            <v>3988714.2357326783</v>
          </cell>
          <cell r="E35">
            <v>1878575.8491942401</v>
          </cell>
          <cell r="F35">
            <v>2110138.3865384385</v>
          </cell>
          <cell r="G35">
            <v>3988714.2357326783</v>
          </cell>
          <cell r="H35">
            <v>1878575.8491942401</v>
          </cell>
          <cell r="I35">
            <v>2110138.3865384385</v>
          </cell>
          <cell r="J35">
            <v>1.2428280399999998</v>
          </cell>
          <cell r="K35">
            <v>777448.59476591984</v>
          </cell>
        </row>
        <row r="36">
          <cell r="B36" t="str">
            <v>TWU</v>
          </cell>
          <cell r="C36">
            <v>13535961.528345382</v>
          </cell>
          <cell r="D36">
            <v>6767980.7641726909</v>
          </cell>
          <cell r="E36">
            <v>3562038.0516371531</v>
          </cell>
          <cell r="F36">
            <v>3205942.7125355378</v>
          </cell>
          <cell r="G36">
            <v>6767980.7641726909</v>
          </cell>
          <cell r="H36">
            <v>3562038.0516371531</v>
          </cell>
          <cell r="I36">
            <v>3205942.7125355378</v>
          </cell>
          <cell r="J36">
            <v>0.99583191999999998</v>
          </cell>
          <cell r="K36">
            <v>1181181.1361100001</v>
          </cell>
        </row>
        <row r="37">
          <cell r="B37" t="str">
            <v>Lamar</v>
          </cell>
          <cell r="C37">
            <v>11751022.335271161</v>
          </cell>
          <cell r="D37">
            <v>5875511.1676355805</v>
          </cell>
          <cell r="E37">
            <v>3194165.7470744401</v>
          </cell>
          <cell r="F37">
            <v>2681345.4205611404</v>
          </cell>
          <cell r="G37">
            <v>5875511.1676355805</v>
          </cell>
          <cell r="H37">
            <v>3194165.7470744401</v>
          </cell>
          <cell r="I37">
            <v>2681345.4205611404</v>
          </cell>
          <cell r="J37">
            <v>0.92880417000000004</v>
          </cell>
          <cell r="K37">
            <v>987901.19292459008</v>
          </cell>
        </row>
        <row r="38">
          <cell r="B38" t="str">
            <v>Sam Houston</v>
          </cell>
          <cell r="C38">
            <v>16563980.382816639</v>
          </cell>
          <cell r="D38">
            <v>8281990.1914083194</v>
          </cell>
          <cell r="E38">
            <v>4532738.2793390257</v>
          </cell>
          <cell r="F38">
            <v>3749251.9120692937</v>
          </cell>
          <cell r="G38">
            <v>8281990.1914083194</v>
          </cell>
          <cell r="H38">
            <v>4532738.2793390257</v>
          </cell>
          <cell r="I38">
            <v>3749251.9120692937</v>
          </cell>
          <cell r="J38">
            <v>0.91519327000000006</v>
          </cell>
          <cell r="K38">
            <v>1381355.1988139302</v>
          </cell>
        </row>
        <row r="39">
          <cell r="B39" t="str">
            <v>TxStU-SM</v>
          </cell>
          <cell r="C39">
            <v>34868567.855581619</v>
          </cell>
          <cell r="D39">
            <v>17434283.927790809</v>
          </cell>
          <cell r="E39">
            <v>8958749.8053281661</v>
          </cell>
          <cell r="F39">
            <v>8475534.1224626433</v>
          </cell>
          <cell r="G39">
            <v>17434283.927790809</v>
          </cell>
          <cell r="H39">
            <v>8958749.8053281661</v>
          </cell>
          <cell r="I39">
            <v>8475534.1224626433</v>
          </cell>
          <cell r="J39">
            <v>1.04676335</v>
          </cell>
          <cell r="K39">
            <v>3122682.4436896499</v>
          </cell>
        </row>
        <row r="40">
          <cell r="B40" t="str">
            <v>Sul Ross</v>
          </cell>
          <cell r="C40">
            <v>3179224.3256634502</v>
          </cell>
          <cell r="D40">
            <v>1589612.1628317251</v>
          </cell>
          <cell r="E40">
            <v>681968.30781598017</v>
          </cell>
          <cell r="F40">
            <v>907643.85501574492</v>
          </cell>
          <cell r="G40">
            <v>1589612.1628317251</v>
          </cell>
          <cell r="H40">
            <v>681968.30781598017</v>
          </cell>
          <cell r="I40">
            <v>907643.85501574492</v>
          </cell>
          <cell r="J40">
            <v>1.4725841399999999</v>
          </cell>
          <cell r="K40">
            <v>334407.65976845997</v>
          </cell>
        </row>
        <row r="41">
          <cell r="B41" t="str">
            <v>Sul Ross - RG</v>
          </cell>
          <cell r="C41">
            <v>384100.99347075151</v>
          </cell>
          <cell r="D41">
            <v>192050.49673537575</v>
          </cell>
          <cell r="E41">
            <v>192050.49673537575</v>
          </cell>
          <cell r="F41">
            <v>0</v>
          </cell>
          <cell r="G41">
            <v>192050.49673537575</v>
          </cell>
          <cell r="H41">
            <v>192050.49673537575</v>
          </cell>
          <cell r="I41">
            <v>0</v>
          </cell>
          <cell r="J41">
            <v>0</v>
          </cell>
          <cell r="K41">
            <v>0</v>
          </cell>
        </row>
        <row r="42">
          <cell r="B42" t="str">
            <v>TAMU-CVM</v>
          </cell>
          <cell r="C42">
            <v>7019558.5456138942</v>
          </cell>
          <cell r="D42">
            <v>3509779.2728069471</v>
          </cell>
          <cell r="E42">
            <v>3509779.2728069471</v>
          </cell>
          <cell r="G42">
            <v>3509779.2728069471</v>
          </cell>
          <cell r="H42">
            <v>3509779.2728069471</v>
          </cell>
        </row>
        <row r="43">
          <cell r="B43" t="str">
            <v>Total Universities</v>
          </cell>
          <cell r="C43">
            <v>702846009.01107872</v>
          </cell>
          <cell r="D43">
            <v>351423004.50553936</v>
          </cell>
          <cell r="E43">
            <v>184289930.24781096</v>
          </cell>
          <cell r="F43">
            <v>167133074.25772837</v>
          </cell>
          <cell r="G43">
            <v>351423004.50553936</v>
          </cell>
          <cell r="H43">
            <v>184289930.24781096</v>
          </cell>
          <cell r="I43">
            <v>167133074.25772837</v>
          </cell>
          <cell r="K43">
            <v>61577655.07206089</v>
          </cell>
        </row>
        <row r="44">
          <cell r="B44" t="str">
            <v>TSTC-Harlingen</v>
          </cell>
          <cell r="C44">
            <v>5493476.5050561968</v>
          </cell>
          <cell r="D44">
            <v>2746738.2525280984</v>
          </cell>
          <cell r="E44">
            <v>1200196.2318381239</v>
          </cell>
          <cell r="F44">
            <v>1546542.0206899743</v>
          </cell>
          <cell r="G44">
            <v>2746738.2525280984</v>
          </cell>
          <cell r="H44">
            <v>1200196.2318381239</v>
          </cell>
          <cell r="I44">
            <v>1546542.0206899743</v>
          </cell>
          <cell r="J44">
            <v>1.4257333400000001</v>
          </cell>
          <cell r="K44">
            <v>569800.03226435999</v>
          </cell>
        </row>
        <row r="45">
          <cell r="B45" t="str">
            <v>TSTC-West Texas</v>
          </cell>
          <cell r="C45">
            <v>1398056.3898776458</v>
          </cell>
          <cell r="D45">
            <v>699028.19493882288</v>
          </cell>
          <cell r="E45">
            <v>317411.41268229648</v>
          </cell>
          <cell r="F45">
            <v>381616.78225652641</v>
          </cell>
          <cell r="G45">
            <v>699028.19493882288</v>
          </cell>
          <cell r="H45">
            <v>317411.41268229648</v>
          </cell>
          <cell r="I45">
            <v>381616.78225652641</v>
          </cell>
          <cell r="J45">
            <v>1.33025153</v>
          </cell>
          <cell r="K45">
            <v>140600.93546335</v>
          </cell>
        </row>
        <row r="46">
          <cell r="B46" t="str">
            <v>TSTC-Marshall</v>
          </cell>
          <cell r="C46">
            <v>750876.4426783009</v>
          </cell>
          <cell r="D46">
            <v>375438.22133915045</v>
          </cell>
          <cell r="E46">
            <v>210159.11888849793</v>
          </cell>
          <cell r="F46">
            <v>165279.10245065248</v>
          </cell>
          <cell r="G46">
            <v>375438.22133915045</v>
          </cell>
          <cell r="H46">
            <v>210159.11888849793</v>
          </cell>
          <cell r="I46">
            <v>165279.10245065248</v>
          </cell>
          <cell r="J46">
            <v>0.87015885999999987</v>
          </cell>
          <cell r="K46">
            <v>60894.58718165999</v>
          </cell>
        </row>
        <row r="47">
          <cell r="B47" t="str">
            <v>TSTC-Waco</v>
          </cell>
          <cell r="C47">
            <v>5862939.8830377636</v>
          </cell>
          <cell r="D47">
            <v>2931469.9415188818</v>
          </cell>
          <cell r="E47">
            <v>1528109.4441339308</v>
          </cell>
          <cell r="F47">
            <v>1403360.497384951</v>
          </cell>
          <cell r="G47">
            <v>2931469.9415188818</v>
          </cell>
          <cell r="H47">
            <v>1528109.4441339308</v>
          </cell>
          <cell r="I47">
            <v>1403360.497384951</v>
          </cell>
          <cell r="J47">
            <v>1.0161167899999999</v>
          </cell>
          <cell r="K47">
            <v>517046.96412433992</v>
          </cell>
        </row>
        <row r="48">
          <cell r="B48" t="str">
            <v>Lamar-IOT</v>
          </cell>
          <cell r="C48">
            <v>2406849.7238945272</v>
          </cell>
          <cell r="D48">
            <v>1203424.8619472636</v>
          </cell>
          <cell r="E48">
            <v>676010.18072613038</v>
          </cell>
          <cell r="F48">
            <v>527414.68122113333</v>
          </cell>
          <cell r="G48">
            <v>1203424.8619472636</v>
          </cell>
          <cell r="H48">
            <v>676010.18072613038</v>
          </cell>
          <cell r="I48">
            <v>527414.68122113333</v>
          </cell>
          <cell r="J48">
            <v>0.86323256999999998</v>
          </cell>
          <cell r="K48">
            <v>194317.96766984998</v>
          </cell>
        </row>
        <row r="49">
          <cell r="B49" t="str">
            <v>Lamar-Orange</v>
          </cell>
          <cell r="C49">
            <v>1894104.0594405392</v>
          </cell>
          <cell r="D49">
            <v>947052.02972026961</v>
          </cell>
          <cell r="E49">
            <v>514492.08223798394</v>
          </cell>
          <cell r="F49">
            <v>432559.94748228561</v>
          </cell>
          <cell r="G49">
            <v>947052.02972026961</v>
          </cell>
          <cell r="H49">
            <v>514492.08223798394</v>
          </cell>
          <cell r="I49">
            <v>432559.94748228561</v>
          </cell>
          <cell r="J49">
            <v>0.93024308</v>
          </cell>
          <cell r="K49">
            <v>159370.17470867999</v>
          </cell>
        </row>
        <row r="50">
          <cell r="B50" t="str">
            <v>Lamar-Port Arthur</v>
          </cell>
          <cell r="C50">
            <v>2602585.9662741926</v>
          </cell>
          <cell r="D50">
            <v>1301292.9831370963</v>
          </cell>
          <cell r="E50">
            <v>667967.9103901335</v>
          </cell>
          <cell r="F50">
            <v>633325.07274696277</v>
          </cell>
          <cell r="G50">
            <v>1301292.9831370963</v>
          </cell>
          <cell r="H50">
            <v>667967.9103901335</v>
          </cell>
          <cell r="I50">
            <v>633325.07274696277</v>
          </cell>
          <cell r="J50">
            <v>1.0490590199999998</v>
          </cell>
          <cell r="K50">
            <v>233339.05064153997</v>
          </cell>
        </row>
        <row r="51">
          <cell r="B51" t="str">
            <v>Total TSTC and Lamar</v>
          </cell>
          <cell r="C51">
            <v>20408888.970259167</v>
          </cell>
          <cell r="D51">
            <v>10204444.485129584</v>
          </cell>
          <cell r="E51">
            <v>5114346.3808970973</v>
          </cell>
          <cell r="F51">
            <v>5090098.1042324863</v>
          </cell>
          <cell r="G51">
            <v>10204444.485129584</v>
          </cell>
          <cell r="H51">
            <v>5114346.3808970973</v>
          </cell>
          <cell r="I51">
            <v>5090098.1042324863</v>
          </cell>
          <cell r="K51">
            <v>1875369.71205378</v>
          </cell>
        </row>
        <row r="52">
          <cell r="B52" t="str">
            <v>Formula Total</v>
          </cell>
          <cell r="C52">
            <v>723254897.9813379</v>
          </cell>
          <cell r="D52">
            <v>361627448.99066895</v>
          </cell>
          <cell r="E52">
            <v>189404276.62870806</v>
          </cell>
          <cell r="F52">
            <v>172223172.36196086</v>
          </cell>
          <cell r="G52">
            <v>361627448.99066895</v>
          </cell>
          <cell r="H52">
            <v>189404276.62870806</v>
          </cell>
          <cell r="I52">
            <v>172223172.36196086</v>
          </cell>
          <cell r="K52">
            <v>63453024.784114674</v>
          </cell>
        </row>
        <row r="53">
          <cell r="B53" t="str">
            <v>Small Institution Set-Aside</v>
          </cell>
          <cell r="C53">
            <v>25898550</v>
          </cell>
          <cell r="D53" t="str">
            <v>Not included in Table Above</v>
          </cell>
        </row>
        <row r="54">
          <cell r="B54" t="str">
            <v>TAMUG Set-Aside</v>
          </cell>
          <cell r="C54">
            <v>1770769.4872156784</v>
          </cell>
          <cell r="D54" t="str">
            <v>Added to TAMUG's predicted square feet in table above and included in amounts</v>
          </cell>
        </row>
        <row r="55">
          <cell r="B55" t="str">
            <v>Total</v>
          </cell>
          <cell r="C55">
            <v>749153447.9813379</v>
          </cell>
        </row>
        <row r="57">
          <cell r="C57">
            <v>676839030.74790382</v>
          </cell>
          <cell r="D57" t="str">
            <v>FY 2012-2013 Appropriated</v>
          </cell>
        </row>
        <row r="58">
          <cell r="C58">
            <v>47746743.216482833</v>
          </cell>
          <cell r="D58" t="str">
            <v>7.1% Biennial Rate Increase</v>
          </cell>
        </row>
        <row r="59">
          <cell r="C59">
            <v>24567674.016951248</v>
          </cell>
          <cell r="D59" t="str">
            <v>3.4% Predicted Square Foot Growth</v>
          </cell>
        </row>
        <row r="60">
          <cell r="C60">
            <v>749153447.9813379</v>
          </cell>
          <cell r="D60" t="str">
            <v>FY 2014-2015 Recommended Funding</v>
          </cell>
        </row>
        <row r="61">
          <cell r="C61" t="str">
            <v>Rates</v>
          </cell>
          <cell r="D61">
            <v>5.7172720577392653</v>
          </cell>
          <cell r="E61">
            <v>3.0030882509323664</v>
          </cell>
          <cell r="F61">
            <v>2.7141838068068989</v>
          </cell>
          <cell r="G61">
            <v>5.7172720577392653</v>
          </cell>
          <cell r="H61">
            <v>3.0030882509323664</v>
          </cell>
          <cell r="I61">
            <v>2.7141838068068989</v>
          </cell>
          <cell r="J61" t="str">
            <v>HRI Rate3</v>
          </cell>
          <cell r="K61">
            <v>6.5546870319349999</v>
          </cell>
        </row>
        <row r="62">
          <cell r="C62" t="str">
            <v>Percentages2</v>
          </cell>
          <cell r="D62">
            <v>1</v>
          </cell>
          <cell r="E62">
            <v>0.52526593462824533</v>
          </cell>
          <cell r="F62">
            <v>0.47473406537175467</v>
          </cell>
          <cell r="G62">
            <v>1</v>
          </cell>
          <cell r="H62">
            <v>0.52526593462824533</v>
          </cell>
          <cell r="I62">
            <v>0.47473406537175467</v>
          </cell>
        </row>
        <row r="70">
          <cell r="C70" t="str">
            <v>FY 2014 - FY 2015 Total</v>
          </cell>
          <cell r="D70" t="str">
            <v>FY 2014</v>
          </cell>
          <cell r="E70" t="str">
            <v>O&amp;M 
Funding</v>
          </cell>
          <cell r="F70" t="str">
            <v>Utility 
Funding</v>
          </cell>
          <cell r="G70" t="str">
            <v>FY 2015</v>
          </cell>
          <cell r="H70" t="str">
            <v>O&amp;M 
Funding</v>
          </cell>
          <cell r="I70" t="str">
            <v>Utility 
Funding</v>
          </cell>
          <cell r="J70" t="str">
            <v>Utility Rate Adjustment</v>
          </cell>
          <cell r="K70" t="str">
            <v>Adjusted Utility Square Feet</v>
          </cell>
        </row>
        <row r="71">
          <cell r="B71" t="str">
            <v>Texas Engineering Experiment Station (TEES)</v>
          </cell>
          <cell r="C71">
            <v>11288371.533352043</v>
          </cell>
          <cell r="D71">
            <v>5644185.7666760217</v>
          </cell>
          <cell r="E71">
            <v>2976889.3090312323</v>
          </cell>
          <cell r="F71">
            <v>2667296.4576447895</v>
          </cell>
          <cell r="G71">
            <v>5644185.7666760217</v>
          </cell>
          <cell r="H71">
            <v>2976889.3090312323</v>
          </cell>
          <cell r="I71">
            <v>2667296.4576447895</v>
          </cell>
          <cell r="J71">
            <v>0.99137381000000002</v>
          </cell>
          <cell r="K71">
            <v>982725.06488156004</v>
          </cell>
        </row>
        <row r="72">
          <cell r="B72" t="str">
            <v>Texas Engineering Extension Service (TEEX)</v>
          </cell>
          <cell r="C72">
            <v>3264152.7077998081</v>
          </cell>
          <cell r="D72">
            <v>1632076.3538999041</v>
          </cell>
          <cell r="E72">
            <v>860799.21007075161</v>
          </cell>
          <cell r="F72">
            <v>771277.14382915257</v>
          </cell>
          <cell r="G72">
            <v>1632076.3538999041</v>
          </cell>
          <cell r="H72">
            <v>860799.21007075161</v>
          </cell>
          <cell r="I72">
            <v>771277.14382915257</v>
          </cell>
          <cell r="J72">
            <v>0.99137381000000002</v>
          </cell>
          <cell r="K72">
            <v>284165.40615077998</v>
          </cell>
        </row>
        <row r="73">
          <cell r="B73" t="str">
            <v>Texas Transportation Institute (TTI)</v>
          </cell>
          <cell r="C73">
            <v>4507611.7977417726</v>
          </cell>
          <cell r="D73">
            <v>2253805.8988708863</v>
          </cell>
          <cell r="E73">
            <v>1188715.4254548096</v>
          </cell>
          <cell r="F73">
            <v>1065090.4734160765</v>
          </cell>
          <cell r="G73">
            <v>2253805.8988708863</v>
          </cell>
          <cell r="H73">
            <v>1188715.4254548096</v>
          </cell>
          <cell r="I73">
            <v>1065090.4734160765</v>
          </cell>
          <cell r="J73">
            <v>0.99137381000000002</v>
          </cell>
          <cell r="K73">
            <v>392416.48658611003</v>
          </cell>
        </row>
        <row r="74">
          <cell r="B74" t="str">
            <v>Texas AgriLife Research (TALR)</v>
          </cell>
          <cell r="C74">
            <v>11424500.314145375</v>
          </cell>
          <cell r="D74">
            <v>5712250.1570726875</v>
          </cell>
          <cell r="E74">
            <v>3012788.2259828779</v>
          </cell>
          <cell r="F74">
            <v>2699461.9310898092</v>
          </cell>
          <cell r="G74">
            <v>5712250.1570726875</v>
          </cell>
          <cell r="H74">
            <v>3012788.2259828779</v>
          </cell>
          <cell r="I74">
            <v>2699461.9310898092</v>
          </cell>
          <cell r="J74">
            <v>0.99137381000000002</v>
          </cell>
          <cell r="K74">
            <v>994575.94740629999</v>
          </cell>
        </row>
        <row r="75">
          <cell r="B75" t="str">
            <v>Texas AgriLife Extension Service (TALX)</v>
          </cell>
          <cell r="C75">
            <v>1271347.6112873596</v>
          </cell>
          <cell r="D75">
            <v>635673.80564367981</v>
          </cell>
          <cell r="E75">
            <v>335270.77851059125</v>
          </cell>
          <cell r="F75">
            <v>300403.02713308862</v>
          </cell>
          <cell r="G75">
            <v>635673.80564367981</v>
          </cell>
          <cell r="H75">
            <v>335270.77851059125</v>
          </cell>
          <cell r="I75">
            <v>300403.02713308862</v>
          </cell>
          <cell r="J75">
            <v>0.99137381000000002</v>
          </cell>
          <cell r="K75">
            <v>110678.95489602</v>
          </cell>
        </row>
        <row r="76">
          <cell r="B76" t="str">
            <v>Texas Vet. Med. Diagnostic Lab. (TVMDL)4</v>
          </cell>
          <cell r="C76">
            <v>1076116.5741516</v>
          </cell>
          <cell r="D76">
            <v>538058.28707580001</v>
          </cell>
          <cell r="E76">
            <v>283785.83353660675</v>
          </cell>
          <cell r="F76">
            <v>254272.45353919323</v>
          </cell>
          <cell r="G76">
            <v>538058.28707580001</v>
          </cell>
          <cell r="H76">
            <v>283785.83353660675</v>
          </cell>
          <cell r="I76">
            <v>254272.45353919323</v>
          </cell>
          <cell r="J76">
            <v>0.99137381000000002</v>
          </cell>
          <cell r="K76">
            <v>93682.842297380004</v>
          </cell>
        </row>
        <row r="77">
          <cell r="B77" t="str">
            <v>Texas Forest Service (TFS)</v>
          </cell>
          <cell r="C77">
            <v>235589.10967478994</v>
          </cell>
          <cell r="D77">
            <v>117794.55483739497</v>
          </cell>
          <cell r="E77">
            <v>62127.889735288794</v>
          </cell>
          <cell r="F77">
            <v>55666.66510210617</v>
          </cell>
          <cell r="G77">
            <v>117794.55483739497</v>
          </cell>
          <cell r="H77">
            <v>62127.889735288794</v>
          </cell>
          <cell r="I77">
            <v>55666.66510210617</v>
          </cell>
          <cell r="J77">
            <v>0.99137381000000002</v>
          </cell>
          <cell r="K77">
            <v>20509.54138128</v>
          </cell>
        </row>
        <row r="78">
          <cell r="B78" t="str">
            <v>Total</v>
          </cell>
          <cell r="C78">
            <v>33067689.64815275</v>
          </cell>
          <cell r="D78">
            <v>16533844.824076375</v>
          </cell>
          <cell r="E78">
            <v>8720376.6723221578</v>
          </cell>
          <cell r="F78">
            <v>7813468.1517542163</v>
          </cell>
          <cell r="G78">
            <v>16533844.824076375</v>
          </cell>
          <cell r="H78">
            <v>8720376.6723221578</v>
          </cell>
          <cell r="I78">
            <v>7813468.1517542163</v>
          </cell>
          <cell r="K78">
            <v>2878754.2435994297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NACUBO"/>
      <sheetName val="I and O"/>
      <sheetName val="SCH"/>
      <sheetName val="Cost Study"/>
      <sheetName val="CBM"/>
      <sheetName val="Infrastructure"/>
      <sheetName val="Utilities"/>
      <sheetName val="TAMUG"/>
      <sheetName val="SIS"/>
      <sheetName val="Comparison"/>
      <sheetName val="Law VM Tuition"/>
      <sheetName val="Enroll Projs"/>
      <sheetName val="CPI"/>
      <sheetName val="Funding Levels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Report For  BY 2010 (Spring 2011 Uncertified, but Error Free)</v>
          </cell>
        </row>
      </sheetData>
      <sheetData sheetId="6">
        <row r="3">
          <cell r="A3" t="str">
            <v>Insitution</v>
          </cell>
          <cell r="C3" t="str">
            <v>FY 2012 - FY 2013 Total</v>
          </cell>
          <cell r="D3" t="str">
            <v>FY 2012</v>
          </cell>
          <cell r="E3" t="str">
            <v>O&amp;M 
Funding</v>
          </cell>
          <cell r="F3" t="str">
            <v>Utility 
Funding</v>
          </cell>
          <cell r="G3" t="str">
            <v>FY 2013</v>
          </cell>
          <cell r="H3" t="str">
            <v>O&amp;M 
Funding</v>
          </cell>
          <cell r="I3" t="str">
            <v>Utility 
Funding</v>
          </cell>
          <cell r="J3" t="str">
            <v>Utility Rate Adjustment</v>
          </cell>
          <cell r="K3" t="str">
            <v>Adjusted Utility Square Feet</v>
          </cell>
          <cell r="L3" t="str">
            <v xml:space="preserve">Predicted
Square Feet1 </v>
          </cell>
        </row>
        <row r="4">
          <cell r="B4" t="str">
            <v>UT-Arlington</v>
          </cell>
          <cell r="C4">
            <v>28774178.886879198</v>
          </cell>
          <cell r="D4">
            <v>14387089.443439599</v>
          </cell>
          <cell r="E4">
            <v>6484606.4534401596</v>
          </cell>
          <cell r="F4">
            <v>7902482.9899994386</v>
          </cell>
          <cell r="G4">
            <v>14387089.443439599</v>
          </cell>
          <cell r="H4">
            <v>6484606.4534401596</v>
          </cell>
          <cell r="I4">
            <v>7902482.9899994386</v>
          </cell>
          <cell r="J4">
            <v>1.1249101600000002</v>
          </cell>
          <cell r="K4">
            <v>3067812.0451473487</v>
          </cell>
        </row>
        <row r="5">
          <cell r="B5" t="str">
            <v>UT-Austin</v>
          </cell>
          <cell r="C5">
            <v>109717007.32797512</v>
          </cell>
          <cell r="D5">
            <v>54858503.663987562</v>
          </cell>
          <cell r="E5">
            <v>24252915.909404933</v>
          </cell>
          <cell r="F5">
            <v>30605587.754582632</v>
          </cell>
          <cell r="G5">
            <v>54858503.663987562</v>
          </cell>
          <cell r="H5">
            <v>24252915.909404933</v>
          </cell>
          <cell r="I5">
            <v>30605587.754582632</v>
          </cell>
          <cell r="J5">
            <v>1.16486248</v>
          </cell>
          <cell r="K5">
            <v>11881353.09891119</v>
          </cell>
        </row>
        <row r="6">
          <cell r="B6" t="str">
            <v>UT-Dallas</v>
          </cell>
          <cell r="C6">
            <v>21603008.275112055</v>
          </cell>
          <cell r="D6">
            <v>10801504.137556028</v>
          </cell>
          <cell r="E6">
            <v>4856728.9344045622</v>
          </cell>
          <cell r="F6">
            <v>5944775.2031514645</v>
          </cell>
          <cell r="G6">
            <v>10801504.137556028</v>
          </cell>
          <cell r="H6">
            <v>4856728.9344045622</v>
          </cell>
          <cell r="I6">
            <v>5944775.2031514645</v>
          </cell>
          <cell r="J6">
            <v>1.1298725699999999</v>
          </cell>
          <cell r="K6">
            <v>2307812.9996610894</v>
          </cell>
        </row>
        <row r="7">
          <cell r="B7" t="str">
            <v>UT-El Paso</v>
          </cell>
          <cell r="C7">
            <v>21377315.272495672</v>
          </cell>
          <cell r="D7">
            <v>10688657.636247836</v>
          </cell>
          <cell r="E7">
            <v>5084957.7670230521</v>
          </cell>
          <cell r="F7">
            <v>5603699.869224783</v>
          </cell>
          <cell r="G7">
            <v>10688657.636247836</v>
          </cell>
          <cell r="H7">
            <v>5084957.7670230521</v>
          </cell>
          <cell r="I7">
            <v>5603699.869224783</v>
          </cell>
          <cell r="J7">
            <v>1.0172446399999999</v>
          </cell>
          <cell r="K7">
            <v>2175404.6137085874</v>
          </cell>
        </row>
        <row r="8">
          <cell r="B8" t="str">
            <v>UT-Pan American</v>
          </cell>
          <cell r="C8">
            <v>17150931.092331886</v>
          </cell>
          <cell r="D8">
            <v>8575465.5461659431</v>
          </cell>
          <cell r="E8">
            <v>3779016.3034145022</v>
          </cell>
          <cell r="F8">
            <v>4796449.2427514419</v>
          </cell>
          <cell r="G8">
            <v>8575465.5461659431</v>
          </cell>
          <cell r="H8">
            <v>3779016.3034145022</v>
          </cell>
          <cell r="I8">
            <v>4796449.2427514419</v>
          </cell>
          <cell r="J8">
            <v>1.17159897</v>
          </cell>
          <cell r="K8">
            <v>1862022.9590461666</v>
          </cell>
        </row>
        <row r="9">
          <cell r="B9" t="str">
            <v>UT-Brownsville</v>
          </cell>
          <cell r="C9">
            <v>5708323.8307687752</v>
          </cell>
          <cell r="D9">
            <v>2854161.9153843876</v>
          </cell>
          <cell r="E9">
            <v>1350414.5493757755</v>
          </cell>
          <cell r="F9">
            <v>1503747.3660086119</v>
          </cell>
          <cell r="G9">
            <v>2854161.9153843876</v>
          </cell>
          <cell r="H9">
            <v>1350414.5493757755</v>
          </cell>
          <cell r="I9">
            <v>1503747.3660086119</v>
          </cell>
          <cell r="J9">
            <v>1.02788769</v>
          </cell>
          <cell r="K9">
            <v>583767.69531017309</v>
          </cell>
        </row>
        <row r="10">
          <cell r="B10" t="str">
            <v>UT-Permian Basin</v>
          </cell>
          <cell r="C10">
            <v>3505882.1620279774</v>
          </cell>
          <cell r="D10">
            <v>1752941.0810139887</v>
          </cell>
          <cell r="E10">
            <v>811960.06125595619</v>
          </cell>
          <cell r="F10">
            <v>940981.01975803252</v>
          </cell>
          <cell r="G10">
            <v>1752941.0810139887</v>
          </cell>
          <cell r="H10">
            <v>811960.06125595619</v>
          </cell>
          <cell r="I10">
            <v>940981.01975803252</v>
          </cell>
          <cell r="J10">
            <v>1.06975442</v>
          </cell>
          <cell r="K10">
            <v>365296.9465827262</v>
          </cell>
        </row>
        <row r="11">
          <cell r="B11" t="str">
            <v>UT-San Antonio</v>
          </cell>
          <cell r="C11">
            <v>26841057.186713859</v>
          </cell>
          <cell r="D11">
            <v>13420528.59335693</v>
          </cell>
          <cell r="E11">
            <v>6379266.6327061672</v>
          </cell>
          <cell r="F11">
            <v>7041261.9606507635</v>
          </cell>
          <cell r="G11">
            <v>13420528.59335693</v>
          </cell>
          <cell r="H11">
            <v>6379266.6327061672</v>
          </cell>
          <cell r="I11">
            <v>7041261.9606507635</v>
          </cell>
          <cell r="J11">
            <v>1.0188673399999999</v>
          </cell>
          <cell r="K11">
            <v>2733478.6146656144</v>
          </cell>
        </row>
        <row r="12">
          <cell r="B12" t="str">
            <v>UT-Tyler</v>
          </cell>
          <cell r="C12">
            <v>5345126.0377391949</v>
          </cell>
          <cell r="D12">
            <v>2672563.0188695975</v>
          </cell>
          <cell r="E12">
            <v>1309536.8476707058</v>
          </cell>
          <cell r="F12">
            <v>1363026.1711988915</v>
          </cell>
          <cell r="G12">
            <v>2672563.0188695975</v>
          </cell>
          <cell r="H12">
            <v>1309536.8476707058</v>
          </cell>
          <cell r="I12">
            <v>1363026.1711988915</v>
          </cell>
          <cell r="J12">
            <v>0.96078090999999999</v>
          </cell>
          <cell r="K12">
            <v>529138.51395146479</v>
          </cell>
        </row>
        <row r="13">
          <cell r="B13" t="str">
            <v>TAMU</v>
          </cell>
          <cell r="C13">
            <v>63350127.415048331</v>
          </cell>
          <cell r="D13">
            <v>31675063.707524166</v>
          </cell>
          <cell r="E13">
            <v>15189251.231589444</v>
          </cell>
          <cell r="F13">
            <v>16485812.47593472</v>
          </cell>
          <cell r="G13">
            <v>31675063.707524166</v>
          </cell>
          <cell r="H13">
            <v>15189251.231589444</v>
          </cell>
          <cell r="I13">
            <v>16485812.47593472</v>
          </cell>
          <cell r="J13">
            <v>1.00187118</v>
          </cell>
          <cell r="K13">
            <v>6399934.5714145675</v>
          </cell>
        </row>
        <row r="14">
          <cell r="B14" t="str">
            <v>TAMU-Galveston</v>
          </cell>
          <cell r="C14">
            <v>5708922.5033713952</v>
          </cell>
          <cell r="D14">
            <v>2854461.2516856976</v>
          </cell>
          <cell r="E14">
            <v>606099.93905371206</v>
          </cell>
          <cell r="F14">
            <v>846687.31263198529</v>
          </cell>
          <cell r="G14">
            <v>2854461.2516856976</v>
          </cell>
          <cell r="H14">
            <v>606099.93905371206</v>
          </cell>
          <cell r="I14">
            <v>846687.31263198529</v>
          </cell>
          <cell r="J14">
            <v>1.2894862200000001</v>
          </cell>
          <cell r="K14">
            <v>328691.31631829403</v>
          </cell>
        </row>
        <row r="15">
          <cell r="B15" t="str">
            <v>Prairie View</v>
          </cell>
          <cell r="C15">
            <v>9611279.485257756</v>
          </cell>
          <cell r="D15">
            <v>4805639.742628878</v>
          </cell>
          <cell r="E15">
            <v>2273204.4331299271</v>
          </cell>
          <cell r="F15">
            <v>2532435.3094989508</v>
          </cell>
          <cell r="G15">
            <v>4805639.742628878</v>
          </cell>
          <cell r="H15">
            <v>2273204.4331299271</v>
          </cell>
          <cell r="I15">
            <v>2532435.3094989508</v>
          </cell>
          <cell r="J15">
            <v>1.0283424400000001</v>
          </cell>
          <cell r="K15">
            <v>983113.22604161489</v>
          </cell>
        </row>
        <row r="16">
          <cell r="B16" t="str">
            <v>Tarleton</v>
          </cell>
          <cell r="C16">
            <v>9609466.2331559155</v>
          </cell>
          <cell r="D16">
            <v>4804733.1165779578</v>
          </cell>
          <cell r="E16">
            <v>1914013.7363242113</v>
          </cell>
          <cell r="F16">
            <v>2890719.3802537462</v>
          </cell>
          <cell r="G16">
            <v>4804733.1165779578</v>
          </cell>
          <cell r="H16">
            <v>1914013.7363242113</v>
          </cell>
          <cell r="I16">
            <v>2890719.3802537462</v>
          </cell>
          <cell r="J16">
            <v>1.3941155700000001</v>
          </cell>
          <cell r="K16">
            <v>1122202.1920333107</v>
          </cell>
        </row>
        <row r="17">
          <cell r="B17" t="str">
            <v>TAMU-Central</v>
          </cell>
          <cell r="C17">
            <v>1797006.9086982145</v>
          </cell>
          <cell r="D17">
            <v>898503.45434910723</v>
          </cell>
          <cell r="E17">
            <v>326045.03580438928</v>
          </cell>
          <cell r="F17">
            <v>572458.41854471795</v>
          </cell>
          <cell r="G17">
            <v>898503.45434910723</v>
          </cell>
          <cell r="H17">
            <v>326045.03580438928</v>
          </cell>
          <cell r="I17">
            <v>572458.41854471795</v>
          </cell>
          <cell r="J17">
            <v>1.62070603</v>
          </cell>
          <cell r="K17">
            <v>222233.29477329415</v>
          </cell>
        </row>
        <row r="18">
          <cell r="B18" t="str">
            <v>TAMU-CC</v>
          </cell>
          <cell r="C18">
            <v>12043764.227252744</v>
          </cell>
          <cell r="D18">
            <v>6021882.1136263721</v>
          </cell>
          <cell r="E18">
            <v>2323965.2866370226</v>
          </cell>
          <cell r="F18">
            <v>3697916.8269893494</v>
          </cell>
          <cell r="G18">
            <v>6021882.1136263721</v>
          </cell>
          <cell r="H18">
            <v>2323965.2866370226</v>
          </cell>
          <cell r="I18">
            <v>3697916.8269893494</v>
          </cell>
          <cell r="J18">
            <v>1.4688092399999999</v>
          </cell>
          <cell r="K18">
            <v>1435563.2018629371</v>
          </cell>
        </row>
        <row r="19">
          <cell r="B19" t="str">
            <v>TAMU-Kingsville</v>
          </cell>
          <cell r="C19">
            <v>7954019.8083173521</v>
          </cell>
          <cell r="D19">
            <v>3977009.904158676</v>
          </cell>
          <cell r="E19">
            <v>1750407.8817218563</v>
          </cell>
          <cell r="F19">
            <v>2226602.0224368195</v>
          </cell>
          <cell r="G19">
            <v>3977009.904158676</v>
          </cell>
          <cell r="H19">
            <v>1750407.8817218563</v>
          </cell>
          <cell r="I19">
            <v>2226602.0224368195</v>
          </cell>
          <cell r="J19">
            <v>1.17419772</v>
          </cell>
          <cell r="K19">
            <v>864386.106597821</v>
          </cell>
        </row>
        <row r="20">
          <cell r="B20" t="str">
            <v>TAMU-San Antonio</v>
          </cell>
          <cell r="C20">
            <v>2685226.6436393689</v>
          </cell>
          <cell r="D20">
            <v>1342613.3218196845</v>
          </cell>
          <cell r="E20">
            <v>481089.34481997567</v>
          </cell>
          <cell r="F20">
            <v>861523.97699970868</v>
          </cell>
          <cell r="G20">
            <v>1342613.3218196845</v>
          </cell>
          <cell r="H20">
            <v>481089.34481997567</v>
          </cell>
          <cell r="I20">
            <v>861523.97699970868</v>
          </cell>
          <cell r="J20">
            <v>1.65302539</v>
          </cell>
          <cell r="K20">
            <v>334451.03737238684</v>
          </cell>
        </row>
        <row r="21">
          <cell r="B21" t="str">
            <v>TAMI</v>
          </cell>
          <cell r="C21">
            <v>5715745.6222505905</v>
          </cell>
          <cell r="D21">
            <v>2857872.8111252952</v>
          </cell>
          <cell r="E21">
            <v>1273094.8913852083</v>
          </cell>
          <cell r="F21">
            <v>1584777.9197400869</v>
          </cell>
          <cell r="G21">
            <v>2857872.8111252952</v>
          </cell>
          <cell r="H21">
            <v>1273094.8913852083</v>
          </cell>
          <cell r="I21">
            <v>1584777.9197400869</v>
          </cell>
          <cell r="J21">
            <v>1.1490674700000001</v>
          </cell>
          <cell r="K21">
            <v>615224.45504973398</v>
          </cell>
        </row>
        <row r="22">
          <cell r="B22" t="str">
            <v>WTAMU</v>
          </cell>
          <cell r="C22">
            <v>7607077.45645996</v>
          </cell>
          <cell r="D22">
            <v>3803538.72822998</v>
          </cell>
          <cell r="E22">
            <v>1735120.6584092684</v>
          </cell>
          <cell r="F22">
            <v>2068418.0698207114</v>
          </cell>
          <cell r="G22">
            <v>3803538.72822998</v>
          </cell>
          <cell r="H22">
            <v>1735120.6584092684</v>
          </cell>
          <cell r="I22">
            <v>2068418.0698207114</v>
          </cell>
          <cell r="J22">
            <v>1.1003897499999999</v>
          </cell>
          <cell r="K22">
            <v>802977.73206555913</v>
          </cell>
        </row>
        <row r="23">
          <cell r="B23" t="str">
            <v>TAMU-Commerce</v>
          </cell>
          <cell r="C23">
            <v>8643081.9792225324</v>
          </cell>
          <cell r="D23">
            <v>4321540.9896112662</v>
          </cell>
          <cell r="E23">
            <v>1811610.5784128527</v>
          </cell>
          <cell r="F23">
            <v>2509930.411198413</v>
          </cell>
          <cell r="G23">
            <v>4321540.9896112662</v>
          </cell>
          <cell r="H23">
            <v>1811610.5784128527</v>
          </cell>
          <cell r="I23">
            <v>2509930.411198413</v>
          </cell>
          <cell r="J23">
            <v>1.2788945199999997</v>
          </cell>
          <cell r="K23">
            <v>974376.63044646126</v>
          </cell>
        </row>
        <row r="24">
          <cell r="B24" t="str">
            <v>TAMU-Texarkana</v>
          </cell>
          <cell r="C24">
            <v>1382117.053959361</v>
          </cell>
          <cell r="D24">
            <v>691058.52697968052</v>
          </cell>
          <cell r="E24">
            <v>350453.18994757952</v>
          </cell>
          <cell r="F24">
            <v>340605.337032101</v>
          </cell>
          <cell r="G24">
            <v>691058.52697968052</v>
          </cell>
          <cell r="H24">
            <v>350453.18994757952</v>
          </cell>
          <cell r="I24">
            <v>340605.337032101</v>
          </cell>
          <cell r="J24">
            <v>0.89713815000000008</v>
          </cell>
          <cell r="K24">
            <v>132225.9291049263</v>
          </cell>
        </row>
        <row r="25">
          <cell r="B25" t="str">
            <v>UH</v>
          </cell>
          <cell r="C25">
            <v>45773712.23842638</v>
          </cell>
          <cell r="D25">
            <v>22886856.11921319</v>
          </cell>
          <cell r="E25">
            <v>10217163.724556096</v>
          </cell>
          <cell r="F25">
            <v>12669692.394657094</v>
          </cell>
          <cell r="G25">
            <v>22886856.11921319</v>
          </cell>
          <cell r="H25">
            <v>10217163.724556096</v>
          </cell>
          <cell r="I25">
            <v>12669692.394657094</v>
          </cell>
          <cell r="J25">
            <v>1.14465237</v>
          </cell>
          <cell r="K25">
            <v>4918483.8468907038</v>
          </cell>
        </row>
        <row r="26">
          <cell r="B26" t="str">
            <v>UH-Clear Lake</v>
          </cell>
          <cell r="C26">
            <v>5911588.8945033699</v>
          </cell>
          <cell r="D26">
            <v>2955794.447251685</v>
          </cell>
          <cell r="E26">
            <v>1397624.4579013574</v>
          </cell>
          <cell r="F26">
            <v>1558169.9893503275</v>
          </cell>
          <cell r="G26">
            <v>2955794.447251685</v>
          </cell>
          <cell r="H26">
            <v>1397624.4579013574</v>
          </cell>
          <cell r="I26">
            <v>1558169.9893503275</v>
          </cell>
          <cell r="J26">
            <v>1.0291110400000001</v>
          </cell>
          <cell r="K26">
            <v>604895.02701433725</v>
          </cell>
        </row>
        <row r="27">
          <cell r="B27" t="str">
            <v>UH-Downtown</v>
          </cell>
          <cell r="C27">
            <v>9157106.3765570503</v>
          </cell>
          <cell r="D27">
            <v>4578553.1882785251</v>
          </cell>
          <cell r="E27">
            <v>2014554.6209960473</v>
          </cell>
          <cell r="F27">
            <v>2563998.5672824779</v>
          </cell>
          <cell r="G27">
            <v>4578553.1882785251</v>
          </cell>
          <cell r="H27">
            <v>2014554.6209960473</v>
          </cell>
          <cell r="I27">
            <v>2563998.5672824779</v>
          </cell>
          <cell r="J27">
            <v>1.17483432</v>
          </cell>
          <cell r="K27">
            <v>995366.35490439564</v>
          </cell>
        </row>
        <row r="28">
          <cell r="B28" t="str">
            <v>UH-Victoria</v>
          </cell>
          <cell r="C28">
            <v>2868700.3190174019</v>
          </cell>
          <cell r="D28">
            <v>1434350.1595087009</v>
          </cell>
          <cell r="E28">
            <v>611365.63215490454</v>
          </cell>
          <cell r="F28">
            <v>822984.52735379653</v>
          </cell>
          <cell r="G28">
            <v>1434350.1595087009</v>
          </cell>
          <cell r="H28">
            <v>611365.63215490454</v>
          </cell>
          <cell r="I28">
            <v>822984.52735379653</v>
          </cell>
          <cell r="J28">
            <v>1.2425919700000001</v>
          </cell>
          <cell r="K28">
            <v>319489.69066823059</v>
          </cell>
        </row>
        <row r="29">
          <cell r="B29" t="str">
            <v>Midwestern</v>
          </cell>
          <cell r="C29">
            <v>5865451.8499927111</v>
          </cell>
          <cell r="D29">
            <v>2932725.9249963555</v>
          </cell>
          <cell r="E29">
            <v>1273536.957313509</v>
          </cell>
          <cell r="F29">
            <v>1659188.9676828468</v>
          </cell>
          <cell r="G29">
            <v>2932725.9249963555</v>
          </cell>
          <cell r="H29">
            <v>1273536.957313509</v>
          </cell>
          <cell r="I29">
            <v>1659188.9676828468</v>
          </cell>
          <cell r="J29">
            <v>1.2026027500000001</v>
          </cell>
          <cell r="K29">
            <v>644111.46555766196</v>
          </cell>
        </row>
        <row r="30">
          <cell r="B30" t="str">
            <v>UNT</v>
          </cell>
          <cell r="C30">
            <v>33713749.249093249</v>
          </cell>
          <cell r="D30">
            <v>16856874.624546625</v>
          </cell>
          <cell r="E30">
            <v>7742527.8684881162</v>
          </cell>
          <cell r="F30">
            <v>9114346.7560585067</v>
          </cell>
          <cell r="G30">
            <v>16856874.624546625</v>
          </cell>
          <cell r="H30">
            <v>7742527.8684881162</v>
          </cell>
          <cell r="I30">
            <v>9114346.7560585067</v>
          </cell>
          <cell r="J30">
            <v>1.0866274300000001</v>
          </cell>
          <cell r="K30">
            <v>3538268.0098483749</v>
          </cell>
        </row>
        <row r="31">
          <cell r="B31" t="str">
            <v>UNT-Dallas</v>
          </cell>
          <cell r="C31">
            <v>2276582.6287558633</v>
          </cell>
          <cell r="D31">
            <v>1138291.3143779316</v>
          </cell>
          <cell r="E31">
            <v>468293.31934790034</v>
          </cell>
          <cell r="F31">
            <v>669997.99503003131</v>
          </cell>
          <cell r="G31">
            <v>1138291.3143779316</v>
          </cell>
          <cell r="H31">
            <v>468293.31934790034</v>
          </cell>
          <cell r="I31">
            <v>669997.99503003131</v>
          </cell>
          <cell r="J31">
            <v>1.32066733</v>
          </cell>
          <cell r="K31">
            <v>260098.99951430957</v>
          </cell>
        </row>
        <row r="32">
          <cell r="B32" t="str">
            <v>SFA</v>
          </cell>
          <cell r="C32">
            <v>13050096.803484164</v>
          </cell>
          <cell r="D32">
            <v>6525048.4017420821</v>
          </cell>
          <cell r="E32">
            <v>2828098.2453449587</v>
          </cell>
          <cell r="F32">
            <v>3696950.1563971238</v>
          </cell>
          <cell r="G32">
            <v>6525048.4017420821</v>
          </cell>
          <cell r="H32">
            <v>2828098.2453449587</v>
          </cell>
          <cell r="I32">
            <v>3696950.1563971238</v>
          </cell>
          <cell r="J32">
            <v>1.20666578</v>
          </cell>
          <cell r="K32">
            <v>1435187.932002784</v>
          </cell>
        </row>
        <row r="33">
          <cell r="B33" t="str">
            <v>TSU</v>
          </cell>
          <cell r="C33">
            <v>12606709.993801983</v>
          </cell>
          <cell r="D33">
            <v>6303354.9969009915</v>
          </cell>
          <cell r="E33">
            <v>2691966.9804682774</v>
          </cell>
          <cell r="F33">
            <v>3611388.0164327142</v>
          </cell>
          <cell r="G33">
            <v>6303354.9969009915</v>
          </cell>
          <cell r="H33">
            <v>2691966.9804682774</v>
          </cell>
          <cell r="I33">
            <v>3611388.0164327142</v>
          </cell>
          <cell r="J33">
            <v>1.2383468899999999</v>
          </cell>
          <cell r="K33">
            <v>1401971.9714086798</v>
          </cell>
        </row>
        <row r="34">
          <cell r="B34" t="str">
            <v>TTU</v>
          </cell>
          <cell r="C34">
            <v>37219579.077593289</v>
          </cell>
          <cell r="D34">
            <v>18609789.538796645</v>
          </cell>
          <cell r="E34">
            <v>9063945.8867170513</v>
          </cell>
          <cell r="F34">
            <v>9545843.6520795934</v>
          </cell>
          <cell r="G34">
            <v>18609789.538796645</v>
          </cell>
          <cell r="H34">
            <v>9063945.8867170513</v>
          </cell>
          <cell r="I34">
            <v>9545843.6520795934</v>
          </cell>
          <cell r="J34">
            <v>0.97215363999999993</v>
          </cell>
          <cell r="K34">
            <v>3705778.8259719131</v>
          </cell>
        </row>
        <row r="35">
          <cell r="B35" t="str">
            <v>Angelo</v>
          </cell>
          <cell r="C35">
            <v>6818350.2517482918</v>
          </cell>
          <cell r="D35">
            <v>3409175.1258741459</v>
          </cell>
          <cell r="E35">
            <v>1459207.53512762</v>
          </cell>
          <cell r="F35">
            <v>1949967.5907465261</v>
          </cell>
          <cell r="G35">
            <v>3409175.1258741459</v>
          </cell>
          <cell r="H35">
            <v>1459207.53512762</v>
          </cell>
          <cell r="I35">
            <v>1949967.5907465261</v>
          </cell>
          <cell r="J35">
            <v>1.2335257599999998</v>
          </cell>
          <cell r="K35">
            <v>756994.23461075663</v>
          </cell>
        </row>
        <row r="36">
          <cell r="B36" t="str">
            <v>TWU</v>
          </cell>
          <cell r="C36">
            <v>11476034.973522253</v>
          </cell>
          <cell r="D36">
            <v>5738017.4867611267</v>
          </cell>
          <cell r="E36">
            <v>2683554.5877049631</v>
          </cell>
          <cell r="F36">
            <v>3054462.8990561636</v>
          </cell>
          <cell r="G36">
            <v>5738017.4867611267</v>
          </cell>
          <cell r="H36">
            <v>2683554.5877049631</v>
          </cell>
          <cell r="I36">
            <v>3054462.8990561636</v>
          </cell>
          <cell r="J36">
            <v>1.0506602800000002</v>
          </cell>
          <cell r="K36">
            <v>1185768.8381029789</v>
          </cell>
        </row>
        <row r="37">
          <cell r="B37" t="str">
            <v>Lamar</v>
          </cell>
          <cell r="C37">
            <v>10567161.268997066</v>
          </cell>
          <cell r="D37">
            <v>5283580.6344985329</v>
          </cell>
          <cell r="E37">
            <v>2648234.3619206231</v>
          </cell>
          <cell r="F37">
            <v>2635346.2725779093</v>
          </cell>
          <cell r="G37">
            <v>5283580.6344985329</v>
          </cell>
          <cell r="H37">
            <v>2648234.3619206231</v>
          </cell>
          <cell r="I37">
            <v>2635346.2725779093</v>
          </cell>
          <cell r="J37">
            <v>0.91858460999999991</v>
          </cell>
          <cell r="K37">
            <v>1023064.1493793651</v>
          </cell>
        </row>
        <row r="38">
          <cell r="B38" t="str">
            <v>Sam Houston</v>
          </cell>
          <cell r="C38">
            <v>15181113.590270456</v>
          </cell>
          <cell r="D38">
            <v>7590556.795135228</v>
          </cell>
          <cell r="E38">
            <v>3562081.3122848826</v>
          </cell>
          <cell r="F38">
            <v>4028475.4828503453</v>
          </cell>
          <cell r="G38">
            <v>7590556.795135228</v>
          </cell>
          <cell r="H38">
            <v>3562081.3122848826</v>
          </cell>
          <cell r="I38">
            <v>4028475.4828503453</v>
          </cell>
          <cell r="J38">
            <v>1.0439381999999999</v>
          </cell>
          <cell r="K38">
            <v>1563888.9226979467</v>
          </cell>
        </row>
        <row r="39">
          <cell r="B39" t="str">
            <v>TxStU-SM</v>
          </cell>
          <cell r="C39">
            <v>29555589.025835741</v>
          </cell>
          <cell r="D39">
            <v>14777794.512917871</v>
          </cell>
          <cell r="E39">
            <v>6649786.6955529982</v>
          </cell>
          <cell r="F39">
            <v>8128007.8173648724</v>
          </cell>
          <cell r="G39">
            <v>14777794.512917871</v>
          </cell>
          <cell r="H39">
            <v>6649786.6955529982</v>
          </cell>
          <cell r="I39">
            <v>8128007.8173648724</v>
          </cell>
          <cell r="J39">
            <v>1.1282732500000001</v>
          </cell>
          <cell r="K39">
            <v>3155362.7279829853</v>
          </cell>
        </row>
        <row r="40">
          <cell r="B40" t="str">
            <v>Sul Ross</v>
          </cell>
          <cell r="C40">
            <v>3359581.6448495379</v>
          </cell>
          <cell r="D40">
            <v>1679790.8224247689</v>
          </cell>
          <cell r="E40">
            <v>601522.76901936834</v>
          </cell>
          <cell r="F40">
            <v>1078268.0534054006</v>
          </cell>
          <cell r="G40">
            <v>1679790.8224247689</v>
          </cell>
          <cell r="H40">
            <v>601522.76901936834</v>
          </cell>
          <cell r="I40">
            <v>1078268.0534054006</v>
          </cell>
          <cell r="J40">
            <v>1.6546744499999999</v>
          </cell>
          <cell r="K40">
            <v>418592.95696312626</v>
          </cell>
        </row>
        <row r="41">
          <cell r="B41" t="str">
            <v>Sul Ross - RG</v>
          </cell>
          <cell r="C41">
            <v>344152.88510861818</v>
          </cell>
          <cell r="D41">
            <v>172076.44255430909</v>
          </cell>
          <cell r="E41">
            <v>172076.44255430909</v>
          </cell>
          <cell r="F41">
            <v>0</v>
          </cell>
          <cell r="G41">
            <v>172076.44255430909</v>
          </cell>
          <cell r="H41">
            <v>172076.44255430909</v>
          </cell>
          <cell r="I41">
            <v>0</v>
          </cell>
          <cell r="J41">
            <v>0</v>
          </cell>
          <cell r="K41">
            <v>0</v>
          </cell>
        </row>
        <row r="42">
          <cell r="B42" t="str">
            <v>TAMU-CVM</v>
          </cell>
          <cell r="C42">
            <v>6459323.375</v>
          </cell>
          <cell r="D42">
            <v>3229661.6875</v>
          </cell>
          <cell r="E42">
            <v>3229661.6875</v>
          </cell>
          <cell r="G42">
            <v>3229661.6875</v>
          </cell>
          <cell r="H42">
            <v>3229661.6875</v>
          </cell>
        </row>
        <row r="43">
          <cell r="B43" t="str">
            <v>Total Universities</v>
          </cell>
          <cell r="C43">
            <v>628335249.85523474</v>
          </cell>
          <cell r="D43">
            <v>314167624.92761737</v>
          </cell>
          <cell r="E43">
            <v>143658962.75088418</v>
          </cell>
          <cell r="F43">
            <v>169106988.17673308</v>
          </cell>
          <cell r="G43">
            <v>314167624.92761737</v>
          </cell>
          <cell r="H43">
            <v>143658962.75088418</v>
          </cell>
          <cell r="I43">
            <v>169106988.17673308</v>
          </cell>
          <cell r="K43">
            <v>65648791.133583836</v>
          </cell>
        </row>
        <row r="44">
          <cell r="B44" t="str">
            <v>TSTC-Harlingen</v>
          </cell>
          <cell r="C44">
            <v>5280450.5362915322</v>
          </cell>
          <cell r="D44">
            <v>2640225.2681457661</v>
          </cell>
          <cell r="E44">
            <v>1040611.9281960414</v>
          </cell>
          <cell r="F44">
            <v>1599613.339949725</v>
          </cell>
          <cell r="G44">
            <v>2640225.2681457661</v>
          </cell>
          <cell r="H44">
            <v>1040611.9281960414</v>
          </cell>
          <cell r="I44">
            <v>1599613.339949725</v>
          </cell>
          <cell r="J44">
            <v>1.4189402599999998</v>
          </cell>
          <cell r="K44">
            <v>620983.69311092887</v>
          </cell>
        </row>
        <row r="45">
          <cell r="B45" t="str">
            <v>TSTC-West Texas</v>
          </cell>
          <cell r="C45">
            <v>2266189.1170991128</v>
          </cell>
          <cell r="D45">
            <v>1133094.5585495564</v>
          </cell>
          <cell r="E45">
            <v>342316.13109345734</v>
          </cell>
          <cell r="F45">
            <v>790778.42745609919</v>
          </cell>
          <cell r="G45">
            <v>1133094.5585495564</v>
          </cell>
          <cell r="H45">
            <v>342316.13109345734</v>
          </cell>
          <cell r="I45">
            <v>790778.42745609919</v>
          </cell>
          <cell r="J45">
            <v>2.13238364</v>
          </cell>
          <cell r="K45">
            <v>306987.00495306886</v>
          </cell>
        </row>
        <row r="46">
          <cell r="B46" t="str">
            <v>TSTC-Marshall</v>
          </cell>
          <cell r="C46">
            <v>788621.28418724553</v>
          </cell>
          <cell r="D46">
            <v>394310.64209362277</v>
          </cell>
          <cell r="E46">
            <v>198982.20301786024</v>
          </cell>
          <cell r="F46">
            <v>195328.43907576252</v>
          </cell>
          <cell r="G46">
            <v>394310.64209362277</v>
          </cell>
          <cell r="H46">
            <v>198982.20301786024</v>
          </cell>
          <cell r="I46">
            <v>195328.43907576252</v>
          </cell>
          <cell r="J46">
            <v>0.90612714000000005</v>
          </cell>
          <cell r="K46">
            <v>75828.184497806418</v>
          </cell>
        </row>
        <row r="47">
          <cell r="B47" t="str">
            <v>TSTC-Waco</v>
          </cell>
          <cell r="C47">
            <v>7258481.7088005599</v>
          </cell>
          <cell r="D47">
            <v>3629240.8544002799</v>
          </cell>
          <cell r="E47">
            <v>1474938.368955266</v>
          </cell>
          <cell r="F47">
            <v>2154302.4854450142</v>
          </cell>
          <cell r="G47">
            <v>3629240.8544002799</v>
          </cell>
          <cell r="H47">
            <v>1474938.368955266</v>
          </cell>
          <cell r="I47">
            <v>2154302.4854450142</v>
          </cell>
          <cell r="J47">
            <v>1.3482508500000001</v>
          </cell>
          <cell r="K47">
            <v>836318.80285003362</v>
          </cell>
        </row>
        <row r="48">
          <cell r="B48" t="str">
            <v>Lamar-IOT</v>
          </cell>
          <cell r="C48">
            <v>2177034.3285536775</v>
          </cell>
          <cell r="D48">
            <v>1088517.1642768388</v>
          </cell>
          <cell r="E48">
            <v>596659.48082407913</v>
          </cell>
          <cell r="F48">
            <v>491857.68345275958</v>
          </cell>
          <cell r="G48">
            <v>1088517.1642768388</v>
          </cell>
          <cell r="H48">
            <v>596659.48082407913</v>
          </cell>
          <cell r="I48">
            <v>491857.68345275958</v>
          </cell>
          <cell r="J48">
            <v>0.76094068999999998</v>
          </cell>
          <cell r="K48">
            <v>190943.39433620911</v>
          </cell>
        </row>
        <row r="49">
          <cell r="B49" t="str">
            <v>Lamar-Orange</v>
          </cell>
          <cell r="C49">
            <v>1896543.1267362759</v>
          </cell>
          <cell r="D49">
            <v>948271.56336813793</v>
          </cell>
          <cell r="E49">
            <v>443748.56014510535</v>
          </cell>
          <cell r="F49">
            <v>504523.00322303263</v>
          </cell>
          <cell r="G49">
            <v>948271.56336813793</v>
          </cell>
          <cell r="H49">
            <v>443748.56014510535</v>
          </cell>
          <cell r="I49">
            <v>504523.00322303263</v>
          </cell>
          <cell r="J49">
            <v>1.0494987099999999</v>
          </cell>
          <cell r="K49">
            <v>195860.18069260585</v>
          </cell>
        </row>
        <row r="50">
          <cell r="B50" t="str">
            <v>Lamar-Port Arthur</v>
          </cell>
          <cell r="C50">
            <v>2209188.043096737</v>
          </cell>
          <cell r="D50">
            <v>1104594.0215483685</v>
          </cell>
          <cell r="E50">
            <v>523516.20297679433</v>
          </cell>
          <cell r="F50">
            <v>581077.81857157417</v>
          </cell>
          <cell r="G50">
            <v>1104594.0215483685</v>
          </cell>
          <cell r="H50">
            <v>523516.20297679433</v>
          </cell>
          <cell r="I50">
            <v>581077.81857157417</v>
          </cell>
          <cell r="J50">
            <v>1.0245710100000001</v>
          </cell>
          <cell r="K50">
            <v>225579.42019460743</v>
          </cell>
        </row>
        <row r="51">
          <cell r="B51" t="str">
            <v>Total TSTC and Lamar</v>
          </cell>
          <cell r="C51">
            <v>21876508.144765139</v>
          </cell>
          <cell r="D51">
            <v>10938254.072382569</v>
          </cell>
          <cell r="E51">
            <v>4620772.8752086032</v>
          </cell>
          <cell r="F51">
            <v>6317481.197173967</v>
          </cell>
          <cell r="G51">
            <v>10938254.072382569</v>
          </cell>
          <cell r="H51">
            <v>4620772.8752086032</v>
          </cell>
          <cell r="I51">
            <v>6317481.197173967</v>
          </cell>
          <cell r="K51">
            <v>2452500.68063526</v>
          </cell>
        </row>
        <row r="52">
          <cell r="B52" t="str">
            <v>Formula Total</v>
          </cell>
          <cell r="C52">
            <v>650211758</v>
          </cell>
          <cell r="D52">
            <v>325105879</v>
          </cell>
          <cell r="E52">
            <v>148279735.62609279</v>
          </cell>
          <cell r="F52">
            <v>175424469.37390703</v>
          </cell>
          <cell r="G52">
            <v>325105879</v>
          </cell>
          <cell r="H52">
            <v>148279735.62609279</v>
          </cell>
          <cell r="I52">
            <v>175424469.37390703</v>
          </cell>
          <cell r="K52">
            <v>68101291.814219102</v>
          </cell>
        </row>
        <row r="54">
          <cell r="B54" t="str">
            <v>Small Institution Set-Aside</v>
          </cell>
          <cell r="C54">
            <v>26628150</v>
          </cell>
          <cell r="D54" t="str">
            <v>Not included in Table Above</v>
          </cell>
        </row>
        <row r="55">
          <cell r="B55" t="str">
            <v>TAMUG Set-Aside</v>
          </cell>
          <cell r="C55">
            <v>2803348</v>
          </cell>
          <cell r="D55" t="str">
            <v>Added to TAMUG's Annual amount in table above</v>
          </cell>
        </row>
        <row r="56">
          <cell r="B56" t="str">
            <v>Total Appropriation</v>
          </cell>
          <cell r="C56">
            <v>676839908</v>
          </cell>
        </row>
        <row r="57">
          <cell r="B57" t="str">
            <v/>
          </cell>
          <cell r="C57" t="str">
            <v>Rates</v>
          </cell>
          <cell r="D57">
            <v>4.9537202571176158</v>
          </cell>
          <cell r="E57">
            <v>2.3777857234164554</v>
          </cell>
          <cell r="F57">
            <v>2.5759345337011603</v>
          </cell>
          <cell r="G57">
            <v>4.9537202571176158</v>
          </cell>
          <cell r="H57">
            <v>2.3777857234164554</v>
          </cell>
          <cell r="I57">
            <v>2.5759345337011603</v>
          </cell>
          <cell r="J57" t="str">
            <v>HRI Rate3</v>
          </cell>
          <cell r="K57">
            <v>6.25</v>
          </cell>
        </row>
        <row r="58">
          <cell r="C58" t="str">
            <v>Percentages2</v>
          </cell>
          <cell r="D58">
            <v>1</v>
          </cell>
          <cell r="E58">
            <v>0.48</v>
          </cell>
          <cell r="F58">
            <v>0.52</v>
          </cell>
          <cell r="G58">
            <v>1</v>
          </cell>
          <cell r="H58">
            <v>0.52</v>
          </cell>
          <cell r="I58">
            <v>0.48</v>
          </cell>
        </row>
        <row r="59">
          <cell r="D59">
            <v>5.8541475290984097</v>
          </cell>
          <cell r="E59">
            <v>0.90042727198079398</v>
          </cell>
        </row>
        <row r="68">
          <cell r="C68" t="str">
            <v>FY 2012 - FY 2013 Total</v>
          </cell>
          <cell r="D68" t="str">
            <v>FY 2012</v>
          </cell>
          <cell r="E68" t="str">
            <v>O&amp;M 
Funding</v>
          </cell>
          <cell r="F68" t="str">
            <v>Utility 
Funding</v>
          </cell>
          <cell r="G68" t="str">
            <v>FY 2013</v>
          </cell>
          <cell r="H68" t="str">
            <v>O&amp;M 
Funding</v>
          </cell>
          <cell r="I68" t="str">
            <v>Utility 
Funding</v>
          </cell>
          <cell r="J68" t="str">
            <v>Utility Rate Adjustment</v>
          </cell>
          <cell r="K68" t="str">
            <v>Adjusted Utility Square Feet</v>
          </cell>
        </row>
        <row r="69">
          <cell r="B69" t="str">
            <v>Texas Engineering Experiment Station (TEES)</v>
          </cell>
          <cell r="C69">
            <v>7933803.3100056592</v>
          </cell>
          <cell r="D69">
            <v>3966901.6550028296</v>
          </cell>
          <cell r="E69">
            <v>1902261.8677332923</v>
          </cell>
          <cell r="F69">
            <v>2064639.7872695373</v>
          </cell>
          <cell r="G69">
            <v>3966901.6550028296</v>
          </cell>
          <cell r="H69">
            <v>1902261.8677332923</v>
          </cell>
          <cell r="I69">
            <v>2064639.7872695373</v>
          </cell>
          <cell r="J69">
            <v>1.00187118</v>
          </cell>
          <cell r="K69">
            <v>801510.97019651998</v>
          </cell>
        </row>
        <row r="70">
          <cell r="B70" t="str">
            <v>Texas Engineering Extension Service (TEEX)</v>
          </cell>
          <cell r="C70">
            <v>2895728.0293867262</v>
          </cell>
          <cell r="D70">
            <v>1447864.0146933631</v>
          </cell>
          <cell r="E70">
            <v>694299.16452326451</v>
          </cell>
          <cell r="F70">
            <v>753564.85017009871</v>
          </cell>
          <cell r="G70">
            <v>1447864.0146933631</v>
          </cell>
          <cell r="H70">
            <v>694299.16452326451</v>
          </cell>
          <cell r="I70">
            <v>753564.85017009871</v>
          </cell>
          <cell r="J70">
            <v>1.00187118</v>
          </cell>
          <cell r="K70">
            <v>292540.37333292002</v>
          </cell>
        </row>
        <row r="71">
          <cell r="B71" t="str">
            <v>Texas Transportation Institute (TTI)</v>
          </cell>
          <cell r="C71">
            <v>3351318.7116268617</v>
          </cell>
          <cell r="D71">
            <v>1675659.3558134309</v>
          </cell>
          <cell r="E71">
            <v>803534.64065701643</v>
          </cell>
          <cell r="F71">
            <v>872124.71515641443</v>
          </cell>
          <cell r="G71">
            <v>1675659.3558134309</v>
          </cell>
          <cell r="H71">
            <v>803534.64065701643</v>
          </cell>
          <cell r="I71">
            <v>872124.71515641443</v>
          </cell>
          <cell r="J71">
            <v>1.00187118</v>
          </cell>
          <cell r="K71">
            <v>338566.33534211997</v>
          </cell>
        </row>
        <row r="72">
          <cell r="B72" t="str">
            <v>Texas AgriLife Research (TAES)</v>
          </cell>
          <cell r="C72">
            <v>10000274.977654513</v>
          </cell>
          <cell r="D72">
            <v>5000137.4888272565</v>
          </cell>
          <cell r="E72">
            <v>2397732.9678501962</v>
          </cell>
          <cell r="F72">
            <v>2602404.5209770598</v>
          </cell>
          <cell r="G72">
            <v>5000137.4888272565</v>
          </cell>
          <cell r="H72">
            <v>2397732.9678501962</v>
          </cell>
          <cell r="I72">
            <v>2602404.5209770598</v>
          </cell>
          <cell r="J72">
            <v>1.00187118</v>
          </cell>
          <cell r="K72">
            <v>1010275.8773290199</v>
          </cell>
        </row>
        <row r="73">
          <cell r="B73" t="str">
            <v>Texas AgriLife Extension Service (TAEX)</v>
          </cell>
          <cell r="C73">
            <v>1285997.4253262866</v>
          </cell>
          <cell r="D73">
            <v>642998.71266314329</v>
          </cell>
          <cell r="E73">
            <v>308339.36368402885</v>
          </cell>
          <cell r="F73">
            <v>334659.34897911444</v>
          </cell>
          <cell r="G73">
            <v>642998.71266314329</v>
          </cell>
          <cell r="H73">
            <v>308339.36368402885</v>
          </cell>
          <cell r="I73">
            <v>334659.34897911444</v>
          </cell>
          <cell r="J73">
            <v>1.00187118</v>
          </cell>
          <cell r="K73">
            <v>129917.6452665</v>
          </cell>
        </row>
        <row r="74">
          <cell r="B74" t="str">
            <v>Texas Vet. Med. Diagnostic Lab. (TVMDL)4</v>
          </cell>
          <cell r="C74">
            <v>984567.76083588763</v>
          </cell>
          <cell r="D74">
            <v>492283.88041794382</v>
          </cell>
          <cell r="E74">
            <v>236066.56662078568</v>
          </cell>
          <cell r="F74">
            <v>256217.31379715813</v>
          </cell>
          <cell r="G74">
            <v>492283.88041794382</v>
          </cell>
          <cell r="H74">
            <v>236066.56662078568</v>
          </cell>
          <cell r="I74">
            <v>256217.31379715813</v>
          </cell>
          <cell r="J74">
            <v>1.00187118</v>
          </cell>
          <cell r="K74">
            <v>99465.770750399999</v>
          </cell>
        </row>
        <row r="75">
          <cell r="B75" t="str">
            <v>Texas Forest Service (TFS)</v>
          </cell>
          <cell r="C75">
            <v>210995.80660298493</v>
          </cell>
          <cell r="D75">
            <v>105497.90330149246</v>
          </cell>
          <cell r="E75">
            <v>50589.769051408504</v>
          </cell>
          <cell r="F75">
            <v>54908.13425008396</v>
          </cell>
          <cell r="G75">
            <v>105497.90330149246</v>
          </cell>
          <cell r="H75">
            <v>50589.769051408504</v>
          </cell>
          <cell r="I75">
            <v>54908.13425008396</v>
          </cell>
          <cell r="J75">
            <v>1.00187118</v>
          </cell>
          <cell r="K75">
            <v>21315.811225679998</v>
          </cell>
        </row>
        <row r="76">
          <cell r="B76" t="str">
            <v>Total</v>
          </cell>
          <cell r="C76">
            <v>26662686.021438919</v>
          </cell>
          <cell r="D76">
            <v>13331343.01071946</v>
          </cell>
          <cell r="E76">
            <v>6392824.3401199915</v>
          </cell>
          <cell r="F76">
            <v>6938518.6705994671</v>
          </cell>
          <cell r="G76">
            <v>13331343.01071946</v>
          </cell>
          <cell r="H76">
            <v>6392824.3401199915</v>
          </cell>
          <cell r="I76">
            <v>6938518.6705994671</v>
          </cell>
          <cell r="K76">
            <v>2693592.7834431599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4"/>
  <sheetViews>
    <sheetView showGridLines="0" tabSelected="1" zoomScale="70" zoomScaleNormal="70" workbookViewId="0">
      <pane xSplit="2" ySplit="3" topLeftCell="C4" activePane="bottomRight" state="frozen"/>
      <selection activeCell="W30" sqref="W30"/>
      <selection pane="topRight" activeCell="W30" sqref="W30"/>
      <selection pane="bottomLeft" activeCell="W30" sqref="W30"/>
      <selection pane="bottomRight" activeCell="W30" sqref="W30"/>
    </sheetView>
  </sheetViews>
  <sheetFormatPr defaultRowHeight="12.75" x14ac:dyDescent="0.2"/>
  <cols>
    <col min="1" max="1" width="7.42578125" hidden="1" customWidth="1"/>
    <col min="2" max="2" width="13.85546875" customWidth="1"/>
    <col min="3" max="3" width="1.7109375" customWidth="1"/>
    <col min="4" max="4" width="14.140625" customWidth="1"/>
    <col min="5" max="5" width="1.7109375" customWidth="1"/>
    <col min="6" max="6" width="14.140625" customWidth="1"/>
    <col min="7" max="7" width="12.28515625" customWidth="1"/>
    <col min="8" max="8" width="8.7109375" style="144" customWidth="1"/>
    <col min="9" max="9" width="1.7109375" customWidth="1"/>
    <col min="10" max="10" width="14.140625" customWidth="1"/>
    <col min="11" max="11" width="12.28515625" customWidth="1"/>
    <col min="12" max="12" width="8.7109375" style="144" customWidth="1"/>
    <col min="13" max="13" width="1.7109375" customWidth="1"/>
    <col min="14" max="14" width="14.140625" customWidth="1"/>
    <col min="15" max="15" width="12.28515625" customWidth="1"/>
    <col min="16" max="16" width="8.7109375" customWidth="1"/>
    <col min="17" max="17" width="1.7109375" customWidth="1"/>
    <col min="18" max="18" width="14.140625" customWidth="1"/>
    <col min="19" max="19" width="12.28515625" customWidth="1"/>
    <col min="20" max="20" width="8.7109375" customWidth="1"/>
    <col min="21" max="21" width="1.7109375" customWidth="1"/>
    <col min="22" max="22" width="14.140625" customWidth="1"/>
    <col min="23" max="23" width="12.28515625" customWidth="1"/>
    <col min="24" max="24" width="8.7109375" customWidth="1"/>
    <col min="25" max="25" width="1.7109375" customWidth="1"/>
    <col min="26" max="26" width="14.140625" customWidth="1"/>
    <col min="27" max="27" width="14.7109375" customWidth="1"/>
    <col min="28" max="28" width="8.7109375" customWidth="1"/>
  </cols>
  <sheetData>
    <row r="1" spans="1:28" ht="12.75" customHeight="1" x14ac:dyDescent="0.2">
      <c r="B1" s="149" t="s">
        <v>155</v>
      </c>
      <c r="C1" s="149"/>
      <c r="D1" s="149"/>
      <c r="E1" s="149"/>
      <c r="F1" s="149"/>
    </row>
    <row r="2" spans="1:28" s="147" customFormat="1" ht="13.5" thickBot="1" x14ac:dyDescent="0.25">
      <c r="C2" s="148"/>
      <c r="D2" s="240"/>
      <c r="E2" s="148"/>
      <c r="F2" s="271" t="s">
        <v>108</v>
      </c>
      <c r="G2" s="271"/>
      <c r="H2" s="271"/>
      <c r="I2" s="148"/>
      <c r="J2" s="271" t="s">
        <v>107</v>
      </c>
      <c r="K2" s="271"/>
      <c r="L2" s="271"/>
      <c r="M2" s="148"/>
      <c r="N2" s="271" t="s">
        <v>109</v>
      </c>
      <c r="O2" s="271"/>
      <c r="P2" s="271"/>
      <c r="Q2" s="148"/>
      <c r="R2" s="271" t="s">
        <v>110</v>
      </c>
      <c r="S2" s="271"/>
      <c r="T2" s="271"/>
      <c r="U2" s="148"/>
      <c r="V2" s="271" t="s">
        <v>129</v>
      </c>
      <c r="W2" s="271"/>
      <c r="X2" s="271"/>
      <c r="Y2" s="148"/>
      <c r="Z2" s="271" t="s">
        <v>151</v>
      </c>
      <c r="AA2" s="271"/>
      <c r="AB2" s="271"/>
    </row>
    <row r="3" spans="1:28" ht="88.5" customHeight="1" x14ac:dyDescent="0.2">
      <c r="A3" s="137" t="s">
        <v>24</v>
      </c>
      <c r="B3" s="138"/>
      <c r="C3" s="140"/>
      <c r="D3" s="108" t="s">
        <v>144</v>
      </c>
      <c r="E3" s="140"/>
      <c r="F3" s="108" t="s">
        <v>146</v>
      </c>
      <c r="G3" s="105" t="s">
        <v>145</v>
      </c>
      <c r="H3" s="110" t="s">
        <v>143</v>
      </c>
      <c r="I3" s="140"/>
      <c r="J3" s="108" t="s">
        <v>106</v>
      </c>
      <c r="K3" s="105" t="s">
        <v>145</v>
      </c>
      <c r="L3" s="110" t="s">
        <v>143</v>
      </c>
      <c r="M3" s="140"/>
      <c r="N3" s="108" t="s">
        <v>115</v>
      </c>
      <c r="O3" s="105" t="s">
        <v>145</v>
      </c>
      <c r="P3" s="110" t="s">
        <v>143</v>
      </c>
      <c r="Q3" s="140"/>
      <c r="R3" s="108" t="s">
        <v>138</v>
      </c>
      <c r="S3" s="105" t="s">
        <v>145</v>
      </c>
      <c r="T3" s="110" t="s">
        <v>143</v>
      </c>
      <c r="U3" s="140"/>
      <c r="V3" s="108" t="s">
        <v>139</v>
      </c>
      <c r="W3" s="105" t="s">
        <v>145</v>
      </c>
      <c r="X3" s="110" t="s">
        <v>143</v>
      </c>
      <c r="Y3" s="140"/>
      <c r="Z3" s="108" t="s">
        <v>152</v>
      </c>
      <c r="AA3" s="105" t="s">
        <v>145</v>
      </c>
      <c r="AB3" s="110" t="s">
        <v>143</v>
      </c>
    </row>
    <row r="4" spans="1:28" x14ac:dyDescent="0.2">
      <c r="A4" s="40">
        <v>3656</v>
      </c>
      <c r="B4" s="39" t="s">
        <v>73</v>
      </c>
      <c r="C4" s="141"/>
      <c r="D4" s="241">
        <f>'Option 1'!C5</f>
        <v>13496783.238389459</v>
      </c>
      <c r="E4" s="141"/>
      <c r="F4" s="241">
        <f>'Option 2'!C5</f>
        <v>16200441.774191707</v>
      </c>
      <c r="G4" s="245">
        <f>F4-$D4</f>
        <v>2703658.5358022489</v>
      </c>
      <c r="H4" s="205">
        <f>G4/$D4</f>
        <v>0.20031873432716332</v>
      </c>
      <c r="I4" s="141"/>
      <c r="J4" s="241">
        <f>'Option 6'!Q5</f>
        <v>13517159.897597879</v>
      </c>
      <c r="K4" s="245">
        <f>J4-$D4</f>
        <v>20376.659208420664</v>
      </c>
      <c r="L4" s="205">
        <f>K4/$D4</f>
        <v>1.5097419028307789E-3</v>
      </c>
      <c r="M4" s="141"/>
      <c r="N4" s="241">
        <f>'Option 7'!Q5</f>
        <v>11118076.676226448</v>
      </c>
      <c r="O4" s="245">
        <f>N4-$D4</f>
        <v>-2378706.5621630102</v>
      </c>
      <c r="P4" s="205">
        <f>O4/$D4</f>
        <v>-0.17624248090442446</v>
      </c>
      <c r="Q4" s="141"/>
      <c r="R4" s="241">
        <f>'Option 8'!R5</f>
        <v>13294588.343392901</v>
      </c>
      <c r="S4" s="245">
        <f>R4-$D4</f>
        <v>-202194.89499655738</v>
      </c>
      <c r="T4" s="205">
        <f>S4/$D4</f>
        <v>-1.4980969274326499E-2</v>
      </c>
      <c r="U4" s="141"/>
      <c r="V4" s="241">
        <f>'Option 9'!R5</f>
        <v>13624729.791159937</v>
      </c>
      <c r="W4" s="245">
        <f>V4-$D4</f>
        <v>127946.55277047865</v>
      </c>
      <c r="X4" s="205">
        <f>W4/$D4</f>
        <v>9.4797812568075471E-3</v>
      </c>
      <c r="Y4" s="141"/>
      <c r="Z4" s="241">
        <f>'Option 10'!Q5</f>
        <v>13587701.544326799</v>
      </c>
      <c r="AA4" s="245">
        <f>Z4-$D4</f>
        <v>90918.305937340483</v>
      </c>
      <c r="AB4" s="205">
        <f>AA4/$D4</f>
        <v>6.7362944437558856E-3</v>
      </c>
    </row>
    <row r="5" spans="1:28" x14ac:dyDescent="0.2">
      <c r="A5" s="20">
        <v>3658</v>
      </c>
      <c r="B5" s="19" t="s">
        <v>72</v>
      </c>
      <c r="C5" s="141"/>
      <c r="D5" s="243">
        <f>'Option 1'!C6</f>
        <v>25249293.219997793</v>
      </c>
      <c r="E5" s="141"/>
      <c r="F5" s="243">
        <f>'Option 2'!C6</f>
        <v>24554575.248409193</v>
      </c>
      <c r="G5" s="244">
        <f t="shared" ref="G5:G42" si="0">F5-$D5</f>
        <v>-694717.97158860043</v>
      </c>
      <c r="H5" s="205">
        <f t="shared" ref="H5:H42" si="1">G5/$D5</f>
        <v>-2.7514353195374756E-2</v>
      </c>
      <c r="I5" s="141"/>
      <c r="J5" s="243">
        <f>'Option 6'!Q6</f>
        <v>21368341.741990503</v>
      </c>
      <c r="K5" s="244">
        <f t="shared" ref="K5:K42" si="2">J5-$D5</f>
        <v>-3880951.4780072905</v>
      </c>
      <c r="L5" s="205">
        <f t="shared" ref="L5:L42" si="3">K5/$D5</f>
        <v>-0.15370535104457983</v>
      </c>
      <c r="M5" s="141"/>
      <c r="N5" s="243">
        <f>'Option 7'!Q6</f>
        <v>25128708.585688237</v>
      </c>
      <c r="O5" s="244">
        <f t="shared" ref="O5:O42" si="4">N5-$D5</f>
        <v>-120584.63430955634</v>
      </c>
      <c r="P5" s="205">
        <f t="shared" ref="P5:P42" si="5">O5/$D5</f>
        <v>-4.7757627613137154E-3</v>
      </c>
      <c r="Q5" s="141"/>
      <c r="R5" s="243">
        <f>'Option 8'!R6</f>
        <v>24078646.693250157</v>
      </c>
      <c r="S5" s="244">
        <f t="shared" ref="S5:S42" si="6">R5-$D5</f>
        <v>-1170646.5267476365</v>
      </c>
      <c r="T5" s="205">
        <f t="shared" ref="T5:T42" si="7">S5/$D5</f>
        <v>-4.6363536458140064E-2</v>
      </c>
      <c r="U5" s="141"/>
      <c r="V5" s="243">
        <f>'Option 9'!R6</f>
        <v>25267701.086867508</v>
      </c>
      <c r="W5" s="244">
        <f t="shared" ref="W5:W42" si="8">V5-$D5</f>
        <v>18407.866869714111</v>
      </c>
      <c r="X5" s="205">
        <f t="shared" ref="X5:X42" si="9">W5/$D5</f>
        <v>7.2904483738716393E-4</v>
      </c>
      <c r="Y5" s="141"/>
      <c r="Z5" s="243">
        <f>'Option 10'!Q6</f>
        <v>25281148.547660995</v>
      </c>
      <c r="AA5" s="244">
        <f t="shared" ref="AA5:AA42" si="10">Z5-$D5</f>
        <v>31855.327663201839</v>
      </c>
      <c r="AB5" s="205">
        <f t="shared" ref="AB5:AB42" si="11">AA5/$D5</f>
        <v>1.2616324498925765E-3</v>
      </c>
    </row>
    <row r="6" spans="1:28" x14ac:dyDescent="0.2">
      <c r="A6" s="20">
        <v>9741</v>
      </c>
      <c r="B6" s="19" t="s">
        <v>71</v>
      </c>
      <c r="C6" s="141"/>
      <c r="D6" s="243">
        <f>'Option 1'!C7</f>
        <v>6570818.6052914336</v>
      </c>
      <c r="E6" s="141"/>
      <c r="F6" s="243">
        <f>'Option 2'!C7</f>
        <v>8212776.3448556559</v>
      </c>
      <c r="G6" s="244">
        <f t="shared" si="0"/>
        <v>1641957.7395642223</v>
      </c>
      <c r="H6" s="205">
        <f t="shared" si="1"/>
        <v>0.24988632896393842</v>
      </c>
      <c r="I6" s="141"/>
      <c r="J6" s="243">
        <f>'Option 6'!Q7</f>
        <v>6818134.6851198003</v>
      </c>
      <c r="K6" s="244">
        <f t="shared" si="2"/>
        <v>247316.07982836664</v>
      </c>
      <c r="L6" s="205">
        <f t="shared" si="3"/>
        <v>3.7638549271350262E-2</v>
      </c>
      <c r="M6" s="141"/>
      <c r="N6" s="243">
        <f>'Option 7'!Q7</f>
        <v>5888056.1063503604</v>
      </c>
      <c r="O6" s="244">
        <f t="shared" si="4"/>
        <v>-682762.49894107319</v>
      </c>
      <c r="P6" s="205">
        <f t="shared" si="5"/>
        <v>-0.10390828600735522</v>
      </c>
      <c r="Q6" s="141"/>
      <c r="R6" s="243">
        <f>'Option 8'!R7</f>
        <v>6642844.6167092817</v>
      </c>
      <c r="S6" s="244">
        <f t="shared" si="6"/>
        <v>72026.011417848058</v>
      </c>
      <c r="T6" s="205">
        <f t="shared" si="7"/>
        <v>1.0961497454799015E-2</v>
      </c>
      <c r="U6" s="141"/>
      <c r="V6" s="243">
        <f>'Option 9'!R7</f>
        <v>6904301.7249797257</v>
      </c>
      <c r="W6" s="244">
        <f t="shared" si="8"/>
        <v>333483.11968829203</v>
      </c>
      <c r="X6" s="205">
        <f t="shared" si="9"/>
        <v>5.075214211814346E-2</v>
      </c>
      <c r="Y6" s="141"/>
      <c r="Z6" s="243">
        <f>'Option 10'!Q7</f>
        <v>6893754.7907856219</v>
      </c>
      <c r="AA6" s="244">
        <f t="shared" si="10"/>
        <v>322936.18549418822</v>
      </c>
      <c r="AB6" s="205">
        <f t="shared" si="11"/>
        <v>4.9147024882733786E-2</v>
      </c>
    </row>
    <row r="7" spans="1:28" x14ac:dyDescent="0.2">
      <c r="A7" s="20">
        <v>3661</v>
      </c>
      <c r="B7" s="19" t="s">
        <v>70</v>
      </c>
      <c r="C7" s="141"/>
      <c r="D7" s="243">
        <f>'Option 1'!C8</f>
        <v>8883399.6127551813</v>
      </c>
      <c r="E7" s="141"/>
      <c r="F7" s="243">
        <f>'Option 2'!C8</f>
        <v>7826451.4571868228</v>
      </c>
      <c r="G7" s="244">
        <f t="shared" si="0"/>
        <v>-1056948.1555683585</v>
      </c>
      <c r="H7" s="205">
        <f t="shared" si="1"/>
        <v>-0.11898014292307026</v>
      </c>
      <c r="I7" s="141"/>
      <c r="J7" s="243">
        <f>'Option 6'!Q8</f>
        <v>8579739.9271562696</v>
      </c>
      <c r="K7" s="244">
        <f t="shared" si="2"/>
        <v>-303659.68559891172</v>
      </c>
      <c r="L7" s="205">
        <f t="shared" si="3"/>
        <v>-3.4182824012881689E-2</v>
      </c>
      <c r="M7" s="141"/>
      <c r="N7" s="243">
        <f>'Option 7'!Q8</f>
        <v>7597492.5326057822</v>
      </c>
      <c r="O7" s="244">
        <f t="shared" si="4"/>
        <v>-1285907.0801493991</v>
      </c>
      <c r="P7" s="205">
        <f t="shared" si="5"/>
        <v>-0.14475393837996844</v>
      </c>
      <c r="Q7" s="141"/>
      <c r="R7" s="243">
        <f>'Option 8'!R8</f>
        <v>8821676.304932747</v>
      </c>
      <c r="S7" s="244">
        <f t="shared" si="6"/>
        <v>-61723.307822434232</v>
      </c>
      <c r="T7" s="205">
        <f t="shared" si="7"/>
        <v>-6.9481629233260154E-3</v>
      </c>
      <c r="U7" s="141"/>
      <c r="V7" s="243">
        <f>'Option 9'!R8</f>
        <v>8133051.8812047439</v>
      </c>
      <c r="W7" s="244">
        <f t="shared" si="8"/>
        <v>-750347.7315504374</v>
      </c>
      <c r="X7" s="205">
        <f t="shared" si="9"/>
        <v>-8.4466281407970731E-2</v>
      </c>
      <c r="Y7" s="141"/>
      <c r="Z7" s="243">
        <f>'Option 10'!Q8</f>
        <v>8144354.8632405978</v>
      </c>
      <c r="AA7" s="244">
        <f t="shared" si="10"/>
        <v>-739044.7495145835</v>
      </c>
      <c r="AB7" s="205">
        <f t="shared" si="11"/>
        <v>-8.3193910184275632E-2</v>
      </c>
    </row>
    <row r="8" spans="1:28" x14ac:dyDescent="0.2">
      <c r="A8" s="20">
        <v>3599</v>
      </c>
      <c r="B8" s="19" t="s">
        <v>69</v>
      </c>
      <c r="C8" s="141"/>
      <c r="D8" s="243">
        <f>'Option 1'!C9</f>
        <v>7852361.7617692836</v>
      </c>
      <c r="E8" s="141"/>
      <c r="F8" s="243">
        <f>'Option 2'!C9</f>
        <v>6535642.3894613897</v>
      </c>
      <c r="G8" s="244">
        <f t="shared" si="0"/>
        <v>-1316719.3723078938</v>
      </c>
      <c r="H8" s="205">
        <f t="shared" si="1"/>
        <v>-0.16768450209701144</v>
      </c>
      <c r="I8" s="141"/>
      <c r="J8" s="243">
        <f>'Option 6'!Q9</f>
        <v>7744949.2154582152</v>
      </c>
      <c r="K8" s="244">
        <f t="shared" si="2"/>
        <v>-107412.54631106835</v>
      </c>
      <c r="L8" s="205">
        <f t="shared" si="3"/>
        <v>-1.3679011432461856E-2</v>
      </c>
      <c r="M8" s="141"/>
      <c r="N8" s="243">
        <f>'Option 7'!Q9</f>
        <v>7064082.9287372138</v>
      </c>
      <c r="O8" s="244">
        <f t="shared" si="4"/>
        <v>-788278.83303206973</v>
      </c>
      <c r="P8" s="205">
        <f t="shared" si="5"/>
        <v>-0.10038748302070788</v>
      </c>
      <c r="Q8" s="141"/>
      <c r="R8" s="243">
        <f>'Option 8'!R9</f>
        <v>7749796.0533723375</v>
      </c>
      <c r="S8" s="244">
        <f t="shared" si="6"/>
        <v>-102565.70839694608</v>
      </c>
      <c r="T8" s="205">
        <f t="shared" si="7"/>
        <v>-1.3061765556486041E-2</v>
      </c>
      <c r="U8" s="141"/>
      <c r="V8" s="243">
        <f>'Option 9'!R9</f>
        <v>7526727.7086973358</v>
      </c>
      <c r="W8" s="244">
        <f t="shared" si="8"/>
        <v>-325634.05307194777</v>
      </c>
      <c r="X8" s="205">
        <f t="shared" si="9"/>
        <v>-4.1469568386082144E-2</v>
      </c>
      <c r="Y8" s="141"/>
      <c r="Z8" s="243">
        <f>'Option 10'!Q9</f>
        <v>7513586.6448719986</v>
      </c>
      <c r="AA8" s="244">
        <f t="shared" si="10"/>
        <v>-338775.11689728498</v>
      </c>
      <c r="AB8" s="205">
        <f t="shared" si="11"/>
        <v>-4.314308575881922E-2</v>
      </c>
    </row>
    <row r="9" spans="1:28" x14ac:dyDescent="0.2">
      <c r="A9" s="20">
        <v>30646</v>
      </c>
      <c r="B9" s="19" t="s">
        <v>68</v>
      </c>
      <c r="C9" s="141"/>
      <c r="D9" s="243">
        <f>'Option 1'!C10</f>
        <v>2590654.6025294806</v>
      </c>
      <c r="E9" s="141"/>
      <c r="F9" s="243">
        <f>'Option 2'!C10</f>
        <v>2612612.4542625137</v>
      </c>
      <c r="G9" s="244">
        <f t="shared" si="0"/>
        <v>21957.85173303308</v>
      </c>
      <c r="H9" s="205">
        <f t="shared" si="1"/>
        <v>8.4757928407722619E-3</v>
      </c>
      <c r="I9" s="141"/>
      <c r="J9" s="243">
        <f>'Option 6'!Q10</f>
        <v>3096284.8626738219</v>
      </c>
      <c r="K9" s="244">
        <f t="shared" si="2"/>
        <v>505630.26014434127</v>
      </c>
      <c r="L9" s="205">
        <f t="shared" si="3"/>
        <v>0.19517470976279533</v>
      </c>
      <c r="M9" s="141"/>
      <c r="N9" s="243">
        <f>'Option 7'!Q10</f>
        <v>3765595.4047160363</v>
      </c>
      <c r="O9" s="244">
        <f t="shared" si="4"/>
        <v>1174940.8021865557</v>
      </c>
      <c r="P9" s="205">
        <f t="shared" si="5"/>
        <v>0.45353047103977473</v>
      </c>
      <c r="Q9" s="141"/>
      <c r="R9" s="243">
        <f>'Option 8'!R10</f>
        <v>2825898.6702508363</v>
      </c>
      <c r="S9" s="244">
        <f t="shared" si="6"/>
        <v>235244.06772135571</v>
      </c>
      <c r="T9" s="205">
        <f t="shared" si="7"/>
        <v>9.0804875143010777E-2</v>
      </c>
      <c r="U9" s="141"/>
      <c r="V9" s="243">
        <f>'Option 9'!R10</f>
        <v>2915925.9712180072</v>
      </c>
      <c r="W9" s="244">
        <f t="shared" si="8"/>
        <v>325271.36868852656</v>
      </c>
      <c r="X9" s="205">
        <f t="shared" si="9"/>
        <v>0.1255556678111146</v>
      </c>
      <c r="Y9" s="141"/>
      <c r="Z9" s="243">
        <f>'Option 10'!Q10</f>
        <v>2917013.7864968823</v>
      </c>
      <c r="AA9" s="244">
        <f t="shared" si="10"/>
        <v>326359.18396740174</v>
      </c>
      <c r="AB9" s="205">
        <f t="shared" si="11"/>
        <v>0.12597556758386433</v>
      </c>
    </row>
    <row r="10" spans="1:28" x14ac:dyDescent="0.2">
      <c r="A10" s="20">
        <v>9930</v>
      </c>
      <c r="B10" s="19" t="s">
        <v>67</v>
      </c>
      <c r="C10" s="141"/>
      <c r="D10" s="243">
        <f>'Option 1'!C11</f>
        <v>1383139.8730878527</v>
      </c>
      <c r="E10" s="141"/>
      <c r="F10" s="243">
        <f>'Option 2'!C11</f>
        <v>1418846.7993475499</v>
      </c>
      <c r="G10" s="244">
        <f t="shared" si="0"/>
        <v>35706.926259697182</v>
      </c>
      <c r="H10" s="205">
        <f t="shared" si="1"/>
        <v>2.5815846216609786E-2</v>
      </c>
      <c r="I10" s="141"/>
      <c r="J10" s="243">
        <f>'Option 6'!Q11</f>
        <v>1667022.6381032043</v>
      </c>
      <c r="K10" s="244">
        <f t="shared" si="2"/>
        <v>283882.76501535159</v>
      </c>
      <c r="L10" s="205">
        <f t="shared" si="3"/>
        <v>0.20524516033333978</v>
      </c>
      <c r="M10" s="141"/>
      <c r="N10" s="243">
        <f>'Option 7'!Q11</f>
        <v>2141129.1785518005</v>
      </c>
      <c r="O10" s="244">
        <f t="shared" si="4"/>
        <v>757989.30546394782</v>
      </c>
      <c r="P10" s="205">
        <f t="shared" si="5"/>
        <v>0.54802071736370417</v>
      </c>
      <c r="Q10" s="141"/>
      <c r="R10" s="243">
        <f>'Option 8'!R11</f>
        <v>1452715.5789602392</v>
      </c>
      <c r="S10" s="244">
        <f t="shared" si="6"/>
        <v>69575.705872386461</v>
      </c>
      <c r="T10" s="205">
        <f t="shared" si="7"/>
        <v>5.0302725867528535E-2</v>
      </c>
      <c r="U10" s="141"/>
      <c r="V10" s="243">
        <f>'Option 9'!R11</f>
        <v>1443317.0092153745</v>
      </c>
      <c r="W10" s="244">
        <f t="shared" si="8"/>
        <v>60177.13612752175</v>
      </c>
      <c r="X10" s="205">
        <f t="shared" si="9"/>
        <v>4.3507628764382737E-2</v>
      </c>
      <c r="Y10" s="141"/>
      <c r="Z10" s="243">
        <f>'Option 10'!Q11</f>
        <v>1445036.007365393</v>
      </c>
      <c r="AA10" s="244">
        <f t="shared" si="10"/>
        <v>61896.134277540259</v>
      </c>
      <c r="AB10" s="205">
        <f t="shared" si="11"/>
        <v>4.4750451839232611E-2</v>
      </c>
    </row>
    <row r="11" spans="1:28" x14ac:dyDescent="0.2">
      <c r="A11" s="20">
        <v>10115</v>
      </c>
      <c r="B11" s="19" t="s">
        <v>66</v>
      </c>
      <c r="C11" s="141"/>
      <c r="D11" s="243">
        <f>'Option 1'!C12</f>
        <v>11812969.063359993</v>
      </c>
      <c r="E11" s="141"/>
      <c r="F11" s="243">
        <f>'Option 2'!C12</f>
        <v>10158025.633901129</v>
      </c>
      <c r="G11" s="244">
        <f t="shared" si="0"/>
        <v>-1654943.429458864</v>
      </c>
      <c r="H11" s="205">
        <f t="shared" si="1"/>
        <v>-0.14009546800490344</v>
      </c>
      <c r="I11" s="141"/>
      <c r="J11" s="243">
        <f>'Option 6'!Q12</f>
        <v>11125838.666221999</v>
      </c>
      <c r="K11" s="244">
        <f t="shared" si="2"/>
        <v>-687130.39713799395</v>
      </c>
      <c r="L11" s="205">
        <f t="shared" si="3"/>
        <v>-5.8167459294314931E-2</v>
      </c>
      <c r="M11" s="141"/>
      <c r="N11" s="243">
        <f>'Option 7'!Q12</f>
        <v>10655166.453993529</v>
      </c>
      <c r="O11" s="244">
        <f t="shared" si="4"/>
        <v>-1157802.6093664635</v>
      </c>
      <c r="P11" s="205">
        <f t="shared" si="5"/>
        <v>-9.801114378243761E-2</v>
      </c>
      <c r="Q11" s="141"/>
      <c r="R11" s="243">
        <f>'Option 8'!R12</f>
        <v>12359126.801485099</v>
      </c>
      <c r="S11" s="244">
        <f t="shared" si="6"/>
        <v>546157.73812510632</v>
      </c>
      <c r="T11" s="205">
        <f t="shared" si="7"/>
        <v>4.6233739815599015E-2</v>
      </c>
      <c r="U11" s="141"/>
      <c r="V11" s="243">
        <f>'Option 9'!R12</f>
        <v>11562255.54156848</v>
      </c>
      <c r="W11" s="244">
        <f t="shared" si="8"/>
        <v>-250713.52179151215</v>
      </c>
      <c r="X11" s="205">
        <f t="shared" si="9"/>
        <v>-2.1223582356542724E-2</v>
      </c>
      <c r="Y11" s="141"/>
      <c r="Z11" s="243">
        <f>'Option 10'!Q12</f>
        <v>11568221.197502898</v>
      </c>
      <c r="AA11" s="244">
        <f t="shared" si="10"/>
        <v>-244747.86585709453</v>
      </c>
      <c r="AB11" s="205">
        <f t="shared" si="11"/>
        <v>-2.0718573336166876E-2</v>
      </c>
    </row>
    <row r="12" spans="1:28" x14ac:dyDescent="0.2">
      <c r="A12" s="20">
        <v>11163</v>
      </c>
      <c r="B12" s="19" t="s">
        <v>65</v>
      </c>
      <c r="C12" s="141"/>
      <c r="D12" s="243">
        <f>'Option 1'!C13</f>
        <v>3168830.6435913104</v>
      </c>
      <c r="E12" s="141"/>
      <c r="F12" s="243">
        <f>'Option 2'!C13</f>
        <v>3008543.4721043003</v>
      </c>
      <c r="G12" s="244">
        <f t="shared" si="0"/>
        <v>-160287.17148701008</v>
      </c>
      <c r="H12" s="205">
        <f t="shared" si="1"/>
        <v>-5.0582435451757959E-2</v>
      </c>
      <c r="I12" s="141"/>
      <c r="J12" s="243">
        <f>'Option 6'!Q13</f>
        <v>3547504.1401445642</v>
      </c>
      <c r="K12" s="244">
        <f t="shared" si="2"/>
        <v>378673.49655325385</v>
      </c>
      <c r="L12" s="205">
        <f t="shared" si="3"/>
        <v>0.11949944289988759</v>
      </c>
      <c r="M12" s="141"/>
      <c r="N12" s="243">
        <f>'Option 7'!Q13</f>
        <v>3610320.0982583826</v>
      </c>
      <c r="O12" s="244">
        <f t="shared" si="4"/>
        <v>441489.45466707228</v>
      </c>
      <c r="P12" s="205">
        <f t="shared" si="5"/>
        <v>0.13932251493463277</v>
      </c>
      <c r="Q12" s="141"/>
      <c r="R12" s="243">
        <f>'Option 8'!R13</f>
        <v>3132119.988770375</v>
      </c>
      <c r="S12" s="244">
        <f t="shared" si="6"/>
        <v>-36710.654820935335</v>
      </c>
      <c r="T12" s="205">
        <f t="shared" si="7"/>
        <v>-1.15849216792887E-2</v>
      </c>
      <c r="U12" s="141"/>
      <c r="V12" s="243">
        <f>'Option 9'!R13</f>
        <v>3127819.2703911611</v>
      </c>
      <c r="W12" s="244">
        <f t="shared" si="8"/>
        <v>-41011.373200149275</v>
      </c>
      <c r="X12" s="205">
        <f t="shared" si="9"/>
        <v>-1.2942115818998179E-2</v>
      </c>
      <c r="Y12" s="141"/>
      <c r="Z12" s="243">
        <f>'Option 10'!Q13</f>
        <v>3128223.8387769349</v>
      </c>
      <c r="AA12" s="244">
        <f t="shared" si="10"/>
        <v>-40606.804814375471</v>
      </c>
      <c r="AB12" s="205">
        <f t="shared" si="11"/>
        <v>-1.281444462691601E-2</v>
      </c>
    </row>
    <row r="13" spans="1:28" x14ac:dyDescent="0.2">
      <c r="A13" s="20">
        <v>3632</v>
      </c>
      <c r="B13" s="19" t="s">
        <v>64</v>
      </c>
      <c r="C13" s="141"/>
      <c r="D13" s="243">
        <f>'Option 1'!C14</f>
        <v>25542032.378393389</v>
      </c>
      <c r="E13" s="141"/>
      <c r="F13" s="243">
        <f>'Option 2'!C14</f>
        <v>24708666.695180122</v>
      </c>
      <c r="G13" s="244">
        <f t="shared" si="0"/>
        <v>-833365.68321326748</v>
      </c>
      <c r="H13" s="205">
        <f t="shared" si="1"/>
        <v>-3.2627226794929257E-2</v>
      </c>
      <c r="I13" s="141"/>
      <c r="J13" s="243">
        <f>'Option 6'!Q14</f>
        <v>23153422.751942676</v>
      </c>
      <c r="K13" s="244">
        <f t="shared" si="2"/>
        <v>-2388609.6264507137</v>
      </c>
      <c r="L13" s="205">
        <f t="shared" si="3"/>
        <v>-9.3516819298659071E-2</v>
      </c>
      <c r="M13" s="141"/>
      <c r="N13" s="243">
        <f>'Option 7'!Q14</f>
        <v>24741372.914675906</v>
      </c>
      <c r="O13" s="244">
        <f t="shared" si="4"/>
        <v>-800659.46371748298</v>
      </c>
      <c r="P13" s="205">
        <f t="shared" si="5"/>
        <v>-3.1346740613905875E-2</v>
      </c>
      <c r="Q13" s="141"/>
      <c r="R13" s="243">
        <f>'Option 8'!R14</f>
        <v>24717597.88207984</v>
      </c>
      <c r="S13" s="244">
        <f t="shared" si="6"/>
        <v>-824434.49631354958</v>
      </c>
      <c r="T13" s="205">
        <f t="shared" si="7"/>
        <v>-3.2277560536293042E-2</v>
      </c>
      <c r="U13" s="141"/>
      <c r="V13" s="243">
        <f>'Option 9'!R14</f>
        <v>25182991.411781061</v>
      </c>
      <c r="W13" s="244">
        <f t="shared" si="8"/>
        <v>-359040.96661232784</v>
      </c>
      <c r="X13" s="205">
        <f t="shared" si="9"/>
        <v>-1.4056867570023484E-2</v>
      </c>
      <c r="Y13" s="141"/>
      <c r="Z13" s="243">
        <f>'Option 10'!Q14</f>
        <v>25181222.117962398</v>
      </c>
      <c r="AA13" s="244">
        <f t="shared" si="10"/>
        <v>-360810.26043099165</v>
      </c>
      <c r="AB13" s="205">
        <f t="shared" si="11"/>
        <v>-1.4126137461802359E-2</v>
      </c>
    </row>
    <row r="14" spans="1:28" x14ac:dyDescent="0.2">
      <c r="A14" s="20">
        <v>10298</v>
      </c>
      <c r="B14" s="19" t="s">
        <v>63</v>
      </c>
      <c r="C14" s="141"/>
      <c r="D14" s="243">
        <f>'Option 1'!C15</f>
        <v>1408143.9985055819</v>
      </c>
      <c r="E14" s="141"/>
      <c r="F14" s="243">
        <f>'Option 2'!C15</f>
        <v>1417888.6142942794</v>
      </c>
      <c r="G14" s="244">
        <f t="shared" si="0"/>
        <v>9744.6157886974979</v>
      </c>
      <c r="H14" s="205">
        <f t="shared" si="1"/>
        <v>6.92018415661974E-3</v>
      </c>
      <c r="I14" s="141"/>
      <c r="J14" s="243">
        <f>'Option 6'!Q15</f>
        <v>1693974.3757766359</v>
      </c>
      <c r="K14" s="244">
        <f t="shared" si="2"/>
        <v>285830.37727105408</v>
      </c>
      <c r="L14" s="205">
        <f t="shared" si="3"/>
        <v>0.20298376982353844</v>
      </c>
      <c r="M14" s="141"/>
      <c r="N14" s="243">
        <f>'Option 7'!Q15</f>
        <v>1992543.7446577258</v>
      </c>
      <c r="O14" s="244">
        <f t="shared" si="4"/>
        <v>584399.74615214393</v>
      </c>
      <c r="P14" s="205">
        <f t="shared" si="5"/>
        <v>0.41501419369918746</v>
      </c>
      <c r="Q14" s="141"/>
      <c r="R14" s="243">
        <f>'Option 8'!R15</f>
        <v>1472585.1012592188</v>
      </c>
      <c r="S14" s="244">
        <f t="shared" si="6"/>
        <v>64441.102753636893</v>
      </c>
      <c r="T14" s="205">
        <f t="shared" si="7"/>
        <v>4.57631483868313E-2</v>
      </c>
      <c r="U14" s="141"/>
      <c r="V14" s="243">
        <f>'Option 9'!R15</f>
        <v>1345133.7058531221</v>
      </c>
      <c r="W14" s="244">
        <f t="shared" si="8"/>
        <v>-63010.292652459815</v>
      </c>
      <c r="X14" s="205">
        <f t="shared" si="9"/>
        <v>-4.4747051948757104E-2</v>
      </c>
      <c r="Y14" s="141"/>
      <c r="Z14" s="243">
        <f>'Option 10'!Q15</f>
        <v>1344340.5460432747</v>
      </c>
      <c r="AA14" s="244">
        <f t="shared" si="10"/>
        <v>-63803.452462307177</v>
      </c>
      <c r="AB14" s="205">
        <f t="shared" si="11"/>
        <v>-4.5310318071177191E-2</v>
      </c>
    </row>
    <row r="15" spans="1:28" x14ac:dyDescent="0.2">
      <c r="A15" s="20">
        <v>3630</v>
      </c>
      <c r="B15" s="19" t="s">
        <v>62</v>
      </c>
      <c r="C15" s="141"/>
      <c r="D15" s="243">
        <f>'Option 1'!C16</f>
        <v>3149682.7723009652</v>
      </c>
      <c r="E15" s="141"/>
      <c r="F15" s="243">
        <f>'Option 2'!C16</f>
        <v>2716765.0699899984</v>
      </c>
      <c r="G15" s="244">
        <f t="shared" si="0"/>
        <v>-432917.70231096679</v>
      </c>
      <c r="H15" s="205">
        <f t="shared" si="1"/>
        <v>-0.13744803321723212</v>
      </c>
      <c r="I15" s="141"/>
      <c r="J15" s="243">
        <f>'Option 6'!Q16</f>
        <v>3197075.6060262681</v>
      </c>
      <c r="K15" s="244">
        <f t="shared" si="2"/>
        <v>47392.833725302946</v>
      </c>
      <c r="L15" s="205">
        <f t="shared" si="3"/>
        <v>1.5046859366945277E-2</v>
      </c>
      <c r="M15" s="141"/>
      <c r="N15" s="243">
        <f>'Option 7'!Q16</f>
        <v>3168391.6163316583</v>
      </c>
      <c r="O15" s="244">
        <f t="shared" si="4"/>
        <v>18708.844030693173</v>
      </c>
      <c r="P15" s="205">
        <f t="shared" si="5"/>
        <v>5.9399137574180647E-3</v>
      </c>
      <c r="Q15" s="141"/>
      <c r="R15" s="243">
        <f>'Option 8'!R16</f>
        <v>3094010.0890891356</v>
      </c>
      <c r="S15" s="244">
        <f t="shared" si="6"/>
        <v>-55672.683211829513</v>
      </c>
      <c r="T15" s="205">
        <f t="shared" si="7"/>
        <v>-1.7675647751395122E-2</v>
      </c>
      <c r="U15" s="141"/>
      <c r="V15" s="243">
        <f>'Option 9'!R16</f>
        <v>2868100.6363635515</v>
      </c>
      <c r="W15" s="244">
        <f t="shared" si="8"/>
        <v>-281582.13593741367</v>
      </c>
      <c r="X15" s="205">
        <f t="shared" si="9"/>
        <v>-8.9400157505927821E-2</v>
      </c>
      <c r="Y15" s="141"/>
      <c r="Z15" s="243">
        <f>'Option 10'!Q16</f>
        <v>2862344.0717445132</v>
      </c>
      <c r="AA15" s="244">
        <f t="shared" si="10"/>
        <v>-287338.70055645192</v>
      </c>
      <c r="AB15" s="205">
        <f t="shared" si="11"/>
        <v>-9.1227822396393238E-2</v>
      </c>
    </row>
    <row r="16" spans="1:28" x14ac:dyDescent="0.2">
      <c r="A16" s="20">
        <v>3631</v>
      </c>
      <c r="B16" s="19" t="s">
        <v>61</v>
      </c>
      <c r="C16" s="141"/>
      <c r="D16" s="243">
        <f>'Option 1'!C17</f>
        <v>4211372.9002071284</v>
      </c>
      <c r="E16" s="141"/>
      <c r="F16" s="243">
        <f>'Option 2'!C17</f>
        <v>3811726.0596068292</v>
      </c>
      <c r="G16" s="244">
        <f t="shared" si="0"/>
        <v>-399646.84060029918</v>
      </c>
      <c r="H16" s="205">
        <f t="shared" si="1"/>
        <v>-9.4897044282315463E-2</v>
      </c>
      <c r="I16" s="141"/>
      <c r="J16" s="243">
        <f>'Option 6'!Q17</f>
        <v>4494716.2245866163</v>
      </c>
      <c r="K16" s="244">
        <f t="shared" si="2"/>
        <v>283343.32437948789</v>
      </c>
      <c r="L16" s="205">
        <f t="shared" si="3"/>
        <v>6.728051186480119E-2</v>
      </c>
      <c r="M16" s="141"/>
      <c r="N16" s="243">
        <f>'Option 7'!Q17</f>
        <v>3818453.6817855025</v>
      </c>
      <c r="O16" s="244">
        <f t="shared" si="4"/>
        <v>-392919.2184216259</v>
      </c>
      <c r="P16" s="205">
        <f t="shared" si="5"/>
        <v>-9.3299555212102189E-2</v>
      </c>
      <c r="Q16" s="141"/>
      <c r="R16" s="243">
        <f>'Option 8'!R17</f>
        <v>4167316.1230873992</v>
      </c>
      <c r="S16" s="244">
        <f t="shared" si="6"/>
        <v>-44056.777119729202</v>
      </c>
      <c r="T16" s="205">
        <f t="shared" si="7"/>
        <v>-1.046138116089467E-2</v>
      </c>
      <c r="U16" s="141"/>
      <c r="V16" s="243">
        <f>'Option 9'!R17</f>
        <v>4115772.6133805816</v>
      </c>
      <c r="W16" s="244">
        <f t="shared" si="8"/>
        <v>-95600.28682654677</v>
      </c>
      <c r="X16" s="205">
        <f t="shared" si="9"/>
        <v>-2.2700503871752809E-2</v>
      </c>
      <c r="Y16" s="141"/>
      <c r="Z16" s="243">
        <f>'Option 10'!Q17</f>
        <v>4117787.2050746833</v>
      </c>
      <c r="AA16" s="244">
        <f t="shared" si="10"/>
        <v>-93585.695132445078</v>
      </c>
      <c r="AB16" s="205">
        <f t="shared" si="11"/>
        <v>-2.2222134527161496E-2</v>
      </c>
    </row>
    <row r="17" spans="1:28" x14ac:dyDescent="0.2">
      <c r="A17" s="78">
        <v>103631</v>
      </c>
      <c r="B17" s="19" t="s">
        <v>60</v>
      </c>
      <c r="C17" s="141"/>
      <c r="D17" s="243">
        <f>'Option 1'!C18</f>
        <v>980764.21218766726</v>
      </c>
      <c r="E17" s="141"/>
      <c r="F17" s="243">
        <f>'Option 2'!C18</f>
        <v>1889466.459742097</v>
      </c>
      <c r="G17" s="244">
        <f t="shared" si="0"/>
        <v>908702.24755442969</v>
      </c>
      <c r="H17" s="205">
        <f t="shared" si="1"/>
        <v>0.92652467969595054</v>
      </c>
      <c r="I17" s="141"/>
      <c r="J17" s="243">
        <f>'Option 6'!Q18</f>
        <v>1942156.0468104405</v>
      </c>
      <c r="K17" s="244">
        <f t="shared" si="2"/>
        <v>961391.83462277323</v>
      </c>
      <c r="L17" s="205">
        <f t="shared" si="3"/>
        <v>0.98024767082224329</v>
      </c>
      <c r="M17" s="141"/>
      <c r="N17" s="243">
        <f>'Option 7'!Q18</f>
        <v>4419182.828547026</v>
      </c>
      <c r="O17" s="244">
        <f t="shared" si="4"/>
        <v>3438418.6163593587</v>
      </c>
      <c r="P17" s="205">
        <f t="shared" si="5"/>
        <v>3.5058565286448524</v>
      </c>
      <c r="Q17" s="141"/>
      <c r="R17" s="243">
        <f>'Option 8'!R18</f>
        <v>1126760.5323585821</v>
      </c>
      <c r="S17" s="244">
        <f t="shared" si="6"/>
        <v>145996.32017091487</v>
      </c>
      <c r="T17" s="205">
        <f t="shared" si="7"/>
        <v>0.14885975482859357</v>
      </c>
      <c r="U17" s="141"/>
      <c r="V17" s="243">
        <f>'Option 9'!R18</f>
        <v>1147493.2694929733</v>
      </c>
      <c r="W17" s="244">
        <f t="shared" si="8"/>
        <v>166729.05730530608</v>
      </c>
      <c r="X17" s="205">
        <f t="shared" si="9"/>
        <v>0.16999912439036144</v>
      </c>
      <c r="Y17" s="141"/>
      <c r="Z17" s="243">
        <f>'Option 10'!Q18</f>
        <v>1160448.9146771417</v>
      </c>
      <c r="AA17" s="244">
        <f t="shared" si="10"/>
        <v>179684.70248947444</v>
      </c>
      <c r="AB17" s="205">
        <f t="shared" si="11"/>
        <v>0.18320886942711173</v>
      </c>
    </row>
    <row r="18" spans="1:28" x14ac:dyDescent="0.2">
      <c r="A18" s="20">
        <v>11161</v>
      </c>
      <c r="B18" s="19" t="s">
        <v>59</v>
      </c>
      <c r="C18" s="141"/>
      <c r="D18" s="243">
        <f>'Option 1'!C19</f>
        <v>4031661.9346710211</v>
      </c>
      <c r="E18" s="141"/>
      <c r="F18" s="243">
        <f>'Option 2'!C19</f>
        <v>3563502.9631474647</v>
      </c>
      <c r="G18" s="244">
        <f t="shared" si="0"/>
        <v>-468158.97152355639</v>
      </c>
      <c r="H18" s="205">
        <f t="shared" si="1"/>
        <v>-0.11612059222960558</v>
      </c>
      <c r="I18" s="141"/>
      <c r="J18" s="243">
        <f>'Option 6'!Q19</f>
        <v>4197102.5667858785</v>
      </c>
      <c r="K18" s="244">
        <f t="shared" si="2"/>
        <v>165440.63211485744</v>
      </c>
      <c r="L18" s="205">
        <f t="shared" si="3"/>
        <v>4.1035343437930694E-2</v>
      </c>
      <c r="M18" s="141"/>
      <c r="N18" s="243">
        <f>'Option 7'!Q19</f>
        <v>3619487.847460438</v>
      </c>
      <c r="O18" s="244">
        <f t="shared" si="4"/>
        <v>-412174.08721058303</v>
      </c>
      <c r="P18" s="205">
        <f t="shared" si="5"/>
        <v>-0.10223428796596656</v>
      </c>
      <c r="Q18" s="141"/>
      <c r="R18" s="243">
        <f>'Option 8'!R19</f>
        <v>3986858.3833832336</v>
      </c>
      <c r="S18" s="244">
        <f t="shared" si="6"/>
        <v>-44803.551287787501</v>
      </c>
      <c r="T18" s="205">
        <f t="shared" si="7"/>
        <v>-1.1112923656244857E-2</v>
      </c>
      <c r="U18" s="141"/>
      <c r="V18" s="243">
        <f>'Option 9'!R19</f>
        <v>3890341.0836509732</v>
      </c>
      <c r="W18" s="244">
        <f t="shared" si="8"/>
        <v>-141320.85102004791</v>
      </c>
      <c r="X18" s="205">
        <f t="shared" si="9"/>
        <v>-3.5052753259079875E-2</v>
      </c>
      <c r="Y18" s="141"/>
      <c r="Z18" s="243">
        <f>'Option 10'!Q19</f>
        <v>3893165.3328993227</v>
      </c>
      <c r="AA18" s="244">
        <f t="shared" si="10"/>
        <v>-138496.60177169833</v>
      </c>
      <c r="AB18" s="205">
        <f t="shared" si="11"/>
        <v>-3.435223588085877E-2</v>
      </c>
    </row>
    <row r="19" spans="1:28" x14ac:dyDescent="0.2">
      <c r="A19" s="20">
        <v>3639</v>
      </c>
      <c r="B19" s="19" t="s">
        <v>58</v>
      </c>
      <c r="C19" s="141"/>
      <c r="D19" s="243">
        <f>'Option 1'!C20</f>
        <v>2458150.7897084774</v>
      </c>
      <c r="E19" s="141"/>
      <c r="F19" s="243">
        <f>'Option 2'!C20</f>
        <v>2228217.7452706662</v>
      </c>
      <c r="G19" s="244">
        <f t="shared" si="0"/>
        <v>-229933.04443781124</v>
      </c>
      <c r="H19" s="205">
        <f t="shared" si="1"/>
        <v>-9.3539031616966015E-2</v>
      </c>
      <c r="I19" s="141"/>
      <c r="J19" s="243">
        <f>'Option 6'!Q20</f>
        <v>2620835.0064637195</v>
      </c>
      <c r="K19" s="244">
        <f t="shared" si="2"/>
        <v>162684.21675524209</v>
      </c>
      <c r="L19" s="205">
        <f t="shared" si="3"/>
        <v>6.6181544857358207E-2</v>
      </c>
      <c r="M19" s="141"/>
      <c r="N19" s="243">
        <f>'Option 7'!Q20</f>
        <v>2504967.4645785457</v>
      </c>
      <c r="O19" s="244">
        <f t="shared" si="4"/>
        <v>46816.674870068207</v>
      </c>
      <c r="P19" s="205">
        <f t="shared" si="5"/>
        <v>1.9045485356746727E-2</v>
      </c>
      <c r="Q19" s="141"/>
      <c r="R19" s="243">
        <f>'Option 8'!R20</f>
        <v>2420308.6025687996</v>
      </c>
      <c r="S19" s="244">
        <f t="shared" si="6"/>
        <v>-37842.187139677815</v>
      </c>
      <c r="T19" s="205">
        <f t="shared" si="7"/>
        <v>-1.5394575181519146E-2</v>
      </c>
      <c r="U19" s="141"/>
      <c r="V19" s="243">
        <f>'Option 9'!R20</f>
        <v>2217173.0819574855</v>
      </c>
      <c r="W19" s="244">
        <f t="shared" si="8"/>
        <v>-240977.70775099192</v>
      </c>
      <c r="X19" s="205">
        <f t="shared" si="9"/>
        <v>-9.8032109649209304E-2</v>
      </c>
      <c r="Y19" s="141"/>
      <c r="Z19" s="243">
        <f>'Option 10'!Q20</f>
        <v>2214961.2850508625</v>
      </c>
      <c r="AA19" s="244">
        <f t="shared" si="10"/>
        <v>-243189.50465761498</v>
      </c>
      <c r="AB19" s="205">
        <f t="shared" si="11"/>
        <v>-9.8931890458378205E-2</v>
      </c>
    </row>
    <row r="20" spans="1:28" x14ac:dyDescent="0.2">
      <c r="A20" s="78">
        <v>103639</v>
      </c>
      <c r="B20" s="19" t="s">
        <v>57</v>
      </c>
      <c r="C20" s="141"/>
      <c r="D20" s="243">
        <f>'Option 1'!C21</f>
        <v>1176705.5416092607</v>
      </c>
      <c r="E20" s="141"/>
      <c r="F20" s="243">
        <f>'Option 2'!C21</f>
        <v>1529430.8658448018</v>
      </c>
      <c r="G20" s="244">
        <f t="shared" si="0"/>
        <v>352725.32423554105</v>
      </c>
      <c r="H20" s="205">
        <f t="shared" si="1"/>
        <v>0.29975666108715221</v>
      </c>
      <c r="I20" s="141"/>
      <c r="J20" s="243">
        <f>'Option 6'!Q21</f>
        <v>1791392.1178663317</v>
      </c>
      <c r="K20" s="244">
        <f t="shared" si="2"/>
        <v>614686.57625707099</v>
      </c>
      <c r="L20" s="205">
        <f t="shared" si="3"/>
        <v>0.52237926526327616</v>
      </c>
      <c r="M20" s="141"/>
      <c r="N20" s="243">
        <f>'Option 7'!Q21</f>
        <v>3259106.608522818</v>
      </c>
      <c r="O20" s="244">
        <f t="shared" si="4"/>
        <v>2082401.0669135572</v>
      </c>
      <c r="P20" s="205">
        <f t="shared" si="5"/>
        <v>1.769687481938488</v>
      </c>
      <c r="Q20" s="141"/>
      <c r="R20" s="243">
        <f>'Option 8'!R21</f>
        <v>1458082.1608239382</v>
      </c>
      <c r="S20" s="244">
        <f t="shared" si="6"/>
        <v>281376.61921467748</v>
      </c>
      <c r="T20" s="205">
        <f t="shared" si="7"/>
        <v>0.239122371115774</v>
      </c>
      <c r="U20" s="141"/>
      <c r="V20" s="243">
        <f>'Option 9'!R21</f>
        <v>1481333.1107619933</v>
      </c>
      <c r="W20" s="244">
        <f t="shared" si="8"/>
        <v>304627.56915273261</v>
      </c>
      <c r="X20" s="205">
        <f t="shared" si="9"/>
        <v>0.25888173241380713</v>
      </c>
      <c r="Y20" s="141"/>
      <c r="Z20" s="243">
        <f>'Option 10'!Q21</f>
        <v>1489084.1457832691</v>
      </c>
      <c r="AA20" s="244">
        <f t="shared" si="10"/>
        <v>312378.60417400836</v>
      </c>
      <c r="AB20" s="205">
        <f t="shared" si="11"/>
        <v>0.26546879667686435</v>
      </c>
    </row>
    <row r="21" spans="1:28" x14ac:dyDescent="0.2">
      <c r="A21" s="20">
        <v>9651</v>
      </c>
      <c r="B21" s="19" t="s">
        <v>56</v>
      </c>
      <c r="C21" s="141"/>
      <c r="D21" s="243">
        <f>'Option 1'!C22</f>
        <v>2395439.6052844101</v>
      </c>
      <c r="E21" s="141"/>
      <c r="F21" s="243">
        <f>'Option 2'!C22</f>
        <v>2104179.9742030958</v>
      </c>
      <c r="G21" s="244">
        <f t="shared" si="0"/>
        <v>-291259.63108131429</v>
      </c>
      <c r="H21" s="205">
        <f t="shared" si="1"/>
        <v>-0.12158921913071279</v>
      </c>
      <c r="I21" s="141"/>
      <c r="J21" s="243">
        <f>'Option 6'!Q22</f>
        <v>2488213.0867098058</v>
      </c>
      <c r="K21" s="244">
        <f t="shared" si="2"/>
        <v>92773.481425395701</v>
      </c>
      <c r="L21" s="205">
        <f t="shared" si="3"/>
        <v>3.8729209127516588E-2</v>
      </c>
      <c r="M21" s="141"/>
      <c r="N21" s="243">
        <f>'Option 7'!Q22</f>
        <v>2481555.3016976803</v>
      </c>
      <c r="O21" s="244">
        <f t="shared" si="4"/>
        <v>86115.696413270198</v>
      </c>
      <c r="P21" s="205">
        <f t="shared" si="5"/>
        <v>3.5949850801204275E-2</v>
      </c>
      <c r="Q21" s="141"/>
      <c r="R21" s="243">
        <f>'Option 8'!R22</f>
        <v>2438123.6088929349</v>
      </c>
      <c r="S21" s="244">
        <f t="shared" si="6"/>
        <v>42684.003608524799</v>
      </c>
      <c r="T21" s="205">
        <f t="shared" si="7"/>
        <v>1.7818860268638222E-2</v>
      </c>
      <c r="U21" s="141"/>
      <c r="V21" s="243">
        <f>'Option 9'!R22</f>
        <v>2422713.5765052489</v>
      </c>
      <c r="W21" s="244">
        <f t="shared" si="8"/>
        <v>27273.971220838837</v>
      </c>
      <c r="X21" s="205">
        <f t="shared" si="9"/>
        <v>1.1385789548052748E-2</v>
      </c>
      <c r="Y21" s="141"/>
      <c r="Z21" s="243">
        <f>'Option 10'!Q22</f>
        <v>2421402.808000444</v>
      </c>
      <c r="AA21" s="244">
        <f t="shared" si="10"/>
        <v>25963.202716033906</v>
      </c>
      <c r="AB21" s="205">
        <f t="shared" si="11"/>
        <v>1.0838596247118198E-2</v>
      </c>
    </row>
    <row r="22" spans="1:28" x14ac:dyDescent="0.2">
      <c r="A22" s="20">
        <v>3665</v>
      </c>
      <c r="B22" s="19" t="s">
        <v>55</v>
      </c>
      <c r="C22" s="141"/>
      <c r="D22" s="243">
        <f>'Option 1'!C23</f>
        <v>3462557.9844476278</v>
      </c>
      <c r="E22" s="141"/>
      <c r="F22" s="243">
        <f>'Option 2'!C23</f>
        <v>3158713.6504147779</v>
      </c>
      <c r="G22" s="244">
        <f t="shared" si="0"/>
        <v>-303844.33403284987</v>
      </c>
      <c r="H22" s="205">
        <f t="shared" si="1"/>
        <v>-8.7751406733863349E-2</v>
      </c>
      <c r="I22" s="141"/>
      <c r="J22" s="243">
        <f>'Option 6'!Q23</f>
        <v>3711355.9628715594</v>
      </c>
      <c r="K22" s="244">
        <f t="shared" si="2"/>
        <v>248797.97842393164</v>
      </c>
      <c r="L22" s="205">
        <f t="shared" si="3"/>
        <v>7.1853808525786086E-2</v>
      </c>
      <c r="M22" s="141"/>
      <c r="N22" s="243">
        <f>'Option 7'!Q23</f>
        <v>3371457.7563031809</v>
      </c>
      <c r="O22" s="244">
        <f t="shared" si="4"/>
        <v>-91100.228144446854</v>
      </c>
      <c r="P22" s="205">
        <f t="shared" si="5"/>
        <v>-2.6310094604518174E-2</v>
      </c>
      <c r="Q22" s="141"/>
      <c r="R22" s="243">
        <f>'Option 8'!R23</f>
        <v>3468934.3468317245</v>
      </c>
      <c r="S22" s="244">
        <f t="shared" si="6"/>
        <v>6376.3623840967193</v>
      </c>
      <c r="T22" s="205">
        <f t="shared" si="7"/>
        <v>1.8415178641734494E-3</v>
      </c>
      <c r="U22" s="141"/>
      <c r="V22" s="243">
        <f>'Option 9'!R23</f>
        <v>3423491.5213547852</v>
      </c>
      <c r="W22" s="244">
        <f t="shared" si="8"/>
        <v>-39066.463092842605</v>
      </c>
      <c r="X22" s="205">
        <f t="shared" si="9"/>
        <v>-1.128254408108483E-2</v>
      </c>
      <c r="Y22" s="141"/>
      <c r="Z22" s="243">
        <f>'Option 10'!Q23</f>
        <v>3425165.0507109785</v>
      </c>
      <c r="AA22" s="244">
        <f t="shared" si="10"/>
        <v>-37392.933736649342</v>
      </c>
      <c r="AB22" s="205">
        <f t="shared" si="11"/>
        <v>-1.0799222397026379E-2</v>
      </c>
    </row>
    <row r="23" spans="1:28" x14ac:dyDescent="0.2">
      <c r="A23" s="20">
        <v>3565</v>
      </c>
      <c r="B23" s="19" t="s">
        <v>54</v>
      </c>
      <c r="C23" s="141"/>
      <c r="D23" s="243">
        <f>'Option 1'!C24</f>
        <v>3389376.5028863326</v>
      </c>
      <c r="E23" s="141"/>
      <c r="F23" s="243">
        <f>'Option 2'!C24</f>
        <v>3152161.8194029699</v>
      </c>
      <c r="G23" s="244">
        <f t="shared" si="0"/>
        <v>-237214.68348336266</v>
      </c>
      <c r="H23" s="205">
        <f t="shared" si="1"/>
        <v>-6.9987705196325897E-2</v>
      </c>
      <c r="I23" s="141"/>
      <c r="J23" s="243">
        <f>'Option 6'!Q24</f>
        <v>3721081.8598658163</v>
      </c>
      <c r="K23" s="244">
        <f t="shared" si="2"/>
        <v>331705.35697948374</v>
      </c>
      <c r="L23" s="205">
        <f t="shared" si="3"/>
        <v>9.7866187688800399E-2</v>
      </c>
      <c r="M23" s="141"/>
      <c r="N23" s="243">
        <f>'Option 7'!Q24</f>
        <v>3731576.6198777133</v>
      </c>
      <c r="O23" s="244">
        <f t="shared" si="4"/>
        <v>342200.1169913807</v>
      </c>
      <c r="P23" s="205">
        <f t="shared" si="5"/>
        <v>0.10096255659410194</v>
      </c>
      <c r="Q23" s="141"/>
      <c r="R23" s="243">
        <f>'Option 8'!R24</f>
        <v>3481995.5400791746</v>
      </c>
      <c r="S23" s="244">
        <f t="shared" si="6"/>
        <v>92619.037192841992</v>
      </c>
      <c r="T23" s="205">
        <f t="shared" si="7"/>
        <v>2.7326275825057873E-2</v>
      </c>
      <c r="U23" s="141"/>
      <c r="V23" s="243">
        <f>'Option 9'!R24</f>
        <v>3540993.3329031286</v>
      </c>
      <c r="W23" s="244">
        <f t="shared" si="8"/>
        <v>151616.83001679601</v>
      </c>
      <c r="X23" s="205">
        <f t="shared" si="9"/>
        <v>4.4732956013497416E-2</v>
      </c>
      <c r="Y23" s="141"/>
      <c r="Z23" s="243">
        <f>'Option 10'!Q24</f>
        <v>3539375.7102595177</v>
      </c>
      <c r="AA23" s="244">
        <f t="shared" si="10"/>
        <v>149999.20737318508</v>
      </c>
      <c r="AB23" s="205">
        <f t="shared" si="11"/>
        <v>4.4255693413065331E-2</v>
      </c>
    </row>
    <row r="24" spans="1:28" x14ac:dyDescent="0.2">
      <c r="A24" s="20">
        <v>29269</v>
      </c>
      <c r="B24" s="19" t="s">
        <v>53</v>
      </c>
      <c r="C24" s="141"/>
      <c r="D24" s="243">
        <f>'Option 1'!C25</f>
        <v>795442.79205852025</v>
      </c>
      <c r="E24" s="141"/>
      <c r="F24" s="243">
        <f>'Option 2'!C25</f>
        <v>1287945.5798692303</v>
      </c>
      <c r="G24" s="244">
        <f t="shared" si="0"/>
        <v>492502.78781071003</v>
      </c>
      <c r="H24" s="205">
        <f t="shared" si="1"/>
        <v>0.61915551027392668</v>
      </c>
      <c r="I24" s="141"/>
      <c r="J24" s="243">
        <f>'Option 6'!Q25</f>
        <v>1325989.1568060818</v>
      </c>
      <c r="K24" s="244">
        <f t="shared" si="2"/>
        <v>530546.36474756151</v>
      </c>
      <c r="L24" s="205">
        <f t="shared" si="3"/>
        <v>0.66698242795633944</v>
      </c>
      <c r="M24" s="141"/>
      <c r="N24" s="243">
        <f>'Option 7'!Q25</f>
        <v>2663759.6000035936</v>
      </c>
      <c r="O24" s="244">
        <f t="shared" si="4"/>
        <v>1868316.8079450733</v>
      </c>
      <c r="P24" s="205">
        <f t="shared" si="5"/>
        <v>2.3487758347901684</v>
      </c>
      <c r="Q24" s="141"/>
      <c r="R24" s="243">
        <f>'Option 8'!R25</f>
        <v>872507.63143286249</v>
      </c>
      <c r="S24" s="244">
        <f t="shared" si="6"/>
        <v>77064.839374342235</v>
      </c>
      <c r="T24" s="205">
        <f t="shared" si="7"/>
        <v>9.688294386942238E-2</v>
      </c>
      <c r="U24" s="141"/>
      <c r="V24" s="243">
        <f>'Option 9'!R25</f>
        <v>917570.76952670654</v>
      </c>
      <c r="W24" s="244">
        <f t="shared" si="8"/>
        <v>122127.97746818629</v>
      </c>
      <c r="X24" s="205">
        <f t="shared" si="9"/>
        <v>0.15353458311204535</v>
      </c>
      <c r="Y24" s="141"/>
      <c r="Z24" s="243">
        <f>'Option 10'!Q25</f>
        <v>923271.11333941319</v>
      </c>
      <c r="AA24" s="244">
        <f t="shared" si="10"/>
        <v>127828.32128089294</v>
      </c>
      <c r="AB24" s="205">
        <f t="shared" si="11"/>
        <v>0.16070083550582817</v>
      </c>
    </row>
    <row r="25" spans="1:28" x14ac:dyDescent="0.2">
      <c r="A25" s="20">
        <v>3652</v>
      </c>
      <c r="B25" s="19" t="s">
        <v>52</v>
      </c>
      <c r="C25" s="141"/>
      <c r="D25" s="243">
        <f>'Option 1'!C26</f>
        <v>14685254.34084947</v>
      </c>
      <c r="E25" s="141"/>
      <c r="F25" s="243">
        <f>'Option 2'!C26</f>
        <v>16731400.979770543</v>
      </c>
      <c r="G25" s="244">
        <f t="shared" si="0"/>
        <v>2046146.6389210727</v>
      </c>
      <c r="H25" s="205">
        <f t="shared" si="1"/>
        <v>0.13933341509989217</v>
      </c>
      <c r="I25" s="141"/>
      <c r="J25" s="243">
        <f>'Option 6'!Q26</f>
        <v>14261537.764670929</v>
      </c>
      <c r="K25" s="244">
        <f t="shared" si="2"/>
        <v>-423716.57617854141</v>
      </c>
      <c r="L25" s="205">
        <f t="shared" si="3"/>
        <v>-2.8853199702500453E-2</v>
      </c>
      <c r="M25" s="141"/>
      <c r="N25" s="243">
        <f>'Option 7'!Q26</f>
        <v>14070292.241273373</v>
      </c>
      <c r="O25" s="244">
        <f t="shared" si="4"/>
        <v>-614962.09957609698</v>
      </c>
      <c r="P25" s="205">
        <f t="shared" si="5"/>
        <v>-4.1876162666483613E-2</v>
      </c>
      <c r="Q25" s="141"/>
      <c r="R25" s="243">
        <f>'Option 8'!R26</f>
        <v>15008985.202043656</v>
      </c>
      <c r="S25" s="244">
        <f t="shared" si="6"/>
        <v>323730.86119418591</v>
      </c>
      <c r="T25" s="205">
        <f t="shared" si="7"/>
        <v>2.2044620656904445E-2</v>
      </c>
      <c r="U25" s="141"/>
      <c r="V25" s="243">
        <f>'Option 9'!R26</f>
        <v>14512322.512616266</v>
      </c>
      <c r="W25" s="244">
        <f t="shared" si="8"/>
        <v>-172931.82823320478</v>
      </c>
      <c r="X25" s="205">
        <f t="shared" si="9"/>
        <v>-1.1775882406896162E-2</v>
      </c>
      <c r="Y25" s="141"/>
      <c r="Z25" s="243">
        <f>'Option 10'!Q26</f>
        <v>14513461.596207974</v>
      </c>
      <c r="AA25" s="244">
        <f t="shared" si="10"/>
        <v>-171792.74464149587</v>
      </c>
      <c r="AB25" s="205">
        <f t="shared" si="11"/>
        <v>-1.1698315919774428E-2</v>
      </c>
    </row>
    <row r="26" spans="1:28" x14ac:dyDescent="0.2">
      <c r="A26" s="20">
        <v>11711</v>
      </c>
      <c r="B26" s="19" t="s">
        <v>51</v>
      </c>
      <c r="C26" s="141"/>
      <c r="D26" s="243">
        <f>'Option 1'!C27</f>
        <v>2767297.4662990007</v>
      </c>
      <c r="E26" s="141"/>
      <c r="F26" s="243">
        <f>'Option 2'!C27</f>
        <v>2867032.0684215981</v>
      </c>
      <c r="G26" s="244">
        <f t="shared" si="0"/>
        <v>99734.602122597396</v>
      </c>
      <c r="H26" s="205">
        <f t="shared" si="1"/>
        <v>3.6040434155415545E-2</v>
      </c>
      <c r="I26" s="141"/>
      <c r="J26" s="243">
        <f>'Option 6'!Q27</f>
        <v>3364297.4263665653</v>
      </c>
      <c r="K26" s="244">
        <f t="shared" si="2"/>
        <v>596999.96006756462</v>
      </c>
      <c r="L26" s="205">
        <f t="shared" si="3"/>
        <v>0.21573393078915934</v>
      </c>
      <c r="M26" s="141"/>
      <c r="N26" s="243">
        <f>'Option 7'!Q27</f>
        <v>3962663.4327753671</v>
      </c>
      <c r="O26" s="244">
        <f t="shared" si="4"/>
        <v>1195365.9664763664</v>
      </c>
      <c r="P26" s="205">
        <f t="shared" si="5"/>
        <v>0.43196150071826417</v>
      </c>
      <c r="Q26" s="141"/>
      <c r="R26" s="243">
        <f>'Option 8'!R27</f>
        <v>3035734.4318750855</v>
      </c>
      <c r="S26" s="244">
        <f t="shared" si="6"/>
        <v>268436.9655760848</v>
      </c>
      <c r="T26" s="205">
        <f t="shared" si="7"/>
        <v>9.7003292506567404E-2</v>
      </c>
      <c r="U26" s="141"/>
      <c r="V26" s="243">
        <f>'Option 9'!R27</f>
        <v>3081923.542705236</v>
      </c>
      <c r="W26" s="244">
        <f t="shared" si="8"/>
        <v>314626.07640623534</v>
      </c>
      <c r="X26" s="205">
        <f t="shared" si="9"/>
        <v>0.11369434628472307</v>
      </c>
      <c r="Y26" s="141"/>
      <c r="Z26" s="243">
        <f>'Option 10'!Q27</f>
        <v>3078242.5170279527</v>
      </c>
      <c r="AA26" s="244">
        <f t="shared" si="10"/>
        <v>310945.05072895205</v>
      </c>
      <c r="AB26" s="205">
        <f t="shared" si="11"/>
        <v>0.11236415835873681</v>
      </c>
    </row>
    <row r="27" spans="1:28" x14ac:dyDescent="0.2">
      <c r="A27" s="20">
        <v>12826</v>
      </c>
      <c r="B27" s="19" t="s">
        <v>50</v>
      </c>
      <c r="C27" s="141"/>
      <c r="D27" s="243">
        <f>'Option 1'!C28</f>
        <v>5380481.7450308818</v>
      </c>
      <c r="E27" s="141"/>
      <c r="F27" s="243">
        <f>'Option 2'!C28</f>
        <v>4981815.259947774</v>
      </c>
      <c r="G27" s="244">
        <f t="shared" si="0"/>
        <v>-398666.48508310784</v>
      </c>
      <c r="H27" s="205">
        <f t="shared" si="1"/>
        <v>-7.4094942418733115E-2</v>
      </c>
      <c r="I27" s="141"/>
      <c r="J27" s="243">
        <f>'Option 6'!Q28</f>
        <v>5846181.2272170903</v>
      </c>
      <c r="K27" s="244">
        <f t="shared" si="2"/>
        <v>465699.48218620848</v>
      </c>
      <c r="L27" s="205">
        <f t="shared" si="3"/>
        <v>8.6553491723357856E-2</v>
      </c>
      <c r="M27" s="141"/>
      <c r="N27" s="243">
        <f>'Option 7'!Q28</f>
        <v>5338905.3373088948</v>
      </c>
      <c r="O27" s="244">
        <f t="shared" si="4"/>
        <v>-41576.407721986994</v>
      </c>
      <c r="P27" s="205">
        <f t="shared" si="5"/>
        <v>-7.7272648978661965E-3</v>
      </c>
      <c r="Q27" s="141"/>
      <c r="R27" s="243">
        <f>'Option 8'!R28</f>
        <v>6082447.1850041505</v>
      </c>
      <c r="S27" s="244">
        <f t="shared" si="6"/>
        <v>701965.43997326866</v>
      </c>
      <c r="T27" s="205">
        <f t="shared" si="7"/>
        <v>0.13046516524687876</v>
      </c>
      <c r="U27" s="141"/>
      <c r="V27" s="243">
        <f>'Option 9'!R28</f>
        <v>5681005.5931555592</v>
      </c>
      <c r="W27" s="244">
        <f t="shared" si="8"/>
        <v>300523.84812467732</v>
      </c>
      <c r="X27" s="205">
        <f t="shared" si="9"/>
        <v>5.585444991096284E-2</v>
      </c>
      <c r="Y27" s="141"/>
      <c r="Z27" s="243">
        <f>'Option 10'!Q28</f>
        <v>5676296.3773410767</v>
      </c>
      <c r="AA27" s="244">
        <f t="shared" si="10"/>
        <v>295814.63231019489</v>
      </c>
      <c r="AB27" s="205">
        <f t="shared" si="11"/>
        <v>5.4979209358603079E-2</v>
      </c>
    </row>
    <row r="28" spans="1:28" x14ac:dyDescent="0.2">
      <c r="A28" s="20">
        <v>13231</v>
      </c>
      <c r="B28" s="19" t="s">
        <v>49</v>
      </c>
      <c r="C28" s="141"/>
      <c r="D28" s="243">
        <f>'Option 1'!C29</f>
        <v>1334314.7299569366</v>
      </c>
      <c r="E28" s="141"/>
      <c r="F28" s="243">
        <f>'Option 2'!C29</f>
        <v>1841490.5436091656</v>
      </c>
      <c r="G28" s="244">
        <f t="shared" si="0"/>
        <v>507175.81365222903</v>
      </c>
      <c r="H28" s="205">
        <f t="shared" si="1"/>
        <v>0.38010208706052245</v>
      </c>
      <c r="I28" s="141"/>
      <c r="J28" s="243">
        <f>'Option 6'!Q29</f>
        <v>1901472.4316454174</v>
      </c>
      <c r="K28" s="244">
        <f t="shared" si="2"/>
        <v>567157.7016884808</v>
      </c>
      <c r="L28" s="205">
        <f t="shared" si="3"/>
        <v>0.42505541530429269</v>
      </c>
      <c r="M28" s="141"/>
      <c r="N28" s="243">
        <f>'Option 7'!Q29</f>
        <v>3079926.5162149491</v>
      </c>
      <c r="O28" s="244">
        <f t="shared" si="4"/>
        <v>1745611.7862580125</v>
      </c>
      <c r="P28" s="205">
        <f t="shared" si="5"/>
        <v>1.3082459086053484</v>
      </c>
      <c r="Q28" s="141"/>
      <c r="R28" s="243">
        <f>'Option 8'!R29</f>
        <v>1480826.8423011191</v>
      </c>
      <c r="S28" s="244">
        <f t="shared" si="6"/>
        <v>146512.11234418256</v>
      </c>
      <c r="T28" s="205">
        <f t="shared" si="7"/>
        <v>0.10980326384383921</v>
      </c>
      <c r="U28" s="141"/>
      <c r="V28" s="243">
        <f>'Option 9'!R29</f>
        <v>1517771.9510432114</v>
      </c>
      <c r="W28" s="244">
        <f t="shared" si="8"/>
        <v>183457.22108627483</v>
      </c>
      <c r="X28" s="205">
        <f t="shared" si="9"/>
        <v>0.13749171538576638</v>
      </c>
      <c r="Y28" s="141"/>
      <c r="Z28" s="243">
        <f>'Option 10'!Q29</f>
        <v>1520689.1005348065</v>
      </c>
      <c r="AA28" s="244">
        <f t="shared" si="10"/>
        <v>186374.37057786994</v>
      </c>
      <c r="AB28" s="205">
        <f t="shared" si="11"/>
        <v>0.13967796831852777</v>
      </c>
    </row>
    <row r="29" spans="1:28" x14ac:dyDescent="0.2">
      <c r="A29" s="20">
        <v>3592</v>
      </c>
      <c r="B29" s="19" t="s">
        <v>48</v>
      </c>
      <c r="C29" s="141"/>
      <c r="D29" s="243">
        <f>'Option 1'!C30</f>
        <v>2944483.9627424059</v>
      </c>
      <c r="E29" s="141"/>
      <c r="F29" s="243">
        <f>'Option 2'!C30</f>
        <v>2710234.8373190332</v>
      </c>
      <c r="G29" s="244">
        <f t="shared" si="0"/>
        <v>-234249.12542337272</v>
      </c>
      <c r="H29" s="205">
        <f t="shared" si="1"/>
        <v>-7.9555239012135751E-2</v>
      </c>
      <c r="I29" s="141"/>
      <c r="J29" s="243">
        <f>'Option 6'!Q30</f>
        <v>3174800.3457181617</v>
      </c>
      <c r="K29" s="244">
        <f t="shared" si="2"/>
        <v>230316.38297575573</v>
      </c>
      <c r="L29" s="205">
        <f t="shared" si="3"/>
        <v>7.8219608559608453E-2</v>
      </c>
      <c r="M29" s="141"/>
      <c r="N29" s="243">
        <f>'Option 7'!Q30</f>
        <v>2963687.4963157903</v>
      </c>
      <c r="O29" s="244">
        <f t="shared" si="4"/>
        <v>19203.533573384397</v>
      </c>
      <c r="P29" s="205">
        <f t="shared" si="5"/>
        <v>6.5218672665137527E-3</v>
      </c>
      <c r="Q29" s="141"/>
      <c r="R29" s="243">
        <f>'Option 8'!R30</f>
        <v>2783774.505988529</v>
      </c>
      <c r="S29" s="244">
        <f t="shared" si="6"/>
        <v>-160709.45675387699</v>
      </c>
      <c r="T29" s="205">
        <f t="shared" si="7"/>
        <v>-5.45798376854452E-2</v>
      </c>
      <c r="U29" s="141"/>
      <c r="V29" s="243">
        <f>'Option 9'!R30</f>
        <v>2756349.3139394829</v>
      </c>
      <c r="W29" s="244">
        <f t="shared" si="8"/>
        <v>-188134.64880292304</v>
      </c>
      <c r="X29" s="205">
        <f t="shared" si="9"/>
        <v>-6.3893928845752637E-2</v>
      </c>
      <c r="Y29" s="141"/>
      <c r="Z29" s="243">
        <f>'Option 10'!Q30</f>
        <v>2754727.6286025089</v>
      </c>
      <c r="AA29" s="244">
        <f t="shared" si="10"/>
        <v>-189756.33413989702</v>
      </c>
      <c r="AB29" s="205">
        <f t="shared" si="11"/>
        <v>-6.4444682511757861E-2</v>
      </c>
    </row>
    <row r="30" spans="1:28" x14ac:dyDescent="0.2">
      <c r="A30" s="20">
        <v>3594</v>
      </c>
      <c r="B30" s="19" t="s">
        <v>47</v>
      </c>
      <c r="C30" s="141"/>
      <c r="D30" s="243">
        <f>'Option 1'!C31</f>
        <v>15543619.110024791</v>
      </c>
      <c r="E30" s="141"/>
      <c r="F30" s="243">
        <f>'Option 2'!C31</f>
        <v>18160333.18280337</v>
      </c>
      <c r="G30" s="244">
        <f t="shared" si="0"/>
        <v>2616714.0727785788</v>
      </c>
      <c r="H30" s="205">
        <f t="shared" si="1"/>
        <v>0.1683465127558961</v>
      </c>
      <c r="I30" s="141"/>
      <c r="J30" s="243">
        <f>'Option 6'!Q31</f>
        <v>15195653.523330133</v>
      </c>
      <c r="K30" s="244">
        <f t="shared" si="2"/>
        <v>-347965.5866946578</v>
      </c>
      <c r="L30" s="205">
        <f t="shared" si="3"/>
        <v>-2.2386394328862504E-2</v>
      </c>
      <c r="M30" s="141"/>
      <c r="N30" s="243">
        <f>'Option 7'!Q31</f>
        <v>12731520.016895777</v>
      </c>
      <c r="O30" s="244">
        <f t="shared" si="4"/>
        <v>-2812099.0931290146</v>
      </c>
      <c r="P30" s="205">
        <f t="shared" si="5"/>
        <v>-0.18091662393575786</v>
      </c>
      <c r="Q30" s="141"/>
      <c r="R30" s="243">
        <f>'Option 8'!R31</f>
        <v>15720454.815798186</v>
      </c>
      <c r="S30" s="244">
        <f t="shared" si="6"/>
        <v>176835.70577339455</v>
      </c>
      <c r="T30" s="205">
        <f t="shared" si="7"/>
        <v>1.1376739517461871E-2</v>
      </c>
      <c r="U30" s="141"/>
      <c r="V30" s="243">
        <f>'Option 9'!R31</f>
        <v>16424339.646742625</v>
      </c>
      <c r="W30" s="244">
        <f t="shared" si="8"/>
        <v>880720.53671783395</v>
      </c>
      <c r="X30" s="205">
        <f t="shared" si="9"/>
        <v>5.6661227381068352E-2</v>
      </c>
      <c r="Y30" s="141"/>
      <c r="Z30" s="243">
        <f>'Option 10'!Q31</f>
        <v>16409471.358281311</v>
      </c>
      <c r="AA30" s="244">
        <f t="shared" si="10"/>
        <v>865852.24825651944</v>
      </c>
      <c r="AB30" s="205">
        <f t="shared" si="11"/>
        <v>5.5704674833294887E-2</v>
      </c>
    </row>
    <row r="31" spans="1:28" x14ac:dyDescent="0.2">
      <c r="A31" s="78">
        <v>113594</v>
      </c>
      <c r="B31" s="19" t="s">
        <v>46</v>
      </c>
      <c r="C31" s="141"/>
      <c r="D31" s="243">
        <f>'Option 1'!C32</f>
        <v>836184.00742210483</v>
      </c>
      <c r="E31" s="141"/>
      <c r="F31" s="243">
        <f>'Option 2'!C32</f>
        <v>1197426.2577811438</v>
      </c>
      <c r="G31" s="244">
        <f t="shared" si="0"/>
        <v>361242.25035903894</v>
      </c>
      <c r="H31" s="205">
        <f t="shared" si="1"/>
        <v>0.43201286696778957</v>
      </c>
      <c r="I31" s="141"/>
      <c r="J31" s="243">
        <f>'Option 6'!Q32</f>
        <v>1444903.5514325975</v>
      </c>
      <c r="K31" s="244">
        <f t="shared" si="2"/>
        <v>608719.54401049262</v>
      </c>
      <c r="L31" s="205">
        <f t="shared" si="3"/>
        <v>0.72797319562129781</v>
      </c>
      <c r="M31" s="141"/>
      <c r="N31" s="243">
        <f>'Option 7'!Q32</f>
        <v>2984749.0835804436</v>
      </c>
      <c r="O31" s="244">
        <f t="shared" si="4"/>
        <v>2148565.0761583387</v>
      </c>
      <c r="P31" s="205">
        <f t="shared" si="5"/>
        <v>2.5694883627136211</v>
      </c>
      <c r="Q31" s="141"/>
      <c r="R31" s="243">
        <f>'Option 8'!R32</f>
        <v>988740.69307794527</v>
      </c>
      <c r="S31" s="244">
        <f t="shared" si="6"/>
        <v>152556.68565584044</v>
      </c>
      <c r="T31" s="205">
        <f t="shared" si="7"/>
        <v>0.18244391701075668</v>
      </c>
      <c r="U31" s="141"/>
      <c r="V31" s="243">
        <f>'Option 9'!R32</f>
        <v>1061696.7251264353</v>
      </c>
      <c r="W31" s="244">
        <f t="shared" si="8"/>
        <v>225512.71770433045</v>
      </c>
      <c r="X31" s="205">
        <f t="shared" si="9"/>
        <v>0.2696926940752789</v>
      </c>
      <c r="Y31" s="141"/>
      <c r="Z31" s="243">
        <f>'Option 10'!Q32</f>
        <v>1071164.5304606906</v>
      </c>
      <c r="AA31" s="244">
        <f t="shared" si="10"/>
        <v>234980.52303858579</v>
      </c>
      <c r="AB31" s="205">
        <f t="shared" si="11"/>
        <v>0.28101532790971911</v>
      </c>
    </row>
    <row r="32" spans="1:28" x14ac:dyDescent="0.2">
      <c r="A32" s="20">
        <v>3624</v>
      </c>
      <c r="B32" s="19" t="s">
        <v>45</v>
      </c>
      <c r="C32" s="141"/>
      <c r="D32" s="243">
        <f>'Option 1'!C33</f>
        <v>5511696.8202510141</v>
      </c>
      <c r="E32" s="141"/>
      <c r="F32" s="243">
        <f>'Option 2'!C33</f>
        <v>4753929.8919548029</v>
      </c>
      <c r="G32" s="244">
        <f t="shared" si="0"/>
        <v>-757766.92829621118</v>
      </c>
      <c r="H32" s="205">
        <f t="shared" si="1"/>
        <v>-0.1374834198993008</v>
      </c>
      <c r="I32" s="141"/>
      <c r="J32" s="243">
        <f>'Option 6'!Q33</f>
        <v>5601773.6602619225</v>
      </c>
      <c r="K32" s="244">
        <f t="shared" si="2"/>
        <v>90076.840010908432</v>
      </c>
      <c r="L32" s="205">
        <f t="shared" si="3"/>
        <v>1.6342851021839432E-2</v>
      </c>
      <c r="M32" s="141"/>
      <c r="N32" s="243">
        <f>'Option 7'!Q33</f>
        <v>4176425.7693873807</v>
      </c>
      <c r="O32" s="244">
        <f t="shared" si="4"/>
        <v>-1335271.0508636334</v>
      </c>
      <c r="P32" s="205">
        <f t="shared" si="5"/>
        <v>-0.24226133882357165</v>
      </c>
      <c r="Q32" s="141"/>
      <c r="R32" s="243">
        <f>'Option 8'!R33</f>
        <v>5408998.0718861334</v>
      </c>
      <c r="S32" s="244">
        <f t="shared" si="6"/>
        <v>-102698.74836488068</v>
      </c>
      <c r="T32" s="205">
        <f t="shared" si="7"/>
        <v>-1.8632873271901693E-2</v>
      </c>
      <c r="U32" s="141"/>
      <c r="V32" s="243">
        <f>'Option 9'!R33</f>
        <v>5364006.4007325629</v>
      </c>
      <c r="W32" s="244">
        <f t="shared" si="8"/>
        <v>-147690.41951845121</v>
      </c>
      <c r="X32" s="205">
        <f t="shared" si="9"/>
        <v>-2.6795817029668385E-2</v>
      </c>
      <c r="Y32" s="141"/>
      <c r="Z32" s="243">
        <f>'Option 10'!Q33</f>
        <v>5371873.9272351237</v>
      </c>
      <c r="AA32" s="244">
        <f t="shared" si="10"/>
        <v>-139822.89301589038</v>
      </c>
      <c r="AB32" s="205">
        <f t="shared" si="11"/>
        <v>-2.5368393359764398E-2</v>
      </c>
    </row>
    <row r="33" spans="1:28" x14ac:dyDescent="0.2">
      <c r="A33" s="20">
        <v>3642</v>
      </c>
      <c r="B33" s="19" t="s">
        <v>44</v>
      </c>
      <c r="C33" s="141"/>
      <c r="D33" s="243">
        <f>'Option 1'!C34</f>
        <v>2543343.163018405</v>
      </c>
      <c r="E33" s="141"/>
      <c r="F33" s="243">
        <f>'Option 2'!C34</f>
        <v>2122934.5437316075</v>
      </c>
      <c r="G33" s="244">
        <f t="shared" si="0"/>
        <v>-420408.61928679748</v>
      </c>
      <c r="H33" s="205">
        <f t="shared" si="1"/>
        <v>-0.16529763871418054</v>
      </c>
      <c r="I33" s="141"/>
      <c r="J33" s="243">
        <f>'Option 6'!Q34</f>
        <v>2503427.8784833327</v>
      </c>
      <c r="K33" s="244">
        <f t="shared" si="2"/>
        <v>-39915.284535072278</v>
      </c>
      <c r="L33" s="205">
        <f t="shared" si="3"/>
        <v>-1.5694022385756769E-2</v>
      </c>
      <c r="M33" s="141"/>
      <c r="N33" s="243">
        <f>'Option 7'!Q34</f>
        <v>2373059.0395994359</v>
      </c>
      <c r="O33" s="244">
        <f t="shared" si="4"/>
        <v>-170284.1234189691</v>
      </c>
      <c r="P33" s="205">
        <f t="shared" si="5"/>
        <v>-6.695286970904793E-2</v>
      </c>
      <c r="Q33" s="141"/>
      <c r="R33" s="243">
        <f>'Option 8'!R34</f>
        <v>2665627.9412990757</v>
      </c>
      <c r="S33" s="244">
        <f t="shared" si="6"/>
        <v>122284.77828067075</v>
      </c>
      <c r="T33" s="205">
        <f t="shared" si="7"/>
        <v>4.8080329881849231E-2</v>
      </c>
      <c r="U33" s="141"/>
      <c r="V33" s="243">
        <f>'Option 9'!R34</f>
        <v>2540626.5615531537</v>
      </c>
      <c r="W33" s="244">
        <f t="shared" si="8"/>
        <v>-2716.6014652512968</v>
      </c>
      <c r="X33" s="205">
        <f t="shared" si="9"/>
        <v>-1.0681222670822254E-3</v>
      </c>
      <c r="Y33" s="141"/>
      <c r="Z33" s="243">
        <f>'Option 10'!Q34</f>
        <v>2524318.6130864518</v>
      </c>
      <c r="AA33" s="244">
        <f t="shared" si="10"/>
        <v>-19024.549931953195</v>
      </c>
      <c r="AB33" s="205">
        <f t="shared" si="11"/>
        <v>-7.480134890399579E-3</v>
      </c>
    </row>
    <row r="34" spans="1:28" x14ac:dyDescent="0.2">
      <c r="A34" s="20">
        <v>3644</v>
      </c>
      <c r="B34" s="19" t="s">
        <v>43</v>
      </c>
      <c r="C34" s="141"/>
      <c r="D34" s="243">
        <f>'Option 1'!C35</f>
        <v>14059024.46267302</v>
      </c>
      <c r="E34" s="141"/>
      <c r="F34" s="243">
        <f>'Option 2'!C35</f>
        <v>16304186.056280307</v>
      </c>
      <c r="G34" s="244">
        <f t="shared" si="0"/>
        <v>2245161.5936072879</v>
      </c>
      <c r="H34" s="205">
        <f t="shared" si="1"/>
        <v>0.15969540415611588</v>
      </c>
      <c r="I34" s="141"/>
      <c r="J34" s="243">
        <f>'Option 6'!Q35</f>
        <v>13556415.3071026</v>
      </c>
      <c r="K34" s="244">
        <f t="shared" si="2"/>
        <v>-502609.15557041951</v>
      </c>
      <c r="L34" s="205">
        <f t="shared" si="3"/>
        <v>-3.5749931078422725E-2</v>
      </c>
      <c r="M34" s="141"/>
      <c r="N34" s="243">
        <f>'Option 7'!Q35</f>
        <v>13312429.718510546</v>
      </c>
      <c r="O34" s="244">
        <f t="shared" si="4"/>
        <v>-746594.74416247383</v>
      </c>
      <c r="P34" s="205">
        <f t="shared" si="5"/>
        <v>-5.3104306500404576E-2</v>
      </c>
      <c r="Q34" s="141"/>
      <c r="R34" s="243">
        <f>'Option 8'!R35</f>
        <v>13817911.150774175</v>
      </c>
      <c r="S34" s="244">
        <f t="shared" si="6"/>
        <v>-241113.31189884432</v>
      </c>
      <c r="T34" s="205">
        <f t="shared" si="7"/>
        <v>-1.7150074141986507E-2</v>
      </c>
      <c r="U34" s="141"/>
      <c r="V34" s="243">
        <f>'Option 9'!R35</f>
        <v>13700938.57057653</v>
      </c>
      <c r="W34" s="244">
        <f t="shared" si="8"/>
        <v>-358085.89209648967</v>
      </c>
      <c r="X34" s="205">
        <f t="shared" si="9"/>
        <v>-2.547018059803613E-2</v>
      </c>
      <c r="Y34" s="141"/>
      <c r="Z34" s="243">
        <f>'Option 10'!Q35</f>
        <v>13702023.266922139</v>
      </c>
      <c r="AA34" s="244">
        <f t="shared" si="10"/>
        <v>-357001.19575088099</v>
      </c>
      <c r="AB34" s="205">
        <f t="shared" si="11"/>
        <v>-2.539302756736259E-2</v>
      </c>
    </row>
    <row r="35" spans="1:28" x14ac:dyDescent="0.2">
      <c r="A35" s="20">
        <v>3541</v>
      </c>
      <c r="B35" s="19" t="s">
        <v>42</v>
      </c>
      <c r="C35" s="141"/>
      <c r="D35" s="243">
        <f>'Option 1'!C36</f>
        <v>2887061.7619747831</v>
      </c>
      <c r="E35" s="141"/>
      <c r="F35" s="243">
        <f>'Option 2'!C36</f>
        <v>2616947.2163094734</v>
      </c>
      <c r="G35" s="244">
        <f t="shared" si="0"/>
        <v>-270114.54566530976</v>
      </c>
      <c r="H35" s="205">
        <f t="shared" si="1"/>
        <v>-9.3560362726895163E-2</v>
      </c>
      <c r="I35" s="141"/>
      <c r="J35" s="243">
        <f>'Option 6'!Q36</f>
        <v>3072979.4694086555</v>
      </c>
      <c r="K35" s="244">
        <f t="shared" si="2"/>
        <v>185917.70743387239</v>
      </c>
      <c r="L35" s="205">
        <f t="shared" si="3"/>
        <v>6.4396858384734579E-2</v>
      </c>
      <c r="M35" s="141"/>
      <c r="N35" s="243">
        <f>'Option 7'!Q36</f>
        <v>2751645.1459274408</v>
      </c>
      <c r="O35" s="244">
        <f t="shared" si="4"/>
        <v>-135416.61604734231</v>
      </c>
      <c r="P35" s="205">
        <f t="shared" si="5"/>
        <v>-4.6904648120418384E-2</v>
      </c>
      <c r="Q35" s="141"/>
      <c r="R35" s="243">
        <f>'Option 8'!R36</f>
        <v>2770227.3850045744</v>
      </c>
      <c r="S35" s="244">
        <f t="shared" si="6"/>
        <v>-116834.37697020872</v>
      </c>
      <c r="T35" s="205">
        <f t="shared" si="7"/>
        <v>-4.0468263792975689E-2</v>
      </c>
      <c r="U35" s="141"/>
      <c r="V35" s="243">
        <f>'Option 9'!R36</f>
        <v>2673423.4721379448</v>
      </c>
      <c r="W35" s="244">
        <f t="shared" si="8"/>
        <v>-213638.28983683838</v>
      </c>
      <c r="X35" s="205">
        <f t="shared" si="9"/>
        <v>-7.3998517333660141E-2</v>
      </c>
      <c r="Y35" s="141"/>
      <c r="Z35" s="243">
        <f>'Option 10'!Q36</f>
        <v>2673302.5517458711</v>
      </c>
      <c r="AA35" s="244">
        <f t="shared" si="10"/>
        <v>-213759.21022891207</v>
      </c>
      <c r="AB35" s="205">
        <f t="shared" si="11"/>
        <v>-7.4040400882417673E-2</v>
      </c>
    </row>
    <row r="36" spans="1:28" x14ac:dyDescent="0.2">
      <c r="A36" s="20">
        <v>3646</v>
      </c>
      <c r="B36" s="19" t="s">
        <v>41</v>
      </c>
      <c r="C36" s="141"/>
      <c r="D36" s="243">
        <f>'Option 1'!C37</f>
        <v>4708877.2539562685</v>
      </c>
      <c r="E36" s="141"/>
      <c r="F36" s="243">
        <f>'Option 2'!C37</f>
        <v>4639588.6520146886</v>
      </c>
      <c r="G36" s="244">
        <f t="shared" si="0"/>
        <v>-69288.601941579953</v>
      </c>
      <c r="H36" s="205">
        <f t="shared" si="1"/>
        <v>-1.4714463385802972E-2</v>
      </c>
      <c r="I36" s="141"/>
      <c r="J36" s="243">
        <f>'Option 6'!Q37</f>
        <v>5057879.3901176229</v>
      </c>
      <c r="K36" s="244">
        <f t="shared" si="2"/>
        <v>349002.13616135437</v>
      </c>
      <c r="L36" s="205">
        <f t="shared" si="3"/>
        <v>7.4115785428072567E-2</v>
      </c>
      <c r="M36" s="141"/>
      <c r="N36" s="243">
        <f>'Option 7'!Q37</f>
        <v>4402354.900539468</v>
      </c>
      <c r="O36" s="244">
        <f t="shared" si="4"/>
        <v>-306522.3534168005</v>
      </c>
      <c r="P36" s="205">
        <f t="shared" si="5"/>
        <v>-6.5094572843084605E-2</v>
      </c>
      <c r="Q36" s="141"/>
      <c r="R36" s="243">
        <f>'Option 8'!R37</f>
        <v>4392413.3313153405</v>
      </c>
      <c r="S36" s="244">
        <f t="shared" si="6"/>
        <v>-316463.92264092807</v>
      </c>
      <c r="T36" s="205">
        <f t="shared" si="7"/>
        <v>-6.7205812675419349E-2</v>
      </c>
      <c r="U36" s="141"/>
      <c r="V36" s="243">
        <f>'Option 9'!R37</f>
        <v>4530912.385027905</v>
      </c>
      <c r="W36" s="244">
        <f t="shared" si="8"/>
        <v>-177964.86892836355</v>
      </c>
      <c r="X36" s="205">
        <f t="shared" si="9"/>
        <v>-3.7793482252875113E-2</v>
      </c>
      <c r="Y36" s="141"/>
      <c r="Z36" s="243">
        <f>'Option 10'!Q37</f>
        <v>4539558.9759407733</v>
      </c>
      <c r="AA36" s="244">
        <f t="shared" si="10"/>
        <v>-169318.27801549528</v>
      </c>
      <c r="AB36" s="205">
        <f t="shared" si="11"/>
        <v>-3.5957250292145276E-2</v>
      </c>
    </row>
    <row r="37" spans="1:28" x14ac:dyDescent="0.2">
      <c r="A37" s="20">
        <v>3581</v>
      </c>
      <c r="B37" s="19" t="s">
        <v>40</v>
      </c>
      <c r="C37" s="141"/>
      <c r="D37" s="243">
        <f>'Option 1'!C38</f>
        <v>3961999.2303603613</v>
      </c>
      <c r="E37" s="141"/>
      <c r="F37" s="243">
        <f>'Option 2'!C38</f>
        <v>3457954.6743941233</v>
      </c>
      <c r="G37" s="244">
        <f t="shared" si="0"/>
        <v>-504044.55596623803</v>
      </c>
      <c r="H37" s="205">
        <f t="shared" si="1"/>
        <v>-0.12721975110540165</v>
      </c>
      <c r="I37" s="141"/>
      <c r="J37" s="243">
        <f>'Option 6'!Q38</f>
        <v>4059658.5850111609</v>
      </c>
      <c r="K37" s="244">
        <f t="shared" si="2"/>
        <v>97659.354650799651</v>
      </c>
      <c r="L37" s="205">
        <f t="shared" si="3"/>
        <v>2.4649008990826355E-2</v>
      </c>
      <c r="M37" s="141"/>
      <c r="N37" s="243">
        <f>'Option 7'!Q38</f>
        <v>3591184.5101346062</v>
      </c>
      <c r="O37" s="244">
        <f t="shared" si="4"/>
        <v>-370814.72022575513</v>
      </c>
      <c r="P37" s="205">
        <f t="shared" si="5"/>
        <v>-9.3592829949143599E-2</v>
      </c>
      <c r="Q37" s="141"/>
      <c r="R37" s="243">
        <f>'Option 8'!R38</f>
        <v>3972911.5694768135</v>
      </c>
      <c r="S37" s="244">
        <f t="shared" si="6"/>
        <v>10912.339116452262</v>
      </c>
      <c r="T37" s="205">
        <f t="shared" si="7"/>
        <v>2.7542506906190734E-3</v>
      </c>
      <c r="U37" s="141"/>
      <c r="V37" s="243">
        <f>'Option 9'!R38</f>
        <v>3855961.8993777311</v>
      </c>
      <c r="W37" s="244">
        <f t="shared" si="8"/>
        <v>-106037.33098263014</v>
      </c>
      <c r="X37" s="205">
        <f t="shared" si="9"/>
        <v>-2.6763592019422373E-2</v>
      </c>
      <c r="Y37" s="141"/>
      <c r="Z37" s="243">
        <f>'Option 10'!Q38</f>
        <v>3847296.5765722562</v>
      </c>
      <c r="AA37" s="244">
        <f t="shared" si="10"/>
        <v>-114702.65378810512</v>
      </c>
      <c r="AB37" s="205">
        <f t="shared" si="11"/>
        <v>-2.895070067382936E-2</v>
      </c>
    </row>
    <row r="38" spans="1:28" x14ac:dyDescent="0.2">
      <c r="A38" s="20">
        <v>3606</v>
      </c>
      <c r="B38" s="19" t="s">
        <v>39</v>
      </c>
      <c r="C38" s="141"/>
      <c r="D38" s="243">
        <f>'Option 1'!C39</f>
        <v>8089171.4949687729</v>
      </c>
      <c r="E38" s="141"/>
      <c r="F38" s="243">
        <f>'Option 2'!C39</f>
        <v>7063171.0877823299</v>
      </c>
      <c r="G38" s="244">
        <f t="shared" si="0"/>
        <v>-1026000.407186443</v>
      </c>
      <c r="H38" s="205">
        <f t="shared" si="1"/>
        <v>-0.12683627832894692</v>
      </c>
      <c r="I38" s="141"/>
      <c r="J38" s="243">
        <f>'Option 6'!Q39</f>
        <v>8328669.4212515801</v>
      </c>
      <c r="K38" s="244">
        <f t="shared" si="2"/>
        <v>239497.92628280725</v>
      </c>
      <c r="L38" s="205">
        <f t="shared" si="3"/>
        <v>2.9607225713012504E-2</v>
      </c>
      <c r="M38" s="141"/>
      <c r="N38" s="243">
        <f>'Option 7'!Q39</f>
        <v>6250623.3319637654</v>
      </c>
      <c r="O38" s="244">
        <f t="shared" si="4"/>
        <v>-1838548.1630050074</v>
      </c>
      <c r="P38" s="205">
        <f t="shared" si="5"/>
        <v>-0.22728510134177898</v>
      </c>
      <c r="Q38" s="141"/>
      <c r="R38" s="243">
        <f>'Option 8'!R39</f>
        <v>8022606.4985859748</v>
      </c>
      <c r="S38" s="244">
        <f t="shared" si="6"/>
        <v>-66564.996382798068</v>
      </c>
      <c r="T38" s="205">
        <f t="shared" si="7"/>
        <v>-8.2289016154744078E-3</v>
      </c>
      <c r="U38" s="141"/>
      <c r="V38" s="243">
        <f>'Option 9'!R39</f>
        <v>8118764.2183370711</v>
      </c>
      <c r="W38" s="244">
        <f t="shared" si="8"/>
        <v>29592.723368298262</v>
      </c>
      <c r="X38" s="205">
        <f t="shared" si="9"/>
        <v>3.658313263194391E-3</v>
      </c>
      <c r="Y38" s="141"/>
      <c r="Z38" s="243">
        <f>'Option 10'!Q39</f>
        <v>8136128.8933625445</v>
      </c>
      <c r="AA38" s="244">
        <f t="shared" si="10"/>
        <v>46957.398393771611</v>
      </c>
      <c r="AB38" s="205">
        <f t="shared" si="11"/>
        <v>5.804970066832893E-3</v>
      </c>
    </row>
    <row r="39" spans="1:28" x14ac:dyDescent="0.2">
      <c r="A39" s="20">
        <v>3615</v>
      </c>
      <c r="B39" s="19" t="s">
        <v>95</v>
      </c>
      <c r="C39" s="141"/>
      <c r="D39" s="243">
        <f>'Option 1'!C40</f>
        <v>14817632.561301939</v>
      </c>
      <c r="E39" s="141"/>
      <c r="F39" s="243">
        <f>'Option 2'!C40</f>
        <v>12074896.496688385</v>
      </c>
      <c r="G39" s="244">
        <f t="shared" si="0"/>
        <v>-2742736.0646135546</v>
      </c>
      <c r="H39" s="205">
        <f t="shared" si="1"/>
        <v>-0.18509947883149333</v>
      </c>
      <c r="I39" s="141"/>
      <c r="J39" s="243">
        <f>'Option 6'!Q40</f>
        <v>14223926.060149498</v>
      </c>
      <c r="K39" s="244">
        <f t="shared" si="2"/>
        <v>-593706.50115244091</v>
      </c>
      <c r="L39" s="205">
        <f t="shared" si="3"/>
        <v>-4.0067568060972038E-2</v>
      </c>
      <c r="M39" s="141"/>
      <c r="N39" s="243">
        <f>'Option 7'!Q40</f>
        <v>12790788.749895057</v>
      </c>
      <c r="O39" s="244">
        <f t="shared" si="4"/>
        <v>-2026843.8114068825</v>
      </c>
      <c r="P39" s="205">
        <f t="shared" si="5"/>
        <v>-0.13678594087291873</v>
      </c>
      <c r="Q39" s="141"/>
      <c r="R39" s="243">
        <f>'Option 8'!R40</f>
        <v>14811554.731725238</v>
      </c>
      <c r="S39" s="244">
        <f t="shared" si="6"/>
        <v>-6077.8295767009258</v>
      </c>
      <c r="T39" s="205">
        <f t="shared" si="7"/>
        <v>-4.1017548191699137E-4</v>
      </c>
      <c r="U39" s="141"/>
      <c r="V39" s="243">
        <f>'Option 9'!R40</f>
        <v>15202874.340506356</v>
      </c>
      <c r="W39" s="244">
        <f t="shared" si="8"/>
        <v>385241.77920441702</v>
      </c>
      <c r="X39" s="205">
        <f t="shared" si="9"/>
        <v>2.5998875165154457E-2</v>
      </c>
      <c r="Y39" s="141"/>
      <c r="Z39" s="243">
        <f>'Option 10'!Q40</f>
        <v>15200126.476212578</v>
      </c>
      <c r="AA39" s="244">
        <f t="shared" si="10"/>
        <v>382493.9149106387</v>
      </c>
      <c r="AB39" s="205">
        <f t="shared" si="11"/>
        <v>2.5813429596679861E-2</v>
      </c>
    </row>
    <row r="40" spans="1:28" x14ac:dyDescent="0.2">
      <c r="A40" s="20">
        <v>3625</v>
      </c>
      <c r="B40" s="19" t="s">
        <v>38</v>
      </c>
      <c r="C40" s="141"/>
      <c r="D40" s="243">
        <f>'Option 1'!C41</f>
        <v>544175.29539555474</v>
      </c>
      <c r="E40" s="141"/>
      <c r="F40" s="243">
        <f>'Option 2'!C41</f>
        <v>630985.98847278638</v>
      </c>
      <c r="G40" s="244">
        <f t="shared" si="0"/>
        <v>86810.693077231641</v>
      </c>
      <c r="H40" s="205">
        <f t="shared" si="1"/>
        <v>0.1595270748447519</v>
      </c>
      <c r="I40" s="141"/>
      <c r="J40" s="243">
        <f>'Option 6'!Q41</f>
        <v>739445.49532757723</v>
      </c>
      <c r="K40" s="244">
        <f t="shared" si="2"/>
        <v>195270.19993202249</v>
      </c>
      <c r="L40" s="205">
        <f t="shared" si="3"/>
        <v>0.35883694387501153</v>
      </c>
      <c r="M40" s="141"/>
      <c r="N40" s="243">
        <f>'Option 7'!Q41</f>
        <v>1187326.19552713</v>
      </c>
      <c r="O40" s="244">
        <f t="shared" si="4"/>
        <v>643150.9001315753</v>
      </c>
      <c r="P40" s="205">
        <f t="shared" si="5"/>
        <v>1.1818818413358445</v>
      </c>
      <c r="Q40" s="141"/>
      <c r="R40" s="243">
        <f>'Option 8'!R41</f>
        <v>554667.21662364039</v>
      </c>
      <c r="S40" s="244">
        <f t="shared" si="6"/>
        <v>10491.921228085645</v>
      </c>
      <c r="T40" s="205">
        <f t="shared" si="7"/>
        <v>1.928040709833986E-2</v>
      </c>
      <c r="U40" s="141"/>
      <c r="V40" s="243">
        <f>'Option 9'!R41</f>
        <v>503454.39886067359</v>
      </c>
      <c r="W40" s="244">
        <f t="shared" si="8"/>
        <v>-40720.896534881147</v>
      </c>
      <c r="X40" s="205">
        <f t="shared" si="9"/>
        <v>-7.4830476281143185E-2</v>
      </c>
      <c r="Y40" s="141"/>
      <c r="Z40" s="243">
        <f>'Option 10'!Q41</f>
        <v>506970.56898160133</v>
      </c>
      <c r="AA40" s="244">
        <f t="shared" si="10"/>
        <v>-37204.726413953409</v>
      </c>
      <c r="AB40" s="205">
        <f t="shared" si="11"/>
        <v>-6.8369010369920824E-2</v>
      </c>
    </row>
    <row r="41" spans="1:28" x14ac:dyDescent="0.2">
      <c r="A41" s="20">
        <v>20</v>
      </c>
      <c r="B41" s="19" t="s">
        <v>37</v>
      </c>
      <c r="C41" s="142"/>
      <c r="D41" s="243">
        <f>'Option 1'!C42</f>
        <v>375800.5607422649</v>
      </c>
      <c r="E41" s="142"/>
      <c r="F41" s="243">
        <f>'Option 2'!C42</f>
        <v>749091.19203225337</v>
      </c>
      <c r="G41" s="244">
        <f t="shared" si="0"/>
        <v>373290.63128998847</v>
      </c>
      <c r="H41" s="205">
        <f t="shared" si="1"/>
        <v>0.99332111307306481</v>
      </c>
      <c r="I41" s="142"/>
      <c r="J41" s="243">
        <f>'Option 6'!Q42</f>
        <v>864687.92552712397</v>
      </c>
      <c r="K41" s="244">
        <f t="shared" si="2"/>
        <v>488887.36478485906</v>
      </c>
      <c r="L41" s="205">
        <f t="shared" si="3"/>
        <v>1.3009223930353644</v>
      </c>
      <c r="M41" s="142"/>
      <c r="N41" s="243">
        <f>'Option 7'!Q42</f>
        <v>2291934.5645810151</v>
      </c>
      <c r="O41" s="244">
        <f t="shared" si="4"/>
        <v>1916134.0038387503</v>
      </c>
      <c r="P41" s="205">
        <f t="shared" si="5"/>
        <v>5.0988056006464859</v>
      </c>
      <c r="Q41" s="142"/>
      <c r="R41" s="243">
        <f>'Option 8'!R42</f>
        <v>419625.37420958321</v>
      </c>
      <c r="S41" s="244">
        <f t="shared" si="6"/>
        <v>43824.813467318309</v>
      </c>
      <c r="T41" s="205">
        <f t="shared" si="7"/>
        <v>0.11661721148248806</v>
      </c>
      <c r="U41" s="142"/>
      <c r="V41" s="243">
        <f>'Option 9'!R42</f>
        <v>414690.36872728867</v>
      </c>
      <c r="W41" s="244">
        <f t="shared" si="8"/>
        <v>38889.80798502377</v>
      </c>
      <c r="X41" s="205">
        <f t="shared" si="9"/>
        <v>0.10348523139031596</v>
      </c>
      <c r="Y41" s="142"/>
      <c r="Z41" s="243">
        <f>'Option 10'!Q42</f>
        <v>422737.51891038835</v>
      </c>
      <c r="AA41" s="244">
        <f t="shared" si="10"/>
        <v>46936.958168123441</v>
      </c>
      <c r="AB41" s="205">
        <f t="shared" si="11"/>
        <v>0.12489858470518406</v>
      </c>
    </row>
    <row r="42" spans="1:28" ht="13.5" thickBot="1" x14ac:dyDescent="0.25">
      <c r="A42" s="12"/>
      <c r="B42" s="11" t="s">
        <v>11</v>
      </c>
      <c r="C42" s="143"/>
      <c r="D42" s="242">
        <f>SUM(D4:D41)</f>
        <v>235000000.00000009</v>
      </c>
      <c r="E42" s="143"/>
      <c r="F42" s="242">
        <f>'Option 2'!C43</f>
        <v>235000000.00000006</v>
      </c>
      <c r="G42" s="246">
        <f t="shared" si="0"/>
        <v>0</v>
      </c>
      <c r="H42" s="203">
        <f t="shared" si="1"/>
        <v>0</v>
      </c>
      <c r="I42" s="143"/>
      <c r="J42" s="242">
        <f>'Option 6'!Q43</f>
        <v>235000000</v>
      </c>
      <c r="K42" s="246">
        <f t="shared" si="2"/>
        <v>0</v>
      </c>
      <c r="L42" s="203">
        <f t="shared" si="3"/>
        <v>0</v>
      </c>
      <c r="M42" s="143"/>
      <c r="N42" s="242">
        <f>'Option 7'!Q43</f>
        <v>235000000</v>
      </c>
      <c r="O42" s="246">
        <f t="shared" si="4"/>
        <v>0</v>
      </c>
      <c r="P42" s="203">
        <f t="shared" si="5"/>
        <v>0</v>
      </c>
      <c r="Q42" s="143"/>
      <c r="R42" s="242">
        <f>'Option 8'!R43</f>
        <v>235000000</v>
      </c>
      <c r="S42" s="246">
        <f t="shared" si="6"/>
        <v>0</v>
      </c>
      <c r="T42" s="203">
        <f t="shared" si="7"/>
        <v>0</v>
      </c>
      <c r="U42" s="143"/>
      <c r="V42" s="242">
        <f>'Option 9'!R43</f>
        <v>235000000</v>
      </c>
      <c r="W42" s="246">
        <f t="shared" si="8"/>
        <v>0</v>
      </c>
      <c r="X42" s="203">
        <f t="shared" si="9"/>
        <v>0</v>
      </c>
      <c r="Y42" s="143"/>
      <c r="Z42" s="242">
        <f>'Option 10'!Q43</f>
        <v>235000000</v>
      </c>
      <c r="AA42" s="246">
        <f t="shared" si="10"/>
        <v>0</v>
      </c>
      <c r="AB42" s="203">
        <f t="shared" si="11"/>
        <v>0</v>
      </c>
    </row>
    <row r="43" spans="1:28" x14ac:dyDescent="0.2">
      <c r="H43"/>
      <c r="I43" s="144"/>
      <c r="P43" s="144"/>
    </row>
    <row r="44" spans="1:28" x14ac:dyDescent="0.2">
      <c r="B44" s="150"/>
      <c r="H44" s="146"/>
      <c r="I44" s="144"/>
      <c r="L44" s="146"/>
      <c r="P44" s="146"/>
      <c r="T44" s="146"/>
      <c r="X44" s="146"/>
      <c r="AB44" s="146"/>
    </row>
  </sheetData>
  <mergeCells count="6">
    <mergeCell ref="Z2:AB2"/>
    <mergeCell ref="V2:X2"/>
    <mergeCell ref="F2:H2"/>
    <mergeCell ref="J2:L2"/>
    <mergeCell ref="N2:P2"/>
    <mergeCell ref="R2:T2"/>
  </mergeCells>
  <conditionalFormatting sqref="G4:G39">
    <cfRule type="top10" dxfId="64" priority="13" bottom="1" rank="5"/>
    <cfRule type="top10" dxfId="63" priority="14" rank="5"/>
  </conditionalFormatting>
  <conditionalFormatting sqref="K4:K39">
    <cfRule type="top10" dxfId="62" priority="9" bottom="1" rank="5"/>
    <cfRule type="top10" dxfId="61" priority="10" rank="5"/>
  </conditionalFormatting>
  <conditionalFormatting sqref="O4:O39">
    <cfRule type="top10" dxfId="60" priority="7" bottom="1" rank="5"/>
    <cfRule type="top10" dxfId="59" priority="8" rank="5"/>
  </conditionalFormatting>
  <conditionalFormatting sqref="S4:S39">
    <cfRule type="top10" dxfId="58" priority="5" bottom="1" rank="5"/>
    <cfRule type="top10" dxfId="57" priority="6" rank="5"/>
  </conditionalFormatting>
  <conditionalFormatting sqref="W4:W39">
    <cfRule type="top10" dxfId="56" priority="3" bottom="1" rank="5"/>
    <cfRule type="top10" dxfId="55" priority="4" rank="5"/>
  </conditionalFormatting>
  <conditionalFormatting sqref="AA4:AA39">
    <cfRule type="top10" dxfId="54" priority="1" bottom="1" rank="5"/>
    <cfRule type="top10" dxfId="53" priority="2" rank="5"/>
  </conditionalFormatting>
  <pageMargins left="0.25" right="0.25" top="0.75" bottom="0.75" header="0.3" footer="0.3"/>
  <pageSetup scale="55" fitToHeight="0" orientation="landscape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44"/>
  <sheetViews>
    <sheetView showGridLines="0" zoomScale="70" zoomScaleNormal="70" workbookViewId="0">
      <pane xSplit="2" ySplit="3" topLeftCell="C4" activePane="bottomRight" state="frozen"/>
      <selection activeCell="W30" sqref="W30"/>
      <selection pane="topRight" activeCell="W30" sqref="W30"/>
      <selection pane="bottomLeft" activeCell="W30" sqref="W30"/>
      <selection pane="bottomRight" activeCell="W30" sqref="W30"/>
    </sheetView>
  </sheetViews>
  <sheetFormatPr defaultRowHeight="12.75" x14ac:dyDescent="0.2"/>
  <cols>
    <col min="1" max="1" width="0" hidden="1" customWidth="1"/>
    <col min="2" max="2" width="12.5703125" customWidth="1"/>
    <col min="3" max="3" width="13.5703125" hidden="1" customWidth="1"/>
    <col min="4" max="4" width="14" style="144" customWidth="1"/>
    <col min="5" max="5" width="1.7109375" customWidth="1"/>
    <col min="6" max="6" width="13" customWidth="1"/>
    <col min="7" max="7" width="10.140625" customWidth="1"/>
    <col min="8" max="8" width="10.28515625" style="144" customWidth="1"/>
    <col min="9" max="9" width="1.7109375" customWidth="1"/>
    <col min="10" max="10" width="13" customWidth="1"/>
    <col min="11" max="11" width="14.140625" customWidth="1"/>
    <col min="12" max="12" width="10.28515625" style="144" customWidth="1"/>
    <col min="13" max="13" width="1.7109375" customWidth="1"/>
    <col min="14" max="14" width="15.5703125" customWidth="1"/>
    <col min="15" max="15" width="11" customWidth="1"/>
    <col min="16" max="16" width="10.28515625" style="144" customWidth="1"/>
    <col min="17" max="17" width="1.7109375" customWidth="1"/>
    <col min="18" max="18" width="13" customWidth="1"/>
    <col min="19" max="19" width="11" customWidth="1"/>
    <col min="20" max="20" width="10.28515625" style="144" customWidth="1"/>
    <col min="21" max="21" width="1.7109375" customWidth="1"/>
    <col min="22" max="22" width="14.140625" customWidth="1"/>
    <col min="23" max="23" width="11" customWidth="1"/>
    <col min="24" max="24" width="10.28515625" customWidth="1"/>
    <col min="25" max="25" width="1.7109375" customWidth="1"/>
    <col min="26" max="26" width="15.42578125" customWidth="1"/>
    <col min="27" max="27" width="11" customWidth="1"/>
    <col min="28" max="28" width="10.28515625" customWidth="1"/>
    <col min="29" max="29" width="1.7109375" customWidth="1"/>
    <col min="30" max="30" width="11.5703125" customWidth="1"/>
    <col min="31" max="31" width="11" customWidth="1"/>
    <col min="32" max="32" width="10.28515625" customWidth="1"/>
    <col min="33" max="33" width="1.7109375" customWidth="1"/>
    <col min="34" max="34" width="14.140625" customWidth="1"/>
    <col min="35" max="35" width="11" customWidth="1"/>
    <col min="36" max="36" width="10.28515625" customWidth="1"/>
  </cols>
  <sheetData>
    <row r="1" spans="1:36" ht="12.75" customHeight="1" x14ac:dyDescent="0.2">
      <c r="B1" s="149" t="s">
        <v>156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</row>
    <row r="2" spans="1:36" s="147" customFormat="1" ht="44.25" customHeight="1" thickBot="1" x14ac:dyDescent="0.25">
      <c r="E2" s="148"/>
      <c r="F2" s="272" t="s">
        <v>102</v>
      </c>
      <c r="G2" s="272"/>
      <c r="H2" s="272"/>
      <c r="I2" s="148"/>
      <c r="J2" s="272" t="s">
        <v>101</v>
      </c>
      <c r="K2" s="272"/>
      <c r="L2" s="272"/>
      <c r="M2" s="148"/>
      <c r="N2" s="272" t="s">
        <v>108</v>
      </c>
      <c r="O2" s="272"/>
      <c r="P2" s="272"/>
      <c r="Q2" s="148"/>
      <c r="R2" s="272" t="s">
        <v>107</v>
      </c>
      <c r="S2" s="272"/>
      <c r="T2" s="272"/>
      <c r="U2" s="148"/>
      <c r="V2" s="272" t="s">
        <v>109</v>
      </c>
      <c r="W2" s="272"/>
      <c r="X2" s="272"/>
      <c r="Y2" s="148"/>
      <c r="Z2" s="272" t="s">
        <v>110</v>
      </c>
      <c r="AA2" s="272"/>
      <c r="AB2" s="272"/>
      <c r="AC2" s="148"/>
      <c r="AD2" s="272" t="s">
        <v>129</v>
      </c>
      <c r="AE2" s="272"/>
      <c r="AF2" s="272"/>
      <c r="AG2" s="148"/>
      <c r="AH2" s="272" t="s">
        <v>151</v>
      </c>
      <c r="AI2" s="272"/>
      <c r="AJ2" s="272"/>
    </row>
    <row r="3" spans="1:36" ht="88.5" customHeight="1" x14ac:dyDescent="0.2">
      <c r="A3" s="137" t="s">
        <v>24</v>
      </c>
      <c r="B3" s="138"/>
      <c r="C3" s="139" t="s">
        <v>91</v>
      </c>
      <c r="D3" s="139" t="s">
        <v>103</v>
      </c>
      <c r="E3" s="140"/>
      <c r="F3" s="108" t="s">
        <v>90</v>
      </c>
      <c r="G3" s="105" t="s">
        <v>92</v>
      </c>
      <c r="H3" s="110" t="s">
        <v>81</v>
      </c>
      <c r="I3" s="140"/>
      <c r="J3" s="108" t="s">
        <v>90</v>
      </c>
      <c r="K3" s="105" t="s">
        <v>100</v>
      </c>
      <c r="L3" s="110" t="s">
        <v>81</v>
      </c>
      <c r="M3" s="140"/>
      <c r="N3" s="108" t="s">
        <v>111</v>
      </c>
      <c r="O3" s="105" t="s">
        <v>92</v>
      </c>
      <c r="P3" s="110" t="s">
        <v>81</v>
      </c>
      <c r="Q3" s="140"/>
      <c r="R3" s="108" t="s">
        <v>106</v>
      </c>
      <c r="S3" s="105" t="s">
        <v>92</v>
      </c>
      <c r="T3" s="110" t="s">
        <v>81</v>
      </c>
      <c r="U3" s="140"/>
      <c r="V3" s="108" t="s">
        <v>115</v>
      </c>
      <c r="W3" s="105" t="s">
        <v>92</v>
      </c>
      <c r="X3" s="110" t="s">
        <v>81</v>
      </c>
      <c r="Y3" s="140"/>
      <c r="Z3" s="108" t="s">
        <v>138</v>
      </c>
      <c r="AA3" s="105" t="s">
        <v>92</v>
      </c>
      <c r="AB3" s="110" t="s">
        <v>81</v>
      </c>
      <c r="AC3" s="140"/>
      <c r="AD3" s="108" t="s">
        <v>139</v>
      </c>
      <c r="AE3" s="105" t="s">
        <v>92</v>
      </c>
      <c r="AF3" s="110" t="s">
        <v>81</v>
      </c>
      <c r="AG3" s="140"/>
      <c r="AH3" s="108" t="s">
        <v>153</v>
      </c>
      <c r="AI3" s="105" t="s">
        <v>92</v>
      </c>
      <c r="AJ3" s="110" t="s">
        <v>81</v>
      </c>
    </row>
    <row r="4" spans="1:36" x14ac:dyDescent="0.2">
      <c r="A4" s="40">
        <v>3656</v>
      </c>
      <c r="B4" s="39" t="s">
        <v>73</v>
      </c>
      <c r="C4" s="136">
        <v>5.5594621010562707E-2</v>
      </c>
      <c r="D4" s="136">
        <v>5.3941374102444546E-2</v>
      </c>
      <c r="E4" s="141"/>
      <c r="F4" s="91">
        <f>'Option 1'!C5/'Option 1'!$C$43</f>
        <v>5.7433120163359386E-2</v>
      </c>
      <c r="G4" s="106">
        <f>F4-$C4</f>
        <v>1.8384991527966785E-3</v>
      </c>
      <c r="H4" s="111">
        <f>G4*'Option 1'!$C$43/1000000</f>
        <v>0.43204730090721954</v>
      </c>
      <c r="I4" s="141"/>
      <c r="J4" s="91">
        <f t="shared" ref="J4:J41" si="0">F4</f>
        <v>5.7433120163359386E-2</v>
      </c>
      <c r="K4" s="106">
        <f t="shared" ref="K4:K42" si="1">J4-$D4</f>
        <v>3.4917460609148396E-3</v>
      </c>
      <c r="L4" s="111">
        <f>K4*'Option 2'!$C$43/1000000</f>
        <v>0.82056032431498749</v>
      </c>
      <c r="M4" s="141"/>
      <c r="N4" s="91">
        <f>'Option 2'!C5/'Option 2'!$C$43</f>
        <v>6.8938050102943418E-2</v>
      </c>
      <c r="O4" s="106">
        <f>N4-$D4</f>
        <v>1.4996676000498872E-2</v>
      </c>
      <c r="P4" s="111">
        <f>O4*'Option 2'!$C$43/1000000</f>
        <v>3.5242188601172355</v>
      </c>
      <c r="Q4" s="141"/>
      <c r="R4" s="91">
        <f>'Option 6'!Q5/'Option 6'!$Q$43</f>
        <v>5.7519829351480339E-2</v>
      </c>
      <c r="S4" s="106">
        <f t="shared" ref="S4:S42" si="2">R4-$D4</f>
        <v>3.5784552490357932E-3</v>
      </c>
      <c r="T4" s="111">
        <f>S4*'Option 6'!$Q$43/1000000</f>
        <v>0.8409369835234114</v>
      </c>
      <c r="U4" s="141"/>
      <c r="V4" s="91">
        <f>'Option 7'!Q5/'Option 7'!$Q$43</f>
        <v>4.7310964579687011E-2</v>
      </c>
      <c r="W4" s="106">
        <f t="shared" ref="W4:W42" si="3">V4-$D4</f>
        <v>-6.6304095227575355E-3</v>
      </c>
      <c r="X4" s="111">
        <f>W4*'Option 7'!$Q$43/1000000</f>
        <v>-1.5581462378480209</v>
      </c>
      <c r="Y4" s="141"/>
      <c r="Z4" s="91">
        <f>'Option 8'!R5/'Option 8'!$R$43</f>
        <v>5.6572716354863412E-2</v>
      </c>
      <c r="AA4" s="106">
        <f>Z4-$D4</f>
        <v>2.6313422524188654E-3</v>
      </c>
      <c r="AB4" s="111">
        <f>AA4*'Option 8'!$R$43/1000000</f>
        <v>0.61836542931843341</v>
      </c>
      <c r="AC4" s="141"/>
      <c r="AD4" s="91">
        <f>'Option 9'!R5/'Option 9'!$R$43</f>
        <v>5.7977573579403988E-2</v>
      </c>
      <c r="AE4" s="106">
        <f>AD4-$D4</f>
        <v>4.0361994769594414E-3</v>
      </c>
      <c r="AF4" s="111">
        <f>AE4*'Option 9'!$R$43/1000000</f>
        <v>0.94850687708546877</v>
      </c>
      <c r="AG4" s="141"/>
      <c r="AH4" s="91">
        <f>'Option 10'!Q5/'Option 10'!$Q$43</f>
        <v>5.7820006571603397E-2</v>
      </c>
      <c r="AI4" s="106">
        <f t="shared" ref="AI4:AI42" si="4">AH4-$D4</f>
        <v>3.8786324691588506E-3</v>
      </c>
      <c r="AJ4" s="111">
        <f>AI4*'Option 10'!$Q$43/1000000</f>
        <v>0.91147863025232989</v>
      </c>
    </row>
    <row r="5" spans="1:36" x14ac:dyDescent="0.2">
      <c r="A5" s="20">
        <v>3658</v>
      </c>
      <c r="B5" s="19" t="s">
        <v>72</v>
      </c>
      <c r="C5" s="90">
        <v>0.1201911042261023</v>
      </c>
      <c r="D5" s="90">
        <v>9.7535367886092073E-2</v>
      </c>
      <c r="E5" s="141"/>
      <c r="F5" s="91">
        <f>'Option 1'!C6/'Option 1'!$C$43</f>
        <v>0.10744380093616079</v>
      </c>
      <c r="G5" s="106">
        <f t="shared" ref="G5:G41" si="5">F5-$C5</f>
        <v>-1.2747303289941503E-2</v>
      </c>
      <c r="H5" s="112">
        <f>G5*'Option 1'!$C$43/1000000</f>
        <v>-2.9956162731362541</v>
      </c>
      <c r="I5" s="141"/>
      <c r="J5" s="91">
        <f t="shared" si="0"/>
        <v>0.10744380093616079</v>
      </c>
      <c r="K5" s="106">
        <f t="shared" si="1"/>
        <v>9.9084330500687212E-3</v>
      </c>
      <c r="L5" s="112">
        <f>K5*'Option 2'!$C$43/1000000</f>
        <v>2.3284817667661502</v>
      </c>
      <c r="M5" s="141"/>
      <c r="N5" s="91">
        <f>'Option 2'!C6/'Option 2'!$C$43</f>
        <v>0.10448755424854973</v>
      </c>
      <c r="O5" s="106">
        <f t="shared" ref="O5:O42" si="6">N5-$D5</f>
        <v>6.9521863624576602E-3</v>
      </c>
      <c r="P5" s="112">
        <f>O5*'Option 2'!$C$43/1000000</f>
        <v>1.6337637951775505</v>
      </c>
      <c r="Q5" s="141"/>
      <c r="R5" s="91">
        <f>'Option 6'!Q6/'Option 6'!$Q$43</f>
        <v>9.0929113795704272E-2</v>
      </c>
      <c r="S5" s="106">
        <f t="shared" si="2"/>
        <v>-6.6062540903878003E-3</v>
      </c>
      <c r="T5" s="112">
        <f>S5*'Option 6'!$Q$43/1000000</f>
        <v>-1.552469711241133</v>
      </c>
      <c r="U5" s="141"/>
      <c r="V5" s="91">
        <f>'Option 7'!Q6/'Option 7'!$Q$43</f>
        <v>0.1069306748327159</v>
      </c>
      <c r="W5" s="106">
        <f t="shared" si="3"/>
        <v>9.395306946623827E-3</v>
      </c>
      <c r="X5" s="112">
        <f>W5*'Option 7'!$Q$43/1000000</f>
        <v>2.2078971324565995</v>
      </c>
      <c r="Y5" s="141"/>
      <c r="Z5" s="91">
        <f>'Option 8'!R6/'Option 8'!$R$43</f>
        <v>0.10246232635425599</v>
      </c>
      <c r="AA5" s="106">
        <f t="shared" ref="AA5:AA42" si="7">Z5-$D5</f>
        <v>4.9269584681639195E-3</v>
      </c>
      <c r="AB5" s="112">
        <f>AA5*'Option 8'!$R$43/1000000</f>
        <v>1.157835240018521</v>
      </c>
      <c r="AC5" s="141"/>
      <c r="AD5" s="91">
        <f>'Option 9'!R6/'Option 9'!$R$43</f>
        <v>0.10752213228454259</v>
      </c>
      <c r="AE5" s="106">
        <f t="shared" ref="AE5:AE42" si="8">AD5-$D5</f>
        <v>9.9867643984505178E-3</v>
      </c>
      <c r="AF5" s="112">
        <f>AE5*'Option 9'!$R$43/1000000</f>
        <v>2.3468896336358718</v>
      </c>
      <c r="AG5" s="141"/>
      <c r="AH5" s="91">
        <f>'Option 10'!Q6/'Option 10'!$Q$43</f>
        <v>0.10757935552196168</v>
      </c>
      <c r="AI5" s="106">
        <f t="shared" si="4"/>
        <v>1.0043987635869611E-2</v>
      </c>
      <c r="AJ5" s="112">
        <f>AI5*'Option 10'!$Q$43/1000000</f>
        <v>2.3603370944293589</v>
      </c>
    </row>
    <row r="6" spans="1:36" x14ac:dyDescent="0.2">
      <c r="A6" s="20">
        <v>9741</v>
      </c>
      <c r="B6" s="19" t="s">
        <v>71</v>
      </c>
      <c r="C6" s="90">
        <v>4.4714439852189161E-2</v>
      </c>
      <c r="D6" s="90">
        <v>3.0845130992374833E-2</v>
      </c>
      <c r="E6" s="141"/>
      <c r="F6" s="91">
        <f>'Option 1'!C7/'Option 1'!$C$43</f>
        <v>2.7960930235282688E-2</v>
      </c>
      <c r="G6" s="106">
        <f t="shared" si="5"/>
        <v>-1.6753509616906474E-2</v>
      </c>
      <c r="H6" s="112">
        <f>G6*'Option 1'!$C$43/1000000</f>
        <v>-3.9370747599730223</v>
      </c>
      <c r="I6" s="141"/>
      <c r="J6" s="91">
        <f t="shared" si="0"/>
        <v>2.7960930235282688E-2</v>
      </c>
      <c r="K6" s="106">
        <f t="shared" si="1"/>
        <v>-2.8842007570921459E-3</v>
      </c>
      <c r="L6" s="112">
        <f>K6*'Option 2'!$C$43/1000000</f>
        <v>-0.67778717791665455</v>
      </c>
      <c r="M6" s="141"/>
      <c r="N6" s="91">
        <f>'Option 2'!C7/'Option 2'!$C$43</f>
        <v>3.494798444619427E-2</v>
      </c>
      <c r="O6" s="106">
        <f t="shared" si="6"/>
        <v>4.1028534538194369E-3</v>
      </c>
      <c r="P6" s="112">
        <f>O6*'Option 2'!$C$43/1000000</f>
        <v>0.96417056164756787</v>
      </c>
      <c r="Q6" s="141"/>
      <c r="R6" s="91">
        <f>'Option 6'!Q7/'Option 6'!$Q$43</f>
        <v>2.9013339085616173E-2</v>
      </c>
      <c r="S6" s="106">
        <f t="shared" si="2"/>
        <v>-1.8317919067586605E-3</v>
      </c>
      <c r="T6" s="112">
        <f>S6*'Option 6'!$Q$43/1000000</f>
        <v>-0.43047109808828521</v>
      </c>
      <c r="U6" s="141"/>
      <c r="V6" s="91">
        <f>'Option 7'!Q7/'Option 7'!$Q$43</f>
        <v>2.5055557899363236E-2</v>
      </c>
      <c r="W6" s="106">
        <f t="shared" si="3"/>
        <v>-5.7895730930115977E-3</v>
      </c>
      <c r="X6" s="112">
        <f>W6*'Option 7'!$Q$43/1000000</f>
        <v>-1.3605496768577254</v>
      </c>
      <c r="Y6" s="141"/>
      <c r="Z6" s="91">
        <f>'Option 8'!R7/'Option 8'!$R$43</f>
        <v>2.826742390089056E-2</v>
      </c>
      <c r="AA6" s="106">
        <f t="shared" si="7"/>
        <v>-2.5777070914842735E-3</v>
      </c>
      <c r="AB6" s="112">
        <f>AA6*'Option 8'!$R$43/1000000</f>
        <v>-0.60576116649880418</v>
      </c>
      <c r="AC6" s="141"/>
      <c r="AD6" s="91">
        <f>'Option 9'!R7/'Option 9'!$R$43</f>
        <v>2.9380007340339256E-2</v>
      </c>
      <c r="AE6" s="106">
        <f t="shared" si="8"/>
        <v>-1.465123652035577E-3</v>
      </c>
      <c r="AF6" s="112">
        <f>AE6*'Option 9'!$R$43/1000000</f>
        <v>-0.34430405822836063</v>
      </c>
      <c r="AG6" s="141"/>
      <c r="AH6" s="91">
        <f>'Option 10'!Q7/'Option 10'!$Q$43</f>
        <v>2.9335126769300519E-2</v>
      </c>
      <c r="AI6" s="106">
        <f t="shared" si="4"/>
        <v>-1.5100042230743148E-3</v>
      </c>
      <c r="AJ6" s="112">
        <f>AI6*'Option 10'!$Q$43/1000000</f>
        <v>-0.35485099242246393</v>
      </c>
    </row>
    <row r="7" spans="1:36" x14ac:dyDescent="0.2">
      <c r="A7" s="20">
        <v>3661</v>
      </c>
      <c r="B7" s="19" t="s">
        <v>70</v>
      </c>
      <c r="C7" s="90">
        <v>3.314312548267765E-2</v>
      </c>
      <c r="D7" s="90">
        <v>3.8067899960727944E-2</v>
      </c>
      <c r="E7" s="141"/>
      <c r="F7" s="91">
        <f>'Option 1'!C8/'Option 1'!$C$43</f>
        <v>3.7801700479809269E-2</v>
      </c>
      <c r="G7" s="106">
        <f t="shared" si="5"/>
        <v>4.658574997131619E-3</v>
      </c>
      <c r="H7" s="112">
        <f>G7*'Option 1'!$C$43/1000000</f>
        <v>1.0947651243259309</v>
      </c>
      <c r="I7" s="141"/>
      <c r="J7" s="91">
        <f t="shared" si="0"/>
        <v>3.7801700479809269E-2</v>
      </c>
      <c r="K7" s="106">
        <f t="shared" si="1"/>
        <v>-2.6619948091867462E-4</v>
      </c>
      <c r="L7" s="112">
        <f>K7*'Option 2'!$C$43/1000000</f>
        <v>-6.2556878015888551E-2</v>
      </c>
      <c r="M7" s="141"/>
      <c r="N7" s="91">
        <f>'Option 2'!C8/'Option 2'!$C$43</f>
        <v>3.3304048753986473E-2</v>
      </c>
      <c r="O7" s="106">
        <f t="shared" si="6"/>
        <v>-4.7638512067414707E-3</v>
      </c>
      <c r="P7" s="112">
        <f>O7*'Option 2'!$C$43/1000000</f>
        <v>-1.119505033584246</v>
      </c>
      <c r="Q7" s="141"/>
      <c r="R7" s="91">
        <f>'Option 6'!Q8/'Option 6'!$Q$43</f>
        <v>3.6509531604920299E-2</v>
      </c>
      <c r="S7" s="106">
        <f t="shared" si="2"/>
        <v>-1.5583683558076447E-3</v>
      </c>
      <c r="T7" s="112">
        <f>S7*'Option 6'!$Q$43/1000000</f>
        <v>-0.36621656361479649</v>
      </c>
      <c r="U7" s="141"/>
      <c r="V7" s="91">
        <f>'Option 7'!Q8/'Option 7'!$Q$43</f>
        <v>3.2329755457896944E-2</v>
      </c>
      <c r="W7" s="106">
        <f t="shared" si="3"/>
        <v>-5.7381445028309996E-3</v>
      </c>
      <c r="X7" s="112">
        <f>W7*'Option 7'!$Q$43/1000000</f>
        <v>-1.3484639581652849</v>
      </c>
      <c r="Y7" s="141"/>
      <c r="Z7" s="91">
        <f>'Option 8'!R8/'Option 8'!$R$43</f>
        <v>3.7539048106096796E-2</v>
      </c>
      <c r="AA7" s="106">
        <f t="shared" si="7"/>
        <v>-5.2885185463114742E-4</v>
      </c>
      <c r="AB7" s="112">
        <f>AA7*'Option 8'!$R$43/1000000</f>
        <v>-0.12428018583831964</v>
      </c>
      <c r="AC7" s="141"/>
      <c r="AD7" s="91">
        <f>'Option 9'!R8/'Option 9'!$R$43</f>
        <v>3.4608731409381886E-2</v>
      </c>
      <c r="AE7" s="106">
        <f t="shared" si="8"/>
        <v>-3.4591685513460577E-3</v>
      </c>
      <c r="AF7" s="112">
        <f>AE7*'Option 9'!$R$43/1000000</f>
        <v>-0.8129046095663236</v>
      </c>
      <c r="AG7" s="141"/>
      <c r="AH7" s="91">
        <f>'Option 10'!Q8/'Option 10'!$Q$43</f>
        <v>3.4656829205279141E-2</v>
      </c>
      <c r="AI7" s="106">
        <f t="shared" si="4"/>
        <v>-3.4110707554488029E-3</v>
      </c>
      <c r="AJ7" s="112">
        <f>AI7*'Option 10'!$Q$43/1000000</f>
        <v>-0.8016016275304686</v>
      </c>
    </row>
    <row r="8" spans="1:36" x14ac:dyDescent="0.2">
      <c r="A8" s="20">
        <v>3599</v>
      </c>
      <c r="B8" s="19" t="s">
        <v>69</v>
      </c>
      <c r="C8" s="90">
        <v>2.740784788825534E-2</v>
      </c>
      <c r="D8" s="90">
        <v>3.6041180893975448E-2</v>
      </c>
      <c r="E8" s="141"/>
      <c r="F8" s="91">
        <f>'Option 1'!C9/'Option 1'!$C$43</f>
        <v>3.3414305369230984E-2</v>
      </c>
      <c r="G8" s="106">
        <f t="shared" si="5"/>
        <v>6.0064574809756445E-3</v>
      </c>
      <c r="H8" s="112">
        <f>G8*'Option 1'!$C$43/1000000</f>
        <v>1.4115175080292768</v>
      </c>
      <c r="I8" s="141"/>
      <c r="J8" s="91">
        <f t="shared" si="0"/>
        <v>3.3414305369230984E-2</v>
      </c>
      <c r="K8" s="106">
        <f t="shared" si="1"/>
        <v>-2.6268755247444639E-3</v>
      </c>
      <c r="L8" s="112">
        <f>K8*'Option 2'!$C$43/1000000</f>
        <v>-0.61731574831494918</v>
      </c>
      <c r="M8" s="141"/>
      <c r="N8" s="91">
        <f>'Option 2'!C9/'Option 2'!$C$43</f>
        <v>2.7811244210473991E-2</v>
      </c>
      <c r="O8" s="106">
        <f t="shared" si="6"/>
        <v>-8.229936683501457E-3</v>
      </c>
      <c r="P8" s="112">
        <f>O8*'Option 2'!$C$43/1000000</f>
        <v>-1.9340351206228428</v>
      </c>
      <c r="Q8" s="141"/>
      <c r="R8" s="91">
        <f>'Option 6'!Q9/'Option 6'!$Q$43</f>
        <v>3.2957230704077509E-2</v>
      </c>
      <c r="S8" s="106">
        <f t="shared" si="2"/>
        <v>-3.0839501898979396E-3</v>
      </c>
      <c r="T8" s="112">
        <f>S8*'Option 6'!$Q$43/1000000</f>
        <v>-0.72472829462601585</v>
      </c>
      <c r="U8" s="141"/>
      <c r="V8" s="91">
        <f>'Option 7'!Q9/'Option 7'!$Q$43</f>
        <v>3.0059927356328571E-2</v>
      </c>
      <c r="W8" s="106">
        <f t="shared" si="3"/>
        <v>-5.9812535376468773E-3</v>
      </c>
      <c r="X8" s="112">
        <f>W8*'Option 7'!$Q$43/1000000</f>
        <v>-1.4055945813470161</v>
      </c>
      <c r="Y8" s="141"/>
      <c r="Z8" s="91">
        <f>'Option 8'!R9/'Option 8'!$R$43</f>
        <v>3.2977855546265263E-2</v>
      </c>
      <c r="AA8" s="106">
        <f t="shared" si="7"/>
        <v>-3.0633253477101857E-3</v>
      </c>
      <c r="AB8" s="112">
        <f>AA8*'Option 8'!$R$43/1000000</f>
        <v>-0.71988145671189363</v>
      </c>
      <c r="AC8" s="141"/>
      <c r="AD8" s="91">
        <f>'Option 9'!R9/'Option 9'!$R$43</f>
        <v>3.2028628547648236E-2</v>
      </c>
      <c r="AE8" s="106">
        <f t="shared" si="8"/>
        <v>-4.0125523463272125E-3</v>
      </c>
      <c r="AF8" s="112">
        <f>AE8*'Option 9'!$R$43/1000000</f>
        <v>-0.94294980138689488</v>
      </c>
      <c r="AG8" s="141"/>
      <c r="AH8" s="91">
        <f>'Option 10'!Q9/'Option 10'!$Q$43</f>
        <v>3.197270912711489E-2</v>
      </c>
      <c r="AI8" s="106">
        <f t="shared" si="4"/>
        <v>-4.0684717668605583E-3</v>
      </c>
      <c r="AJ8" s="112">
        <f>AI8*'Option 10'!$Q$43/1000000</f>
        <v>-0.95609086521223119</v>
      </c>
    </row>
    <row r="9" spans="1:36" x14ac:dyDescent="0.2">
      <c r="A9" s="20">
        <v>30646</v>
      </c>
      <c r="B9" s="19" t="s">
        <v>68</v>
      </c>
      <c r="C9" s="90">
        <v>9.8207332846613673E-3</v>
      </c>
      <c r="D9" s="90">
        <v>1.3127311227878089E-2</v>
      </c>
      <c r="E9" s="141"/>
      <c r="F9" s="91">
        <f>'Option 1'!C10/'Option 1'!$C$43</f>
        <v>1.1024062138423319E-2</v>
      </c>
      <c r="G9" s="106">
        <f t="shared" si="5"/>
        <v>1.2033288537619518E-3</v>
      </c>
      <c r="H9" s="112">
        <f>G9*'Option 1'!$C$43/1000000</f>
        <v>0.28278228063405875</v>
      </c>
      <c r="I9" s="141"/>
      <c r="J9" s="91">
        <f t="shared" si="0"/>
        <v>1.1024062138423319E-2</v>
      </c>
      <c r="K9" s="106">
        <f t="shared" si="1"/>
        <v>-2.1032490894547697E-3</v>
      </c>
      <c r="L9" s="112">
        <f>K9*'Option 2'!$C$43/1000000</f>
        <v>-0.49426353602187101</v>
      </c>
      <c r="M9" s="141"/>
      <c r="N9" s="91">
        <f>'Option 2'!C10/'Option 2'!$C$43</f>
        <v>1.1117499805372395E-2</v>
      </c>
      <c r="O9" s="106">
        <f t="shared" si="6"/>
        <v>-2.0098114225056939E-3</v>
      </c>
      <c r="P9" s="112">
        <f>O9*'Option 2'!$C$43/1000000</f>
        <v>-0.47230568428883818</v>
      </c>
      <c r="Q9" s="141"/>
      <c r="R9" s="91">
        <f>'Option 6'!Q10/'Option 6'!$Q$43</f>
        <v>1.3175680266697114E-2</v>
      </c>
      <c r="S9" s="106">
        <f t="shared" si="2"/>
        <v>4.8369038819025614E-5</v>
      </c>
      <c r="T9" s="112">
        <f>S9*'Option 6'!$Q$43/1000000</f>
        <v>1.1366724122471019E-2</v>
      </c>
      <c r="U9" s="141"/>
      <c r="V9" s="91">
        <f>'Option 7'!Q10/'Option 7'!$Q$43</f>
        <v>1.6023810232834196E-2</v>
      </c>
      <c r="W9" s="106">
        <f t="shared" si="3"/>
        <v>2.896499004956107E-3</v>
      </c>
      <c r="X9" s="112">
        <f>W9*'Option 7'!$Q$43/1000000</f>
        <v>0.68067726616468516</v>
      </c>
      <c r="Y9" s="141"/>
      <c r="Z9" s="91">
        <f>'Option 8'!R10/'Option 8'!$R$43</f>
        <v>1.2025100724471645E-2</v>
      </c>
      <c r="AA9" s="106">
        <f t="shared" si="7"/>
        <v>-1.1022105034064443E-3</v>
      </c>
      <c r="AB9" s="112">
        <f>AA9*'Option 8'!$R$43/1000000</f>
        <v>-0.25901946830051442</v>
      </c>
      <c r="AC9" s="141"/>
      <c r="AD9" s="91">
        <f>'Option 9'!R10/'Option 9'!$R$43</f>
        <v>1.2408195622204285E-2</v>
      </c>
      <c r="AE9" s="106">
        <f t="shared" si="8"/>
        <v>-7.1911560567380385E-4</v>
      </c>
      <c r="AF9" s="112">
        <f>AE9*'Option 9'!$R$43/1000000</f>
        <v>-0.16899216733334391</v>
      </c>
      <c r="AG9" s="141"/>
      <c r="AH9" s="91">
        <f>'Option 10'!Q10/'Option 10'!$Q$43</f>
        <v>1.2412824623390989E-2</v>
      </c>
      <c r="AI9" s="106">
        <f t="shared" si="4"/>
        <v>-7.1448660448709955E-4</v>
      </c>
      <c r="AJ9" s="112">
        <f>AI9*'Option 10'!$Q$43/1000000</f>
        <v>-0.16790435205446838</v>
      </c>
    </row>
    <row r="10" spans="1:36" x14ac:dyDescent="0.2">
      <c r="A10" s="20">
        <v>9930</v>
      </c>
      <c r="B10" s="19" t="s">
        <v>67</v>
      </c>
      <c r="C10" s="90">
        <v>5.0772740655610771E-3</v>
      </c>
      <c r="D10" s="90">
        <v>6.658597974462911E-3</v>
      </c>
      <c r="E10" s="141"/>
      <c r="F10" s="91">
        <f>'Option 1'!C11/'Option 1'!$C$43</f>
        <v>5.8857015876078826E-3</v>
      </c>
      <c r="G10" s="106">
        <f t="shared" si="5"/>
        <v>8.0842752204680554E-4</v>
      </c>
      <c r="H10" s="112">
        <f>G10*'Option 1'!$C$43/1000000</f>
        <v>0.18998046768099933</v>
      </c>
      <c r="I10" s="141"/>
      <c r="J10" s="91">
        <f t="shared" si="0"/>
        <v>5.8857015876078826E-3</v>
      </c>
      <c r="K10" s="106">
        <f t="shared" si="1"/>
        <v>-7.7289638685502839E-4</v>
      </c>
      <c r="L10" s="112">
        <f>K10*'Option 2'!$C$43/1000000</f>
        <v>-0.18163065091093172</v>
      </c>
      <c r="M10" s="141"/>
      <c r="N10" s="91">
        <f>'Option 2'!C11/'Option 2'!$C$43</f>
        <v>6.0376459546704238E-3</v>
      </c>
      <c r="O10" s="106">
        <f t="shared" si="6"/>
        <v>-6.2095201979248723E-4</v>
      </c>
      <c r="P10" s="112">
        <f>O10*'Option 2'!$C$43/1000000</f>
        <v>-0.14592372465123454</v>
      </c>
      <c r="Q10" s="141"/>
      <c r="R10" s="91">
        <f>'Option 6'!Q11/'Option 6'!$Q$43</f>
        <v>7.0937133536306566E-3</v>
      </c>
      <c r="S10" s="106">
        <f t="shared" si="2"/>
        <v>4.3511537916774562E-4</v>
      </c>
      <c r="T10" s="112">
        <f>S10*'Option 6'!$Q$43/1000000</f>
        <v>0.10225211410442023</v>
      </c>
      <c r="U10" s="141"/>
      <c r="V10" s="91">
        <f>'Option 7'!Q11/'Option 7'!$Q$43</f>
        <v>9.1111879938374496E-3</v>
      </c>
      <c r="W10" s="106">
        <f t="shared" si="3"/>
        <v>2.4525900193745386E-3</v>
      </c>
      <c r="X10" s="112">
        <f>W10*'Option 7'!$Q$43/1000000</f>
        <v>0.57635865455301649</v>
      </c>
      <c r="Y10" s="141"/>
      <c r="Z10" s="91">
        <f>'Option 8'!R11/'Option 8'!$R$43</f>
        <v>6.1817684211074005E-3</v>
      </c>
      <c r="AA10" s="106">
        <f t="shared" si="7"/>
        <v>-4.7682955335551051E-4</v>
      </c>
      <c r="AB10" s="112">
        <f>AA10*'Option 8'!$R$43/1000000</f>
        <v>-0.11205494503854498</v>
      </c>
      <c r="AC10" s="141"/>
      <c r="AD10" s="91">
        <f>'Option 9'!R11/'Option 9'!$R$43</f>
        <v>6.1417745072994655E-3</v>
      </c>
      <c r="AE10" s="106">
        <f t="shared" si="8"/>
        <v>-5.1682346716344554E-4</v>
      </c>
      <c r="AF10" s="112">
        <f>AE10*'Option 9'!$R$43/1000000</f>
        <v>-0.1214535147834097</v>
      </c>
      <c r="AG10" s="141"/>
      <c r="AH10" s="91">
        <f>'Option 10'!Q11/'Option 10'!$Q$43</f>
        <v>6.1490893930442256E-3</v>
      </c>
      <c r="AI10" s="106">
        <f t="shared" si="4"/>
        <v>-5.0950858141868543E-4</v>
      </c>
      <c r="AJ10" s="112">
        <f>AI10*'Option 10'!$Q$43/1000000</f>
        <v>-0.11973451663339107</v>
      </c>
    </row>
    <row r="11" spans="1:36" x14ac:dyDescent="0.2">
      <c r="A11" s="20">
        <v>10115</v>
      </c>
      <c r="B11" s="19" t="s">
        <v>66</v>
      </c>
      <c r="C11" s="90">
        <v>4.4912894198228713E-2</v>
      </c>
      <c r="D11" s="90">
        <v>5.1993931386758195E-2</v>
      </c>
      <c r="E11" s="141"/>
      <c r="F11" s="91">
        <f>'Option 1'!C12/'Option 1'!$C$43</f>
        <v>5.0267953461106338E-2</v>
      </c>
      <c r="G11" s="106">
        <f t="shared" si="5"/>
        <v>5.3550592628776247E-3</v>
      </c>
      <c r="H11" s="112">
        <f>G11*'Option 1'!$C$43/1000000</f>
        <v>1.2584389267762421</v>
      </c>
      <c r="I11" s="141"/>
      <c r="J11" s="91">
        <f t="shared" si="0"/>
        <v>5.0267953461106338E-2</v>
      </c>
      <c r="K11" s="106">
        <f t="shared" si="1"/>
        <v>-1.7259779256518573E-3</v>
      </c>
      <c r="L11" s="112">
        <f>K11*'Option 2'!$C$43/1000000</f>
        <v>-0.40560481252818659</v>
      </c>
      <c r="M11" s="141"/>
      <c r="N11" s="91">
        <f>'Option 2'!C12/'Option 2'!$C$43</f>
        <v>4.3225640995323937E-2</v>
      </c>
      <c r="O11" s="106">
        <f t="shared" si="6"/>
        <v>-8.768290391434258E-3</v>
      </c>
      <c r="P11" s="112">
        <f>O11*'Option 2'!$C$43/1000000</f>
        <v>-2.0605482419870511</v>
      </c>
      <c r="Q11" s="141"/>
      <c r="R11" s="91">
        <f>'Option 6'!Q12/'Option 6'!$Q$43</f>
        <v>4.734399432434893E-2</v>
      </c>
      <c r="S11" s="106">
        <f t="shared" si="2"/>
        <v>-4.6499370624092651E-3</v>
      </c>
      <c r="T11" s="112">
        <f>S11*'Option 6'!$Q$43/1000000</f>
        <v>-1.0927352096661773</v>
      </c>
      <c r="U11" s="141"/>
      <c r="V11" s="91">
        <f>'Option 7'!Q12/'Option 7'!$Q$43</f>
        <v>4.5341133846780977E-2</v>
      </c>
      <c r="W11" s="106">
        <f t="shared" si="3"/>
        <v>-6.6527975399772177E-3</v>
      </c>
      <c r="X11" s="112">
        <f>W11*'Option 7'!$Q$43/1000000</f>
        <v>-1.5634074218946463</v>
      </c>
      <c r="Y11" s="141"/>
      <c r="Z11" s="91">
        <f>'Option 8'!R12/'Option 8'!$R$43</f>
        <v>5.259202894248978E-2</v>
      </c>
      <c r="AA11" s="106">
        <f t="shared" si="7"/>
        <v>5.9809755573158457E-4</v>
      </c>
      <c r="AB11" s="112">
        <f>AA11*'Option 8'!$R$43/1000000</f>
        <v>0.14055292559692237</v>
      </c>
      <c r="AC11" s="141"/>
      <c r="AD11" s="91">
        <f>'Option 9'!R12/'Option 9'!$R$43</f>
        <v>4.9201087410929704E-2</v>
      </c>
      <c r="AE11" s="106">
        <f t="shared" si="8"/>
        <v>-2.7928439758284906E-3</v>
      </c>
      <c r="AF11" s="112">
        <f>AE11*'Option 9'!$R$43/1000000</f>
        <v>-0.65631833431969522</v>
      </c>
      <c r="AG11" s="141"/>
      <c r="AH11" s="91">
        <f>'Option 10'!Q12/'Option 10'!$Q$43</f>
        <v>4.9226473180863393E-2</v>
      </c>
      <c r="AI11" s="106">
        <f t="shared" si="4"/>
        <v>-2.7674582058948016E-3</v>
      </c>
      <c r="AJ11" s="112">
        <f>AI11*'Option 10'!$Q$43/1000000</f>
        <v>-0.65035267838527833</v>
      </c>
    </row>
    <row r="12" spans="1:36" x14ac:dyDescent="0.2">
      <c r="A12" s="20">
        <v>11163</v>
      </c>
      <c r="B12" s="19" t="s">
        <v>65</v>
      </c>
      <c r="C12" s="90">
        <v>1.0834467699729631E-2</v>
      </c>
      <c r="D12" s="90">
        <v>1.2069401585431769E-2</v>
      </c>
      <c r="E12" s="141"/>
      <c r="F12" s="91">
        <f>'Option 1'!C13/'Option 1'!$C$43</f>
        <v>1.3484385717409827E-2</v>
      </c>
      <c r="G12" s="106">
        <f t="shared" si="5"/>
        <v>2.649918017680197E-3</v>
      </c>
      <c r="H12" s="112">
        <f>G12*'Option 1'!$C$43/1000000</f>
        <v>0.62273073415484637</v>
      </c>
      <c r="I12" s="141"/>
      <c r="J12" s="91">
        <f t="shared" si="0"/>
        <v>1.3484385717409827E-2</v>
      </c>
      <c r="K12" s="106">
        <f t="shared" si="1"/>
        <v>1.414984131978058E-3</v>
      </c>
      <c r="L12" s="112">
        <f>K12*'Option 2'!$C$43/1000000</f>
        <v>0.33252127101484374</v>
      </c>
      <c r="M12" s="141"/>
      <c r="N12" s="91">
        <f>'Option 2'!C13/'Option 2'!$C$43</f>
        <v>1.2802312647252338E-2</v>
      </c>
      <c r="O12" s="106">
        <f t="shared" si="6"/>
        <v>7.3291106182056878E-4</v>
      </c>
      <c r="P12" s="112">
        <f>O12*'Option 2'!$C$43/1000000</f>
        <v>0.17223409952783372</v>
      </c>
      <c r="Q12" s="141"/>
      <c r="R12" s="91">
        <f>'Option 6'!Q13/'Option 6'!$Q$43</f>
        <v>1.5095762298487508E-2</v>
      </c>
      <c r="S12" s="106">
        <f t="shared" si="2"/>
        <v>3.0263607130557382E-3</v>
      </c>
      <c r="T12" s="112">
        <f>S12*'Option 6'!$Q$43/1000000</f>
        <v>0.71119476756809852</v>
      </c>
      <c r="U12" s="141"/>
      <c r="V12" s="91">
        <f>'Option 7'!Q13/'Option 7'!$Q$43</f>
        <v>1.5363064247908011E-2</v>
      </c>
      <c r="W12" s="106">
        <f t="shared" si="3"/>
        <v>3.2936626624762416E-3</v>
      </c>
      <c r="X12" s="112">
        <f>W12*'Option 7'!$Q$43/1000000</f>
        <v>0.77401072568191676</v>
      </c>
      <c r="Y12" s="141"/>
      <c r="Z12" s="91">
        <f>'Option 8'!R13/'Option 8'!$R$43</f>
        <v>1.332817016498032E-2</v>
      </c>
      <c r="AA12" s="106">
        <f t="shared" si="7"/>
        <v>1.2587685795485502E-3</v>
      </c>
      <c r="AB12" s="112">
        <f>AA12*'Option 8'!$R$43/1000000</f>
        <v>0.2958106161939093</v>
      </c>
      <c r="AC12" s="141"/>
      <c r="AD12" s="91">
        <f>'Option 9'!R13/'Option 9'!$R$43</f>
        <v>1.3309869235707069E-2</v>
      </c>
      <c r="AE12" s="106">
        <f t="shared" si="8"/>
        <v>1.2404676502752992E-3</v>
      </c>
      <c r="AF12" s="112">
        <f>AE12*'Option 9'!$R$43/1000000</f>
        <v>0.29150989781469533</v>
      </c>
      <c r="AG12" s="141"/>
      <c r="AH12" s="91">
        <f>'Option 10'!Q13/'Option 10'!$Q$43</f>
        <v>1.3311590803306106E-2</v>
      </c>
      <c r="AI12" s="106">
        <f t="shared" si="4"/>
        <v>1.2421892178743361E-3</v>
      </c>
      <c r="AJ12" s="112">
        <f>AI12*'Option 10'!$Q$43/1000000</f>
        <v>0.29191446620046901</v>
      </c>
    </row>
    <row r="13" spans="1:36" x14ac:dyDescent="0.2">
      <c r="A13" s="20">
        <v>3632</v>
      </c>
      <c r="B13" s="19" t="s">
        <v>64</v>
      </c>
      <c r="C13" s="90">
        <v>0.12924677670621101</v>
      </c>
      <c r="D13" s="90">
        <v>0.10514316433214833</v>
      </c>
      <c r="E13" s="141"/>
      <c r="F13" s="91">
        <f>'Option 1'!C14/'Option 1'!$C$43</f>
        <v>0.10868949948252503</v>
      </c>
      <c r="G13" s="106">
        <f t="shared" si="5"/>
        <v>-2.0557277223685985E-2</v>
      </c>
      <c r="H13" s="112">
        <f>G13*'Option 1'!$C$43/1000000</f>
        <v>-4.8309601475662074</v>
      </c>
      <c r="I13" s="141"/>
      <c r="J13" s="91">
        <f t="shared" si="0"/>
        <v>0.10868949948252503</v>
      </c>
      <c r="K13" s="106">
        <f t="shared" si="1"/>
        <v>3.5463351503766949E-3</v>
      </c>
      <c r="L13" s="112">
        <f>K13*'Option 2'!$C$43/1000000</f>
        <v>0.83338876033852349</v>
      </c>
      <c r="M13" s="141"/>
      <c r="N13" s="91">
        <f>'Option 2'!C14/'Option 2'!$C$43</f>
        <v>0.10514326253268134</v>
      </c>
      <c r="O13" s="106">
        <f t="shared" si="6"/>
        <v>9.8200533010794899E-8</v>
      </c>
      <c r="P13" s="112">
        <f>O13*'Option 2'!$C$43/1000000</f>
        <v>2.3077125257536808E-5</v>
      </c>
      <c r="Q13" s="141"/>
      <c r="R13" s="91">
        <f>'Option 6'!Q14/'Option 6'!$Q$43</f>
        <v>9.8525203199756065E-2</v>
      </c>
      <c r="S13" s="106">
        <f t="shared" si="2"/>
        <v>-6.6179611323922694E-3</v>
      </c>
      <c r="T13" s="112">
        <f>S13*'Option 6'!$Q$43/1000000</f>
        <v>-1.5552208661121834</v>
      </c>
      <c r="U13" s="141"/>
      <c r="V13" s="91">
        <f>'Option 7'!Q14/'Option 7'!$Q$43</f>
        <v>0.10528243793479108</v>
      </c>
      <c r="W13" s="106">
        <f t="shared" si="3"/>
        <v>1.3927360264275046E-4</v>
      </c>
      <c r="X13" s="112">
        <f>W13*'Option 7'!$Q$43/1000000</f>
        <v>3.2729296621046358E-2</v>
      </c>
      <c r="Y13" s="141"/>
      <c r="Z13" s="91">
        <f>'Option 8'!R14/'Option 8'!$R$43</f>
        <v>0.10518126758331847</v>
      </c>
      <c r="AA13" s="106">
        <f t="shared" si="7"/>
        <v>3.8103251170137908E-5</v>
      </c>
      <c r="AB13" s="112">
        <f>AA13*'Option 8'!$R$43/1000000</f>
        <v>8.9542640249824085E-3</v>
      </c>
      <c r="AC13" s="141"/>
      <c r="AD13" s="91">
        <f>'Option 9'!R14/'Option 9'!$R$43</f>
        <v>0.10716166558204707</v>
      </c>
      <c r="AE13" s="106">
        <f t="shared" si="8"/>
        <v>2.0185012498987326E-3</v>
      </c>
      <c r="AF13" s="112">
        <f>AE13*'Option 9'!$R$43/1000000</f>
        <v>0.47434779372620217</v>
      </c>
      <c r="AG13" s="141"/>
      <c r="AH13" s="91">
        <f>'Option 10'!Q14/'Option 10'!$Q$43</f>
        <v>0.10715413667218042</v>
      </c>
      <c r="AI13" s="106">
        <f t="shared" si="4"/>
        <v>2.0109723400320856E-3</v>
      </c>
      <c r="AJ13" s="112">
        <f>AI13*'Option 10'!$Q$43/1000000</f>
        <v>0.47257849990754008</v>
      </c>
    </row>
    <row r="14" spans="1:36" x14ac:dyDescent="0.2">
      <c r="A14" s="20">
        <v>10298</v>
      </c>
      <c r="B14" s="19" t="s">
        <v>63</v>
      </c>
      <c r="C14" s="90">
        <v>5.1146603377348384E-3</v>
      </c>
      <c r="D14" s="90">
        <v>7.0859752523080169E-3</v>
      </c>
      <c r="E14" s="141"/>
      <c r="F14" s="91">
        <f>'Option 1'!C15/'Option 1'!$C$43</f>
        <v>5.9921021213003465E-3</v>
      </c>
      <c r="G14" s="106">
        <f t="shared" si="5"/>
        <v>8.7744178356550812E-4</v>
      </c>
      <c r="H14" s="112">
        <f>G14*'Option 1'!$C$43/1000000</f>
        <v>0.20619881913789445</v>
      </c>
      <c r="I14" s="141"/>
      <c r="J14" s="91">
        <f t="shared" si="0"/>
        <v>5.9921021213003465E-3</v>
      </c>
      <c r="K14" s="106">
        <f t="shared" si="1"/>
        <v>-1.0938731310076704E-3</v>
      </c>
      <c r="L14" s="112">
        <f>K14*'Option 2'!$C$43/1000000</f>
        <v>-0.25706018578680262</v>
      </c>
      <c r="M14" s="141"/>
      <c r="N14" s="91">
        <f>'Option 2'!C15/'Option 2'!$C$43</f>
        <v>6.0335685714650172E-3</v>
      </c>
      <c r="O14" s="106">
        <f t="shared" si="6"/>
        <v>-1.0524066808429997E-3</v>
      </c>
      <c r="P14" s="112">
        <f>O14*'Option 2'!$C$43/1000000</f>
        <v>-0.247315569998105</v>
      </c>
      <c r="Q14" s="141"/>
      <c r="R14" s="91">
        <f>'Option 6'!Q15/'Option 6'!$Q$43</f>
        <v>7.2084015990495146E-3</v>
      </c>
      <c r="S14" s="106">
        <f t="shared" si="2"/>
        <v>1.2242634674149763E-4</v>
      </c>
      <c r="T14" s="112">
        <f>S14*'Option 6'!$Q$43/1000000</f>
        <v>2.8770191484251945E-2</v>
      </c>
      <c r="U14" s="141"/>
      <c r="V14" s="91">
        <f>'Option 7'!Q15/'Option 7'!$Q$43</f>
        <v>8.4789095517350029E-3</v>
      </c>
      <c r="W14" s="106">
        <f t="shared" si="3"/>
        <v>1.392934299426986E-3</v>
      </c>
      <c r="X14" s="112">
        <f>W14*'Option 7'!$Q$43/1000000</f>
        <v>0.32733956036534173</v>
      </c>
      <c r="Y14" s="141"/>
      <c r="Z14" s="91">
        <f>'Option 8'!R15/'Option 8'!$R$43</f>
        <v>6.2663195798264631E-3</v>
      </c>
      <c r="AA14" s="106">
        <f t="shared" si="7"/>
        <v>-8.1965567248155381E-4</v>
      </c>
      <c r="AB14" s="112">
        <f>AA14*'Option 8'!$R$43/1000000</f>
        <v>-0.19261908303316513</v>
      </c>
      <c r="AC14" s="141"/>
      <c r="AD14" s="91">
        <f>'Option 9'!R15/'Option 9'!$R$43</f>
        <v>5.723973216396264E-3</v>
      </c>
      <c r="AE14" s="106">
        <f t="shared" si="8"/>
        <v>-1.3620020359117529E-3</v>
      </c>
      <c r="AF14" s="112">
        <f>AE14*'Option 9'!$R$43/1000000</f>
        <v>-0.32007047843926195</v>
      </c>
      <c r="AG14" s="141"/>
      <c r="AH14" s="91">
        <f>'Option 10'!Q15/'Option 10'!$Q$43</f>
        <v>5.7205980682692543E-3</v>
      </c>
      <c r="AI14" s="106">
        <f t="shared" si="4"/>
        <v>-1.3653771840387626E-3</v>
      </c>
      <c r="AJ14" s="112">
        <f>AI14*'Option 10'!$Q$43/1000000</f>
        <v>-0.32086363824910918</v>
      </c>
    </row>
    <row r="15" spans="1:36" x14ac:dyDescent="0.2">
      <c r="A15" s="20">
        <v>3630</v>
      </c>
      <c r="B15" s="19" t="s">
        <v>62</v>
      </c>
      <c r="C15" s="90">
        <v>1.2996728525737848E-2</v>
      </c>
      <c r="D15" s="90">
        <v>1.5279410782616385E-2</v>
      </c>
      <c r="E15" s="141"/>
      <c r="F15" s="91">
        <f>'Option 1'!C16/'Option 1'!$C$43</f>
        <v>1.3402905414046656E-2</v>
      </c>
      <c r="G15" s="106">
        <f t="shared" si="5"/>
        <v>4.0617688830880787E-4</v>
      </c>
      <c r="H15" s="112">
        <f>G15*'Option 1'!$C$43/1000000</f>
        <v>9.5451568752569868E-2</v>
      </c>
      <c r="I15" s="141"/>
      <c r="J15" s="91">
        <f t="shared" si="0"/>
        <v>1.3402905414046656E-2</v>
      </c>
      <c r="K15" s="106">
        <f t="shared" si="1"/>
        <v>-1.8765053685697291E-3</v>
      </c>
      <c r="L15" s="112">
        <f>K15*'Option 2'!$C$43/1000000</f>
        <v>-0.44097876161388644</v>
      </c>
      <c r="M15" s="141"/>
      <c r="N15" s="91">
        <f>'Option 2'!C16/'Option 2'!$C$43</f>
        <v>1.1560702425489351E-2</v>
      </c>
      <c r="O15" s="106">
        <f t="shared" si="6"/>
        <v>-3.7187083571270339E-3</v>
      </c>
      <c r="P15" s="112">
        <f>O15*'Option 2'!$C$43/1000000</f>
        <v>-0.87389646392485321</v>
      </c>
      <c r="Q15" s="141"/>
      <c r="R15" s="91">
        <f>'Option 6'!Q16/'Option 6'!$Q$43</f>
        <v>1.360457704692029E-2</v>
      </c>
      <c r="S15" s="106">
        <f t="shared" si="2"/>
        <v>-1.6748337356960949E-3</v>
      </c>
      <c r="T15" s="112">
        <f>S15*'Option 6'!$Q$43/1000000</f>
        <v>-0.39358592788858227</v>
      </c>
      <c r="U15" s="141"/>
      <c r="V15" s="91">
        <f>'Option 7'!Q16/'Option 7'!$Q$43</f>
        <v>1.3482517516304929E-2</v>
      </c>
      <c r="W15" s="106">
        <f t="shared" si="3"/>
        <v>-1.7968932663114563E-3</v>
      </c>
      <c r="X15" s="112">
        <f>W15*'Option 7'!$Q$43/1000000</f>
        <v>-0.42226991758319221</v>
      </c>
      <c r="Y15" s="141"/>
      <c r="Z15" s="91">
        <f>'Option 8'!R16/'Option 8'!$R$43</f>
        <v>1.3166000379102705E-2</v>
      </c>
      <c r="AA15" s="106">
        <f t="shared" si="7"/>
        <v>-2.1134104035136804E-3</v>
      </c>
      <c r="AB15" s="112">
        <f>AA15*'Option 8'!$R$43/1000000</f>
        <v>-0.49665144482571494</v>
      </c>
      <c r="AC15" s="141"/>
      <c r="AD15" s="91">
        <f>'Option 9'!R16/'Option 9'!$R$43</f>
        <v>1.2204683558993836E-2</v>
      </c>
      <c r="AE15" s="106">
        <f t="shared" si="8"/>
        <v>-3.0747272236225486E-3</v>
      </c>
      <c r="AF15" s="112">
        <f>AE15*'Option 9'!$R$43/1000000</f>
        <v>-0.72256089755129893</v>
      </c>
      <c r="AG15" s="141"/>
      <c r="AH15" s="91">
        <f>'Option 10'!Q16/'Option 10'!$Q$43</f>
        <v>1.2180187539338354E-2</v>
      </c>
      <c r="AI15" s="106">
        <f t="shared" si="4"/>
        <v>-3.0992232432780313E-3</v>
      </c>
      <c r="AJ15" s="112">
        <f>AI15*'Option 10'!$Q$43/1000000</f>
        <v>-0.72831746217033733</v>
      </c>
    </row>
    <row r="16" spans="1:36" x14ac:dyDescent="0.2">
      <c r="A16" s="20">
        <v>3631</v>
      </c>
      <c r="B16" s="19" t="s">
        <v>61</v>
      </c>
      <c r="C16" s="90">
        <v>1.4845490262134067E-2</v>
      </c>
      <c r="D16" s="90">
        <v>1.9985241623354359E-2</v>
      </c>
      <c r="E16" s="141"/>
      <c r="F16" s="91">
        <f>'Option 1'!C17/'Option 1'!$C$43</f>
        <v>1.7920735745562244E-2</v>
      </c>
      <c r="G16" s="106">
        <f t="shared" si="5"/>
        <v>3.0752454834281767E-3</v>
      </c>
      <c r="H16" s="112">
        <f>G16*'Option 1'!$C$43/1000000</f>
        <v>0.72268268860562168</v>
      </c>
      <c r="I16" s="141"/>
      <c r="J16" s="91">
        <f t="shared" si="0"/>
        <v>1.7920735745562244E-2</v>
      </c>
      <c r="K16" s="106">
        <f t="shared" si="1"/>
        <v>-2.0645058777921145E-3</v>
      </c>
      <c r="L16" s="112">
        <f>K16*'Option 2'!$C$43/1000000</f>
        <v>-0.48515888128114704</v>
      </c>
      <c r="M16" s="141"/>
      <c r="N16" s="91">
        <f>'Option 2'!C17/'Option 2'!$C$43</f>
        <v>1.6220110891943949E-2</v>
      </c>
      <c r="O16" s="106">
        <f t="shared" si="6"/>
        <v>-3.7651307314104099E-3</v>
      </c>
      <c r="P16" s="112">
        <f>O16*'Option 2'!$C$43/1000000</f>
        <v>-0.88480572188144657</v>
      </c>
      <c r="Q16" s="141"/>
      <c r="R16" s="91">
        <f>'Option 6'!Q17/'Option 6'!$Q$43</f>
        <v>1.9126452019517515E-2</v>
      </c>
      <c r="S16" s="106">
        <f t="shared" si="2"/>
        <v>-8.587896038368438E-4</v>
      </c>
      <c r="T16" s="112">
        <f>S16*'Option 6'!$Q$43/1000000</f>
        <v>-0.20181555690165831</v>
      </c>
      <c r="U16" s="141"/>
      <c r="V16" s="91">
        <f>'Option 7'!Q17/'Option 7'!$Q$43</f>
        <v>1.6248739071427671E-2</v>
      </c>
      <c r="W16" s="106">
        <f t="shared" si="3"/>
        <v>-3.7365025519266876E-3</v>
      </c>
      <c r="X16" s="112">
        <f>W16*'Option 7'!$Q$43/1000000</f>
        <v>-0.87807809970277151</v>
      </c>
      <c r="Y16" s="141"/>
      <c r="Z16" s="91">
        <f>'Option 8'!R17/'Option 8'!$R$43</f>
        <v>1.773326009824425E-2</v>
      </c>
      <c r="AA16" s="106">
        <f t="shared" si="7"/>
        <v>-2.2519815251101083E-3</v>
      </c>
      <c r="AB16" s="112">
        <f>AA16*'Option 8'!$R$43/1000000</f>
        <v>-0.52921565840087537</v>
      </c>
      <c r="AC16" s="141"/>
      <c r="AD16" s="91">
        <f>'Option 9'!R17/'Option 9'!$R$43</f>
        <v>1.7513926014385454E-2</v>
      </c>
      <c r="AE16" s="106">
        <f t="shared" si="8"/>
        <v>-2.4713156089689048E-3</v>
      </c>
      <c r="AF16" s="112">
        <f>AE16*'Option 9'!$R$43/1000000</f>
        <v>-0.58075916810769257</v>
      </c>
      <c r="AG16" s="141"/>
      <c r="AH16" s="91">
        <f>'Option 10'!Q17/'Option 10'!$Q$43</f>
        <v>1.7522498744998654E-2</v>
      </c>
      <c r="AI16" s="106">
        <f t="shared" si="4"/>
        <v>-2.4627428783557045E-3</v>
      </c>
      <c r="AJ16" s="112">
        <f>AI16*'Option 10'!$Q$43/1000000</f>
        <v>-0.57874457641359056</v>
      </c>
    </row>
    <row r="17" spans="1:36" x14ac:dyDescent="0.2">
      <c r="A17" s="78">
        <v>103631</v>
      </c>
      <c r="B17" s="19" t="s">
        <v>60</v>
      </c>
      <c r="C17" s="90">
        <v>3.4103033962739377E-3</v>
      </c>
      <c r="D17" s="90">
        <v>3.4527219750504121E-3</v>
      </c>
      <c r="E17" s="141"/>
      <c r="F17" s="91">
        <f>'Option 1'!C18/'Option 1'!$C$43</f>
        <v>4.1734647327134767E-3</v>
      </c>
      <c r="G17" s="106">
        <f t="shared" si="5"/>
        <v>7.6316133643953904E-4</v>
      </c>
      <c r="H17" s="112">
        <f>G17*'Option 1'!$C$43/1000000</f>
        <v>0.17934291406329173</v>
      </c>
      <c r="I17" s="141"/>
      <c r="J17" s="91">
        <f t="shared" si="0"/>
        <v>4.1734647327134767E-3</v>
      </c>
      <c r="K17" s="106">
        <f t="shared" si="1"/>
        <v>7.2074275766306458E-4</v>
      </c>
      <c r="L17" s="112">
        <f>K17*'Option 2'!$C$43/1000000</f>
        <v>0.16937454805082022</v>
      </c>
      <c r="M17" s="141"/>
      <c r="N17" s="91">
        <f>'Option 2'!C18/'Option 2'!$C$43</f>
        <v>8.0402828074131773E-3</v>
      </c>
      <c r="O17" s="106">
        <f t="shared" si="6"/>
        <v>4.5875608323627647E-3</v>
      </c>
      <c r="P17" s="112">
        <f>O17*'Option 2'!$C$43/1000000</f>
        <v>1.0780767956052499</v>
      </c>
      <c r="Q17" s="141"/>
      <c r="R17" s="91">
        <f>'Option 6'!Q18/'Option 6'!$Q$43</f>
        <v>8.2644938162146405E-3</v>
      </c>
      <c r="S17" s="106">
        <f t="shared" si="2"/>
        <v>4.811771841164228E-3</v>
      </c>
      <c r="T17" s="112">
        <f>S17*'Option 6'!$Q$43/1000000</f>
        <v>1.1307663826735934</v>
      </c>
      <c r="U17" s="141"/>
      <c r="V17" s="91">
        <f>'Option 7'!Q18/'Option 7'!$Q$43</f>
        <v>1.8805033312966069E-2</v>
      </c>
      <c r="W17" s="106">
        <f t="shared" si="3"/>
        <v>1.5352311337915656E-2</v>
      </c>
      <c r="X17" s="112">
        <f>W17*'Option 7'!$Q$43/1000000</f>
        <v>3.6077931644101788</v>
      </c>
      <c r="Y17" s="141"/>
      <c r="Z17" s="91">
        <f>'Option 8'!R18/'Option 8'!$R$43</f>
        <v>4.7947256696109879E-3</v>
      </c>
      <c r="AA17" s="106">
        <f t="shared" si="7"/>
        <v>1.3420036945605758E-3</v>
      </c>
      <c r="AB17" s="112">
        <f>AA17*'Option 8'!$R$43/1000000</f>
        <v>0.31537086822173527</v>
      </c>
      <c r="AC17" s="141"/>
      <c r="AD17" s="91">
        <f>'Option 9'!R18/'Option 9'!$R$43</f>
        <v>4.8829500829488228E-3</v>
      </c>
      <c r="AE17" s="106">
        <f t="shared" si="8"/>
        <v>1.4302281078984107E-3</v>
      </c>
      <c r="AF17" s="112">
        <f>AE17*'Option 9'!$R$43/1000000</f>
        <v>0.33610360535612649</v>
      </c>
      <c r="AG17" s="141"/>
      <c r="AH17" s="91">
        <f>'Option 10'!Q18/'Option 10'!$Q$43</f>
        <v>4.9380804879878368E-3</v>
      </c>
      <c r="AI17" s="106">
        <f t="shared" si="4"/>
        <v>1.4853585129374247E-3</v>
      </c>
      <c r="AJ17" s="112">
        <f>AI17*'Option 10'!$Q$43/1000000</f>
        <v>0.3490592505402948</v>
      </c>
    </row>
    <row r="18" spans="1:36" x14ac:dyDescent="0.2">
      <c r="A18" s="20">
        <v>11161</v>
      </c>
      <c r="B18" s="19" t="s">
        <v>59</v>
      </c>
      <c r="C18" s="90">
        <v>1.5853575399942782E-2</v>
      </c>
      <c r="D18" s="90">
        <v>1.9224284187157891E-2</v>
      </c>
      <c r="E18" s="141"/>
      <c r="F18" s="91">
        <f>'Option 1'!C19/'Option 1'!$C$43</f>
        <v>1.7156008232642638E-2</v>
      </c>
      <c r="G18" s="106">
        <f t="shared" si="5"/>
        <v>1.3024328326998562E-3</v>
      </c>
      <c r="H18" s="112">
        <f>G18*'Option 1'!$C$43/1000000</f>
        <v>0.30607171568446628</v>
      </c>
      <c r="I18" s="141"/>
      <c r="J18" s="91">
        <f t="shared" si="0"/>
        <v>1.7156008232642638E-2</v>
      </c>
      <c r="K18" s="106">
        <f t="shared" si="1"/>
        <v>-2.0682759545152529E-3</v>
      </c>
      <c r="L18" s="112">
        <f>K18*'Option 2'!$C$43/1000000</f>
        <v>-0.48604484931108455</v>
      </c>
      <c r="M18" s="141"/>
      <c r="N18" s="91">
        <f>'Option 2'!C19/'Option 2'!$C$43</f>
        <v>1.5163842396372187E-2</v>
      </c>
      <c r="O18" s="106">
        <f t="shared" si="6"/>
        <v>-4.060441790785704E-3</v>
      </c>
      <c r="P18" s="112">
        <f>O18*'Option 2'!$C$43/1000000</f>
        <v>-0.95420382083464061</v>
      </c>
      <c r="Q18" s="141"/>
      <c r="R18" s="91">
        <f>'Option 6'!Q19/'Option 6'!$Q$43</f>
        <v>1.7860010922493098E-2</v>
      </c>
      <c r="S18" s="106">
        <f t="shared" si="2"/>
        <v>-1.3642732646647927E-3</v>
      </c>
      <c r="T18" s="112">
        <f>S18*'Option 6'!$Q$43/1000000</f>
        <v>-0.32060421719622628</v>
      </c>
      <c r="U18" s="141"/>
      <c r="V18" s="91">
        <f>'Option 7'!Q19/'Option 7'!$Q$43</f>
        <v>1.5402075946640162E-2</v>
      </c>
      <c r="W18" s="106">
        <f t="shared" si="3"/>
        <v>-3.8222082405177295E-3</v>
      </c>
      <c r="X18" s="112">
        <f>W18*'Option 7'!$Q$43/1000000</f>
        <v>-0.89821893652166651</v>
      </c>
      <c r="Y18" s="141"/>
      <c r="Z18" s="91">
        <f>'Option 8'!R19/'Option 8'!$R$43</f>
        <v>1.6965354822907376E-2</v>
      </c>
      <c r="AA18" s="106">
        <f t="shared" si="7"/>
        <v>-2.258929364250515E-3</v>
      </c>
      <c r="AB18" s="112">
        <f>AA18*'Option 8'!$R$43/1000000</f>
        <v>-0.53084840059887106</v>
      </c>
      <c r="AC18" s="141"/>
      <c r="AD18" s="91">
        <f>'Option 9'!R19/'Option 9'!$R$43</f>
        <v>1.6554642909153077E-2</v>
      </c>
      <c r="AE18" s="106">
        <f t="shared" si="8"/>
        <v>-2.669641278004814E-3</v>
      </c>
      <c r="AF18" s="112">
        <f>AE18*'Option 9'!$R$43/1000000</f>
        <v>-0.62736570033113137</v>
      </c>
      <c r="AG18" s="141"/>
      <c r="AH18" s="91">
        <f>'Option 10'!Q19/'Option 10'!$Q$43</f>
        <v>1.6566660991060949E-2</v>
      </c>
      <c r="AI18" s="106">
        <f t="shared" si="4"/>
        <v>-2.6576231960969421E-3</v>
      </c>
      <c r="AJ18" s="112">
        <f>AI18*'Option 10'!$Q$43/1000000</f>
        <v>-0.62454145108278147</v>
      </c>
    </row>
    <row r="19" spans="1:36" x14ac:dyDescent="0.2">
      <c r="A19" s="20">
        <v>3639</v>
      </c>
      <c r="B19" s="19" t="s">
        <v>58</v>
      </c>
      <c r="C19" s="90">
        <v>1.2218846702224728E-2</v>
      </c>
      <c r="D19" s="90">
        <v>1.296528221607569E-2</v>
      </c>
      <c r="E19" s="141"/>
      <c r="F19" s="91">
        <f>'Option 1'!C20/'Option 1'!$C$43</f>
        <v>1.046021612641905E-2</v>
      </c>
      <c r="G19" s="106">
        <f t="shared" si="5"/>
        <v>-1.7586305758056781E-3</v>
      </c>
      <c r="H19" s="112">
        <f>G19*'Option 1'!$C$43/1000000</f>
        <v>-0.41327818531433447</v>
      </c>
      <c r="I19" s="141"/>
      <c r="J19" s="91">
        <f t="shared" si="0"/>
        <v>1.046021612641905E-2</v>
      </c>
      <c r="K19" s="106">
        <f t="shared" si="1"/>
        <v>-2.50506608965664E-3</v>
      </c>
      <c r="L19" s="112">
        <f>K19*'Option 2'!$C$43/1000000</f>
        <v>-0.58869053106931046</v>
      </c>
      <c r="M19" s="141"/>
      <c r="N19" s="91">
        <f>'Option 2'!C20/'Option 2'!$C$43</f>
        <v>9.4817776394496411E-3</v>
      </c>
      <c r="O19" s="106">
        <f t="shared" si="6"/>
        <v>-3.4835045766260491E-3</v>
      </c>
      <c r="P19" s="112">
        <f>O19*'Option 2'!$C$43/1000000</f>
        <v>-0.81862357550712173</v>
      </c>
      <c r="Q19" s="141"/>
      <c r="R19" s="91">
        <f>'Option 6'!Q20/'Option 6'!$Q$43</f>
        <v>1.1152489389207317E-2</v>
      </c>
      <c r="S19" s="106">
        <f t="shared" si="2"/>
        <v>-1.812792826868373E-3</v>
      </c>
      <c r="T19" s="112">
        <f>S19*'Option 6'!$Q$43/1000000</f>
        <v>-0.42600631431406766</v>
      </c>
      <c r="U19" s="141"/>
      <c r="V19" s="91">
        <f>'Option 7'!Q20/'Option 7'!$Q$43</f>
        <v>1.0659436019483173E-2</v>
      </c>
      <c r="W19" s="106">
        <f t="shared" si="3"/>
        <v>-2.3058461965925169E-3</v>
      </c>
      <c r="X19" s="112">
        <f>W19*'Option 7'!$Q$43/1000000</f>
        <v>-0.54187385619924144</v>
      </c>
      <c r="Y19" s="141"/>
      <c r="Z19" s="91">
        <f>'Option 8'!R20/'Option 8'!$R$43</f>
        <v>1.0299185542845956E-2</v>
      </c>
      <c r="AA19" s="106">
        <f t="shared" si="7"/>
        <v>-2.6660966732297339E-3</v>
      </c>
      <c r="AB19" s="112">
        <f>AA19*'Option 8'!$R$43/1000000</f>
        <v>-0.62653271820898748</v>
      </c>
      <c r="AC19" s="141"/>
      <c r="AD19" s="91">
        <f>'Option 9'!R20/'Option 9'!$R$43</f>
        <v>9.4347790721595135E-3</v>
      </c>
      <c r="AE19" s="106">
        <f t="shared" si="8"/>
        <v>-3.5305031439161767E-3</v>
      </c>
      <c r="AF19" s="112">
        <f>AE19*'Option 9'!$R$43/1000000</f>
        <v>-0.8296682388203015</v>
      </c>
      <c r="AG19" s="141"/>
      <c r="AH19" s="91">
        <f>'Option 10'!Q20/'Option 10'!$Q$43</f>
        <v>9.4253671704292025E-3</v>
      </c>
      <c r="AI19" s="106">
        <f t="shared" si="4"/>
        <v>-3.5399150456464877E-3</v>
      </c>
      <c r="AJ19" s="112">
        <f>AI19*'Option 10'!$Q$43/1000000</f>
        <v>-0.8318800357269247</v>
      </c>
    </row>
    <row r="20" spans="1:36" x14ac:dyDescent="0.2">
      <c r="A20" s="78">
        <v>103639</v>
      </c>
      <c r="B20" s="19" t="s">
        <v>57</v>
      </c>
      <c r="C20" s="90">
        <v>5.3182825130643008E-3</v>
      </c>
      <c r="D20" s="90">
        <v>5.939285915308113E-3</v>
      </c>
      <c r="E20" s="141"/>
      <c r="F20" s="91">
        <f>'Option 1'!C21/'Option 1'!$C$43</f>
        <v>5.0072576238691935E-3</v>
      </c>
      <c r="G20" s="106">
        <f t="shared" si="5"/>
        <v>-3.1102488919510732E-4</v>
      </c>
      <c r="H20" s="112">
        <f>G20*'Option 1'!$C$43/1000000</f>
        <v>-7.3090848960850247E-2</v>
      </c>
      <c r="I20" s="141"/>
      <c r="J20" s="91">
        <f t="shared" si="0"/>
        <v>5.0072576238691935E-3</v>
      </c>
      <c r="K20" s="106">
        <f t="shared" si="1"/>
        <v>-9.3202829143891955E-4</v>
      </c>
      <c r="L20" s="112">
        <f>K20*'Option 2'!$C$43/1000000</f>
        <v>-0.21902664848814613</v>
      </c>
      <c r="M20" s="141"/>
      <c r="N20" s="91">
        <f>'Option 2'!C21/'Option 2'!$C$43</f>
        <v>6.5082164504034097E-3</v>
      </c>
      <c r="O20" s="106">
        <f t="shared" si="6"/>
        <v>5.6893053509529667E-4</v>
      </c>
      <c r="P20" s="112">
        <f>O20*'Option 2'!$C$43/1000000</f>
        <v>0.13369867574739477</v>
      </c>
      <c r="Q20" s="141"/>
      <c r="R20" s="91">
        <f>'Option 6'!Q21/'Option 6'!$Q$43</f>
        <v>7.6229451824099221E-3</v>
      </c>
      <c r="S20" s="106">
        <f t="shared" si="2"/>
        <v>1.6836592671018091E-3</v>
      </c>
      <c r="T20" s="112">
        <f>S20*'Option 6'!$Q$43/1000000</f>
        <v>0.39565992776892517</v>
      </c>
      <c r="U20" s="141"/>
      <c r="V20" s="91">
        <f>'Option 7'!Q21/'Option 7'!$Q$43</f>
        <v>1.3868538759671565E-2</v>
      </c>
      <c r="W20" s="106">
        <f t="shared" si="3"/>
        <v>7.9292528443634519E-3</v>
      </c>
      <c r="X20" s="112">
        <f>W20*'Option 7'!$Q$43/1000000</f>
        <v>1.8633744184254113</v>
      </c>
      <c r="Y20" s="141"/>
      <c r="Z20" s="91">
        <f>'Option 8'!R21/'Option 8'!$R$43</f>
        <v>6.2046049396763331E-3</v>
      </c>
      <c r="AA20" s="106">
        <f t="shared" si="7"/>
        <v>2.6531902436822009E-4</v>
      </c>
      <c r="AB20" s="112">
        <f>AA20*'Option 8'!$R$43/1000000</f>
        <v>6.2349970726531721E-2</v>
      </c>
      <c r="AC20" s="141"/>
      <c r="AD20" s="91">
        <f>'Option 9'!R21/'Option 9'!$R$43</f>
        <v>6.3035451521786948E-3</v>
      </c>
      <c r="AE20" s="106">
        <f t="shared" si="8"/>
        <v>3.6425923687058177E-4</v>
      </c>
      <c r="AF20" s="112">
        <f>AE20*'Option 9'!$R$43/1000000</f>
        <v>8.5600920664586702E-2</v>
      </c>
      <c r="AG20" s="141"/>
      <c r="AH20" s="91">
        <f>'Option 10'!Q21/'Option 10'!$Q$43</f>
        <v>6.3365282799288042E-3</v>
      </c>
      <c r="AI20" s="106">
        <f t="shared" si="4"/>
        <v>3.9724236462069119E-4</v>
      </c>
      <c r="AJ20" s="112">
        <f>AI20*'Option 10'!$Q$43/1000000</f>
        <v>9.3351955685862423E-2</v>
      </c>
    </row>
    <row r="21" spans="1:36" x14ac:dyDescent="0.2">
      <c r="A21" s="20">
        <v>9651</v>
      </c>
      <c r="B21" s="19" t="s">
        <v>56</v>
      </c>
      <c r="C21" s="90">
        <v>7.9499704462435775E-3</v>
      </c>
      <c r="D21" s="90">
        <v>1.0886031395541047E-2</v>
      </c>
      <c r="E21" s="141"/>
      <c r="F21" s="91">
        <f>'Option 1'!C22/'Option 1'!$C$43</f>
        <v>1.0193360022486849E-2</v>
      </c>
      <c r="G21" s="106">
        <f t="shared" si="5"/>
        <v>2.243389576243272E-3</v>
      </c>
      <c r="H21" s="112">
        <f>G21*'Option 1'!$C$43/1000000</f>
        <v>0.52719655041716895</v>
      </c>
      <c r="I21" s="141"/>
      <c r="J21" s="91">
        <f t="shared" si="0"/>
        <v>1.0193360022486849E-2</v>
      </c>
      <c r="K21" s="106">
        <f t="shared" si="1"/>
        <v>-6.9267137305419751E-4</v>
      </c>
      <c r="L21" s="112">
        <f>K21*'Option 2'!$C$43/1000000</f>
        <v>-0.16277777266773646</v>
      </c>
      <c r="M21" s="141"/>
      <c r="N21" s="91">
        <f>'Option 2'!C22/'Option 2'!$C$43</f>
        <v>8.9539573370344475E-3</v>
      </c>
      <c r="O21" s="106">
        <f t="shared" si="6"/>
        <v>-1.9320740585065995E-3</v>
      </c>
      <c r="P21" s="112">
        <f>O21*'Option 2'!$C$43/1000000</f>
        <v>-0.45403740374905099</v>
      </c>
      <c r="Q21" s="141"/>
      <c r="R21" s="91">
        <f>'Option 6'!Q22/'Option 6'!$Q$43</f>
        <v>1.0588140794509811E-2</v>
      </c>
      <c r="S21" s="106">
        <f t="shared" si="2"/>
        <v>-2.9789060103123551E-4</v>
      </c>
      <c r="T21" s="112">
        <f>S21*'Option 6'!$Q$43/1000000</f>
        <v>-7.0004291242340352E-2</v>
      </c>
      <c r="U21" s="141"/>
      <c r="V21" s="91">
        <f>'Option 7'!Q22/'Option 7'!$Q$43</f>
        <v>1.0559809794458214E-2</v>
      </c>
      <c r="W21" s="106">
        <f t="shared" si="3"/>
        <v>-3.2622160108283262E-4</v>
      </c>
      <c r="X21" s="112">
        <f>W21*'Option 7'!$Q$43/1000000</f>
        <v>-7.6662076254465666E-2</v>
      </c>
      <c r="Y21" s="141"/>
      <c r="Z21" s="91">
        <f>'Option 8'!R22/'Option 8'!$R$43</f>
        <v>1.0374994080395468E-2</v>
      </c>
      <c r="AA21" s="106">
        <f t="shared" si="7"/>
        <v>-5.1103731514557868E-4</v>
      </c>
      <c r="AB21" s="112">
        <f>AA21*'Option 8'!$R$43/1000000</f>
        <v>-0.12009376905921099</v>
      </c>
      <c r="AC21" s="141"/>
      <c r="AD21" s="91">
        <f>'Option 9'!R22/'Option 9'!$R$43</f>
        <v>1.0309419474490421E-2</v>
      </c>
      <c r="AE21" s="106">
        <f t="shared" si="8"/>
        <v>-5.7661192105062584E-4</v>
      </c>
      <c r="AF21" s="112">
        <f>AE21*'Option 9'!$R$43/1000000</f>
        <v>-0.13550380144689705</v>
      </c>
      <c r="AG21" s="141"/>
      <c r="AH21" s="91">
        <f>'Option 10'!Q22/'Option 10'!$Q$43</f>
        <v>1.0303841736172102E-2</v>
      </c>
      <c r="AI21" s="106">
        <f t="shared" si="4"/>
        <v>-5.8218965936894518E-4</v>
      </c>
      <c r="AJ21" s="112">
        <f>AI21*'Option 10'!$Q$43/1000000</f>
        <v>-0.1368145699517021</v>
      </c>
    </row>
    <row r="22" spans="1:36" x14ac:dyDescent="0.2">
      <c r="A22" s="20">
        <v>3665</v>
      </c>
      <c r="B22" s="19" t="s">
        <v>55</v>
      </c>
      <c r="C22" s="90">
        <v>1.1662894609296296E-2</v>
      </c>
      <c r="D22" s="90">
        <v>1.5183466872892367E-2</v>
      </c>
      <c r="E22" s="141"/>
      <c r="F22" s="91">
        <f>'Option 1'!C23/'Option 1'!$C$43</f>
        <v>1.4734289295521816E-2</v>
      </c>
      <c r="G22" s="106">
        <f t="shared" si="5"/>
        <v>3.0713946862255207E-3</v>
      </c>
      <c r="H22" s="112">
        <f>G22*'Option 1'!$C$43/1000000</f>
        <v>0.72177775126299748</v>
      </c>
      <c r="I22" s="141"/>
      <c r="J22" s="91">
        <f t="shared" si="0"/>
        <v>1.4734289295521816E-2</v>
      </c>
      <c r="K22" s="106">
        <f t="shared" si="1"/>
        <v>-4.4917757737055093E-4</v>
      </c>
      <c r="L22" s="112">
        <f>K22*'Option 2'!$C$43/1000000</f>
        <v>-0.10555673068207949</v>
      </c>
      <c r="M22" s="141"/>
      <c r="N22" s="91">
        <f>'Option 2'!C23/'Option 2'!$C$43</f>
        <v>1.3441334682616072E-2</v>
      </c>
      <c r="O22" s="106">
        <f t="shared" si="6"/>
        <v>-1.7421321902762951E-3</v>
      </c>
      <c r="P22" s="112">
        <f>O22*'Option 2'!$C$43/1000000</f>
        <v>-0.40940106471492943</v>
      </c>
      <c r="Q22" s="141"/>
      <c r="R22" s="91">
        <f>'Option 6'!Q23/'Option 6'!$Q$43</f>
        <v>1.5793004097325786E-2</v>
      </c>
      <c r="S22" s="106">
        <f t="shared" si="2"/>
        <v>6.095372244334183E-4</v>
      </c>
      <c r="T22" s="112">
        <f>S22*'Option 6'!$Q$43/1000000</f>
        <v>0.14324124774185329</v>
      </c>
      <c r="U22" s="141"/>
      <c r="V22" s="91">
        <f>'Option 7'!Q23/'Option 7'!$Q$43</f>
        <v>1.4346628750226301E-2</v>
      </c>
      <c r="W22" s="106">
        <f t="shared" si="3"/>
        <v>-8.3683812266606601E-4</v>
      </c>
      <c r="X22" s="112">
        <f>W22*'Option 7'!$Q$43/1000000</f>
        <v>-0.19665695882652551</v>
      </c>
      <c r="Y22" s="141"/>
      <c r="Z22" s="91">
        <f>'Option 8'!R23/'Option 8'!$R$43</f>
        <v>1.4761422752475424E-2</v>
      </c>
      <c r="AA22" s="106">
        <f t="shared" si="7"/>
        <v>-4.2204412041694367E-4</v>
      </c>
      <c r="AB22" s="112">
        <f>AA22*'Option 8'!$R$43/1000000</f>
        <v>-9.9180368297981769E-2</v>
      </c>
      <c r="AC22" s="141"/>
      <c r="AD22" s="91">
        <f>'Option 9'!R23/'Option 9'!$R$43</f>
        <v>1.4568049027041639E-2</v>
      </c>
      <c r="AE22" s="106">
        <f t="shared" si="8"/>
        <v>-6.1541784585072805E-4</v>
      </c>
      <c r="AF22" s="112">
        <f>AE22*'Option 9'!$R$43/1000000</f>
        <v>-0.14462319377492108</v>
      </c>
      <c r="AG22" s="141"/>
      <c r="AH22" s="91">
        <f>'Option 10'!Q23/'Option 10'!$Q$43</f>
        <v>1.4575170428557355E-2</v>
      </c>
      <c r="AI22" s="106">
        <f t="shared" si="4"/>
        <v>-6.0829644433501272E-4</v>
      </c>
      <c r="AJ22" s="112">
        <f>AI22*'Option 10'!$Q$43/1000000</f>
        <v>-0.14294966441872797</v>
      </c>
    </row>
    <row r="23" spans="1:36" x14ac:dyDescent="0.2">
      <c r="A23" s="20">
        <v>3565</v>
      </c>
      <c r="B23" s="19" t="s">
        <v>54</v>
      </c>
      <c r="C23" s="90">
        <v>1.9162440349698294E-2</v>
      </c>
      <c r="D23" s="90">
        <v>1.411122580581306E-2</v>
      </c>
      <c r="E23" s="141"/>
      <c r="F23" s="91">
        <f>'Option 1'!C24/'Option 1'!$C$43</f>
        <v>1.4422878735686519E-2</v>
      </c>
      <c r="G23" s="106">
        <f t="shared" si="5"/>
        <v>-4.7395616140117752E-3</v>
      </c>
      <c r="H23" s="112">
        <f>G23*'Option 1'!$C$43/1000000</f>
        <v>-1.1137969792927673</v>
      </c>
      <c r="I23" s="141"/>
      <c r="J23" s="91">
        <f t="shared" si="0"/>
        <v>1.4422878735686519E-2</v>
      </c>
      <c r="K23" s="106">
        <f t="shared" si="1"/>
        <v>3.1165292987345855E-4</v>
      </c>
      <c r="L23" s="112">
        <f>K23*'Option 2'!$C$43/1000000</f>
        <v>7.323843852026278E-2</v>
      </c>
      <c r="M23" s="141"/>
      <c r="N23" s="91">
        <f>'Option 2'!C24/'Option 2'!$C$43</f>
        <v>1.3413454550650933E-2</v>
      </c>
      <c r="O23" s="106">
        <f t="shared" si="6"/>
        <v>-6.9777125516212735E-4</v>
      </c>
      <c r="P23" s="112">
        <f>O23*'Option 2'!$C$43/1000000</f>
        <v>-0.16397624496309998</v>
      </c>
      <c r="Q23" s="141"/>
      <c r="R23" s="91">
        <f>'Option 6'!Q24/'Option 6'!$Q$43</f>
        <v>1.5834390893046026E-2</v>
      </c>
      <c r="S23" s="106">
        <f t="shared" si="2"/>
        <v>1.7231650872329661E-3</v>
      </c>
      <c r="T23" s="112">
        <f>S23*'Option 6'!$Q$43/1000000</f>
        <v>0.40494379549974702</v>
      </c>
      <c r="U23" s="141"/>
      <c r="V23" s="91">
        <f>'Option 7'!Q24/'Option 7'!$Q$43</f>
        <v>1.5879049446288141E-2</v>
      </c>
      <c r="W23" s="106">
        <f t="shared" si="3"/>
        <v>1.7678236404750809E-3</v>
      </c>
      <c r="X23" s="112">
        <f>W23*'Option 7'!$Q$43/1000000</f>
        <v>0.41543855551164399</v>
      </c>
      <c r="Y23" s="141"/>
      <c r="Z23" s="91">
        <f>'Option 8'!R24/'Option 8'!$R$43</f>
        <v>1.4817002298209253E-2</v>
      </c>
      <c r="AA23" s="106">
        <f t="shared" si="7"/>
        <v>7.0577649239619324E-4</v>
      </c>
      <c r="AB23" s="112">
        <f>AA23*'Option 8'!$R$43/1000000</f>
        <v>0.16585747571310541</v>
      </c>
      <c r="AC23" s="141"/>
      <c r="AD23" s="91">
        <f>'Option 9'!R24/'Option 9'!$R$43</f>
        <v>1.5068056735757994E-2</v>
      </c>
      <c r="AE23" s="106">
        <f t="shared" si="8"/>
        <v>9.5683092994493409E-4</v>
      </c>
      <c r="AF23" s="112">
        <f>AE23*'Option 9'!$R$43/1000000</f>
        <v>0.22485526853705951</v>
      </c>
      <c r="AG23" s="141"/>
      <c r="AH23" s="91">
        <f>'Option 10'!Q24/'Option 10'!$Q$43</f>
        <v>1.5061173235146883E-2</v>
      </c>
      <c r="AI23" s="106">
        <f t="shared" si="4"/>
        <v>9.499474293338233E-4</v>
      </c>
      <c r="AJ23" s="112">
        <f>AI23*'Option 10'!$Q$43/1000000</f>
        <v>0.22323764589344847</v>
      </c>
    </row>
    <row r="24" spans="1:36" x14ac:dyDescent="0.2">
      <c r="A24" s="20">
        <v>29269</v>
      </c>
      <c r="B24" s="19" t="s">
        <v>53</v>
      </c>
      <c r="C24" s="90">
        <v>2.4542258746219742E-3</v>
      </c>
      <c r="D24" s="90">
        <v>2.885126155730112E-3</v>
      </c>
      <c r="E24" s="141"/>
      <c r="F24" s="91">
        <f>'Option 1'!C25/'Option 1'!$C$43</f>
        <v>3.3848629449298724E-3</v>
      </c>
      <c r="G24" s="106">
        <f t="shared" si="5"/>
        <v>9.3063707030789818E-4</v>
      </c>
      <c r="H24" s="112">
        <f>G24*'Option 1'!$C$43/1000000</f>
        <v>0.21869971152235615</v>
      </c>
      <c r="I24" s="141"/>
      <c r="J24" s="91">
        <f t="shared" si="0"/>
        <v>3.3848629449298724E-3</v>
      </c>
      <c r="K24" s="106">
        <f t="shared" si="1"/>
        <v>4.9973678919976042E-4</v>
      </c>
      <c r="L24" s="112">
        <f>K24*'Option 2'!$C$43/1000000</f>
        <v>0.11743814546194373</v>
      </c>
      <c r="M24" s="141"/>
      <c r="N24" s="91">
        <f>'Option 2'!C25/'Option 2'!$C$43</f>
        <v>5.4806194888052341E-3</v>
      </c>
      <c r="O24" s="106">
        <f t="shared" si="6"/>
        <v>2.5954933330751221E-3</v>
      </c>
      <c r="P24" s="112">
        <f>O24*'Option 2'!$C$43/1000000</f>
        <v>0.60994093327265386</v>
      </c>
      <c r="Q24" s="141"/>
      <c r="R24" s="91">
        <f>'Option 6'!Q25/'Option 6'!$Q$43</f>
        <v>5.6425070502386454E-3</v>
      </c>
      <c r="S24" s="106">
        <f t="shared" si="2"/>
        <v>2.7573808945085335E-3</v>
      </c>
      <c r="T24" s="112">
        <f>S24*'Option 6'!$Q$43/1000000</f>
        <v>0.64798451020950532</v>
      </c>
      <c r="U24" s="141"/>
      <c r="V24" s="91">
        <f>'Option 7'!Q25/'Option 7'!$Q$43</f>
        <v>1.1335147234057845E-2</v>
      </c>
      <c r="W24" s="106">
        <f t="shared" si="3"/>
        <v>8.4500210783277317E-3</v>
      </c>
      <c r="X24" s="112">
        <f>W24*'Option 7'!$Q$43/1000000</f>
        <v>1.9857549534070171</v>
      </c>
      <c r="Y24" s="141"/>
      <c r="Z24" s="91">
        <f>'Option 8'!R25/'Option 8'!$R$43</f>
        <v>3.7127984316292022E-3</v>
      </c>
      <c r="AA24" s="106">
        <f t="shared" si="7"/>
        <v>8.2767227589909025E-4</v>
      </c>
      <c r="AB24" s="112">
        <f>AA24*'Option 8'!$R$43/1000000</f>
        <v>0.1945029848362862</v>
      </c>
      <c r="AC24" s="141"/>
      <c r="AD24" s="91">
        <f>'Option 9'!R25/'Option 9'!$R$43</f>
        <v>3.9045564660710919E-3</v>
      </c>
      <c r="AE24" s="106">
        <f t="shared" si="8"/>
        <v>1.0194303103409799E-3</v>
      </c>
      <c r="AF24" s="112">
        <f>AE24*'Option 9'!$R$43/1000000</f>
        <v>0.23956612293013027</v>
      </c>
      <c r="AG24" s="141"/>
      <c r="AH24" s="91">
        <f>'Option 10'!Q25/'Option 10'!$Q$43</f>
        <v>3.9288132482528217E-3</v>
      </c>
      <c r="AI24" s="106">
        <f t="shared" si="4"/>
        <v>1.0436870925227097E-3</v>
      </c>
      <c r="AJ24" s="112">
        <f>AI24*'Option 10'!$Q$43/1000000</f>
        <v>0.24526646674283678</v>
      </c>
    </row>
    <row r="25" spans="1:36" x14ac:dyDescent="0.2">
      <c r="A25" s="20">
        <v>3652</v>
      </c>
      <c r="B25" s="19" t="s">
        <v>52</v>
      </c>
      <c r="C25" s="90">
        <v>7.5244280429578134E-2</v>
      </c>
      <c r="D25" s="90">
        <v>6.680079885949769E-2</v>
      </c>
      <c r="E25" s="141"/>
      <c r="F25" s="91">
        <f>'Option 1'!C26/'Option 1'!$C$43</f>
        <v>6.2490444003614753E-2</v>
      </c>
      <c r="G25" s="106">
        <f t="shared" si="5"/>
        <v>-1.275383642596338E-2</v>
      </c>
      <c r="H25" s="112">
        <f>G25*'Option 1'!$C$43/1000000</f>
        <v>-2.9971515601013952</v>
      </c>
      <c r="I25" s="141"/>
      <c r="J25" s="91">
        <f t="shared" si="0"/>
        <v>6.2490444003614753E-2</v>
      </c>
      <c r="K25" s="106">
        <f t="shared" si="1"/>
        <v>-4.3103548558829363E-3</v>
      </c>
      <c r="L25" s="112">
        <f>K25*'Option 2'!$C$43/1000000</f>
        <v>-1.0129333911324903</v>
      </c>
      <c r="M25" s="141"/>
      <c r="N25" s="91">
        <f>'Option 2'!C26/'Option 2'!$C$43</f>
        <v>7.1197450977746976E-2</v>
      </c>
      <c r="O25" s="106">
        <f t="shared" si="6"/>
        <v>4.3966521182492863E-3</v>
      </c>
      <c r="P25" s="112">
        <f>O25*'Option 2'!$C$43/1000000</f>
        <v>1.0332132477885825</v>
      </c>
      <c r="Q25" s="141"/>
      <c r="R25" s="91">
        <f>'Option 6'!Q26/'Option 6'!$Q$43</f>
        <v>6.0687394743280547E-2</v>
      </c>
      <c r="S25" s="106">
        <f t="shared" si="2"/>
        <v>-6.1134041162171429E-3</v>
      </c>
      <c r="T25" s="112">
        <f>S25*'Option 6'!$Q$43/1000000</f>
        <v>-1.4366499673110287</v>
      </c>
      <c r="U25" s="141"/>
      <c r="V25" s="91">
        <f>'Option 7'!Q26/'Option 7'!$Q$43</f>
        <v>5.9873584005418611E-2</v>
      </c>
      <c r="W25" s="106">
        <f t="shared" si="3"/>
        <v>-6.9272148540790793E-3</v>
      </c>
      <c r="X25" s="112">
        <f>W25*'Option 7'!$Q$43/1000000</f>
        <v>-1.6278954907085836</v>
      </c>
      <c r="Y25" s="141"/>
      <c r="Z25" s="91">
        <f>'Option 8'!R26/'Option 8'!$R$43</f>
        <v>6.3868022136355979E-2</v>
      </c>
      <c r="AA25" s="106">
        <f t="shared" si="7"/>
        <v>-2.9327767231417112E-3</v>
      </c>
      <c r="AB25" s="112">
        <f>AA25*'Option 8'!$R$43/1000000</f>
        <v>-0.68920252993830211</v>
      </c>
      <c r="AC25" s="141"/>
      <c r="AD25" s="91">
        <f>'Option 9'!R26/'Option 9'!$R$43</f>
        <v>6.1754563883473473E-2</v>
      </c>
      <c r="AE25" s="106">
        <f t="shared" si="8"/>
        <v>-5.0462349760242164E-3</v>
      </c>
      <c r="AF25" s="112">
        <f>AE25*'Option 9'!$R$43/1000000</f>
        <v>-1.1858652193656909</v>
      </c>
      <c r="AG25" s="141"/>
      <c r="AH25" s="91">
        <f>'Option 10'!Q26/'Option 10'!$Q$43</f>
        <v>6.1759411047693509E-2</v>
      </c>
      <c r="AI25" s="106">
        <f t="shared" si="4"/>
        <v>-5.0413878118041808E-3</v>
      </c>
      <c r="AJ25" s="112">
        <f>AI25*'Option 10'!$Q$43/1000000</f>
        <v>-1.1847261357739824</v>
      </c>
    </row>
    <row r="26" spans="1:36" x14ac:dyDescent="0.2">
      <c r="A26" s="20">
        <v>11711</v>
      </c>
      <c r="B26" s="19" t="s">
        <v>51</v>
      </c>
      <c r="C26" s="90">
        <v>1.3930357361501937E-2</v>
      </c>
      <c r="D26" s="90">
        <v>1.0972897764284933E-2</v>
      </c>
      <c r="E26" s="141"/>
      <c r="F26" s="91">
        <f>'Option 1'!C27/'Option 1'!$C$43</f>
        <v>1.1775733899144681E-2</v>
      </c>
      <c r="G26" s="106">
        <f t="shared" si="5"/>
        <v>-2.1546234623572563E-3</v>
      </c>
      <c r="H26" s="112">
        <f>G26*'Option 1'!$C$43/1000000</f>
        <v>-0.50633651365395538</v>
      </c>
      <c r="I26" s="141"/>
      <c r="J26" s="91">
        <f t="shared" si="0"/>
        <v>1.1775733899144681E-2</v>
      </c>
      <c r="K26" s="106">
        <f t="shared" si="1"/>
        <v>8.0283613485974785E-4</v>
      </c>
      <c r="L26" s="112">
        <f>K26*'Option 2'!$C$43/1000000</f>
        <v>0.18866649169204078</v>
      </c>
      <c r="M26" s="141"/>
      <c r="N26" s="91">
        <f>'Option 2'!C27/'Option 2'!$C$43</f>
        <v>1.2200136461368499E-2</v>
      </c>
      <c r="O26" s="106">
        <f t="shared" si="6"/>
        <v>1.2272386970835665E-3</v>
      </c>
      <c r="P26" s="112">
        <f>O26*'Option 2'!$C$43/1000000</f>
        <v>0.28840109381463819</v>
      </c>
      <c r="Q26" s="141"/>
      <c r="R26" s="91">
        <f>'Option 6'!Q27/'Option 6'!$Q$43</f>
        <v>1.4316159261134321E-2</v>
      </c>
      <c r="S26" s="106">
        <f t="shared" si="2"/>
        <v>3.3432614968493882E-3</v>
      </c>
      <c r="T26" s="112">
        <f>S26*'Option 6'!$Q$43/1000000</f>
        <v>0.78566645175960625</v>
      </c>
      <c r="U26" s="141"/>
      <c r="V26" s="91">
        <f>'Option 7'!Q27/'Option 7'!$Q$43</f>
        <v>1.6862397586278159E-2</v>
      </c>
      <c r="W26" s="106">
        <f t="shared" si="3"/>
        <v>5.8894998219932264E-3</v>
      </c>
      <c r="X26" s="112">
        <f>W26*'Option 7'!$Q$43/1000000</f>
        <v>1.384032458168408</v>
      </c>
      <c r="Y26" s="141"/>
      <c r="Z26" s="91">
        <f>'Option 8'!R27/'Option 8'!$R$43</f>
        <v>1.2918018859042917E-2</v>
      </c>
      <c r="AA26" s="106">
        <f t="shared" si="7"/>
        <v>1.9451210947579838E-3</v>
      </c>
      <c r="AB26" s="112">
        <f>AA26*'Option 8'!$R$43/1000000</f>
        <v>0.45710345726812618</v>
      </c>
      <c r="AC26" s="141"/>
      <c r="AD26" s="91">
        <f>'Option 9'!R27/'Option 9'!$R$43</f>
        <v>1.3114568266830792E-2</v>
      </c>
      <c r="AE26" s="106">
        <f t="shared" si="8"/>
        <v>2.1416705025458591E-3</v>
      </c>
      <c r="AF26" s="112">
        <f>AE26*'Option 9'!$R$43/1000000</f>
        <v>0.50329256809827694</v>
      </c>
      <c r="AG26" s="141"/>
      <c r="AH26" s="91">
        <f>'Option 10'!Q27/'Option 10'!$Q$43</f>
        <v>1.3098904327778523E-2</v>
      </c>
      <c r="AI26" s="106">
        <f t="shared" si="4"/>
        <v>2.1260065634935901E-3</v>
      </c>
      <c r="AJ26" s="112">
        <f>AI26*'Option 10'!$Q$43/1000000</f>
        <v>0.49961154242099365</v>
      </c>
    </row>
    <row r="27" spans="1:36" x14ac:dyDescent="0.2">
      <c r="A27" s="20">
        <v>12826</v>
      </c>
      <c r="B27" s="19" t="s">
        <v>50</v>
      </c>
      <c r="C27" s="90">
        <v>1.4249439962911156E-2</v>
      </c>
      <c r="D27" s="90">
        <v>2.262163232206927E-2</v>
      </c>
      <c r="E27" s="141"/>
      <c r="F27" s="91">
        <f>'Option 1'!C28/'Option 1'!$C$43</f>
        <v>2.2895667000131407E-2</v>
      </c>
      <c r="G27" s="106">
        <f t="shared" si="5"/>
        <v>8.6462270372202506E-3</v>
      </c>
      <c r="H27" s="112">
        <f>G27*'Option 1'!$C$43/1000000</f>
        <v>2.0318633537467594</v>
      </c>
      <c r="I27" s="141"/>
      <c r="J27" s="91">
        <f t="shared" si="0"/>
        <v>2.2895667000131407E-2</v>
      </c>
      <c r="K27" s="106">
        <f t="shared" si="1"/>
        <v>2.7403467806213708E-4</v>
      </c>
      <c r="L27" s="112">
        <f>K27*'Option 2'!$C$43/1000000</f>
        <v>6.4398149344602224E-2</v>
      </c>
      <c r="M27" s="141"/>
      <c r="N27" s="91">
        <f>'Option 2'!C28/'Option 2'!$C$43</f>
        <v>2.1199213872118181E-2</v>
      </c>
      <c r="O27" s="106">
        <f t="shared" si="6"/>
        <v>-1.4224184499510885E-3</v>
      </c>
      <c r="P27" s="112">
        <f>O27*'Option 2'!$C$43/1000000</f>
        <v>-0.3342683357385059</v>
      </c>
      <c r="Q27" s="141"/>
      <c r="R27" s="91">
        <f>'Option 6'!Q28/'Option 6'!$Q$43</f>
        <v>2.4877366924328043E-2</v>
      </c>
      <c r="S27" s="106">
        <f t="shared" si="2"/>
        <v>2.2557346022587729E-3</v>
      </c>
      <c r="T27" s="112">
        <f>S27*'Option 6'!$Q$43/1000000</f>
        <v>0.53009763153081169</v>
      </c>
      <c r="U27" s="141"/>
      <c r="V27" s="91">
        <f>'Option 7'!Q28/'Option 7'!$Q$43</f>
        <v>2.2718746116208062E-2</v>
      </c>
      <c r="W27" s="106">
        <f t="shared" si="3"/>
        <v>9.7113794138792287E-5</v>
      </c>
      <c r="X27" s="112">
        <f>W27*'Option 7'!$Q$43/1000000</f>
        <v>2.2821741622616187E-2</v>
      </c>
      <c r="Y27" s="141"/>
      <c r="Z27" s="91">
        <f>'Option 8'!R28/'Option 8'!$R$43</f>
        <v>2.5882753978741065E-2</v>
      </c>
      <c r="AA27" s="106">
        <f t="shared" si="7"/>
        <v>3.2611216566717956E-3</v>
      </c>
      <c r="AB27" s="112">
        <f>AA27*'Option 8'!$R$43/1000000</f>
        <v>0.76636358931787196</v>
      </c>
      <c r="AC27" s="141"/>
      <c r="AD27" s="91">
        <f>'Option 9'!R28/'Option 9'!$R$43</f>
        <v>2.4174491885768336E-2</v>
      </c>
      <c r="AE27" s="106">
        <f t="shared" si="8"/>
        <v>1.5528595636990668E-3</v>
      </c>
      <c r="AF27" s="112">
        <f>AE27*'Option 9'!$R$43/1000000</f>
        <v>0.36492199746928067</v>
      </c>
      <c r="AG27" s="141"/>
      <c r="AH27" s="91">
        <f>'Option 10'!Q28/'Option 10'!$Q$43</f>
        <v>2.4154452669536496E-2</v>
      </c>
      <c r="AI27" s="106">
        <f t="shared" si="4"/>
        <v>1.5328203474672258E-3</v>
      </c>
      <c r="AJ27" s="112">
        <f>AI27*'Option 10'!$Q$43/1000000</f>
        <v>0.36021278165479809</v>
      </c>
    </row>
    <row r="28" spans="1:36" x14ac:dyDescent="0.2">
      <c r="A28" s="20">
        <v>13231</v>
      </c>
      <c r="B28" s="19" t="s">
        <v>49</v>
      </c>
      <c r="C28" s="90">
        <v>6.0148641883659495E-3</v>
      </c>
      <c r="D28" s="90">
        <v>5.6229417841748381E-3</v>
      </c>
      <c r="E28" s="141"/>
      <c r="F28" s="91">
        <f>'Option 1'!C29/'Option 1'!$C$43</f>
        <v>5.6779350210933452E-3</v>
      </c>
      <c r="G28" s="106">
        <f t="shared" si="5"/>
        <v>-3.3692916727260432E-4</v>
      </c>
      <c r="H28" s="112">
        <f>G28*'Option 1'!$C$43/1000000</f>
        <v>-7.9178354309062032E-2</v>
      </c>
      <c r="I28" s="141"/>
      <c r="J28" s="91">
        <f t="shared" si="0"/>
        <v>5.6779350210933452E-3</v>
      </c>
      <c r="K28" s="106">
        <f t="shared" si="1"/>
        <v>5.4993236918507091E-5</v>
      </c>
      <c r="L28" s="112">
        <f>K28*'Option 2'!$C$43/1000000</f>
        <v>1.2923410675849168E-2</v>
      </c>
      <c r="M28" s="141"/>
      <c r="N28" s="91">
        <f>'Option 2'!C29/'Option 2'!$C$43</f>
        <v>7.8361299728049588E-3</v>
      </c>
      <c r="O28" s="106">
        <f t="shared" si="6"/>
        <v>2.2131881886301207E-3</v>
      </c>
      <c r="P28" s="112">
        <f>O28*'Option 2'!$C$43/1000000</f>
        <v>0.52009922432807854</v>
      </c>
      <c r="Q28" s="141"/>
      <c r="R28" s="91">
        <f>'Option 6'!Q29/'Option 6'!$Q$43</f>
        <v>8.0913720495549672E-3</v>
      </c>
      <c r="S28" s="106">
        <f t="shared" si="2"/>
        <v>2.4684302653801291E-3</v>
      </c>
      <c r="T28" s="112">
        <f>S28*'Option 6'!$Q$43/1000000</f>
        <v>0.58008111236433035</v>
      </c>
      <c r="U28" s="141"/>
      <c r="V28" s="91">
        <f>'Option 7'!Q29/'Option 7'!$Q$43</f>
        <v>1.310607028176574E-2</v>
      </c>
      <c r="W28" s="106">
        <f t="shared" si="3"/>
        <v>7.483128497590902E-3</v>
      </c>
      <c r="X28" s="112">
        <f>W28*'Option 7'!$Q$43/1000000</f>
        <v>1.7585351969338621</v>
      </c>
      <c r="Y28" s="141"/>
      <c r="Z28" s="91">
        <f>'Option 8'!R29/'Option 8'!$R$43</f>
        <v>6.3013908183026345E-3</v>
      </c>
      <c r="AA28" s="106">
        <f t="shared" si="7"/>
        <v>6.7844903412779631E-4</v>
      </c>
      <c r="AB28" s="112">
        <f>AA28*'Option 8'!$R$43/1000000</f>
        <v>0.15943552302003211</v>
      </c>
      <c r="AC28" s="141"/>
      <c r="AD28" s="91">
        <f>'Option 9'!R29/'Option 9'!$R$43</f>
        <v>6.4586040469923889E-3</v>
      </c>
      <c r="AE28" s="106">
        <f t="shared" si="8"/>
        <v>8.3566226281755075E-4</v>
      </c>
      <c r="AF28" s="112">
        <f>AE28*'Option 9'!$R$43/1000000</f>
        <v>0.19638063176212442</v>
      </c>
      <c r="AG28" s="141"/>
      <c r="AH28" s="91">
        <f>'Option 10'!Q29/'Option 10'!$Q$43</f>
        <v>6.4710174490842827E-3</v>
      </c>
      <c r="AI28" s="106">
        <f t="shared" si="4"/>
        <v>8.4807566490944456E-4</v>
      </c>
      <c r="AJ28" s="112">
        <f>AI28*'Option 10'!$Q$43/1000000</f>
        <v>0.19929778125371947</v>
      </c>
    </row>
    <row r="29" spans="1:36" x14ac:dyDescent="0.2">
      <c r="A29" s="20">
        <v>3592</v>
      </c>
      <c r="B29" s="19" t="s">
        <v>48</v>
      </c>
      <c r="C29" s="90">
        <v>7.2327718695926546E-3</v>
      </c>
      <c r="D29" s="90">
        <v>1.0364568727977754E-2</v>
      </c>
      <c r="E29" s="141"/>
      <c r="F29" s="91">
        <f>'Option 1'!C30/'Option 1'!$C$43</f>
        <v>1.2529718990393214E-2</v>
      </c>
      <c r="G29" s="106">
        <f t="shared" si="5"/>
        <v>5.2969471208005594E-3</v>
      </c>
      <c r="H29" s="112">
        <f>G29*'Option 1'!$C$43/1000000</f>
        <v>1.2447825733881317</v>
      </c>
      <c r="I29" s="141"/>
      <c r="J29" s="91">
        <f t="shared" si="0"/>
        <v>1.2529718990393214E-2</v>
      </c>
      <c r="K29" s="106">
        <f t="shared" si="1"/>
        <v>2.1651502624154603E-3</v>
      </c>
      <c r="L29" s="112">
        <f>K29*'Option 2'!$C$43/1000000</f>
        <v>0.50881031166763335</v>
      </c>
      <c r="M29" s="141"/>
      <c r="N29" s="91">
        <f>'Option 2'!C30/'Option 2'!$C$43</f>
        <v>1.1532914201357585E-2</v>
      </c>
      <c r="O29" s="106">
        <f t="shared" si="6"/>
        <v>1.1683454733798313E-3</v>
      </c>
      <c r="P29" s="112">
        <f>O29*'Option 2'!$C$43/1000000</f>
        <v>0.2745611862442604</v>
      </c>
      <c r="Q29" s="141"/>
      <c r="R29" s="91">
        <f>'Option 6'!Q30/'Option 6'!$Q$43</f>
        <v>1.3509788705183667E-2</v>
      </c>
      <c r="S29" s="106">
        <f t="shared" si="2"/>
        <v>3.1452199772059129E-3</v>
      </c>
      <c r="T29" s="112">
        <f>S29*'Option 6'!$Q$43/1000000</f>
        <v>0.73912669464338954</v>
      </c>
      <c r="U29" s="141"/>
      <c r="V29" s="91">
        <f>'Option 7'!Q30/'Option 7'!$Q$43</f>
        <v>1.2611436154535279E-2</v>
      </c>
      <c r="W29" s="106">
        <f t="shared" si="3"/>
        <v>2.246867426557525E-3</v>
      </c>
      <c r="X29" s="112">
        <f>W29*'Option 7'!$Q$43/1000000</f>
        <v>0.52801384524101835</v>
      </c>
      <c r="Y29" s="141"/>
      <c r="Z29" s="91">
        <f>'Option 8'!R30/'Option 8'!$R$43</f>
        <v>1.1845848961653315E-2</v>
      </c>
      <c r="AA29" s="106">
        <f t="shared" si="7"/>
        <v>1.4812802336755613E-3</v>
      </c>
      <c r="AB29" s="112">
        <f>AA29*'Option 8'!$R$43/1000000</f>
        <v>0.34810085491375692</v>
      </c>
      <c r="AC29" s="141"/>
      <c r="AD29" s="91">
        <f>'Option 9'!R30/'Option 9'!$R$43</f>
        <v>1.1729146016763756E-2</v>
      </c>
      <c r="AE29" s="106">
        <f t="shared" si="8"/>
        <v>1.3645772887860026E-3</v>
      </c>
      <c r="AF29" s="112">
        <f>AE29*'Option 9'!$R$43/1000000</f>
        <v>0.32067566286471061</v>
      </c>
      <c r="AG29" s="141"/>
      <c r="AH29" s="91">
        <f>'Option 10'!Q30/'Option 10'!$Q$43</f>
        <v>1.1722245228095783E-2</v>
      </c>
      <c r="AI29" s="106">
        <f t="shared" si="4"/>
        <v>1.357676500118029E-3</v>
      </c>
      <c r="AJ29" s="112">
        <f>AI29*'Option 10'!$Q$43/1000000</f>
        <v>0.31905397752773679</v>
      </c>
    </row>
    <row r="30" spans="1:36" x14ac:dyDescent="0.2">
      <c r="A30" s="20">
        <v>3594</v>
      </c>
      <c r="B30" s="19" t="s">
        <v>47</v>
      </c>
      <c r="C30" s="90">
        <v>5.5760590073661319E-2</v>
      </c>
      <c r="D30" s="90">
        <v>5.9972196847224775E-2</v>
      </c>
      <c r="E30" s="141"/>
      <c r="F30" s="91">
        <f>'Option 1'!C31/'Option 1'!$C$43</f>
        <v>6.6143060042658672E-2</v>
      </c>
      <c r="G30" s="106">
        <f t="shared" si="5"/>
        <v>1.0382469968997353E-2</v>
      </c>
      <c r="H30" s="112">
        <f>G30*'Option 1'!$C$43/1000000</f>
        <v>2.4398804427143785</v>
      </c>
      <c r="I30" s="141"/>
      <c r="J30" s="91">
        <f t="shared" si="0"/>
        <v>6.6143060042658672E-2</v>
      </c>
      <c r="K30" s="106">
        <f t="shared" si="1"/>
        <v>6.1708631954338969E-3</v>
      </c>
      <c r="L30" s="112">
        <f>K30*'Option 2'!$C$43/1000000</f>
        <v>1.4501528509269661</v>
      </c>
      <c r="M30" s="141"/>
      <c r="N30" s="91">
        <f>'Option 2'!C31/'Option 2'!$C$43</f>
        <v>7.7278013543844115E-2</v>
      </c>
      <c r="O30" s="106">
        <f t="shared" si="6"/>
        <v>1.730581669661934E-2</v>
      </c>
      <c r="P30" s="112">
        <f>O30*'Option 2'!$C$43/1000000</f>
        <v>4.0668669237055459</v>
      </c>
      <c r="Q30" s="141"/>
      <c r="R30" s="91">
        <f>'Option 6'!Q31/'Option 6'!$Q$43</f>
        <v>6.4662355418426104E-2</v>
      </c>
      <c r="S30" s="106">
        <f t="shared" si="2"/>
        <v>4.6901585712013291E-3</v>
      </c>
      <c r="T30" s="112">
        <f>S30*'Option 6'!$Q$43/1000000</f>
        <v>1.1021872642323123</v>
      </c>
      <c r="U30" s="141"/>
      <c r="V30" s="91">
        <f>'Option 7'!Q31/'Option 7'!$Q$43</f>
        <v>5.4176680922960754E-2</v>
      </c>
      <c r="W30" s="106">
        <f t="shared" si="3"/>
        <v>-5.7955159242640206E-3</v>
      </c>
      <c r="X30" s="112">
        <f>W30*'Option 7'!$Q$43/1000000</f>
        <v>-1.361946242202045</v>
      </c>
      <c r="Y30" s="141"/>
      <c r="Z30" s="91">
        <f>'Option 8'!R31/'Option 8'!$R$43</f>
        <v>6.6895552407651854E-2</v>
      </c>
      <c r="AA30" s="106">
        <f t="shared" si="7"/>
        <v>6.9233555604270788E-3</v>
      </c>
      <c r="AB30" s="112">
        <f>AA30*'Option 8'!$R$43/1000000</f>
        <v>1.6269885567003635</v>
      </c>
      <c r="AC30" s="141"/>
      <c r="AD30" s="91">
        <f>'Option 9'!R31/'Option 9'!$R$43</f>
        <v>6.9890807007415429E-2</v>
      </c>
      <c r="AE30" s="106">
        <f t="shared" si="8"/>
        <v>9.9186101601906537E-3</v>
      </c>
      <c r="AF30" s="112">
        <f>AE30*'Option 9'!$R$43/1000000</f>
        <v>2.3308733876448038</v>
      </c>
      <c r="AG30" s="141"/>
      <c r="AH30" s="91">
        <f>'Option 10'!Q31/'Option 10'!$Q$43</f>
        <v>6.982753769481409E-2</v>
      </c>
      <c r="AI30" s="106">
        <f t="shared" si="4"/>
        <v>9.8553408475893153E-3</v>
      </c>
      <c r="AJ30" s="112">
        <f>AI30*'Option 10'!$Q$43/1000000</f>
        <v>2.3160050991834891</v>
      </c>
    </row>
    <row r="31" spans="1:36" x14ac:dyDescent="0.2">
      <c r="A31" s="78">
        <v>113594</v>
      </c>
      <c r="B31" s="19" t="s">
        <v>46</v>
      </c>
      <c r="C31" s="90">
        <v>2.1483213132707842E-3</v>
      </c>
      <c r="D31" s="90">
        <v>2.8602942419239919E-3</v>
      </c>
      <c r="E31" s="141"/>
      <c r="F31" s="91">
        <f>'Option 1'!C32/'Option 1'!$C$43</f>
        <v>3.5582298188174665E-3</v>
      </c>
      <c r="G31" s="106">
        <f t="shared" si="5"/>
        <v>1.4099085055466823E-3</v>
      </c>
      <c r="H31" s="112">
        <f>G31*'Option 1'!$C$43/1000000</f>
        <v>0.33132849880347037</v>
      </c>
      <c r="I31" s="141"/>
      <c r="J31" s="91">
        <f t="shared" si="0"/>
        <v>3.5582298188174665E-3</v>
      </c>
      <c r="K31" s="106">
        <f t="shared" si="1"/>
        <v>6.9793557689347462E-4</v>
      </c>
      <c r="L31" s="112">
        <f>K31*'Option 2'!$C$43/1000000</f>
        <v>0.16401486056996659</v>
      </c>
      <c r="M31" s="141"/>
      <c r="N31" s="91">
        <f>'Option 2'!C32/'Option 2'!$C$43</f>
        <v>5.0954308841750784E-3</v>
      </c>
      <c r="O31" s="106">
        <f t="shared" si="6"/>
        <v>2.2351366422510865E-3</v>
      </c>
      <c r="P31" s="112">
        <f>O31*'Option 2'!$C$43/1000000</f>
        <v>0.5252571109290054</v>
      </c>
      <c r="Q31" s="141"/>
      <c r="R31" s="91">
        <f>'Option 6'!Q32/'Option 6'!$Q$43</f>
        <v>6.1485257507770102E-3</v>
      </c>
      <c r="S31" s="106">
        <f t="shared" si="2"/>
        <v>3.2882315088530183E-3</v>
      </c>
      <c r="T31" s="112">
        <f>S31*'Option 6'!$Q$43/1000000</f>
        <v>0.77273440458045939</v>
      </c>
      <c r="U31" s="141"/>
      <c r="V31" s="91">
        <f>'Option 7'!Q32/'Option 7'!$Q$43</f>
        <v>1.2701059930129547E-2</v>
      </c>
      <c r="W31" s="106">
        <f t="shared" si="3"/>
        <v>9.8407656882055546E-3</v>
      </c>
      <c r="X31" s="112">
        <f>W31*'Option 7'!$Q$43/1000000</f>
        <v>2.3125799367283051</v>
      </c>
      <c r="Y31" s="141"/>
      <c r="Z31" s="91">
        <f>'Option 8'!R32/'Option 8'!$R$43</f>
        <v>4.2074072045870008E-3</v>
      </c>
      <c r="AA31" s="106">
        <f t="shared" si="7"/>
        <v>1.3471129626630089E-3</v>
      </c>
      <c r="AB31" s="112">
        <f>AA31*'Option 8'!$R$43/1000000</f>
        <v>0.31657154622580713</v>
      </c>
      <c r="AC31" s="141"/>
      <c r="AD31" s="91">
        <f>'Option 9'!R32/'Option 9'!$R$43</f>
        <v>4.5178584047933417E-3</v>
      </c>
      <c r="AE31" s="106">
        <f t="shared" si="8"/>
        <v>1.6575641628693498E-3</v>
      </c>
      <c r="AF31" s="112">
        <f>AE31*'Option 9'!$R$43/1000000</f>
        <v>0.38952757827429718</v>
      </c>
      <c r="AG31" s="141"/>
      <c r="AH31" s="91">
        <f>'Option 10'!Q32/'Option 10'!$Q$43</f>
        <v>4.5581469381305983E-3</v>
      </c>
      <c r="AI31" s="106">
        <f t="shared" si="4"/>
        <v>1.6978526962066064E-3</v>
      </c>
      <c r="AJ31" s="112">
        <f>AI31*'Option 10'!$Q$43/1000000</f>
        <v>0.39899538360855252</v>
      </c>
    </row>
    <row r="32" spans="1:36" x14ac:dyDescent="0.2">
      <c r="A32" s="20">
        <v>3624</v>
      </c>
      <c r="B32" s="19" t="s">
        <v>45</v>
      </c>
      <c r="C32" s="90">
        <v>1.754250809670805E-2</v>
      </c>
      <c r="D32" s="90">
        <v>2.3435865298122357E-2</v>
      </c>
      <c r="E32" s="141"/>
      <c r="F32" s="91">
        <f>'Option 1'!C33/'Option 1'!$C$43</f>
        <v>2.3454029022344735E-2</v>
      </c>
      <c r="G32" s="106">
        <f t="shared" si="5"/>
        <v>5.9115209256366853E-3</v>
      </c>
      <c r="H32" s="112">
        <f>G32*'Option 1'!$C$43/1000000</f>
        <v>1.3892074175246214</v>
      </c>
      <c r="I32" s="141"/>
      <c r="J32" s="91">
        <f t="shared" si="0"/>
        <v>2.3454029022344735E-2</v>
      </c>
      <c r="K32" s="106">
        <f t="shared" si="1"/>
        <v>1.8163724222378108E-5</v>
      </c>
      <c r="L32" s="112">
        <f>K32*'Option 2'!$C$43/1000000</f>
        <v>4.2684751922588563E-3</v>
      </c>
      <c r="M32" s="141"/>
      <c r="N32" s="91">
        <f>'Option 2'!C33/'Option 2'!$C$43</f>
        <v>2.0229488901935325E-2</v>
      </c>
      <c r="O32" s="106">
        <f t="shared" si="6"/>
        <v>-3.2063763961870315E-3</v>
      </c>
      <c r="P32" s="112">
        <f>O32*'Option 2'!$C$43/1000000</f>
        <v>-0.75349845310395258</v>
      </c>
      <c r="Q32" s="141"/>
      <c r="R32" s="91">
        <f>'Option 6'!Q33/'Option 6'!$Q$43</f>
        <v>2.3837334724518818E-2</v>
      </c>
      <c r="S32" s="106">
        <f t="shared" si="2"/>
        <v>4.0146942639646133E-4</v>
      </c>
      <c r="T32" s="112">
        <f>S32*'Option 6'!$Q$43/1000000</f>
        <v>9.4345315203168412E-2</v>
      </c>
      <c r="U32" s="141"/>
      <c r="V32" s="91">
        <f>'Option 7'!Q33/'Option 7'!$Q$43</f>
        <v>1.77720245505846E-2</v>
      </c>
      <c r="W32" s="106">
        <f t="shared" si="3"/>
        <v>-5.6638407475377572E-3</v>
      </c>
      <c r="X32" s="112">
        <f>W32*'Option 7'!$Q$43/1000000</f>
        <v>-1.331002575671373</v>
      </c>
      <c r="Y32" s="141"/>
      <c r="Z32" s="91">
        <f>'Option 8'!R33/'Option 8'!$R$43</f>
        <v>2.3017013071855885E-2</v>
      </c>
      <c r="AA32" s="106">
        <f t="shared" si="7"/>
        <v>-4.1885222626647164E-4</v>
      </c>
      <c r="AB32" s="112">
        <f>AA32*'Option 8'!$R$43/1000000</f>
        <v>-9.8430273172620833E-2</v>
      </c>
      <c r="AC32" s="141"/>
      <c r="AD32" s="91">
        <f>'Option 9'!R33/'Option 9'!$R$43</f>
        <v>2.2825559152053459E-2</v>
      </c>
      <c r="AE32" s="106">
        <f t="shared" si="8"/>
        <v>-6.1030614606889799E-4</v>
      </c>
      <c r="AF32" s="112">
        <f>AE32*'Option 9'!$R$43/1000000</f>
        <v>-0.14342194432619104</v>
      </c>
      <c r="AG32" s="141"/>
      <c r="AH32" s="91">
        <f>'Option 10'!Q33/'Option 10'!$Q$43</f>
        <v>2.2859037988234569E-2</v>
      </c>
      <c r="AI32" s="106">
        <f t="shared" si="4"/>
        <v>-5.7682730988778755E-4</v>
      </c>
      <c r="AJ32" s="112">
        <f>AI32*'Option 10'!$Q$43/1000000</f>
        <v>-0.13555441782363006</v>
      </c>
    </row>
    <row r="33" spans="1:36" x14ac:dyDescent="0.2">
      <c r="A33" s="20">
        <v>3642</v>
      </c>
      <c r="B33" s="19" t="s">
        <v>44</v>
      </c>
      <c r="C33" s="90">
        <v>1.6527250796395665E-2</v>
      </c>
      <c r="D33" s="90">
        <v>1.3524899052819646E-2</v>
      </c>
      <c r="E33" s="141"/>
      <c r="F33" s="91">
        <f>'Option 1'!C34/'Option 1'!$C$43</f>
        <v>1.0822736863908104E-2</v>
      </c>
      <c r="G33" s="106">
        <f t="shared" si="5"/>
        <v>-5.7045139324875607E-3</v>
      </c>
      <c r="H33" s="112">
        <f>G33*'Option 1'!$C$43/1000000</f>
        <v>-1.3405607741345771</v>
      </c>
      <c r="I33" s="141"/>
      <c r="J33" s="91">
        <f t="shared" si="0"/>
        <v>1.0822736863908104E-2</v>
      </c>
      <c r="K33" s="106">
        <f t="shared" si="1"/>
        <v>-2.7021621889115419E-3</v>
      </c>
      <c r="L33" s="112">
        <f>K33*'Option 2'!$C$43/1000000</f>
        <v>-0.63500811439421245</v>
      </c>
      <c r="M33" s="141"/>
      <c r="N33" s="91">
        <f>'Option 2'!C34/'Option 2'!$C$43</f>
        <v>9.0337640158791779E-3</v>
      </c>
      <c r="O33" s="106">
        <f t="shared" si="6"/>
        <v>-4.4911350369404683E-3</v>
      </c>
      <c r="P33" s="112">
        <f>O33*'Option 2'!$C$43/1000000</f>
        <v>-1.0554167336810103</v>
      </c>
      <c r="Q33" s="141"/>
      <c r="R33" s="91">
        <f>'Option 6'!Q34/'Option 6'!$Q$43</f>
        <v>1.0652884589290777E-2</v>
      </c>
      <c r="S33" s="106">
        <f t="shared" si="2"/>
        <v>-2.8720144635288689E-3</v>
      </c>
      <c r="T33" s="112">
        <f>S33*'Option 6'!$Q$43/1000000</f>
        <v>-0.67492339892928421</v>
      </c>
      <c r="U33" s="141"/>
      <c r="V33" s="91">
        <f>'Option 7'!Q34/'Option 7'!$Q$43</f>
        <v>1.0098123572763558E-2</v>
      </c>
      <c r="W33" s="106">
        <f t="shared" si="3"/>
        <v>-3.4267754800560886E-3</v>
      </c>
      <c r="X33" s="112">
        <f>W33*'Option 7'!$Q$43/1000000</f>
        <v>-0.80529223781318082</v>
      </c>
      <c r="Y33" s="141"/>
      <c r="Z33" s="91">
        <f>'Option 8'!R34/'Option 8'!$R$43</f>
        <v>1.1343097622549259E-2</v>
      </c>
      <c r="AA33" s="106">
        <f t="shared" si="7"/>
        <v>-2.1818014302703876E-3</v>
      </c>
      <c r="AB33" s="112">
        <f>AA33*'Option 8'!$R$43/1000000</f>
        <v>-0.51272333611354115</v>
      </c>
      <c r="AC33" s="141"/>
      <c r="AD33" s="91">
        <f>'Option 9'!R34/'Option 9'!$R$43</f>
        <v>1.0811176857672994E-2</v>
      </c>
      <c r="AE33" s="106">
        <f t="shared" si="8"/>
        <v>-2.7137221951466523E-3</v>
      </c>
      <c r="AF33" s="112">
        <f>AE33*'Option 9'!$R$43/1000000</f>
        <v>-0.63772471585946333</v>
      </c>
      <c r="AG33" s="141"/>
      <c r="AH33" s="91">
        <f>'Option 10'!Q34/'Option 10'!$Q$43</f>
        <v>1.0741781332282773E-2</v>
      </c>
      <c r="AI33" s="106">
        <f t="shared" si="4"/>
        <v>-2.7831177205368731E-3</v>
      </c>
      <c r="AJ33" s="112">
        <f>AI33*'Option 10'!$Q$43/1000000</f>
        <v>-0.65403266432616525</v>
      </c>
    </row>
    <row r="34" spans="1:36" x14ac:dyDescent="0.2">
      <c r="A34" s="20">
        <v>3644</v>
      </c>
      <c r="B34" s="19" t="s">
        <v>43</v>
      </c>
      <c r="C34" s="90">
        <v>6.7439593434002146E-2</v>
      </c>
      <c r="D34" s="90">
        <v>6.3345925146063756E-2</v>
      </c>
      <c r="E34" s="141"/>
      <c r="F34" s="91">
        <f>'Option 1'!C35/'Option 1'!$C$43</f>
        <v>5.9825636011374535E-2</v>
      </c>
      <c r="G34" s="106">
        <f t="shared" si="5"/>
        <v>-7.613957422627611E-3</v>
      </c>
      <c r="H34" s="112">
        <f>G34*'Option 1'!$C$43/1000000</f>
        <v>-1.7892799943174891</v>
      </c>
      <c r="I34" s="141"/>
      <c r="J34" s="91">
        <f t="shared" si="0"/>
        <v>5.9825636011374535E-2</v>
      </c>
      <c r="K34" s="106">
        <f t="shared" si="1"/>
        <v>-3.5202891346892209E-3</v>
      </c>
      <c r="L34" s="112">
        <f>K34*'Option 2'!$C$43/1000000</f>
        <v>-0.82726794665196712</v>
      </c>
      <c r="M34" s="141"/>
      <c r="N34" s="91">
        <f>'Option 2'!C35/'Option 2'!$C$43</f>
        <v>6.937951513310768E-2</v>
      </c>
      <c r="O34" s="106">
        <f t="shared" si="6"/>
        <v>6.0335899870439247E-3</v>
      </c>
      <c r="P34" s="112">
        <f>O34*'Option 2'!$C$43/1000000</f>
        <v>1.4178936469553227</v>
      </c>
      <c r="Q34" s="141"/>
      <c r="R34" s="91">
        <f>'Option 6'!Q35/'Option 6'!$Q$43</f>
        <v>5.7686873647245104E-2</v>
      </c>
      <c r="S34" s="106">
        <f t="shared" si="2"/>
        <v>-5.6590514988186513E-3</v>
      </c>
      <c r="T34" s="112">
        <f>S34*'Option 6'!$Q$43/1000000</f>
        <v>-1.329877102222383</v>
      </c>
      <c r="U34" s="141"/>
      <c r="V34" s="91">
        <f>'Option 7'!Q35/'Option 7'!$Q$43</f>
        <v>5.6648637100044877E-2</v>
      </c>
      <c r="W34" s="106">
        <f t="shared" si="3"/>
        <v>-6.6972880460188788E-3</v>
      </c>
      <c r="X34" s="112">
        <f>W34*'Option 7'!$Q$43/1000000</f>
        <v>-1.5738626908144364</v>
      </c>
      <c r="Y34" s="141"/>
      <c r="Z34" s="91">
        <f>'Option 8'!R35/'Option 8'!$R$43</f>
        <v>5.879962191818798E-2</v>
      </c>
      <c r="AA34" s="106">
        <f t="shared" si="7"/>
        <v>-4.5463032278757753E-3</v>
      </c>
      <c r="AB34" s="112">
        <f>AA34*'Option 8'!$R$43/1000000</f>
        <v>-1.0683812585508072</v>
      </c>
      <c r="AC34" s="141"/>
      <c r="AD34" s="91">
        <f>'Option 9'!R35/'Option 9'!$R$43</f>
        <v>5.8301866257772471E-2</v>
      </c>
      <c r="AE34" s="106">
        <f t="shared" si="8"/>
        <v>-5.0440588882912848E-3</v>
      </c>
      <c r="AF34" s="112">
        <f>AE34*'Option 9'!$R$43/1000000</f>
        <v>-1.1853538387484521</v>
      </c>
      <c r="AG34" s="141"/>
      <c r="AH34" s="91">
        <f>'Option 10'!Q35/'Option 10'!$Q$43</f>
        <v>5.830648198690272E-2</v>
      </c>
      <c r="AI34" s="106">
        <f t="shared" si="4"/>
        <v>-5.0394431591610361E-3</v>
      </c>
      <c r="AJ34" s="112">
        <f>AI34*'Option 10'!$Q$43/1000000</f>
        <v>-1.1842691424028435</v>
      </c>
    </row>
    <row r="35" spans="1:36" x14ac:dyDescent="0.2">
      <c r="A35" s="20">
        <v>3541</v>
      </c>
      <c r="B35" s="19" t="s">
        <v>42</v>
      </c>
      <c r="C35" s="90">
        <v>9.4185548193114043E-3</v>
      </c>
      <c r="D35" s="90">
        <v>1.2561069385453944E-2</v>
      </c>
      <c r="E35" s="141"/>
      <c r="F35" s="91">
        <f>'Option 1'!C36/'Option 1'!$C$43</f>
        <v>1.2285369199892692E-2</v>
      </c>
      <c r="G35" s="106">
        <f t="shared" si="5"/>
        <v>2.8668143805812875E-3</v>
      </c>
      <c r="H35" s="112">
        <f>G35*'Option 1'!$C$43/1000000</f>
        <v>0.67370137943660269</v>
      </c>
      <c r="I35" s="141"/>
      <c r="J35" s="91">
        <f t="shared" si="0"/>
        <v>1.2285369199892692E-2</v>
      </c>
      <c r="K35" s="106">
        <f t="shared" si="1"/>
        <v>-2.7570018556125238E-4</v>
      </c>
      <c r="L35" s="112">
        <f>K35*'Option 2'!$C$43/1000000</f>
        <v>-6.4789543606894318E-2</v>
      </c>
      <c r="M35" s="141"/>
      <c r="N35" s="91">
        <f>'Option 2'!C36/'Option 2'!$C$43</f>
        <v>1.1135945601316906E-2</v>
      </c>
      <c r="O35" s="106">
        <f t="shared" si="6"/>
        <v>-1.4251237841370386E-3</v>
      </c>
      <c r="P35" s="112">
        <f>O35*'Option 2'!$C$43/1000000</f>
        <v>-0.33490408927220416</v>
      </c>
      <c r="Q35" s="141"/>
      <c r="R35" s="91">
        <f>'Option 6'!Q36/'Option 6'!$Q$43</f>
        <v>1.3076508380462364E-2</v>
      </c>
      <c r="S35" s="106">
        <f t="shared" si="2"/>
        <v>5.1543899500841941E-4</v>
      </c>
      <c r="T35" s="112">
        <f>S35*'Option 6'!$Q$43/1000000</f>
        <v>0.12112816382697857</v>
      </c>
      <c r="U35" s="141"/>
      <c r="V35" s="91">
        <f>'Option 7'!Q36/'Option 7'!$Q$43</f>
        <v>1.1709128280542302E-2</v>
      </c>
      <c r="W35" s="106">
        <f t="shared" si="3"/>
        <v>-8.5194110491164203E-4</v>
      </c>
      <c r="X35" s="112">
        <f>W35*'Option 7'!$Q$43/1000000</f>
        <v>-0.20020615965423588</v>
      </c>
      <c r="Y35" s="141"/>
      <c r="Z35" s="91">
        <f>'Option 8'!R36/'Option 8'!$R$43</f>
        <v>1.1788201638317338E-2</v>
      </c>
      <c r="AA35" s="106">
        <f t="shared" si="7"/>
        <v>-7.7286774713660605E-4</v>
      </c>
      <c r="AB35" s="112">
        <f>AA35*'Option 8'!$R$43/1000000</f>
        <v>-0.18162392057710242</v>
      </c>
      <c r="AC35" s="141"/>
      <c r="AD35" s="91">
        <f>'Option 9'!R36/'Option 9'!$R$43</f>
        <v>1.137627009420402E-2</v>
      </c>
      <c r="AE35" s="106">
        <f t="shared" si="8"/>
        <v>-1.1847992912499238E-3</v>
      </c>
      <c r="AF35" s="112">
        <f>AE35*'Option 9'!$R$43/1000000</f>
        <v>-0.27842783344373206</v>
      </c>
      <c r="AG35" s="141"/>
      <c r="AH35" s="91">
        <f>'Option 10'!Q36/'Option 10'!$Q$43</f>
        <v>1.1375755539344131E-2</v>
      </c>
      <c r="AI35" s="106">
        <f t="shared" si="4"/>
        <v>-1.1853138461098128E-3</v>
      </c>
      <c r="AJ35" s="112">
        <f>AI35*'Option 10'!$Q$43/1000000</f>
        <v>-0.27854875383580596</v>
      </c>
    </row>
    <row r="36" spans="1:36" x14ac:dyDescent="0.2">
      <c r="A36" s="20">
        <v>3646</v>
      </c>
      <c r="B36" s="19" t="s">
        <v>41</v>
      </c>
      <c r="C36" s="90">
        <v>2.3931524233576335E-2</v>
      </c>
      <c r="D36" s="90">
        <v>1.8983457031793705E-2</v>
      </c>
      <c r="E36" s="141"/>
      <c r="F36" s="91">
        <f>'Option 1'!C37/'Option 1'!$C$43</f>
        <v>2.0037775548750074E-2</v>
      </c>
      <c r="G36" s="106">
        <f t="shared" si="5"/>
        <v>-3.8937486848262606E-3</v>
      </c>
      <c r="H36" s="112">
        <f>G36*'Option 1'!$C$43/1000000</f>
        <v>-0.91503094093417148</v>
      </c>
      <c r="I36" s="141"/>
      <c r="J36" s="91">
        <f t="shared" si="0"/>
        <v>2.0037775548750074E-2</v>
      </c>
      <c r="K36" s="106">
        <f t="shared" si="1"/>
        <v>1.0543185169563686E-3</v>
      </c>
      <c r="L36" s="112">
        <f>K36*'Option 2'!$C$43/1000000</f>
        <v>0.24776485148474667</v>
      </c>
      <c r="M36" s="141"/>
      <c r="N36" s="91">
        <f>'Option 2'!C37/'Option 2'!$C$43</f>
        <v>1.9742930434105053E-2</v>
      </c>
      <c r="O36" s="106">
        <f t="shared" si="6"/>
        <v>7.5947340231134752E-4</v>
      </c>
      <c r="P36" s="112">
        <f>O36*'Option 2'!$C$43/1000000</f>
        <v>0.17847624954316671</v>
      </c>
      <c r="Q36" s="141"/>
      <c r="R36" s="91">
        <f>'Option 6'!Q37/'Option 6'!$Q$43</f>
        <v>2.1522891021777117E-2</v>
      </c>
      <c r="S36" s="106">
        <f t="shared" si="2"/>
        <v>2.5394339899834119E-3</v>
      </c>
      <c r="T36" s="112">
        <f>S36*'Option 6'!$Q$43/1000000</f>
        <v>0.5967669876461017</v>
      </c>
      <c r="U36" s="141"/>
      <c r="V36" s="91">
        <f>'Option 7'!Q37/'Option 7'!$Q$43</f>
        <v>1.8733425108678588E-2</v>
      </c>
      <c r="W36" s="106">
        <f t="shared" si="3"/>
        <v>-2.5003192311511685E-4</v>
      </c>
      <c r="X36" s="112">
        <f>W36*'Option 7'!$Q$43/1000000</f>
        <v>-5.875750193205246E-2</v>
      </c>
      <c r="Y36" s="141"/>
      <c r="Z36" s="91">
        <f>'Option 8'!R37/'Option 8'!$R$43</f>
        <v>1.8691120558788684E-2</v>
      </c>
      <c r="AA36" s="106">
        <f t="shared" si="7"/>
        <v>-2.9233647300502125E-4</v>
      </c>
      <c r="AB36" s="112">
        <f>AA36*'Option 8'!$R$43/1000000</f>
        <v>-6.869907115618E-2</v>
      </c>
      <c r="AC36" s="141"/>
      <c r="AD36" s="91">
        <f>'Option 9'!R37/'Option 9'!$R$43</f>
        <v>1.9280478234161298E-2</v>
      </c>
      <c r="AE36" s="106">
        <f t="shared" si="8"/>
        <v>2.9702120236759291E-4</v>
      </c>
      <c r="AF36" s="112">
        <f>AE36*'Option 9'!$R$43/1000000</f>
        <v>6.9799982556384338E-2</v>
      </c>
      <c r="AG36" s="141"/>
      <c r="AH36" s="91">
        <f>'Option 10'!Q37/'Option 10'!$Q$43</f>
        <v>1.9317272238045843E-2</v>
      </c>
      <c r="AI36" s="106">
        <f t="shared" si="4"/>
        <v>3.3381520625213809E-4</v>
      </c>
      <c r="AJ36" s="112">
        <f>AI36*'Option 10'!$Q$43/1000000</f>
        <v>7.8446573469252462E-2</v>
      </c>
    </row>
    <row r="37" spans="1:36" x14ac:dyDescent="0.2">
      <c r="A37" s="20">
        <v>3581</v>
      </c>
      <c r="B37" s="19" t="s">
        <v>40</v>
      </c>
      <c r="C37" s="90">
        <v>2.1731724072893421E-2</v>
      </c>
      <c r="D37" s="90">
        <v>1.8519296567582645E-2</v>
      </c>
      <c r="E37" s="141"/>
      <c r="F37" s="91">
        <f>'Option 1'!C38/'Option 1'!$C$43</f>
        <v>1.685957119302281E-2</v>
      </c>
      <c r="G37" s="106">
        <f t="shared" si="5"/>
        <v>-4.8721528798706115E-3</v>
      </c>
      <c r="H37" s="112">
        <f>G37*'Option 1'!$C$43/1000000</f>
        <v>-1.1449559267695939</v>
      </c>
      <c r="I37" s="141"/>
      <c r="J37" s="91">
        <f t="shared" si="0"/>
        <v>1.685957119302281E-2</v>
      </c>
      <c r="K37" s="106">
        <f t="shared" si="1"/>
        <v>-1.6597253745598353E-3</v>
      </c>
      <c r="L37" s="112">
        <f>K37*'Option 2'!$C$43/1000000</f>
        <v>-0.39003546302156139</v>
      </c>
      <c r="M37" s="141"/>
      <c r="N37" s="91">
        <f>'Option 2'!C38/'Option 2'!$C$43</f>
        <v>1.4714700742102649E-2</v>
      </c>
      <c r="O37" s="106">
        <f t="shared" si="6"/>
        <v>-3.804595825479996E-3</v>
      </c>
      <c r="P37" s="112">
        <f>O37*'Option 2'!$C$43/1000000</f>
        <v>-0.89408001898779932</v>
      </c>
      <c r="Q37" s="141"/>
      <c r="R37" s="91">
        <f>'Option 6'!Q38/'Option 6'!$Q$43</f>
        <v>1.7275142914941109E-2</v>
      </c>
      <c r="S37" s="106">
        <f t="shared" si="2"/>
        <v>-1.2441536526415359E-3</v>
      </c>
      <c r="T37" s="112">
        <f>S37*'Option 6'!$Q$43/1000000</f>
        <v>-0.29237610837076095</v>
      </c>
      <c r="U37" s="141"/>
      <c r="V37" s="91">
        <f>'Option 7'!Q38/'Option 7'!$Q$43</f>
        <v>1.5281636213338749E-2</v>
      </c>
      <c r="W37" s="106">
        <f t="shared" si="3"/>
        <v>-3.2376603542438962E-3</v>
      </c>
      <c r="X37" s="112">
        <f>W37*'Option 7'!$Q$43/1000000</f>
        <v>-0.76085018324731557</v>
      </c>
      <c r="Y37" s="141"/>
      <c r="Z37" s="91">
        <f>'Option 8'!R38/'Option 8'!$R$43</f>
        <v>1.6906006678624737E-2</v>
      </c>
      <c r="AA37" s="106">
        <f t="shared" si="7"/>
        <v>-1.6132898889579077E-3</v>
      </c>
      <c r="AB37" s="112">
        <f>AA37*'Option 8'!$R$43/1000000</f>
        <v>-0.37912312390510833</v>
      </c>
      <c r="AC37" s="141"/>
      <c r="AD37" s="91">
        <f>'Option 9'!R38/'Option 9'!$R$43</f>
        <v>1.6408348507990344E-2</v>
      </c>
      <c r="AE37" s="106">
        <f t="shared" si="8"/>
        <v>-2.1109480595923012E-3</v>
      </c>
      <c r="AF37" s="112">
        <f>AE37*'Option 9'!$R$43/1000000</f>
        <v>-0.4960727940041908</v>
      </c>
      <c r="AG37" s="141"/>
      <c r="AH37" s="91">
        <f>'Option 10'!Q38/'Option 10'!$Q$43</f>
        <v>1.6371474793924496E-2</v>
      </c>
      <c r="AI37" s="106">
        <f t="shared" si="4"/>
        <v>-2.1478217736581491E-3</v>
      </c>
      <c r="AJ37" s="112">
        <f>AI37*'Option 10'!$Q$43/1000000</f>
        <v>-0.50473811680966507</v>
      </c>
    </row>
    <row r="38" spans="1:36" x14ac:dyDescent="0.2">
      <c r="A38" s="20">
        <v>3606</v>
      </c>
      <c r="B38" s="19" t="s">
        <v>39</v>
      </c>
      <c r="C38" s="90">
        <v>2.5762064127734085E-2</v>
      </c>
      <c r="D38" s="90">
        <v>3.2554270941238916E-2</v>
      </c>
      <c r="E38" s="141"/>
      <c r="F38" s="91">
        <f>'Option 1'!C39/'Option 1'!$C$43</f>
        <v>3.4422006361569238E-2</v>
      </c>
      <c r="G38" s="106">
        <f t="shared" si="5"/>
        <v>8.659942233835153E-3</v>
      </c>
      <c r="H38" s="112">
        <f>G38*'Option 1'!$C$43/1000000</f>
        <v>2.0350864249512615</v>
      </c>
      <c r="I38" s="141"/>
      <c r="J38" s="91">
        <f t="shared" si="0"/>
        <v>3.4422006361569238E-2</v>
      </c>
      <c r="K38" s="106">
        <f t="shared" si="1"/>
        <v>1.8677354203303215E-3</v>
      </c>
      <c r="L38" s="112">
        <f>K38*'Option 2'!$C$43/1000000</f>
        <v>0.43891782377762562</v>
      </c>
      <c r="M38" s="141"/>
      <c r="N38" s="91">
        <f>'Option 2'!C39/'Option 2'!$C$43</f>
        <v>3.0056047182052459E-2</v>
      </c>
      <c r="O38" s="106">
        <f t="shared" si="6"/>
        <v>-2.4982237591864576E-3</v>
      </c>
      <c r="P38" s="112">
        <f>O38*'Option 2'!$C$43/1000000</f>
        <v>-0.58708258340881769</v>
      </c>
      <c r="Q38" s="141"/>
      <c r="R38" s="91">
        <f>'Option 6'!Q39/'Option 6'!$Q$43</f>
        <v>3.5441146473410977E-2</v>
      </c>
      <c r="S38" s="106">
        <f t="shared" si="2"/>
        <v>2.8868755321720604E-3</v>
      </c>
      <c r="T38" s="112">
        <f>S38*'Option 6'!$Q$43/1000000</f>
        <v>0.6784157500604342</v>
      </c>
      <c r="U38" s="141"/>
      <c r="V38" s="91">
        <f>'Option 7'!Q39/'Option 7'!$Q$43</f>
        <v>2.6598397157292619E-2</v>
      </c>
      <c r="W38" s="106">
        <f t="shared" si="3"/>
        <v>-5.9558737839462972E-3</v>
      </c>
      <c r="X38" s="112">
        <f>W38*'Option 7'!$Q$43/1000000</f>
        <v>-1.3996303392273797</v>
      </c>
      <c r="Y38" s="141"/>
      <c r="Z38" s="91">
        <f>'Option 8'!R39/'Option 8'!$R$43</f>
        <v>3.4138751057812659E-2</v>
      </c>
      <c r="AA38" s="106">
        <f t="shared" si="7"/>
        <v>1.5844801165737429E-3</v>
      </c>
      <c r="AB38" s="112">
        <f>AA38*'Option 8'!$R$43/1000000</f>
        <v>0.37235282739482961</v>
      </c>
      <c r="AC38" s="141"/>
      <c r="AD38" s="91">
        <f>'Option 9'!R39/'Option 9'!$R$43</f>
        <v>3.4547932843987536E-2</v>
      </c>
      <c r="AE38" s="106">
        <f t="shared" si="8"/>
        <v>1.9936619027486197E-3</v>
      </c>
      <c r="AF38" s="112">
        <f>AE38*'Option 9'!$R$43/1000000</f>
        <v>0.46851054714592566</v>
      </c>
      <c r="AG38" s="141"/>
      <c r="AH38" s="91">
        <f>'Option 10'!Q39/'Option 10'!$Q$43</f>
        <v>3.4621825078138484E-2</v>
      </c>
      <c r="AI38" s="106">
        <f t="shared" si="4"/>
        <v>2.0675541368995673E-3</v>
      </c>
      <c r="AJ38" s="112">
        <f>AI38*'Option 10'!$Q$43/1000000</f>
        <v>0.48587522217139828</v>
      </c>
    </row>
    <row r="39" spans="1:36" x14ac:dyDescent="0.2">
      <c r="A39" s="20">
        <v>3615</v>
      </c>
      <c r="B39" s="19" t="s">
        <v>95</v>
      </c>
      <c r="C39" s="90">
        <v>4.7432561907783659E-2</v>
      </c>
      <c r="D39" s="90">
        <v>6.1387457427191858E-2</v>
      </c>
      <c r="E39" s="141"/>
      <c r="F39" s="91">
        <f>'Option 1'!C40/'Option 1'!$C$43</f>
        <v>6.3053755580008239E-2</v>
      </c>
      <c r="G39" s="106">
        <f t="shared" si="5"/>
        <v>1.562119367222458E-2</v>
      </c>
      <c r="H39" s="112">
        <f>G39*'Option 1'!$C$43/1000000</f>
        <v>3.6709805129727773</v>
      </c>
      <c r="I39" s="141"/>
      <c r="J39" s="91">
        <f t="shared" si="0"/>
        <v>6.3053755580008239E-2</v>
      </c>
      <c r="K39" s="106">
        <f t="shared" si="1"/>
        <v>1.6662981528163812E-3</v>
      </c>
      <c r="L39" s="112">
        <f>K39*'Option 2'!$C$43/1000000</f>
        <v>0.39158006591184968</v>
      </c>
      <c r="M39" s="141"/>
      <c r="N39" s="91">
        <f>'Option 2'!C40/'Option 2'!$C$43</f>
        <v>5.1382538283780345E-2</v>
      </c>
      <c r="O39" s="106">
        <f t="shared" si="6"/>
        <v>-1.0004919143411513E-2</v>
      </c>
      <c r="P39" s="112">
        <f>O39*'Option 2'!$C$43/1000000</f>
        <v>-2.3511559987017061</v>
      </c>
      <c r="Q39" s="141"/>
      <c r="R39" s="91">
        <f>'Option 6'!Q40/'Option 6'!$Q$43</f>
        <v>6.0527344936806372E-2</v>
      </c>
      <c r="S39" s="106">
        <f t="shared" si="2"/>
        <v>-8.6011249038548537E-4</v>
      </c>
      <c r="T39" s="112">
        <f>S39*'Option 6'!$Q$43/1000000</f>
        <v>-0.20212643524058904</v>
      </c>
      <c r="U39" s="141"/>
      <c r="V39" s="91">
        <f>'Option 7'!Q40/'Option 7'!$Q$43</f>
        <v>5.4428888297425773E-2</v>
      </c>
      <c r="W39" s="106">
        <f t="shared" si="3"/>
        <v>-6.9585691297660845E-3</v>
      </c>
      <c r="X39" s="112">
        <f>W39*'Option 7'!$Q$43/1000000</f>
        <v>-1.6352637454950301</v>
      </c>
      <c r="Y39" s="141"/>
      <c r="Z39" s="91">
        <f>'Option 8'!R40/'Option 8'!$R$43</f>
        <v>6.3027892475426547E-2</v>
      </c>
      <c r="AA39" s="106">
        <f t="shared" si="7"/>
        <v>1.6404350482346897E-3</v>
      </c>
      <c r="AB39" s="112">
        <f>AA39*'Option 8'!$R$43/1000000</f>
        <v>0.38550223633515207</v>
      </c>
      <c r="AC39" s="141"/>
      <c r="AD39" s="91">
        <f>'Option 9'!R40/'Option 9'!$R$43</f>
        <v>6.4693082300027044E-2</v>
      </c>
      <c r="AE39" s="106">
        <f t="shared" si="8"/>
        <v>3.3056248728351861E-3</v>
      </c>
      <c r="AF39" s="112">
        <f>AE39*'Option 9'!$R$43/1000000</f>
        <v>0.77682184511626873</v>
      </c>
      <c r="AG39" s="141"/>
      <c r="AH39" s="91">
        <f>'Option 10'!Q40/'Option 10'!$Q$43</f>
        <v>6.4681389260479061E-2</v>
      </c>
      <c r="AI39" s="106">
        <f t="shared" si="4"/>
        <v>3.2939318332872031E-3</v>
      </c>
      <c r="AJ39" s="112">
        <f>AI39*'Option 10'!$Q$43/1000000</f>
        <v>0.77407398082249279</v>
      </c>
    </row>
    <row r="40" spans="1:36" x14ac:dyDescent="0.2">
      <c r="A40" s="20">
        <v>3625</v>
      </c>
      <c r="B40" s="19" t="s">
        <v>38</v>
      </c>
      <c r="C40" s="90">
        <v>2.5842716961047645E-3</v>
      </c>
      <c r="D40" s="90">
        <v>2.5717361648878246E-3</v>
      </c>
      <c r="E40" s="141"/>
      <c r="F40" s="91">
        <f>'Option 1'!C41/'Option 1'!$C$43</f>
        <v>2.3156395548747004E-3</v>
      </c>
      <c r="G40" s="106">
        <f t="shared" si="5"/>
        <v>-2.6863214123006409E-4</v>
      </c>
      <c r="H40" s="112">
        <f>G40*'Option 1'!$C$43/1000000</f>
        <v>-6.3128553189065073E-2</v>
      </c>
      <c r="I40" s="141"/>
      <c r="J40" s="91">
        <f t="shared" si="0"/>
        <v>2.3156395548747004E-3</v>
      </c>
      <c r="K40" s="106">
        <f t="shared" si="1"/>
        <v>-2.5609661001312414E-4</v>
      </c>
      <c r="L40" s="112">
        <f>K40*'Option 2'!$C$43/1000000</f>
        <v>-6.0182703353084184E-2</v>
      </c>
      <c r="M40" s="141"/>
      <c r="N40" s="91">
        <f>'Option 2'!C41/'Option 2'!$C$43</f>
        <v>2.6850467594586648E-3</v>
      </c>
      <c r="O40" s="106">
        <f t="shared" si="6"/>
        <v>1.1331059457084019E-4</v>
      </c>
      <c r="P40" s="112">
        <f>O40*'Option 2'!$C$43/1000000</f>
        <v>2.6627989724147452E-2</v>
      </c>
      <c r="Q40" s="141"/>
      <c r="R40" s="91">
        <f>'Option 6'!Q41/'Option 6'!$Q$43</f>
        <v>3.1465765758620307E-3</v>
      </c>
      <c r="S40" s="106">
        <f t="shared" si="2"/>
        <v>5.7484041097420613E-4</v>
      </c>
      <c r="T40" s="112">
        <f>S40*'Option 6'!$Q$43/1000000</f>
        <v>0.13508749657893845</v>
      </c>
      <c r="U40" s="141"/>
      <c r="V40" s="91">
        <f>'Option 7'!Q41/'Option 7'!$Q$43</f>
        <v>5.0524518958601277E-3</v>
      </c>
      <c r="W40" s="106">
        <f t="shared" si="3"/>
        <v>2.4807157309723032E-3</v>
      </c>
      <c r="X40" s="112">
        <f>W40*'Option 7'!$Q$43/1000000</f>
        <v>0.58296819677849121</v>
      </c>
      <c r="Y40" s="141"/>
      <c r="Z40" s="91">
        <f>'Option 8'!R41/'Option 8'!$R$43</f>
        <v>2.3602860281857038E-3</v>
      </c>
      <c r="AA40" s="106">
        <f t="shared" si="7"/>
        <v>-2.1145013670212072E-4</v>
      </c>
      <c r="AB40" s="112">
        <f>AA40*'Option 8'!$R$43/1000000</f>
        <v>-4.9690782124998369E-2</v>
      </c>
      <c r="AC40" s="141"/>
      <c r="AD40" s="91">
        <f>'Option 9'!R41/'Option 9'!$R$43</f>
        <v>2.1423591440879728E-3</v>
      </c>
      <c r="AE40" s="106">
        <f t="shared" si="8"/>
        <v>-4.2937702079985174E-4</v>
      </c>
      <c r="AF40" s="112">
        <f>AE40*'Option 9'!$R$43/1000000</f>
        <v>-0.10090359988796516</v>
      </c>
      <c r="AG40" s="141"/>
      <c r="AH40" s="91">
        <f>'Option 10'!Q41/'Option 10'!$Q$43</f>
        <v>2.1573215701344737E-3</v>
      </c>
      <c r="AI40" s="106">
        <f t="shared" si="4"/>
        <v>-4.1441459475335084E-4</v>
      </c>
      <c r="AJ40" s="112">
        <f>AI40*'Option 10'!$Q$43/1000000</f>
        <v>-9.7387429767037445E-2</v>
      </c>
    </row>
    <row r="41" spans="1:36" x14ac:dyDescent="0.2">
      <c r="A41" s="20">
        <v>20</v>
      </c>
      <c r="B41" s="19" t="s">
        <v>37</v>
      </c>
      <c r="C41" s="98">
        <v>1.1186187854569788E-3</v>
      </c>
      <c r="D41" s="98">
        <v>1.4792799135503695E-3</v>
      </c>
      <c r="E41" s="142"/>
      <c r="F41" s="91">
        <f>'Option 1'!C42/'Option 1'!$C$43</f>
        <v>1.5991513223075097E-3</v>
      </c>
      <c r="G41" s="106">
        <f t="shared" si="5"/>
        <v>4.8053253685053092E-4</v>
      </c>
      <c r="H41" s="112">
        <f>G41*'Option 1'!$C$43/1000000</f>
        <v>0.1129251461598748</v>
      </c>
      <c r="I41" s="142"/>
      <c r="J41" s="91">
        <f t="shared" si="0"/>
        <v>1.5991513223075097E-3</v>
      </c>
      <c r="K41" s="106">
        <f t="shared" si="1"/>
        <v>1.1987140875714024E-4</v>
      </c>
      <c r="L41" s="112">
        <f>K41*'Option 2'!$C$43/1000000</f>
        <v>2.8169781057927966E-2</v>
      </c>
      <c r="M41" s="142"/>
      <c r="N41" s="91">
        <f>'Option 2'!C42/'Option 2'!$C$43</f>
        <v>3.1876220937542689E-3</v>
      </c>
      <c r="O41" s="106">
        <f t="shared" si="6"/>
        <v>1.7083421802038994E-3</v>
      </c>
      <c r="P41" s="112">
        <f>O41*'Option 2'!$C$43/1000000</f>
        <v>0.40146041234791646</v>
      </c>
      <c r="Q41" s="142"/>
      <c r="R41" s="91">
        <f>'Option 6'!Q42/'Option 6'!$Q$43</f>
        <v>3.6795230873494637E-3</v>
      </c>
      <c r="S41" s="106">
        <f t="shared" si="2"/>
        <v>2.2002431737990942E-3</v>
      </c>
      <c r="T41" s="112">
        <f>S41*'Option 6'!$Q$43/1000000</f>
        <v>0.51705714584278706</v>
      </c>
      <c r="U41" s="142"/>
      <c r="V41" s="91">
        <f>'Option 7'!Q42/'Option 7'!$Q$43</f>
        <v>9.752913040770278E-3</v>
      </c>
      <c r="W41" s="106">
        <f t="shared" si="3"/>
        <v>8.2736331272199089E-3</v>
      </c>
      <c r="X41" s="112">
        <f>W41*'Option 7'!$Q$43/1000000</f>
        <v>1.9443037848966784</v>
      </c>
      <c r="Y41" s="142"/>
      <c r="Z41" s="91">
        <f>'Option 8'!R42/'Option 8'!$R$43</f>
        <v>1.7856398902535457E-3</v>
      </c>
      <c r="AA41" s="106">
        <f t="shared" si="7"/>
        <v>3.0635997670317621E-4</v>
      </c>
      <c r="AB41" s="112">
        <f>AA41*'Option 8'!$R$43/1000000</f>
        <v>7.1994594525246411E-2</v>
      </c>
      <c r="AC41" s="142"/>
      <c r="AD41" s="91">
        <f>'Option 9'!R42/'Option 9'!$R$43</f>
        <v>1.7646398669246327E-3</v>
      </c>
      <c r="AE41" s="106">
        <f t="shared" si="8"/>
        <v>2.8535995337426322E-4</v>
      </c>
      <c r="AF41" s="112">
        <f>AE41*'Option 9'!$R$43/1000000</f>
        <v>6.7059589042951867E-2</v>
      </c>
      <c r="AG41" s="142"/>
      <c r="AH41" s="91">
        <f>'Option 10'!Q42/'Option 10'!$Q$43</f>
        <v>1.798883059193142E-3</v>
      </c>
      <c r="AI41" s="106">
        <f t="shared" si="4"/>
        <v>3.1960314564277248E-4</v>
      </c>
      <c r="AJ41" s="112">
        <f>AI41*'Option 10'!$Q$43/1000000</f>
        <v>7.510673922605153E-2</v>
      </c>
    </row>
    <row r="42" spans="1:36" ht="13.5" thickBot="1" x14ac:dyDescent="0.25">
      <c r="A42" s="12"/>
      <c r="B42" s="11" t="s">
        <v>11</v>
      </c>
      <c r="C42" s="145">
        <f>SUM(C4:C41)</f>
        <v>1.0000000000000002</v>
      </c>
      <c r="D42" s="145">
        <f>SUM(D4:D41)</f>
        <v>1.0000000000000002</v>
      </c>
      <c r="E42" s="143"/>
      <c r="F42" s="109">
        <f>SUM(F4:F41)</f>
        <v>1.0000000000000004</v>
      </c>
      <c r="G42" s="107">
        <f>F42-$C42</f>
        <v>0</v>
      </c>
      <c r="H42" s="113">
        <f>SUM(H4:H41)</f>
        <v>7.1706529602977298E-14</v>
      </c>
      <c r="I42" s="143"/>
      <c r="J42" s="109">
        <f>SUM(J4:J41)</f>
        <v>1.0000000000000004</v>
      </c>
      <c r="K42" s="107">
        <f t="shared" si="1"/>
        <v>0</v>
      </c>
      <c r="L42" s="113">
        <f>SUM(L4:L41)</f>
        <v>1.1392276011434888E-13</v>
      </c>
      <c r="M42" s="143"/>
      <c r="N42" s="109">
        <f>'Option 2'!C43/'Option 2'!$C$43</f>
        <v>1</v>
      </c>
      <c r="O42" s="107">
        <f t="shared" si="6"/>
        <v>0</v>
      </c>
      <c r="P42" s="113">
        <f>SUM(P4:P41)</f>
        <v>-4.7961634663806763E-14</v>
      </c>
      <c r="Q42" s="143"/>
      <c r="R42" s="109">
        <f>SUM(R4:R41)</f>
        <v>1.0000000000000002</v>
      </c>
      <c r="S42" s="107">
        <f t="shared" si="2"/>
        <v>0</v>
      </c>
      <c r="T42" s="113">
        <f>SUM(T4:T41)</f>
        <v>8.5043083686286991E-14</v>
      </c>
      <c r="U42" s="143"/>
      <c r="V42" s="109">
        <f>SUM(V4:V41)</f>
        <v>1</v>
      </c>
      <c r="W42" s="107">
        <f t="shared" si="3"/>
        <v>0</v>
      </c>
      <c r="X42" s="113">
        <f>SUM(X4:X41)</f>
        <v>4.8183679268731794E-14</v>
      </c>
      <c r="Y42" s="143"/>
      <c r="Z42" s="109">
        <f>SUM(Z4:Z41)</f>
        <v>1</v>
      </c>
      <c r="AA42" s="107">
        <f t="shared" si="7"/>
        <v>0</v>
      </c>
      <c r="AB42" s="113">
        <f>SUM(AB4:AB41)</f>
        <v>6.9402816826880098E-14</v>
      </c>
      <c r="AC42" s="143"/>
      <c r="AD42" s="109">
        <f>SUM(AD4:AD41)</f>
        <v>0.99999999999999967</v>
      </c>
      <c r="AE42" s="107">
        <f t="shared" si="8"/>
        <v>0</v>
      </c>
      <c r="AF42" s="113">
        <f>SUM(AF4:AF41)</f>
        <v>-5.2818860396541822E-14</v>
      </c>
      <c r="AG42" s="143"/>
      <c r="AH42" s="109">
        <f>SUM(AH4:AH41)</f>
        <v>0.99999999999999989</v>
      </c>
      <c r="AI42" s="107">
        <f t="shared" si="4"/>
        <v>0</v>
      </c>
      <c r="AJ42" s="113">
        <f>SUM(AJ4:AJ41)</f>
        <v>2.0095036745715333E-14</v>
      </c>
    </row>
    <row r="43" spans="1:36" x14ac:dyDescent="0.2">
      <c r="P43"/>
      <c r="Q43" s="144"/>
      <c r="X43" s="144"/>
      <c r="AJ43" s="144"/>
    </row>
    <row r="44" spans="1:36" x14ac:dyDescent="0.2">
      <c r="B44" s="150" t="s">
        <v>93</v>
      </c>
      <c r="H44" s="146">
        <f>SUMIF(H4:H41,"&lt;0")</f>
        <v>-22.199439811652745</v>
      </c>
      <c r="L44" s="146">
        <f>SUMIF(L4:L41,"&lt;0")</f>
        <v>-8.1746703267688829</v>
      </c>
      <c r="P44" s="146">
        <f>SUMIF(P4:P41,"&lt;0")</f>
        <v>-16.848983883601452</v>
      </c>
      <c r="Q44" s="144"/>
      <c r="T44" s="146">
        <f>SUMIF(T4:T41,"&lt;0")</f>
        <v>-11.06981106296551</v>
      </c>
      <c r="X44" s="146">
        <f>SUMIF(X4:X41,"&lt;0")</f>
        <v>-21.004628887966192</v>
      </c>
      <c r="AB44" s="146">
        <f>SUMIF(AB4:AB41,"&lt;0")</f>
        <v>-7.4640129603515444</v>
      </c>
      <c r="AF44" s="146">
        <f>SUMIF(AF4:AF41,"&lt;0")</f>
        <v>-10.435243909725216</v>
      </c>
      <c r="AJ44" s="146">
        <f>SUMIF(AJ4:AJ41,"&lt;0")</f>
        <v>-10.453903090990604</v>
      </c>
    </row>
  </sheetData>
  <mergeCells count="8">
    <mergeCell ref="AH2:AJ2"/>
    <mergeCell ref="F2:H2"/>
    <mergeCell ref="AD2:AF2"/>
    <mergeCell ref="V2:X2"/>
    <mergeCell ref="Z2:AB2"/>
    <mergeCell ref="J2:L2"/>
    <mergeCell ref="R2:T2"/>
    <mergeCell ref="N2:P2"/>
  </mergeCells>
  <conditionalFormatting sqref="K4:K39">
    <cfRule type="top10" dxfId="52" priority="29" bottom="1" rank="5"/>
    <cfRule type="top10" dxfId="51" priority="30" rank="5"/>
  </conditionalFormatting>
  <conditionalFormatting sqref="G4:G39">
    <cfRule type="top10" dxfId="50" priority="25" bottom="1" rank="5"/>
    <cfRule type="top10" dxfId="49" priority="26" rank="5"/>
  </conditionalFormatting>
  <conditionalFormatting sqref="S4:S39">
    <cfRule type="top10" dxfId="48" priority="23" bottom="1" rank="5"/>
    <cfRule type="top10" dxfId="47" priority="24" rank="5"/>
  </conditionalFormatting>
  <conditionalFormatting sqref="W4:W39">
    <cfRule type="top10" dxfId="46" priority="21" bottom="1" rank="5"/>
    <cfRule type="top10" dxfId="45" priority="22" rank="5"/>
  </conditionalFormatting>
  <conditionalFormatting sqref="AA4:AA39">
    <cfRule type="top10" dxfId="44" priority="19" bottom="1" rank="5"/>
    <cfRule type="top10" dxfId="43" priority="20" rank="5"/>
  </conditionalFormatting>
  <conditionalFormatting sqref="O4:O39">
    <cfRule type="top10" dxfId="42" priority="7" bottom="1" rank="5"/>
    <cfRule type="top10" dxfId="41" priority="8" rank="5"/>
  </conditionalFormatting>
  <conditionalFormatting sqref="AE4:AE39">
    <cfRule type="top10" dxfId="40" priority="3" bottom="1" rank="5"/>
    <cfRule type="top10" dxfId="39" priority="4" rank="5"/>
  </conditionalFormatting>
  <conditionalFormatting sqref="AI4:AI39">
    <cfRule type="top10" dxfId="38" priority="1" bottom="1" rank="5"/>
    <cfRule type="top10" dxfId="37" priority="2" rank="5"/>
  </conditionalFormatting>
  <pageMargins left="0.25" right="0.25" top="0.75" bottom="0.75" header="0.3" footer="0.3"/>
  <pageSetup scale="43" fitToHeight="0" orientation="landscape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Below="0" summaryRight="0"/>
    <pageSetUpPr fitToPage="1"/>
  </sheetPr>
  <dimension ref="A1:O268"/>
  <sheetViews>
    <sheetView showGridLines="0" zoomScale="70" zoomScaleNormal="70" workbookViewId="0">
      <pane xSplit="2" ySplit="4" topLeftCell="C230" activePane="bottomRight" state="frozen"/>
      <selection activeCell="W30" sqref="W30"/>
      <selection pane="topRight" activeCell="W30" sqref="W30"/>
      <selection pane="bottomLeft" activeCell="W30" sqref="W30"/>
      <selection pane="bottomRight" activeCell="W30" sqref="W30"/>
    </sheetView>
  </sheetViews>
  <sheetFormatPr defaultRowHeight="12.75" outlineLevelRow="1" x14ac:dyDescent="0.2"/>
  <cols>
    <col min="1" max="1" width="7.28515625" style="1" customWidth="1"/>
    <col min="2" max="2" width="10.85546875" style="1" bestFit="1" customWidth="1"/>
    <col min="3" max="3" width="13.7109375" style="1" bestFit="1" customWidth="1"/>
    <col min="4" max="4" width="13.140625" style="1" customWidth="1"/>
    <col min="5" max="5" width="12.5703125" style="1" customWidth="1"/>
    <col min="6" max="6" width="13" style="1" customWidth="1"/>
    <col min="7" max="7" width="12.42578125" style="1" customWidth="1"/>
    <col min="8" max="8" width="12.85546875" style="1" customWidth="1"/>
    <col min="9" max="9" width="12.28515625" style="1" customWidth="1"/>
    <col min="10" max="10" width="12.42578125" style="1" customWidth="1"/>
    <col min="11" max="13" width="12.5703125" style="1" bestFit="1" customWidth="1"/>
    <col min="14" max="14" width="10.85546875" style="1" customWidth="1"/>
    <col min="15" max="16384" width="9.140625" style="1"/>
  </cols>
  <sheetData>
    <row r="1" spans="1:13" ht="41.25" customHeight="1" x14ac:dyDescent="0.2">
      <c r="A1" s="284" t="s">
        <v>94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</row>
    <row r="2" spans="1:13" ht="13.5" thickBot="1" x14ac:dyDescent="0.25">
      <c r="A2" s="86"/>
      <c r="B2" s="85"/>
      <c r="C2" s="85"/>
      <c r="D2" s="85"/>
      <c r="E2" s="85"/>
      <c r="F2" s="85"/>
      <c r="G2" s="85"/>
      <c r="H2" s="85"/>
    </row>
    <row r="3" spans="1:13" ht="12.75" customHeight="1" x14ac:dyDescent="0.2">
      <c r="A3" s="285" t="s">
        <v>24</v>
      </c>
      <c r="B3" s="287" t="s">
        <v>23</v>
      </c>
      <c r="C3" s="289" t="s">
        <v>74</v>
      </c>
      <c r="D3" s="280" t="s">
        <v>35</v>
      </c>
      <c r="E3" s="280"/>
      <c r="F3" s="280"/>
      <c r="G3" s="280"/>
      <c r="H3" s="282" t="s">
        <v>18</v>
      </c>
      <c r="I3" s="291" t="s">
        <v>17</v>
      </c>
      <c r="J3" s="293" t="s">
        <v>16</v>
      </c>
      <c r="K3" s="295" t="s">
        <v>34</v>
      </c>
      <c r="L3" s="296"/>
      <c r="M3" s="296"/>
    </row>
    <row r="4" spans="1:13" ht="54" customHeight="1" thickBot="1" x14ac:dyDescent="0.25">
      <c r="A4" s="286"/>
      <c r="B4" s="288"/>
      <c r="C4" s="290"/>
      <c r="D4" s="84"/>
      <c r="E4" s="67" t="s">
        <v>33</v>
      </c>
      <c r="F4" s="67" t="s">
        <v>32</v>
      </c>
      <c r="G4" s="42" t="s">
        <v>31</v>
      </c>
      <c r="H4" s="283"/>
      <c r="I4" s="292"/>
      <c r="J4" s="294"/>
      <c r="K4" s="44" t="s">
        <v>14</v>
      </c>
      <c r="L4" s="43" t="s">
        <v>13</v>
      </c>
      <c r="M4" s="42" t="s">
        <v>12</v>
      </c>
    </row>
    <row r="5" spans="1:13" x14ac:dyDescent="0.2">
      <c r="A5" s="40">
        <v>3656</v>
      </c>
      <c r="B5" s="39" t="s">
        <v>73</v>
      </c>
      <c r="C5" s="83">
        <f t="shared" ref="C5:M5" si="0">C49/$C$87*$C$43</f>
        <v>13496783.238389459</v>
      </c>
      <c r="D5" s="81">
        <f t="shared" si="0"/>
        <v>1841931.0029057097</v>
      </c>
      <c r="E5" s="80">
        <f t="shared" si="0"/>
        <v>954734.23650612624</v>
      </c>
      <c r="F5" s="80">
        <f t="shared" si="0"/>
        <v>10866.507658986402</v>
      </c>
      <c r="G5" s="79">
        <f t="shared" si="0"/>
        <v>3824283.8561365828</v>
      </c>
      <c r="H5" s="81">
        <f t="shared" si="0"/>
        <v>1124197.0276801952</v>
      </c>
      <c r="I5" s="79">
        <f t="shared" si="0"/>
        <v>25694.533719290488</v>
      </c>
      <c r="J5" s="82">
        <f t="shared" si="0"/>
        <v>1143773.8152758454</v>
      </c>
      <c r="K5" s="81">
        <f t="shared" si="0"/>
        <v>2509377.1049948982</v>
      </c>
      <c r="L5" s="80">
        <f t="shared" si="0"/>
        <v>1407203.963359809</v>
      </c>
      <c r="M5" s="79">
        <f t="shared" si="0"/>
        <v>654721.19015201624</v>
      </c>
    </row>
    <row r="6" spans="1:13" x14ac:dyDescent="0.2">
      <c r="A6" s="20">
        <v>3658</v>
      </c>
      <c r="B6" s="19" t="s">
        <v>72</v>
      </c>
      <c r="C6" s="58">
        <f t="shared" ref="C6:M6" si="1">C50/$C$87*$C$43</f>
        <v>25249293.219997793</v>
      </c>
      <c r="D6" s="15">
        <f t="shared" si="1"/>
        <v>3283883.7642477974</v>
      </c>
      <c r="E6" s="14">
        <f t="shared" si="1"/>
        <v>2722339.6405614247</v>
      </c>
      <c r="F6" s="14">
        <f t="shared" si="1"/>
        <v>9726.3691735420543</v>
      </c>
      <c r="G6" s="13">
        <f t="shared" si="1"/>
        <v>7120450.8310516002</v>
      </c>
      <c r="H6" s="15">
        <f t="shared" si="1"/>
        <v>1377471.7171989158</v>
      </c>
      <c r="I6" s="13">
        <f t="shared" si="1"/>
        <v>48452.549299233498</v>
      </c>
      <c r="J6" s="16">
        <f t="shared" si="1"/>
        <v>1273837.0978644444</v>
      </c>
      <c r="K6" s="15">
        <f t="shared" si="1"/>
        <v>3523209.9926046175</v>
      </c>
      <c r="L6" s="14">
        <f t="shared" si="1"/>
        <v>3305662.9404479577</v>
      </c>
      <c r="M6" s="13">
        <f t="shared" si="1"/>
        <v>2584258.3175482592</v>
      </c>
    </row>
    <row r="7" spans="1:13" x14ac:dyDescent="0.2">
      <c r="A7" s="20">
        <v>9741</v>
      </c>
      <c r="B7" s="19" t="s">
        <v>71</v>
      </c>
      <c r="C7" s="58">
        <f t="shared" ref="C7:M7" si="2">C51/$C$87*$C$43</f>
        <v>6570818.6052914336</v>
      </c>
      <c r="D7" s="15">
        <f t="shared" si="2"/>
        <v>878385.98843231634</v>
      </c>
      <c r="E7" s="14">
        <f t="shared" si="2"/>
        <v>617505.3498679183</v>
      </c>
      <c r="F7" s="14">
        <f t="shared" si="2"/>
        <v>9848.259803932151</v>
      </c>
      <c r="G7" s="13">
        <f t="shared" si="2"/>
        <v>1872472.0151041872</v>
      </c>
      <c r="H7" s="15">
        <f t="shared" si="2"/>
        <v>309557.95385621401</v>
      </c>
      <c r="I7" s="13">
        <f t="shared" si="2"/>
        <v>23492.145114779876</v>
      </c>
      <c r="J7" s="16">
        <f t="shared" si="2"/>
        <v>484403.13806986209</v>
      </c>
      <c r="K7" s="15">
        <f t="shared" si="2"/>
        <v>1216819.7039921139</v>
      </c>
      <c r="L7" s="14">
        <f t="shared" si="2"/>
        <v>783438.56859341438</v>
      </c>
      <c r="M7" s="13">
        <f t="shared" si="2"/>
        <v>374895.48245669552</v>
      </c>
    </row>
    <row r="8" spans="1:13" x14ac:dyDescent="0.2">
      <c r="A8" s="20">
        <v>3661</v>
      </c>
      <c r="B8" s="19" t="s">
        <v>70</v>
      </c>
      <c r="C8" s="58">
        <f t="shared" ref="C8:M8" si="3">C52/$C$87*$C$43</f>
        <v>8883399.6127551813</v>
      </c>
      <c r="D8" s="15">
        <f t="shared" si="3"/>
        <v>1122116.9939981576</v>
      </c>
      <c r="E8" s="14">
        <f t="shared" si="3"/>
        <v>437625.62765928137</v>
      </c>
      <c r="F8" s="14">
        <f t="shared" si="3"/>
        <v>8395.0995835169761</v>
      </c>
      <c r="G8" s="13">
        <f t="shared" si="3"/>
        <v>2311802.0468335296</v>
      </c>
      <c r="H8" s="15">
        <f t="shared" si="3"/>
        <v>480854.84531815059</v>
      </c>
      <c r="I8" s="13">
        <f t="shared" si="3"/>
        <v>66071.658135318401</v>
      </c>
      <c r="J8" s="16">
        <f t="shared" si="3"/>
        <v>904569.94184149813</v>
      </c>
      <c r="K8" s="15">
        <f t="shared" si="3"/>
        <v>1601381.2253241618</v>
      </c>
      <c r="L8" s="14">
        <f t="shared" si="3"/>
        <v>1232603.4889911066</v>
      </c>
      <c r="M8" s="13">
        <f t="shared" si="3"/>
        <v>717978.68507045996</v>
      </c>
    </row>
    <row r="9" spans="1:13" x14ac:dyDescent="0.2">
      <c r="A9" s="20">
        <v>3599</v>
      </c>
      <c r="B9" s="19" t="s">
        <v>69</v>
      </c>
      <c r="C9" s="58">
        <f t="shared" ref="C9:M9" si="4">C53/$C$87*$C$43</f>
        <v>7852361.7617692836</v>
      </c>
      <c r="D9" s="15">
        <f t="shared" si="4"/>
        <v>947027.09993956378</v>
      </c>
      <c r="E9" s="14">
        <f t="shared" si="4"/>
        <v>408168.68007395195</v>
      </c>
      <c r="F9" s="14">
        <f t="shared" si="4"/>
        <v>7522.071259022674</v>
      </c>
      <c r="G9" s="13">
        <f t="shared" si="4"/>
        <v>1884571.6933875261</v>
      </c>
      <c r="H9" s="15">
        <f t="shared" si="4"/>
        <v>381992.06796011864</v>
      </c>
      <c r="I9" s="13">
        <f t="shared" si="4"/>
        <v>20555.626975432391</v>
      </c>
      <c r="J9" s="16">
        <f t="shared" si="4"/>
        <v>858319.78114677523</v>
      </c>
      <c r="K9" s="15">
        <f t="shared" si="4"/>
        <v>1495911.2821525978</v>
      </c>
      <c r="L9" s="14">
        <f t="shared" si="4"/>
        <v>1136432.5199274765</v>
      </c>
      <c r="M9" s="13">
        <f t="shared" si="4"/>
        <v>711860.9389468194</v>
      </c>
    </row>
    <row r="10" spans="1:13" x14ac:dyDescent="0.2">
      <c r="A10" s="20">
        <v>30646</v>
      </c>
      <c r="B10" s="19" t="s">
        <v>68</v>
      </c>
      <c r="C10" s="58">
        <f t="shared" ref="C10:M10" si="5">C54/$C$87*$C$43</f>
        <v>2590654.6025294806</v>
      </c>
      <c r="D10" s="15">
        <f t="shared" si="5"/>
        <v>400834.72602093167</v>
      </c>
      <c r="E10" s="14">
        <f t="shared" si="5"/>
        <v>230579.41430539533</v>
      </c>
      <c r="F10" s="14">
        <f t="shared" si="5"/>
        <v>12649.505712642043</v>
      </c>
      <c r="G10" s="13">
        <f t="shared" si="5"/>
        <v>770026.02199195279</v>
      </c>
      <c r="H10" s="15">
        <f t="shared" si="5"/>
        <v>91276.772164717637</v>
      </c>
      <c r="I10" s="13">
        <f t="shared" si="5"/>
        <v>13459.041472009303</v>
      </c>
      <c r="J10" s="16">
        <f t="shared" si="5"/>
        <v>343817.3321486013</v>
      </c>
      <c r="K10" s="15">
        <f t="shared" si="5"/>
        <v>486850.23651931837</v>
      </c>
      <c r="L10" s="14">
        <f t="shared" si="5"/>
        <v>204210.36560712298</v>
      </c>
      <c r="M10" s="13">
        <f t="shared" si="5"/>
        <v>36951.186586789183</v>
      </c>
    </row>
    <row r="11" spans="1:13" x14ac:dyDescent="0.2">
      <c r="A11" s="20">
        <v>9930</v>
      </c>
      <c r="B11" s="19" t="s">
        <v>67</v>
      </c>
      <c r="C11" s="58">
        <f t="shared" ref="C11:M11" si="6">C55/$C$87*$C$43</f>
        <v>1383139.8730878527</v>
      </c>
      <c r="D11" s="15">
        <f t="shared" si="6"/>
        <v>195767.87595649899</v>
      </c>
      <c r="E11" s="14">
        <f t="shared" si="6"/>
        <v>86920.936924685535</v>
      </c>
      <c r="F11" s="14">
        <f t="shared" si="6"/>
        <v>8488.4368519338004</v>
      </c>
      <c r="G11" s="13">
        <f t="shared" si="6"/>
        <v>367621.48231568822</v>
      </c>
      <c r="H11" s="15">
        <f t="shared" si="6"/>
        <v>30344.020773257344</v>
      </c>
      <c r="I11" s="13">
        <f t="shared" si="6"/>
        <v>7341.2953483687106</v>
      </c>
      <c r="J11" s="16">
        <f t="shared" si="6"/>
        <v>146458.84219995578</v>
      </c>
      <c r="K11" s="15">
        <f t="shared" si="6"/>
        <v>288390.55226841749</v>
      </c>
      <c r="L11" s="14">
        <f t="shared" si="6"/>
        <v>180473.51064739752</v>
      </c>
      <c r="M11" s="13">
        <f t="shared" si="6"/>
        <v>71332.919801649317</v>
      </c>
    </row>
    <row r="12" spans="1:13" x14ac:dyDescent="0.2">
      <c r="A12" s="20">
        <v>10115</v>
      </c>
      <c r="B12" s="19" t="s">
        <v>66</v>
      </c>
      <c r="C12" s="58">
        <f t="shared" ref="C12:M12" si="7">C56/$C$87*$C$43</f>
        <v>11812969.063359993</v>
      </c>
      <c r="D12" s="15">
        <f t="shared" si="7"/>
        <v>1512184.4868414819</v>
      </c>
      <c r="E12" s="14">
        <f t="shared" si="7"/>
        <v>637637.7919514915</v>
      </c>
      <c r="F12" s="14">
        <f t="shared" si="7"/>
        <v>7429.7704747274156</v>
      </c>
      <c r="G12" s="13">
        <f t="shared" si="7"/>
        <v>3088561.2602090593</v>
      </c>
      <c r="H12" s="15">
        <f t="shared" si="7"/>
        <v>287778.77765605348</v>
      </c>
      <c r="I12" s="13">
        <f t="shared" si="7"/>
        <v>36461.766896897934</v>
      </c>
      <c r="J12" s="16">
        <f t="shared" si="7"/>
        <v>1146587.9784927198</v>
      </c>
      <c r="K12" s="15">
        <f t="shared" si="7"/>
        <v>2499588.7111970736</v>
      </c>
      <c r="L12" s="14">
        <f t="shared" si="7"/>
        <v>1636619.4429963315</v>
      </c>
      <c r="M12" s="13">
        <f t="shared" si="7"/>
        <v>960119.07664415461</v>
      </c>
    </row>
    <row r="13" spans="1:13" x14ac:dyDescent="0.2">
      <c r="A13" s="20">
        <v>11163</v>
      </c>
      <c r="B13" s="19" t="s">
        <v>65</v>
      </c>
      <c r="C13" s="58">
        <f t="shared" ref="C13:M13" si="8">C57/$C$87*$C$43</f>
        <v>3168830.6435913104</v>
      </c>
      <c r="D13" s="15">
        <f t="shared" si="8"/>
        <v>436807.07322793832</v>
      </c>
      <c r="E13" s="14">
        <f t="shared" si="8"/>
        <v>225246.84742787358</v>
      </c>
      <c r="F13" s="14">
        <f t="shared" si="8"/>
        <v>10738.751588582461</v>
      </c>
      <c r="G13" s="13">
        <f t="shared" si="8"/>
        <v>867249.24338884477</v>
      </c>
      <c r="H13" s="15">
        <f t="shared" si="8"/>
        <v>276522.12478855479</v>
      </c>
      <c r="I13" s="13">
        <f t="shared" si="8"/>
        <v>10277.813487716196</v>
      </c>
      <c r="J13" s="16">
        <f t="shared" si="8"/>
        <v>345897.36583063909</v>
      </c>
      <c r="K13" s="15">
        <f t="shared" si="8"/>
        <v>527227.36093534622</v>
      </c>
      <c r="L13" s="14">
        <f t="shared" si="8"/>
        <v>326687.64300240768</v>
      </c>
      <c r="M13" s="13">
        <f t="shared" si="8"/>
        <v>142176.41991340736</v>
      </c>
    </row>
    <row r="14" spans="1:13" x14ac:dyDescent="0.2">
      <c r="A14" s="20">
        <v>3632</v>
      </c>
      <c r="B14" s="19" t="s">
        <v>64</v>
      </c>
      <c r="C14" s="58">
        <f t="shared" ref="C14:M14" si="9">C58/$C$87*$C$43</f>
        <v>25542032.378393389</v>
      </c>
      <c r="D14" s="15">
        <f t="shared" si="9"/>
        <v>3208023.7123146537</v>
      </c>
      <c r="E14" s="14">
        <f t="shared" si="9"/>
        <v>2696878.6008191849</v>
      </c>
      <c r="F14" s="14">
        <f t="shared" si="9"/>
        <v>9265.4072233289007</v>
      </c>
      <c r="G14" s="13">
        <f t="shared" si="9"/>
        <v>7379769.8537403354</v>
      </c>
      <c r="H14" s="15">
        <f t="shared" si="9"/>
        <v>1294270.3699174037</v>
      </c>
      <c r="I14" s="13">
        <f t="shared" si="9"/>
        <v>92500.321389445773</v>
      </c>
      <c r="J14" s="16">
        <f t="shared" si="9"/>
        <v>1366949.1938662541</v>
      </c>
      <c r="K14" s="15">
        <f t="shared" si="9"/>
        <v>3692916.2700744071</v>
      </c>
      <c r="L14" s="14">
        <f t="shared" si="9"/>
        <v>3269568.2383184787</v>
      </c>
      <c r="M14" s="13">
        <f t="shared" si="9"/>
        <v>2531890.4107298958</v>
      </c>
    </row>
    <row r="15" spans="1:13" x14ac:dyDescent="0.2">
      <c r="A15" s="20">
        <v>10298</v>
      </c>
      <c r="B15" s="19" t="s">
        <v>63</v>
      </c>
      <c r="C15" s="58">
        <f t="shared" ref="C15:M15" si="10">C59/$C$87*$C$43</f>
        <v>1408143.9985055819</v>
      </c>
      <c r="D15" s="15">
        <f t="shared" si="10"/>
        <v>151597.7489438139</v>
      </c>
      <c r="E15" s="14">
        <f t="shared" si="10"/>
        <v>95102.321170752562</v>
      </c>
      <c r="F15" s="14">
        <f t="shared" si="10"/>
        <v>9029.4084901413917</v>
      </c>
      <c r="G15" s="13">
        <f t="shared" si="10"/>
        <v>387635.07698456349</v>
      </c>
      <c r="H15" s="15">
        <f t="shared" si="10"/>
        <v>41111.253950864782</v>
      </c>
      <c r="I15" s="13">
        <f t="shared" si="10"/>
        <v>0</v>
      </c>
      <c r="J15" s="16">
        <f t="shared" si="10"/>
        <v>86994.349878169232</v>
      </c>
      <c r="K15" s="15">
        <f t="shared" si="10"/>
        <v>326137.04585127998</v>
      </c>
      <c r="L15" s="14">
        <f t="shared" si="10"/>
        <v>175089.89405859378</v>
      </c>
      <c r="M15" s="13">
        <f t="shared" si="10"/>
        <v>135446.89917740272</v>
      </c>
    </row>
    <row r="16" spans="1:13" x14ac:dyDescent="0.2">
      <c r="A16" s="20">
        <v>3630</v>
      </c>
      <c r="B16" s="19" t="s">
        <v>62</v>
      </c>
      <c r="C16" s="58">
        <f t="shared" ref="C16:M16" si="11">C60/$C$87*$C$43</f>
        <v>3149682.7723009652</v>
      </c>
      <c r="D16" s="15">
        <f t="shared" si="11"/>
        <v>343694.97722612851</v>
      </c>
      <c r="E16" s="14">
        <f t="shared" si="11"/>
        <v>127739.96653571108</v>
      </c>
      <c r="F16" s="14">
        <f t="shared" si="11"/>
        <v>5808.3183647074802</v>
      </c>
      <c r="G16" s="13">
        <f t="shared" si="11"/>
        <v>760888.55638167844</v>
      </c>
      <c r="H16" s="15">
        <f t="shared" si="11"/>
        <v>231740.22316350567</v>
      </c>
      <c r="I16" s="13">
        <f t="shared" si="11"/>
        <v>7096.5855034230872</v>
      </c>
      <c r="J16" s="16">
        <f t="shared" si="11"/>
        <v>294630.65331453091</v>
      </c>
      <c r="K16" s="15">
        <f t="shared" si="11"/>
        <v>612264.03205395048</v>
      </c>
      <c r="L16" s="14">
        <f t="shared" si="11"/>
        <v>433503.4903211724</v>
      </c>
      <c r="M16" s="13">
        <f t="shared" si="11"/>
        <v>332315.96943615697</v>
      </c>
    </row>
    <row r="17" spans="1:13" x14ac:dyDescent="0.2">
      <c r="A17" s="20">
        <v>3631</v>
      </c>
      <c r="B17" s="19" t="s">
        <v>61</v>
      </c>
      <c r="C17" s="58">
        <f t="shared" ref="C17:M17" si="12">C61/$C$87*$C$43</f>
        <v>4211372.9002071284</v>
      </c>
      <c r="D17" s="15">
        <f t="shared" si="12"/>
        <v>567237.42058395571</v>
      </c>
      <c r="E17" s="14">
        <f t="shared" si="12"/>
        <v>271139.48703913088</v>
      </c>
      <c r="F17" s="14">
        <f t="shared" si="12"/>
        <v>9015.0254378582122</v>
      </c>
      <c r="G17" s="13">
        <f t="shared" si="12"/>
        <v>1146175.6424039963</v>
      </c>
      <c r="H17" s="15">
        <f t="shared" si="12"/>
        <v>149028.29557188484</v>
      </c>
      <c r="I17" s="13">
        <f t="shared" si="12"/>
        <v>34993.507827224188</v>
      </c>
      <c r="J17" s="16">
        <f t="shared" si="12"/>
        <v>438642.39706503047</v>
      </c>
      <c r="K17" s="15">
        <f t="shared" si="12"/>
        <v>790779.86394178309</v>
      </c>
      <c r="L17" s="14">
        <f t="shared" si="12"/>
        <v>487706.72097662813</v>
      </c>
      <c r="M17" s="13">
        <f t="shared" si="12"/>
        <v>316654.53935963707</v>
      </c>
    </row>
    <row r="18" spans="1:13" x14ac:dyDescent="0.2">
      <c r="A18" s="78">
        <v>103631</v>
      </c>
      <c r="B18" s="19" t="s">
        <v>60</v>
      </c>
      <c r="C18" s="58">
        <f t="shared" ref="C18:M18" si="13">C62/$C$87*$C$43</f>
        <v>980764.21218766726</v>
      </c>
      <c r="D18" s="15">
        <f t="shared" si="13"/>
        <v>168972.14793495316</v>
      </c>
      <c r="E18" s="14">
        <f t="shared" si="13"/>
        <v>80768.686712907613</v>
      </c>
      <c r="F18" s="14">
        <f t="shared" si="13"/>
        <v>24809.118265107812</v>
      </c>
      <c r="G18" s="13">
        <f t="shared" si="13"/>
        <v>313332.60321449995</v>
      </c>
      <c r="H18" s="15">
        <f t="shared" si="13"/>
        <v>29854.601083366091</v>
      </c>
      <c r="I18" s="13">
        <f t="shared" si="13"/>
        <v>0</v>
      </c>
      <c r="J18" s="16">
        <f t="shared" si="13"/>
        <v>120030.17894582842</v>
      </c>
      <c r="K18" s="15">
        <f t="shared" si="13"/>
        <v>181697.0598721256</v>
      </c>
      <c r="L18" s="14">
        <f t="shared" si="13"/>
        <v>48819.614066651928</v>
      </c>
      <c r="M18" s="13">
        <f t="shared" si="13"/>
        <v>12480.202092226809</v>
      </c>
    </row>
    <row r="19" spans="1:13" x14ac:dyDescent="0.2">
      <c r="A19" s="20">
        <v>11161</v>
      </c>
      <c r="B19" s="19" t="s">
        <v>59</v>
      </c>
      <c r="C19" s="58">
        <f t="shared" ref="C19:M19" si="14">C63/$C$87*$C$43</f>
        <v>4031661.9346710211</v>
      </c>
      <c r="D19" s="15">
        <f t="shared" si="14"/>
        <v>509608.25209926133</v>
      </c>
      <c r="E19" s="14">
        <f t="shared" si="14"/>
        <v>258880.99206642478</v>
      </c>
      <c r="F19" s="14">
        <f t="shared" si="14"/>
        <v>7846.5651626862245</v>
      </c>
      <c r="G19" s="13">
        <f t="shared" si="14"/>
        <v>1029323.0207947821</v>
      </c>
      <c r="H19" s="15">
        <f t="shared" si="14"/>
        <v>195523.16611155332</v>
      </c>
      <c r="I19" s="13">
        <f t="shared" si="14"/>
        <v>18842.658060813024</v>
      </c>
      <c r="J19" s="16">
        <f t="shared" si="14"/>
        <v>396429.94881191041</v>
      </c>
      <c r="K19" s="15">
        <f t="shared" si="14"/>
        <v>753951.03227746661</v>
      </c>
      <c r="L19" s="14">
        <f t="shared" si="14"/>
        <v>538851.07857026334</v>
      </c>
      <c r="M19" s="13">
        <f t="shared" si="14"/>
        <v>322405.22071585921</v>
      </c>
    </row>
    <row r="20" spans="1:13" x14ac:dyDescent="0.2">
      <c r="A20" s="20">
        <v>3639</v>
      </c>
      <c r="B20" s="19" t="s">
        <v>58</v>
      </c>
      <c r="C20" s="58">
        <f t="shared" ref="C20:M20" si="15">C64/$C$87*$C$43</f>
        <v>2458150.7897084774</v>
      </c>
      <c r="D20" s="15">
        <f t="shared" si="15"/>
        <v>279580.99785037508</v>
      </c>
      <c r="E20" s="14">
        <f t="shared" si="15"/>
        <v>112484.75480180093</v>
      </c>
      <c r="F20" s="14">
        <f t="shared" si="15"/>
        <v>6562.9342218397906</v>
      </c>
      <c r="G20" s="13">
        <f t="shared" si="15"/>
        <v>647301.5876532672</v>
      </c>
      <c r="H20" s="15">
        <f t="shared" si="15"/>
        <v>190873.6790575865</v>
      </c>
      <c r="I20" s="13">
        <f t="shared" si="15"/>
        <v>12235.492247281187</v>
      </c>
      <c r="J20" s="16">
        <f t="shared" si="15"/>
        <v>237980.32420961908</v>
      </c>
      <c r="K20" s="15">
        <f t="shared" si="15"/>
        <v>450510.82454489323</v>
      </c>
      <c r="L20" s="14">
        <f t="shared" si="15"/>
        <v>315553.34505738172</v>
      </c>
      <c r="M20" s="13">
        <f t="shared" si="15"/>
        <v>205066.85006443266</v>
      </c>
    </row>
    <row r="21" spans="1:13" x14ac:dyDescent="0.2">
      <c r="A21" s="78">
        <v>103639</v>
      </c>
      <c r="B21" s="19" t="s">
        <v>57</v>
      </c>
      <c r="C21" s="58">
        <f t="shared" ref="C21:M21" si="16">C65/$C$87*$C$43</f>
        <v>1176705.5416092607</v>
      </c>
      <c r="D21" s="15">
        <f t="shared" si="16"/>
        <v>215711.72831956728</v>
      </c>
      <c r="E21" s="14">
        <f t="shared" si="16"/>
        <v>86788.01869390592</v>
      </c>
      <c r="F21" s="14">
        <f t="shared" si="16"/>
        <v>15269.344639747893</v>
      </c>
      <c r="G21" s="13">
        <f t="shared" si="16"/>
        <v>376613.34556821547</v>
      </c>
      <c r="H21" s="15">
        <f t="shared" si="16"/>
        <v>3670.6476741843553</v>
      </c>
      <c r="I21" s="13">
        <f t="shared" si="16"/>
        <v>1468.2590696737423</v>
      </c>
      <c r="J21" s="16">
        <f t="shared" si="16"/>
        <v>179984.09095750621</v>
      </c>
      <c r="K21" s="15">
        <f t="shared" si="16"/>
        <v>267834.92529298516</v>
      </c>
      <c r="L21" s="14">
        <f t="shared" si="16"/>
        <v>28386.342013692349</v>
      </c>
      <c r="M21" s="13">
        <f t="shared" si="16"/>
        <v>978.8393797824948</v>
      </c>
    </row>
    <row r="22" spans="1:13" x14ac:dyDescent="0.2">
      <c r="A22" s="20">
        <v>9651</v>
      </c>
      <c r="B22" s="19" t="s">
        <v>56</v>
      </c>
      <c r="C22" s="58">
        <f t="shared" ref="C22:M22" si="17">C66/$C$87*$C$43</f>
        <v>2395439.6052844101</v>
      </c>
      <c r="D22" s="15">
        <f t="shared" si="17"/>
        <v>289858.81133809127</v>
      </c>
      <c r="E22" s="14">
        <f t="shared" si="17"/>
        <v>137199.83736669653</v>
      </c>
      <c r="F22" s="14">
        <f t="shared" si="17"/>
        <v>7093.9503509077649</v>
      </c>
      <c r="G22" s="13">
        <f t="shared" si="17"/>
        <v>535362.73973056546</v>
      </c>
      <c r="H22" s="15">
        <f t="shared" si="17"/>
        <v>84914.316196131433</v>
      </c>
      <c r="I22" s="13">
        <f t="shared" si="17"/>
        <v>16395.559611356788</v>
      </c>
      <c r="J22" s="16">
        <f t="shared" si="17"/>
        <v>261594.82424687175</v>
      </c>
      <c r="K22" s="15">
        <f t="shared" si="17"/>
        <v>516337.77283526602</v>
      </c>
      <c r="L22" s="14">
        <f t="shared" si="17"/>
        <v>372815.44877465774</v>
      </c>
      <c r="M22" s="13">
        <f t="shared" si="17"/>
        <v>173866.34483386565</v>
      </c>
    </row>
    <row r="23" spans="1:13" x14ac:dyDescent="0.2">
      <c r="A23" s="20">
        <v>3665</v>
      </c>
      <c r="B23" s="19" t="s">
        <v>55</v>
      </c>
      <c r="C23" s="58">
        <f t="shared" ref="C23:M23" si="18">C67/$C$87*$C$43</f>
        <v>3462557.9844476278</v>
      </c>
      <c r="D23" s="15">
        <f t="shared" si="18"/>
        <v>460910.99295508227</v>
      </c>
      <c r="E23" s="14">
        <f t="shared" si="18"/>
        <v>216935.44068419203</v>
      </c>
      <c r="F23" s="14">
        <f t="shared" si="18"/>
        <v>8511.3957293139501</v>
      </c>
      <c r="G23" s="13">
        <f t="shared" si="18"/>
        <v>918974.78686422855</v>
      </c>
      <c r="H23" s="15">
        <f t="shared" si="18"/>
        <v>140708.16084373364</v>
      </c>
      <c r="I23" s="13">
        <f t="shared" si="18"/>
        <v>44537.191780103509</v>
      </c>
      <c r="J23" s="16">
        <f t="shared" si="18"/>
        <v>326442.93315746204</v>
      </c>
      <c r="K23" s="15">
        <f t="shared" si="18"/>
        <v>657657.70829136379</v>
      </c>
      <c r="L23" s="14">
        <f t="shared" si="18"/>
        <v>445127.20795608958</v>
      </c>
      <c r="M23" s="13">
        <f t="shared" si="18"/>
        <v>242752.16618605875</v>
      </c>
    </row>
    <row r="24" spans="1:13" x14ac:dyDescent="0.2">
      <c r="A24" s="20">
        <v>3565</v>
      </c>
      <c r="B24" s="19" t="s">
        <v>54</v>
      </c>
      <c r="C24" s="58">
        <f t="shared" ref="C24:M24" si="19">C68/$C$87*$C$43</f>
        <v>3389376.5028863326</v>
      </c>
      <c r="D24" s="15">
        <f t="shared" si="19"/>
        <v>486116.10698448151</v>
      </c>
      <c r="E24" s="14">
        <f t="shared" si="19"/>
        <v>213891.08707317183</v>
      </c>
      <c r="F24" s="14">
        <f t="shared" si="19"/>
        <v>10349.550923668017</v>
      </c>
      <c r="G24" s="13">
        <f t="shared" si="19"/>
        <v>918332.42352124897</v>
      </c>
      <c r="H24" s="15">
        <f t="shared" si="19"/>
        <v>53591.456043091588</v>
      </c>
      <c r="I24" s="13">
        <f t="shared" si="19"/>
        <v>54570.295422874085</v>
      </c>
      <c r="J24" s="16">
        <f t="shared" si="19"/>
        <v>374161.35292185866</v>
      </c>
      <c r="K24" s="15">
        <f t="shared" si="19"/>
        <v>694853.60472309845</v>
      </c>
      <c r="L24" s="14">
        <f t="shared" si="19"/>
        <v>417474.99547723401</v>
      </c>
      <c r="M24" s="13">
        <f t="shared" si="19"/>
        <v>166035.6297956057</v>
      </c>
    </row>
    <row r="25" spans="1:13" x14ac:dyDescent="0.2">
      <c r="A25" s="20">
        <v>29269</v>
      </c>
      <c r="B25" s="19" t="s">
        <v>53</v>
      </c>
      <c r="C25" s="58">
        <f t="shared" ref="C25:M25" si="20">C69/$C$87*$C$43</f>
        <v>795442.79205852025</v>
      </c>
      <c r="D25" s="15">
        <f t="shared" si="20"/>
        <v>126882.0546043059</v>
      </c>
      <c r="E25" s="14">
        <f t="shared" si="20"/>
        <v>68773.35119521193</v>
      </c>
      <c r="F25" s="14">
        <f t="shared" si="20"/>
        <v>14229.763133193184</v>
      </c>
      <c r="G25" s="13">
        <f t="shared" si="20"/>
        <v>227547.11997036173</v>
      </c>
      <c r="H25" s="15">
        <f t="shared" si="20"/>
        <v>30588.730618202964</v>
      </c>
      <c r="I25" s="13">
        <f t="shared" si="20"/>
        <v>14193.171006846174</v>
      </c>
      <c r="J25" s="16">
        <f t="shared" si="20"/>
        <v>87728.479413006091</v>
      </c>
      <c r="K25" s="15">
        <f t="shared" si="20"/>
        <v>158816.68936970978</v>
      </c>
      <c r="L25" s="14">
        <f t="shared" si="20"/>
        <v>66438.72290273683</v>
      </c>
      <c r="M25" s="13">
        <f t="shared" si="20"/>
        <v>244.7098449456237</v>
      </c>
    </row>
    <row r="26" spans="1:13" x14ac:dyDescent="0.2">
      <c r="A26" s="20">
        <v>3652</v>
      </c>
      <c r="B26" s="19" t="s">
        <v>52</v>
      </c>
      <c r="C26" s="58">
        <f t="shared" ref="C26:M26" si="21">C70/$C$87*$C$43</f>
        <v>14685254.34084947</v>
      </c>
      <c r="D26" s="15">
        <f t="shared" si="21"/>
        <v>1871540.8941441304</v>
      </c>
      <c r="E26" s="14">
        <f t="shared" si="21"/>
        <v>1003769.7662259685</v>
      </c>
      <c r="F26" s="14">
        <f t="shared" si="21"/>
        <v>7864.3808769932702</v>
      </c>
      <c r="G26" s="13">
        <f t="shared" si="21"/>
        <v>3883635.7819294124</v>
      </c>
      <c r="H26" s="15">
        <f t="shared" si="21"/>
        <v>541053.46717477404</v>
      </c>
      <c r="I26" s="13">
        <f t="shared" si="21"/>
        <v>46005.450849777255</v>
      </c>
      <c r="J26" s="16">
        <f t="shared" si="21"/>
        <v>1238109.4605023831</v>
      </c>
      <c r="K26" s="15">
        <f t="shared" si="21"/>
        <v>2790548.7168374197</v>
      </c>
      <c r="L26" s="14">
        <f t="shared" si="21"/>
        <v>2088720.8815333708</v>
      </c>
      <c r="M26" s="13">
        <f t="shared" si="21"/>
        <v>1214005.5407752392</v>
      </c>
    </row>
    <row r="27" spans="1:13" x14ac:dyDescent="0.2">
      <c r="A27" s="20">
        <v>11711</v>
      </c>
      <c r="B27" s="19" t="s">
        <v>51</v>
      </c>
      <c r="C27" s="58">
        <f t="shared" ref="C27:M27" si="22">C71/$C$87*$C$43</f>
        <v>2767297.4662990007</v>
      </c>
      <c r="D27" s="15">
        <f t="shared" si="22"/>
        <v>437051.78307288396</v>
      </c>
      <c r="E27" s="14">
        <f t="shared" si="22"/>
        <v>227338.87655121775</v>
      </c>
      <c r="F27" s="14">
        <f t="shared" si="22"/>
        <v>14570.119598085534</v>
      </c>
      <c r="G27" s="13">
        <f t="shared" si="22"/>
        <v>837991.73432714934</v>
      </c>
      <c r="H27" s="15">
        <f t="shared" si="22"/>
        <v>78307.15038259959</v>
      </c>
      <c r="I27" s="13">
        <f t="shared" si="22"/>
        <v>6117.7461236405934</v>
      </c>
      <c r="J27" s="16">
        <f t="shared" si="22"/>
        <v>284230.48490434192</v>
      </c>
      <c r="K27" s="15">
        <f t="shared" si="22"/>
        <v>510709.44640151662</v>
      </c>
      <c r="L27" s="14">
        <f t="shared" si="22"/>
        <v>350057.43319471471</v>
      </c>
      <c r="M27" s="13">
        <f t="shared" si="22"/>
        <v>20922.691742850828</v>
      </c>
    </row>
    <row r="28" spans="1:13" x14ac:dyDescent="0.2">
      <c r="A28" s="20">
        <v>12826</v>
      </c>
      <c r="B28" s="19" t="s">
        <v>50</v>
      </c>
      <c r="C28" s="58">
        <f t="shared" ref="C28:M28" si="23">C72/$C$87*$C$43</f>
        <v>5380481.7450308818</v>
      </c>
      <c r="D28" s="15">
        <f t="shared" si="23"/>
        <v>874470.63091318647</v>
      </c>
      <c r="E28" s="14">
        <f t="shared" si="23"/>
        <v>166149.41987350545</v>
      </c>
      <c r="F28" s="14">
        <f t="shared" si="23"/>
        <v>10950.65490221049</v>
      </c>
      <c r="G28" s="13">
        <f t="shared" si="23"/>
        <v>1567849.8588205075</v>
      </c>
      <c r="H28" s="15">
        <f t="shared" si="23"/>
        <v>95192.129683847612</v>
      </c>
      <c r="I28" s="13">
        <f t="shared" si="23"/>
        <v>1223.5492247281186</v>
      </c>
      <c r="J28" s="16">
        <f t="shared" si="23"/>
        <v>617035.87403039017</v>
      </c>
      <c r="K28" s="15">
        <f t="shared" si="23"/>
        <v>1139858.4577567154</v>
      </c>
      <c r="L28" s="14">
        <f t="shared" si="23"/>
        <v>685799.34046011034</v>
      </c>
      <c r="M28" s="13">
        <f t="shared" si="23"/>
        <v>221951.82936568069</v>
      </c>
    </row>
    <row r="29" spans="1:13" x14ac:dyDescent="0.2">
      <c r="A29" s="20">
        <v>13231</v>
      </c>
      <c r="B29" s="19" t="s">
        <v>49</v>
      </c>
      <c r="C29" s="58">
        <f t="shared" ref="C29:M29" si="24">C73/$C$87*$C$43</f>
        <v>1334314.7299569366</v>
      </c>
      <c r="D29" s="15">
        <f t="shared" si="24"/>
        <v>211674.0158779645</v>
      </c>
      <c r="E29" s="14">
        <f t="shared" si="24"/>
        <v>110191.17774701602</v>
      </c>
      <c r="F29" s="14">
        <f t="shared" si="24"/>
        <v>14713.66232276005</v>
      </c>
      <c r="G29" s="13">
        <f t="shared" si="24"/>
        <v>398074.39896994544</v>
      </c>
      <c r="H29" s="15">
        <f t="shared" si="24"/>
        <v>79285.989762382087</v>
      </c>
      <c r="I29" s="13">
        <f t="shared" si="24"/>
        <v>5383.6165888037212</v>
      </c>
      <c r="J29" s="16">
        <f t="shared" si="24"/>
        <v>140952.87068867925</v>
      </c>
      <c r="K29" s="15">
        <f t="shared" si="24"/>
        <v>262818.37347159989</v>
      </c>
      <c r="L29" s="14">
        <f t="shared" si="24"/>
        <v>108773.52607832973</v>
      </c>
      <c r="M29" s="13">
        <f t="shared" si="24"/>
        <v>2447.0984494562372</v>
      </c>
    </row>
    <row r="30" spans="1:13" x14ac:dyDescent="0.2">
      <c r="A30" s="20">
        <v>3592</v>
      </c>
      <c r="B30" s="19" t="s">
        <v>48</v>
      </c>
      <c r="C30" s="58">
        <f t="shared" ref="C30:M30" si="25">C74/$C$87*$C$43</f>
        <v>2944483.9627424059</v>
      </c>
      <c r="D30" s="15">
        <f t="shared" si="25"/>
        <v>378688.48505335272</v>
      </c>
      <c r="E30" s="14">
        <f t="shared" si="25"/>
        <v>166370.47443343961</v>
      </c>
      <c r="F30" s="14">
        <f t="shared" si="25"/>
        <v>8854.5279818143808</v>
      </c>
      <c r="G30" s="13">
        <f t="shared" si="25"/>
        <v>720181.07367497182</v>
      </c>
      <c r="H30" s="15">
        <f t="shared" si="25"/>
        <v>244709.84494562371</v>
      </c>
      <c r="I30" s="13">
        <f t="shared" si="25"/>
        <v>11011.943022553067</v>
      </c>
      <c r="J30" s="16">
        <f t="shared" si="25"/>
        <v>253397.04444119334</v>
      </c>
      <c r="K30" s="15">
        <f t="shared" si="25"/>
        <v>527839.13554771035</v>
      </c>
      <c r="L30" s="14">
        <f t="shared" si="25"/>
        <v>383949.74671968358</v>
      </c>
      <c r="M30" s="13">
        <f t="shared" si="25"/>
        <v>249481.68692206338</v>
      </c>
    </row>
    <row r="31" spans="1:13" x14ac:dyDescent="0.2">
      <c r="A31" s="20">
        <v>3594</v>
      </c>
      <c r="B31" s="19" t="s">
        <v>47</v>
      </c>
      <c r="C31" s="58">
        <f t="shared" ref="C31:M31" si="26">C75/$C$87*$C$43</f>
        <v>15543619.110024791</v>
      </c>
      <c r="D31" s="15">
        <f t="shared" si="26"/>
        <v>2208506.350634254</v>
      </c>
      <c r="E31" s="14">
        <f t="shared" si="26"/>
        <v>1272835.8267488752</v>
      </c>
      <c r="F31" s="14">
        <f t="shared" si="26"/>
        <v>9502.1852863236036</v>
      </c>
      <c r="G31" s="13">
        <f t="shared" si="26"/>
        <v>4188779.170182778</v>
      </c>
      <c r="H31" s="15">
        <f t="shared" si="26"/>
        <v>247156.94339507993</v>
      </c>
      <c r="I31" s="13">
        <f t="shared" si="26"/>
        <v>31812.279842931082</v>
      </c>
      <c r="J31" s="16">
        <f t="shared" si="26"/>
        <v>1402187.411538424</v>
      </c>
      <c r="K31" s="15">
        <f t="shared" si="26"/>
        <v>2886842.040823523</v>
      </c>
      <c r="L31" s="14">
        <f t="shared" si="26"/>
        <v>2071101.7726972862</v>
      </c>
      <c r="M31" s="13">
        <f t="shared" si="26"/>
        <v>1224895.1288753194</v>
      </c>
    </row>
    <row r="32" spans="1:13" x14ac:dyDescent="0.2">
      <c r="A32" s="78">
        <v>113594</v>
      </c>
      <c r="B32" s="19" t="s">
        <v>46</v>
      </c>
      <c r="C32" s="58">
        <f t="shared" ref="C32:M32" si="27">C76/$C$87*$C$43</f>
        <v>836184.00742210483</v>
      </c>
      <c r="D32" s="15">
        <f t="shared" si="27"/>
        <v>148110.63365333877</v>
      </c>
      <c r="E32" s="14">
        <f t="shared" si="27"/>
        <v>85533.89093480313</v>
      </c>
      <c r="F32" s="14">
        <f t="shared" si="27"/>
        <v>15654.308799324133</v>
      </c>
      <c r="G32" s="13">
        <f t="shared" si="27"/>
        <v>259096.33672997585</v>
      </c>
      <c r="H32" s="15">
        <f t="shared" si="27"/>
        <v>8809.5544180424531</v>
      </c>
      <c r="I32" s="13">
        <f t="shared" si="27"/>
        <v>0</v>
      </c>
      <c r="J32" s="16">
        <f t="shared" si="27"/>
        <v>113239.48074858738</v>
      </c>
      <c r="K32" s="15">
        <f t="shared" si="27"/>
        <v>175456.95882601218</v>
      </c>
      <c r="L32" s="14">
        <f t="shared" si="27"/>
        <v>26245.130870418143</v>
      </c>
      <c r="M32" s="13">
        <f t="shared" si="27"/>
        <v>4037.7124416027909</v>
      </c>
    </row>
    <row r="33" spans="1:13" x14ac:dyDescent="0.2">
      <c r="A33" s="20">
        <v>3624</v>
      </c>
      <c r="B33" s="19" t="s">
        <v>45</v>
      </c>
      <c r="C33" s="58">
        <f t="shared" ref="C33:M33" si="28">C77/$C$87*$C$43</f>
        <v>5511696.8202510141</v>
      </c>
      <c r="D33" s="15">
        <f t="shared" si="28"/>
        <v>705376.1280557604</v>
      </c>
      <c r="E33" s="14">
        <f t="shared" si="28"/>
        <v>390778.37494289118</v>
      </c>
      <c r="F33" s="14">
        <f t="shared" si="28"/>
        <v>7435.8307906496048</v>
      </c>
      <c r="G33" s="13">
        <f t="shared" si="28"/>
        <v>1366118.4039426646</v>
      </c>
      <c r="H33" s="15">
        <f t="shared" si="28"/>
        <v>182064.12463954405</v>
      </c>
      <c r="I33" s="13">
        <f t="shared" si="28"/>
        <v>32791.119222713576</v>
      </c>
      <c r="J33" s="16">
        <f t="shared" si="28"/>
        <v>536036.91535338876</v>
      </c>
      <c r="K33" s="15">
        <f t="shared" si="28"/>
        <v>1016524.6959041209</v>
      </c>
      <c r="L33" s="14">
        <f t="shared" si="28"/>
        <v>761659.39239325374</v>
      </c>
      <c r="M33" s="13">
        <f t="shared" si="28"/>
        <v>512911.83500602725</v>
      </c>
    </row>
    <row r="34" spans="1:13" x14ac:dyDescent="0.2">
      <c r="A34" s="20">
        <v>3642</v>
      </c>
      <c r="B34" s="19" t="s">
        <v>44</v>
      </c>
      <c r="C34" s="58">
        <f t="shared" ref="C34:M34" si="29">C78/$C$87*$C$43</f>
        <v>2543343.163018405</v>
      </c>
      <c r="D34" s="15">
        <f t="shared" si="29"/>
        <v>278357.448625647</v>
      </c>
      <c r="E34" s="14">
        <f t="shared" si="29"/>
        <v>39990.686785884609</v>
      </c>
      <c r="F34" s="14">
        <f t="shared" si="29"/>
        <v>4747.4986121275715</v>
      </c>
      <c r="G34" s="13">
        <f t="shared" si="29"/>
        <v>546432.18956667953</v>
      </c>
      <c r="H34" s="15">
        <f t="shared" si="29"/>
        <v>98618.067513086367</v>
      </c>
      <c r="I34" s="13">
        <f t="shared" si="29"/>
        <v>2202.3886045106133</v>
      </c>
      <c r="J34" s="16">
        <f t="shared" si="29"/>
        <v>244587.49002315089</v>
      </c>
      <c r="K34" s="15">
        <f t="shared" si="29"/>
        <v>601007.37918645178</v>
      </c>
      <c r="L34" s="14">
        <f t="shared" si="29"/>
        <v>415884.38148508751</v>
      </c>
      <c r="M34" s="13">
        <f t="shared" si="29"/>
        <v>311515.63261577894</v>
      </c>
    </row>
    <row r="35" spans="1:13" x14ac:dyDescent="0.2">
      <c r="A35" s="20">
        <v>3644</v>
      </c>
      <c r="B35" s="19" t="s">
        <v>43</v>
      </c>
      <c r="C35" s="58">
        <f t="shared" ref="C35:M35" si="30">C79/$C$87*$C$43</f>
        <v>14059024.46267302</v>
      </c>
      <c r="D35" s="15">
        <f t="shared" si="30"/>
        <v>1715660.7229137677</v>
      </c>
      <c r="E35" s="14">
        <f t="shared" si="30"/>
        <v>1255863.6491728779</v>
      </c>
      <c r="F35" s="14">
        <f t="shared" si="30"/>
        <v>7730.8403099676216</v>
      </c>
      <c r="G35" s="13">
        <f t="shared" si="30"/>
        <v>3717673.5650873166</v>
      </c>
      <c r="H35" s="15">
        <f t="shared" si="30"/>
        <v>533956.88167135091</v>
      </c>
      <c r="I35" s="13">
        <f t="shared" si="30"/>
        <v>42090.09333064728</v>
      </c>
      <c r="J35" s="16">
        <f t="shared" si="30"/>
        <v>1019705.9238884139</v>
      </c>
      <c r="K35" s="15">
        <f t="shared" si="30"/>
        <v>2380537.3716310277</v>
      </c>
      <c r="L35" s="14">
        <f t="shared" si="30"/>
        <v>1937490.1973569756</v>
      </c>
      <c r="M35" s="13">
        <f t="shared" si="30"/>
        <v>1448315.2173106738</v>
      </c>
    </row>
    <row r="36" spans="1:13" x14ac:dyDescent="0.2">
      <c r="A36" s="20">
        <v>3541</v>
      </c>
      <c r="B36" s="19" t="s">
        <v>42</v>
      </c>
      <c r="C36" s="58">
        <f t="shared" ref="C36:M36" si="31">C80/$C$87*$C$43</f>
        <v>2887061.7619747831</v>
      </c>
      <c r="D36" s="15">
        <f t="shared" si="31"/>
        <v>363883.53943414247</v>
      </c>
      <c r="E36" s="14">
        <f t="shared" si="31"/>
        <v>156348.62744353653</v>
      </c>
      <c r="F36" s="14">
        <f t="shared" si="31"/>
        <v>7453.5073077473962</v>
      </c>
      <c r="G36" s="13">
        <f t="shared" si="31"/>
        <v>725815.5178548455</v>
      </c>
      <c r="H36" s="15">
        <f t="shared" si="31"/>
        <v>186713.6116935109</v>
      </c>
      <c r="I36" s="13">
        <f t="shared" si="31"/>
        <v>14193.171006846174</v>
      </c>
      <c r="J36" s="16">
        <f t="shared" si="31"/>
        <v>265387.82684352889</v>
      </c>
      <c r="K36" s="15">
        <f t="shared" si="31"/>
        <v>528083.84539265593</v>
      </c>
      <c r="L36" s="14">
        <f t="shared" si="31"/>
        <v>379422.61458818958</v>
      </c>
      <c r="M36" s="13">
        <f t="shared" si="31"/>
        <v>259759.50040977955</v>
      </c>
    </row>
    <row r="37" spans="1:13" x14ac:dyDescent="0.2">
      <c r="A37" s="20">
        <v>3646</v>
      </c>
      <c r="B37" s="19" t="s">
        <v>41</v>
      </c>
      <c r="C37" s="58">
        <f t="shared" ref="C37:M37" si="32">C81/$C$87*$C$43</f>
        <v>4708877.2539562685</v>
      </c>
      <c r="D37" s="15">
        <f t="shared" si="32"/>
        <v>662918.96995769453</v>
      </c>
      <c r="E37" s="14">
        <f t="shared" si="32"/>
        <v>347148.56726784614</v>
      </c>
      <c r="F37" s="14">
        <f t="shared" si="32"/>
        <v>10111.020833959103</v>
      </c>
      <c r="G37" s="13">
        <f t="shared" si="32"/>
        <v>1267172.4252373499</v>
      </c>
      <c r="H37" s="15">
        <f t="shared" si="32"/>
        <v>417964.41516712535</v>
      </c>
      <c r="I37" s="13">
        <f t="shared" si="32"/>
        <v>23247.435269834252</v>
      </c>
      <c r="J37" s="16">
        <f t="shared" si="32"/>
        <v>457729.76497078914</v>
      </c>
      <c r="K37" s="15">
        <f t="shared" si="32"/>
        <v>806074.2292508845</v>
      </c>
      <c r="L37" s="14">
        <f t="shared" si="32"/>
        <v>474370.03442709154</v>
      </c>
      <c r="M37" s="13">
        <f t="shared" si="32"/>
        <v>242140.39157369465</v>
      </c>
    </row>
    <row r="38" spans="1:13" x14ac:dyDescent="0.2">
      <c r="A38" s="20">
        <v>3581</v>
      </c>
      <c r="B38" s="19" t="s">
        <v>40</v>
      </c>
      <c r="C38" s="58">
        <f t="shared" ref="C38:M38" si="33">C82/$C$87*$C$43</f>
        <v>3961999.2303603613</v>
      </c>
      <c r="D38" s="15">
        <f t="shared" si="33"/>
        <v>490153.81942608423</v>
      </c>
      <c r="E38" s="14">
        <f t="shared" si="33"/>
        <v>171717.22140560485</v>
      </c>
      <c r="F38" s="14">
        <f t="shared" si="33"/>
        <v>6737.4478047314688</v>
      </c>
      <c r="G38" s="13">
        <f t="shared" si="33"/>
        <v>985532.19404176367</v>
      </c>
      <c r="H38" s="15">
        <f t="shared" si="33"/>
        <v>242262.74649616747</v>
      </c>
      <c r="I38" s="13">
        <f t="shared" si="33"/>
        <v>12480.202092226809</v>
      </c>
      <c r="J38" s="16">
        <f t="shared" si="33"/>
        <v>348222.10935762251</v>
      </c>
      <c r="K38" s="15">
        <f t="shared" si="33"/>
        <v>787231.57119007141</v>
      </c>
      <c r="L38" s="14">
        <f t="shared" si="33"/>
        <v>546559.43868605047</v>
      </c>
      <c r="M38" s="13">
        <f t="shared" si="33"/>
        <v>371102.47986003832</v>
      </c>
    </row>
    <row r="39" spans="1:13" x14ac:dyDescent="0.2">
      <c r="A39" s="20">
        <v>3606</v>
      </c>
      <c r="B39" s="19" t="s">
        <v>39</v>
      </c>
      <c r="C39" s="58">
        <f t="shared" ref="C39:M39" si="34">C83/$C$87*$C$43</f>
        <v>8089171.4949687729</v>
      </c>
      <c r="D39" s="15">
        <f t="shared" si="34"/>
        <v>1129702.9991914718</v>
      </c>
      <c r="E39" s="14">
        <f t="shared" si="34"/>
        <v>662759.09285899682</v>
      </c>
      <c r="F39" s="14">
        <f t="shared" si="34"/>
        <v>8984.1503307630737</v>
      </c>
      <c r="G39" s="13">
        <f t="shared" si="34"/>
        <v>2142585.1890536221</v>
      </c>
      <c r="H39" s="15">
        <f t="shared" si="34"/>
        <v>122599.6323177575</v>
      </c>
      <c r="I39" s="13">
        <f t="shared" si="34"/>
        <v>44781.90162504914</v>
      </c>
      <c r="J39" s="16">
        <f t="shared" si="34"/>
        <v>812559.04014194338</v>
      </c>
      <c r="K39" s="15">
        <f t="shared" si="34"/>
        <v>1429472.5592498609</v>
      </c>
      <c r="L39" s="14">
        <f t="shared" si="34"/>
        <v>1088469.3903181343</v>
      </c>
      <c r="M39" s="13">
        <f t="shared" si="34"/>
        <v>647257.53988117469</v>
      </c>
    </row>
    <row r="40" spans="1:13" x14ac:dyDescent="0.2">
      <c r="A40" s="20">
        <v>3615</v>
      </c>
      <c r="B40" s="19" t="s">
        <v>95</v>
      </c>
      <c r="C40" s="58">
        <f t="shared" ref="C40:M40" si="35">C84/$C$87*$C$43</f>
        <v>14817632.561301939</v>
      </c>
      <c r="D40" s="15">
        <f t="shared" si="35"/>
        <v>1967834.2181302328</v>
      </c>
      <c r="E40" s="14">
        <f t="shared" si="35"/>
        <v>1245639.0600764374</v>
      </c>
      <c r="F40" s="14">
        <f t="shared" si="35"/>
        <v>8591.8451916989452</v>
      </c>
      <c r="G40" s="13">
        <f t="shared" si="35"/>
        <v>3831168.7676238758</v>
      </c>
      <c r="H40" s="15">
        <f t="shared" si="35"/>
        <v>358744.6326902844</v>
      </c>
      <c r="I40" s="13">
        <f t="shared" si="35"/>
        <v>48941.968989124747</v>
      </c>
      <c r="J40" s="16">
        <f t="shared" si="35"/>
        <v>1349085.3751852235</v>
      </c>
      <c r="K40" s="15">
        <f t="shared" si="35"/>
        <v>2742096.1675381865</v>
      </c>
      <c r="L40" s="14">
        <f t="shared" si="35"/>
        <v>2047854.337427452</v>
      </c>
      <c r="M40" s="13">
        <f t="shared" si="35"/>
        <v>1217676.1884494238</v>
      </c>
    </row>
    <row r="41" spans="1:13" x14ac:dyDescent="0.2">
      <c r="A41" s="20">
        <v>3625</v>
      </c>
      <c r="B41" s="19" t="s">
        <v>38</v>
      </c>
      <c r="C41" s="58">
        <f t="shared" ref="C41:M41" si="36">C85/$C$87*$C$43</f>
        <v>544175.29539555474</v>
      </c>
      <c r="D41" s="15">
        <f t="shared" si="36"/>
        <v>69497.595964557127</v>
      </c>
      <c r="E41" s="14">
        <f t="shared" si="36"/>
        <v>20918.776385331697</v>
      </c>
      <c r="F41" s="14">
        <f t="shared" si="36"/>
        <v>5696.4204994536922</v>
      </c>
      <c r="G41" s="13">
        <f t="shared" si="36"/>
        <v>144744.64973611158</v>
      </c>
      <c r="H41" s="15">
        <f t="shared" si="36"/>
        <v>9298.9741079337018</v>
      </c>
      <c r="I41" s="13">
        <f t="shared" si="36"/>
        <v>4649.4870539668509</v>
      </c>
      <c r="J41" s="16">
        <f t="shared" si="36"/>
        <v>59831.557089205002</v>
      </c>
      <c r="K41" s="15">
        <f t="shared" si="36"/>
        <v>110119.43022553067</v>
      </c>
      <c r="L41" s="14">
        <f t="shared" si="36"/>
        <v>71088.209956703678</v>
      </c>
      <c r="M41" s="13">
        <f t="shared" si="36"/>
        <v>48330.194376760679</v>
      </c>
    </row>
    <row r="42" spans="1:13" x14ac:dyDescent="0.2">
      <c r="A42" s="20">
        <v>20</v>
      </c>
      <c r="B42" s="19" t="s">
        <v>37</v>
      </c>
      <c r="C42" s="77">
        <f t="shared" ref="C42:M42" si="37">C86/$C$87*$C$43</f>
        <v>375800.5607422649</v>
      </c>
      <c r="D42" s="15">
        <f t="shared" si="37"/>
        <v>59342.137399313746</v>
      </c>
      <c r="E42" s="14">
        <f t="shared" si="37"/>
        <v>18854.640260630949</v>
      </c>
      <c r="F42" s="14">
        <f t="shared" si="37"/>
        <v>13433.252089990034</v>
      </c>
      <c r="G42" s="13">
        <f t="shared" si="37"/>
        <v>102473.47112020457</v>
      </c>
      <c r="H42" s="15">
        <f t="shared" si="37"/>
        <v>4649.4870539668509</v>
      </c>
      <c r="I42" s="13">
        <f t="shared" si="37"/>
        <v>4160.0673640756031</v>
      </c>
      <c r="J42" s="16">
        <f t="shared" si="37"/>
        <v>52857.326508254715</v>
      </c>
      <c r="K42" s="15">
        <f t="shared" si="37"/>
        <v>84424.896506240169</v>
      </c>
      <c r="L42" s="14">
        <f t="shared" si="37"/>
        <v>34014.668447441698</v>
      </c>
      <c r="M42" s="13">
        <f t="shared" si="37"/>
        <v>1590.613992146554</v>
      </c>
    </row>
    <row r="43" spans="1:13" ht="13.5" thickBot="1" x14ac:dyDescent="0.25">
      <c r="A43" s="12"/>
      <c r="B43" s="11" t="s">
        <v>11</v>
      </c>
      <c r="C43" s="117">
        <f>'Option 2'!C43</f>
        <v>235000000.00000006</v>
      </c>
      <c r="D43" s="75">
        <f t="shared" ref="D43:M43" si="38">SUM(D5:D42)</f>
        <v>30999904.335172843</v>
      </c>
      <c r="E43" s="74">
        <f t="shared" si="38"/>
        <v>18029549.198552102</v>
      </c>
      <c r="F43" s="74">
        <f t="shared" si="38"/>
        <v>376487.2075879866</v>
      </c>
      <c r="G43" s="73">
        <f t="shared" si="38"/>
        <v>63433619.9351459</v>
      </c>
      <c r="H43" s="75">
        <f t="shared" si="38"/>
        <v>10257257.860740762</v>
      </c>
      <c r="I43" s="73">
        <f t="shared" si="38"/>
        <v>879731.89257951698</v>
      </c>
      <c r="J43" s="76">
        <f t="shared" si="38"/>
        <v>20014389.975873914</v>
      </c>
      <c r="K43" s="75">
        <f t="shared" si="38"/>
        <v>42032158.274856411</v>
      </c>
      <c r="L43" s="74">
        <f t="shared" si="38"/>
        <v>30284128.038706891</v>
      </c>
      <c r="M43" s="73">
        <f t="shared" si="38"/>
        <v>18692773.280783828</v>
      </c>
    </row>
    <row r="44" spans="1:13" ht="13.5" thickBot="1" x14ac:dyDescent="0.25">
      <c r="A44" s="72"/>
      <c r="C44" s="116">
        <v>0.1</v>
      </c>
      <c r="D44" s="71" t="s">
        <v>88</v>
      </c>
      <c r="E44" s="70"/>
      <c r="F44" s="70"/>
      <c r="G44" s="70"/>
      <c r="H44" s="70"/>
      <c r="I44" s="70"/>
      <c r="J44" s="70"/>
      <c r="K44" s="70"/>
      <c r="L44" s="70"/>
      <c r="M44" s="70"/>
    </row>
    <row r="45" spans="1:13" ht="13.5" thickBot="1" x14ac:dyDescent="0.25">
      <c r="A45" s="69" t="s">
        <v>87</v>
      </c>
    </row>
    <row r="46" spans="1:13" ht="12.75" customHeight="1" outlineLevel="1" x14ac:dyDescent="0.2">
      <c r="A46" s="273" t="s">
        <v>24</v>
      </c>
      <c r="B46" s="275" t="s">
        <v>23</v>
      </c>
      <c r="C46" s="277" t="s">
        <v>36</v>
      </c>
      <c r="D46" s="279" t="s">
        <v>35</v>
      </c>
      <c r="E46" s="280"/>
      <c r="F46" s="280"/>
      <c r="G46" s="281"/>
      <c r="H46" s="282" t="s">
        <v>18</v>
      </c>
      <c r="I46" s="291" t="s">
        <v>17</v>
      </c>
      <c r="J46" s="293" t="s">
        <v>16</v>
      </c>
      <c r="K46" s="295" t="s">
        <v>34</v>
      </c>
      <c r="L46" s="296"/>
      <c r="M46" s="296"/>
    </row>
    <row r="47" spans="1:13" ht="51.75" outlineLevel="1" thickBot="1" x14ac:dyDescent="0.25">
      <c r="A47" s="274"/>
      <c r="B47" s="276"/>
      <c r="C47" s="278"/>
      <c r="D47" s="68"/>
      <c r="E47" s="67" t="s">
        <v>33</v>
      </c>
      <c r="F47" s="67" t="s">
        <v>32</v>
      </c>
      <c r="G47" s="114" t="s">
        <v>31</v>
      </c>
      <c r="H47" s="283"/>
      <c r="I47" s="292"/>
      <c r="J47" s="294"/>
      <c r="K47" s="44" t="s">
        <v>14</v>
      </c>
      <c r="L47" s="43" t="s">
        <v>13</v>
      </c>
      <c r="M47" s="42" t="s">
        <v>12</v>
      </c>
    </row>
    <row r="48" spans="1:13" outlineLevel="1" x14ac:dyDescent="0.2">
      <c r="A48" s="303" t="s">
        <v>30</v>
      </c>
      <c r="B48" s="304"/>
      <c r="C48" s="305"/>
      <c r="D48" s="62">
        <v>1</v>
      </c>
      <c r="E48" s="61">
        <v>1</v>
      </c>
      <c r="F48" s="61">
        <v>1</v>
      </c>
      <c r="G48" s="60">
        <v>1</v>
      </c>
      <c r="H48" s="65">
        <v>2</v>
      </c>
      <c r="I48" s="64">
        <v>2</v>
      </c>
      <c r="J48" s="63">
        <v>1</v>
      </c>
      <c r="K48" s="62">
        <v>1</v>
      </c>
      <c r="L48" s="61">
        <v>1</v>
      </c>
      <c r="M48" s="60">
        <v>1</v>
      </c>
    </row>
    <row r="49" spans="1:13" outlineLevel="1" x14ac:dyDescent="0.2">
      <c r="A49" s="20">
        <f t="shared" ref="A49:B68" si="39">A5</f>
        <v>3656</v>
      </c>
      <c r="B49" s="19" t="str">
        <f t="shared" si="39"/>
        <v>UTA</v>
      </c>
      <c r="C49" s="58">
        <f t="shared" ref="C49:C86" si="40">SUM(D49:M49)</f>
        <v>36769.487121611426</v>
      </c>
      <c r="D49" s="15">
        <f t="shared" ref="D49:D58" si="41">D91*D$48</f>
        <v>5018</v>
      </c>
      <c r="E49" s="14">
        <f t="shared" ref="E49:E58" si="42">D91*E91*E$48</f>
        <v>2600.9966666666669</v>
      </c>
      <c r="F49" s="14">
        <f t="shared" ref="F49:F58" si="43">IFERROR(D91/F91*100*F$48,0)</f>
        <v>29.603788278048281</v>
      </c>
      <c r="G49" s="13">
        <f t="shared" ref="G49:M58" si="44">G91*G$48</f>
        <v>10418.553333333379</v>
      </c>
      <c r="H49" s="36">
        <f t="shared" si="44"/>
        <v>3062.6666666666665</v>
      </c>
      <c r="I49" s="35">
        <f t="shared" si="44"/>
        <v>70</v>
      </c>
      <c r="J49" s="34">
        <f t="shared" si="44"/>
        <v>3116</v>
      </c>
      <c r="K49" s="36">
        <f t="shared" si="44"/>
        <v>6836.333333333333</v>
      </c>
      <c r="L49" s="59">
        <f t="shared" si="44"/>
        <v>3833.6666666666665</v>
      </c>
      <c r="M49" s="35">
        <f t="shared" si="44"/>
        <v>1783.6666666666667</v>
      </c>
    </row>
    <row r="50" spans="1:13" outlineLevel="1" x14ac:dyDescent="0.2">
      <c r="A50" s="20">
        <f t="shared" si="39"/>
        <v>3658</v>
      </c>
      <c r="B50" s="19" t="str">
        <f t="shared" si="39"/>
        <v>UT</v>
      </c>
      <c r="C50" s="58">
        <f t="shared" si="40"/>
        <v>68787.024692061648</v>
      </c>
      <c r="D50" s="15">
        <f t="shared" si="41"/>
        <v>8946.3333333333339</v>
      </c>
      <c r="E50" s="14">
        <f t="shared" si="42"/>
        <v>7416.5103333333345</v>
      </c>
      <c r="F50" s="14">
        <f t="shared" si="43"/>
        <v>26.497692061124674</v>
      </c>
      <c r="G50" s="13">
        <f t="shared" si="44"/>
        <v>19398.350000000519</v>
      </c>
      <c r="H50" s="15">
        <f t="shared" si="44"/>
        <v>3752.6666666666665</v>
      </c>
      <c r="I50" s="13">
        <f t="shared" si="44"/>
        <v>132</v>
      </c>
      <c r="J50" s="16">
        <f t="shared" si="44"/>
        <v>3470.3333333333335</v>
      </c>
      <c r="K50" s="15">
        <f t="shared" si="44"/>
        <v>9598.3333333333339</v>
      </c>
      <c r="L50" s="14">
        <f t="shared" si="44"/>
        <v>9005.6666666666661</v>
      </c>
      <c r="M50" s="13">
        <f t="shared" si="44"/>
        <v>7040.333333333333</v>
      </c>
    </row>
    <row r="51" spans="1:13" outlineLevel="1" x14ac:dyDescent="0.2">
      <c r="A51" s="20">
        <f t="shared" si="39"/>
        <v>9741</v>
      </c>
      <c r="B51" s="19" t="str">
        <f t="shared" si="39"/>
        <v>UTD</v>
      </c>
      <c r="C51" s="58">
        <f t="shared" si="40"/>
        <v>17900.978760516744</v>
      </c>
      <c r="D51" s="15">
        <f t="shared" si="41"/>
        <v>2393</v>
      </c>
      <c r="E51" s="14">
        <f t="shared" si="42"/>
        <v>1682.279</v>
      </c>
      <c r="F51" s="14">
        <f t="shared" si="43"/>
        <v>26.829760516638267</v>
      </c>
      <c r="G51" s="13">
        <f t="shared" si="44"/>
        <v>5101.2033333334393</v>
      </c>
      <c r="H51" s="15">
        <f t="shared" si="44"/>
        <v>843.33333333333337</v>
      </c>
      <c r="I51" s="13">
        <f t="shared" si="44"/>
        <v>64</v>
      </c>
      <c r="J51" s="16">
        <f t="shared" si="44"/>
        <v>1319.6666666666667</v>
      </c>
      <c r="K51" s="15">
        <f t="shared" si="44"/>
        <v>3315</v>
      </c>
      <c r="L51" s="14">
        <f t="shared" si="44"/>
        <v>2134.3333333333335</v>
      </c>
      <c r="M51" s="13">
        <f t="shared" si="44"/>
        <v>1021.3333333333334</v>
      </c>
    </row>
    <row r="52" spans="1:13" outlineLevel="1" x14ac:dyDescent="0.2">
      <c r="A52" s="20">
        <f t="shared" si="39"/>
        <v>3661</v>
      </c>
      <c r="B52" s="19" t="str">
        <f t="shared" si="39"/>
        <v>UTEP</v>
      </c>
      <c r="C52" s="58">
        <f t="shared" si="40"/>
        <v>24201.177561202836</v>
      </c>
      <c r="D52" s="15">
        <f t="shared" si="41"/>
        <v>3057</v>
      </c>
      <c r="E52" s="14">
        <f t="shared" si="42"/>
        <v>1192.2299999999998</v>
      </c>
      <c r="F52" s="14">
        <f t="shared" si="43"/>
        <v>22.870894536023343</v>
      </c>
      <c r="G52" s="13">
        <f t="shared" si="44"/>
        <v>6298.0766666668133</v>
      </c>
      <c r="H52" s="15">
        <f t="shared" si="44"/>
        <v>1310</v>
      </c>
      <c r="I52" s="13">
        <f t="shared" si="44"/>
        <v>180</v>
      </c>
      <c r="J52" s="16">
        <f t="shared" si="44"/>
        <v>2464.3333333333335</v>
      </c>
      <c r="K52" s="15">
        <f t="shared" si="44"/>
        <v>4362.666666666667</v>
      </c>
      <c r="L52" s="14">
        <f t="shared" si="44"/>
        <v>3358</v>
      </c>
      <c r="M52" s="13">
        <f t="shared" si="44"/>
        <v>1956</v>
      </c>
    </row>
    <row r="53" spans="1:13" outlineLevel="1" x14ac:dyDescent="0.2">
      <c r="A53" s="20">
        <f t="shared" si="39"/>
        <v>3599</v>
      </c>
      <c r="B53" s="19" t="str">
        <f t="shared" si="39"/>
        <v>UTPA</v>
      </c>
      <c r="C53" s="58">
        <f t="shared" si="40"/>
        <v>21392.305823832943</v>
      </c>
      <c r="D53" s="15">
        <f t="shared" si="41"/>
        <v>2580</v>
      </c>
      <c r="E53" s="14">
        <f t="shared" si="42"/>
        <v>1111.98</v>
      </c>
      <c r="F53" s="14">
        <f t="shared" si="43"/>
        <v>20.492490499497837</v>
      </c>
      <c r="G53" s="13">
        <f t="shared" si="44"/>
        <v>5134.1666666667797</v>
      </c>
      <c r="H53" s="15">
        <f t="shared" si="44"/>
        <v>1040.6666666666667</v>
      </c>
      <c r="I53" s="13">
        <f t="shared" si="44"/>
        <v>56</v>
      </c>
      <c r="J53" s="16">
        <f t="shared" si="44"/>
        <v>2338.3333333333335</v>
      </c>
      <c r="K53" s="15">
        <f t="shared" si="44"/>
        <v>4075.3333333333335</v>
      </c>
      <c r="L53" s="14">
        <f t="shared" si="44"/>
        <v>3096</v>
      </c>
      <c r="M53" s="13">
        <f t="shared" si="44"/>
        <v>1939.3333333333333</v>
      </c>
    </row>
    <row r="54" spans="1:13" outlineLevel="1" x14ac:dyDescent="0.2">
      <c r="A54" s="20">
        <f t="shared" si="39"/>
        <v>30646</v>
      </c>
      <c r="B54" s="19" t="str">
        <f t="shared" si="39"/>
        <v>UTB</v>
      </c>
      <c r="C54" s="58">
        <f t="shared" si="40"/>
        <v>7057.7588275484459</v>
      </c>
      <c r="D54" s="15">
        <f t="shared" si="41"/>
        <v>1092</v>
      </c>
      <c r="E54" s="14">
        <f t="shared" si="42"/>
        <v>628.17092451302005</v>
      </c>
      <c r="F54" s="14">
        <f t="shared" si="43"/>
        <v>34.461236368736628</v>
      </c>
      <c r="G54" s="13">
        <f t="shared" si="44"/>
        <v>2097.7933333333553</v>
      </c>
      <c r="H54" s="15">
        <f t="shared" si="44"/>
        <v>248.66666666666666</v>
      </c>
      <c r="I54" s="13">
        <f t="shared" si="44"/>
        <v>36.666666666666664</v>
      </c>
      <c r="J54" s="16">
        <f t="shared" si="44"/>
        <v>936.66666666666663</v>
      </c>
      <c r="K54" s="15">
        <f t="shared" si="44"/>
        <v>1326.3333333333333</v>
      </c>
      <c r="L54" s="14">
        <f t="shared" si="44"/>
        <v>556.33333333333337</v>
      </c>
      <c r="M54" s="13">
        <f t="shared" si="44"/>
        <v>100.66666666666667</v>
      </c>
    </row>
    <row r="55" spans="1:13" outlineLevel="1" x14ac:dyDescent="0.2">
      <c r="A55" s="20">
        <f t="shared" si="39"/>
        <v>9930</v>
      </c>
      <c r="B55" s="19" t="str">
        <f t="shared" si="39"/>
        <v>UTPB</v>
      </c>
      <c r="C55" s="58">
        <f t="shared" si="40"/>
        <v>3768.108507976583</v>
      </c>
      <c r="D55" s="15">
        <f t="shared" si="41"/>
        <v>533.33333333333337</v>
      </c>
      <c r="E55" s="14">
        <f t="shared" si="42"/>
        <v>236.8</v>
      </c>
      <c r="F55" s="14">
        <f t="shared" si="43"/>
        <v>23.125174643246009</v>
      </c>
      <c r="G55" s="13">
        <f t="shared" si="44"/>
        <v>1001.5166666666704</v>
      </c>
      <c r="H55" s="15">
        <f t="shared" si="44"/>
        <v>82.666666666666671</v>
      </c>
      <c r="I55" s="13">
        <f t="shared" si="44"/>
        <v>20</v>
      </c>
      <c r="J55" s="16">
        <f t="shared" si="44"/>
        <v>399</v>
      </c>
      <c r="K55" s="15">
        <f t="shared" si="44"/>
        <v>785.66666666666663</v>
      </c>
      <c r="L55" s="14">
        <f t="shared" si="44"/>
        <v>491.66666666666669</v>
      </c>
      <c r="M55" s="13">
        <f t="shared" si="44"/>
        <v>194.33333333333334</v>
      </c>
    </row>
    <row r="56" spans="1:13" outlineLevel="1" x14ac:dyDescent="0.2">
      <c r="A56" s="20">
        <f t="shared" si="39"/>
        <v>10115</v>
      </c>
      <c r="B56" s="19" t="str">
        <f t="shared" si="39"/>
        <v>UTSA</v>
      </c>
      <c r="C56" s="58">
        <f t="shared" si="40"/>
        <v>32182.247145212375</v>
      </c>
      <c r="D56" s="15">
        <f t="shared" si="41"/>
        <v>4119.666666666667</v>
      </c>
      <c r="E56" s="14">
        <f t="shared" si="42"/>
        <v>1737.1261111111112</v>
      </c>
      <c r="F56" s="14">
        <f t="shared" si="43"/>
        <v>20.241034101368403</v>
      </c>
      <c r="G56" s="13">
        <f t="shared" si="44"/>
        <v>8414.213333333224</v>
      </c>
      <c r="H56" s="15">
        <f t="shared" si="44"/>
        <v>784</v>
      </c>
      <c r="I56" s="13">
        <f t="shared" si="44"/>
        <v>99.333333333333329</v>
      </c>
      <c r="J56" s="16">
        <f t="shared" si="44"/>
        <v>3123.6666666666665</v>
      </c>
      <c r="K56" s="15">
        <f t="shared" si="44"/>
        <v>6809.666666666667</v>
      </c>
      <c r="L56" s="14">
        <f t="shared" si="44"/>
        <v>4458.666666666667</v>
      </c>
      <c r="M56" s="13">
        <f t="shared" si="44"/>
        <v>2615.6666666666665</v>
      </c>
    </row>
    <row r="57" spans="1:13" outlineLevel="1" x14ac:dyDescent="0.2">
      <c r="A57" s="20">
        <f t="shared" si="39"/>
        <v>11163</v>
      </c>
      <c r="B57" s="19" t="str">
        <f t="shared" si="39"/>
        <v>UTT</v>
      </c>
      <c r="C57" s="58">
        <f t="shared" si="40"/>
        <v>8632.8924071838283</v>
      </c>
      <c r="D57" s="15">
        <f t="shared" si="41"/>
        <v>1190</v>
      </c>
      <c r="E57" s="14">
        <f t="shared" si="42"/>
        <v>613.64333333333343</v>
      </c>
      <c r="F57" s="14">
        <f t="shared" si="43"/>
        <v>29.255740517151896</v>
      </c>
      <c r="G57" s="13">
        <f t="shared" si="44"/>
        <v>2362.6600000000103</v>
      </c>
      <c r="H57" s="15">
        <f t="shared" si="44"/>
        <v>753.33333333333337</v>
      </c>
      <c r="I57" s="13">
        <f t="shared" si="44"/>
        <v>28</v>
      </c>
      <c r="J57" s="16">
        <f t="shared" si="44"/>
        <v>942.33333333333337</v>
      </c>
      <c r="K57" s="15">
        <f t="shared" si="44"/>
        <v>1436.3333333333333</v>
      </c>
      <c r="L57" s="14">
        <f t="shared" si="44"/>
        <v>890</v>
      </c>
      <c r="M57" s="13">
        <f t="shared" si="44"/>
        <v>387.33333333333331</v>
      </c>
    </row>
    <row r="58" spans="1:13" outlineLevel="1" x14ac:dyDescent="0.2">
      <c r="A58" s="20">
        <f t="shared" si="39"/>
        <v>3632</v>
      </c>
      <c r="B58" s="19" t="str">
        <f t="shared" si="39"/>
        <v>TAMU</v>
      </c>
      <c r="C58" s="58">
        <f t="shared" si="40"/>
        <v>69584.538331015414</v>
      </c>
      <c r="D58" s="15">
        <f t="shared" si="41"/>
        <v>8739.6666666666661</v>
      </c>
      <c r="E58" s="14">
        <f t="shared" si="42"/>
        <v>7347.1464444444427</v>
      </c>
      <c r="F58" s="14">
        <f t="shared" si="43"/>
        <v>25.241886570842681</v>
      </c>
      <c r="G58" s="13">
        <f t="shared" si="44"/>
        <v>20104.8166666668</v>
      </c>
      <c r="H58" s="15">
        <f t="shared" si="44"/>
        <v>3526</v>
      </c>
      <c r="I58" s="13">
        <f t="shared" si="44"/>
        <v>252</v>
      </c>
      <c r="J58" s="16">
        <f t="shared" si="44"/>
        <v>3724</v>
      </c>
      <c r="K58" s="15">
        <f t="shared" si="44"/>
        <v>10060.666666666666</v>
      </c>
      <c r="L58" s="14">
        <f t="shared" si="44"/>
        <v>8907.3333333333339</v>
      </c>
      <c r="M58" s="13">
        <f t="shared" si="44"/>
        <v>6897.666666666667</v>
      </c>
    </row>
    <row r="59" spans="1:13" outlineLevel="1" x14ac:dyDescent="0.2">
      <c r="A59" s="20">
        <f t="shared" si="39"/>
        <v>10298</v>
      </c>
      <c r="B59" s="19" t="str">
        <f t="shared" si="39"/>
        <v>TAMUG</v>
      </c>
      <c r="C59" s="58">
        <f t="shared" si="40"/>
        <v>3836.2276183820381</v>
      </c>
      <c r="D59" s="15">
        <f>D101*D$48*1.5</f>
        <v>413</v>
      </c>
      <c r="E59" s="14">
        <f>D101*E101*E$48*1.5</f>
        <v>259.08866666666665</v>
      </c>
      <c r="F59" s="14">
        <f>IFERROR(D101/F101*100*F$48,0)*1.5</f>
        <v>24.598951715374838</v>
      </c>
      <c r="G59" s="13">
        <f t="shared" ref="G59:M59" si="45">G101*G$48*1.5</f>
        <v>1056.0399999999968</v>
      </c>
      <c r="H59" s="15">
        <f t="shared" si="45"/>
        <v>112</v>
      </c>
      <c r="I59" s="13">
        <f t="shared" si="45"/>
        <v>0</v>
      </c>
      <c r="J59" s="16">
        <f t="shared" si="45"/>
        <v>237</v>
      </c>
      <c r="K59" s="15">
        <f t="shared" si="45"/>
        <v>888.5</v>
      </c>
      <c r="L59" s="14">
        <f t="shared" si="45"/>
        <v>477</v>
      </c>
      <c r="M59" s="13">
        <f t="shared" si="45"/>
        <v>369</v>
      </c>
    </row>
    <row r="60" spans="1:13" outlineLevel="1" x14ac:dyDescent="0.2">
      <c r="A60" s="20">
        <f t="shared" si="39"/>
        <v>3630</v>
      </c>
      <c r="B60" s="19" t="str">
        <f t="shared" si="39"/>
        <v>Prairie View</v>
      </c>
      <c r="C60" s="58">
        <f t="shared" si="40"/>
        <v>8580.7275769141961</v>
      </c>
      <c r="D60" s="15">
        <f t="shared" ref="D60:D86" si="46">D102*D$48</f>
        <v>936.33333333333337</v>
      </c>
      <c r="E60" s="14">
        <f t="shared" ref="E60:E86" si="47">D102*E102*E$48</f>
        <v>348.00388888888887</v>
      </c>
      <c r="F60" s="14">
        <f t="shared" ref="F60:F86" si="48">IFERROR(D102/F102*100*F$48,0)</f>
        <v>15.823688025296873</v>
      </c>
      <c r="G60" s="13">
        <f t="shared" ref="G60:M69" si="49">G102*G$48</f>
        <v>2072.9000000000092</v>
      </c>
      <c r="H60" s="15">
        <f t="shared" si="49"/>
        <v>631.33333333333337</v>
      </c>
      <c r="I60" s="13">
        <f t="shared" si="49"/>
        <v>19.333333333333332</v>
      </c>
      <c r="J60" s="16">
        <f t="shared" si="49"/>
        <v>802.66666666666663</v>
      </c>
      <c r="K60" s="15">
        <f t="shared" si="49"/>
        <v>1668</v>
      </c>
      <c r="L60" s="14">
        <f t="shared" si="49"/>
        <v>1181</v>
      </c>
      <c r="M60" s="13">
        <f t="shared" si="49"/>
        <v>905.33333333333337</v>
      </c>
    </row>
    <row r="61" spans="1:13" outlineLevel="1" x14ac:dyDescent="0.2">
      <c r="A61" s="20">
        <f t="shared" si="39"/>
        <v>3631</v>
      </c>
      <c r="B61" s="19" t="str">
        <f t="shared" si="39"/>
        <v>Tarleton</v>
      </c>
      <c r="C61" s="58">
        <f t="shared" si="40"/>
        <v>11473.105767752351</v>
      </c>
      <c r="D61" s="15">
        <f t="shared" si="46"/>
        <v>1545.3333333333333</v>
      </c>
      <c r="E61" s="14">
        <f t="shared" si="47"/>
        <v>738.66933333333338</v>
      </c>
      <c r="F61" s="14">
        <f t="shared" si="48"/>
        <v>24.559767752325659</v>
      </c>
      <c r="G61" s="13">
        <f t="shared" si="49"/>
        <v>3122.5433333333599</v>
      </c>
      <c r="H61" s="15">
        <f t="shared" si="49"/>
        <v>406</v>
      </c>
      <c r="I61" s="13">
        <f t="shared" si="49"/>
        <v>95.333333333333329</v>
      </c>
      <c r="J61" s="16">
        <f t="shared" si="49"/>
        <v>1195</v>
      </c>
      <c r="K61" s="15">
        <f t="shared" si="49"/>
        <v>2154.3333333333335</v>
      </c>
      <c r="L61" s="14">
        <f t="shared" si="49"/>
        <v>1328.6666666666667</v>
      </c>
      <c r="M61" s="13">
        <f t="shared" si="49"/>
        <v>862.66666666666663</v>
      </c>
    </row>
    <row r="62" spans="1:13" outlineLevel="1" x14ac:dyDescent="0.2">
      <c r="A62" s="27">
        <f t="shared" si="39"/>
        <v>103631</v>
      </c>
      <c r="B62" s="19" t="str">
        <f t="shared" si="39"/>
        <v>TAMUCT</v>
      </c>
      <c r="C62" s="58">
        <f t="shared" si="40"/>
        <v>2671.9105161886728</v>
      </c>
      <c r="D62" s="15">
        <f t="shared" si="46"/>
        <v>460.33333333333331</v>
      </c>
      <c r="E62" s="14">
        <f t="shared" si="47"/>
        <v>220.03933333333333</v>
      </c>
      <c r="F62" s="14">
        <f t="shared" si="48"/>
        <v>67.587849522007247</v>
      </c>
      <c r="G62" s="13">
        <f t="shared" si="49"/>
        <v>853.61666666666588</v>
      </c>
      <c r="H62" s="15">
        <f t="shared" si="49"/>
        <v>81.333333333333329</v>
      </c>
      <c r="I62" s="13">
        <f t="shared" si="49"/>
        <v>0</v>
      </c>
      <c r="J62" s="16">
        <f t="shared" si="49"/>
        <v>327</v>
      </c>
      <c r="K62" s="15">
        <f t="shared" si="49"/>
        <v>495</v>
      </c>
      <c r="L62" s="14">
        <f t="shared" si="49"/>
        <v>133</v>
      </c>
      <c r="M62" s="13">
        <f t="shared" si="49"/>
        <v>34</v>
      </c>
    </row>
    <row r="63" spans="1:13" outlineLevel="1" x14ac:dyDescent="0.2">
      <c r="A63" s="20">
        <f t="shared" si="39"/>
        <v>11161</v>
      </c>
      <c r="B63" s="19" t="str">
        <f t="shared" si="39"/>
        <v>TAMUCC</v>
      </c>
      <c r="C63" s="58">
        <f t="shared" si="40"/>
        <v>10983.516514062836</v>
      </c>
      <c r="D63" s="15">
        <f t="shared" si="46"/>
        <v>1388.3333333333333</v>
      </c>
      <c r="E63" s="14">
        <f t="shared" si="47"/>
        <v>705.27333333333331</v>
      </c>
      <c r="F63" s="14">
        <f t="shared" si="48"/>
        <v>21.376514062820775</v>
      </c>
      <c r="G63" s="13">
        <f t="shared" si="49"/>
        <v>2804.2000000000139</v>
      </c>
      <c r="H63" s="15">
        <f t="shared" si="49"/>
        <v>532.66666666666663</v>
      </c>
      <c r="I63" s="13">
        <f t="shared" si="49"/>
        <v>51.333333333333336</v>
      </c>
      <c r="J63" s="16">
        <f t="shared" si="49"/>
        <v>1080</v>
      </c>
      <c r="K63" s="15">
        <f t="shared" si="49"/>
        <v>2054</v>
      </c>
      <c r="L63" s="14">
        <f t="shared" si="49"/>
        <v>1468</v>
      </c>
      <c r="M63" s="13">
        <f t="shared" si="49"/>
        <v>878.33333333333337</v>
      </c>
    </row>
    <row r="64" spans="1:13" outlineLevel="1" x14ac:dyDescent="0.2">
      <c r="A64" s="20">
        <f t="shared" si="39"/>
        <v>3639</v>
      </c>
      <c r="B64" s="19" t="str">
        <f t="shared" si="39"/>
        <v>TAMUK</v>
      </c>
      <c r="C64" s="58">
        <f t="shared" si="40"/>
        <v>6696.7767214397563</v>
      </c>
      <c r="D64" s="15">
        <f t="shared" si="46"/>
        <v>761.66666666666663</v>
      </c>
      <c r="E64" s="14">
        <f t="shared" si="47"/>
        <v>306.44388888888892</v>
      </c>
      <c r="F64" s="14">
        <f t="shared" si="48"/>
        <v>17.879499217527385</v>
      </c>
      <c r="G64" s="13">
        <f t="shared" si="49"/>
        <v>1763.4533333333395</v>
      </c>
      <c r="H64" s="15">
        <f t="shared" si="49"/>
        <v>520</v>
      </c>
      <c r="I64" s="13">
        <f t="shared" si="49"/>
        <v>33.333333333333336</v>
      </c>
      <c r="J64" s="16">
        <f t="shared" si="49"/>
        <v>648.33333333333337</v>
      </c>
      <c r="K64" s="15">
        <f t="shared" si="49"/>
        <v>1227.3333333333333</v>
      </c>
      <c r="L64" s="14">
        <f t="shared" si="49"/>
        <v>859.66666666666663</v>
      </c>
      <c r="M64" s="13">
        <f t="shared" si="49"/>
        <v>558.66666666666663</v>
      </c>
    </row>
    <row r="65" spans="1:13" outlineLevel="1" x14ac:dyDescent="0.2">
      <c r="A65" s="27">
        <f t="shared" si="39"/>
        <v>103639</v>
      </c>
      <c r="B65" s="19" t="str">
        <f t="shared" si="39"/>
        <v>TAMUSA</v>
      </c>
      <c r="C65" s="58">
        <f t="shared" si="40"/>
        <v>3205.7163913742643</v>
      </c>
      <c r="D65" s="15">
        <f t="shared" si="46"/>
        <v>587.66666666666663</v>
      </c>
      <c r="E65" s="14">
        <f t="shared" si="47"/>
        <v>236.43788888888889</v>
      </c>
      <c r="F65" s="14">
        <f t="shared" si="48"/>
        <v>41.598502485370922</v>
      </c>
      <c r="G65" s="13">
        <f t="shared" si="49"/>
        <v>1026.0133333333379</v>
      </c>
      <c r="H65" s="15">
        <f t="shared" si="49"/>
        <v>10</v>
      </c>
      <c r="I65" s="13">
        <f t="shared" si="49"/>
        <v>4</v>
      </c>
      <c r="J65" s="16">
        <f t="shared" si="49"/>
        <v>490.33333333333331</v>
      </c>
      <c r="K65" s="15">
        <f t="shared" si="49"/>
        <v>729.66666666666663</v>
      </c>
      <c r="L65" s="14">
        <f t="shared" si="49"/>
        <v>77.333333333333329</v>
      </c>
      <c r="M65" s="13">
        <f t="shared" si="49"/>
        <v>2.6666666666666665</v>
      </c>
    </row>
    <row r="66" spans="1:13" outlineLevel="1" x14ac:dyDescent="0.2">
      <c r="A66" s="20">
        <f t="shared" si="39"/>
        <v>9651</v>
      </c>
      <c r="B66" s="19" t="str">
        <f t="shared" si="39"/>
        <v>TAMI</v>
      </c>
      <c r="C66" s="58">
        <f t="shared" si="40"/>
        <v>6525.9317099037416</v>
      </c>
      <c r="D66" s="15">
        <f t="shared" si="46"/>
        <v>789.66666666666663</v>
      </c>
      <c r="E66" s="14">
        <f t="shared" si="47"/>
        <v>373.77555555555551</v>
      </c>
      <c r="F66" s="14">
        <f t="shared" si="48"/>
        <v>19.326154348180779</v>
      </c>
      <c r="G66" s="13">
        <f t="shared" si="49"/>
        <v>1458.4966666666717</v>
      </c>
      <c r="H66" s="15">
        <f t="shared" si="49"/>
        <v>231.33333333333334</v>
      </c>
      <c r="I66" s="13">
        <f t="shared" si="49"/>
        <v>44.666666666666664</v>
      </c>
      <c r="J66" s="16">
        <f t="shared" si="49"/>
        <v>712.66666666666663</v>
      </c>
      <c r="K66" s="15">
        <f t="shared" si="49"/>
        <v>1406.6666666666667</v>
      </c>
      <c r="L66" s="14">
        <f t="shared" si="49"/>
        <v>1015.6666666666666</v>
      </c>
      <c r="M66" s="13">
        <f t="shared" si="49"/>
        <v>473.66666666666669</v>
      </c>
    </row>
    <row r="67" spans="1:13" outlineLevel="1" x14ac:dyDescent="0.2">
      <c r="A67" s="20">
        <f t="shared" si="39"/>
        <v>3665</v>
      </c>
      <c r="B67" s="19" t="str">
        <f t="shared" si="39"/>
        <v>WTAMU</v>
      </c>
      <c r="C67" s="58">
        <f t="shared" si="40"/>
        <v>9433.0981662984941</v>
      </c>
      <c r="D67" s="15">
        <f t="shared" si="46"/>
        <v>1255.6666666666667</v>
      </c>
      <c r="E67" s="14">
        <f t="shared" si="47"/>
        <v>591.00044444444438</v>
      </c>
      <c r="F67" s="14">
        <f t="shared" si="48"/>
        <v>23.187721854032869</v>
      </c>
      <c r="G67" s="13">
        <f t="shared" si="49"/>
        <v>2503.5766666666836</v>
      </c>
      <c r="H67" s="15">
        <f t="shared" si="49"/>
        <v>383.33333333333331</v>
      </c>
      <c r="I67" s="13">
        <f t="shared" si="49"/>
        <v>121.33333333333333</v>
      </c>
      <c r="J67" s="16">
        <f t="shared" si="49"/>
        <v>889.33333333333337</v>
      </c>
      <c r="K67" s="15">
        <f t="shared" si="49"/>
        <v>1791.6666666666667</v>
      </c>
      <c r="L67" s="14">
        <f t="shared" si="49"/>
        <v>1212.6666666666667</v>
      </c>
      <c r="M67" s="13">
        <f t="shared" si="49"/>
        <v>661.33333333333337</v>
      </c>
    </row>
    <row r="68" spans="1:13" outlineLevel="1" x14ac:dyDescent="0.2">
      <c r="A68" s="20">
        <f t="shared" si="39"/>
        <v>3565</v>
      </c>
      <c r="B68" s="19" t="str">
        <f t="shared" si="39"/>
        <v>TAMUC</v>
      </c>
      <c r="C68" s="58">
        <f t="shared" si="40"/>
        <v>9233.7287686960499</v>
      </c>
      <c r="D68" s="15">
        <f t="shared" si="46"/>
        <v>1324.3333333333333</v>
      </c>
      <c r="E68" s="14">
        <f t="shared" si="47"/>
        <v>582.70666666666659</v>
      </c>
      <c r="F68" s="14">
        <f t="shared" si="48"/>
        <v>28.19543536269185</v>
      </c>
      <c r="G68" s="13">
        <f t="shared" si="49"/>
        <v>2501.8266666666914</v>
      </c>
      <c r="H68" s="15">
        <f t="shared" si="49"/>
        <v>146</v>
      </c>
      <c r="I68" s="13">
        <f t="shared" si="49"/>
        <v>148.66666666666666</v>
      </c>
      <c r="J68" s="16">
        <f t="shared" si="49"/>
        <v>1019.3333333333334</v>
      </c>
      <c r="K68" s="15">
        <f t="shared" si="49"/>
        <v>1893</v>
      </c>
      <c r="L68" s="14">
        <f t="shared" si="49"/>
        <v>1137.3333333333333</v>
      </c>
      <c r="M68" s="13">
        <f t="shared" si="49"/>
        <v>452.33333333333331</v>
      </c>
    </row>
    <row r="69" spans="1:13" outlineLevel="1" x14ac:dyDescent="0.2">
      <c r="A69" s="20">
        <f t="shared" ref="A69:B86" si="50">A25</f>
        <v>29269</v>
      </c>
      <c r="B69" s="19" t="str">
        <f t="shared" si="50"/>
        <v>TAMUT</v>
      </c>
      <c r="C69" s="58">
        <f t="shared" si="40"/>
        <v>2167.0366176870225</v>
      </c>
      <c r="D69" s="15">
        <f t="shared" si="46"/>
        <v>345.66666666666669</v>
      </c>
      <c r="E69" s="14">
        <f t="shared" si="47"/>
        <v>187.3602625468375</v>
      </c>
      <c r="F69" s="14">
        <f t="shared" si="48"/>
        <v>38.766355140186917</v>
      </c>
      <c r="G69" s="13">
        <f t="shared" si="49"/>
        <v>619.90999999999826</v>
      </c>
      <c r="H69" s="15">
        <f t="shared" si="49"/>
        <v>83.333333333333329</v>
      </c>
      <c r="I69" s="13">
        <f t="shared" si="49"/>
        <v>38.666666666666664</v>
      </c>
      <c r="J69" s="16">
        <f t="shared" si="49"/>
        <v>239</v>
      </c>
      <c r="K69" s="15">
        <f t="shared" si="49"/>
        <v>432.66666666666669</v>
      </c>
      <c r="L69" s="14">
        <f t="shared" si="49"/>
        <v>181</v>
      </c>
      <c r="M69" s="13">
        <f t="shared" si="49"/>
        <v>0.66666666666666663</v>
      </c>
    </row>
    <row r="70" spans="1:13" outlineLevel="1" x14ac:dyDescent="0.2">
      <c r="A70" s="20">
        <f t="shared" si="50"/>
        <v>3652</v>
      </c>
      <c r="B70" s="19" t="str">
        <f t="shared" si="50"/>
        <v>UH</v>
      </c>
      <c r="C70" s="58">
        <f t="shared" si="40"/>
        <v>40007.256605232862</v>
      </c>
      <c r="D70" s="15">
        <f t="shared" si="46"/>
        <v>5098.666666666667</v>
      </c>
      <c r="E70" s="14">
        <f t="shared" si="47"/>
        <v>2734.5848888888891</v>
      </c>
      <c r="F70" s="14">
        <f t="shared" si="48"/>
        <v>21.425049678026625</v>
      </c>
      <c r="G70" s="13">
        <f t="shared" ref="G70:M79" si="51">G112*G$48</f>
        <v>10580.246666665944</v>
      </c>
      <c r="H70" s="15">
        <f t="shared" si="51"/>
        <v>1474</v>
      </c>
      <c r="I70" s="13">
        <f t="shared" si="51"/>
        <v>125.33333333333333</v>
      </c>
      <c r="J70" s="16">
        <f t="shared" si="51"/>
        <v>3373</v>
      </c>
      <c r="K70" s="15">
        <f t="shared" si="51"/>
        <v>7602.333333333333</v>
      </c>
      <c r="L70" s="14">
        <f t="shared" si="51"/>
        <v>5690.333333333333</v>
      </c>
      <c r="M70" s="13">
        <f t="shared" si="51"/>
        <v>3307.3333333333335</v>
      </c>
    </row>
    <row r="71" spans="1:13" outlineLevel="1" x14ac:dyDescent="0.2">
      <c r="A71" s="20">
        <f t="shared" si="50"/>
        <v>11711</v>
      </c>
      <c r="B71" s="19" t="str">
        <f t="shared" si="50"/>
        <v>UHCL</v>
      </c>
      <c r="C71" s="58">
        <f t="shared" si="40"/>
        <v>7538.9896060071042</v>
      </c>
      <c r="D71" s="15">
        <f t="shared" si="46"/>
        <v>1190.6666666666667</v>
      </c>
      <c r="E71" s="14">
        <f t="shared" si="47"/>
        <v>619.34267935898833</v>
      </c>
      <c r="F71" s="14">
        <f t="shared" si="48"/>
        <v>39.693593314763234</v>
      </c>
      <c r="G71" s="13">
        <f t="shared" si="51"/>
        <v>2282.9533333333529</v>
      </c>
      <c r="H71" s="15">
        <f t="shared" si="51"/>
        <v>213.33333333333334</v>
      </c>
      <c r="I71" s="13">
        <f t="shared" si="51"/>
        <v>16.666666666666668</v>
      </c>
      <c r="J71" s="16">
        <f t="shared" si="51"/>
        <v>774.33333333333337</v>
      </c>
      <c r="K71" s="15">
        <f t="shared" si="51"/>
        <v>1391.3333333333333</v>
      </c>
      <c r="L71" s="14">
        <f t="shared" si="51"/>
        <v>953.66666666666663</v>
      </c>
      <c r="M71" s="13">
        <f t="shared" si="51"/>
        <v>57</v>
      </c>
    </row>
    <row r="72" spans="1:13" outlineLevel="1" x14ac:dyDescent="0.2">
      <c r="A72" s="20">
        <f t="shared" si="50"/>
        <v>12826</v>
      </c>
      <c r="B72" s="19" t="str">
        <f t="shared" si="50"/>
        <v>UHD</v>
      </c>
      <c r="C72" s="58">
        <f t="shared" si="40"/>
        <v>14658.126365196475</v>
      </c>
      <c r="D72" s="15">
        <f t="shared" si="46"/>
        <v>2382.3333333333335</v>
      </c>
      <c r="E72" s="14">
        <f t="shared" si="47"/>
        <v>452.64333333333343</v>
      </c>
      <c r="F72" s="14">
        <f t="shared" si="48"/>
        <v>29.833031863086134</v>
      </c>
      <c r="G72" s="13">
        <f t="shared" si="51"/>
        <v>4271.3166666667212</v>
      </c>
      <c r="H72" s="15">
        <f t="shared" si="51"/>
        <v>259.33333333333331</v>
      </c>
      <c r="I72" s="13">
        <f t="shared" si="51"/>
        <v>3.3333333333333335</v>
      </c>
      <c r="J72" s="16">
        <f t="shared" si="51"/>
        <v>1681</v>
      </c>
      <c r="K72" s="15">
        <f t="shared" si="51"/>
        <v>3105.3333333333335</v>
      </c>
      <c r="L72" s="14">
        <f t="shared" si="51"/>
        <v>1868.3333333333333</v>
      </c>
      <c r="M72" s="13">
        <f t="shared" si="51"/>
        <v>604.66666666666663</v>
      </c>
    </row>
    <row r="73" spans="1:13" outlineLevel="1" x14ac:dyDescent="0.2">
      <c r="A73" s="20">
        <f t="shared" si="50"/>
        <v>13231</v>
      </c>
      <c r="B73" s="19" t="str">
        <f t="shared" si="50"/>
        <v>UHV</v>
      </c>
      <c r="C73" s="58">
        <f t="shared" si="40"/>
        <v>3635.0934450646537</v>
      </c>
      <c r="D73" s="15">
        <f t="shared" si="46"/>
        <v>576.66666666666663</v>
      </c>
      <c r="E73" s="14">
        <f t="shared" si="47"/>
        <v>300.19546283886069</v>
      </c>
      <c r="F73" s="14">
        <f t="shared" si="48"/>
        <v>40.08464889245883</v>
      </c>
      <c r="G73" s="13">
        <f t="shared" si="51"/>
        <v>1084.4800000000012</v>
      </c>
      <c r="H73" s="15">
        <f t="shared" si="51"/>
        <v>216</v>
      </c>
      <c r="I73" s="13">
        <f t="shared" si="51"/>
        <v>14.666666666666666</v>
      </c>
      <c r="J73" s="16">
        <f t="shared" si="51"/>
        <v>384</v>
      </c>
      <c r="K73" s="15">
        <f t="shared" si="51"/>
        <v>716</v>
      </c>
      <c r="L73" s="14">
        <f t="shared" si="51"/>
        <v>296.33333333333331</v>
      </c>
      <c r="M73" s="13">
        <f t="shared" si="51"/>
        <v>6.666666666666667</v>
      </c>
    </row>
    <row r="74" spans="1:13" outlineLevel="1" x14ac:dyDescent="0.2">
      <c r="A74" s="20">
        <f t="shared" si="50"/>
        <v>3592</v>
      </c>
      <c r="B74" s="19" t="str">
        <f t="shared" si="50"/>
        <v>Midwestern</v>
      </c>
      <c r="C74" s="58">
        <f t="shared" si="40"/>
        <v>8021.7014110369273</v>
      </c>
      <c r="D74" s="15">
        <f t="shared" si="46"/>
        <v>1031.6666666666667</v>
      </c>
      <c r="E74" s="14">
        <f t="shared" si="47"/>
        <v>453.24555555555554</v>
      </c>
      <c r="F74" s="14">
        <f t="shared" si="48"/>
        <v>24.122522148034601</v>
      </c>
      <c r="G74" s="13">
        <f t="shared" si="51"/>
        <v>1962.0000000000034</v>
      </c>
      <c r="H74" s="15">
        <f t="shared" si="51"/>
        <v>666.66666666666663</v>
      </c>
      <c r="I74" s="13">
        <f t="shared" si="51"/>
        <v>30</v>
      </c>
      <c r="J74" s="16">
        <f t="shared" si="51"/>
        <v>690.33333333333337</v>
      </c>
      <c r="K74" s="15">
        <f t="shared" si="51"/>
        <v>1438</v>
      </c>
      <c r="L74" s="14">
        <f t="shared" si="51"/>
        <v>1046</v>
      </c>
      <c r="M74" s="13">
        <f t="shared" si="51"/>
        <v>679.66666666666663</v>
      </c>
    </row>
    <row r="75" spans="1:13" outlineLevel="1" x14ac:dyDescent="0.2">
      <c r="A75" s="20">
        <f t="shared" si="50"/>
        <v>3594</v>
      </c>
      <c r="B75" s="19" t="str">
        <f t="shared" si="50"/>
        <v>UNT</v>
      </c>
      <c r="C75" s="58">
        <f t="shared" si="40"/>
        <v>42345.712500120833</v>
      </c>
      <c r="D75" s="15">
        <f t="shared" si="46"/>
        <v>6016.666666666667</v>
      </c>
      <c r="E75" s="14">
        <f t="shared" si="47"/>
        <v>3467.6055555555558</v>
      </c>
      <c r="F75" s="14">
        <f t="shared" si="48"/>
        <v>25.886944566084125</v>
      </c>
      <c r="G75" s="13">
        <f t="shared" si="51"/>
        <v>11411.553333332529</v>
      </c>
      <c r="H75" s="15">
        <f t="shared" si="51"/>
        <v>673.33333333333337</v>
      </c>
      <c r="I75" s="13">
        <f t="shared" si="51"/>
        <v>86.666666666666671</v>
      </c>
      <c r="J75" s="16">
        <f t="shared" si="51"/>
        <v>3820</v>
      </c>
      <c r="K75" s="15">
        <f t="shared" si="51"/>
        <v>7864.666666666667</v>
      </c>
      <c r="L75" s="14">
        <f t="shared" si="51"/>
        <v>5642.333333333333</v>
      </c>
      <c r="M75" s="13">
        <f t="shared" si="51"/>
        <v>3337</v>
      </c>
    </row>
    <row r="76" spans="1:13" outlineLevel="1" x14ac:dyDescent="0.2">
      <c r="A76" s="27">
        <f t="shared" si="50"/>
        <v>113594</v>
      </c>
      <c r="B76" s="19" t="str">
        <f t="shared" si="50"/>
        <v>UNTD</v>
      </c>
      <c r="C76" s="58">
        <f t="shared" si="40"/>
        <v>2278.0285160653862</v>
      </c>
      <c r="D76" s="15">
        <f t="shared" si="46"/>
        <v>403.5</v>
      </c>
      <c r="E76" s="14">
        <f t="shared" si="47"/>
        <v>233.02125000000001</v>
      </c>
      <c r="F76" s="14">
        <f t="shared" si="48"/>
        <v>42.647266065388948</v>
      </c>
      <c r="G76" s="13">
        <f t="shared" si="51"/>
        <v>705.85999999999717</v>
      </c>
      <c r="H76" s="15">
        <f t="shared" si="51"/>
        <v>24</v>
      </c>
      <c r="I76" s="13">
        <f t="shared" si="51"/>
        <v>0</v>
      </c>
      <c r="J76" s="16">
        <f t="shared" si="51"/>
        <v>308.5</v>
      </c>
      <c r="K76" s="15">
        <f t="shared" si="51"/>
        <v>478</v>
      </c>
      <c r="L76" s="14">
        <f t="shared" si="51"/>
        <v>71.5</v>
      </c>
      <c r="M76" s="13">
        <f t="shared" si="51"/>
        <v>11</v>
      </c>
    </row>
    <row r="77" spans="1:13" outlineLevel="1" x14ac:dyDescent="0.2">
      <c r="A77" s="20">
        <f t="shared" si="50"/>
        <v>3624</v>
      </c>
      <c r="B77" s="19" t="str">
        <f t="shared" si="50"/>
        <v>SFA</v>
      </c>
      <c r="C77" s="58">
        <f t="shared" si="40"/>
        <v>15015.597544310087</v>
      </c>
      <c r="D77" s="15">
        <f t="shared" si="46"/>
        <v>1921.6666666666667</v>
      </c>
      <c r="E77" s="14">
        <f t="shared" si="47"/>
        <v>1064.6033333333332</v>
      </c>
      <c r="F77" s="14">
        <f t="shared" si="48"/>
        <v>20.257544310083915</v>
      </c>
      <c r="G77" s="13">
        <f t="shared" si="51"/>
        <v>3721.736666666669</v>
      </c>
      <c r="H77" s="15">
        <f t="shared" si="51"/>
        <v>496</v>
      </c>
      <c r="I77" s="13">
        <f t="shared" si="51"/>
        <v>89.333333333333329</v>
      </c>
      <c r="J77" s="16">
        <f t="shared" si="51"/>
        <v>1460.3333333333333</v>
      </c>
      <c r="K77" s="15">
        <f t="shared" si="51"/>
        <v>2769.3333333333335</v>
      </c>
      <c r="L77" s="14">
        <f t="shared" si="51"/>
        <v>2075</v>
      </c>
      <c r="M77" s="13">
        <f t="shared" si="51"/>
        <v>1397.3333333333333</v>
      </c>
    </row>
    <row r="78" spans="1:13" outlineLevel="1" x14ac:dyDescent="0.2">
      <c r="A78" s="20">
        <f t="shared" si="50"/>
        <v>3642</v>
      </c>
      <c r="B78" s="19" t="str">
        <f t="shared" si="50"/>
        <v>TSU</v>
      </c>
      <c r="C78" s="58">
        <f t="shared" si="40"/>
        <v>6928.867569899784</v>
      </c>
      <c r="D78" s="15">
        <f t="shared" si="46"/>
        <v>758.33333333333337</v>
      </c>
      <c r="E78" s="14">
        <f t="shared" si="47"/>
        <v>108.94722222222221</v>
      </c>
      <c r="F78" s="14">
        <f t="shared" si="48"/>
        <v>12.933681010892716</v>
      </c>
      <c r="G78" s="13">
        <f t="shared" si="51"/>
        <v>1488.6533333333352</v>
      </c>
      <c r="H78" s="15">
        <f t="shared" si="51"/>
        <v>268.66666666666669</v>
      </c>
      <c r="I78" s="13">
        <f t="shared" si="51"/>
        <v>6</v>
      </c>
      <c r="J78" s="16">
        <f t="shared" si="51"/>
        <v>666.33333333333337</v>
      </c>
      <c r="K78" s="15">
        <f t="shared" si="51"/>
        <v>1637.3333333333333</v>
      </c>
      <c r="L78" s="14">
        <f t="shared" si="51"/>
        <v>1133</v>
      </c>
      <c r="M78" s="13">
        <f t="shared" si="51"/>
        <v>848.66666666666663</v>
      </c>
    </row>
    <row r="79" spans="1:13" outlineLevel="1" x14ac:dyDescent="0.2">
      <c r="A79" s="20">
        <f t="shared" si="50"/>
        <v>3644</v>
      </c>
      <c r="B79" s="19" t="str">
        <f t="shared" si="50"/>
        <v>TTU</v>
      </c>
      <c r="C79" s="58">
        <f t="shared" si="40"/>
        <v>38301.209243126381</v>
      </c>
      <c r="D79" s="15">
        <f t="shared" si="46"/>
        <v>4674</v>
      </c>
      <c r="E79" s="14">
        <f t="shared" si="47"/>
        <v>3421.3679999999995</v>
      </c>
      <c r="F79" s="14">
        <f t="shared" si="48"/>
        <v>21.061243127033354</v>
      </c>
      <c r="G79" s="13">
        <f t="shared" si="51"/>
        <v>10128.113333332682</v>
      </c>
      <c r="H79" s="15">
        <f t="shared" si="51"/>
        <v>1454.6666666666667</v>
      </c>
      <c r="I79" s="13">
        <f t="shared" si="51"/>
        <v>114.66666666666667</v>
      </c>
      <c r="J79" s="16">
        <f t="shared" si="51"/>
        <v>2778</v>
      </c>
      <c r="K79" s="15">
        <f t="shared" si="51"/>
        <v>6485.333333333333</v>
      </c>
      <c r="L79" s="14">
        <f t="shared" si="51"/>
        <v>5278.333333333333</v>
      </c>
      <c r="M79" s="13">
        <f t="shared" si="51"/>
        <v>3945.6666666666665</v>
      </c>
    </row>
    <row r="80" spans="1:13" outlineLevel="1" x14ac:dyDescent="0.2">
      <c r="A80" s="20">
        <f t="shared" si="50"/>
        <v>3541</v>
      </c>
      <c r="B80" s="19" t="str">
        <f t="shared" si="50"/>
        <v>Angelo</v>
      </c>
      <c r="C80" s="58">
        <f t="shared" si="40"/>
        <v>7865.2652562638259</v>
      </c>
      <c r="D80" s="15">
        <f t="shared" si="46"/>
        <v>991.33333333333337</v>
      </c>
      <c r="E80" s="14">
        <f t="shared" si="47"/>
        <v>425.94288888888889</v>
      </c>
      <c r="F80" s="14">
        <f t="shared" si="48"/>
        <v>20.305700708264297</v>
      </c>
      <c r="G80" s="13">
        <f t="shared" ref="G80:M86" si="52">G122*G$48</f>
        <v>1977.3500000000051</v>
      </c>
      <c r="H80" s="15">
        <f t="shared" si="52"/>
        <v>508.66666666666669</v>
      </c>
      <c r="I80" s="13">
        <f t="shared" si="52"/>
        <v>38.666666666666664</v>
      </c>
      <c r="J80" s="16">
        <f t="shared" si="52"/>
        <v>723</v>
      </c>
      <c r="K80" s="15">
        <f t="shared" si="52"/>
        <v>1438.6666666666667</v>
      </c>
      <c r="L80" s="14">
        <f t="shared" si="52"/>
        <v>1033.6666666666667</v>
      </c>
      <c r="M80" s="13">
        <f t="shared" si="52"/>
        <v>707.66666666666663</v>
      </c>
    </row>
    <row r="81" spans="1:14" outlineLevel="1" x14ac:dyDescent="0.2">
      <c r="A81" s="20">
        <f t="shared" si="50"/>
        <v>3646</v>
      </c>
      <c r="B81" s="19" t="str">
        <f t="shared" si="50"/>
        <v>TWU</v>
      </c>
      <c r="C81" s="58">
        <f t="shared" si="40"/>
        <v>12828.464270961706</v>
      </c>
      <c r="D81" s="15">
        <f t="shared" si="46"/>
        <v>1806</v>
      </c>
      <c r="E81" s="14">
        <f t="shared" si="47"/>
        <v>945.74200000000008</v>
      </c>
      <c r="F81" s="14">
        <f t="shared" si="48"/>
        <v>27.545604295039961</v>
      </c>
      <c r="G81" s="13">
        <f t="shared" si="52"/>
        <v>3452.1766666666658</v>
      </c>
      <c r="H81" s="15">
        <f t="shared" si="52"/>
        <v>1138.6666666666667</v>
      </c>
      <c r="I81" s="13">
        <f t="shared" si="52"/>
        <v>63.333333333333336</v>
      </c>
      <c r="J81" s="16">
        <f t="shared" si="52"/>
        <v>1247</v>
      </c>
      <c r="K81" s="15">
        <f t="shared" si="52"/>
        <v>2196</v>
      </c>
      <c r="L81" s="14">
        <f t="shared" si="52"/>
        <v>1292.3333333333333</v>
      </c>
      <c r="M81" s="13">
        <f t="shared" si="52"/>
        <v>659.66666666666663</v>
      </c>
    </row>
    <row r="82" spans="1:14" outlineLevel="1" x14ac:dyDescent="0.2">
      <c r="A82" s="20">
        <f t="shared" si="50"/>
        <v>3581</v>
      </c>
      <c r="B82" s="19" t="str">
        <f t="shared" si="50"/>
        <v>Lamar</v>
      </c>
      <c r="C82" s="58">
        <f t="shared" si="40"/>
        <v>10793.733373608913</v>
      </c>
      <c r="D82" s="15">
        <f t="shared" si="46"/>
        <v>1335.3333333333333</v>
      </c>
      <c r="E82" s="14">
        <f t="shared" si="47"/>
        <v>467.81177777777776</v>
      </c>
      <c r="F82" s="14">
        <f t="shared" si="48"/>
        <v>18.354929164452098</v>
      </c>
      <c r="G82" s="13">
        <f t="shared" si="52"/>
        <v>2684.9000000000165</v>
      </c>
      <c r="H82" s="15">
        <f t="shared" si="52"/>
        <v>660</v>
      </c>
      <c r="I82" s="13">
        <f t="shared" si="52"/>
        <v>34</v>
      </c>
      <c r="J82" s="16">
        <f t="shared" si="52"/>
        <v>948.66666666666663</v>
      </c>
      <c r="K82" s="15">
        <f t="shared" si="52"/>
        <v>2144.6666666666665</v>
      </c>
      <c r="L82" s="14">
        <f t="shared" si="52"/>
        <v>1489</v>
      </c>
      <c r="M82" s="13">
        <f t="shared" si="52"/>
        <v>1011</v>
      </c>
    </row>
    <row r="83" spans="1:14" outlineLevel="1" x14ac:dyDescent="0.2">
      <c r="A83" s="20">
        <f t="shared" si="50"/>
        <v>3606</v>
      </c>
      <c r="B83" s="19" t="str">
        <f t="shared" si="50"/>
        <v>SHSU</v>
      </c>
      <c r="C83" s="58">
        <f t="shared" si="40"/>
        <v>22037.450098683865</v>
      </c>
      <c r="D83" s="15">
        <f t="shared" si="46"/>
        <v>3077.6666666666665</v>
      </c>
      <c r="E83" s="14">
        <f t="shared" si="47"/>
        <v>1805.5644444444445</v>
      </c>
      <c r="F83" s="14">
        <f t="shared" si="48"/>
        <v>24.475654239301015</v>
      </c>
      <c r="G83" s="13">
        <f t="shared" si="52"/>
        <v>5837.0766666667887</v>
      </c>
      <c r="H83" s="15">
        <f t="shared" si="52"/>
        <v>334</v>
      </c>
      <c r="I83" s="13">
        <f t="shared" si="52"/>
        <v>122</v>
      </c>
      <c r="J83" s="16">
        <f t="shared" si="52"/>
        <v>2213.6666666666665</v>
      </c>
      <c r="K83" s="15">
        <f t="shared" si="52"/>
        <v>3894.3333333333335</v>
      </c>
      <c r="L83" s="14">
        <f t="shared" si="52"/>
        <v>2965.3333333333335</v>
      </c>
      <c r="M83" s="13">
        <f t="shared" si="52"/>
        <v>1763.3333333333333</v>
      </c>
    </row>
    <row r="84" spans="1:14" outlineLevel="1" x14ac:dyDescent="0.2">
      <c r="A84" s="20">
        <f t="shared" si="50"/>
        <v>3615</v>
      </c>
      <c r="B84" s="19" t="str">
        <f t="shared" si="50"/>
        <v>TXST</v>
      </c>
      <c r="C84" s="58">
        <f t="shared" si="40"/>
        <v>40367.896558185806</v>
      </c>
      <c r="D84" s="15">
        <f t="shared" si="46"/>
        <v>5361</v>
      </c>
      <c r="E84" s="14">
        <f t="shared" si="47"/>
        <v>3393.5129999999999</v>
      </c>
      <c r="F84" s="14">
        <f t="shared" si="48"/>
        <v>23.406891519786395</v>
      </c>
      <c r="G84" s="13">
        <f t="shared" si="52"/>
        <v>10437.309999999357</v>
      </c>
      <c r="H84" s="15">
        <f t="shared" si="52"/>
        <v>977.33333333333337</v>
      </c>
      <c r="I84" s="13">
        <f t="shared" si="52"/>
        <v>133.33333333333334</v>
      </c>
      <c r="J84" s="16">
        <f t="shared" si="52"/>
        <v>3675.3333333333335</v>
      </c>
      <c r="K84" s="15">
        <f t="shared" si="52"/>
        <v>7470.333333333333</v>
      </c>
      <c r="L84" s="14">
        <f t="shared" si="52"/>
        <v>5579</v>
      </c>
      <c r="M84" s="13">
        <f t="shared" si="52"/>
        <v>3317.3333333333335</v>
      </c>
    </row>
    <row r="85" spans="1:14" outlineLevel="1" x14ac:dyDescent="0.2">
      <c r="A85" s="20">
        <f t="shared" si="50"/>
        <v>3625</v>
      </c>
      <c r="B85" s="19" t="str">
        <f t="shared" si="50"/>
        <v>SRSU</v>
      </c>
      <c r="C85" s="58">
        <f t="shared" si="40"/>
        <v>1482.5048430083239</v>
      </c>
      <c r="D85" s="15">
        <f t="shared" si="46"/>
        <v>189.33333333333334</v>
      </c>
      <c r="E85" s="14">
        <f t="shared" si="47"/>
        <v>56.989333333333335</v>
      </c>
      <c r="F85" s="14">
        <f t="shared" si="48"/>
        <v>15.518843008324076</v>
      </c>
      <c r="G85" s="13">
        <f t="shared" si="52"/>
        <v>394.32999999999964</v>
      </c>
      <c r="H85" s="15">
        <f t="shared" si="52"/>
        <v>25.333333333333332</v>
      </c>
      <c r="I85" s="13">
        <f t="shared" si="52"/>
        <v>12.666666666666666</v>
      </c>
      <c r="J85" s="16">
        <f t="shared" si="52"/>
        <v>163</v>
      </c>
      <c r="K85" s="15">
        <f t="shared" si="52"/>
        <v>300</v>
      </c>
      <c r="L85" s="14">
        <f t="shared" si="52"/>
        <v>193.66666666666666</v>
      </c>
      <c r="M85" s="13">
        <f t="shared" si="52"/>
        <v>131.66666666666666</v>
      </c>
    </row>
    <row r="86" spans="1:14" outlineLevel="1" x14ac:dyDescent="0.2">
      <c r="A86" s="20">
        <f t="shared" si="50"/>
        <v>20</v>
      </c>
      <c r="B86" s="19" t="str">
        <f t="shared" si="50"/>
        <v>SRRG</v>
      </c>
      <c r="C86" s="58">
        <f t="shared" si="40"/>
        <v>1023.799051555038</v>
      </c>
      <c r="D86" s="15">
        <f t="shared" si="46"/>
        <v>161.66666666666666</v>
      </c>
      <c r="E86" s="14">
        <f t="shared" si="47"/>
        <v>51.365976618337754</v>
      </c>
      <c r="F86" s="14">
        <f t="shared" si="48"/>
        <v>36.596408270033706</v>
      </c>
      <c r="G86" s="13">
        <f t="shared" si="52"/>
        <v>279.16999999999979</v>
      </c>
      <c r="H86" s="15">
        <f t="shared" si="52"/>
        <v>12.666666666666666</v>
      </c>
      <c r="I86" s="13">
        <f t="shared" si="52"/>
        <v>11.333333333333334</v>
      </c>
      <c r="J86" s="16">
        <f t="shared" si="52"/>
        <v>144</v>
      </c>
      <c r="K86" s="15">
        <f t="shared" si="52"/>
        <v>230</v>
      </c>
      <c r="L86" s="14">
        <f t="shared" si="52"/>
        <v>92.666666666666671</v>
      </c>
      <c r="M86" s="13">
        <f t="shared" si="52"/>
        <v>4.333333333333333</v>
      </c>
    </row>
    <row r="87" spans="1:14" ht="13.5" outlineLevel="1" thickBot="1" x14ac:dyDescent="0.25">
      <c r="A87" s="12"/>
      <c r="B87" s="11" t="s">
        <v>11</v>
      </c>
      <c r="C87" s="57">
        <f t="shared" ref="C87:M87" si="53">SUM(C49:C86)</f>
        <v>640213.99180518941</v>
      </c>
      <c r="D87" s="9">
        <f t="shared" si="53"/>
        <v>84453.499999999985</v>
      </c>
      <c r="E87" s="7">
        <f t="shared" si="53"/>
        <v>49118.168778098283</v>
      </c>
      <c r="F87" s="7">
        <f t="shared" si="53"/>
        <v>1025.6696937595482</v>
      </c>
      <c r="G87" s="3">
        <f t="shared" si="53"/>
        <v>172813.15333333181</v>
      </c>
      <c r="H87" s="5">
        <f t="shared" si="53"/>
        <v>27943.999999999996</v>
      </c>
      <c r="I87" s="3">
        <f t="shared" si="53"/>
        <v>2396.666666666667</v>
      </c>
      <c r="J87" s="6">
        <f t="shared" si="53"/>
        <v>54525.500000000007</v>
      </c>
      <c r="K87" s="5">
        <f t="shared" si="53"/>
        <v>114508.83333333331</v>
      </c>
      <c r="L87" s="4">
        <f t="shared" si="53"/>
        <v>82503.5</v>
      </c>
      <c r="M87" s="3">
        <f t="shared" si="53"/>
        <v>50924.999999999993</v>
      </c>
    </row>
    <row r="88" spans="1:14" ht="13.5" thickBot="1" x14ac:dyDescent="0.25">
      <c r="A88" s="45" t="s">
        <v>29</v>
      </c>
      <c r="B88" s="45"/>
      <c r="C88" s="54"/>
      <c r="D88" s="54"/>
      <c r="E88" s="54"/>
      <c r="F88" s="56"/>
      <c r="H88" s="56"/>
    </row>
    <row r="89" spans="1:14" ht="12.75" customHeight="1" outlineLevel="1" x14ac:dyDescent="0.2">
      <c r="A89" s="273" t="s">
        <v>24</v>
      </c>
      <c r="B89" s="275" t="s">
        <v>23</v>
      </c>
      <c r="C89" s="277"/>
      <c r="D89" s="306" t="s">
        <v>28</v>
      </c>
      <c r="E89" s="301" t="s">
        <v>21</v>
      </c>
      <c r="F89" s="275" t="s">
        <v>20</v>
      </c>
      <c r="G89" s="297" t="s">
        <v>19</v>
      </c>
      <c r="H89" s="299" t="s">
        <v>18</v>
      </c>
      <c r="I89" s="291" t="s">
        <v>17</v>
      </c>
      <c r="J89" s="293" t="s">
        <v>16</v>
      </c>
      <c r="K89" s="295" t="s">
        <v>15</v>
      </c>
      <c r="L89" s="296"/>
      <c r="M89" s="296"/>
    </row>
    <row r="90" spans="1:14" s="41" customFormat="1" ht="41.25" customHeight="1" outlineLevel="1" thickBot="1" x14ac:dyDescent="0.25">
      <c r="A90" s="274"/>
      <c r="B90" s="276"/>
      <c r="C90" s="278"/>
      <c r="D90" s="307"/>
      <c r="E90" s="302"/>
      <c r="F90" s="276"/>
      <c r="G90" s="298"/>
      <c r="H90" s="300"/>
      <c r="I90" s="292"/>
      <c r="J90" s="294"/>
      <c r="K90" s="44" t="s">
        <v>14</v>
      </c>
      <c r="L90" s="43" t="s">
        <v>13</v>
      </c>
      <c r="M90" s="42" t="s">
        <v>12</v>
      </c>
    </row>
    <row r="91" spans="1:14" outlineLevel="1" x14ac:dyDescent="0.2">
      <c r="A91" s="20">
        <f t="shared" ref="A91:B110" si="54">A49</f>
        <v>3656</v>
      </c>
      <c r="B91" s="19" t="str">
        <f t="shared" si="54"/>
        <v>UTA</v>
      </c>
      <c r="C91" s="38"/>
      <c r="D91" s="33">
        <f t="shared" ref="D91:M91" si="55">AVERAGE(D133,D175,D217)</f>
        <v>5018</v>
      </c>
      <c r="E91" s="37">
        <f t="shared" si="55"/>
        <v>0.51833333333333342</v>
      </c>
      <c r="F91" s="32">
        <f t="shared" si="55"/>
        <v>16950.533333333333</v>
      </c>
      <c r="G91" s="31">
        <f t="shared" si="55"/>
        <v>10418.553333333379</v>
      </c>
      <c r="H91" s="36">
        <f t="shared" si="55"/>
        <v>1531.3333333333333</v>
      </c>
      <c r="I91" s="35">
        <f t="shared" si="55"/>
        <v>35</v>
      </c>
      <c r="J91" s="34">
        <f t="shared" si="55"/>
        <v>3116</v>
      </c>
      <c r="K91" s="33">
        <f t="shared" si="55"/>
        <v>6836.333333333333</v>
      </c>
      <c r="L91" s="32">
        <f t="shared" si="55"/>
        <v>3833.6666666666665</v>
      </c>
      <c r="M91" s="31">
        <f t="shared" si="55"/>
        <v>1783.6666666666667</v>
      </c>
      <c r="N91" s="55"/>
    </row>
    <row r="92" spans="1:14" outlineLevel="1" x14ac:dyDescent="0.2">
      <c r="A92" s="20">
        <f t="shared" si="54"/>
        <v>3658</v>
      </c>
      <c r="B92" s="19" t="str">
        <f t="shared" si="54"/>
        <v>UT</v>
      </c>
      <c r="C92" s="18"/>
      <c r="D92" s="15">
        <f t="shared" ref="D92:M92" si="56">AVERAGE(D134,D176,D218)</f>
        <v>8946.3333333333339</v>
      </c>
      <c r="E92" s="21">
        <f t="shared" si="56"/>
        <v>0.82900000000000007</v>
      </c>
      <c r="F92" s="14">
        <f t="shared" si="56"/>
        <v>33762.688888888893</v>
      </c>
      <c r="G92" s="13">
        <f t="shared" si="56"/>
        <v>19398.350000000519</v>
      </c>
      <c r="H92" s="15">
        <f t="shared" si="56"/>
        <v>1876.3333333333333</v>
      </c>
      <c r="I92" s="13">
        <f t="shared" si="56"/>
        <v>66</v>
      </c>
      <c r="J92" s="16">
        <f t="shared" si="56"/>
        <v>3470.3333333333335</v>
      </c>
      <c r="K92" s="15">
        <f t="shared" si="56"/>
        <v>9598.3333333333339</v>
      </c>
      <c r="L92" s="14">
        <f t="shared" si="56"/>
        <v>9005.6666666666661</v>
      </c>
      <c r="M92" s="13">
        <f t="shared" si="56"/>
        <v>7040.333333333333</v>
      </c>
      <c r="N92" s="55"/>
    </row>
    <row r="93" spans="1:14" outlineLevel="1" x14ac:dyDescent="0.2">
      <c r="A93" s="20">
        <f t="shared" si="54"/>
        <v>9741</v>
      </c>
      <c r="B93" s="19" t="str">
        <f t="shared" si="54"/>
        <v>UTD</v>
      </c>
      <c r="C93" s="18"/>
      <c r="D93" s="15">
        <f t="shared" ref="D93:M93" si="57">AVERAGE(D135,D177,D219)</f>
        <v>2393</v>
      </c>
      <c r="E93" s="21">
        <f t="shared" si="57"/>
        <v>0.70299999999999996</v>
      </c>
      <c r="F93" s="14">
        <f t="shared" si="57"/>
        <v>8919.1999999999989</v>
      </c>
      <c r="G93" s="13">
        <f t="shared" si="57"/>
        <v>5101.2033333334393</v>
      </c>
      <c r="H93" s="15">
        <f t="shared" si="57"/>
        <v>421.66666666666669</v>
      </c>
      <c r="I93" s="13">
        <f t="shared" si="57"/>
        <v>32</v>
      </c>
      <c r="J93" s="16">
        <f t="shared" si="57"/>
        <v>1319.6666666666667</v>
      </c>
      <c r="K93" s="15">
        <f t="shared" si="57"/>
        <v>3315</v>
      </c>
      <c r="L93" s="14">
        <f t="shared" si="57"/>
        <v>2134.3333333333335</v>
      </c>
      <c r="M93" s="13">
        <f t="shared" si="57"/>
        <v>1021.3333333333334</v>
      </c>
      <c r="N93" s="55"/>
    </row>
    <row r="94" spans="1:14" outlineLevel="1" x14ac:dyDescent="0.2">
      <c r="A94" s="20">
        <f t="shared" si="54"/>
        <v>3661</v>
      </c>
      <c r="B94" s="19" t="str">
        <f t="shared" si="54"/>
        <v>UTEP</v>
      </c>
      <c r="C94" s="18"/>
      <c r="D94" s="15">
        <f t="shared" ref="D94:M94" si="58">AVERAGE(D136,D178,D220)</f>
        <v>3057</v>
      </c>
      <c r="E94" s="21">
        <f t="shared" si="58"/>
        <v>0.38999999999999996</v>
      </c>
      <c r="F94" s="14">
        <f t="shared" si="58"/>
        <v>13366.333333333334</v>
      </c>
      <c r="G94" s="13">
        <f t="shared" si="58"/>
        <v>6298.0766666668133</v>
      </c>
      <c r="H94" s="15">
        <f t="shared" si="58"/>
        <v>655</v>
      </c>
      <c r="I94" s="13">
        <f t="shared" si="58"/>
        <v>90</v>
      </c>
      <c r="J94" s="16">
        <f t="shared" si="58"/>
        <v>2464.3333333333335</v>
      </c>
      <c r="K94" s="15">
        <f t="shared" si="58"/>
        <v>4362.666666666667</v>
      </c>
      <c r="L94" s="14">
        <f t="shared" si="58"/>
        <v>3358</v>
      </c>
      <c r="M94" s="13">
        <f t="shared" si="58"/>
        <v>1956</v>
      </c>
      <c r="N94" s="55"/>
    </row>
    <row r="95" spans="1:14" outlineLevel="1" x14ac:dyDescent="0.2">
      <c r="A95" s="20">
        <f t="shared" si="54"/>
        <v>3599</v>
      </c>
      <c r="B95" s="19" t="str">
        <f t="shared" si="54"/>
        <v>UTPA</v>
      </c>
      <c r="C95" s="18"/>
      <c r="D95" s="15">
        <f t="shared" ref="D95:M95" si="59">AVERAGE(D137,D179,D221)</f>
        <v>2580</v>
      </c>
      <c r="E95" s="21">
        <f t="shared" si="59"/>
        <v>0.43099999999999999</v>
      </c>
      <c r="F95" s="14">
        <f t="shared" si="59"/>
        <v>12589.977777777778</v>
      </c>
      <c r="G95" s="13">
        <f t="shared" si="59"/>
        <v>5134.1666666667797</v>
      </c>
      <c r="H95" s="15">
        <f t="shared" si="59"/>
        <v>520.33333333333337</v>
      </c>
      <c r="I95" s="13">
        <f t="shared" si="59"/>
        <v>28</v>
      </c>
      <c r="J95" s="16">
        <f t="shared" si="59"/>
        <v>2338.3333333333335</v>
      </c>
      <c r="K95" s="15">
        <f t="shared" si="59"/>
        <v>4075.3333333333335</v>
      </c>
      <c r="L95" s="14">
        <f t="shared" si="59"/>
        <v>3096</v>
      </c>
      <c r="M95" s="13">
        <f t="shared" si="59"/>
        <v>1939.3333333333333</v>
      </c>
      <c r="N95" s="55"/>
    </row>
    <row r="96" spans="1:14" outlineLevel="1" x14ac:dyDescent="0.2">
      <c r="A96" s="20">
        <f t="shared" si="54"/>
        <v>30646</v>
      </c>
      <c r="B96" s="19" t="str">
        <f t="shared" si="54"/>
        <v>UTB</v>
      </c>
      <c r="C96" s="18"/>
      <c r="D96" s="15">
        <f t="shared" ref="D96:M96" si="60">AVERAGE(D138,D180,D222)</f>
        <v>1092</v>
      </c>
      <c r="E96" s="21">
        <f t="shared" si="60"/>
        <v>0.57524809937089749</v>
      </c>
      <c r="F96" s="14">
        <f t="shared" si="60"/>
        <v>3168.7777777777778</v>
      </c>
      <c r="G96" s="13">
        <f t="shared" si="60"/>
        <v>2097.7933333333553</v>
      </c>
      <c r="H96" s="15">
        <f t="shared" si="60"/>
        <v>124.33333333333333</v>
      </c>
      <c r="I96" s="13">
        <f t="shared" si="60"/>
        <v>18.333333333333332</v>
      </c>
      <c r="J96" s="16">
        <f t="shared" si="60"/>
        <v>936.66666666666663</v>
      </c>
      <c r="K96" s="15">
        <f t="shared" si="60"/>
        <v>1326.3333333333333</v>
      </c>
      <c r="L96" s="14">
        <f t="shared" si="60"/>
        <v>556.33333333333337</v>
      </c>
      <c r="M96" s="13">
        <f t="shared" si="60"/>
        <v>100.66666666666667</v>
      </c>
      <c r="N96" s="55"/>
    </row>
    <row r="97" spans="1:14" outlineLevel="1" x14ac:dyDescent="0.2">
      <c r="A97" s="20">
        <f t="shared" si="54"/>
        <v>9930</v>
      </c>
      <c r="B97" s="19" t="str">
        <f t="shared" si="54"/>
        <v>UTPB</v>
      </c>
      <c r="C97" s="18"/>
      <c r="D97" s="15">
        <f t="shared" ref="D97:M97" si="61">AVERAGE(D139,D181,D223)</f>
        <v>533.33333333333337</v>
      </c>
      <c r="E97" s="21">
        <f t="shared" si="61"/>
        <v>0.44400000000000001</v>
      </c>
      <c r="F97" s="14">
        <f t="shared" si="61"/>
        <v>2306.2888888888888</v>
      </c>
      <c r="G97" s="13">
        <f t="shared" si="61"/>
        <v>1001.5166666666704</v>
      </c>
      <c r="H97" s="15">
        <f t="shared" si="61"/>
        <v>41.333333333333336</v>
      </c>
      <c r="I97" s="13">
        <f t="shared" si="61"/>
        <v>10</v>
      </c>
      <c r="J97" s="16">
        <f t="shared" si="61"/>
        <v>399</v>
      </c>
      <c r="K97" s="15">
        <f t="shared" si="61"/>
        <v>785.66666666666663</v>
      </c>
      <c r="L97" s="14">
        <f t="shared" si="61"/>
        <v>491.66666666666669</v>
      </c>
      <c r="M97" s="13">
        <f t="shared" si="61"/>
        <v>194.33333333333334</v>
      </c>
      <c r="N97" s="55"/>
    </row>
    <row r="98" spans="1:14" outlineLevel="1" x14ac:dyDescent="0.2">
      <c r="A98" s="20">
        <f t="shared" si="54"/>
        <v>10115</v>
      </c>
      <c r="B98" s="19" t="str">
        <f t="shared" si="54"/>
        <v>UTSA</v>
      </c>
      <c r="C98" s="18"/>
      <c r="D98" s="15">
        <f t="shared" ref="D98:M98" si="62">AVERAGE(D140,D182,D224)</f>
        <v>4119.666666666667</v>
      </c>
      <c r="E98" s="21">
        <f t="shared" si="62"/>
        <v>0.42166666666666663</v>
      </c>
      <c r="F98" s="14">
        <f t="shared" si="62"/>
        <v>20353.044444444444</v>
      </c>
      <c r="G98" s="13">
        <f t="shared" si="62"/>
        <v>8414.213333333224</v>
      </c>
      <c r="H98" s="15">
        <f t="shared" si="62"/>
        <v>392</v>
      </c>
      <c r="I98" s="13">
        <f t="shared" si="62"/>
        <v>49.666666666666664</v>
      </c>
      <c r="J98" s="16">
        <f t="shared" si="62"/>
        <v>3123.6666666666665</v>
      </c>
      <c r="K98" s="15">
        <f t="shared" si="62"/>
        <v>6809.666666666667</v>
      </c>
      <c r="L98" s="14">
        <f t="shared" si="62"/>
        <v>4458.666666666667</v>
      </c>
      <c r="M98" s="13">
        <f t="shared" si="62"/>
        <v>2615.6666666666665</v>
      </c>
      <c r="N98" s="55"/>
    </row>
    <row r="99" spans="1:14" outlineLevel="1" x14ac:dyDescent="0.2">
      <c r="A99" s="20">
        <f t="shared" si="54"/>
        <v>11163</v>
      </c>
      <c r="B99" s="19" t="str">
        <f t="shared" si="54"/>
        <v>UTT</v>
      </c>
      <c r="C99" s="18"/>
      <c r="D99" s="15">
        <f t="shared" ref="D99:M99" si="63">AVERAGE(D141,D183,D225)</f>
        <v>1190</v>
      </c>
      <c r="E99" s="21">
        <f t="shared" si="63"/>
        <v>0.51566666666666672</v>
      </c>
      <c r="F99" s="14">
        <f t="shared" si="63"/>
        <v>4067.577777777778</v>
      </c>
      <c r="G99" s="13">
        <f t="shared" si="63"/>
        <v>2362.6600000000103</v>
      </c>
      <c r="H99" s="15">
        <f t="shared" si="63"/>
        <v>376.66666666666669</v>
      </c>
      <c r="I99" s="13">
        <f t="shared" si="63"/>
        <v>14</v>
      </c>
      <c r="J99" s="16">
        <f t="shared" si="63"/>
        <v>942.33333333333337</v>
      </c>
      <c r="K99" s="15">
        <f t="shared" si="63"/>
        <v>1436.3333333333333</v>
      </c>
      <c r="L99" s="14">
        <f t="shared" si="63"/>
        <v>890</v>
      </c>
      <c r="M99" s="13">
        <f t="shared" si="63"/>
        <v>387.33333333333331</v>
      </c>
      <c r="N99" s="55"/>
    </row>
    <row r="100" spans="1:14" outlineLevel="1" x14ac:dyDescent="0.2">
      <c r="A100" s="20">
        <f t="shared" si="54"/>
        <v>3632</v>
      </c>
      <c r="B100" s="19" t="str">
        <f t="shared" si="54"/>
        <v>TAMU</v>
      </c>
      <c r="C100" s="18"/>
      <c r="D100" s="15">
        <f t="shared" ref="D100:M100" si="64">AVERAGE(D142,D184,D226)</f>
        <v>8739.6666666666661</v>
      </c>
      <c r="E100" s="21">
        <f t="shared" si="64"/>
        <v>0.84066666666666656</v>
      </c>
      <c r="F100" s="14">
        <f t="shared" si="64"/>
        <v>34623.666666666664</v>
      </c>
      <c r="G100" s="13">
        <f t="shared" si="64"/>
        <v>20104.8166666668</v>
      </c>
      <c r="H100" s="15">
        <f t="shared" si="64"/>
        <v>1763</v>
      </c>
      <c r="I100" s="13">
        <f t="shared" si="64"/>
        <v>126</v>
      </c>
      <c r="J100" s="16">
        <f t="shared" si="64"/>
        <v>3724</v>
      </c>
      <c r="K100" s="15">
        <f t="shared" si="64"/>
        <v>10060.666666666666</v>
      </c>
      <c r="L100" s="14">
        <f t="shared" si="64"/>
        <v>8907.3333333333339</v>
      </c>
      <c r="M100" s="13">
        <f t="shared" si="64"/>
        <v>6897.666666666667</v>
      </c>
      <c r="N100" s="55"/>
    </row>
    <row r="101" spans="1:14" outlineLevel="1" x14ac:dyDescent="0.2">
      <c r="A101" s="20">
        <f t="shared" si="54"/>
        <v>10298</v>
      </c>
      <c r="B101" s="19" t="str">
        <f t="shared" si="54"/>
        <v>TAMUG</v>
      </c>
      <c r="C101" s="18"/>
      <c r="D101" s="15">
        <f t="shared" ref="D101:M101" si="65">AVERAGE(D143,D185,D227)</f>
        <v>275.33333333333331</v>
      </c>
      <c r="E101" s="21">
        <f t="shared" si="65"/>
        <v>0.62733333333333341</v>
      </c>
      <c r="F101" s="14">
        <f t="shared" si="65"/>
        <v>1678.9333333333334</v>
      </c>
      <c r="G101" s="13">
        <f t="shared" si="65"/>
        <v>704.02666666666448</v>
      </c>
      <c r="H101" s="15">
        <f t="shared" si="65"/>
        <v>37.333333333333336</v>
      </c>
      <c r="I101" s="13">
        <f t="shared" si="65"/>
        <v>0</v>
      </c>
      <c r="J101" s="16">
        <f t="shared" si="65"/>
        <v>158</v>
      </c>
      <c r="K101" s="15">
        <f t="shared" si="65"/>
        <v>592.33333333333337</v>
      </c>
      <c r="L101" s="14">
        <f t="shared" si="65"/>
        <v>318</v>
      </c>
      <c r="M101" s="13">
        <f t="shared" si="65"/>
        <v>246</v>
      </c>
      <c r="N101" s="55"/>
    </row>
    <row r="102" spans="1:14" outlineLevel="1" x14ac:dyDescent="0.2">
      <c r="A102" s="20">
        <f t="shared" si="54"/>
        <v>3630</v>
      </c>
      <c r="B102" s="19" t="str">
        <f t="shared" si="54"/>
        <v>Prairie View</v>
      </c>
      <c r="C102" s="18"/>
      <c r="D102" s="15">
        <f t="shared" ref="D102:M102" si="66">AVERAGE(D144,D186,D228)</f>
        <v>936.33333333333337</v>
      </c>
      <c r="E102" s="21">
        <f t="shared" si="66"/>
        <v>0.37166666666666665</v>
      </c>
      <c r="F102" s="14">
        <f t="shared" si="66"/>
        <v>5917.2888888888883</v>
      </c>
      <c r="G102" s="13">
        <f t="shared" si="66"/>
        <v>2072.9000000000092</v>
      </c>
      <c r="H102" s="15">
        <f t="shared" si="66"/>
        <v>315.66666666666669</v>
      </c>
      <c r="I102" s="13">
        <f t="shared" si="66"/>
        <v>9.6666666666666661</v>
      </c>
      <c r="J102" s="16">
        <f t="shared" si="66"/>
        <v>802.66666666666663</v>
      </c>
      <c r="K102" s="15">
        <f t="shared" si="66"/>
        <v>1668</v>
      </c>
      <c r="L102" s="14">
        <f t="shared" si="66"/>
        <v>1181</v>
      </c>
      <c r="M102" s="13">
        <f t="shared" si="66"/>
        <v>905.33333333333337</v>
      </c>
      <c r="N102" s="55"/>
    </row>
    <row r="103" spans="1:14" outlineLevel="1" x14ac:dyDescent="0.2">
      <c r="A103" s="20">
        <f t="shared" si="54"/>
        <v>3631</v>
      </c>
      <c r="B103" s="19" t="str">
        <f t="shared" si="54"/>
        <v>Tarleton</v>
      </c>
      <c r="C103" s="18"/>
      <c r="D103" s="15">
        <f t="shared" ref="D103:M103" si="67">AVERAGE(D145,D187,D229)</f>
        <v>1545.3333333333333</v>
      </c>
      <c r="E103" s="21">
        <f t="shared" si="67"/>
        <v>0.47800000000000004</v>
      </c>
      <c r="F103" s="14">
        <f t="shared" si="67"/>
        <v>6292.1333333333323</v>
      </c>
      <c r="G103" s="13">
        <f t="shared" si="67"/>
        <v>3122.5433333333599</v>
      </c>
      <c r="H103" s="15">
        <f t="shared" si="67"/>
        <v>203</v>
      </c>
      <c r="I103" s="13">
        <f t="shared" si="67"/>
        <v>47.666666666666664</v>
      </c>
      <c r="J103" s="16">
        <f t="shared" si="67"/>
        <v>1195</v>
      </c>
      <c r="K103" s="15">
        <f t="shared" si="67"/>
        <v>2154.3333333333335</v>
      </c>
      <c r="L103" s="14">
        <f t="shared" si="67"/>
        <v>1328.6666666666667</v>
      </c>
      <c r="M103" s="13">
        <f t="shared" si="67"/>
        <v>862.66666666666663</v>
      </c>
      <c r="N103" s="55"/>
    </row>
    <row r="104" spans="1:14" outlineLevel="1" x14ac:dyDescent="0.2">
      <c r="A104" s="27">
        <f t="shared" si="54"/>
        <v>103631</v>
      </c>
      <c r="B104" s="19" t="str">
        <f t="shared" si="54"/>
        <v>TAMUCT</v>
      </c>
      <c r="C104" s="18"/>
      <c r="D104" s="15">
        <f t="shared" ref="D104:M104" si="68">AVERAGE(D146,D188,D230)</f>
        <v>460.33333333333331</v>
      </c>
      <c r="E104" s="21">
        <f t="shared" si="68"/>
        <v>0.47800000000000004</v>
      </c>
      <c r="F104" s="14">
        <f t="shared" si="68"/>
        <v>681.08888888888885</v>
      </c>
      <c r="G104" s="13">
        <f t="shared" si="68"/>
        <v>853.61666666666588</v>
      </c>
      <c r="H104" s="15">
        <f t="shared" si="68"/>
        <v>40.666666666666664</v>
      </c>
      <c r="I104" s="13">
        <f t="shared" si="68"/>
        <v>0</v>
      </c>
      <c r="J104" s="16">
        <f t="shared" si="68"/>
        <v>327</v>
      </c>
      <c r="K104" s="15">
        <f t="shared" si="68"/>
        <v>495</v>
      </c>
      <c r="L104" s="14">
        <f t="shared" si="68"/>
        <v>133</v>
      </c>
      <c r="M104" s="13">
        <f t="shared" si="68"/>
        <v>34</v>
      </c>
      <c r="N104" s="55"/>
    </row>
    <row r="105" spans="1:14" outlineLevel="1" x14ac:dyDescent="0.2">
      <c r="A105" s="20">
        <f t="shared" si="54"/>
        <v>11161</v>
      </c>
      <c r="B105" s="19" t="str">
        <f t="shared" si="54"/>
        <v>TAMUCC</v>
      </c>
      <c r="C105" s="18"/>
      <c r="D105" s="15">
        <f t="shared" ref="D105:M105" si="69">AVERAGE(D147,D189,D231)</f>
        <v>1388.3333333333333</v>
      </c>
      <c r="E105" s="21">
        <f t="shared" si="69"/>
        <v>0.50800000000000001</v>
      </c>
      <c r="F105" s="14">
        <f t="shared" si="69"/>
        <v>6494.666666666667</v>
      </c>
      <c r="G105" s="13">
        <f t="shared" si="69"/>
        <v>2804.2000000000139</v>
      </c>
      <c r="H105" s="15">
        <f t="shared" si="69"/>
        <v>266.33333333333331</v>
      </c>
      <c r="I105" s="13">
        <f t="shared" si="69"/>
        <v>25.666666666666668</v>
      </c>
      <c r="J105" s="16">
        <f t="shared" si="69"/>
        <v>1080</v>
      </c>
      <c r="K105" s="15">
        <f t="shared" si="69"/>
        <v>2054</v>
      </c>
      <c r="L105" s="14">
        <f t="shared" si="69"/>
        <v>1468</v>
      </c>
      <c r="M105" s="13">
        <f t="shared" si="69"/>
        <v>878.33333333333337</v>
      </c>
      <c r="N105" s="55"/>
    </row>
    <row r="106" spans="1:14" outlineLevel="1" x14ac:dyDescent="0.2">
      <c r="A106" s="20">
        <f t="shared" si="54"/>
        <v>3639</v>
      </c>
      <c r="B106" s="19" t="str">
        <f t="shared" si="54"/>
        <v>TAMUK</v>
      </c>
      <c r="C106" s="18"/>
      <c r="D106" s="15">
        <f t="shared" ref="D106:M106" si="70">AVERAGE(D148,D190,D232)</f>
        <v>761.66666666666663</v>
      </c>
      <c r="E106" s="21">
        <f t="shared" si="70"/>
        <v>0.40233333333333338</v>
      </c>
      <c r="F106" s="14">
        <f t="shared" si="70"/>
        <v>4260</v>
      </c>
      <c r="G106" s="13">
        <f t="shared" si="70"/>
        <v>1763.4533333333395</v>
      </c>
      <c r="H106" s="15">
        <f t="shared" si="70"/>
        <v>260</v>
      </c>
      <c r="I106" s="13">
        <f t="shared" si="70"/>
        <v>16.666666666666668</v>
      </c>
      <c r="J106" s="16">
        <f t="shared" si="70"/>
        <v>648.33333333333337</v>
      </c>
      <c r="K106" s="15">
        <f t="shared" si="70"/>
        <v>1227.3333333333333</v>
      </c>
      <c r="L106" s="14">
        <f t="shared" si="70"/>
        <v>859.66666666666663</v>
      </c>
      <c r="M106" s="13">
        <f t="shared" si="70"/>
        <v>558.66666666666663</v>
      </c>
      <c r="N106" s="55"/>
    </row>
    <row r="107" spans="1:14" outlineLevel="1" x14ac:dyDescent="0.2">
      <c r="A107" s="27">
        <f t="shared" si="54"/>
        <v>103639</v>
      </c>
      <c r="B107" s="19" t="str">
        <f t="shared" si="54"/>
        <v>TAMUSA</v>
      </c>
      <c r="C107" s="18"/>
      <c r="D107" s="15">
        <f t="shared" ref="D107:M107" si="71">AVERAGE(D149,D191,D233)</f>
        <v>587.66666666666663</v>
      </c>
      <c r="E107" s="21">
        <f t="shared" si="71"/>
        <v>0.40233333333333338</v>
      </c>
      <c r="F107" s="14">
        <f t="shared" si="71"/>
        <v>1412.711111111111</v>
      </c>
      <c r="G107" s="13">
        <f t="shared" si="71"/>
        <v>1026.0133333333379</v>
      </c>
      <c r="H107" s="15">
        <f t="shared" si="71"/>
        <v>5</v>
      </c>
      <c r="I107" s="13">
        <f t="shared" si="71"/>
        <v>2</v>
      </c>
      <c r="J107" s="16">
        <f t="shared" si="71"/>
        <v>490.33333333333331</v>
      </c>
      <c r="K107" s="15">
        <f t="shared" si="71"/>
        <v>729.66666666666663</v>
      </c>
      <c r="L107" s="14">
        <f t="shared" si="71"/>
        <v>77.333333333333329</v>
      </c>
      <c r="M107" s="13">
        <f t="shared" si="71"/>
        <v>2.6666666666666665</v>
      </c>
      <c r="N107" s="55"/>
    </row>
    <row r="108" spans="1:14" outlineLevel="1" x14ac:dyDescent="0.2">
      <c r="A108" s="20">
        <f t="shared" si="54"/>
        <v>9651</v>
      </c>
      <c r="B108" s="19" t="str">
        <f t="shared" si="54"/>
        <v>TAMI</v>
      </c>
      <c r="C108" s="18"/>
      <c r="D108" s="15">
        <f t="shared" ref="D108:M108" si="72">AVERAGE(D150,D192,D234)</f>
        <v>789.66666666666663</v>
      </c>
      <c r="E108" s="21">
        <f t="shared" si="72"/>
        <v>0.47333333333333333</v>
      </c>
      <c r="F108" s="14">
        <f t="shared" si="72"/>
        <v>4086</v>
      </c>
      <c r="G108" s="13">
        <f t="shared" si="72"/>
        <v>1458.4966666666717</v>
      </c>
      <c r="H108" s="15">
        <f t="shared" si="72"/>
        <v>115.66666666666667</v>
      </c>
      <c r="I108" s="13">
        <f t="shared" si="72"/>
        <v>22.333333333333332</v>
      </c>
      <c r="J108" s="16">
        <f t="shared" si="72"/>
        <v>712.66666666666663</v>
      </c>
      <c r="K108" s="15">
        <f t="shared" si="72"/>
        <v>1406.6666666666667</v>
      </c>
      <c r="L108" s="14">
        <f t="shared" si="72"/>
        <v>1015.6666666666666</v>
      </c>
      <c r="M108" s="13">
        <f t="shared" si="72"/>
        <v>473.66666666666669</v>
      </c>
      <c r="N108" s="55"/>
    </row>
    <row r="109" spans="1:14" outlineLevel="1" x14ac:dyDescent="0.2">
      <c r="A109" s="20">
        <f t="shared" si="54"/>
        <v>3665</v>
      </c>
      <c r="B109" s="19" t="str">
        <f t="shared" si="54"/>
        <v>WTAMU</v>
      </c>
      <c r="C109" s="18"/>
      <c r="D109" s="15">
        <f t="shared" ref="D109:M109" si="73">AVERAGE(D151,D193,D235)</f>
        <v>1255.6666666666667</v>
      </c>
      <c r="E109" s="21">
        <f t="shared" si="73"/>
        <v>0.47066666666666662</v>
      </c>
      <c r="F109" s="14">
        <f t="shared" si="73"/>
        <v>5415.2222222222226</v>
      </c>
      <c r="G109" s="13">
        <f t="shared" si="73"/>
        <v>2503.5766666666836</v>
      </c>
      <c r="H109" s="15">
        <f t="shared" si="73"/>
        <v>191.66666666666666</v>
      </c>
      <c r="I109" s="13">
        <f t="shared" si="73"/>
        <v>60.666666666666664</v>
      </c>
      <c r="J109" s="16">
        <f t="shared" si="73"/>
        <v>889.33333333333337</v>
      </c>
      <c r="K109" s="15">
        <f t="shared" si="73"/>
        <v>1791.6666666666667</v>
      </c>
      <c r="L109" s="14">
        <f t="shared" si="73"/>
        <v>1212.6666666666667</v>
      </c>
      <c r="M109" s="13">
        <f t="shared" si="73"/>
        <v>661.33333333333337</v>
      </c>
      <c r="N109" s="55"/>
    </row>
    <row r="110" spans="1:14" outlineLevel="1" x14ac:dyDescent="0.2">
      <c r="A110" s="20">
        <f t="shared" si="54"/>
        <v>3565</v>
      </c>
      <c r="B110" s="19" t="str">
        <f t="shared" si="54"/>
        <v>TAMUC</v>
      </c>
      <c r="C110" s="18"/>
      <c r="D110" s="15">
        <f t="shared" ref="D110:M110" si="74">AVERAGE(D152,D194,D236)</f>
        <v>1324.3333333333333</v>
      </c>
      <c r="E110" s="21">
        <f t="shared" si="74"/>
        <v>0.44</v>
      </c>
      <c r="F110" s="14">
        <f t="shared" si="74"/>
        <v>4696.9777777777772</v>
      </c>
      <c r="G110" s="13">
        <f t="shared" si="74"/>
        <v>2501.8266666666914</v>
      </c>
      <c r="H110" s="15">
        <f t="shared" si="74"/>
        <v>73</v>
      </c>
      <c r="I110" s="13">
        <f t="shared" si="74"/>
        <v>74.333333333333329</v>
      </c>
      <c r="J110" s="16">
        <f t="shared" si="74"/>
        <v>1019.3333333333334</v>
      </c>
      <c r="K110" s="15">
        <f t="shared" si="74"/>
        <v>1893</v>
      </c>
      <c r="L110" s="14">
        <f t="shared" si="74"/>
        <v>1137.3333333333333</v>
      </c>
      <c r="M110" s="13">
        <f t="shared" si="74"/>
        <v>452.33333333333331</v>
      </c>
      <c r="N110" s="55"/>
    </row>
    <row r="111" spans="1:14" outlineLevel="1" x14ac:dyDescent="0.2">
      <c r="A111" s="20">
        <f t="shared" ref="A111:B128" si="75">A69</f>
        <v>29269</v>
      </c>
      <c r="B111" s="19" t="str">
        <f t="shared" si="75"/>
        <v>TAMUT</v>
      </c>
      <c r="C111" s="18"/>
      <c r="D111" s="15">
        <f t="shared" ref="D111:M111" si="76">AVERAGE(D153,D195,D237)</f>
        <v>345.66666666666669</v>
      </c>
      <c r="E111" s="21">
        <f t="shared" si="76"/>
        <v>0.54202583186163211</v>
      </c>
      <c r="F111" s="14">
        <f t="shared" si="76"/>
        <v>891.66666666666663</v>
      </c>
      <c r="G111" s="13">
        <f t="shared" si="76"/>
        <v>619.90999999999826</v>
      </c>
      <c r="H111" s="15">
        <f t="shared" si="76"/>
        <v>41.666666666666664</v>
      </c>
      <c r="I111" s="13">
        <f t="shared" si="76"/>
        <v>19.333333333333332</v>
      </c>
      <c r="J111" s="16">
        <f t="shared" si="76"/>
        <v>239</v>
      </c>
      <c r="K111" s="15">
        <f t="shared" si="76"/>
        <v>432.66666666666669</v>
      </c>
      <c r="L111" s="14">
        <f t="shared" si="76"/>
        <v>181</v>
      </c>
      <c r="M111" s="13">
        <f t="shared" si="76"/>
        <v>0.66666666666666663</v>
      </c>
      <c r="N111" s="55"/>
    </row>
    <row r="112" spans="1:14" outlineLevel="1" x14ac:dyDescent="0.2">
      <c r="A112" s="20">
        <f t="shared" si="75"/>
        <v>3652</v>
      </c>
      <c r="B112" s="19" t="str">
        <f t="shared" si="75"/>
        <v>UH</v>
      </c>
      <c r="C112" s="18"/>
      <c r="D112" s="15">
        <f t="shared" ref="D112:M112" si="77">AVERAGE(D154,D196,D238)</f>
        <v>5098.666666666667</v>
      </c>
      <c r="E112" s="21">
        <f t="shared" si="77"/>
        <v>0.53633333333333333</v>
      </c>
      <c r="F112" s="14">
        <f t="shared" si="77"/>
        <v>23797.68888888889</v>
      </c>
      <c r="G112" s="13">
        <f t="shared" si="77"/>
        <v>10580.246666665944</v>
      </c>
      <c r="H112" s="15">
        <f t="shared" si="77"/>
        <v>737</v>
      </c>
      <c r="I112" s="13">
        <f t="shared" si="77"/>
        <v>62.666666666666664</v>
      </c>
      <c r="J112" s="16">
        <f t="shared" si="77"/>
        <v>3373</v>
      </c>
      <c r="K112" s="15">
        <f t="shared" si="77"/>
        <v>7602.333333333333</v>
      </c>
      <c r="L112" s="14">
        <f t="shared" si="77"/>
        <v>5690.333333333333</v>
      </c>
      <c r="M112" s="13">
        <f t="shared" si="77"/>
        <v>3307.3333333333335</v>
      </c>
      <c r="N112" s="55"/>
    </row>
    <row r="113" spans="1:14" outlineLevel="1" x14ac:dyDescent="0.2">
      <c r="A113" s="20">
        <f t="shared" si="75"/>
        <v>11711</v>
      </c>
      <c r="B113" s="19" t="str">
        <f t="shared" si="75"/>
        <v>UHCL</v>
      </c>
      <c r="C113" s="18"/>
      <c r="D113" s="15">
        <f t="shared" ref="D113:M113" si="78">AVERAGE(D155,D197,D239)</f>
        <v>1190.6666666666667</v>
      </c>
      <c r="E113" s="21">
        <f t="shared" si="78"/>
        <v>0.52016462432165866</v>
      </c>
      <c r="F113" s="14">
        <f t="shared" si="78"/>
        <v>2999.6444444444446</v>
      </c>
      <c r="G113" s="13">
        <f t="shared" si="78"/>
        <v>2282.9533333333529</v>
      </c>
      <c r="H113" s="15">
        <f t="shared" si="78"/>
        <v>106.66666666666667</v>
      </c>
      <c r="I113" s="13">
        <f t="shared" si="78"/>
        <v>8.3333333333333339</v>
      </c>
      <c r="J113" s="16">
        <f t="shared" si="78"/>
        <v>774.33333333333337</v>
      </c>
      <c r="K113" s="15">
        <f t="shared" si="78"/>
        <v>1391.3333333333333</v>
      </c>
      <c r="L113" s="14">
        <f t="shared" si="78"/>
        <v>953.66666666666663</v>
      </c>
      <c r="M113" s="13">
        <f t="shared" si="78"/>
        <v>57</v>
      </c>
      <c r="N113" s="55"/>
    </row>
    <row r="114" spans="1:14" outlineLevel="1" x14ac:dyDescent="0.2">
      <c r="A114" s="20">
        <f t="shared" si="75"/>
        <v>12826</v>
      </c>
      <c r="B114" s="19" t="str">
        <f t="shared" si="75"/>
        <v>UHD</v>
      </c>
      <c r="C114" s="18"/>
      <c r="D114" s="15">
        <f t="shared" ref="D114:M114" si="79">AVERAGE(D156,D198,D240)</f>
        <v>2382.3333333333335</v>
      </c>
      <c r="E114" s="21">
        <f t="shared" si="79"/>
        <v>0.19000000000000003</v>
      </c>
      <c r="F114" s="14">
        <f t="shared" si="79"/>
        <v>7985.5555555555547</v>
      </c>
      <c r="G114" s="13">
        <f t="shared" si="79"/>
        <v>4271.3166666667212</v>
      </c>
      <c r="H114" s="15">
        <f t="shared" si="79"/>
        <v>129.66666666666666</v>
      </c>
      <c r="I114" s="13">
        <f t="shared" si="79"/>
        <v>1.6666666666666667</v>
      </c>
      <c r="J114" s="16">
        <f t="shared" si="79"/>
        <v>1681</v>
      </c>
      <c r="K114" s="15">
        <f t="shared" si="79"/>
        <v>3105.3333333333335</v>
      </c>
      <c r="L114" s="14">
        <f t="shared" si="79"/>
        <v>1868.3333333333333</v>
      </c>
      <c r="M114" s="13">
        <f t="shared" si="79"/>
        <v>604.66666666666663</v>
      </c>
      <c r="N114" s="55"/>
    </row>
    <row r="115" spans="1:14" outlineLevel="1" x14ac:dyDescent="0.2">
      <c r="A115" s="20">
        <f t="shared" si="75"/>
        <v>13231</v>
      </c>
      <c r="B115" s="19" t="str">
        <f t="shared" si="75"/>
        <v>UHV</v>
      </c>
      <c r="C115" s="18"/>
      <c r="D115" s="15">
        <f t="shared" ref="D115:M115" si="80">AVERAGE(D157,D199,D241)</f>
        <v>576.66666666666663</v>
      </c>
      <c r="E115" s="21">
        <f t="shared" si="80"/>
        <v>0.52057016677259083</v>
      </c>
      <c r="F115" s="14">
        <f t="shared" si="80"/>
        <v>1438.6222222222223</v>
      </c>
      <c r="G115" s="13">
        <f t="shared" si="80"/>
        <v>1084.4800000000012</v>
      </c>
      <c r="H115" s="15">
        <f t="shared" si="80"/>
        <v>108</v>
      </c>
      <c r="I115" s="13">
        <f t="shared" si="80"/>
        <v>7.333333333333333</v>
      </c>
      <c r="J115" s="16">
        <f t="shared" si="80"/>
        <v>384</v>
      </c>
      <c r="K115" s="15">
        <f t="shared" si="80"/>
        <v>716</v>
      </c>
      <c r="L115" s="14">
        <f t="shared" si="80"/>
        <v>296.33333333333331</v>
      </c>
      <c r="M115" s="13">
        <f t="shared" si="80"/>
        <v>6.666666666666667</v>
      </c>
      <c r="N115" s="55"/>
    </row>
    <row r="116" spans="1:14" outlineLevel="1" x14ac:dyDescent="0.2">
      <c r="A116" s="20">
        <f t="shared" si="75"/>
        <v>3592</v>
      </c>
      <c r="B116" s="19" t="str">
        <f t="shared" si="75"/>
        <v>Midwestern</v>
      </c>
      <c r="C116" s="18"/>
      <c r="D116" s="15">
        <f t="shared" ref="D116:M116" si="81">AVERAGE(D158,D200,D242)</f>
        <v>1031.6666666666667</v>
      </c>
      <c r="E116" s="21">
        <f t="shared" si="81"/>
        <v>0.4393333333333333</v>
      </c>
      <c r="F116" s="14">
        <f t="shared" si="81"/>
        <v>4276.7777777777783</v>
      </c>
      <c r="G116" s="13">
        <f t="shared" si="81"/>
        <v>1962.0000000000034</v>
      </c>
      <c r="H116" s="15">
        <f t="shared" si="81"/>
        <v>333.33333333333331</v>
      </c>
      <c r="I116" s="13">
        <f t="shared" si="81"/>
        <v>15</v>
      </c>
      <c r="J116" s="16">
        <f t="shared" si="81"/>
        <v>690.33333333333337</v>
      </c>
      <c r="K116" s="15">
        <f t="shared" si="81"/>
        <v>1438</v>
      </c>
      <c r="L116" s="14">
        <f t="shared" si="81"/>
        <v>1046</v>
      </c>
      <c r="M116" s="13">
        <f t="shared" si="81"/>
        <v>679.66666666666663</v>
      </c>
      <c r="N116" s="55"/>
    </row>
    <row r="117" spans="1:14" outlineLevel="1" x14ac:dyDescent="0.2">
      <c r="A117" s="20">
        <f t="shared" si="75"/>
        <v>3594</v>
      </c>
      <c r="B117" s="19" t="str">
        <f t="shared" si="75"/>
        <v>UNT</v>
      </c>
      <c r="C117" s="18"/>
      <c r="D117" s="15">
        <f t="shared" ref="D117:M117" si="82">AVERAGE(D159,D201,D243)</f>
        <v>6016.666666666667</v>
      </c>
      <c r="E117" s="21">
        <f t="shared" si="82"/>
        <v>0.57633333333333336</v>
      </c>
      <c r="F117" s="14">
        <f t="shared" si="82"/>
        <v>23242.088888888899</v>
      </c>
      <c r="G117" s="13">
        <f t="shared" si="82"/>
        <v>11411.553333332529</v>
      </c>
      <c r="H117" s="15">
        <f t="shared" si="82"/>
        <v>336.66666666666669</v>
      </c>
      <c r="I117" s="13">
        <f t="shared" si="82"/>
        <v>43.333333333333336</v>
      </c>
      <c r="J117" s="16">
        <f t="shared" si="82"/>
        <v>3820</v>
      </c>
      <c r="K117" s="15">
        <f t="shared" si="82"/>
        <v>7864.666666666667</v>
      </c>
      <c r="L117" s="14">
        <f t="shared" si="82"/>
        <v>5642.333333333333</v>
      </c>
      <c r="M117" s="13">
        <f t="shared" si="82"/>
        <v>3337</v>
      </c>
      <c r="N117" s="55"/>
    </row>
    <row r="118" spans="1:14" outlineLevel="1" x14ac:dyDescent="0.2">
      <c r="A118" s="27">
        <f t="shared" si="75"/>
        <v>113594</v>
      </c>
      <c r="B118" s="19" t="str">
        <f t="shared" si="75"/>
        <v>UNTD</v>
      </c>
      <c r="C118" s="18"/>
      <c r="D118" s="15">
        <f t="shared" ref="D118:M118" si="83">AVERAGE(D160,D202,D244)</f>
        <v>403.5</v>
      </c>
      <c r="E118" s="21">
        <f t="shared" si="83"/>
        <v>0.57750000000000001</v>
      </c>
      <c r="F118" s="14">
        <f t="shared" si="83"/>
        <v>946.13333333333333</v>
      </c>
      <c r="G118" s="13">
        <f t="shared" si="83"/>
        <v>705.85999999999717</v>
      </c>
      <c r="H118" s="15">
        <f t="shared" si="83"/>
        <v>12</v>
      </c>
      <c r="I118" s="13">
        <f t="shared" si="83"/>
        <v>0</v>
      </c>
      <c r="J118" s="16">
        <f t="shared" si="83"/>
        <v>308.5</v>
      </c>
      <c r="K118" s="15">
        <f t="shared" si="83"/>
        <v>478</v>
      </c>
      <c r="L118" s="14">
        <f t="shared" si="83"/>
        <v>71.5</v>
      </c>
      <c r="M118" s="13">
        <f t="shared" si="83"/>
        <v>11</v>
      </c>
      <c r="N118" s="55"/>
    </row>
    <row r="119" spans="1:14" outlineLevel="1" x14ac:dyDescent="0.2">
      <c r="A119" s="20">
        <f t="shared" si="75"/>
        <v>3624</v>
      </c>
      <c r="B119" s="19" t="str">
        <f t="shared" si="75"/>
        <v>SFA</v>
      </c>
      <c r="C119" s="18"/>
      <c r="D119" s="15">
        <f t="shared" ref="D119:M119" si="84">AVERAGE(D161,D203,D245)</f>
        <v>1921.6666666666667</v>
      </c>
      <c r="E119" s="21">
        <f t="shared" si="84"/>
        <v>0.55399999999999994</v>
      </c>
      <c r="F119" s="14">
        <f t="shared" si="84"/>
        <v>9486.177777777777</v>
      </c>
      <c r="G119" s="13">
        <f t="shared" si="84"/>
        <v>3721.736666666669</v>
      </c>
      <c r="H119" s="15">
        <f t="shared" si="84"/>
        <v>248</v>
      </c>
      <c r="I119" s="13">
        <f t="shared" si="84"/>
        <v>44.666666666666664</v>
      </c>
      <c r="J119" s="16">
        <f t="shared" si="84"/>
        <v>1460.3333333333333</v>
      </c>
      <c r="K119" s="15">
        <f t="shared" si="84"/>
        <v>2769.3333333333335</v>
      </c>
      <c r="L119" s="14">
        <f t="shared" si="84"/>
        <v>2075</v>
      </c>
      <c r="M119" s="13">
        <f t="shared" si="84"/>
        <v>1397.3333333333333</v>
      </c>
      <c r="N119" s="55"/>
    </row>
    <row r="120" spans="1:14" outlineLevel="1" x14ac:dyDescent="0.2">
      <c r="A120" s="20">
        <f t="shared" si="75"/>
        <v>3642</v>
      </c>
      <c r="B120" s="19" t="str">
        <f t="shared" si="75"/>
        <v>TSU</v>
      </c>
      <c r="C120" s="18"/>
      <c r="D120" s="15">
        <f t="shared" ref="D120:M120" si="85">AVERAGE(D162,D204,D246)</f>
        <v>758.33333333333337</v>
      </c>
      <c r="E120" s="21">
        <f t="shared" si="85"/>
        <v>0.14366666666666664</v>
      </c>
      <c r="F120" s="14">
        <f t="shared" si="85"/>
        <v>5863.2444444444445</v>
      </c>
      <c r="G120" s="13">
        <f t="shared" si="85"/>
        <v>1488.6533333333352</v>
      </c>
      <c r="H120" s="15">
        <f t="shared" si="85"/>
        <v>134.33333333333334</v>
      </c>
      <c r="I120" s="13">
        <f t="shared" si="85"/>
        <v>3</v>
      </c>
      <c r="J120" s="16">
        <f t="shared" si="85"/>
        <v>666.33333333333337</v>
      </c>
      <c r="K120" s="15">
        <f t="shared" si="85"/>
        <v>1637.3333333333333</v>
      </c>
      <c r="L120" s="14">
        <f t="shared" si="85"/>
        <v>1133</v>
      </c>
      <c r="M120" s="13">
        <f t="shared" si="85"/>
        <v>848.66666666666663</v>
      </c>
      <c r="N120" s="55"/>
    </row>
    <row r="121" spans="1:14" outlineLevel="1" x14ac:dyDescent="0.2">
      <c r="A121" s="20">
        <f t="shared" si="75"/>
        <v>3644</v>
      </c>
      <c r="B121" s="19" t="str">
        <f t="shared" si="75"/>
        <v>TTU</v>
      </c>
      <c r="C121" s="18"/>
      <c r="D121" s="15">
        <f t="shared" ref="D121:M121" si="86">AVERAGE(D163,D205,D247)</f>
        <v>4674</v>
      </c>
      <c r="E121" s="21">
        <f t="shared" si="86"/>
        <v>0.73199999999999987</v>
      </c>
      <c r="F121" s="14">
        <f t="shared" si="86"/>
        <v>22192.42222222222</v>
      </c>
      <c r="G121" s="13">
        <f t="shared" si="86"/>
        <v>10128.113333332682</v>
      </c>
      <c r="H121" s="15">
        <f t="shared" si="86"/>
        <v>727.33333333333337</v>
      </c>
      <c r="I121" s="13">
        <f t="shared" si="86"/>
        <v>57.333333333333336</v>
      </c>
      <c r="J121" s="16">
        <f t="shared" si="86"/>
        <v>2778</v>
      </c>
      <c r="K121" s="15">
        <f t="shared" si="86"/>
        <v>6485.333333333333</v>
      </c>
      <c r="L121" s="14">
        <f t="shared" si="86"/>
        <v>5278.333333333333</v>
      </c>
      <c r="M121" s="13">
        <f t="shared" si="86"/>
        <v>3945.6666666666665</v>
      </c>
      <c r="N121" s="55"/>
    </row>
    <row r="122" spans="1:14" outlineLevel="1" x14ac:dyDescent="0.2">
      <c r="A122" s="20">
        <f t="shared" si="75"/>
        <v>3541</v>
      </c>
      <c r="B122" s="19" t="str">
        <f t="shared" si="75"/>
        <v>Angelo</v>
      </c>
      <c r="C122" s="18"/>
      <c r="D122" s="15">
        <f t="shared" ref="D122:M122" si="87">AVERAGE(D164,D206,D248)</f>
        <v>991.33333333333337</v>
      </c>
      <c r="E122" s="21">
        <f t="shared" si="87"/>
        <v>0.42966666666666664</v>
      </c>
      <c r="F122" s="14">
        <f t="shared" si="87"/>
        <v>4882.0444444444447</v>
      </c>
      <c r="G122" s="13">
        <f t="shared" si="87"/>
        <v>1977.3500000000051</v>
      </c>
      <c r="H122" s="15">
        <f t="shared" si="87"/>
        <v>254.33333333333334</v>
      </c>
      <c r="I122" s="13">
        <f t="shared" si="87"/>
        <v>19.333333333333332</v>
      </c>
      <c r="J122" s="16">
        <f t="shared" si="87"/>
        <v>723</v>
      </c>
      <c r="K122" s="15">
        <f t="shared" si="87"/>
        <v>1438.6666666666667</v>
      </c>
      <c r="L122" s="14">
        <f t="shared" si="87"/>
        <v>1033.6666666666667</v>
      </c>
      <c r="M122" s="13">
        <f t="shared" si="87"/>
        <v>707.66666666666663</v>
      </c>
      <c r="N122" s="55"/>
    </row>
    <row r="123" spans="1:14" outlineLevel="1" x14ac:dyDescent="0.2">
      <c r="A123" s="20">
        <f t="shared" si="75"/>
        <v>3646</v>
      </c>
      <c r="B123" s="19" t="str">
        <f t="shared" si="75"/>
        <v>TWU</v>
      </c>
      <c r="C123" s="18"/>
      <c r="D123" s="15">
        <f t="shared" ref="D123:M123" si="88">AVERAGE(D165,D207,D249)</f>
        <v>1806</v>
      </c>
      <c r="E123" s="21">
        <f t="shared" si="88"/>
        <v>0.52366666666666672</v>
      </c>
      <c r="F123" s="14">
        <f t="shared" si="88"/>
        <v>6556.4000000000005</v>
      </c>
      <c r="G123" s="13">
        <f t="shared" si="88"/>
        <v>3452.1766666666658</v>
      </c>
      <c r="H123" s="15">
        <f t="shared" si="88"/>
        <v>569.33333333333337</v>
      </c>
      <c r="I123" s="13">
        <f t="shared" si="88"/>
        <v>31.666666666666668</v>
      </c>
      <c r="J123" s="16">
        <f t="shared" si="88"/>
        <v>1247</v>
      </c>
      <c r="K123" s="15">
        <f t="shared" si="88"/>
        <v>2196</v>
      </c>
      <c r="L123" s="14">
        <f t="shared" si="88"/>
        <v>1292.3333333333333</v>
      </c>
      <c r="M123" s="13">
        <f t="shared" si="88"/>
        <v>659.66666666666663</v>
      </c>
      <c r="N123" s="55"/>
    </row>
    <row r="124" spans="1:14" outlineLevel="1" x14ac:dyDescent="0.2">
      <c r="A124" s="20">
        <f t="shared" si="75"/>
        <v>3581</v>
      </c>
      <c r="B124" s="19" t="str">
        <f t="shared" si="75"/>
        <v>Lamar</v>
      </c>
      <c r="C124" s="18"/>
      <c r="D124" s="15">
        <f t="shared" ref="D124:M124" si="89">AVERAGE(D166,D208,D250)</f>
        <v>1335.3333333333333</v>
      </c>
      <c r="E124" s="21">
        <f t="shared" si="89"/>
        <v>0.35033333333333333</v>
      </c>
      <c r="F124" s="14">
        <f t="shared" si="89"/>
        <v>7275.0666666666666</v>
      </c>
      <c r="G124" s="13">
        <f t="shared" si="89"/>
        <v>2684.9000000000165</v>
      </c>
      <c r="H124" s="15">
        <f t="shared" si="89"/>
        <v>330</v>
      </c>
      <c r="I124" s="13">
        <f t="shared" si="89"/>
        <v>17</v>
      </c>
      <c r="J124" s="16">
        <f t="shared" si="89"/>
        <v>948.66666666666663</v>
      </c>
      <c r="K124" s="15">
        <f t="shared" si="89"/>
        <v>2144.6666666666665</v>
      </c>
      <c r="L124" s="14">
        <f t="shared" si="89"/>
        <v>1489</v>
      </c>
      <c r="M124" s="13">
        <f t="shared" si="89"/>
        <v>1011</v>
      </c>
      <c r="N124" s="55"/>
    </row>
    <row r="125" spans="1:14" outlineLevel="1" x14ac:dyDescent="0.2">
      <c r="A125" s="20">
        <f t="shared" si="75"/>
        <v>3606</v>
      </c>
      <c r="B125" s="19" t="str">
        <f t="shared" si="75"/>
        <v>SHSU</v>
      </c>
      <c r="C125" s="18"/>
      <c r="D125" s="15">
        <f t="shared" ref="D125:M125" si="90">AVERAGE(D167,D209,D251)</f>
        <v>3077.6666666666665</v>
      </c>
      <c r="E125" s="21">
        <f t="shared" si="90"/>
        <v>0.58666666666666667</v>
      </c>
      <c r="F125" s="14">
        <f t="shared" si="90"/>
        <v>12574.4</v>
      </c>
      <c r="G125" s="13">
        <f t="shared" si="90"/>
        <v>5837.0766666667887</v>
      </c>
      <c r="H125" s="15">
        <f t="shared" si="90"/>
        <v>167</v>
      </c>
      <c r="I125" s="13">
        <f t="shared" si="90"/>
        <v>61</v>
      </c>
      <c r="J125" s="16">
        <f t="shared" si="90"/>
        <v>2213.6666666666665</v>
      </c>
      <c r="K125" s="15">
        <f t="shared" si="90"/>
        <v>3894.3333333333335</v>
      </c>
      <c r="L125" s="14">
        <f t="shared" si="90"/>
        <v>2965.3333333333335</v>
      </c>
      <c r="M125" s="13">
        <f t="shared" si="90"/>
        <v>1763.3333333333333</v>
      </c>
      <c r="N125" s="55"/>
    </row>
    <row r="126" spans="1:14" outlineLevel="1" x14ac:dyDescent="0.2">
      <c r="A126" s="20">
        <f t="shared" si="75"/>
        <v>3615</v>
      </c>
      <c r="B126" s="19" t="str">
        <f t="shared" si="75"/>
        <v>TXST</v>
      </c>
      <c r="C126" s="18"/>
      <c r="D126" s="15">
        <f t="shared" ref="D126:M126" si="91">AVERAGE(D168,D210,D252)</f>
        <v>5361</v>
      </c>
      <c r="E126" s="21">
        <f t="shared" si="91"/>
        <v>0.63300000000000001</v>
      </c>
      <c r="F126" s="14">
        <f t="shared" si="91"/>
        <v>22903.511111111107</v>
      </c>
      <c r="G126" s="13">
        <f t="shared" si="91"/>
        <v>10437.309999999357</v>
      </c>
      <c r="H126" s="15">
        <f t="shared" si="91"/>
        <v>488.66666666666669</v>
      </c>
      <c r="I126" s="13">
        <f t="shared" si="91"/>
        <v>66.666666666666671</v>
      </c>
      <c r="J126" s="16">
        <f t="shared" si="91"/>
        <v>3675.3333333333335</v>
      </c>
      <c r="K126" s="15">
        <f t="shared" si="91"/>
        <v>7470.333333333333</v>
      </c>
      <c r="L126" s="14">
        <f t="shared" si="91"/>
        <v>5579</v>
      </c>
      <c r="M126" s="13">
        <f t="shared" si="91"/>
        <v>3317.3333333333335</v>
      </c>
      <c r="N126" s="55"/>
    </row>
    <row r="127" spans="1:14" outlineLevel="1" x14ac:dyDescent="0.2">
      <c r="A127" s="20">
        <f t="shared" si="75"/>
        <v>3625</v>
      </c>
      <c r="B127" s="19" t="str">
        <f t="shared" si="75"/>
        <v>SRSU</v>
      </c>
      <c r="C127" s="18"/>
      <c r="D127" s="15">
        <f t="shared" ref="D127:M127" si="92">AVERAGE(D169,D211,D253)</f>
        <v>189.33333333333334</v>
      </c>
      <c r="E127" s="21">
        <f t="shared" si="92"/>
        <v>0.30099999999999999</v>
      </c>
      <c r="F127" s="14">
        <f t="shared" si="92"/>
        <v>1220.0222222222221</v>
      </c>
      <c r="G127" s="13">
        <f t="shared" si="92"/>
        <v>394.32999999999964</v>
      </c>
      <c r="H127" s="15">
        <f t="shared" si="92"/>
        <v>12.666666666666666</v>
      </c>
      <c r="I127" s="13">
        <f t="shared" si="92"/>
        <v>6.333333333333333</v>
      </c>
      <c r="J127" s="16">
        <f t="shared" si="92"/>
        <v>163</v>
      </c>
      <c r="K127" s="15">
        <f t="shared" si="92"/>
        <v>300</v>
      </c>
      <c r="L127" s="14">
        <f t="shared" si="92"/>
        <v>193.66666666666666</v>
      </c>
      <c r="M127" s="13">
        <f t="shared" si="92"/>
        <v>131.66666666666666</v>
      </c>
      <c r="N127" s="55"/>
    </row>
    <row r="128" spans="1:14" outlineLevel="1" x14ac:dyDescent="0.2">
      <c r="A128" s="20">
        <f t="shared" si="75"/>
        <v>20</v>
      </c>
      <c r="B128" s="19" t="str">
        <f t="shared" si="75"/>
        <v>SRRG</v>
      </c>
      <c r="C128" s="18"/>
      <c r="D128" s="15">
        <f t="shared" ref="D128:M128" si="93">AVERAGE(D170,D212,D254)</f>
        <v>161.66666666666666</v>
      </c>
      <c r="E128" s="21">
        <f t="shared" si="93"/>
        <v>0.31772769042270776</v>
      </c>
      <c r="F128" s="14">
        <f t="shared" si="93"/>
        <v>441.75555555555553</v>
      </c>
      <c r="G128" s="13">
        <f t="shared" si="93"/>
        <v>279.16999999999979</v>
      </c>
      <c r="H128" s="15">
        <f t="shared" si="93"/>
        <v>6.333333333333333</v>
      </c>
      <c r="I128" s="13">
        <f t="shared" si="93"/>
        <v>5.666666666666667</v>
      </c>
      <c r="J128" s="16">
        <f t="shared" si="93"/>
        <v>144</v>
      </c>
      <c r="K128" s="15">
        <f t="shared" si="93"/>
        <v>230</v>
      </c>
      <c r="L128" s="14">
        <f t="shared" si="93"/>
        <v>92.666666666666671</v>
      </c>
      <c r="M128" s="13">
        <f t="shared" si="93"/>
        <v>4.333333333333333</v>
      </c>
      <c r="N128" s="55"/>
    </row>
    <row r="129" spans="1:14" ht="13.5" outlineLevel="1" thickBot="1" x14ac:dyDescent="0.25">
      <c r="A129" s="12"/>
      <c r="B129" s="11" t="s">
        <v>11</v>
      </c>
      <c r="C129" s="10"/>
      <c r="D129" s="9">
        <f>SUM(D91:D128)</f>
        <v>84315.833333333314</v>
      </c>
      <c r="E129" s="8">
        <v>0.55900000000000005</v>
      </c>
      <c r="F129" s="7">
        <f t="shared" ref="F129:M129" si="94">SUM(F91:F128)</f>
        <v>350016.33333333331</v>
      </c>
      <c r="G129" s="3">
        <f t="shared" si="94"/>
        <v>172461.13999999844</v>
      </c>
      <c r="H129" s="5">
        <f t="shared" si="94"/>
        <v>13953.333333333332</v>
      </c>
      <c r="I129" s="3">
        <f t="shared" si="94"/>
        <v>1198.3333333333335</v>
      </c>
      <c r="J129" s="6">
        <f t="shared" si="94"/>
        <v>54446.500000000007</v>
      </c>
      <c r="K129" s="5">
        <f t="shared" si="94"/>
        <v>114212.66666666664</v>
      </c>
      <c r="L129" s="4">
        <f t="shared" si="94"/>
        <v>82344.5</v>
      </c>
      <c r="M129" s="3">
        <f t="shared" si="94"/>
        <v>50801.999999999993</v>
      </c>
      <c r="N129" s="55"/>
    </row>
    <row r="130" spans="1:14" ht="13.5" thickBot="1" x14ac:dyDescent="0.25">
      <c r="A130" s="45" t="s">
        <v>27</v>
      </c>
      <c r="B130" s="45"/>
      <c r="C130" s="45"/>
      <c r="D130" s="54"/>
      <c r="F130" s="54"/>
      <c r="J130" s="54"/>
    </row>
    <row r="131" spans="1:14" ht="12.75" customHeight="1" outlineLevel="1" x14ac:dyDescent="0.2">
      <c r="A131" s="273" t="s">
        <v>24</v>
      </c>
      <c r="B131" s="275" t="s">
        <v>23</v>
      </c>
      <c r="C131" s="277"/>
      <c r="D131" s="306" t="s">
        <v>22</v>
      </c>
      <c r="E131" s="301" t="s">
        <v>21</v>
      </c>
      <c r="F131" s="275" t="s">
        <v>20</v>
      </c>
      <c r="G131" s="297" t="s">
        <v>19</v>
      </c>
      <c r="H131" s="299" t="s">
        <v>18</v>
      </c>
      <c r="I131" s="291" t="s">
        <v>17</v>
      </c>
      <c r="J131" s="293" t="s">
        <v>16</v>
      </c>
      <c r="K131" s="295" t="s">
        <v>15</v>
      </c>
      <c r="L131" s="296"/>
      <c r="M131" s="296"/>
    </row>
    <row r="132" spans="1:14" s="41" customFormat="1" ht="36" customHeight="1" outlineLevel="1" thickBot="1" x14ac:dyDescent="0.25">
      <c r="A132" s="274"/>
      <c r="B132" s="276"/>
      <c r="C132" s="278"/>
      <c r="D132" s="307"/>
      <c r="E132" s="302"/>
      <c r="F132" s="276"/>
      <c r="G132" s="298"/>
      <c r="H132" s="300"/>
      <c r="I132" s="292"/>
      <c r="J132" s="294"/>
      <c r="K132" s="44" t="s">
        <v>14</v>
      </c>
      <c r="L132" s="43" t="s">
        <v>13</v>
      </c>
      <c r="M132" s="42" t="s">
        <v>12</v>
      </c>
    </row>
    <row r="133" spans="1:14" outlineLevel="1" x14ac:dyDescent="0.2">
      <c r="A133" s="40">
        <f t="shared" ref="A133:B152" si="95">A91</f>
        <v>3656</v>
      </c>
      <c r="B133" s="39" t="str">
        <f t="shared" si="95"/>
        <v>UTA</v>
      </c>
      <c r="C133" s="38"/>
      <c r="D133" s="33">
        <v>5773</v>
      </c>
      <c r="E133" s="37">
        <v>0.55500000000000005</v>
      </c>
      <c r="F133" s="32">
        <v>17781.466666666667</v>
      </c>
      <c r="G133" s="51">
        <v>12087.560000000249</v>
      </c>
      <c r="H133" s="36">
        <v>2140</v>
      </c>
      <c r="I133" s="35">
        <v>43</v>
      </c>
      <c r="J133" s="34">
        <v>3528</v>
      </c>
      <c r="K133" s="53">
        <v>6893</v>
      </c>
      <c r="L133" s="52">
        <v>3962</v>
      </c>
      <c r="M133" s="51">
        <v>1894</v>
      </c>
    </row>
    <row r="134" spans="1:14" outlineLevel="1" x14ac:dyDescent="0.2">
      <c r="A134" s="20">
        <f t="shared" si="95"/>
        <v>3658</v>
      </c>
      <c r="B134" s="19" t="str">
        <f t="shared" si="95"/>
        <v>UT</v>
      </c>
      <c r="C134" s="18"/>
      <c r="D134" s="15">
        <v>8860</v>
      </c>
      <c r="E134" s="21">
        <v>0.82499999999999996</v>
      </c>
      <c r="F134" s="14">
        <v>33841.466666666667</v>
      </c>
      <c r="G134" s="28">
        <v>19542.67999999996</v>
      </c>
      <c r="H134" s="15">
        <v>1981</v>
      </c>
      <c r="I134" s="13">
        <v>83</v>
      </c>
      <c r="J134" s="16">
        <v>3501</v>
      </c>
      <c r="K134" s="30">
        <v>9260</v>
      </c>
      <c r="L134" s="29">
        <v>8373</v>
      </c>
      <c r="M134" s="28">
        <v>6348</v>
      </c>
    </row>
    <row r="135" spans="1:14" outlineLevel="1" x14ac:dyDescent="0.2">
      <c r="A135" s="20">
        <f t="shared" si="95"/>
        <v>9741</v>
      </c>
      <c r="B135" s="19" t="str">
        <f t="shared" si="95"/>
        <v>UTD</v>
      </c>
      <c r="C135" s="18"/>
      <c r="D135" s="15">
        <v>2510</v>
      </c>
      <c r="E135" s="21">
        <v>0.71900000000000008</v>
      </c>
      <c r="F135" s="14">
        <v>9826.5333333333328</v>
      </c>
      <c r="G135" s="28">
        <v>5443.8700000002518</v>
      </c>
      <c r="H135" s="15">
        <v>449</v>
      </c>
      <c r="I135" s="13">
        <v>33</v>
      </c>
      <c r="J135" s="16">
        <v>1410</v>
      </c>
      <c r="K135" s="30">
        <v>3522</v>
      </c>
      <c r="L135" s="29">
        <v>2348</v>
      </c>
      <c r="M135" s="28">
        <v>1065</v>
      </c>
    </row>
    <row r="136" spans="1:14" outlineLevel="1" x14ac:dyDescent="0.2">
      <c r="A136" s="20">
        <f t="shared" si="95"/>
        <v>3661</v>
      </c>
      <c r="B136" s="19" t="str">
        <f t="shared" si="95"/>
        <v>UTEP</v>
      </c>
      <c r="C136" s="18"/>
      <c r="D136" s="15">
        <v>3132</v>
      </c>
      <c r="E136" s="21">
        <v>0.41200000000000003</v>
      </c>
      <c r="F136" s="14">
        <v>13931.066666666668</v>
      </c>
      <c r="G136" s="28">
        <v>6456.0600000003096</v>
      </c>
      <c r="H136" s="15">
        <v>643</v>
      </c>
      <c r="I136" s="13">
        <v>86</v>
      </c>
      <c r="J136" s="16">
        <v>2590</v>
      </c>
      <c r="K136" s="30">
        <v>4400</v>
      </c>
      <c r="L136" s="29">
        <v>3304</v>
      </c>
      <c r="M136" s="28">
        <v>1986</v>
      </c>
    </row>
    <row r="137" spans="1:14" outlineLevel="1" x14ac:dyDescent="0.2">
      <c r="A137" s="20">
        <f t="shared" si="95"/>
        <v>3599</v>
      </c>
      <c r="B137" s="19" t="str">
        <f t="shared" si="95"/>
        <v>UTPA</v>
      </c>
      <c r="C137" s="18"/>
      <c r="D137" s="15">
        <v>2462</v>
      </c>
      <c r="E137" s="21">
        <v>0.44</v>
      </c>
      <c r="F137" s="14">
        <v>12698.333333333334</v>
      </c>
      <c r="G137" s="28">
        <v>5000.2800000001325</v>
      </c>
      <c r="H137" s="15">
        <v>547</v>
      </c>
      <c r="I137" s="13">
        <v>19</v>
      </c>
      <c r="J137" s="16">
        <v>2247</v>
      </c>
      <c r="K137" s="30">
        <v>3730</v>
      </c>
      <c r="L137" s="29">
        <v>2862</v>
      </c>
      <c r="M137" s="28">
        <v>1896</v>
      </c>
    </row>
    <row r="138" spans="1:14" outlineLevel="1" x14ac:dyDescent="0.2">
      <c r="A138" s="20">
        <f t="shared" si="95"/>
        <v>30646</v>
      </c>
      <c r="B138" s="19" t="str">
        <f t="shared" si="95"/>
        <v>UTB</v>
      </c>
      <c r="C138" s="18"/>
      <c r="D138" s="15">
        <v>1149</v>
      </c>
      <c r="E138" s="17">
        <v>0.52783109404990403</v>
      </c>
      <c r="F138" s="14">
        <v>3400.5333333333333</v>
      </c>
      <c r="G138" s="28">
        <v>2236.3100000000127</v>
      </c>
      <c r="H138" s="15">
        <v>133</v>
      </c>
      <c r="I138" s="13">
        <v>21</v>
      </c>
      <c r="J138" s="16">
        <v>978</v>
      </c>
      <c r="K138" s="30">
        <v>1243</v>
      </c>
      <c r="L138" s="29">
        <v>486</v>
      </c>
      <c r="M138" s="28">
        <v>99</v>
      </c>
    </row>
    <row r="139" spans="1:14" outlineLevel="1" x14ac:dyDescent="0.2">
      <c r="A139" s="20">
        <f t="shared" si="95"/>
        <v>9930</v>
      </c>
      <c r="B139" s="19" t="str">
        <f t="shared" si="95"/>
        <v>UTPB</v>
      </c>
      <c r="C139" s="18"/>
      <c r="D139" s="15">
        <v>546</v>
      </c>
      <c r="E139" s="21">
        <v>0.47899999999999998</v>
      </c>
      <c r="F139" s="14">
        <v>2343.2666666666669</v>
      </c>
      <c r="G139" s="28">
        <v>1054.6599999999951</v>
      </c>
      <c r="H139" s="15">
        <v>51</v>
      </c>
      <c r="I139" s="13">
        <v>7</v>
      </c>
      <c r="J139" s="16">
        <v>411</v>
      </c>
      <c r="K139" s="30">
        <v>742</v>
      </c>
      <c r="L139" s="29">
        <v>535</v>
      </c>
      <c r="M139" s="28">
        <v>210</v>
      </c>
    </row>
    <row r="140" spans="1:14" outlineLevel="1" x14ac:dyDescent="0.2">
      <c r="A140" s="20">
        <f t="shared" si="95"/>
        <v>10115</v>
      </c>
      <c r="B140" s="19" t="str">
        <f t="shared" si="95"/>
        <v>UTSA</v>
      </c>
      <c r="C140" s="18"/>
      <c r="D140" s="15">
        <v>4243</v>
      </c>
      <c r="E140" s="21">
        <v>0.43099999999999999</v>
      </c>
      <c r="F140" s="14">
        <v>21066.866666666665</v>
      </c>
      <c r="G140" s="28">
        <v>8736.7000000001954</v>
      </c>
      <c r="H140" s="15">
        <v>407</v>
      </c>
      <c r="I140" s="13">
        <v>63</v>
      </c>
      <c r="J140" s="16">
        <v>3204</v>
      </c>
      <c r="K140" s="30">
        <v>6815</v>
      </c>
      <c r="L140" s="29">
        <v>4371</v>
      </c>
      <c r="M140" s="28">
        <v>2560</v>
      </c>
    </row>
    <row r="141" spans="1:14" outlineLevel="1" x14ac:dyDescent="0.2">
      <c r="A141" s="20">
        <f t="shared" si="95"/>
        <v>11163</v>
      </c>
      <c r="B141" s="19" t="str">
        <f t="shared" si="95"/>
        <v>UTT</v>
      </c>
      <c r="C141" s="18"/>
      <c r="D141" s="15">
        <v>1144</v>
      </c>
      <c r="E141" s="21">
        <v>0.51800000000000002</v>
      </c>
      <c r="F141" s="14">
        <v>4086.7333333333331</v>
      </c>
      <c r="G141" s="28">
        <v>2263.8699999999944</v>
      </c>
      <c r="H141" s="15">
        <v>392</v>
      </c>
      <c r="I141" s="13">
        <v>23</v>
      </c>
      <c r="J141" s="16">
        <v>886</v>
      </c>
      <c r="K141" s="30">
        <v>1409</v>
      </c>
      <c r="L141" s="29">
        <v>844</v>
      </c>
      <c r="M141" s="28">
        <v>383</v>
      </c>
    </row>
    <row r="142" spans="1:14" outlineLevel="1" x14ac:dyDescent="0.2">
      <c r="A142" s="20">
        <f t="shared" si="95"/>
        <v>3632</v>
      </c>
      <c r="B142" s="19" t="str">
        <f t="shared" si="95"/>
        <v>TAMU</v>
      </c>
      <c r="C142" s="18"/>
      <c r="D142" s="15">
        <v>9020</v>
      </c>
      <c r="E142" s="21">
        <v>0.84200000000000008</v>
      </c>
      <c r="F142" s="14">
        <v>35116.666666666664</v>
      </c>
      <c r="G142" s="28">
        <v>21108.189999999984</v>
      </c>
      <c r="H142" s="15">
        <v>1934</v>
      </c>
      <c r="I142" s="13">
        <v>137</v>
      </c>
      <c r="J142" s="16">
        <v>3915</v>
      </c>
      <c r="K142" s="30">
        <v>10547</v>
      </c>
      <c r="L142" s="29">
        <v>8924</v>
      </c>
      <c r="M142" s="28">
        <v>6938</v>
      </c>
    </row>
    <row r="143" spans="1:14" outlineLevel="1" x14ac:dyDescent="0.2">
      <c r="A143" s="20">
        <f t="shared" si="95"/>
        <v>10298</v>
      </c>
      <c r="B143" s="19" t="str">
        <f t="shared" si="95"/>
        <v>TAMUG</v>
      </c>
      <c r="C143" s="18"/>
      <c r="D143" s="15">
        <v>314</v>
      </c>
      <c r="E143" s="21">
        <v>0.626</v>
      </c>
      <c r="F143" s="14">
        <v>1769.4666666666667</v>
      </c>
      <c r="G143" s="28">
        <v>826.3399999999923</v>
      </c>
      <c r="H143" s="15">
        <v>46</v>
      </c>
      <c r="I143" s="13">
        <v>0</v>
      </c>
      <c r="J143" s="16">
        <v>186</v>
      </c>
      <c r="K143" s="30">
        <v>607</v>
      </c>
      <c r="L143" s="29">
        <v>296</v>
      </c>
      <c r="M143" s="28">
        <v>263</v>
      </c>
    </row>
    <row r="144" spans="1:14" outlineLevel="1" x14ac:dyDescent="0.2">
      <c r="A144" s="20">
        <f t="shared" si="95"/>
        <v>3630</v>
      </c>
      <c r="B144" s="19" t="str">
        <f t="shared" si="95"/>
        <v>Prairie View</v>
      </c>
      <c r="C144" s="18"/>
      <c r="D144" s="15">
        <v>1026</v>
      </c>
      <c r="E144" s="21">
        <v>0.40299999999999997</v>
      </c>
      <c r="F144" s="14">
        <v>5822.8</v>
      </c>
      <c r="G144" s="28">
        <v>2288.9700000000062</v>
      </c>
      <c r="H144" s="15">
        <v>373</v>
      </c>
      <c r="I144" s="13">
        <v>11</v>
      </c>
      <c r="J144" s="16">
        <v>877</v>
      </c>
      <c r="K144" s="30">
        <v>1701</v>
      </c>
      <c r="L144" s="29">
        <v>1132</v>
      </c>
      <c r="M144" s="28">
        <v>871</v>
      </c>
    </row>
    <row r="145" spans="1:13" outlineLevel="1" x14ac:dyDescent="0.2">
      <c r="A145" s="20">
        <f t="shared" si="95"/>
        <v>3631</v>
      </c>
      <c r="B145" s="19" t="str">
        <f t="shared" si="95"/>
        <v>Tarleton</v>
      </c>
      <c r="C145" s="18"/>
      <c r="D145" s="15">
        <v>1662</v>
      </c>
      <c r="E145" s="21">
        <v>0.47600000000000003</v>
      </c>
      <c r="F145" s="14">
        <v>6766.4</v>
      </c>
      <c r="G145" s="28">
        <v>3337.2399999999966</v>
      </c>
      <c r="H145" s="15">
        <v>229</v>
      </c>
      <c r="I145" s="13">
        <v>49</v>
      </c>
      <c r="J145" s="16">
        <v>1296</v>
      </c>
      <c r="K145" s="30">
        <v>2227</v>
      </c>
      <c r="L145" s="29">
        <v>1216</v>
      </c>
      <c r="M145" s="28">
        <v>845</v>
      </c>
    </row>
    <row r="146" spans="1:13" outlineLevel="1" x14ac:dyDescent="0.2">
      <c r="A146" s="27">
        <f t="shared" si="95"/>
        <v>103631</v>
      </c>
      <c r="B146" s="19" t="str">
        <f t="shared" si="95"/>
        <v>TAMUCT</v>
      </c>
      <c r="C146" s="18"/>
      <c r="D146" s="15">
        <v>469</v>
      </c>
      <c r="E146" s="21">
        <f>E145</f>
        <v>0.47600000000000003</v>
      </c>
      <c r="F146" s="14">
        <v>684.13333333333333</v>
      </c>
      <c r="G146" s="28">
        <v>882.20999999999208</v>
      </c>
      <c r="H146" s="15">
        <v>42</v>
      </c>
      <c r="I146" s="13">
        <v>0</v>
      </c>
      <c r="J146" s="16">
        <v>329</v>
      </c>
      <c r="K146" s="30">
        <v>550</v>
      </c>
      <c r="L146" s="29">
        <v>119</v>
      </c>
      <c r="M146" s="28">
        <v>5</v>
      </c>
    </row>
    <row r="147" spans="1:13" outlineLevel="1" x14ac:dyDescent="0.2">
      <c r="A147" s="20">
        <f t="shared" si="95"/>
        <v>11161</v>
      </c>
      <c r="B147" s="19" t="str">
        <f t="shared" si="95"/>
        <v>TAMUCC</v>
      </c>
      <c r="C147" s="18"/>
      <c r="D147" s="15">
        <v>1515</v>
      </c>
      <c r="E147" s="21">
        <v>0.51</v>
      </c>
      <c r="F147" s="14">
        <v>6742.2</v>
      </c>
      <c r="G147" s="28">
        <v>3028.8999999999978</v>
      </c>
      <c r="H147" s="15">
        <v>310</v>
      </c>
      <c r="I147" s="13">
        <v>23</v>
      </c>
      <c r="J147" s="16">
        <v>1182</v>
      </c>
      <c r="K147" s="30">
        <v>1957</v>
      </c>
      <c r="L147" s="29">
        <v>1470</v>
      </c>
      <c r="M147" s="28">
        <v>959</v>
      </c>
    </row>
    <row r="148" spans="1:13" outlineLevel="1" x14ac:dyDescent="0.2">
      <c r="A148" s="20">
        <f t="shared" si="95"/>
        <v>3639</v>
      </c>
      <c r="B148" s="19" t="str">
        <f t="shared" si="95"/>
        <v>TAMUK</v>
      </c>
      <c r="C148" s="18"/>
      <c r="D148" s="15">
        <v>855</v>
      </c>
      <c r="E148" s="21">
        <v>0.39200000000000002</v>
      </c>
      <c r="F148" s="14">
        <v>4577.5333333333338</v>
      </c>
      <c r="G148" s="28">
        <v>1952.6200000000099</v>
      </c>
      <c r="H148" s="15">
        <v>298</v>
      </c>
      <c r="I148" s="13">
        <v>19</v>
      </c>
      <c r="J148" s="16">
        <v>742</v>
      </c>
      <c r="K148" s="30">
        <v>1343</v>
      </c>
      <c r="L148" s="29">
        <v>910</v>
      </c>
      <c r="M148" s="28">
        <v>571</v>
      </c>
    </row>
    <row r="149" spans="1:13" outlineLevel="1" x14ac:dyDescent="0.2">
      <c r="A149" s="27">
        <f t="shared" si="95"/>
        <v>103639</v>
      </c>
      <c r="B149" s="19" t="str">
        <f t="shared" si="95"/>
        <v>TAMUSA</v>
      </c>
      <c r="C149" s="18"/>
      <c r="D149" s="15">
        <v>647</v>
      </c>
      <c r="E149" s="21">
        <f>E148</f>
        <v>0.39200000000000002</v>
      </c>
      <c r="F149" s="14">
        <v>1673.0666666666666</v>
      </c>
      <c r="G149" s="28">
        <v>1155.5399999999984</v>
      </c>
      <c r="H149" s="15">
        <v>10</v>
      </c>
      <c r="I149" s="13">
        <v>4</v>
      </c>
      <c r="J149" s="16">
        <v>549</v>
      </c>
      <c r="K149" s="30">
        <v>887</v>
      </c>
      <c r="L149" s="29">
        <v>190</v>
      </c>
      <c r="M149" s="28">
        <v>1</v>
      </c>
    </row>
    <row r="150" spans="1:13" outlineLevel="1" x14ac:dyDescent="0.2">
      <c r="A150" s="20">
        <f t="shared" si="95"/>
        <v>9651</v>
      </c>
      <c r="B150" s="19" t="str">
        <f t="shared" si="95"/>
        <v>TAMI</v>
      </c>
      <c r="C150" s="18"/>
      <c r="D150" s="15">
        <v>805</v>
      </c>
      <c r="E150" s="21">
        <v>0.45700000000000002</v>
      </c>
      <c r="F150" s="14">
        <v>4312.1333333333332</v>
      </c>
      <c r="G150" s="28">
        <v>1498.7699999999936</v>
      </c>
      <c r="H150" s="15">
        <v>142</v>
      </c>
      <c r="I150" s="13">
        <v>23</v>
      </c>
      <c r="J150" s="16">
        <v>737</v>
      </c>
      <c r="K150" s="30">
        <v>1292</v>
      </c>
      <c r="L150" s="29">
        <v>1039</v>
      </c>
      <c r="M150" s="28">
        <v>488</v>
      </c>
    </row>
    <row r="151" spans="1:13" outlineLevel="1" x14ac:dyDescent="0.2">
      <c r="A151" s="20">
        <f t="shared" si="95"/>
        <v>3665</v>
      </c>
      <c r="B151" s="19" t="str">
        <f t="shared" si="95"/>
        <v>WTAMU</v>
      </c>
      <c r="C151" s="18"/>
      <c r="D151" s="15">
        <v>1253</v>
      </c>
      <c r="E151" s="21">
        <v>0.48200000000000004</v>
      </c>
      <c r="F151" s="14">
        <v>5523.2</v>
      </c>
      <c r="G151" s="28">
        <v>2523.9800000000132</v>
      </c>
      <c r="H151" s="15">
        <v>175</v>
      </c>
      <c r="I151" s="13">
        <v>60</v>
      </c>
      <c r="J151" s="16">
        <v>902</v>
      </c>
      <c r="K151" s="30">
        <v>1631</v>
      </c>
      <c r="L151" s="29">
        <v>1213</v>
      </c>
      <c r="M151" s="28">
        <v>689</v>
      </c>
    </row>
    <row r="152" spans="1:13" outlineLevel="1" x14ac:dyDescent="0.2">
      <c r="A152" s="20">
        <f t="shared" si="95"/>
        <v>3565</v>
      </c>
      <c r="B152" s="19" t="str">
        <f t="shared" si="95"/>
        <v>TAMUC</v>
      </c>
      <c r="C152" s="18"/>
      <c r="D152" s="15">
        <v>1507</v>
      </c>
      <c r="E152" s="21">
        <v>0.44600000000000001</v>
      </c>
      <c r="F152" s="14">
        <v>5135.2666666666664</v>
      </c>
      <c r="G152" s="28">
        <v>2861.9500000000121</v>
      </c>
      <c r="H152" s="15">
        <v>89</v>
      </c>
      <c r="I152" s="13">
        <v>81</v>
      </c>
      <c r="J152" s="16">
        <v>1172</v>
      </c>
      <c r="K152" s="30">
        <v>2056</v>
      </c>
      <c r="L152" s="29">
        <v>1174</v>
      </c>
      <c r="M152" s="28">
        <v>457</v>
      </c>
    </row>
    <row r="153" spans="1:13" outlineLevel="1" x14ac:dyDescent="0.2">
      <c r="A153" s="20">
        <f t="shared" ref="A153:B170" si="96">A111</f>
        <v>29269</v>
      </c>
      <c r="B153" s="19" t="str">
        <f t="shared" si="96"/>
        <v>TAMUT</v>
      </c>
      <c r="C153" s="18"/>
      <c r="D153" s="15">
        <v>376</v>
      </c>
      <c r="E153" s="17">
        <v>0.49242424242424243</v>
      </c>
      <c r="F153" s="14">
        <v>1101.2666666666667</v>
      </c>
      <c r="G153" s="28">
        <v>680.4399999999946</v>
      </c>
      <c r="H153" s="15">
        <v>47</v>
      </c>
      <c r="I153" s="13">
        <v>25</v>
      </c>
      <c r="J153" s="16">
        <v>277</v>
      </c>
      <c r="K153" s="30">
        <v>484</v>
      </c>
      <c r="L153" s="29">
        <v>219</v>
      </c>
      <c r="M153" s="28">
        <v>1</v>
      </c>
    </row>
    <row r="154" spans="1:13" outlineLevel="1" x14ac:dyDescent="0.2">
      <c r="A154" s="20">
        <f t="shared" si="96"/>
        <v>3652</v>
      </c>
      <c r="B154" s="19" t="str">
        <f t="shared" si="96"/>
        <v>UH</v>
      </c>
      <c r="C154" s="18"/>
      <c r="D154" s="15">
        <v>5426</v>
      </c>
      <c r="E154" s="21">
        <v>0.53600000000000003</v>
      </c>
      <c r="F154" s="14">
        <v>24760.400000000001</v>
      </c>
      <c r="G154" s="28">
        <v>11378.949999999324</v>
      </c>
      <c r="H154" s="15">
        <v>835</v>
      </c>
      <c r="I154" s="13">
        <v>60</v>
      </c>
      <c r="J154" s="16">
        <v>3688</v>
      </c>
      <c r="K154" s="30">
        <v>7823</v>
      </c>
      <c r="L154" s="29">
        <v>5667</v>
      </c>
      <c r="M154" s="28">
        <v>3232</v>
      </c>
    </row>
    <row r="155" spans="1:13" outlineLevel="1" x14ac:dyDescent="0.2">
      <c r="A155" s="20">
        <f t="shared" si="96"/>
        <v>11711</v>
      </c>
      <c r="B155" s="19" t="str">
        <f t="shared" si="96"/>
        <v>UHCL</v>
      </c>
      <c r="C155" s="18"/>
      <c r="D155" s="15">
        <v>1251</v>
      </c>
      <c r="E155" s="17">
        <v>0.51671732522796354</v>
      </c>
      <c r="F155" s="14">
        <v>3079.2666666666669</v>
      </c>
      <c r="G155" s="28">
        <v>2423.7000000000025</v>
      </c>
      <c r="H155" s="15">
        <v>119</v>
      </c>
      <c r="I155" s="13">
        <v>9</v>
      </c>
      <c r="J155" s="16">
        <v>839</v>
      </c>
      <c r="K155" s="30">
        <v>1391</v>
      </c>
      <c r="L155" s="29">
        <v>1014</v>
      </c>
      <c r="M155" s="28">
        <v>37</v>
      </c>
    </row>
    <row r="156" spans="1:13" outlineLevel="1" x14ac:dyDescent="0.2">
      <c r="A156" s="20">
        <f t="shared" si="96"/>
        <v>12826</v>
      </c>
      <c r="B156" s="19" t="str">
        <f t="shared" si="96"/>
        <v>UHD</v>
      </c>
      <c r="C156" s="18"/>
      <c r="D156" s="15">
        <v>2351</v>
      </c>
      <c r="E156" s="21">
        <v>0.17399999999999999</v>
      </c>
      <c r="F156" s="14">
        <v>8043.8</v>
      </c>
      <c r="G156" s="28">
        <v>4292.430000000033</v>
      </c>
      <c r="H156" s="15">
        <v>134</v>
      </c>
      <c r="I156" s="13">
        <v>3</v>
      </c>
      <c r="J156" s="16">
        <v>1694</v>
      </c>
      <c r="K156" s="30">
        <v>3011</v>
      </c>
      <c r="L156" s="29">
        <v>1820</v>
      </c>
      <c r="M156" s="28">
        <v>590</v>
      </c>
    </row>
    <row r="157" spans="1:13" outlineLevel="1" x14ac:dyDescent="0.2">
      <c r="A157" s="20">
        <f t="shared" si="96"/>
        <v>13231</v>
      </c>
      <c r="B157" s="19" t="str">
        <f t="shared" si="96"/>
        <v>UHV</v>
      </c>
      <c r="C157" s="18"/>
      <c r="D157" s="15">
        <v>619</v>
      </c>
      <c r="E157" s="17">
        <v>0.47520661157024796</v>
      </c>
      <c r="F157" s="14">
        <v>1685.8666666666666</v>
      </c>
      <c r="G157" s="28">
        <v>1187.5899999999924</v>
      </c>
      <c r="H157" s="15">
        <v>134</v>
      </c>
      <c r="I157" s="13">
        <v>9</v>
      </c>
      <c r="J157" s="16">
        <v>418</v>
      </c>
      <c r="K157" s="30">
        <v>776</v>
      </c>
      <c r="L157" s="29">
        <v>334</v>
      </c>
      <c r="M157" s="28">
        <v>6</v>
      </c>
    </row>
    <row r="158" spans="1:13" outlineLevel="1" x14ac:dyDescent="0.2">
      <c r="A158" s="20">
        <f t="shared" si="96"/>
        <v>3592</v>
      </c>
      <c r="B158" s="19" t="str">
        <f t="shared" si="96"/>
        <v>Midwestern</v>
      </c>
      <c r="C158" s="18"/>
      <c r="D158" s="15">
        <v>1066</v>
      </c>
      <c r="E158" s="21">
        <v>0.46299999999999997</v>
      </c>
      <c r="F158" s="14">
        <v>4147.7333333333336</v>
      </c>
      <c r="G158" s="28">
        <v>2062.1399999999949</v>
      </c>
      <c r="H158" s="15">
        <v>358</v>
      </c>
      <c r="I158" s="13">
        <v>15</v>
      </c>
      <c r="J158" s="16">
        <v>723</v>
      </c>
      <c r="K158" s="30">
        <v>1310</v>
      </c>
      <c r="L158" s="29">
        <v>979</v>
      </c>
      <c r="M158" s="28">
        <v>683</v>
      </c>
    </row>
    <row r="159" spans="1:13" outlineLevel="1" x14ac:dyDescent="0.2">
      <c r="A159" s="20">
        <f t="shared" si="96"/>
        <v>3594</v>
      </c>
      <c r="B159" s="19" t="str">
        <f t="shared" si="96"/>
        <v>UNT</v>
      </c>
      <c r="C159" s="18"/>
      <c r="D159" s="15">
        <v>5843</v>
      </c>
      <c r="E159" s="21">
        <v>0.56799999999999995</v>
      </c>
      <c r="F159" s="14">
        <v>23213.466666666667</v>
      </c>
      <c r="G159" s="28">
        <v>11338.869999999399</v>
      </c>
      <c r="H159" s="15">
        <v>368</v>
      </c>
      <c r="I159" s="13">
        <v>56</v>
      </c>
      <c r="J159" s="16">
        <v>3771</v>
      </c>
      <c r="K159" s="30">
        <v>7310</v>
      </c>
      <c r="L159" s="29">
        <v>5432</v>
      </c>
      <c r="M159" s="28">
        <v>3116</v>
      </c>
    </row>
    <row r="160" spans="1:13" outlineLevel="1" x14ac:dyDescent="0.2">
      <c r="A160" s="27">
        <f t="shared" si="96"/>
        <v>113594</v>
      </c>
      <c r="B160" s="19" t="str">
        <f t="shared" si="96"/>
        <v>UNTD</v>
      </c>
      <c r="C160" s="18"/>
      <c r="D160" s="15">
        <v>419</v>
      </c>
      <c r="E160" s="21">
        <f>E159</f>
        <v>0.56799999999999995</v>
      </c>
      <c r="F160" s="14">
        <v>983.4666666666667</v>
      </c>
      <c r="G160" s="28">
        <v>742.11999999999398</v>
      </c>
      <c r="H160" s="15">
        <v>14</v>
      </c>
      <c r="I160" s="13">
        <v>0</v>
      </c>
      <c r="J160" s="16">
        <v>313</v>
      </c>
      <c r="K160" s="30">
        <v>469</v>
      </c>
      <c r="L160" s="29">
        <v>80</v>
      </c>
      <c r="M160" s="28">
        <v>4</v>
      </c>
    </row>
    <row r="161" spans="1:13" outlineLevel="1" x14ac:dyDescent="0.2">
      <c r="A161" s="20">
        <f t="shared" si="96"/>
        <v>3624</v>
      </c>
      <c r="B161" s="19" t="str">
        <f t="shared" si="96"/>
        <v>SFA</v>
      </c>
      <c r="C161" s="18"/>
      <c r="D161" s="15">
        <v>2011</v>
      </c>
      <c r="E161" s="21">
        <v>0.55299999999999994</v>
      </c>
      <c r="F161" s="14">
        <v>9507.3333333333339</v>
      </c>
      <c r="G161" s="28">
        <v>3932.9399999999569</v>
      </c>
      <c r="H161" s="15">
        <v>273</v>
      </c>
      <c r="I161" s="13">
        <v>42</v>
      </c>
      <c r="J161" s="16">
        <v>1513</v>
      </c>
      <c r="K161" s="30">
        <v>2605</v>
      </c>
      <c r="L161" s="29">
        <v>2125</v>
      </c>
      <c r="M161" s="28">
        <v>1473</v>
      </c>
    </row>
    <row r="162" spans="1:13" outlineLevel="1" x14ac:dyDescent="0.2">
      <c r="A162" s="20">
        <f t="shared" si="96"/>
        <v>3642</v>
      </c>
      <c r="B162" s="19" t="str">
        <f t="shared" si="96"/>
        <v>TSU</v>
      </c>
      <c r="C162" s="18"/>
      <c r="D162" s="15">
        <v>737</v>
      </c>
      <c r="E162" s="21">
        <v>0.14099999999999999</v>
      </c>
      <c r="F162" s="14">
        <v>5767.1333333333332</v>
      </c>
      <c r="G162" s="28">
        <v>1478.8299999999929</v>
      </c>
      <c r="H162" s="15">
        <v>154</v>
      </c>
      <c r="I162" s="13">
        <v>5</v>
      </c>
      <c r="J162" s="16">
        <v>641</v>
      </c>
      <c r="K162" s="30">
        <v>1349</v>
      </c>
      <c r="L162" s="29">
        <v>988</v>
      </c>
      <c r="M162" s="28">
        <v>760</v>
      </c>
    </row>
    <row r="163" spans="1:13" outlineLevel="1" x14ac:dyDescent="0.2">
      <c r="A163" s="20">
        <f t="shared" si="96"/>
        <v>3644</v>
      </c>
      <c r="B163" s="19" t="str">
        <f t="shared" si="96"/>
        <v>TTU</v>
      </c>
      <c r="C163" s="18"/>
      <c r="D163" s="15">
        <v>4941</v>
      </c>
      <c r="E163" s="21">
        <v>0.73599999999999999</v>
      </c>
      <c r="F163" s="14">
        <v>22627.599999999999</v>
      </c>
      <c r="G163" s="28">
        <v>10741.019999999262</v>
      </c>
      <c r="H163" s="15">
        <v>839</v>
      </c>
      <c r="I163" s="13">
        <v>67</v>
      </c>
      <c r="J163" s="16">
        <v>3071</v>
      </c>
      <c r="K163" s="30">
        <v>6449</v>
      </c>
      <c r="L163" s="29">
        <v>5332</v>
      </c>
      <c r="M163" s="28">
        <v>4048</v>
      </c>
    </row>
    <row r="164" spans="1:13" outlineLevel="1" x14ac:dyDescent="0.2">
      <c r="A164" s="20">
        <f t="shared" si="96"/>
        <v>3541</v>
      </c>
      <c r="B164" s="19" t="str">
        <f t="shared" si="96"/>
        <v>Angelo</v>
      </c>
      <c r="C164" s="18"/>
      <c r="D164" s="15">
        <v>1073</v>
      </c>
      <c r="E164" s="21">
        <v>0.40799999999999997</v>
      </c>
      <c r="F164" s="14">
        <v>4921.333333333333</v>
      </c>
      <c r="G164" s="28">
        <v>2141.5100000000025</v>
      </c>
      <c r="H164" s="15">
        <v>304</v>
      </c>
      <c r="I164" s="13">
        <v>19</v>
      </c>
      <c r="J164" s="16">
        <v>773</v>
      </c>
      <c r="K164" s="30">
        <v>1398</v>
      </c>
      <c r="L164" s="29">
        <v>1022</v>
      </c>
      <c r="M164" s="28">
        <v>707</v>
      </c>
    </row>
    <row r="165" spans="1:13" outlineLevel="1" x14ac:dyDescent="0.2">
      <c r="A165" s="20">
        <f t="shared" si="96"/>
        <v>3646</v>
      </c>
      <c r="B165" s="19" t="str">
        <f t="shared" si="96"/>
        <v>TWU</v>
      </c>
      <c r="C165" s="18"/>
      <c r="D165" s="15">
        <v>1919</v>
      </c>
      <c r="E165" s="21">
        <v>0.54200000000000004</v>
      </c>
      <c r="F165" s="14">
        <v>6999.5333333333338</v>
      </c>
      <c r="G165" s="28">
        <v>3704.3199999999606</v>
      </c>
      <c r="H165" s="15">
        <v>571</v>
      </c>
      <c r="I165" s="13">
        <v>30</v>
      </c>
      <c r="J165" s="16">
        <v>1326</v>
      </c>
      <c r="K165" s="30">
        <v>2425</v>
      </c>
      <c r="L165" s="29">
        <v>1247</v>
      </c>
      <c r="M165" s="28">
        <v>703</v>
      </c>
    </row>
    <row r="166" spans="1:13" outlineLevel="1" x14ac:dyDescent="0.2">
      <c r="A166" s="20">
        <f t="shared" si="96"/>
        <v>3581</v>
      </c>
      <c r="B166" s="19" t="str">
        <f t="shared" si="96"/>
        <v>Lamar</v>
      </c>
      <c r="C166" s="18"/>
      <c r="D166" s="15">
        <v>1380</v>
      </c>
      <c r="E166" s="21">
        <v>0.35899999999999999</v>
      </c>
      <c r="F166" s="14">
        <v>7404.4666666666662</v>
      </c>
      <c r="G166" s="28">
        <v>2721.5300000000057</v>
      </c>
      <c r="H166" s="15">
        <v>318</v>
      </c>
      <c r="I166" s="13">
        <v>18</v>
      </c>
      <c r="J166" s="16">
        <v>995</v>
      </c>
      <c r="K166" s="30">
        <v>2074</v>
      </c>
      <c r="L166" s="29">
        <v>1486</v>
      </c>
      <c r="M166" s="28">
        <v>1002</v>
      </c>
    </row>
    <row r="167" spans="1:13" outlineLevel="1" x14ac:dyDescent="0.2">
      <c r="A167" s="20">
        <f t="shared" si="96"/>
        <v>3606</v>
      </c>
      <c r="B167" s="19" t="str">
        <f t="shared" si="96"/>
        <v>SHSU</v>
      </c>
      <c r="C167" s="18"/>
      <c r="D167" s="15">
        <v>2978</v>
      </c>
      <c r="E167" s="21">
        <v>0.57799999999999996</v>
      </c>
      <c r="F167" s="14">
        <v>12574.466666666667</v>
      </c>
      <c r="G167" s="28">
        <v>5694.020000000286</v>
      </c>
      <c r="H167" s="15">
        <v>172</v>
      </c>
      <c r="I167" s="13">
        <v>51</v>
      </c>
      <c r="J167" s="16">
        <v>2163</v>
      </c>
      <c r="K167" s="30">
        <v>3894</v>
      </c>
      <c r="L167" s="29">
        <v>2915</v>
      </c>
      <c r="M167" s="28">
        <v>1704</v>
      </c>
    </row>
    <row r="168" spans="1:13" outlineLevel="1" x14ac:dyDescent="0.2">
      <c r="A168" s="20">
        <f t="shared" si="96"/>
        <v>3615</v>
      </c>
      <c r="B168" s="19" t="str">
        <f t="shared" si="96"/>
        <v>TXST</v>
      </c>
      <c r="C168" s="18"/>
      <c r="D168" s="15">
        <v>5435</v>
      </c>
      <c r="E168" s="21">
        <v>0.61399999999999999</v>
      </c>
      <c r="F168" s="14">
        <v>24028</v>
      </c>
      <c r="G168" s="28">
        <v>10677.06999999951</v>
      </c>
      <c r="H168" s="15">
        <v>582</v>
      </c>
      <c r="I168" s="13">
        <v>67</v>
      </c>
      <c r="J168" s="16">
        <v>3816</v>
      </c>
      <c r="K168" s="30">
        <v>7425</v>
      </c>
      <c r="L168" s="29">
        <v>5561</v>
      </c>
      <c r="M168" s="28">
        <v>3333</v>
      </c>
    </row>
    <row r="169" spans="1:13" outlineLevel="1" x14ac:dyDescent="0.2">
      <c r="A169" s="20">
        <f t="shared" si="96"/>
        <v>3625</v>
      </c>
      <c r="B169" s="19" t="str">
        <f t="shared" si="96"/>
        <v>SRSU</v>
      </c>
      <c r="C169" s="18"/>
      <c r="D169" s="15">
        <v>191</v>
      </c>
      <c r="E169" s="21">
        <v>0.32600000000000001</v>
      </c>
      <c r="F169" s="14">
        <v>1229</v>
      </c>
      <c r="G169" s="28">
        <v>409.0499999999999</v>
      </c>
      <c r="H169" s="15">
        <v>10</v>
      </c>
      <c r="I169" s="13">
        <v>5</v>
      </c>
      <c r="J169" s="16">
        <v>167</v>
      </c>
      <c r="K169" s="30">
        <v>284</v>
      </c>
      <c r="L169" s="29">
        <v>188</v>
      </c>
      <c r="M169" s="28">
        <v>144</v>
      </c>
    </row>
    <row r="170" spans="1:13" outlineLevel="1" x14ac:dyDescent="0.2">
      <c r="A170" s="20">
        <f t="shared" si="96"/>
        <v>20</v>
      </c>
      <c r="B170" s="19" t="str">
        <f t="shared" si="96"/>
        <v>SRRG</v>
      </c>
      <c r="C170" s="18"/>
      <c r="D170" s="15">
        <v>154</v>
      </c>
      <c r="E170" s="17">
        <v>0.25423728813559321</v>
      </c>
      <c r="F170" s="14">
        <v>436.8</v>
      </c>
      <c r="G170" s="28">
        <v>268.06000000000023</v>
      </c>
      <c r="H170" s="15">
        <v>6</v>
      </c>
      <c r="I170" s="13">
        <v>1</v>
      </c>
      <c r="J170" s="16">
        <v>138</v>
      </c>
      <c r="K170" s="30">
        <v>215</v>
      </c>
      <c r="L170" s="29">
        <v>91</v>
      </c>
      <c r="M170" s="28">
        <v>6</v>
      </c>
    </row>
    <row r="171" spans="1:13" ht="13.5" outlineLevel="1" thickBot="1" x14ac:dyDescent="0.25">
      <c r="A171" s="12"/>
      <c r="B171" s="11" t="s">
        <v>11</v>
      </c>
      <c r="C171" s="10"/>
      <c r="D171" s="9">
        <f>SUM(D133:D170)</f>
        <v>87062</v>
      </c>
      <c r="E171" s="8">
        <v>0.58700000000000008</v>
      </c>
      <c r="F171" s="7">
        <f t="shared" ref="F171:M171" si="97">SUM(F133:F170)</f>
        <v>359610.06666666665</v>
      </c>
      <c r="G171" s="3">
        <f t="shared" si="97"/>
        <v>180161.28999999876</v>
      </c>
      <c r="H171" s="5">
        <f t="shared" si="97"/>
        <v>15629</v>
      </c>
      <c r="I171" s="3">
        <f t="shared" si="97"/>
        <v>1267</v>
      </c>
      <c r="J171" s="6">
        <f t="shared" si="97"/>
        <v>56968</v>
      </c>
      <c r="K171" s="5">
        <f t="shared" si="97"/>
        <v>113504</v>
      </c>
      <c r="L171" s="4">
        <f t="shared" si="97"/>
        <v>81268</v>
      </c>
      <c r="M171" s="3">
        <f t="shared" si="97"/>
        <v>50077</v>
      </c>
    </row>
    <row r="172" spans="1:13" ht="13.5" thickBot="1" x14ac:dyDescent="0.25">
      <c r="A172" s="45" t="s">
        <v>26</v>
      </c>
      <c r="B172" s="45"/>
      <c r="C172" s="45"/>
      <c r="D172" s="45"/>
      <c r="F172" s="45"/>
      <c r="J172" s="45"/>
    </row>
    <row r="173" spans="1:13" ht="12.75" customHeight="1" outlineLevel="1" x14ac:dyDescent="0.2">
      <c r="A173" s="273" t="s">
        <v>24</v>
      </c>
      <c r="B173" s="275" t="s">
        <v>23</v>
      </c>
      <c r="C173" s="277"/>
      <c r="D173" s="306" t="s">
        <v>22</v>
      </c>
      <c r="E173" s="301" t="s">
        <v>21</v>
      </c>
      <c r="F173" s="275" t="s">
        <v>20</v>
      </c>
      <c r="G173" s="297" t="s">
        <v>19</v>
      </c>
      <c r="H173" s="299" t="s">
        <v>18</v>
      </c>
      <c r="I173" s="291" t="s">
        <v>17</v>
      </c>
      <c r="J173" s="293" t="s">
        <v>16</v>
      </c>
      <c r="K173" s="295" t="s">
        <v>15</v>
      </c>
      <c r="L173" s="296"/>
      <c r="M173" s="296"/>
    </row>
    <row r="174" spans="1:13" s="41" customFormat="1" ht="40.5" customHeight="1" outlineLevel="1" thickBot="1" x14ac:dyDescent="0.25">
      <c r="A174" s="274"/>
      <c r="B174" s="276"/>
      <c r="C174" s="278"/>
      <c r="D174" s="307"/>
      <c r="E174" s="302"/>
      <c r="F174" s="276"/>
      <c r="G174" s="298"/>
      <c r="H174" s="300"/>
      <c r="I174" s="292"/>
      <c r="J174" s="294"/>
      <c r="K174" s="44" t="s">
        <v>14</v>
      </c>
      <c r="L174" s="43" t="s">
        <v>13</v>
      </c>
      <c r="M174" s="42" t="s">
        <v>12</v>
      </c>
    </row>
    <row r="175" spans="1:13" outlineLevel="1" x14ac:dyDescent="0.2">
      <c r="A175" s="40">
        <f t="shared" ref="A175:B194" si="98">A133</f>
        <v>3656</v>
      </c>
      <c r="B175" s="39" t="str">
        <f t="shared" si="98"/>
        <v>UTA</v>
      </c>
      <c r="C175" s="38"/>
      <c r="D175" s="33">
        <v>5103</v>
      </c>
      <c r="E175" s="37">
        <v>0.49299999999999999</v>
      </c>
      <c r="F175" s="32">
        <v>17372</v>
      </c>
      <c r="G175" s="31">
        <v>10527.860000000002</v>
      </c>
      <c r="H175" s="36">
        <v>1620</v>
      </c>
      <c r="I175" s="35">
        <v>26</v>
      </c>
      <c r="J175" s="34">
        <v>3158</v>
      </c>
      <c r="K175" s="33">
        <v>6986</v>
      </c>
      <c r="L175" s="32">
        <v>3903</v>
      </c>
      <c r="M175" s="31">
        <v>1733</v>
      </c>
    </row>
    <row r="176" spans="1:13" outlineLevel="1" x14ac:dyDescent="0.2">
      <c r="A176" s="20">
        <f t="shared" si="98"/>
        <v>3658</v>
      </c>
      <c r="B176" s="19" t="str">
        <f t="shared" si="98"/>
        <v>UT</v>
      </c>
      <c r="C176" s="18"/>
      <c r="D176" s="15">
        <v>9027</v>
      </c>
      <c r="E176" s="21">
        <v>0.83299999999999996</v>
      </c>
      <c r="F176" s="14">
        <v>33709.866666666669</v>
      </c>
      <c r="G176" s="13">
        <v>19422.050000001858</v>
      </c>
      <c r="H176" s="15">
        <v>1894</v>
      </c>
      <c r="I176" s="13">
        <v>60</v>
      </c>
      <c r="J176" s="16">
        <v>3475</v>
      </c>
      <c r="K176" s="15">
        <v>9939</v>
      </c>
      <c r="L176" s="14">
        <v>8895</v>
      </c>
      <c r="M176" s="13">
        <v>7485</v>
      </c>
    </row>
    <row r="177" spans="1:13" outlineLevel="1" x14ac:dyDescent="0.2">
      <c r="A177" s="20">
        <f t="shared" si="98"/>
        <v>9741</v>
      </c>
      <c r="B177" s="19" t="str">
        <f t="shared" si="98"/>
        <v>UTD</v>
      </c>
      <c r="C177" s="18"/>
      <c r="D177" s="15">
        <v>2314</v>
      </c>
      <c r="E177" s="21">
        <v>0.68299999999999994</v>
      </c>
      <c r="F177" s="14">
        <v>8822.2000000000007</v>
      </c>
      <c r="G177" s="13">
        <v>4904.1700000000228</v>
      </c>
      <c r="H177" s="15">
        <v>424</v>
      </c>
      <c r="I177" s="13">
        <v>27</v>
      </c>
      <c r="J177" s="16">
        <v>1294</v>
      </c>
      <c r="K177" s="15">
        <v>3345</v>
      </c>
      <c r="L177" s="14">
        <v>2105</v>
      </c>
      <c r="M177" s="13">
        <v>1076</v>
      </c>
    </row>
    <row r="178" spans="1:13" outlineLevel="1" x14ac:dyDescent="0.2">
      <c r="A178" s="20">
        <f t="shared" si="98"/>
        <v>3661</v>
      </c>
      <c r="B178" s="19" t="str">
        <f t="shared" si="98"/>
        <v>UTEP</v>
      </c>
      <c r="C178" s="18"/>
      <c r="D178" s="15">
        <v>3008</v>
      </c>
      <c r="E178" s="21">
        <v>0.38400000000000001</v>
      </c>
      <c r="F178" s="14">
        <v>13376</v>
      </c>
      <c r="G178" s="13">
        <v>6142.7200000000885</v>
      </c>
      <c r="H178" s="15">
        <v>613</v>
      </c>
      <c r="I178" s="13">
        <v>91</v>
      </c>
      <c r="J178" s="16">
        <v>2409</v>
      </c>
      <c r="K178" s="15">
        <v>4488</v>
      </c>
      <c r="L178" s="14">
        <v>3404</v>
      </c>
      <c r="M178" s="13">
        <v>1910</v>
      </c>
    </row>
    <row r="179" spans="1:13" outlineLevel="1" x14ac:dyDescent="0.2">
      <c r="A179" s="20">
        <f t="shared" si="98"/>
        <v>3599</v>
      </c>
      <c r="B179" s="19" t="str">
        <f t="shared" si="98"/>
        <v>UTPA</v>
      </c>
      <c r="C179" s="18"/>
      <c r="D179" s="15">
        <v>2658</v>
      </c>
      <c r="E179" s="21">
        <v>0.46399999999999997</v>
      </c>
      <c r="F179" s="14">
        <v>12499.266666666666</v>
      </c>
      <c r="G179" s="13">
        <v>5231.3300000001427</v>
      </c>
      <c r="H179" s="15">
        <v>534</v>
      </c>
      <c r="I179" s="13">
        <v>34</v>
      </c>
      <c r="J179" s="16">
        <v>2427</v>
      </c>
      <c r="K179" s="15">
        <v>4142</v>
      </c>
      <c r="L179" s="14">
        <v>3290</v>
      </c>
      <c r="M179" s="13">
        <v>1998</v>
      </c>
    </row>
    <row r="180" spans="1:13" outlineLevel="1" x14ac:dyDescent="0.2">
      <c r="A180" s="20">
        <f t="shared" si="98"/>
        <v>30646</v>
      </c>
      <c r="B180" s="19" t="str">
        <f t="shared" si="98"/>
        <v>UTB</v>
      </c>
      <c r="C180" s="18"/>
      <c r="D180" s="15">
        <v>1075</v>
      </c>
      <c r="E180" s="17">
        <v>0.55124653739612184</v>
      </c>
      <c r="F180" s="14">
        <v>3116.2</v>
      </c>
      <c r="G180" s="13">
        <v>2052.0600000000218</v>
      </c>
      <c r="H180" s="15">
        <v>132</v>
      </c>
      <c r="I180" s="13">
        <v>15</v>
      </c>
      <c r="J180" s="16">
        <v>916</v>
      </c>
      <c r="K180" s="15">
        <v>1359</v>
      </c>
      <c r="L180" s="14">
        <v>600</v>
      </c>
      <c r="M180" s="13">
        <v>131</v>
      </c>
    </row>
    <row r="181" spans="1:13" outlineLevel="1" x14ac:dyDescent="0.2">
      <c r="A181" s="20">
        <f t="shared" si="98"/>
        <v>9930</v>
      </c>
      <c r="B181" s="19" t="str">
        <f t="shared" si="98"/>
        <v>UTPB</v>
      </c>
      <c r="C181" s="18"/>
      <c r="D181" s="15">
        <v>541</v>
      </c>
      <c r="E181" s="21">
        <v>0.40700000000000003</v>
      </c>
      <c r="F181" s="14">
        <v>2416</v>
      </c>
      <c r="G181" s="13">
        <v>1005.1500000000051</v>
      </c>
      <c r="H181" s="15">
        <v>40</v>
      </c>
      <c r="I181" s="13">
        <v>10</v>
      </c>
      <c r="J181" s="16">
        <v>407</v>
      </c>
      <c r="K181" s="15">
        <v>908</v>
      </c>
      <c r="L181" s="14">
        <v>490</v>
      </c>
      <c r="M181" s="13">
        <v>191</v>
      </c>
    </row>
    <row r="182" spans="1:13" outlineLevel="1" x14ac:dyDescent="0.2">
      <c r="A182" s="20">
        <f t="shared" si="98"/>
        <v>10115</v>
      </c>
      <c r="B182" s="19" t="str">
        <f t="shared" si="98"/>
        <v>UTSA</v>
      </c>
      <c r="C182" s="18"/>
      <c r="D182" s="15">
        <v>4148</v>
      </c>
      <c r="E182" s="21">
        <v>0.39400000000000002</v>
      </c>
      <c r="F182" s="14">
        <v>20284.733333333334</v>
      </c>
      <c r="G182" s="13">
        <v>8398.8499999997166</v>
      </c>
      <c r="H182" s="15">
        <v>394</v>
      </c>
      <c r="I182" s="13">
        <v>47</v>
      </c>
      <c r="J182" s="16">
        <v>3211</v>
      </c>
      <c r="K182" s="15">
        <v>6802</v>
      </c>
      <c r="L182" s="14">
        <v>4390</v>
      </c>
      <c r="M182" s="13">
        <v>2699</v>
      </c>
    </row>
    <row r="183" spans="1:13" outlineLevel="1" x14ac:dyDescent="0.2">
      <c r="A183" s="20">
        <f t="shared" si="98"/>
        <v>11163</v>
      </c>
      <c r="B183" s="19" t="str">
        <f t="shared" si="98"/>
        <v>UTT</v>
      </c>
      <c r="C183" s="18"/>
      <c r="D183" s="15">
        <v>1188</v>
      </c>
      <c r="E183" s="21">
        <v>0.53300000000000003</v>
      </c>
      <c r="F183" s="14">
        <v>4030.7333333333331</v>
      </c>
      <c r="G183" s="13">
        <v>2364.9800000000037</v>
      </c>
      <c r="H183" s="15">
        <v>366</v>
      </c>
      <c r="I183" s="13">
        <v>9</v>
      </c>
      <c r="J183" s="16">
        <v>939</v>
      </c>
      <c r="K183" s="15">
        <v>1496</v>
      </c>
      <c r="L183" s="14">
        <v>905</v>
      </c>
      <c r="M183" s="13">
        <v>401</v>
      </c>
    </row>
    <row r="184" spans="1:13" outlineLevel="1" x14ac:dyDescent="0.2">
      <c r="A184" s="20">
        <f t="shared" si="98"/>
        <v>3632</v>
      </c>
      <c r="B184" s="19" t="str">
        <f t="shared" si="98"/>
        <v>TAMU</v>
      </c>
      <c r="C184" s="18"/>
      <c r="D184" s="15">
        <v>8748</v>
      </c>
      <c r="E184" s="21">
        <v>0.84399999999999997</v>
      </c>
      <c r="F184" s="14">
        <v>34425.133333333331</v>
      </c>
      <c r="G184" s="13">
        <v>20060.050000001262</v>
      </c>
      <c r="H184" s="15">
        <v>1775</v>
      </c>
      <c r="I184" s="13">
        <v>133</v>
      </c>
      <c r="J184" s="16">
        <v>3727</v>
      </c>
      <c r="K184" s="15">
        <v>9623</v>
      </c>
      <c r="L184" s="14">
        <v>8962</v>
      </c>
      <c r="M184" s="13">
        <v>6823</v>
      </c>
    </row>
    <row r="185" spans="1:13" outlineLevel="1" x14ac:dyDescent="0.2">
      <c r="A185" s="20">
        <f t="shared" si="98"/>
        <v>10298</v>
      </c>
      <c r="B185" s="19" t="str">
        <f t="shared" si="98"/>
        <v>TAMUG</v>
      </c>
      <c r="C185" s="18"/>
      <c r="D185" s="15">
        <v>250</v>
      </c>
      <c r="E185" s="21">
        <v>0.66400000000000003</v>
      </c>
      <c r="F185" s="14">
        <v>1668.1333333333334</v>
      </c>
      <c r="G185" s="13">
        <v>648.89999999999895</v>
      </c>
      <c r="H185" s="15">
        <v>35</v>
      </c>
      <c r="I185" s="13">
        <v>0</v>
      </c>
      <c r="J185" s="16">
        <v>151</v>
      </c>
      <c r="K185" s="15">
        <v>600</v>
      </c>
      <c r="L185" s="14">
        <v>336</v>
      </c>
      <c r="M185" s="13">
        <v>234</v>
      </c>
    </row>
    <row r="186" spans="1:13" outlineLevel="1" x14ac:dyDescent="0.2">
      <c r="A186" s="20">
        <f t="shared" si="98"/>
        <v>3630</v>
      </c>
      <c r="B186" s="19" t="str">
        <f t="shared" si="98"/>
        <v>Prairie View</v>
      </c>
      <c r="C186" s="18"/>
      <c r="D186" s="15">
        <v>904</v>
      </c>
      <c r="E186" s="21">
        <v>0.37</v>
      </c>
      <c r="F186" s="49">
        <v>6088.2666666666664</v>
      </c>
      <c r="G186" s="13">
        <v>1934.240000000003</v>
      </c>
      <c r="H186" s="15">
        <v>279</v>
      </c>
      <c r="I186" s="13">
        <v>10</v>
      </c>
      <c r="J186" s="16">
        <v>775</v>
      </c>
      <c r="K186" s="15">
        <v>1660</v>
      </c>
      <c r="L186" s="14">
        <v>1237</v>
      </c>
      <c r="M186" s="13">
        <v>905</v>
      </c>
    </row>
    <row r="187" spans="1:13" outlineLevel="1" x14ac:dyDescent="0.2">
      <c r="A187" s="20">
        <f t="shared" si="98"/>
        <v>3631</v>
      </c>
      <c r="B187" s="19" t="str">
        <f t="shared" si="98"/>
        <v>Tarleton</v>
      </c>
      <c r="C187" s="18"/>
      <c r="D187" s="15">
        <v>1552</v>
      </c>
      <c r="E187" s="21">
        <v>0.48299999999999998</v>
      </c>
      <c r="F187" s="49">
        <v>6264.4666666666662</v>
      </c>
      <c r="G187" s="13">
        <v>3063.9600000000341</v>
      </c>
      <c r="H187" s="15">
        <v>197</v>
      </c>
      <c r="I187" s="48">
        <v>56</v>
      </c>
      <c r="J187" s="16">
        <v>1196</v>
      </c>
      <c r="K187" s="50">
        <v>2096</v>
      </c>
      <c r="L187" s="49">
        <v>1464</v>
      </c>
      <c r="M187" s="48">
        <v>840</v>
      </c>
    </row>
    <row r="188" spans="1:13" outlineLevel="1" x14ac:dyDescent="0.2">
      <c r="A188" s="27">
        <f t="shared" si="98"/>
        <v>103631</v>
      </c>
      <c r="B188" s="19" t="str">
        <f t="shared" si="98"/>
        <v>TAMUCT</v>
      </c>
      <c r="C188" s="18"/>
      <c r="D188" s="15">
        <v>462</v>
      </c>
      <c r="E188" s="21">
        <v>0.48299999999999998</v>
      </c>
      <c r="F188" s="49">
        <v>700.66666666666663</v>
      </c>
      <c r="G188" s="13">
        <v>846.68000000000006</v>
      </c>
      <c r="H188" s="15">
        <v>36</v>
      </c>
      <c r="I188" s="48">
        <v>0</v>
      </c>
      <c r="J188" s="16">
        <v>330</v>
      </c>
      <c r="K188" s="50">
        <v>555</v>
      </c>
      <c r="L188" s="49">
        <v>143</v>
      </c>
      <c r="M188" s="48">
        <v>66</v>
      </c>
    </row>
    <row r="189" spans="1:13" outlineLevel="1" x14ac:dyDescent="0.2">
      <c r="A189" s="20">
        <f t="shared" si="98"/>
        <v>11161</v>
      </c>
      <c r="B189" s="19" t="str">
        <f t="shared" si="98"/>
        <v>TAMUCC</v>
      </c>
      <c r="C189" s="18"/>
      <c r="D189" s="15">
        <v>1315</v>
      </c>
      <c r="E189" s="21">
        <v>0.51100000000000001</v>
      </c>
      <c r="F189" s="49">
        <v>6609.8666666666668</v>
      </c>
      <c r="G189" s="13">
        <v>2639.1300000000101</v>
      </c>
      <c r="H189" s="15">
        <v>252</v>
      </c>
      <c r="I189" s="48">
        <v>25</v>
      </c>
      <c r="J189" s="16">
        <v>1034</v>
      </c>
      <c r="K189" s="15">
        <v>2126</v>
      </c>
      <c r="L189" s="14">
        <v>1577</v>
      </c>
      <c r="M189" s="13">
        <v>864</v>
      </c>
    </row>
    <row r="190" spans="1:13" outlineLevel="1" x14ac:dyDescent="0.2">
      <c r="A190" s="20">
        <f t="shared" si="98"/>
        <v>3639</v>
      </c>
      <c r="B190" s="19" t="str">
        <f t="shared" si="98"/>
        <v>TAMUK</v>
      </c>
      <c r="C190" s="18"/>
      <c r="D190" s="15">
        <v>738</v>
      </c>
      <c r="E190" s="21">
        <v>0.39799999999999996</v>
      </c>
      <c r="F190" s="49">
        <v>4394.2</v>
      </c>
      <c r="G190" s="13">
        <v>1735.8600000000065</v>
      </c>
      <c r="H190" s="15">
        <v>246</v>
      </c>
      <c r="I190" s="48">
        <v>16</v>
      </c>
      <c r="J190" s="16">
        <v>613</v>
      </c>
      <c r="K190" s="50">
        <v>1180</v>
      </c>
      <c r="L190" s="49">
        <v>879</v>
      </c>
      <c r="M190" s="48">
        <v>555</v>
      </c>
    </row>
    <row r="191" spans="1:13" outlineLevel="1" x14ac:dyDescent="0.2">
      <c r="A191" s="27">
        <f t="shared" si="98"/>
        <v>103639</v>
      </c>
      <c r="B191" s="19" t="str">
        <f t="shared" si="98"/>
        <v>TAMUSA</v>
      </c>
      <c r="C191" s="18"/>
      <c r="D191" s="15">
        <v>620</v>
      </c>
      <c r="E191" s="21">
        <v>0.39799999999999996</v>
      </c>
      <c r="F191" s="49">
        <v>1492.4</v>
      </c>
      <c r="G191" s="13">
        <v>1078.0000000000073</v>
      </c>
      <c r="H191" s="15">
        <v>1</v>
      </c>
      <c r="I191" s="48">
        <v>0</v>
      </c>
      <c r="J191" s="16">
        <v>520</v>
      </c>
      <c r="K191" s="50">
        <v>995</v>
      </c>
      <c r="L191" s="49">
        <v>37</v>
      </c>
      <c r="M191" s="48">
        <v>2</v>
      </c>
    </row>
    <row r="192" spans="1:13" outlineLevel="1" x14ac:dyDescent="0.2">
      <c r="A192" s="20">
        <f t="shared" si="98"/>
        <v>9651</v>
      </c>
      <c r="B192" s="19" t="str">
        <f t="shared" si="98"/>
        <v>TAMI</v>
      </c>
      <c r="C192" s="18"/>
      <c r="D192" s="15">
        <v>766</v>
      </c>
      <c r="E192" s="21">
        <v>0.503</v>
      </c>
      <c r="F192" s="14">
        <v>4126.8</v>
      </c>
      <c r="G192" s="13">
        <v>1400.4200000000046</v>
      </c>
      <c r="H192" s="15">
        <v>120</v>
      </c>
      <c r="I192" s="13">
        <v>18</v>
      </c>
      <c r="J192" s="16">
        <v>688</v>
      </c>
      <c r="K192" s="15">
        <v>1515</v>
      </c>
      <c r="L192" s="14">
        <v>1027</v>
      </c>
      <c r="M192" s="13">
        <v>486</v>
      </c>
    </row>
    <row r="193" spans="1:13" outlineLevel="1" x14ac:dyDescent="0.2">
      <c r="A193" s="20">
        <f t="shared" si="98"/>
        <v>3665</v>
      </c>
      <c r="B193" s="19" t="str">
        <f t="shared" si="98"/>
        <v>WTAMU</v>
      </c>
      <c r="C193" s="18"/>
      <c r="D193" s="15">
        <v>1294</v>
      </c>
      <c r="E193" s="21">
        <v>0.47399999999999998</v>
      </c>
      <c r="F193" s="14">
        <v>5457.666666666667</v>
      </c>
      <c r="G193" s="13">
        <v>2570.7800000000157</v>
      </c>
      <c r="H193" s="15">
        <v>184</v>
      </c>
      <c r="I193" s="13">
        <v>58</v>
      </c>
      <c r="J193" s="16">
        <v>913</v>
      </c>
      <c r="K193" s="15">
        <v>1871</v>
      </c>
      <c r="L193" s="14">
        <v>1264</v>
      </c>
      <c r="M193" s="13">
        <v>664</v>
      </c>
    </row>
    <row r="194" spans="1:13" outlineLevel="1" x14ac:dyDescent="0.2">
      <c r="A194" s="20">
        <f t="shared" si="98"/>
        <v>3565</v>
      </c>
      <c r="B194" s="19" t="str">
        <f t="shared" si="98"/>
        <v>TAMUC</v>
      </c>
      <c r="C194" s="18"/>
      <c r="D194" s="15">
        <v>1313</v>
      </c>
      <c r="E194" s="21">
        <v>0.42600000000000005</v>
      </c>
      <c r="F194" s="14">
        <v>4783.5333333333338</v>
      </c>
      <c r="G194" s="13">
        <v>2463.6900000000296</v>
      </c>
      <c r="H194" s="15">
        <v>71</v>
      </c>
      <c r="I194" s="13">
        <v>77</v>
      </c>
      <c r="J194" s="16">
        <v>1002</v>
      </c>
      <c r="K194" s="15">
        <v>1911</v>
      </c>
      <c r="L194" s="14">
        <v>1200</v>
      </c>
      <c r="M194" s="13">
        <v>477</v>
      </c>
    </row>
    <row r="195" spans="1:13" outlineLevel="1" x14ac:dyDescent="0.2">
      <c r="A195" s="20">
        <f t="shared" ref="A195:B212" si="99">A153</f>
        <v>29269</v>
      </c>
      <c r="B195" s="19" t="str">
        <f t="shared" si="99"/>
        <v>TAMUT</v>
      </c>
      <c r="C195" s="18"/>
      <c r="D195" s="15">
        <v>335</v>
      </c>
      <c r="E195" s="17">
        <v>0.56028368794326244</v>
      </c>
      <c r="F195" s="14">
        <v>879.13333333333333</v>
      </c>
      <c r="G195" s="13">
        <v>609.83000000000015</v>
      </c>
      <c r="H195" s="15">
        <v>48</v>
      </c>
      <c r="I195" s="13">
        <v>18</v>
      </c>
      <c r="J195" s="16">
        <v>230</v>
      </c>
      <c r="K195" s="15">
        <v>411</v>
      </c>
      <c r="L195" s="14">
        <v>186</v>
      </c>
      <c r="M195" s="13">
        <v>1</v>
      </c>
    </row>
    <row r="196" spans="1:13" outlineLevel="1" x14ac:dyDescent="0.2">
      <c r="A196" s="20">
        <f t="shared" si="99"/>
        <v>3652</v>
      </c>
      <c r="B196" s="19" t="str">
        <f t="shared" si="99"/>
        <v>UH</v>
      </c>
      <c r="C196" s="18"/>
      <c r="D196" s="15">
        <v>5092</v>
      </c>
      <c r="E196" s="21">
        <v>0.54200000000000004</v>
      </c>
      <c r="F196" s="14">
        <v>23853.933333333334</v>
      </c>
      <c r="G196" s="13">
        <v>10569.339999999527</v>
      </c>
      <c r="H196" s="15">
        <v>720</v>
      </c>
      <c r="I196" s="13">
        <v>74</v>
      </c>
      <c r="J196" s="16">
        <v>3340</v>
      </c>
      <c r="K196" s="15">
        <v>7467</v>
      </c>
      <c r="L196" s="14">
        <v>5804</v>
      </c>
      <c r="M196" s="13">
        <v>3314</v>
      </c>
    </row>
    <row r="197" spans="1:13" outlineLevel="1" x14ac:dyDescent="0.2">
      <c r="A197" s="20">
        <f t="shared" si="99"/>
        <v>11711</v>
      </c>
      <c r="B197" s="19" t="str">
        <f t="shared" si="99"/>
        <v>UHCL</v>
      </c>
      <c r="C197" s="18"/>
      <c r="D197" s="15">
        <v>1197</v>
      </c>
      <c r="E197" s="17">
        <v>0.53820033955857383</v>
      </c>
      <c r="F197" s="14">
        <v>3046.8</v>
      </c>
      <c r="G197" s="13">
        <v>2293.9500000000248</v>
      </c>
      <c r="H197" s="15">
        <v>113</v>
      </c>
      <c r="I197" s="13">
        <v>8</v>
      </c>
      <c r="J197" s="16">
        <v>777</v>
      </c>
      <c r="K197" s="15">
        <v>1434</v>
      </c>
      <c r="L197" s="14">
        <v>959</v>
      </c>
      <c r="M197" s="13">
        <v>53</v>
      </c>
    </row>
    <row r="198" spans="1:13" outlineLevel="1" x14ac:dyDescent="0.2">
      <c r="A198" s="20">
        <f t="shared" si="99"/>
        <v>12826</v>
      </c>
      <c r="B198" s="19" t="str">
        <f t="shared" si="99"/>
        <v>UHD</v>
      </c>
      <c r="C198" s="18"/>
      <c r="D198" s="15">
        <v>2437</v>
      </c>
      <c r="E198" s="21">
        <v>0.215</v>
      </c>
      <c r="F198" s="14">
        <v>7949.2666666666664</v>
      </c>
      <c r="G198" s="13">
        <v>4368.2100000000464</v>
      </c>
      <c r="H198" s="15">
        <v>143</v>
      </c>
      <c r="I198" s="13">
        <v>0</v>
      </c>
      <c r="J198" s="16">
        <v>1730</v>
      </c>
      <c r="K198" s="15">
        <v>3223</v>
      </c>
      <c r="L198" s="14">
        <v>1896</v>
      </c>
      <c r="M198" s="13">
        <v>618</v>
      </c>
    </row>
    <row r="199" spans="1:13" outlineLevel="1" x14ac:dyDescent="0.2">
      <c r="A199" s="20">
        <f t="shared" si="99"/>
        <v>13231</v>
      </c>
      <c r="B199" s="19" t="str">
        <f t="shared" si="99"/>
        <v>UHV</v>
      </c>
      <c r="C199" s="18"/>
      <c r="D199" s="15">
        <v>596</v>
      </c>
      <c r="E199" s="17">
        <v>0.5339366515837104</v>
      </c>
      <c r="F199" s="14">
        <v>1494.2</v>
      </c>
      <c r="G199" s="13">
        <v>1103.6999999999998</v>
      </c>
      <c r="H199" s="15">
        <v>118</v>
      </c>
      <c r="I199" s="13">
        <v>11</v>
      </c>
      <c r="J199" s="16">
        <v>397</v>
      </c>
      <c r="K199" s="15">
        <v>718</v>
      </c>
      <c r="L199" s="14">
        <v>286</v>
      </c>
      <c r="M199" s="13">
        <v>6</v>
      </c>
    </row>
    <row r="200" spans="1:13" outlineLevel="1" x14ac:dyDescent="0.2">
      <c r="A200" s="20">
        <f t="shared" si="99"/>
        <v>3592</v>
      </c>
      <c r="B200" s="19" t="str">
        <f t="shared" si="99"/>
        <v>Midwestern</v>
      </c>
      <c r="C200" s="18"/>
      <c r="D200" s="15">
        <v>1027</v>
      </c>
      <c r="E200" s="21">
        <v>0.443</v>
      </c>
      <c r="F200" s="14">
        <v>4387.7333333333336</v>
      </c>
      <c r="G200" s="13">
        <v>1924.84</v>
      </c>
      <c r="H200" s="15">
        <v>340</v>
      </c>
      <c r="I200" s="13">
        <v>11</v>
      </c>
      <c r="J200" s="16">
        <v>675</v>
      </c>
      <c r="K200" s="15">
        <v>1507</v>
      </c>
      <c r="L200" s="14">
        <v>1079</v>
      </c>
      <c r="M200" s="13">
        <v>734</v>
      </c>
    </row>
    <row r="201" spans="1:13" outlineLevel="1" x14ac:dyDescent="0.2">
      <c r="A201" s="20">
        <f t="shared" si="99"/>
        <v>3594</v>
      </c>
      <c r="B201" s="19" t="str">
        <f t="shared" si="99"/>
        <v>UNT</v>
      </c>
      <c r="C201" s="18"/>
      <c r="D201" s="15">
        <v>6183</v>
      </c>
      <c r="E201" s="21">
        <v>0.58700000000000008</v>
      </c>
      <c r="F201" s="14">
        <v>23168.733333333334</v>
      </c>
      <c r="G201" s="13">
        <v>11731.089999999795</v>
      </c>
      <c r="H201" s="15">
        <v>345</v>
      </c>
      <c r="I201" s="13">
        <v>47</v>
      </c>
      <c r="J201" s="16">
        <v>3942</v>
      </c>
      <c r="K201" s="15">
        <v>7957</v>
      </c>
      <c r="L201" s="14">
        <v>5891</v>
      </c>
      <c r="M201" s="13">
        <v>3310</v>
      </c>
    </row>
    <row r="202" spans="1:13" outlineLevel="1" x14ac:dyDescent="0.2">
      <c r="A202" s="27">
        <f t="shared" si="99"/>
        <v>113594</v>
      </c>
      <c r="B202" s="19" t="str">
        <f t="shared" si="99"/>
        <v>UNTD</v>
      </c>
      <c r="C202" s="18"/>
      <c r="D202" s="30">
        <v>388</v>
      </c>
      <c r="E202" s="47">
        <v>0.58700000000000008</v>
      </c>
      <c r="F202" s="29">
        <v>908.8</v>
      </c>
      <c r="G202" s="28">
        <v>669.60000000000036</v>
      </c>
      <c r="H202" s="30">
        <v>10</v>
      </c>
      <c r="I202" s="28"/>
      <c r="J202" s="46">
        <v>304</v>
      </c>
      <c r="K202" s="30">
        <v>487</v>
      </c>
      <c r="L202" s="29">
        <v>63</v>
      </c>
      <c r="M202" s="28">
        <v>18</v>
      </c>
    </row>
    <row r="203" spans="1:13" outlineLevel="1" x14ac:dyDescent="0.2">
      <c r="A203" s="20">
        <f t="shared" si="99"/>
        <v>3624</v>
      </c>
      <c r="B203" s="19" t="str">
        <f t="shared" si="99"/>
        <v>SFA</v>
      </c>
      <c r="C203" s="18"/>
      <c r="D203" s="15">
        <v>1880</v>
      </c>
      <c r="E203" s="21">
        <v>0.53900000000000003</v>
      </c>
      <c r="F203" s="14">
        <v>9440.9333333333325</v>
      </c>
      <c r="G203" s="13">
        <v>3606.8600000000297</v>
      </c>
      <c r="H203" s="15">
        <v>241</v>
      </c>
      <c r="I203" s="13">
        <v>49</v>
      </c>
      <c r="J203" s="16">
        <v>1446</v>
      </c>
      <c r="K203" s="15">
        <v>3040</v>
      </c>
      <c r="L203" s="14">
        <v>2166</v>
      </c>
      <c r="M203" s="13">
        <v>1402</v>
      </c>
    </row>
    <row r="204" spans="1:13" outlineLevel="1" x14ac:dyDescent="0.2">
      <c r="A204" s="20">
        <f t="shared" si="99"/>
        <v>3642</v>
      </c>
      <c r="B204" s="19" t="str">
        <f t="shared" si="99"/>
        <v>TSU</v>
      </c>
      <c r="C204" s="18"/>
      <c r="D204" s="15">
        <v>721</v>
      </c>
      <c r="E204" s="21">
        <v>0.14099999999999999</v>
      </c>
      <c r="F204" s="14">
        <v>5912.8</v>
      </c>
      <c r="G204" s="13">
        <v>1385.6100000000063</v>
      </c>
      <c r="H204" s="15">
        <v>122</v>
      </c>
      <c r="I204" s="13">
        <v>2</v>
      </c>
      <c r="J204" s="16">
        <v>635</v>
      </c>
      <c r="K204" s="15">
        <v>1692</v>
      </c>
      <c r="L204" s="14">
        <v>1274</v>
      </c>
      <c r="M204" s="13">
        <v>870</v>
      </c>
    </row>
    <row r="205" spans="1:13" outlineLevel="1" x14ac:dyDescent="0.2">
      <c r="A205" s="20">
        <f t="shared" si="99"/>
        <v>3644</v>
      </c>
      <c r="B205" s="19" t="str">
        <f t="shared" si="99"/>
        <v>TTU</v>
      </c>
      <c r="C205" s="18"/>
      <c r="D205" s="15">
        <v>4605</v>
      </c>
      <c r="E205" s="21">
        <v>0.7320000000000001</v>
      </c>
      <c r="F205" s="14">
        <v>22527.466666666667</v>
      </c>
      <c r="G205" s="13">
        <v>9815.7899999997753</v>
      </c>
      <c r="H205" s="15">
        <v>687</v>
      </c>
      <c r="I205" s="13">
        <v>62</v>
      </c>
      <c r="J205" s="16">
        <v>2724</v>
      </c>
      <c r="K205" s="15">
        <v>6577</v>
      </c>
      <c r="L205" s="14">
        <v>5355</v>
      </c>
      <c r="M205" s="13">
        <v>3957</v>
      </c>
    </row>
    <row r="206" spans="1:13" outlineLevel="1" x14ac:dyDescent="0.2">
      <c r="A206" s="20">
        <f t="shared" si="99"/>
        <v>3541</v>
      </c>
      <c r="B206" s="19" t="str">
        <f t="shared" si="99"/>
        <v>Angelo</v>
      </c>
      <c r="C206" s="18"/>
      <c r="D206" s="15">
        <v>960</v>
      </c>
      <c r="E206" s="21">
        <v>0.441</v>
      </c>
      <c r="F206" s="14">
        <v>4895.666666666667</v>
      </c>
      <c r="G206" s="13">
        <v>1856.9499999999953</v>
      </c>
      <c r="H206" s="15">
        <v>242</v>
      </c>
      <c r="I206" s="13">
        <v>21</v>
      </c>
      <c r="J206" s="16">
        <v>720</v>
      </c>
      <c r="K206" s="15">
        <v>1444</v>
      </c>
      <c r="L206" s="14">
        <v>1071</v>
      </c>
      <c r="M206" s="13">
        <v>708</v>
      </c>
    </row>
    <row r="207" spans="1:13" outlineLevel="1" x14ac:dyDescent="0.2">
      <c r="A207" s="20">
        <f t="shared" si="99"/>
        <v>3646</v>
      </c>
      <c r="B207" s="19" t="str">
        <f t="shared" si="99"/>
        <v>TWU</v>
      </c>
      <c r="C207" s="18"/>
      <c r="D207" s="15">
        <v>1725</v>
      </c>
      <c r="E207" s="21">
        <v>0.48399999999999999</v>
      </c>
      <c r="F207" s="14">
        <v>6598.2</v>
      </c>
      <c r="G207" s="13">
        <v>3227.0100000000139</v>
      </c>
      <c r="H207" s="15">
        <v>523</v>
      </c>
      <c r="I207" s="13">
        <v>34</v>
      </c>
      <c r="J207" s="16">
        <v>1201</v>
      </c>
      <c r="K207" s="15">
        <v>2121</v>
      </c>
      <c r="L207" s="14">
        <v>1259</v>
      </c>
      <c r="M207" s="13">
        <v>608</v>
      </c>
    </row>
    <row r="208" spans="1:13" outlineLevel="1" x14ac:dyDescent="0.2">
      <c r="A208" s="20">
        <f t="shared" si="99"/>
        <v>3581</v>
      </c>
      <c r="B208" s="19" t="str">
        <f t="shared" si="99"/>
        <v>Lamar</v>
      </c>
      <c r="C208" s="18"/>
      <c r="D208" s="15">
        <v>1340</v>
      </c>
      <c r="E208" s="21">
        <v>0.35399999999999998</v>
      </c>
      <c r="F208" s="14">
        <v>7247.8</v>
      </c>
      <c r="G208" s="13">
        <v>2695.0800000000122</v>
      </c>
      <c r="H208" s="15">
        <v>358</v>
      </c>
      <c r="I208" s="13">
        <v>16</v>
      </c>
      <c r="J208" s="16">
        <v>943</v>
      </c>
      <c r="K208" s="15">
        <v>2317</v>
      </c>
      <c r="L208" s="14">
        <v>1577</v>
      </c>
      <c r="M208" s="13">
        <v>1000</v>
      </c>
    </row>
    <row r="209" spans="1:15" outlineLevel="1" x14ac:dyDescent="0.2">
      <c r="A209" s="20">
        <f t="shared" si="99"/>
        <v>3606</v>
      </c>
      <c r="B209" s="19" t="str">
        <f t="shared" si="99"/>
        <v>SHSU</v>
      </c>
      <c r="C209" s="18"/>
      <c r="D209" s="15">
        <v>3013</v>
      </c>
      <c r="E209" s="21">
        <v>0.60299999999999998</v>
      </c>
      <c r="F209" s="14">
        <v>12631.666666666666</v>
      </c>
      <c r="G209" s="13">
        <v>5628.5800000000427</v>
      </c>
      <c r="H209" s="15">
        <v>166</v>
      </c>
      <c r="I209" s="13">
        <v>63</v>
      </c>
      <c r="J209" s="16">
        <v>2160</v>
      </c>
      <c r="K209" s="15">
        <v>3940</v>
      </c>
      <c r="L209" s="14">
        <v>2970</v>
      </c>
      <c r="M209" s="13">
        <v>1716</v>
      </c>
    </row>
    <row r="210" spans="1:15" outlineLevel="1" x14ac:dyDescent="0.2">
      <c r="A210" s="20">
        <f t="shared" si="99"/>
        <v>3615</v>
      </c>
      <c r="B210" s="19" t="str">
        <f t="shared" si="99"/>
        <v>TXST</v>
      </c>
      <c r="C210" s="18"/>
      <c r="D210" s="15">
        <v>5349</v>
      </c>
      <c r="E210" s="21">
        <v>0.6409999999999999</v>
      </c>
      <c r="F210" s="14">
        <v>22917.933333333334</v>
      </c>
      <c r="G210" s="13">
        <v>10250.389999999717</v>
      </c>
      <c r="H210" s="15">
        <v>445</v>
      </c>
      <c r="I210" s="13">
        <v>65</v>
      </c>
      <c r="J210" s="16">
        <v>3665</v>
      </c>
      <c r="K210" s="15">
        <v>7685</v>
      </c>
      <c r="L210" s="14">
        <v>5748</v>
      </c>
      <c r="M210" s="13">
        <v>3317</v>
      </c>
    </row>
    <row r="211" spans="1:15" outlineLevel="1" x14ac:dyDescent="0.2">
      <c r="A211" s="20">
        <f t="shared" si="99"/>
        <v>3625</v>
      </c>
      <c r="B211" s="19" t="str">
        <f t="shared" si="99"/>
        <v>SRSU</v>
      </c>
      <c r="C211" s="18"/>
      <c r="D211" s="15">
        <v>196</v>
      </c>
      <c r="E211" s="21">
        <v>0.29199999999999998</v>
      </c>
      <c r="F211" s="14">
        <v>1200.1333333333334</v>
      </c>
      <c r="G211" s="13">
        <v>405.49999999999949</v>
      </c>
      <c r="H211" s="15">
        <v>18</v>
      </c>
      <c r="I211" s="13">
        <v>4</v>
      </c>
      <c r="J211" s="16">
        <v>166</v>
      </c>
      <c r="K211" s="15">
        <v>298</v>
      </c>
      <c r="L211" s="14">
        <v>217</v>
      </c>
      <c r="M211" s="13">
        <v>136</v>
      </c>
    </row>
    <row r="212" spans="1:15" outlineLevel="1" x14ac:dyDescent="0.2">
      <c r="A212" s="20">
        <f t="shared" si="99"/>
        <v>20</v>
      </c>
      <c r="B212" s="19" t="str">
        <f t="shared" si="99"/>
        <v>SRRG</v>
      </c>
      <c r="C212" s="18"/>
      <c r="D212" s="15">
        <v>163</v>
      </c>
      <c r="E212" s="17">
        <v>0.33750000000000002</v>
      </c>
      <c r="F212" s="14">
        <v>472.13333333333333</v>
      </c>
      <c r="G212" s="13">
        <v>281.52999999999975</v>
      </c>
      <c r="H212" s="15">
        <v>5</v>
      </c>
      <c r="I212" s="13">
        <v>7</v>
      </c>
      <c r="J212" s="16">
        <v>145</v>
      </c>
      <c r="K212" s="15">
        <v>224</v>
      </c>
      <c r="L212" s="14">
        <v>97</v>
      </c>
      <c r="M212" s="13">
        <v>2</v>
      </c>
    </row>
    <row r="213" spans="1:15" ht="13.5" outlineLevel="1" thickBot="1" x14ac:dyDescent="0.25">
      <c r="A213" s="12"/>
      <c r="B213" s="11" t="s">
        <v>11</v>
      </c>
      <c r="C213" s="10"/>
      <c r="D213" s="9">
        <f>SUM(D175:D212)</f>
        <v>84231</v>
      </c>
      <c r="E213" s="8">
        <v>0.58399999999999996</v>
      </c>
      <c r="F213" s="7">
        <f t="shared" ref="F213:M213" si="100">SUM(F175:F212)</f>
        <v>351171.46666666673</v>
      </c>
      <c r="G213" s="3">
        <f t="shared" si="100"/>
        <v>170914.74000000223</v>
      </c>
      <c r="H213" s="5">
        <f t="shared" si="100"/>
        <v>13857</v>
      </c>
      <c r="I213" s="3">
        <f t="shared" si="100"/>
        <v>1204</v>
      </c>
      <c r="J213" s="6">
        <f t="shared" si="100"/>
        <v>54385</v>
      </c>
      <c r="K213" s="5">
        <f t="shared" si="100"/>
        <v>116139</v>
      </c>
      <c r="L213" s="4">
        <f t="shared" si="100"/>
        <v>84006</v>
      </c>
      <c r="M213" s="3">
        <f t="shared" si="100"/>
        <v>51310</v>
      </c>
    </row>
    <row r="214" spans="1:15" ht="13.5" thickBot="1" x14ac:dyDescent="0.25">
      <c r="A214" s="45" t="s">
        <v>25</v>
      </c>
      <c r="B214" s="45"/>
      <c r="C214" s="45"/>
      <c r="D214" s="45"/>
      <c r="F214" s="45"/>
      <c r="J214" s="45"/>
    </row>
    <row r="215" spans="1:15" ht="12.75" customHeight="1" outlineLevel="1" x14ac:dyDescent="0.2">
      <c r="A215" s="273" t="s">
        <v>24</v>
      </c>
      <c r="B215" s="275" t="s">
        <v>23</v>
      </c>
      <c r="C215" s="277"/>
      <c r="D215" s="306" t="s">
        <v>22</v>
      </c>
      <c r="E215" s="301" t="s">
        <v>21</v>
      </c>
      <c r="F215" s="275" t="s">
        <v>20</v>
      </c>
      <c r="G215" s="297" t="s">
        <v>19</v>
      </c>
      <c r="H215" s="299" t="s">
        <v>18</v>
      </c>
      <c r="I215" s="291" t="s">
        <v>17</v>
      </c>
      <c r="J215" s="293" t="s">
        <v>16</v>
      </c>
      <c r="K215" s="295" t="s">
        <v>15</v>
      </c>
      <c r="L215" s="296"/>
      <c r="M215" s="296"/>
    </row>
    <row r="216" spans="1:15" s="41" customFormat="1" ht="39.75" customHeight="1" outlineLevel="1" thickBot="1" x14ac:dyDescent="0.25">
      <c r="A216" s="274"/>
      <c r="B216" s="276"/>
      <c r="C216" s="278"/>
      <c r="D216" s="307"/>
      <c r="E216" s="302"/>
      <c r="F216" s="276"/>
      <c r="G216" s="298"/>
      <c r="H216" s="300"/>
      <c r="I216" s="292"/>
      <c r="J216" s="294"/>
      <c r="K216" s="44" t="s">
        <v>14</v>
      </c>
      <c r="L216" s="43" t="s">
        <v>13</v>
      </c>
      <c r="M216" s="42" t="s">
        <v>12</v>
      </c>
    </row>
    <row r="217" spans="1:15" outlineLevel="1" x14ac:dyDescent="0.2">
      <c r="A217" s="40">
        <f t="shared" ref="A217:B236" si="101">A175</f>
        <v>3656</v>
      </c>
      <c r="B217" s="39" t="str">
        <f t="shared" si="101"/>
        <v>UTA</v>
      </c>
      <c r="C217" s="38"/>
      <c r="D217" s="33">
        <v>4178</v>
      </c>
      <c r="E217" s="37">
        <v>0.50700000000000001</v>
      </c>
      <c r="F217" s="32">
        <v>15698.133333333333</v>
      </c>
      <c r="G217" s="31">
        <v>8640.2399999998797</v>
      </c>
      <c r="H217" s="36">
        <v>834</v>
      </c>
      <c r="I217" s="35">
        <v>36</v>
      </c>
      <c r="J217" s="34">
        <v>2662</v>
      </c>
      <c r="K217" s="33">
        <v>6630</v>
      </c>
      <c r="L217" s="32">
        <v>3636</v>
      </c>
      <c r="M217" s="31">
        <v>1724</v>
      </c>
    </row>
    <row r="218" spans="1:15" outlineLevel="1" x14ac:dyDescent="0.2">
      <c r="A218" s="20">
        <f t="shared" si="101"/>
        <v>3658</v>
      </c>
      <c r="B218" s="19" t="str">
        <f t="shared" si="101"/>
        <v>UT</v>
      </c>
      <c r="C218" s="18"/>
      <c r="D218" s="15">
        <v>8952</v>
      </c>
      <c r="E218" s="21">
        <v>0.82899999999999996</v>
      </c>
      <c r="F218" s="14">
        <v>33736.73333333333</v>
      </c>
      <c r="G218" s="13">
        <v>19230.319999999745</v>
      </c>
      <c r="H218" s="15">
        <v>1754</v>
      </c>
      <c r="I218" s="13">
        <v>55</v>
      </c>
      <c r="J218" s="16">
        <v>3435</v>
      </c>
      <c r="K218" s="15">
        <v>9596</v>
      </c>
      <c r="L218" s="14">
        <v>9749</v>
      </c>
      <c r="M218" s="13">
        <v>7288</v>
      </c>
      <c r="O218" s="2"/>
    </row>
    <row r="219" spans="1:15" outlineLevel="1" x14ac:dyDescent="0.2">
      <c r="A219" s="20">
        <f t="shared" si="101"/>
        <v>9741</v>
      </c>
      <c r="B219" s="19" t="str">
        <f t="shared" si="101"/>
        <v>UTD</v>
      </c>
      <c r="C219" s="18"/>
      <c r="D219" s="15">
        <v>2355</v>
      </c>
      <c r="E219" s="21">
        <v>0.70699999999999996</v>
      </c>
      <c r="F219" s="14">
        <v>8108.8666666666668</v>
      </c>
      <c r="G219" s="13">
        <v>4955.5700000000443</v>
      </c>
      <c r="H219" s="15">
        <v>392</v>
      </c>
      <c r="I219" s="13">
        <v>36</v>
      </c>
      <c r="J219" s="16">
        <v>1255</v>
      </c>
      <c r="K219" s="15">
        <v>3078</v>
      </c>
      <c r="L219" s="14">
        <v>1950</v>
      </c>
      <c r="M219" s="13">
        <v>923</v>
      </c>
      <c r="O219" s="2"/>
    </row>
    <row r="220" spans="1:15" outlineLevel="1" x14ac:dyDescent="0.2">
      <c r="A220" s="20">
        <f t="shared" si="101"/>
        <v>3661</v>
      </c>
      <c r="B220" s="19" t="str">
        <f t="shared" si="101"/>
        <v>UTEP</v>
      </c>
      <c r="C220" s="18"/>
      <c r="D220" s="15">
        <v>3031</v>
      </c>
      <c r="E220" s="21">
        <v>0.374</v>
      </c>
      <c r="F220" s="14">
        <v>12791.933333333332</v>
      </c>
      <c r="G220" s="13">
        <v>6295.4500000000389</v>
      </c>
      <c r="H220" s="15">
        <v>709</v>
      </c>
      <c r="I220" s="13">
        <v>93</v>
      </c>
      <c r="J220" s="16">
        <v>2394</v>
      </c>
      <c r="K220" s="15">
        <v>4200</v>
      </c>
      <c r="L220" s="14">
        <v>3366</v>
      </c>
      <c r="M220" s="13">
        <v>1972</v>
      </c>
      <c r="O220" s="2"/>
    </row>
    <row r="221" spans="1:15" outlineLevel="1" x14ac:dyDescent="0.2">
      <c r="A221" s="20">
        <f t="shared" si="101"/>
        <v>3599</v>
      </c>
      <c r="B221" s="19" t="str">
        <f t="shared" si="101"/>
        <v>UTPA</v>
      </c>
      <c r="C221" s="18"/>
      <c r="D221" s="15">
        <v>2620</v>
      </c>
      <c r="E221" s="21">
        <v>0.38900000000000001</v>
      </c>
      <c r="F221" s="14">
        <v>12572.333333333334</v>
      </c>
      <c r="G221" s="13">
        <v>5170.8900000000631</v>
      </c>
      <c r="H221" s="15">
        <v>480</v>
      </c>
      <c r="I221" s="13">
        <v>31</v>
      </c>
      <c r="J221" s="16">
        <v>2341</v>
      </c>
      <c r="K221" s="15">
        <v>4354</v>
      </c>
      <c r="L221" s="14">
        <v>3136</v>
      </c>
      <c r="M221" s="13">
        <v>1924</v>
      </c>
      <c r="O221" s="2"/>
    </row>
    <row r="222" spans="1:15" outlineLevel="1" x14ac:dyDescent="0.2">
      <c r="A222" s="20">
        <f t="shared" si="101"/>
        <v>30646</v>
      </c>
      <c r="B222" s="19" t="str">
        <f t="shared" si="101"/>
        <v>UTB</v>
      </c>
      <c r="C222" s="18"/>
      <c r="D222" s="15">
        <v>1052</v>
      </c>
      <c r="E222" s="17">
        <v>0.64666666666666661</v>
      </c>
      <c r="F222" s="14">
        <v>2989.6</v>
      </c>
      <c r="G222" s="13">
        <v>2005.0100000000309</v>
      </c>
      <c r="H222" s="15">
        <v>108</v>
      </c>
      <c r="I222" s="13">
        <v>19</v>
      </c>
      <c r="J222" s="16">
        <v>916</v>
      </c>
      <c r="K222" s="15">
        <v>1377</v>
      </c>
      <c r="L222" s="14">
        <v>583</v>
      </c>
      <c r="M222" s="13">
        <v>72</v>
      </c>
      <c r="O222" s="2"/>
    </row>
    <row r="223" spans="1:15" outlineLevel="1" x14ac:dyDescent="0.2">
      <c r="A223" s="20">
        <f t="shared" si="101"/>
        <v>9930</v>
      </c>
      <c r="B223" s="19" t="str">
        <f t="shared" si="101"/>
        <v>UTPB</v>
      </c>
      <c r="C223" s="18"/>
      <c r="D223" s="15">
        <v>513</v>
      </c>
      <c r="E223" s="21">
        <v>0.44600000000000001</v>
      </c>
      <c r="F223" s="14">
        <v>2159.6</v>
      </c>
      <c r="G223" s="13">
        <v>944.74000000001092</v>
      </c>
      <c r="H223" s="15">
        <v>33</v>
      </c>
      <c r="I223" s="13">
        <v>13</v>
      </c>
      <c r="J223" s="16">
        <v>379</v>
      </c>
      <c r="K223" s="15">
        <v>707</v>
      </c>
      <c r="L223" s="14">
        <v>450</v>
      </c>
      <c r="M223" s="13">
        <v>182</v>
      </c>
      <c r="O223" s="2"/>
    </row>
    <row r="224" spans="1:15" outlineLevel="1" x14ac:dyDescent="0.2">
      <c r="A224" s="20">
        <f t="shared" si="101"/>
        <v>10115</v>
      </c>
      <c r="B224" s="19" t="str">
        <f t="shared" si="101"/>
        <v>UTSA</v>
      </c>
      <c r="C224" s="18"/>
      <c r="D224" s="15">
        <v>3968</v>
      </c>
      <c r="E224" s="21">
        <v>0.44</v>
      </c>
      <c r="F224" s="14">
        <v>19707.533333333333</v>
      </c>
      <c r="G224" s="13">
        <v>8107.0899999997582</v>
      </c>
      <c r="H224" s="15">
        <v>375</v>
      </c>
      <c r="I224" s="13">
        <v>39</v>
      </c>
      <c r="J224" s="16">
        <v>2956</v>
      </c>
      <c r="K224" s="15">
        <v>6812</v>
      </c>
      <c r="L224" s="14">
        <v>4615</v>
      </c>
      <c r="M224" s="13">
        <v>2588</v>
      </c>
      <c r="O224" s="2"/>
    </row>
    <row r="225" spans="1:15" outlineLevel="1" x14ac:dyDescent="0.2">
      <c r="A225" s="20">
        <f t="shared" si="101"/>
        <v>11163</v>
      </c>
      <c r="B225" s="19" t="str">
        <f t="shared" si="101"/>
        <v>UTT</v>
      </c>
      <c r="C225" s="18"/>
      <c r="D225" s="15">
        <v>1238</v>
      </c>
      <c r="E225" s="21">
        <v>0.496</v>
      </c>
      <c r="F225" s="14">
        <v>4085.2666666666669</v>
      </c>
      <c r="G225" s="13">
        <v>2459.1300000000315</v>
      </c>
      <c r="H225" s="15">
        <v>372</v>
      </c>
      <c r="I225" s="13">
        <v>10</v>
      </c>
      <c r="J225" s="16">
        <v>1002</v>
      </c>
      <c r="K225" s="15">
        <v>1404</v>
      </c>
      <c r="L225" s="14">
        <v>921</v>
      </c>
      <c r="M225" s="13">
        <v>378</v>
      </c>
      <c r="O225" s="2"/>
    </row>
    <row r="226" spans="1:15" outlineLevel="1" x14ac:dyDescent="0.2">
      <c r="A226" s="20">
        <f t="shared" si="101"/>
        <v>3632</v>
      </c>
      <c r="B226" s="19" t="str">
        <f t="shared" si="101"/>
        <v>TAMU</v>
      </c>
      <c r="C226" s="18"/>
      <c r="D226" s="15">
        <v>8451</v>
      </c>
      <c r="E226" s="21">
        <v>0.83599999999999997</v>
      </c>
      <c r="F226" s="14">
        <v>34329.199999999997</v>
      </c>
      <c r="G226" s="13">
        <v>19146.209999999159</v>
      </c>
      <c r="H226" s="15">
        <v>1580</v>
      </c>
      <c r="I226" s="13">
        <v>108</v>
      </c>
      <c r="J226" s="16">
        <v>3530</v>
      </c>
      <c r="K226" s="15">
        <v>10012</v>
      </c>
      <c r="L226" s="14">
        <v>8836</v>
      </c>
      <c r="M226" s="13">
        <v>6932</v>
      </c>
      <c r="O226" s="2"/>
    </row>
    <row r="227" spans="1:15" outlineLevel="1" x14ac:dyDescent="0.2">
      <c r="A227" s="20">
        <f t="shared" si="101"/>
        <v>10298</v>
      </c>
      <c r="B227" s="19" t="str">
        <f t="shared" si="101"/>
        <v>TAMUG</v>
      </c>
      <c r="C227" s="18"/>
      <c r="D227" s="15">
        <v>262</v>
      </c>
      <c r="E227" s="21">
        <v>0.59199999999999997</v>
      </c>
      <c r="F227" s="14">
        <v>1599.2</v>
      </c>
      <c r="G227" s="13">
        <v>636.84000000000231</v>
      </c>
      <c r="H227" s="15">
        <v>31</v>
      </c>
      <c r="I227" s="13">
        <v>0</v>
      </c>
      <c r="J227" s="16">
        <v>137</v>
      </c>
      <c r="K227" s="15">
        <v>570</v>
      </c>
      <c r="L227" s="14">
        <v>322</v>
      </c>
      <c r="M227" s="13">
        <v>241</v>
      </c>
      <c r="O227" s="2"/>
    </row>
    <row r="228" spans="1:15" outlineLevel="1" x14ac:dyDescent="0.2">
      <c r="A228" s="20">
        <f t="shared" si="101"/>
        <v>3630</v>
      </c>
      <c r="B228" s="19" t="str">
        <f t="shared" si="101"/>
        <v>Prairie View</v>
      </c>
      <c r="C228" s="18"/>
      <c r="D228" s="15">
        <v>879</v>
      </c>
      <c r="E228" s="21">
        <v>0.34200000000000003</v>
      </c>
      <c r="F228" s="14">
        <v>5840.8</v>
      </c>
      <c r="G228" s="13">
        <v>1995.4900000000189</v>
      </c>
      <c r="H228" s="15">
        <v>295</v>
      </c>
      <c r="I228" s="13">
        <v>8</v>
      </c>
      <c r="J228" s="16">
        <v>756</v>
      </c>
      <c r="K228" s="15">
        <v>1643</v>
      </c>
      <c r="L228" s="14">
        <v>1174</v>
      </c>
      <c r="M228" s="13">
        <v>940</v>
      </c>
      <c r="O228" s="2"/>
    </row>
    <row r="229" spans="1:15" outlineLevel="1" x14ac:dyDescent="0.2">
      <c r="A229" s="20">
        <f t="shared" si="101"/>
        <v>3631</v>
      </c>
      <c r="B229" s="19" t="str">
        <f t="shared" si="101"/>
        <v>Tarleton</v>
      </c>
      <c r="C229" s="18"/>
      <c r="D229" s="15">
        <v>1422</v>
      </c>
      <c r="E229" s="21">
        <v>0.47499999999999998</v>
      </c>
      <c r="F229" s="14">
        <v>5845.5333333333338</v>
      </c>
      <c r="G229" s="13">
        <v>2966.430000000048</v>
      </c>
      <c r="H229" s="15">
        <v>183</v>
      </c>
      <c r="I229" s="13">
        <v>38</v>
      </c>
      <c r="J229" s="16">
        <v>1093</v>
      </c>
      <c r="K229" s="15">
        <v>2140</v>
      </c>
      <c r="L229" s="14">
        <v>1306</v>
      </c>
      <c r="M229" s="13">
        <v>903</v>
      </c>
      <c r="O229" s="2"/>
    </row>
    <row r="230" spans="1:15" outlineLevel="1" x14ac:dyDescent="0.2">
      <c r="A230" s="27">
        <f t="shared" si="101"/>
        <v>103631</v>
      </c>
      <c r="B230" s="19" t="str">
        <f t="shared" si="101"/>
        <v>TAMUCT</v>
      </c>
      <c r="C230" s="18"/>
      <c r="D230" s="15">
        <v>450</v>
      </c>
      <c r="E230" s="21">
        <v>0.47499999999999998</v>
      </c>
      <c r="F230" s="14">
        <v>658.4666666666667</v>
      </c>
      <c r="G230" s="13">
        <v>831.96000000000549</v>
      </c>
      <c r="H230" s="15">
        <v>44</v>
      </c>
      <c r="I230" s="13"/>
      <c r="J230" s="16">
        <v>322</v>
      </c>
      <c r="K230" s="15">
        <v>380</v>
      </c>
      <c r="L230" s="14">
        <v>137</v>
      </c>
      <c r="M230" s="13">
        <v>31</v>
      </c>
      <c r="O230" s="2"/>
    </row>
    <row r="231" spans="1:15" outlineLevel="1" x14ac:dyDescent="0.2">
      <c r="A231" s="20">
        <f t="shared" si="101"/>
        <v>11161</v>
      </c>
      <c r="B231" s="19" t="str">
        <f t="shared" si="101"/>
        <v>TAMUCC</v>
      </c>
      <c r="C231" s="18"/>
      <c r="D231" s="15">
        <v>1335</v>
      </c>
      <c r="E231" s="21">
        <v>0.503</v>
      </c>
      <c r="F231" s="14">
        <v>6131.9333333333334</v>
      </c>
      <c r="G231" s="13">
        <v>2744.5700000000347</v>
      </c>
      <c r="H231" s="15">
        <v>237</v>
      </c>
      <c r="I231" s="13">
        <v>29</v>
      </c>
      <c r="J231" s="16">
        <v>1024</v>
      </c>
      <c r="K231" s="15">
        <v>2079</v>
      </c>
      <c r="L231" s="14">
        <v>1357</v>
      </c>
      <c r="M231" s="13">
        <v>812</v>
      </c>
      <c r="O231" s="2"/>
    </row>
    <row r="232" spans="1:15" outlineLevel="1" x14ac:dyDescent="0.2">
      <c r="A232" s="20">
        <f t="shared" si="101"/>
        <v>3639</v>
      </c>
      <c r="B232" s="19" t="str">
        <f t="shared" si="101"/>
        <v>TAMUK</v>
      </c>
      <c r="C232" s="18"/>
      <c r="D232" s="15">
        <v>692</v>
      </c>
      <c r="E232" s="21">
        <v>0.41699999999999998</v>
      </c>
      <c r="F232" s="14">
        <v>3808.2666666666669</v>
      </c>
      <c r="G232" s="13">
        <v>1601.8800000000022</v>
      </c>
      <c r="H232" s="15">
        <v>236</v>
      </c>
      <c r="I232" s="13">
        <v>15</v>
      </c>
      <c r="J232" s="16">
        <v>590</v>
      </c>
      <c r="K232" s="15">
        <v>1159</v>
      </c>
      <c r="L232" s="14">
        <v>790</v>
      </c>
      <c r="M232" s="13">
        <v>550</v>
      </c>
      <c r="O232" s="2"/>
    </row>
    <row r="233" spans="1:15" outlineLevel="1" x14ac:dyDescent="0.2">
      <c r="A233" s="27">
        <f t="shared" si="101"/>
        <v>103639</v>
      </c>
      <c r="B233" s="19" t="str">
        <f t="shared" si="101"/>
        <v>TAMUSA</v>
      </c>
      <c r="C233" s="18"/>
      <c r="D233" s="15">
        <v>496</v>
      </c>
      <c r="E233" s="21">
        <v>0.41699999999999998</v>
      </c>
      <c r="F233" s="14">
        <v>1072.6666666666667</v>
      </c>
      <c r="G233" s="13">
        <v>844.50000000000807</v>
      </c>
      <c r="H233" s="15">
        <v>4</v>
      </c>
      <c r="I233" s="13"/>
      <c r="J233" s="16">
        <v>402</v>
      </c>
      <c r="K233" s="15">
        <v>307</v>
      </c>
      <c r="L233" s="14">
        <v>5</v>
      </c>
      <c r="M233" s="13">
        <v>5</v>
      </c>
      <c r="O233" s="2"/>
    </row>
    <row r="234" spans="1:15" outlineLevel="1" x14ac:dyDescent="0.2">
      <c r="A234" s="20">
        <f t="shared" si="101"/>
        <v>9651</v>
      </c>
      <c r="B234" s="19" t="str">
        <f t="shared" si="101"/>
        <v>TAMI</v>
      </c>
      <c r="C234" s="18"/>
      <c r="D234" s="15">
        <v>798</v>
      </c>
      <c r="E234" s="21">
        <v>0.46</v>
      </c>
      <c r="F234" s="14">
        <v>3819.0666666666666</v>
      </c>
      <c r="G234" s="13">
        <v>1476.3000000000168</v>
      </c>
      <c r="H234" s="15">
        <v>85</v>
      </c>
      <c r="I234" s="13">
        <v>26</v>
      </c>
      <c r="J234" s="16">
        <v>713</v>
      </c>
      <c r="K234" s="15">
        <v>1413</v>
      </c>
      <c r="L234" s="14">
        <v>981</v>
      </c>
      <c r="M234" s="13">
        <v>447</v>
      </c>
      <c r="O234" s="2"/>
    </row>
    <row r="235" spans="1:15" outlineLevel="1" x14ac:dyDescent="0.2">
      <c r="A235" s="20">
        <f t="shared" si="101"/>
        <v>3665</v>
      </c>
      <c r="B235" s="19" t="str">
        <f t="shared" si="101"/>
        <v>WTAMU</v>
      </c>
      <c r="C235" s="18"/>
      <c r="D235" s="15">
        <v>1220</v>
      </c>
      <c r="E235" s="21">
        <v>0.45600000000000002</v>
      </c>
      <c r="F235" s="14">
        <v>5264.8</v>
      </c>
      <c r="G235" s="13">
        <v>2415.9700000000216</v>
      </c>
      <c r="H235" s="15">
        <v>216</v>
      </c>
      <c r="I235" s="13">
        <v>64</v>
      </c>
      <c r="J235" s="16">
        <v>853</v>
      </c>
      <c r="K235" s="15">
        <v>1873</v>
      </c>
      <c r="L235" s="14">
        <v>1161</v>
      </c>
      <c r="M235" s="13">
        <v>631</v>
      </c>
      <c r="O235" s="2"/>
    </row>
    <row r="236" spans="1:15" outlineLevel="1" x14ac:dyDescent="0.2">
      <c r="A236" s="20">
        <f t="shared" si="101"/>
        <v>3565</v>
      </c>
      <c r="B236" s="19" t="str">
        <f t="shared" si="101"/>
        <v>TAMUC</v>
      </c>
      <c r="C236" s="18"/>
      <c r="D236" s="15">
        <v>1153</v>
      </c>
      <c r="E236" s="21">
        <v>0.44800000000000001</v>
      </c>
      <c r="F236" s="14">
        <v>4172.1333333333332</v>
      </c>
      <c r="G236" s="13">
        <v>2179.8400000000324</v>
      </c>
      <c r="H236" s="15">
        <v>59</v>
      </c>
      <c r="I236" s="13">
        <v>65</v>
      </c>
      <c r="J236" s="16">
        <v>884</v>
      </c>
      <c r="K236" s="15">
        <v>1712</v>
      </c>
      <c r="L236" s="14">
        <v>1038</v>
      </c>
      <c r="M236" s="13">
        <v>423</v>
      </c>
      <c r="O236" s="2"/>
    </row>
    <row r="237" spans="1:15" outlineLevel="1" x14ac:dyDescent="0.2">
      <c r="A237" s="20">
        <f t="shared" ref="A237:B254" si="102">A195</f>
        <v>29269</v>
      </c>
      <c r="B237" s="19" t="str">
        <f t="shared" si="102"/>
        <v>TAMUT</v>
      </c>
      <c r="C237" s="18"/>
      <c r="D237" s="15">
        <v>326</v>
      </c>
      <c r="E237" s="17">
        <v>0.57336956521739135</v>
      </c>
      <c r="F237" s="14">
        <v>694.6</v>
      </c>
      <c r="G237" s="13">
        <v>569.46</v>
      </c>
      <c r="H237" s="15">
        <v>30</v>
      </c>
      <c r="I237" s="13">
        <v>15</v>
      </c>
      <c r="J237" s="16">
        <v>210</v>
      </c>
      <c r="K237" s="15">
        <v>403</v>
      </c>
      <c r="L237" s="14">
        <v>138</v>
      </c>
      <c r="M237" s="13">
        <v>0</v>
      </c>
      <c r="O237" s="2"/>
    </row>
    <row r="238" spans="1:15" outlineLevel="1" x14ac:dyDescent="0.2">
      <c r="A238" s="20">
        <f t="shared" si="102"/>
        <v>3652</v>
      </c>
      <c r="B238" s="19" t="str">
        <f t="shared" si="102"/>
        <v>UH</v>
      </c>
      <c r="C238" s="18"/>
      <c r="D238" s="15">
        <v>4778</v>
      </c>
      <c r="E238" s="21">
        <v>0.53100000000000003</v>
      </c>
      <c r="F238" s="14">
        <v>22778.733333333334</v>
      </c>
      <c r="G238" s="13">
        <v>9792.4499999989821</v>
      </c>
      <c r="H238" s="15">
        <v>656</v>
      </c>
      <c r="I238" s="13">
        <v>54</v>
      </c>
      <c r="J238" s="16">
        <v>3091</v>
      </c>
      <c r="K238" s="15">
        <v>7517</v>
      </c>
      <c r="L238" s="14">
        <v>5600</v>
      </c>
      <c r="M238" s="13">
        <v>3376</v>
      </c>
      <c r="O238" s="2"/>
    </row>
    <row r="239" spans="1:15" outlineLevel="1" x14ac:dyDescent="0.2">
      <c r="A239" s="20">
        <f t="shared" si="102"/>
        <v>11711</v>
      </c>
      <c r="B239" s="19" t="str">
        <f t="shared" si="102"/>
        <v>UHCL</v>
      </c>
      <c r="C239" s="18"/>
      <c r="D239" s="15">
        <v>1124</v>
      </c>
      <c r="E239" s="17">
        <v>0.50557620817843862</v>
      </c>
      <c r="F239" s="14">
        <v>2872.8666666666668</v>
      </c>
      <c r="G239" s="13">
        <v>2131.2100000000323</v>
      </c>
      <c r="H239" s="15">
        <v>88</v>
      </c>
      <c r="I239" s="13">
        <v>8</v>
      </c>
      <c r="J239" s="16">
        <v>707</v>
      </c>
      <c r="K239" s="15">
        <v>1349</v>
      </c>
      <c r="L239" s="14">
        <v>888</v>
      </c>
      <c r="M239" s="13">
        <v>81</v>
      </c>
      <c r="O239" s="2"/>
    </row>
    <row r="240" spans="1:15" outlineLevel="1" x14ac:dyDescent="0.2">
      <c r="A240" s="20">
        <f t="shared" si="102"/>
        <v>12826</v>
      </c>
      <c r="B240" s="19" t="str">
        <f t="shared" si="102"/>
        <v>UHD</v>
      </c>
      <c r="C240" s="18"/>
      <c r="D240" s="15">
        <v>2359</v>
      </c>
      <c r="E240" s="21">
        <v>0.18099999999999999</v>
      </c>
      <c r="F240" s="14">
        <v>7963.6</v>
      </c>
      <c r="G240" s="13">
        <v>4153.3100000000841</v>
      </c>
      <c r="H240" s="15">
        <v>112</v>
      </c>
      <c r="I240" s="13">
        <v>2</v>
      </c>
      <c r="J240" s="16">
        <v>1619</v>
      </c>
      <c r="K240" s="15">
        <v>3082</v>
      </c>
      <c r="L240" s="14">
        <v>1889</v>
      </c>
      <c r="M240" s="13">
        <v>606</v>
      </c>
      <c r="O240" s="2"/>
    </row>
    <row r="241" spans="1:15" outlineLevel="1" x14ac:dyDescent="0.2">
      <c r="A241" s="20">
        <f t="shared" si="102"/>
        <v>13231</v>
      </c>
      <c r="B241" s="19" t="str">
        <f t="shared" si="102"/>
        <v>UHV</v>
      </c>
      <c r="C241" s="18"/>
      <c r="D241" s="15">
        <v>515</v>
      </c>
      <c r="E241" s="17">
        <v>0.55256723716381417</v>
      </c>
      <c r="F241" s="14">
        <v>1135.8</v>
      </c>
      <c r="G241" s="13">
        <v>962.15000000001089</v>
      </c>
      <c r="H241" s="15">
        <v>72</v>
      </c>
      <c r="I241" s="13">
        <v>2</v>
      </c>
      <c r="J241" s="16">
        <v>337</v>
      </c>
      <c r="K241" s="15">
        <v>654</v>
      </c>
      <c r="L241" s="14">
        <v>269</v>
      </c>
      <c r="M241" s="13">
        <v>8</v>
      </c>
      <c r="O241" s="2"/>
    </row>
    <row r="242" spans="1:15" outlineLevel="1" x14ac:dyDescent="0.2">
      <c r="A242" s="20">
        <f t="shared" si="102"/>
        <v>3592</v>
      </c>
      <c r="B242" s="19" t="str">
        <f t="shared" si="102"/>
        <v>Midwestern</v>
      </c>
      <c r="C242" s="18"/>
      <c r="D242" s="15">
        <v>1002</v>
      </c>
      <c r="E242" s="21">
        <v>0.41199999999999998</v>
      </c>
      <c r="F242" s="14">
        <v>4294.8666666666668</v>
      </c>
      <c r="G242" s="13">
        <v>1899.0200000000148</v>
      </c>
      <c r="H242" s="15">
        <v>302</v>
      </c>
      <c r="I242" s="13">
        <v>19</v>
      </c>
      <c r="J242" s="16">
        <v>673</v>
      </c>
      <c r="K242" s="15">
        <v>1497</v>
      </c>
      <c r="L242" s="14">
        <v>1080</v>
      </c>
      <c r="M242" s="13">
        <v>622</v>
      </c>
      <c r="O242" s="2"/>
    </row>
    <row r="243" spans="1:15" outlineLevel="1" x14ac:dyDescent="0.2">
      <c r="A243" s="20">
        <f t="shared" si="102"/>
        <v>3594</v>
      </c>
      <c r="B243" s="19" t="str">
        <f t="shared" si="102"/>
        <v>UNT</v>
      </c>
      <c r="C243" s="18"/>
      <c r="D243" s="15">
        <v>6024</v>
      </c>
      <c r="E243" s="21">
        <v>0.57399999999999995</v>
      </c>
      <c r="F243" s="14">
        <f>22506.0666666667+838</f>
        <v>23344.066666666698</v>
      </c>
      <c r="G243" s="13">
        <v>11164.699999998398</v>
      </c>
      <c r="H243" s="15">
        <v>297</v>
      </c>
      <c r="I243" s="13">
        <v>27</v>
      </c>
      <c r="J243" s="16">
        <v>3747</v>
      </c>
      <c r="K243" s="30">
        <v>8327</v>
      </c>
      <c r="L243" s="29">
        <v>5604</v>
      </c>
      <c r="M243" s="28">
        <v>3585</v>
      </c>
      <c r="O243" s="2"/>
    </row>
    <row r="244" spans="1:15" outlineLevel="1" x14ac:dyDescent="0.2">
      <c r="A244" s="27">
        <f t="shared" si="102"/>
        <v>113594</v>
      </c>
      <c r="B244" s="19" t="str">
        <f t="shared" si="102"/>
        <v>UNTD</v>
      </c>
      <c r="C244" s="18"/>
      <c r="D244" s="24"/>
      <c r="E244" s="26"/>
      <c r="F244" s="23"/>
      <c r="G244" s="22"/>
      <c r="H244" s="24"/>
      <c r="I244" s="22"/>
      <c r="J244" s="25"/>
      <c r="K244" s="24"/>
      <c r="L244" s="23"/>
      <c r="M244" s="22"/>
      <c r="O244" s="2"/>
    </row>
    <row r="245" spans="1:15" outlineLevel="1" x14ac:dyDescent="0.2">
      <c r="A245" s="20">
        <f t="shared" si="102"/>
        <v>3624</v>
      </c>
      <c r="B245" s="19" t="str">
        <f t="shared" si="102"/>
        <v>SFA</v>
      </c>
      <c r="C245" s="18"/>
      <c r="D245" s="15">
        <v>1874</v>
      </c>
      <c r="E245" s="21">
        <v>0.56999999999999995</v>
      </c>
      <c r="F245" s="14">
        <v>9510.2666666666664</v>
      </c>
      <c r="G245" s="13">
        <v>3625.4100000000203</v>
      </c>
      <c r="H245" s="15">
        <v>230</v>
      </c>
      <c r="I245" s="13">
        <v>43</v>
      </c>
      <c r="J245" s="16">
        <v>1422</v>
      </c>
      <c r="K245" s="15">
        <v>2663</v>
      </c>
      <c r="L245" s="14">
        <v>1934</v>
      </c>
      <c r="M245" s="13">
        <v>1317</v>
      </c>
      <c r="O245" s="2"/>
    </row>
    <row r="246" spans="1:15" outlineLevel="1" x14ac:dyDescent="0.2">
      <c r="A246" s="20">
        <f t="shared" si="102"/>
        <v>3642</v>
      </c>
      <c r="B246" s="19" t="str">
        <f t="shared" si="102"/>
        <v>TSU</v>
      </c>
      <c r="C246" s="18"/>
      <c r="D246" s="15">
        <v>817</v>
      </c>
      <c r="E246" s="21">
        <v>0.14899999999999999</v>
      </c>
      <c r="F246" s="14">
        <v>5909.8</v>
      </c>
      <c r="G246" s="13">
        <v>1601.5200000000066</v>
      </c>
      <c r="H246" s="15">
        <v>127</v>
      </c>
      <c r="I246" s="13">
        <v>2</v>
      </c>
      <c r="J246" s="16">
        <v>723</v>
      </c>
      <c r="K246" s="15">
        <v>1871</v>
      </c>
      <c r="L246" s="14">
        <v>1137</v>
      </c>
      <c r="M246" s="13">
        <v>916</v>
      </c>
      <c r="O246" s="2"/>
    </row>
    <row r="247" spans="1:15" outlineLevel="1" x14ac:dyDescent="0.2">
      <c r="A247" s="20">
        <f t="shared" si="102"/>
        <v>3644</v>
      </c>
      <c r="B247" s="19" t="str">
        <f t="shared" si="102"/>
        <v>TTU</v>
      </c>
      <c r="C247" s="18"/>
      <c r="D247" s="15">
        <v>4476</v>
      </c>
      <c r="E247" s="21">
        <v>0.72799999999999998</v>
      </c>
      <c r="F247" s="14">
        <v>21422.2</v>
      </c>
      <c r="G247" s="13">
        <v>9827.5299999990111</v>
      </c>
      <c r="H247" s="15">
        <v>656</v>
      </c>
      <c r="I247" s="13">
        <v>43</v>
      </c>
      <c r="J247" s="16">
        <v>2539</v>
      </c>
      <c r="K247" s="15">
        <v>6430</v>
      </c>
      <c r="L247" s="14">
        <v>5148</v>
      </c>
      <c r="M247" s="13">
        <v>3832</v>
      </c>
      <c r="O247" s="2"/>
    </row>
    <row r="248" spans="1:15" outlineLevel="1" x14ac:dyDescent="0.2">
      <c r="A248" s="20">
        <f t="shared" si="102"/>
        <v>3541</v>
      </c>
      <c r="B248" s="19" t="str">
        <f t="shared" si="102"/>
        <v>Angelo</v>
      </c>
      <c r="C248" s="18"/>
      <c r="D248" s="15">
        <v>941</v>
      </c>
      <c r="E248" s="21">
        <v>0.44</v>
      </c>
      <c r="F248" s="14">
        <v>4829.1333333333332</v>
      </c>
      <c r="G248" s="13">
        <v>1933.5900000000179</v>
      </c>
      <c r="H248" s="15">
        <v>217</v>
      </c>
      <c r="I248" s="13">
        <v>18</v>
      </c>
      <c r="J248" s="16">
        <v>676</v>
      </c>
      <c r="K248" s="15">
        <v>1474</v>
      </c>
      <c r="L248" s="14">
        <v>1008</v>
      </c>
      <c r="M248" s="13">
        <v>708</v>
      </c>
      <c r="O248" s="2"/>
    </row>
    <row r="249" spans="1:15" outlineLevel="1" x14ac:dyDescent="0.2">
      <c r="A249" s="20">
        <f t="shared" si="102"/>
        <v>3646</v>
      </c>
      <c r="B249" s="19" t="str">
        <f t="shared" si="102"/>
        <v>TWU</v>
      </c>
      <c r="C249" s="18"/>
      <c r="D249" s="15">
        <v>1774</v>
      </c>
      <c r="E249" s="21">
        <v>0.54500000000000004</v>
      </c>
      <c r="F249" s="14">
        <v>6071.4666666666662</v>
      </c>
      <c r="G249" s="13">
        <v>3425.2000000000221</v>
      </c>
      <c r="H249" s="15">
        <v>614</v>
      </c>
      <c r="I249" s="13">
        <v>31</v>
      </c>
      <c r="J249" s="16">
        <v>1214</v>
      </c>
      <c r="K249" s="15">
        <v>2042</v>
      </c>
      <c r="L249" s="14">
        <v>1371</v>
      </c>
      <c r="M249" s="13">
        <v>668</v>
      </c>
      <c r="O249" s="2"/>
    </row>
    <row r="250" spans="1:15" outlineLevel="1" x14ac:dyDescent="0.2">
      <c r="A250" s="20">
        <f t="shared" si="102"/>
        <v>3581</v>
      </c>
      <c r="B250" s="19" t="str">
        <f t="shared" si="102"/>
        <v>Lamar</v>
      </c>
      <c r="C250" s="18"/>
      <c r="D250" s="15">
        <v>1286</v>
      </c>
      <c r="E250" s="21">
        <v>0.33800000000000002</v>
      </c>
      <c r="F250" s="14">
        <v>7172.9333333333334</v>
      </c>
      <c r="G250" s="13">
        <v>2638.0900000000311</v>
      </c>
      <c r="H250" s="15">
        <v>314</v>
      </c>
      <c r="I250" s="13">
        <v>17</v>
      </c>
      <c r="J250" s="16">
        <v>908</v>
      </c>
      <c r="K250" s="15">
        <v>2043</v>
      </c>
      <c r="L250" s="14">
        <v>1404</v>
      </c>
      <c r="M250" s="13">
        <v>1031</v>
      </c>
      <c r="O250" s="2"/>
    </row>
    <row r="251" spans="1:15" outlineLevel="1" x14ac:dyDescent="0.2">
      <c r="A251" s="20">
        <f t="shared" si="102"/>
        <v>3606</v>
      </c>
      <c r="B251" s="19" t="str">
        <f t="shared" si="102"/>
        <v>SHSU</v>
      </c>
      <c r="C251" s="18"/>
      <c r="D251" s="15">
        <v>3242</v>
      </c>
      <c r="E251" s="21">
        <v>0.57899999999999996</v>
      </c>
      <c r="F251" s="14">
        <v>12517.066666666668</v>
      </c>
      <c r="G251" s="13">
        <v>6188.6300000000374</v>
      </c>
      <c r="H251" s="15">
        <v>163</v>
      </c>
      <c r="I251" s="13">
        <v>69</v>
      </c>
      <c r="J251" s="16">
        <v>2318</v>
      </c>
      <c r="K251" s="15">
        <v>3849</v>
      </c>
      <c r="L251" s="14">
        <v>3011</v>
      </c>
      <c r="M251" s="13">
        <v>1870</v>
      </c>
      <c r="O251" s="2"/>
    </row>
    <row r="252" spans="1:15" outlineLevel="1" x14ac:dyDescent="0.2">
      <c r="A252" s="20">
        <f t="shared" si="102"/>
        <v>3615</v>
      </c>
      <c r="B252" s="19" t="str">
        <f t="shared" si="102"/>
        <v>TXST</v>
      </c>
      <c r="C252" s="18"/>
      <c r="D252" s="15">
        <v>5299</v>
      </c>
      <c r="E252" s="21">
        <v>0.64400000000000002</v>
      </c>
      <c r="F252" s="14">
        <v>21764.6</v>
      </c>
      <c r="G252" s="13">
        <v>10384.469999998846</v>
      </c>
      <c r="H252" s="15">
        <v>439</v>
      </c>
      <c r="I252" s="13">
        <v>68</v>
      </c>
      <c r="J252" s="16">
        <v>3545</v>
      </c>
      <c r="K252" s="15">
        <v>7301</v>
      </c>
      <c r="L252" s="14">
        <v>5428</v>
      </c>
      <c r="M252" s="13">
        <v>3302</v>
      </c>
      <c r="O252" s="2"/>
    </row>
    <row r="253" spans="1:15" outlineLevel="1" x14ac:dyDescent="0.2">
      <c r="A253" s="20">
        <f t="shared" si="102"/>
        <v>3625</v>
      </c>
      <c r="B253" s="19" t="str">
        <f t="shared" si="102"/>
        <v>SRSU</v>
      </c>
      <c r="C253" s="18"/>
      <c r="D253" s="15">
        <v>181</v>
      </c>
      <c r="E253" s="21">
        <v>0.28499999999999998</v>
      </c>
      <c r="F253" s="14">
        <v>1230.9333333333334</v>
      </c>
      <c r="G253" s="13">
        <v>368.43999999999954</v>
      </c>
      <c r="H253" s="15">
        <v>10</v>
      </c>
      <c r="I253" s="13">
        <v>10</v>
      </c>
      <c r="J253" s="16">
        <v>156</v>
      </c>
      <c r="K253" s="15">
        <v>318</v>
      </c>
      <c r="L253" s="14">
        <v>176</v>
      </c>
      <c r="M253" s="13">
        <v>115</v>
      </c>
      <c r="O253" s="2"/>
    </row>
    <row r="254" spans="1:15" outlineLevel="1" x14ac:dyDescent="0.2">
      <c r="A254" s="20">
        <f t="shared" si="102"/>
        <v>20</v>
      </c>
      <c r="B254" s="19" t="str">
        <f t="shared" si="102"/>
        <v>SRRG</v>
      </c>
      <c r="C254" s="18"/>
      <c r="D254" s="15">
        <v>168</v>
      </c>
      <c r="E254" s="17">
        <v>0.36144578313253012</v>
      </c>
      <c r="F254" s="14">
        <v>416.33333333333331</v>
      </c>
      <c r="G254" s="13">
        <v>287.9199999999995</v>
      </c>
      <c r="H254" s="15">
        <v>8</v>
      </c>
      <c r="I254" s="13">
        <v>9</v>
      </c>
      <c r="J254" s="16">
        <v>149</v>
      </c>
      <c r="K254" s="15">
        <v>251</v>
      </c>
      <c r="L254" s="14">
        <v>90</v>
      </c>
      <c r="M254" s="13">
        <v>5</v>
      </c>
      <c r="O254" s="2"/>
    </row>
    <row r="255" spans="1:15" ht="13.5" outlineLevel="1" thickBot="1" x14ac:dyDescent="0.25">
      <c r="A255" s="12"/>
      <c r="B255" s="11" t="s">
        <v>11</v>
      </c>
      <c r="C255" s="10"/>
      <c r="D255" s="9">
        <f>SUM(D217:D254)</f>
        <v>81251</v>
      </c>
      <c r="E255" s="8">
        <v>0.56799999999999995</v>
      </c>
      <c r="F255" s="7">
        <f t="shared" ref="F255:M255" si="103">SUM(F217:F254)</f>
        <v>338321.33333333337</v>
      </c>
      <c r="G255" s="3">
        <f t="shared" si="103"/>
        <v>165601.52999999447</v>
      </c>
      <c r="H255" s="5">
        <f t="shared" si="103"/>
        <v>12362</v>
      </c>
      <c r="I255" s="3">
        <f t="shared" si="103"/>
        <v>1122</v>
      </c>
      <c r="J255" s="6">
        <f t="shared" si="103"/>
        <v>51678</v>
      </c>
      <c r="K255" s="5">
        <f t="shared" si="103"/>
        <v>112517</v>
      </c>
      <c r="L255" s="4">
        <f t="shared" si="103"/>
        <v>81688</v>
      </c>
      <c r="M255" s="3">
        <f t="shared" si="103"/>
        <v>51008</v>
      </c>
      <c r="O255" s="2"/>
    </row>
    <row r="256" spans="1:15" x14ac:dyDescent="0.2">
      <c r="O256" s="2"/>
    </row>
    <row r="258" spans="1:1" x14ac:dyDescent="0.2">
      <c r="A258" s="1" t="s">
        <v>10</v>
      </c>
    </row>
    <row r="259" spans="1:1" x14ac:dyDescent="0.2">
      <c r="A259" s="1" t="s">
        <v>9</v>
      </c>
    </row>
    <row r="260" spans="1:1" x14ac:dyDescent="0.2">
      <c r="A260" s="1" t="s">
        <v>8</v>
      </c>
    </row>
    <row r="261" spans="1:1" x14ac:dyDescent="0.2">
      <c r="A261" s="1" t="s">
        <v>7</v>
      </c>
    </row>
    <row r="262" spans="1:1" x14ac:dyDescent="0.2">
      <c r="A262" s="1" t="s">
        <v>6</v>
      </c>
    </row>
    <row r="263" spans="1:1" x14ac:dyDescent="0.2">
      <c r="A263" s="1" t="s">
        <v>5</v>
      </c>
    </row>
    <row r="264" spans="1:1" x14ac:dyDescent="0.2">
      <c r="A264" s="1" t="s">
        <v>4</v>
      </c>
    </row>
    <row r="265" spans="1:1" x14ac:dyDescent="0.2">
      <c r="A265" s="1" t="s">
        <v>3</v>
      </c>
    </row>
    <row r="266" spans="1:1" x14ac:dyDescent="0.2">
      <c r="A266" s="1" t="s">
        <v>2</v>
      </c>
    </row>
    <row r="267" spans="1:1" x14ac:dyDescent="0.2">
      <c r="A267" s="1" t="s">
        <v>1</v>
      </c>
    </row>
    <row r="268" spans="1:1" x14ac:dyDescent="0.2">
      <c r="A268" s="1" t="s">
        <v>0</v>
      </c>
    </row>
  </sheetData>
  <mergeCells count="62">
    <mergeCell ref="J215:J216"/>
    <mergeCell ref="K215:M215"/>
    <mergeCell ref="A215:A216"/>
    <mergeCell ref="B215:B216"/>
    <mergeCell ref="C215:C216"/>
    <mergeCell ref="D215:D216"/>
    <mergeCell ref="E215:E216"/>
    <mergeCell ref="F215:F216"/>
    <mergeCell ref="F173:F174"/>
    <mergeCell ref="G173:G174"/>
    <mergeCell ref="H173:H174"/>
    <mergeCell ref="I173:I174"/>
    <mergeCell ref="G215:G216"/>
    <mergeCell ref="H215:H216"/>
    <mergeCell ref="I215:I216"/>
    <mergeCell ref="K173:M173"/>
    <mergeCell ref="G131:G132"/>
    <mergeCell ref="H131:H132"/>
    <mergeCell ref="I131:I132"/>
    <mergeCell ref="J131:J132"/>
    <mergeCell ref="K131:M131"/>
    <mergeCell ref="J173:J174"/>
    <mergeCell ref="A173:A174"/>
    <mergeCell ref="B173:B174"/>
    <mergeCell ref="C173:C174"/>
    <mergeCell ref="D173:D174"/>
    <mergeCell ref="E173:E174"/>
    <mergeCell ref="E131:E132"/>
    <mergeCell ref="I46:I47"/>
    <mergeCell ref="J46:J47"/>
    <mergeCell ref="K46:M46"/>
    <mergeCell ref="A48:C48"/>
    <mergeCell ref="A89:A90"/>
    <mergeCell ref="B89:B90"/>
    <mergeCell ref="C89:C90"/>
    <mergeCell ref="D89:D90"/>
    <mergeCell ref="E89:E90"/>
    <mergeCell ref="F131:F132"/>
    <mergeCell ref="A131:A132"/>
    <mergeCell ref="B131:B132"/>
    <mergeCell ref="C131:C132"/>
    <mergeCell ref="D131:D132"/>
    <mergeCell ref="F89:F90"/>
    <mergeCell ref="G89:G90"/>
    <mergeCell ref="I89:I90"/>
    <mergeCell ref="J89:J90"/>
    <mergeCell ref="K89:M89"/>
    <mergeCell ref="H89:H90"/>
    <mergeCell ref="A1:M1"/>
    <mergeCell ref="A3:A4"/>
    <mergeCell ref="B3:B4"/>
    <mergeCell ref="C3:C4"/>
    <mergeCell ref="D3:G3"/>
    <mergeCell ref="H3:H4"/>
    <mergeCell ref="I3:I4"/>
    <mergeCell ref="J3:J4"/>
    <mergeCell ref="K3:M3"/>
    <mergeCell ref="A46:A47"/>
    <mergeCell ref="B46:B47"/>
    <mergeCell ref="C46:C47"/>
    <mergeCell ref="D46:G46"/>
    <mergeCell ref="H46:H47"/>
  </mergeCells>
  <pageMargins left="0.25" right="0.25" top="0.24" bottom="0.37" header="0.23" footer="0.17"/>
  <pageSetup scale="88" fitToHeight="0" orientation="landscape" r:id="rId1"/>
  <headerFooter>
    <oddFooter>Page &amp;P</oddFooter>
  </headerFooter>
  <rowBreaks count="6" manualBreakCount="6">
    <brk id="44" max="16383" man="1"/>
    <brk id="87" max="16383" man="1"/>
    <brk id="129" max="16383" man="1"/>
    <brk id="171" max="16383" man="1"/>
    <brk id="213" max="16383" man="1"/>
    <brk id="25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Below="0" summaryRight="0"/>
  </sheetPr>
  <dimension ref="A1:S359"/>
  <sheetViews>
    <sheetView showGridLines="0" zoomScale="70" zoomScaleNormal="7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outlineLevelRow="1" x14ac:dyDescent="0.2"/>
  <cols>
    <col min="1" max="1" width="7.28515625" style="1" customWidth="1"/>
    <col min="2" max="2" width="10.85546875" style="1" bestFit="1" customWidth="1"/>
    <col min="3" max="3" width="13.7109375" style="1" bestFit="1" customWidth="1"/>
    <col min="4" max="4" width="13.140625" style="1" customWidth="1"/>
    <col min="5" max="5" width="12.5703125" style="1" customWidth="1"/>
    <col min="6" max="6" width="13" style="1" customWidth="1"/>
    <col min="7" max="7" width="12.42578125" style="1" customWidth="1"/>
    <col min="8" max="8" width="12.85546875" style="1" customWidth="1"/>
    <col min="9" max="9" width="12.28515625" style="1" customWidth="1"/>
    <col min="10" max="10" width="12.42578125" style="1" customWidth="1"/>
    <col min="11" max="13" width="12.5703125" style="1" bestFit="1" customWidth="1"/>
    <col min="14" max="14" width="14.28515625" style="1" customWidth="1"/>
    <col min="15" max="15" width="16.42578125" style="1" customWidth="1"/>
    <col min="16" max="16" width="14.85546875" style="1" customWidth="1"/>
    <col min="17" max="17" width="13.42578125" style="1" customWidth="1"/>
    <col min="18" max="18" width="9.140625" style="1"/>
    <col min="19" max="19" width="15" style="1" bestFit="1" customWidth="1"/>
    <col min="20" max="20" width="12.5703125" style="1" customWidth="1"/>
    <col min="21" max="16384" width="9.140625" style="1"/>
  </cols>
  <sheetData>
    <row r="1" spans="1:19" ht="41.25" customHeight="1" x14ac:dyDescent="0.2">
      <c r="A1" s="284" t="s">
        <v>104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</row>
    <row r="2" spans="1:19" ht="13.5" thickBot="1" x14ac:dyDescent="0.25">
      <c r="A2" s="86"/>
      <c r="B2" s="85"/>
      <c r="C2" s="85"/>
      <c r="D2" s="85"/>
      <c r="E2" s="85"/>
      <c r="F2" s="85"/>
      <c r="G2" s="85"/>
      <c r="H2" s="85"/>
    </row>
    <row r="3" spans="1:19" ht="12.75" customHeight="1" x14ac:dyDescent="0.2">
      <c r="A3" s="285" t="s">
        <v>24</v>
      </c>
      <c r="B3" s="287" t="s">
        <v>23</v>
      </c>
      <c r="C3" s="289" t="s">
        <v>74</v>
      </c>
      <c r="D3" s="280" t="s">
        <v>35</v>
      </c>
      <c r="E3" s="280"/>
      <c r="F3" s="280"/>
      <c r="G3" s="280"/>
      <c r="H3" s="282" t="s">
        <v>18</v>
      </c>
      <c r="I3" s="291" t="s">
        <v>17</v>
      </c>
      <c r="J3" s="293" t="s">
        <v>16</v>
      </c>
      <c r="K3" s="295" t="s">
        <v>34</v>
      </c>
      <c r="L3" s="296"/>
      <c r="M3" s="296"/>
      <c r="O3" s="253"/>
      <c r="P3" s="254"/>
      <c r="Q3" s="141"/>
    </row>
    <row r="4" spans="1:19" ht="54" customHeight="1" thickBot="1" x14ac:dyDescent="0.25">
      <c r="A4" s="286"/>
      <c r="B4" s="288"/>
      <c r="C4" s="290"/>
      <c r="D4" s="84"/>
      <c r="E4" s="67" t="s">
        <v>33</v>
      </c>
      <c r="F4" s="67" t="s">
        <v>32</v>
      </c>
      <c r="G4" s="42" t="s">
        <v>31</v>
      </c>
      <c r="H4" s="283"/>
      <c r="I4" s="292"/>
      <c r="J4" s="294"/>
      <c r="K4" s="44" t="s">
        <v>14</v>
      </c>
      <c r="L4" s="43" t="s">
        <v>13</v>
      </c>
      <c r="M4" s="42" t="s">
        <v>12</v>
      </c>
      <c r="O4" s="140"/>
      <c r="P4" s="140"/>
      <c r="Q4" s="140"/>
    </row>
    <row r="5" spans="1:19" x14ac:dyDescent="0.2">
      <c r="A5" s="40">
        <v>3656</v>
      </c>
      <c r="B5" s="39" t="s">
        <v>73</v>
      </c>
      <c r="C5" s="83">
        <f>SUM(D5:M5)</f>
        <v>16200441.774191707</v>
      </c>
      <c r="D5" s="103">
        <f>D48*$O48*$C$44</f>
        <v>3415726.7377844499</v>
      </c>
      <c r="E5" s="80">
        <f t="shared" ref="E5:M5" si="0">E48*$O48*$C$44</f>
        <v>1180323.3505010712</v>
      </c>
      <c r="F5" s="80">
        <f t="shared" si="0"/>
        <v>671704.87020751566</v>
      </c>
      <c r="G5" s="79">
        <f t="shared" si="0"/>
        <v>7091855.5579314735</v>
      </c>
      <c r="H5" s="81">
        <f t="shared" si="0"/>
        <v>1042370.7076778108</v>
      </c>
      <c r="I5" s="79">
        <f t="shared" si="0"/>
        <v>23824.31961388118</v>
      </c>
      <c r="J5" s="82">
        <f t="shared" si="0"/>
        <v>339367.22247704578</v>
      </c>
      <c r="K5" s="81">
        <f t="shared" si="0"/>
        <v>1085806.6021357537</v>
      </c>
      <c r="L5" s="80">
        <f t="shared" si="0"/>
        <v>782867.14251213544</v>
      </c>
      <c r="M5" s="79">
        <f t="shared" si="0"/>
        <v>566595.26335056988</v>
      </c>
      <c r="N5" s="151"/>
      <c r="O5" s="141"/>
      <c r="P5" s="141"/>
      <c r="Q5" s="141"/>
      <c r="R5" s="250"/>
      <c r="S5" s="251"/>
    </row>
    <row r="6" spans="1:19" x14ac:dyDescent="0.2">
      <c r="A6" s="20">
        <v>3658</v>
      </c>
      <c r="B6" s="19" t="s">
        <v>72</v>
      </c>
      <c r="C6" s="58">
        <f t="shared" ref="C6:C42" si="1">SUM(D6:M6)</f>
        <v>24554575.248409193</v>
      </c>
      <c r="D6" s="15">
        <f t="shared" ref="D6:M21" si="2">D49*$O49*$C$44</f>
        <v>4059815.3277267115</v>
      </c>
      <c r="E6" s="14">
        <f t="shared" si="2"/>
        <v>4206983.633356805</v>
      </c>
      <c r="F6" s="14">
        <f t="shared" si="2"/>
        <v>751535.10082670988</v>
      </c>
      <c r="G6" s="13">
        <f t="shared" si="2"/>
        <v>8802904.5787037015</v>
      </c>
      <c r="H6" s="15">
        <f t="shared" si="2"/>
        <v>851473.61972404551</v>
      </c>
      <c r="I6" s="13">
        <f t="shared" si="2"/>
        <v>29950.573228879202</v>
      </c>
      <c r="J6" s="16">
        <f t="shared" si="2"/>
        <v>251972.05485726174</v>
      </c>
      <c r="K6" s="15">
        <f t="shared" si="2"/>
        <v>1524491.7406260192</v>
      </c>
      <c r="L6" s="14">
        <f t="shared" si="2"/>
        <v>1839033.2657377936</v>
      </c>
      <c r="M6" s="13">
        <f t="shared" si="2"/>
        <v>2236415.3536212645</v>
      </c>
      <c r="N6" s="151"/>
      <c r="O6" s="141"/>
      <c r="P6" s="141"/>
      <c r="Q6" s="141"/>
      <c r="R6" s="250"/>
      <c r="S6" s="251"/>
    </row>
    <row r="7" spans="1:19" x14ac:dyDescent="0.2">
      <c r="A7" s="20">
        <v>9741</v>
      </c>
      <c r="B7" s="19" t="s">
        <v>71</v>
      </c>
      <c r="C7" s="58">
        <f t="shared" si="1"/>
        <v>8212776.3448556559</v>
      </c>
      <c r="D7" s="15">
        <f t="shared" si="2"/>
        <v>1628902.7667433617</v>
      </c>
      <c r="E7" s="14">
        <f t="shared" si="2"/>
        <v>763412.43001372227</v>
      </c>
      <c r="F7" s="14">
        <f t="shared" si="2"/>
        <v>608762.65686883801</v>
      </c>
      <c r="G7" s="13">
        <f t="shared" si="2"/>
        <v>3472362.8179637687</v>
      </c>
      <c r="H7" s="15">
        <f t="shared" si="2"/>
        <v>287026.32677675894</v>
      </c>
      <c r="I7" s="13">
        <f t="shared" si="2"/>
        <v>21782.235075548506</v>
      </c>
      <c r="J7" s="16">
        <f t="shared" si="2"/>
        <v>143726.44777349423</v>
      </c>
      <c r="K7" s="15">
        <f t="shared" si="2"/>
        <v>526517.46346677421</v>
      </c>
      <c r="L7" s="14">
        <f t="shared" si="2"/>
        <v>435848.90996480349</v>
      </c>
      <c r="M7" s="13">
        <f t="shared" si="2"/>
        <v>324434.29020858643</v>
      </c>
      <c r="N7" s="151"/>
      <c r="O7" s="141"/>
      <c r="P7" s="141"/>
      <c r="Q7" s="141"/>
      <c r="R7" s="250"/>
      <c r="S7" s="251"/>
    </row>
    <row r="8" spans="1:19" x14ac:dyDescent="0.2">
      <c r="A8" s="20">
        <v>3661</v>
      </c>
      <c r="B8" s="19" t="s">
        <v>70</v>
      </c>
      <c r="C8" s="58">
        <f t="shared" si="1"/>
        <v>7826451.4571868228</v>
      </c>
      <c r="D8" s="15">
        <f t="shared" si="2"/>
        <v>1596125.8869450828</v>
      </c>
      <c r="E8" s="14">
        <f t="shared" si="2"/>
        <v>414992.73060572147</v>
      </c>
      <c r="F8" s="14">
        <f t="shared" si="2"/>
        <v>398046.30712613353</v>
      </c>
      <c r="G8" s="13">
        <f t="shared" si="2"/>
        <v>3288362.1869910685</v>
      </c>
      <c r="H8" s="15">
        <f t="shared" si="2"/>
        <v>341989.68137030723</v>
      </c>
      <c r="I8" s="13">
        <f t="shared" si="2"/>
        <v>46990.948585233054</v>
      </c>
      <c r="J8" s="16">
        <f t="shared" si="2"/>
        <v>205869.08615740918</v>
      </c>
      <c r="K8" s="15">
        <f t="shared" si="2"/>
        <v>531496.63525737182</v>
      </c>
      <c r="L8" s="14">
        <f t="shared" si="2"/>
        <v>525985.35116404202</v>
      </c>
      <c r="M8" s="13">
        <f t="shared" si="2"/>
        <v>476592.6429844526</v>
      </c>
      <c r="N8" s="151"/>
      <c r="O8" s="141"/>
      <c r="P8" s="141"/>
      <c r="Q8" s="141"/>
      <c r="R8" s="250"/>
      <c r="S8" s="251"/>
    </row>
    <row r="9" spans="1:19" x14ac:dyDescent="0.2">
      <c r="A9" s="20">
        <v>3599</v>
      </c>
      <c r="B9" s="19" t="s">
        <v>69</v>
      </c>
      <c r="C9" s="58">
        <f t="shared" si="1"/>
        <v>6535642.3894613897</v>
      </c>
      <c r="D9" s="15">
        <f t="shared" si="2"/>
        <v>1248669.8596243833</v>
      </c>
      <c r="E9" s="14">
        <f t="shared" si="2"/>
        <v>269088.35474905459</v>
      </c>
      <c r="F9" s="14">
        <f t="shared" si="2"/>
        <v>247949.17863722841</v>
      </c>
      <c r="G9" s="13">
        <f t="shared" si="2"/>
        <v>2484836.8879670524</v>
      </c>
      <c r="H9" s="15">
        <f t="shared" si="2"/>
        <v>251831.22104310882</v>
      </c>
      <c r="I9" s="13">
        <f t="shared" si="2"/>
        <v>13551.455840884781</v>
      </c>
      <c r="J9" s="16">
        <f t="shared" si="2"/>
        <v>181073.26233106045</v>
      </c>
      <c r="K9" s="15">
        <f t="shared" si="2"/>
        <v>657460.71075657674</v>
      </c>
      <c r="L9" s="14">
        <f t="shared" si="2"/>
        <v>649308.32700467936</v>
      </c>
      <c r="M9" s="13">
        <f t="shared" si="2"/>
        <v>531873.13150736107</v>
      </c>
      <c r="N9" s="151"/>
      <c r="O9" s="141"/>
      <c r="P9" s="141"/>
      <c r="Q9" s="141"/>
      <c r="R9" s="250"/>
      <c r="S9" s="251"/>
    </row>
    <row r="10" spans="1:19" x14ac:dyDescent="0.2">
      <c r="A10" s="20">
        <v>30646</v>
      </c>
      <c r="B10" s="19" t="s">
        <v>68</v>
      </c>
      <c r="C10" s="58">
        <f t="shared" si="1"/>
        <v>2612612.4542625137</v>
      </c>
      <c r="D10" s="15">
        <f t="shared" si="2"/>
        <v>528506.7777945064</v>
      </c>
      <c r="E10" s="14">
        <f t="shared" si="2"/>
        <v>152011.25971546356</v>
      </c>
      <c r="F10" s="14">
        <f t="shared" si="2"/>
        <v>416964.21685109555</v>
      </c>
      <c r="G10" s="13">
        <f t="shared" si="2"/>
        <v>1015291.2042846231</v>
      </c>
      <c r="H10" s="15">
        <f t="shared" si="2"/>
        <v>60174.917007738361</v>
      </c>
      <c r="I10" s="13">
        <f t="shared" si="2"/>
        <v>8872.9770386745568</v>
      </c>
      <c r="J10" s="16">
        <f t="shared" si="2"/>
        <v>72532.554119783308</v>
      </c>
      <c r="K10" s="15">
        <f t="shared" si="2"/>
        <v>213973.18567809736</v>
      </c>
      <c r="L10" s="14">
        <f t="shared" si="2"/>
        <v>116676.95927764963</v>
      </c>
      <c r="M10" s="13">
        <f t="shared" si="2"/>
        <v>27608.402494881935</v>
      </c>
      <c r="N10" s="151"/>
      <c r="O10" s="141"/>
      <c r="P10" s="141"/>
      <c r="Q10" s="141"/>
      <c r="R10" s="250"/>
      <c r="S10" s="251"/>
    </row>
    <row r="11" spans="1:19" x14ac:dyDescent="0.2">
      <c r="A11" s="20">
        <v>9930</v>
      </c>
      <c r="B11" s="19" t="s">
        <v>67</v>
      </c>
      <c r="C11" s="58">
        <f t="shared" si="1"/>
        <v>1418846.7993475499</v>
      </c>
      <c r="D11" s="15">
        <f t="shared" si="2"/>
        <v>258122.96839780532</v>
      </c>
      <c r="E11" s="14">
        <f t="shared" si="2"/>
        <v>57303.298984312794</v>
      </c>
      <c r="F11" s="14">
        <f t="shared" si="2"/>
        <v>279803.37767026492</v>
      </c>
      <c r="G11" s="13">
        <f t="shared" si="2"/>
        <v>484714.60293726809</v>
      </c>
      <c r="H11" s="15">
        <f t="shared" si="2"/>
        <v>20004.530050829911</v>
      </c>
      <c r="I11" s="13">
        <f t="shared" si="2"/>
        <v>4839.80565745885</v>
      </c>
      <c r="J11" s="16">
        <f t="shared" si="2"/>
        <v>30897.319317217301</v>
      </c>
      <c r="K11" s="15">
        <f t="shared" si="2"/>
        <v>126749.13260700567</v>
      </c>
      <c r="L11" s="14">
        <f t="shared" si="2"/>
        <v>103114.74831308161</v>
      </c>
      <c r="M11" s="13">
        <f t="shared" si="2"/>
        <v>53297.015412305183</v>
      </c>
      <c r="N11" s="151"/>
      <c r="O11" s="141"/>
      <c r="P11" s="141"/>
      <c r="Q11" s="141"/>
      <c r="R11" s="250"/>
      <c r="S11" s="251"/>
    </row>
    <row r="12" spans="1:19" x14ac:dyDescent="0.2">
      <c r="A12" s="20">
        <v>10115</v>
      </c>
      <c r="B12" s="19" t="s">
        <v>66</v>
      </c>
      <c r="C12" s="58">
        <f t="shared" si="1"/>
        <v>10158025.633901129</v>
      </c>
      <c r="D12" s="15">
        <f t="shared" si="2"/>
        <v>2150967.1613514642</v>
      </c>
      <c r="E12" s="14">
        <f t="shared" si="2"/>
        <v>604660.76869102276</v>
      </c>
      <c r="F12" s="14">
        <f t="shared" si="2"/>
        <v>352276.07139605616</v>
      </c>
      <c r="G12" s="13">
        <f t="shared" si="2"/>
        <v>4393242.9570204886</v>
      </c>
      <c r="H12" s="15">
        <f t="shared" si="2"/>
        <v>204671.68717123731</v>
      </c>
      <c r="I12" s="13">
        <f t="shared" si="2"/>
        <v>25932.041997036016</v>
      </c>
      <c r="J12" s="16">
        <f t="shared" si="2"/>
        <v>260949.43952131493</v>
      </c>
      <c r="K12" s="15">
        <f t="shared" si="2"/>
        <v>829610.69389309664</v>
      </c>
      <c r="L12" s="14">
        <f t="shared" si="2"/>
        <v>698389.92030675267</v>
      </c>
      <c r="M12" s="13">
        <f t="shared" si="2"/>
        <v>637324.89255265833</v>
      </c>
      <c r="N12" s="151"/>
      <c r="O12" s="141"/>
      <c r="P12" s="141"/>
      <c r="Q12" s="141"/>
      <c r="R12" s="250"/>
      <c r="S12" s="251"/>
    </row>
    <row r="13" spans="1:19" x14ac:dyDescent="0.2">
      <c r="A13" s="20">
        <v>11163</v>
      </c>
      <c r="B13" s="19" t="s">
        <v>65</v>
      </c>
      <c r="C13" s="58">
        <f t="shared" si="1"/>
        <v>3008543.4721043003</v>
      </c>
      <c r="D13" s="15">
        <f t="shared" si="2"/>
        <v>575936.87323760323</v>
      </c>
      <c r="E13" s="14">
        <f t="shared" si="2"/>
        <v>148495.72381642868</v>
      </c>
      <c r="F13" s="14">
        <f t="shared" si="2"/>
        <v>353980.24617014959</v>
      </c>
      <c r="G13" s="13">
        <f t="shared" si="2"/>
        <v>1143481.5234651777</v>
      </c>
      <c r="H13" s="15">
        <f t="shared" si="2"/>
        <v>182299.34643095001</v>
      </c>
      <c r="I13" s="13">
        <f t="shared" si="2"/>
        <v>6775.7279204423903</v>
      </c>
      <c r="J13" s="16">
        <f t="shared" si="2"/>
        <v>72971.363166059586</v>
      </c>
      <c r="K13" s="15">
        <f t="shared" si="2"/>
        <v>231719.13975544646</v>
      </c>
      <c r="L13" s="14">
        <f t="shared" si="2"/>
        <v>186655.17152266297</v>
      </c>
      <c r="M13" s="13">
        <f t="shared" si="2"/>
        <v>106228.35661938012</v>
      </c>
      <c r="N13" s="151"/>
      <c r="O13" s="141"/>
      <c r="P13" s="141"/>
      <c r="Q13" s="141"/>
      <c r="R13" s="250"/>
      <c r="S13" s="251"/>
    </row>
    <row r="14" spans="1:19" x14ac:dyDescent="0.2">
      <c r="A14" s="20">
        <v>3632</v>
      </c>
      <c r="B14" s="19" t="s">
        <v>64</v>
      </c>
      <c r="C14" s="58">
        <f t="shared" si="1"/>
        <v>24708666.695180122</v>
      </c>
      <c r="D14" s="15">
        <f t="shared" si="2"/>
        <v>3966030.7044847663</v>
      </c>
      <c r="E14" s="14">
        <f t="shared" si="2"/>
        <v>4167637.2652960741</v>
      </c>
      <c r="F14" s="14">
        <f t="shared" si="2"/>
        <v>715917.5872870133</v>
      </c>
      <c r="G14" s="13">
        <f t="shared" si="2"/>
        <v>9123496.7246696223</v>
      </c>
      <c r="H14" s="15">
        <f t="shared" si="2"/>
        <v>800043.34246233385</v>
      </c>
      <c r="I14" s="13">
        <f t="shared" si="2"/>
        <v>57178.367073314846</v>
      </c>
      <c r="J14" s="16">
        <f t="shared" si="2"/>
        <v>270390.14473780891</v>
      </c>
      <c r="K14" s="15">
        <f t="shared" si="2"/>
        <v>1597923.5879692484</v>
      </c>
      <c r="L14" s="14">
        <f t="shared" si="2"/>
        <v>1818952.7677775226</v>
      </c>
      <c r="M14" s="13">
        <f t="shared" si="2"/>
        <v>2191096.2034224146</v>
      </c>
      <c r="N14" s="151"/>
      <c r="O14" s="141"/>
      <c r="P14" s="141"/>
      <c r="Q14" s="141"/>
      <c r="R14" s="250"/>
      <c r="S14" s="251"/>
    </row>
    <row r="15" spans="1:19" x14ac:dyDescent="0.2">
      <c r="A15" s="20">
        <v>10298</v>
      </c>
      <c r="B15" s="19" t="s">
        <v>63</v>
      </c>
      <c r="C15" s="58">
        <f t="shared" si="1"/>
        <v>1417888.6142942794</v>
      </c>
      <c r="D15" s="15">
        <f t="shared" si="2"/>
        <v>193938.96489961853</v>
      </c>
      <c r="E15" s="14">
        <f t="shared" si="2"/>
        <v>60832.188656847022</v>
      </c>
      <c r="F15" s="14">
        <f t="shared" si="2"/>
        <v>288783.00443677313</v>
      </c>
      <c r="G15" s="13">
        <f t="shared" si="2"/>
        <v>495901.4636624516</v>
      </c>
      <c r="H15" s="15">
        <f t="shared" si="2"/>
        <v>26296.808799948281</v>
      </c>
      <c r="I15" s="13">
        <f t="shared" si="2"/>
        <v>0</v>
      </c>
      <c r="J15" s="16">
        <f t="shared" si="2"/>
        <v>17806.696244536404</v>
      </c>
      <c r="K15" s="15">
        <f t="shared" si="2"/>
        <v>139075.68225448841</v>
      </c>
      <c r="L15" s="14">
        <f t="shared" si="2"/>
        <v>97063.399624094818</v>
      </c>
      <c r="M15" s="13">
        <f t="shared" si="2"/>
        <v>98190.405715521178</v>
      </c>
      <c r="N15" s="151"/>
      <c r="O15" s="141"/>
      <c r="P15" s="141"/>
      <c r="Q15" s="141"/>
      <c r="R15" s="250"/>
      <c r="S15" s="251"/>
    </row>
    <row r="16" spans="1:19" x14ac:dyDescent="0.2">
      <c r="A16" s="20">
        <v>3630</v>
      </c>
      <c r="B16" s="19" t="s">
        <v>62</v>
      </c>
      <c r="C16" s="58">
        <f t="shared" si="1"/>
        <v>2716765.0699899984</v>
      </c>
      <c r="D16" s="15">
        <f t="shared" si="2"/>
        <v>453167.13639339694</v>
      </c>
      <c r="E16" s="14">
        <f t="shared" si="2"/>
        <v>84213.559513106258</v>
      </c>
      <c r="F16" s="14">
        <f t="shared" si="2"/>
        <v>191458.93706673916</v>
      </c>
      <c r="G16" s="13">
        <f t="shared" si="2"/>
        <v>1003243.3147346495</v>
      </c>
      <c r="H16" s="15">
        <f t="shared" si="2"/>
        <v>152776.53192045103</v>
      </c>
      <c r="I16" s="13">
        <f t="shared" si="2"/>
        <v>4678.4788022102221</v>
      </c>
      <c r="J16" s="16">
        <f t="shared" si="2"/>
        <v>62156.010790191525</v>
      </c>
      <c r="K16" s="15">
        <f t="shared" si="2"/>
        <v>269093.1945547121</v>
      </c>
      <c r="L16" s="14">
        <f t="shared" si="2"/>
        <v>247685.12086321908</v>
      </c>
      <c r="M16" s="13">
        <f t="shared" si="2"/>
        <v>248292.78535132232</v>
      </c>
      <c r="N16" s="151"/>
      <c r="O16" s="141"/>
      <c r="P16" s="141"/>
      <c r="Q16" s="141"/>
      <c r="R16" s="250"/>
      <c r="S16" s="251"/>
    </row>
    <row r="17" spans="1:19" x14ac:dyDescent="0.2">
      <c r="A17" s="20">
        <v>3631</v>
      </c>
      <c r="B17" s="19" t="s">
        <v>61</v>
      </c>
      <c r="C17" s="58">
        <f t="shared" si="1"/>
        <v>3811726.0596068292</v>
      </c>
      <c r="D17" s="15">
        <f t="shared" si="2"/>
        <v>747911.30093264091</v>
      </c>
      <c r="E17" s="14">
        <f t="shared" si="2"/>
        <v>178750.8009229012</v>
      </c>
      <c r="F17" s="14">
        <f t="shared" si="2"/>
        <v>297161.2572839529</v>
      </c>
      <c r="G17" s="13">
        <f t="shared" si="2"/>
        <v>1511250.289032721</v>
      </c>
      <c r="H17" s="15">
        <f t="shared" si="2"/>
        <v>98248.054846414641</v>
      </c>
      <c r="I17" s="13">
        <f t="shared" si="2"/>
        <v>23069.740300553847</v>
      </c>
      <c r="J17" s="16">
        <f t="shared" si="2"/>
        <v>92537.08417061322</v>
      </c>
      <c r="K17" s="15">
        <f t="shared" si="2"/>
        <v>347551.82182396168</v>
      </c>
      <c r="L17" s="14">
        <f t="shared" si="2"/>
        <v>278654.49950911413</v>
      </c>
      <c r="M17" s="13">
        <f t="shared" si="2"/>
        <v>236591.21078395506</v>
      </c>
      <c r="N17" s="151"/>
      <c r="O17" s="141"/>
      <c r="P17" s="141"/>
      <c r="Q17" s="141"/>
      <c r="R17" s="250"/>
      <c r="S17" s="251"/>
    </row>
    <row r="18" spans="1:19" x14ac:dyDescent="0.2">
      <c r="A18" s="78">
        <v>103631</v>
      </c>
      <c r="B18" s="19" t="s">
        <v>60</v>
      </c>
      <c r="C18" s="58">
        <f t="shared" si="1"/>
        <v>1889466.459742097</v>
      </c>
      <c r="D18" s="15">
        <f t="shared" si="2"/>
        <v>252217.23480517103</v>
      </c>
      <c r="E18" s="14">
        <f t="shared" si="2"/>
        <v>60279.919118435879</v>
      </c>
      <c r="F18" s="14">
        <f t="shared" si="2"/>
        <v>925786.77658591606</v>
      </c>
      <c r="G18" s="13">
        <f t="shared" si="2"/>
        <v>467697.68700276734</v>
      </c>
      <c r="H18" s="15">
        <f t="shared" si="2"/>
        <v>22281.319801760223</v>
      </c>
      <c r="I18" s="13">
        <f t="shared" si="2"/>
        <v>0</v>
      </c>
      <c r="J18" s="16">
        <f t="shared" si="2"/>
        <v>28666.1963613466</v>
      </c>
      <c r="K18" s="15">
        <f t="shared" si="2"/>
        <v>90403.71558910911</v>
      </c>
      <c r="L18" s="14">
        <f t="shared" si="2"/>
        <v>31577.378637084777</v>
      </c>
      <c r="M18" s="13">
        <f t="shared" si="2"/>
        <v>10556.231840506074</v>
      </c>
      <c r="N18" s="151"/>
      <c r="O18" s="141"/>
      <c r="P18" s="141"/>
      <c r="Q18" s="141"/>
      <c r="R18" s="250"/>
      <c r="S18" s="251"/>
    </row>
    <row r="19" spans="1:19" x14ac:dyDescent="0.2">
      <c r="A19" s="20">
        <v>11161</v>
      </c>
      <c r="B19" s="19" t="s">
        <v>59</v>
      </c>
      <c r="C19" s="58">
        <f t="shared" si="1"/>
        <v>3563502.9631474647</v>
      </c>
      <c r="D19" s="15">
        <f t="shared" si="2"/>
        <v>671926.35211053689</v>
      </c>
      <c r="E19" s="14">
        <f t="shared" si="2"/>
        <v>170669.29343607638</v>
      </c>
      <c r="F19" s="14">
        <f t="shared" si="2"/>
        <v>258645.43424497164</v>
      </c>
      <c r="G19" s="13">
        <f t="shared" si="2"/>
        <v>1357178.3024646174</v>
      </c>
      <c r="H19" s="15">
        <f t="shared" si="2"/>
        <v>128900.15734365402</v>
      </c>
      <c r="I19" s="13">
        <f t="shared" si="2"/>
        <v>12422.167854144382</v>
      </c>
      <c r="J19" s="16">
        <f t="shared" si="2"/>
        <v>83631.841760888929</v>
      </c>
      <c r="K19" s="15">
        <f t="shared" si="2"/>
        <v>331365.36068068264</v>
      </c>
      <c r="L19" s="14">
        <f t="shared" si="2"/>
        <v>307876.17055648234</v>
      </c>
      <c r="M19" s="13">
        <f t="shared" si="2"/>
        <v>240887.88269541023</v>
      </c>
      <c r="N19" s="151"/>
      <c r="O19" s="141"/>
      <c r="P19" s="141"/>
      <c r="Q19" s="141"/>
      <c r="R19" s="250"/>
      <c r="S19" s="251"/>
    </row>
    <row r="20" spans="1:19" x14ac:dyDescent="0.2">
      <c r="A20" s="20">
        <v>3639</v>
      </c>
      <c r="B20" s="19" t="s">
        <v>58</v>
      </c>
      <c r="C20" s="58">
        <f t="shared" si="1"/>
        <v>2228217.7452706662</v>
      </c>
      <c r="D20" s="15">
        <f t="shared" si="2"/>
        <v>368631.86424311571</v>
      </c>
      <c r="E20" s="14">
        <f t="shared" si="2"/>
        <v>74156.443356906791</v>
      </c>
      <c r="F20" s="14">
        <f t="shared" si="2"/>
        <v>216333.25366380031</v>
      </c>
      <c r="G20" s="13">
        <f t="shared" si="2"/>
        <v>853477.14193313639</v>
      </c>
      <c r="H20" s="15">
        <f t="shared" si="2"/>
        <v>125834.94709393011</v>
      </c>
      <c r="I20" s="13">
        <f t="shared" si="2"/>
        <v>8066.3427624314163</v>
      </c>
      <c r="J20" s="16">
        <f t="shared" si="2"/>
        <v>50204.917353373145</v>
      </c>
      <c r="K20" s="15">
        <f t="shared" si="2"/>
        <v>198001.82700848317</v>
      </c>
      <c r="L20" s="14">
        <f t="shared" si="2"/>
        <v>180293.51586402539</v>
      </c>
      <c r="M20" s="13">
        <f t="shared" si="2"/>
        <v>153217.49199146393</v>
      </c>
      <c r="N20" s="151"/>
      <c r="O20" s="141"/>
      <c r="P20" s="141"/>
      <c r="Q20" s="141"/>
      <c r="R20" s="250"/>
      <c r="S20" s="251"/>
    </row>
    <row r="21" spans="1:19" x14ac:dyDescent="0.2">
      <c r="A21" s="78">
        <v>103639</v>
      </c>
      <c r="B21" s="19" t="s">
        <v>57</v>
      </c>
      <c r="C21" s="58">
        <f t="shared" si="1"/>
        <v>1529430.8658448018</v>
      </c>
      <c r="D21" s="15">
        <f t="shared" si="2"/>
        <v>286646.00389228016</v>
      </c>
      <c r="E21" s="14">
        <f t="shared" si="2"/>
        <v>57663.62111633036</v>
      </c>
      <c r="F21" s="14">
        <f t="shared" si="2"/>
        <v>507262.24498020386</v>
      </c>
      <c r="G21" s="13">
        <f t="shared" si="2"/>
        <v>500458.23359080992</v>
      </c>
      <c r="H21" s="15">
        <f t="shared" si="2"/>
        <v>2438.8485867182089</v>
      </c>
      <c r="I21" s="13">
        <f t="shared" si="2"/>
        <v>975.53943468728357</v>
      </c>
      <c r="J21" s="16">
        <f t="shared" si="2"/>
        <v>38267.160224666506</v>
      </c>
      <c r="K21" s="15">
        <f t="shared" si="2"/>
        <v>118636.43458502578</v>
      </c>
      <c r="L21" s="14">
        <f t="shared" si="2"/>
        <v>16345.705194538043</v>
      </c>
      <c r="M21" s="13">
        <f t="shared" si="2"/>
        <v>737.07423954150318</v>
      </c>
      <c r="N21" s="151"/>
      <c r="O21" s="141"/>
      <c r="P21" s="141"/>
      <c r="Q21" s="141"/>
      <c r="R21" s="250"/>
      <c r="S21" s="251"/>
    </row>
    <row r="22" spans="1:19" x14ac:dyDescent="0.2">
      <c r="A22" s="20">
        <v>9651</v>
      </c>
      <c r="B22" s="19" t="s">
        <v>56</v>
      </c>
      <c r="C22" s="58">
        <f t="shared" si="1"/>
        <v>2104179.9742030958</v>
      </c>
      <c r="D22" s="15">
        <f t="shared" ref="D22:M37" si="3">D65*$O65*$C$44</f>
        <v>382183.32008400053</v>
      </c>
      <c r="E22" s="14">
        <f t="shared" si="3"/>
        <v>90450.052419880114</v>
      </c>
      <c r="F22" s="14">
        <f t="shared" si="3"/>
        <v>233837.07787812073</v>
      </c>
      <c r="G22" s="13">
        <f t="shared" si="3"/>
        <v>705884.04187182325</v>
      </c>
      <c r="H22" s="15">
        <f t="shared" si="3"/>
        <v>55980.418771274031</v>
      </c>
      <c r="I22" s="13">
        <f t="shared" si="3"/>
        <v>10808.899301658097</v>
      </c>
      <c r="J22" s="16">
        <f t="shared" si="3"/>
        <v>55186.690643450776</v>
      </c>
      <c r="K22" s="15">
        <f t="shared" si="3"/>
        <v>226933.10971640388</v>
      </c>
      <c r="L22" s="14">
        <f t="shared" si="3"/>
        <v>213010.60210844723</v>
      </c>
      <c r="M22" s="13">
        <f t="shared" si="3"/>
        <v>129905.76140803719</v>
      </c>
      <c r="N22" s="151"/>
      <c r="O22" s="141"/>
      <c r="P22" s="141"/>
      <c r="Q22" s="141"/>
      <c r="R22" s="250"/>
      <c r="S22" s="251"/>
    </row>
    <row r="23" spans="1:19" x14ac:dyDescent="0.2">
      <c r="A23" s="20">
        <v>3665</v>
      </c>
      <c r="B23" s="19" t="s">
        <v>55</v>
      </c>
      <c r="C23" s="58">
        <f t="shared" si="1"/>
        <v>3158713.6504147779</v>
      </c>
      <c r="D23" s="15">
        <f t="shared" si="3"/>
        <v>607718.26372158295</v>
      </c>
      <c r="E23" s="14">
        <f t="shared" si="3"/>
        <v>143016.36472914586</v>
      </c>
      <c r="F23" s="14">
        <f t="shared" si="3"/>
        <v>280560.16853182623</v>
      </c>
      <c r="G23" s="13">
        <f t="shared" si="3"/>
        <v>1211682.4515215387</v>
      </c>
      <c r="H23" s="15">
        <f t="shared" si="3"/>
        <v>92762.941767961282</v>
      </c>
      <c r="I23" s="13">
        <f t="shared" si="3"/>
        <v>29361.487655250359</v>
      </c>
      <c r="J23" s="16">
        <f t="shared" si="3"/>
        <v>68867.207968534465</v>
      </c>
      <c r="K23" s="15">
        <f t="shared" si="3"/>
        <v>289043.94898712577</v>
      </c>
      <c r="L23" s="14">
        <f t="shared" si="3"/>
        <v>254326.40973762097</v>
      </c>
      <c r="M23" s="13">
        <f t="shared" si="3"/>
        <v>181374.40579419123</v>
      </c>
      <c r="N23" s="151"/>
      <c r="O23" s="141"/>
      <c r="P23" s="141"/>
      <c r="Q23" s="141"/>
      <c r="R23" s="250"/>
      <c r="S23" s="251"/>
    </row>
    <row r="24" spans="1:19" x14ac:dyDescent="0.2">
      <c r="A24" s="20">
        <v>3565</v>
      </c>
      <c r="B24" s="19" t="s">
        <v>54</v>
      </c>
      <c r="C24" s="58">
        <f t="shared" si="1"/>
        <v>3152161.8194029699</v>
      </c>
      <c r="D24" s="15">
        <f t="shared" si="3"/>
        <v>640951.59590280033</v>
      </c>
      <c r="E24" s="14">
        <f t="shared" si="3"/>
        <v>141009.35109861605</v>
      </c>
      <c r="F24" s="14">
        <f t="shared" si="3"/>
        <v>341151.06895717833</v>
      </c>
      <c r="G24" s="13">
        <f t="shared" si="3"/>
        <v>1210835.485531487</v>
      </c>
      <c r="H24" s="15">
        <f t="shared" si="3"/>
        <v>35330.581299449608</v>
      </c>
      <c r="I24" s="13">
        <f t="shared" si="3"/>
        <v>35975.888720444113</v>
      </c>
      <c r="J24" s="16">
        <f t="shared" si="3"/>
        <v>78934.003736048864</v>
      </c>
      <c r="K24" s="15">
        <f t="shared" si="3"/>
        <v>305391.73698565346</v>
      </c>
      <c r="L24" s="14">
        <f t="shared" si="3"/>
        <v>238527.1330469386</v>
      </c>
      <c r="M24" s="13">
        <f t="shared" si="3"/>
        <v>124054.97412435357</v>
      </c>
      <c r="N24" s="151"/>
      <c r="O24" s="141"/>
      <c r="P24" s="141"/>
      <c r="Q24" s="141"/>
      <c r="R24" s="250"/>
      <c r="S24" s="251"/>
    </row>
    <row r="25" spans="1:19" x14ac:dyDescent="0.2">
      <c r="A25" s="20">
        <v>29269</v>
      </c>
      <c r="B25" s="19" t="s">
        <v>53</v>
      </c>
      <c r="C25" s="58">
        <f t="shared" si="1"/>
        <v>1287945.5798692303</v>
      </c>
      <c r="D25" s="15">
        <f t="shared" si="3"/>
        <v>189391.21831496191</v>
      </c>
      <c r="E25" s="14">
        <f t="shared" si="3"/>
        <v>51327.466327227601</v>
      </c>
      <c r="F25" s="14">
        <f t="shared" si="3"/>
        <v>531003.4158363418</v>
      </c>
      <c r="G25" s="13">
        <f t="shared" si="3"/>
        <v>339649.49897481495</v>
      </c>
      <c r="H25" s="15">
        <f t="shared" si="3"/>
        <v>22829.221108360882</v>
      </c>
      <c r="I25" s="13">
        <f t="shared" si="3"/>
        <v>10592.75859427945</v>
      </c>
      <c r="J25" s="16">
        <f t="shared" si="3"/>
        <v>20951.745964409289</v>
      </c>
      <c r="K25" s="15">
        <f t="shared" si="3"/>
        <v>79019.543996406486</v>
      </c>
      <c r="L25" s="14">
        <f t="shared" si="3"/>
        <v>42973.725814378529</v>
      </c>
      <c r="M25" s="13">
        <f t="shared" si="3"/>
        <v>206.98493804913869</v>
      </c>
      <c r="N25" s="151"/>
      <c r="O25" s="141"/>
      <c r="P25" s="141"/>
      <c r="Q25" s="141"/>
      <c r="R25" s="250"/>
      <c r="S25" s="251"/>
    </row>
    <row r="26" spans="1:19" x14ac:dyDescent="0.2">
      <c r="A26" s="20">
        <v>3652</v>
      </c>
      <c r="B26" s="19" t="s">
        <v>52</v>
      </c>
      <c r="C26" s="58">
        <f t="shared" si="1"/>
        <v>16731400.979770543</v>
      </c>
      <c r="D26" s="15">
        <f t="shared" si="3"/>
        <v>3470636.1220373958</v>
      </c>
      <c r="E26" s="14">
        <f t="shared" si="3"/>
        <v>1240945.2267462597</v>
      </c>
      <c r="F26" s="14">
        <f t="shared" si="3"/>
        <v>486130.69645008422</v>
      </c>
      <c r="G26" s="13">
        <f t="shared" si="3"/>
        <v>7201919.3765814416</v>
      </c>
      <c r="H26" s="15">
        <f t="shared" si="3"/>
        <v>501672.10158372653</v>
      </c>
      <c r="I26" s="13">
        <f t="shared" si="3"/>
        <v>42656.877022949157</v>
      </c>
      <c r="J26" s="16">
        <f t="shared" si="3"/>
        <v>367357.39454912557</v>
      </c>
      <c r="K26" s="15">
        <f t="shared" si="3"/>
        <v>1207469.4609639738</v>
      </c>
      <c r="L26" s="14">
        <f t="shared" si="3"/>
        <v>1162014.1717959018</v>
      </c>
      <c r="M26" s="13">
        <f t="shared" si="3"/>
        <v>1050599.552039685</v>
      </c>
      <c r="N26" s="151"/>
      <c r="O26" s="141"/>
      <c r="P26" s="141"/>
      <c r="Q26" s="141"/>
      <c r="R26" s="250"/>
      <c r="S26" s="251"/>
    </row>
    <row r="27" spans="1:19" x14ac:dyDescent="0.2">
      <c r="A27" s="20">
        <v>11711</v>
      </c>
      <c r="B27" s="19" t="s">
        <v>51</v>
      </c>
      <c r="C27" s="58">
        <f t="shared" si="1"/>
        <v>2867032.0684215981</v>
      </c>
      <c r="D27" s="15">
        <f t="shared" si="3"/>
        <v>576259.52694810042</v>
      </c>
      <c r="E27" s="14">
        <f t="shared" si="3"/>
        <v>149874.91017336774</v>
      </c>
      <c r="F27" s="14">
        <f t="shared" si="3"/>
        <v>480273.19372415467</v>
      </c>
      <c r="G27" s="13">
        <f t="shared" si="3"/>
        <v>1104905.0458381302</v>
      </c>
      <c r="H27" s="15">
        <f t="shared" si="3"/>
        <v>51624.593679561069</v>
      </c>
      <c r="I27" s="13">
        <f t="shared" si="3"/>
        <v>4033.1713812157082</v>
      </c>
      <c r="J27" s="16">
        <f t="shared" si="3"/>
        <v>59961.965558810174</v>
      </c>
      <c r="K27" s="15">
        <f t="shared" si="3"/>
        <v>224459.4312692582</v>
      </c>
      <c r="L27" s="14">
        <f t="shared" si="3"/>
        <v>200007.65757540779</v>
      </c>
      <c r="M27" s="13">
        <f t="shared" si="3"/>
        <v>15632.572273592086</v>
      </c>
      <c r="N27" s="151"/>
      <c r="O27" s="141"/>
      <c r="P27" s="141"/>
      <c r="Q27" s="141"/>
      <c r="R27" s="250"/>
      <c r="S27" s="251"/>
    </row>
    <row r="28" spans="1:19" x14ac:dyDescent="0.2">
      <c r="A28" s="20">
        <v>12826</v>
      </c>
      <c r="B28" s="19" t="s">
        <v>50</v>
      </c>
      <c r="C28" s="58">
        <f t="shared" si="1"/>
        <v>4981815.259947774</v>
      </c>
      <c r="D28" s="15">
        <f t="shared" si="3"/>
        <v>1162030.0566183361</v>
      </c>
      <c r="E28" s="14">
        <f t="shared" si="3"/>
        <v>110392.85537874195</v>
      </c>
      <c r="F28" s="14">
        <f t="shared" si="3"/>
        <v>363791.23798403458</v>
      </c>
      <c r="G28" s="13">
        <f t="shared" si="3"/>
        <v>2083418.923185213</v>
      </c>
      <c r="H28" s="15">
        <f t="shared" si="3"/>
        <v>63247.473348892221</v>
      </c>
      <c r="I28" s="13">
        <f t="shared" si="3"/>
        <v>812.94952890606976</v>
      </c>
      <c r="J28" s="16">
        <f t="shared" si="3"/>
        <v>131190.54317674591</v>
      </c>
      <c r="K28" s="15">
        <f t="shared" si="3"/>
        <v>504895.85408592975</v>
      </c>
      <c r="L28" s="14">
        <f t="shared" si="3"/>
        <v>394903.78282493842</v>
      </c>
      <c r="M28" s="13">
        <f t="shared" si="3"/>
        <v>167131.58381603585</v>
      </c>
      <c r="N28" s="151"/>
      <c r="O28" s="141"/>
      <c r="P28" s="141"/>
      <c r="Q28" s="141"/>
      <c r="R28" s="250"/>
      <c r="S28" s="251"/>
    </row>
    <row r="29" spans="1:19" x14ac:dyDescent="0.2">
      <c r="A29" s="20">
        <v>13231</v>
      </c>
      <c r="B29" s="19" t="s">
        <v>49</v>
      </c>
      <c r="C29" s="58">
        <f t="shared" si="1"/>
        <v>1841490.5436091656</v>
      </c>
      <c r="D29" s="15">
        <f t="shared" si="3"/>
        <v>315956.42013971461</v>
      </c>
      <c r="E29" s="14">
        <f t="shared" si="3"/>
        <v>82238.743162501007</v>
      </c>
      <c r="F29" s="14">
        <f t="shared" si="3"/>
        <v>549060.7875701735</v>
      </c>
      <c r="G29" s="13">
        <f t="shared" si="3"/>
        <v>594188.00898228574</v>
      </c>
      <c r="H29" s="15">
        <f t="shared" si="3"/>
        <v>59173.341112871414</v>
      </c>
      <c r="I29" s="13">
        <f t="shared" si="3"/>
        <v>4017.942915071515</v>
      </c>
      <c r="J29" s="16">
        <f t="shared" si="3"/>
        <v>33663.056277544631</v>
      </c>
      <c r="K29" s="15">
        <f t="shared" si="3"/>
        <v>130765.77850869116</v>
      </c>
      <c r="L29" s="14">
        <f t="shared" si="3"/>
        <v>70356.615559820464</v>
      </c>
      <c r="M29" s="13">
        <f t="shared" si="3"/>
        <v>2069.8493804913874</v>
      </c>
      <c r="N29" s="151"/>
      <c r="O29" s="141"/>
      <c r="P29" s="141"/>
      <c r="Q29" s="141"/>
      <c r="R29" s="250"/>
      <c r="S29" s="251"/>
    </row>
    <row r="30" spans="1:19" x14ac:dyDescent="0.2">
      <c r="A30" s="20">
        <v>3592</v>
      </c>
      <c r="B30" s="19" t="s">
        <v>48</v>
      </c>
      <c r="C30" s="58">
        <f t="shared" si="1"/>
        <v>2710234.8373190332</v>
      </c>
      <c r="D30" s="15">
        <f t="shared" si="3"/>
        <v>499306.6169945047</v>
      </c>
      <c r="E30" s="14">
        <f t="shared" si="3"/>
        <v>109681.02019979284</v>
      </c>
      <c r="F30" s="14">
        <f t="shared" si="3"/>
        <v>291870.79791058565</v>
      </c>
      <c r="G30" s="13">
        <f t="shared" si="3"/>
        <v>949569.86999342812</v>
      </c>
      <c r="H30" s="15">
        <f t="shared" si="3"/>
        <v>161326.85524862833</v>
      </c>
      <c r="I30" s="13">
        <f t="shared" si="3"/>
        <v>7259.7084861882749</v>
      </c>
      <c r="J30" s="16">
        <f t="shared" si="3"/>
        <v>53457.266755185483</v>
      </c>
      <c r="K30" s="15">
        <f t="shared" si="3"/>
        <v>231988.01784752755</v>
      </c>
      <c r="L30" s="14">
        <f t="shared" si="3"/>
        <v>219372.25776708484</v>
      </c>
      <c r="M30" s="13">
        <f t="shared" si="3"/>
        <v>186402.4261161068</v>
      </c>
      <c r="N30" s="151"/>
      <c r="O30" s="141"/>
      <c r="P30" s="141"/>
      <c r="Q30" s="141"/>
      <c r="R30" s="250"/>
      <c r="S30" s="251"/>
    </row>
    <row r="31" spans="1:19" x14ac:dyDescent="0.2">
      <c r="A31" s="20">
        <v>3594</v>
      </c>
      <c r="B31" s="19" t="s">
        <v>47</v>
      </c>
      <c r="C31" s="58">
        <f t="shared" si="1"/>
        <v>18160333.18280337</v>
      </c>
      <c r="D31" s="15">
        <f t="shared" si="3"/>
        <v>4095513.9907671935</v>
      </c>
      <c r="E31" s="14">
        <f t="shared" si="3"/>
        <v>1573587.4866747728</v>
      </c>
      <c r="F31" s="14">
        <f t="shared" si="3"/>
        <v>587370.3249230599</v>
      </c>
      <c r="G31" s="13">
        <f t="shared" si="3"/>
        <v>7767785.54011901</v>
      </c>
      <c r="H31" s="15">
        <f t="shared" si="3"/>
        <v>229167.26485733324</v>
      </c>
      <c r="I31" s="13">
        <f t="shared" si="3"/>
        <v>29496.776664805275</v>
      </c>
      <c r="J31" s="16">
        <f t="shared" si="3"/>
        <v>416040.68994297646</v>
      </c>
      <c r="K31" s="15">
        <f t="shared" si="3"/>
        <v>1249135.5488220281</v>
      </c>
      <c r="L31" s="14">
        <f t="shared" si="3"/>
        <v>1152212.1660119048</v>
      </c>
      <c r="M31" s="13">
        <f t="shared" si="3"/>
        <v>1060023.3940202866</v>
      </c>
      <c r="N31" s="151"/>
      <c r="O31" s="141"/>
      <c r="P31" s="141"/>
      <c r="Q31" s="141"/>
      <c r="R31" s="250"/>
      <c r="S31" s="251"/>
    </row>
    <row r="32" spans="1:19" x14ac:dyDescent="0.2">
      <c r="A32" s="78">
        <v>113594</v>
      </c>
      <c r="B32" s="19" t="s">
        <v>46</v>
      </c>
      <c r="C32" s="58">
        <f t="shared" si="1"/>
        <v>1197426.2577811438</v>
      </c>
      <c r="D32" s="15">
        <f t="shared" si="3"/>
        <v>189477.8991210559</v>
      </c>
      <c r="E32" s="14">
        <f t="shared" si="3"/>
        <v>54711.743371204888</v>
      </c>
      <c r="F32" s="14">
        <f t="shared" si="3"/>
        <v>500663.83998306055</v>
      </c>
      <c r="G32" s="13">
        <f t="shared" si="3"/>
        <v>331461.88320591819</v>
      </c>
      <c r="H32" s="15">
        <f t="shared" si="3"/>
        <v>5635.0304571317738</v>
      </c>
      <c r="I32" s="13">
        <f t="shared" si="3"/>
        <v>0</v>
      </c>
      <c r="J32" s="16">
        <f t="shared" si="3"/>
        <v>23178.758613668699</v>
      </c>
      <c r="K32" s="15">
        <f t="shared" si="3"/>
        <v>74820.682180805234</v>
      </c>
      <c r="L32" s="14">
        <f t="shared" si="3"/>
        <v>14549.335583066624</v>
      </c>
      <c r="M32" s="13">
        <f t="shared" si="3"/>
        <v>2927.0852652323388</v>
      </c>
      <c r="N32" s="151"/>
      <c r="O32" s="141"/>
      <c r="P32" s="141"/>
      <c r="Q32" s="141"/>
      <c r="R32" s="250"/>
      <c r="S32" s="251"/>
    </row>
    <row r="33" spans="1:19" x14ac:dyDescent="0.2">
      <c r="A33" s="20">
        <v>3624</v>
      </c>
      <c r="B33" s="19" t="s">
        <v>45</v>
      </c>
      <c r="C33" s="58">
        <f t="shared" si="1"/>
        <v>4753929.8919548029</v>
      </c>
      <c r="D33" s="15">
        <f t="shared" si="3"/>
        <v>930049.32050834235</v>
      </c>
      <c r="E33" s="14">
        <f t="shared" si="3"/>
        <v>257623.66178081083</v>
      </c>
      <c r="F33" s="14">
        <f t="shared" si="3"/>
        <v>245106.44389541866</v>
      </c>
      <c r="G33" s="13">
        <f t="shared" si="3"/>
        <v>1801248.2174905387</v>
      </c>
      <c r="H33" s="15">
        <f t="shared" si="3"/>
        <v>120027.18030497947</v>
      </c>
      <c r="I33" s="13">
        <f t="shared" si="3"/>
        <v>21617.798603316194</v>
      </c>
      <c r="J33" s="16">
        <f t="shared" si="3"/>
        <v>113083.67245507851</v>
      </c>
      <c r="K33" s="15">
        <f t="shared" si="3"/>
        <v>446767.83780186804</v>
      </c>
      <c r="L33" s="14">
        <f t="shared" si="3"/>
        <v>435179.19203317497</v>
      </c>
      <c r="M33" s="13">
        <f t="shared" si="3"/>
        <v>383226.56708127505</v>
      </c>
      <c r="N33" s="151"/>
      <c r="O33" s="141"/>
      <c r="P33" s="141"/>
      <c r="Q33" s="141"/>
      <c r="R33" s="250"/>
      <c r="S33" s="251"/>
    </row>
    <row r="34" spans="1:19" x14ac:dyDescent="0.2">
      <c r="A34" s="20">
        <v>3642</v>
      </c>
      <c r="B34" s="19" t="s">
        <v>44</v>
      </c>
      <c r="C34" s="58">
        <f t="shared" si="1"/>
        <v>2122934.5437316075</v>
      </c>
      <c r="D34" s="15">
        <f t="shared" si="3"/>
        <v>367018.5956906295</v>
      </c>
      <c r="E34" s="14">
        <f t="shared" si="3"/>
        <v>26364.169123776879</v>
      </c>
      <c r="F34" s="14">
        <f t="shared" si="3"/>
        <v>156491.25632071667</v>
      </c>
      <c r="G34" s="13">
        <f t="shared" si="3"/>
        <v>720479.28246616514</v>
      </c>
      <c r="H34" s="15">
        <f t="shared" si="3"/>
        <v>65014.722665197231</v>
      </c>
      <c r="I34" s="13">
        <f t="shared" si="3"/>
        <v>1451.9416972376548</v>
      </c>
      <c r="J34" s="16">
        <f t="shared" si="3"/>
        <v>51598.781382721289</v>
      </c>
      <c r="K34" s="15">
        <f t="shared" si="3"/>
        <v>264145.8376604208</v>
      </c>
      <c r="L34" s="14">
        <f t="shared" si="3"/>
        <v>237618.32509570467</v>
      </c>
      <c r="M34" s="13">
        <f t="shared" si="3"/>
        <v>232751.6316290377</v>
      </c>
      <c r="N34" s="151"/>
      <c r="O34" s="141"/>
      <c r="P34" s="141"/>
      <c r="Q34" s="141"/>
      <c r="R34" s="250"/>
      <c r="S34" s="251"/>
    </row>
    <row r="35" spans="1:19" x14ac:dyDescent="0.2">
      <c r="A35" s="20">
        <v>3644</v>
      </c>
      <c r="B35" s="19" t="s">
        <v>43</v>
      </c>
      <c r="C35" s="58">
        <f t="shared" si="1"/>
        <v>16304186.056280307</v>
      </c>
      <c r="D35" s="15">
        <f t="shared" si="3"/>
        <v>3181567.7107223039</v>
      </c>
      <c r="E35" s="14">
        <f t="shared" si="3"/>
        <v>1552605.0428324842</v>
      </c>
      <c r="F35" s="14">
        <f t="shared" si="3"/>
        <v>477875.98830866767</v>
      </c>
      <c r="G35" s="13">
        <f t="shared" si="3"/>
        <v>6894154.5468265507</v>
      </c>
      <c r="H35" s="15">
        <f t="shared" si="3"/>
        <v>495092.05140465463</v>
      </c>
      <c r="I35" s="13">
        <f t="shared" si="3"/>
        <v>39026.504510357743</v>
      </c>
      <c r="J35" s="16">
        <f t="shared" si="3"/>
        <v>302555.2451993688</v>
      </c>
      <c r="K35" s="15">
        <f t="shared" si="3"/>
        <v>1030057.6942392717</v>
      </c>
      <c r="L35" s="14">
        <f t="shared" si="3"/>
        <v>1077880.2888165955</v>
      </c>
      <c r="M35" s="13">
        <f t="shared" si="3"/>
        <v>1253370.9834200512</v>
      </c>
      <c r="N35" s="151"/>
      <c r="O35" s="141"/>
      <c r="P35" s="141"/>
      <c r="Q35" s="141"/>
      <c r="R35" s="250"/>
      <c r="S35" s="251"/>
    </row>
    <row r="36" spans="1:19" x14ac:dyDescent="0.2">
      <c r="A36" s="20">
        <v>3541</v>
      </c>
      <c r="B36" s="19" t="s">
        <v>42</v>
      </c>
      <c r="C36" s="58">
        <f t="shared" si="1"/>
        <v>2616947.2163094734</v>
      </c>
      <c r="D36" s="15">
        <f t="shared" si="3"/>
        <v>479786.06750942068</v>
      </c>
      <c r="E36" s="14">
        <f t="shared" si="3"/>
        <v>103074.04016994053</v>
      </c>
      <c r="F36" s="14">
        <f t="shared" si="3"/>
        <v>245689.1129163093</v>
      </c>
      <c r="G36" s="13">
        <f t="shared" si="3"/>
        <v>956998.97167762811</v>
      </c>
      <c r="H36" s="15">
        <f t="shared" si="3"/>
        <v>123092.39055470341</v>
      </c>
      <c r="I36" s="13">
        <f t="shared" si="3"/>
        <v>9356.9576044204441</v>
      </c>
      <c r="J36" s="16">
        <f t="shared" si="3"/>
        <v>55986.871845483984</v>
      </c>
      <c r="K36" s="15">
        <f t="shared" si="3"/>
        <v>232095.56908436</v>
      </c>
      <c r="L36" s="14">
        <f t="shared" si="3"/>
        <v>216785.6505212652</v>
      </c>
      <c r="M36" s="13">
        <f t="shared" si="3"/>
        <v>194081.58442594152</v>
      </c>
      <c r="N36" s="151"/>
      <c r="O36" s="141"/>
      <c r="P36" s="141"/>
      <c r="Q36" s="141"/>
      <c r="R36" s="250"/>
      <c r="S36" s="251"/>
    </row>
    <row r="37" spans="1:19" x14ac:dyDescent="0.2">
      <c r="A37" s="20">
        <v>3646</v>
      </c>
      <c r="B37" s="19" t="s">
        <v>41</v>
      </c>
      <c r="C37" s="58">
        <f t="shared" si="1"/>
        <v>4639588.6520146886</v>
      </c>
      <c r="D37" s="15">
        <f t="shared" si="3"/>
        <v>942951.70161034318</v>
      </c>
      <c r="E37" s="14">
        <f t="shared" si="3"/>
        <v>246896.18720497491</v>
      </c>
      <c r="F37" s="14">
        <f t="shared" si="3"/>
        <v>359553.90977149934</v>
      </c>
      <c r="G37" s="13">
        <f t="shared" si="3"/>
        <v>1802456.180560828</v>
      </c>
      <c r="H37" s="15">
        <f t="shared" si="3"/>
        <v>297261.25993917801</v>
      </c>
      <c r="I37" s="13">
        <f t="shared" si="3"/>
        <v>16533.852279989409</v>
      </c>
      <c r="J37" s="16">
        <f t="shared" si="3"/>
        <v>104173.71179695221</v>
      </c>
      <c r="K37" s="15">
        <f t="shared" si="3"/>
        <v>382193.04849322891</v>
      </c>
      <c r="L37" s="14">
        <f t="shared" si="3"/>
        <v>292393.92588201619</v>
      </c>
      <c r="M37" s="13">
        <f t="shared" si="3"/>
        <v>195174.87447567846</v>
      </c>
      <c r="N37" s="151"/>
      <c r="O37" s="141"/>
      <c r="P37" s="141"/>
      <c r="Q37" s="141"/>
      <c r="R37" s="250"/>
      <c r="S37" s="251"/>
    </row>
    <row r="38" spans="1:19" x14ac:dyDescent="0.2">
      <c r="A38" s="20">
        <v>3581</v>
      </c>
      <c r="B38" s="19" t="s">
        <v>40</v>
      </c>
      <c r="C38" s="58">
        <f t="shared" si="1"/>
        <v>3457954.6743941233</v>
      </c>
      <c r="D38" s="15">
        <f t="shared" ref="D38:M42" si="4">D81*$O81*$C$44</f>
        <v>646275.38212600502</v>
      </c>
      <c r="E38" s="14">
        <f t="shared" si="4"/>
        <v>113205.90443573856</v>
      </c>
      <c r="F38" s="14">
        <f t="shared" si="4"/>
        <v>222085.72503092923</v>
      </c>
      <c r="G38" s="13">
        <f t="shared" si="4"/>
        <v>1299439.4209711344</v>
      </c>
      <c r="H38" s="15">
        <f t="shared" si="4"/>
        <v>159713.58669614204</v>
      </c>
      <c r="I38" s="13">
        <f t="shared" si="4"/>
        <v>8227.6696176800451</v>
      </c>
      <c r="J38" s="16">
        <f t="shared" si="4"/>
        <v>73461.796806015394</v>
      </c>
      <c r="K38" s="15">
        <f t="shared" si="4"/>
        <v>345992.32888989156</v>
      </c>
      <c r="L38" s="14">
        <f t="shared" si="4"/>
        <v>312280.39370476984</v>
      </c>
      <c r="M38" s="13">
        <f t="shared" si="4"/>
        <v>277272.46611581754</v>
      </c>
      <c r="N38" s="151"/>
      <c r="O38" s="141"/>
      <c r="P38" s="141"/>
      <c r="Q38" s="141"/>
      <c r="R38" s="250"/>
      <c r="S38" s="251"/>
    </row>
    <row r="39" spans="1:19" x14ac:dyDescent="0.2">
      <c r="A39" s="20">
        <v>3606</v>
      </c>
      <c r="B39" s="19" t="s">
        <v>39</v>
      </c>
      <c r="C39" s="58">
        <f t="shared" si="1"/>
        <v>7063171.0877823299</v>
      </c>
      <c r="D39" s="15">
        <f t="shared" si="4"/>
        <v>1489530.8545105853</v>
      </c>
      <c r="E39" s="14">
        <f t="shared" si="4"/>
        <v>436929.05065643834</v>
      </c>
      <c r="F39" s="14">
        <f t="shared" si="4"/>
        <v>296143.52464343933</v>
      </c>
      <c r="G39" s="13">
        <f t="shared" si="4"/>
        <v>2825031.667435497</v>
      </c>
      <c r="H39" s="15">
        <f t="shared" si="4"/>
        <v>80824.754479562805</v>
      </c>
      <c r="I39" s="13">
        <f t="shared" si="4"/>
        <v>29522.814510498989</v>
      </c>
      <c r="J39" s="16">
        <f t="shared" si="4"/>
        <v>171419.46331298252</v>
      </c>
      <c r="K39" s="15">
        <f t="shared" si="4"/>
        <v>628260.54995657504</v>
      </c>
      <c r="L39" s="14">
        <f t="shared" si="4"/>
        <v>621904.27185977891</v>
      </c>
      <c r="M39" s="13">
        <f t="shared" si="4"/>
        <v>483604.13641697151</v>
      </c>
      <c r="N39" s="151"/>
      <c r="O39" s="141"/>
      <c r="P39" s="141"/>
      <c r="Q39" s="141"/>
      <c r="R39" s="250"/>
      <c r="S39" s="251"/>
    </row>
    <row r="40" spans="1:19" x14ac:dyDescent="0.2">
      <c r="A40" s="20">
        <v>3615</v>
      </c>
      <c r="B40" s="19" t="s">
        <v>95</v>
      </c>
      <c r="C40" s="58">
        <f t="shared" si="1"/>
        <v>12074896.496688385</v>
      </c>
      <c r="D40" s="15">
        <f t="shared" si="4"/>
        <v>2594619.8129636892</v>
      </c>
      <c r="E40" s="14">
        <f t="shared" si="4"/>
        <v>1094929.5610706771</v>
      </c>
      <c r="F40" s="14">
        <f t="shared" si="4"/>
        <v>377616.02000329259</v>
      </c>
      <c r="G40" s="13">
        <f t="shared" si="4"/>
        <v>5051455.198664872</v>
      </c>
      <c r="H40" s="15">
        <f t="shared" si="4"/>
        <v>236505.16979448913</v>
      </c>
      <c r="I40" s="13">
        <f t="shared" si="4"/>
        <v>32265.371049725665</v>
      </c>
      <c r="J40" s="16">
        <f t="shared" si="4"/>
        <v>284606.38495542016</v>
      </c>
      <c r="K40" s="15">
        <f t="shared" si="4"/>
        <v>843615.7690279691</v>
      </c>
      <c r="L40" s="14">
        <f t="shared" si="4"/>
        <v>810038.27288888767</v>
      </c>
      <c r="M40" s="13">
        <f t="shared" si="4"/>
        <v>749244.93626936304</v>
      </c>
      <c r="N40" s="151"/>
      <c r="O40" s="141"/>
      <c r="P40" s="141"/>
      <c r="Q40" s="141"/>
      <c r="R40" s="250"/>
      <c r="S40" s="251"/>
    </row>
    <row r="41" spans="1:19" x14ac:dyDescent="0.2">
      <c r="A41" s="20">
        <v>3625</v>
      </c>
      <c r="B41" s="19" t="s">
        <v>38</v>
      </c>
      <c r="C41" s="58">
        <f t="shared" si="1"/>
        <v>630985.98847278638</v>
      </c>
      <c r="D41" s="15">
        <f t="shared" si="4"/>
        <v>91633.653781220899</v>
      </c>
      <c r="E41" s="14">
        <f t="shared" si="4"/>
        <v>13790.864894073744</v>
      </c>
      <c r="F41" s="14">
        <f t="shared" si="4"/>
        <v>187770.46047225647</v>
      </c>
      <c r="G41" s="13">
        <f t="shared" si="4"/>
        <v>190848.05649057464</v>
      </c>
      <c r="H41" s="15">
        <f t="shared" si="4"/>
        <v>6130.420499447876</v>
      </c>
      <c r="I41" s="13">
        <f t="shared" si="4"/>
        <v>3065.210249723938</v>
      </c>
      <c r="J41" s="16">
        <f t="shared" si="4"/>
        <v>12622.213154652682</v>
      </c>
      <c r="K41" s="15">
        <f t="shared" si="4"/>
        <v>48398.056574588503</v>
      </c>
      <c r="L41" s="14">
        <f t="shared" si="4"/>
        <v>40616.724589762998</v>
      </c>
      <c r="M41" s="13">
        <f t="shared" si="4"/>
        <v>36110.327766484646</v>
      </c>
      <c r="N41" s="151"/>
      <c r="O41" s="141"/>
      <c r="P41" s="141"/>
      <c r="Q41" s="141"/>
      <c r="R41" s="250"/>
      <c r="S41" s="251"/>
    </row>
    <row r="42" spans="1:19" x14ac:dyDescent="0.2">
      <c r="A42" s="20">
        <v>20</v>
      </c>
      <c r="B42" s="19" t="s">
        <v>37</v>
      </c>
      <c r="C42" s="77">
        <f t="shared" si="1"/>
        <v>749091.19203225337</v>
      </c>
      <c r="D42" s="15">
        <f t="shared" si="4"/>
        <v>78856.104303888758</v>
      </c>
      <c r="E42" s="14">
        <f t="shared" si="4"/>
        <v>12527.383948103361</v>
      </c>
      <c r="F42" s="14">
        <f t="shared" si="4"/>
        <v>446265.49294167146</v>
      </c>
      <c r="G42" s="13">
        <f t="shared" si="4"/>
        <v>136170.67199082437</v>
      </c>
      <c r="H42" s="15">
        <f t="shared" si="4"/>
        <v>3089.2082098430647</v>
      </c>
      <c r="I42" s="13">
        <f t="shared" si="4"/>
        <v>2764.0283982806368</v>
      </c>
      <c r="J42" s="16">
        <f t="shared" si="4"/>
        <v>11238.214287597508</v>
      </c>
      <c r="K42" s="15">
        <f t="shared" si="4"/>
        <v>37395.678329679205</v>
      </c>
      <c r="L42" s="14">
        <f t="shared" si="4"/>
        <v>19586.66398311024</v>
      </c>
      <c r="M42" s="13">
        <f t="shared" si="4"/>
        <v>1197.7456392549429</v>
      </c>
      <c r="N42" s="151"/>
      <c r="O42" s="141"/>
      <c r="P42" s="141"/>
      <c r="Q42" s="141"/>
      <c r="R42" s="250"/>
      <c r="S42" s="251"/>
    </row>
    <row r="43" spans="1:19" ht="13.5" thickBot="1" x14ac:dyDescent="0.25">
      <c r="A43" s="12"/>
      <c r="B43" s="11" t="s">
        <v>11</v>
      </c>
      <c r="C43" s="75">
        <f t="shared" ref="C43:M43" si="5">SUM(C5:C42)</f>
        <v>235000000.00000006</v>
      </c>
      <c r="D43" s="75">
        <f t="shared" si="5"/>
        <v>45334958.155742966</v>
      </c>
      <c r="E43" s="74">
        <f t="shared" si="5"/>
        <v>20256655.728248805</v>
      </c>
      <c r="F43" s="74">
        <f t="shared" si="5"/>
        <v>15142681.065356186</v>
      </c>
      <c r="G43" s="73">
        <f t="shared" si="5"/>
        <v>92669337.814735129</v>
      </c>
      <c r="H43" s="75">
        <f t="shared" si="5"/>
        <v>7464162.6158913868</v>
      </c>
      <c r="I43" s="73">
        <f t="shared" si="5"/>
        <v>627759.32997737918</v>
      </c>
      <c r="J43" s="76">
        <f t="shared" si="5"/>
        <v>4692554.4797468456</v>
      </c>
      <c r="K43" s="75">
        <f t="shared" si="5"/>
        <v>17602722.412063509</v>
      </c>
      <c r="L43" s="74">
        <f t="shared" si="5"/>
        <v>16342865.921030253</v>
      </c>
      <c r="M43" s="73">
        <f t="shared" si="5"/>
        <v>14866302.477207536</v>
      </c>
      <c r="N43" s="151"/>
      <c r="O43" s="255"/>
      <c r="P43" s="255"/>
      <c r="Q43" s="255"/>
      <c r="R43" s="250"/>
      <c r="S43" s="252"/>
    </row>
    <row r="44" spans="1:19" ht="13.5" thickBot="1" x14ac:dyDescent="0.25">
      <c r="A44" s="72"/>
      <c r="C44" s="104">
        <f>235000000/P86</f>
        <v>2.5155849106101573E-2</v>
      </c>
      <c r="D44" s="71" t="s">
        <v>80</v>
      </c>
      <c r="E44" s="70"/>
      <c r="F44" s="70"/>
      <c r="G44" s="70"/>
      <c r="H44" s="70"/>
      <c r="I44" s="70"/>
      <c r="J44" s="70"/>
      <c r="K44" s="70"/>
      <c r="L44" s="70"/>
      <c r="M44" s="70"/>
    </row>
    <row r="45" spans="1:19" ht="13.5" thickBot="1" x14ac:dyDescent="0.25">
      <c r="A45" s="69" t="s">
        <v>76</v>
      </c>
    </row>
    <row r="46" spans="1:19" ht="12.75" customHeight="1" outlineLevel="1" x14ac:dyDescent="0.2">
      <c r="A46" s="273" t="s">
        <v>24</v>
      </c>
      <c r="B46" s="275" t="s">
        <v>23</v>
      </c>
      <c r="C46" s="277" t="s">
        <v>36</v>
      </c>
      <c r="D46" s="279" t="s">
        <v>35</v>
      </c>
      <c r="E46" s="280"/>
      <c r="F46" s="280"/>
      <c r="G46" s="281"/>
      <c r="H46" s="282" t="s">
        <v>18</v>
      </c>
      <c r="I46" s="291" t="s">
        <v>17</v>
      </c>
      <c r="J46" s="293" t="s">
        <v>16</v>
      </c>
      <c r="K46" s="295" t="s">
        <v>34</v>
      </c>
      <c r="L46" s="296"/>
      <c r="M46" s="296"/>
      <c r="N46" s="308" t="s">
        <v>96</v>
      </c>
      <c r="O46" s="310" t="s">
        <v>97</v>
      </c>
      <c r="P46" s="289" t="s">
        <v>98</v>
      </c>
    </row>
    <row r="47" spans="1:19" ht="51.75" outlineLevel="1" thickBot="1" x14ac:dyDescent="0.25">
      <c r="A47" s="274"/>
      <c r="B47" s="276"/>
      <c r="C47" s="278"/>
      <c r="D47" s="68"/>
      <c r="E47" s="67" t="s">
        <v>33</v>
      </c>
      <c r="F47" s="67" t="s">
        <v>32</v>
      </c>
      <c r="G47" s="66" t="s">
        <v>31</v>
      </c>
      <c r="H47" s="283"/>
      <c r="I47" s="292"/>
      <c r="J47" s="294"/>
      <c r="K47" s="44" t="s">
        <v>14</v>
      </c>
      <c r="L47" s="43" t="s">
        <v>13</v>
      </c>
      <c r="M47" s="42" t="s">
        <v>12</v>
      </c>
      <c r="N47" s="309"/>
      <c r="O47" s="311"/>
      <c r="P47" s="290"/>
    </row>
    <row r="48" spans="1:19" outlineLevel="1" x14ac:dyDescent="0.2">
      <c r="A48" s="20">
        <f t="shared" ref="A48:B67" si="6">A5</f>
        <v>3656</v>
      </c>
      <c r="B48" s="19" t="str">
        <f t="shared" si="6"/>
        <v>UTA</v>
      </c>
      <c r="C48" s="58">
        <f t="shared" ref="C48:C85" si="7">SUM(D48:M48)</f>
        <v>7139.9578827804953</v>
      </c>
      <c r="D48" s="15">
        <f t="shared" ref="D48:M48" si="8">D90*D140</f>
        <v>1505.3999999999999</v>
      </c>
      <c r="E48" s="14">
        <f t="shared" si="8"/>
        <v>520.19933333333336</v>
      </c>
      <c r="F48" s="14">
        <f t="shared" si="8"/>
        <v>296.03788278048285</v>
      </c>
      <c r="G48" s="13">
        <f t="shared" si="8"/>
        <v>3125.5660000000134</v>
      </c>
      <c r="H48" s="36">
        <f t="shared" si="8"/>
        <v>459.4</v>
      </c>
      <c r="I48" s="35">
        <f t="shared" si="8"/>
        <v>10.5</v>
      </c>
      <c r="J48" s="34">
        <f t="shared" si="8"/>
        <v>149.56800000000001</v>
      </c>
      <c r="K48" s="36">
        <f t="shared" si="8"/>
        <v>478.54333333333335</v>
      </c>
      <c r="L48" s="59">
        <f t="shared" si="8"/>
        <v>345.03</v>
      </c>
      <c r="M48" s="35">
        <f t="shared" si="8"/>
        <v>249.71333333333337</v>
      </c>
      <c r="N48" s="99">
        <v>1</v>
      </c>
      <c r="O48" s="100">
        <v>90197.027768754284</v>
      </c>
      <c r="P48" s="58">
        <f>O48*C48</f>
        <v>644002979.42088842</v>
      </c>
    </row>
    <row r="49" spans="1:16" outlineLevel="1" x14ac:dyDescent="0.2">
      <c r="A49" s="20">
        <f t="shared" si="6"/>
        <v>3658</v>
      </c>
      <c r="B49" s="19" t="str">
        <f t="shared" si="6"/>
        <v>UT</v>
      </c>
      <c r="C49" s="58">
        <f t="shared" si="7"/>
        <v>10821.842734097498</v>
      </c>
      <c r="D49" s="15">
        <f t="shared" ref="D49:M49" si="9">D91*D141</f>
        <v>1789.2666666666669</v>
      </c>
      <c r="E49" s="14">
        <f t="shared" si="9"/>
        <v>1854.1275833333336</v>
      </c>
      <c r="F49" s="14">
        <f t="shared" si="9"/>
        <v>331.22115076405845</v>
      </c>
      <c r="G49" s="13">
        <f t="shared" si="9"/>
        <v>3879.6700000001038</v>
      </c>
      <c r="H49" s="15">
        <f t="shared" si="9"/>
        <v>375.26666666666665</v>
      </c>
      <c r="I49" s="13">
        <f t="shared" si="9"/>
        <v>13.200000000000001</v>
      </c>
      <c r="J49" s="16">
        <f t="shared" si="9"/>
        <v>111.0506666666667</v>
      </c>
      <c r="K49" s="15">
        <f t="shared" si="9"/>
        <v>671.88333333333344</v>
      </c>
      <c r="L49" s="14">
        <f t="shared" si="9"/>
        <v>810.50999999999988</v>
      </c>
      <c r="M49" s="13">
        <f t="shared" si="9"/>
        <v>985.64666666666676</v>
      </c>
      <c r="N49" s="87">
        <v>1</v>
      </c>
      <c r="O49" s="13">
        <v>90197.027768754284</v>
      </c>
      <c r="P49" s="58">
        <f t="shared" ref="P49:P85" si="10">O49*C49</f>
        <v>976098049.59648383</v>
      </c>
    </row>
    <row r="50" spans="1:16" outlineLevel="1" x14ac:dyDescent="0.2">
      <c r="A50" s="20">
        <f t="shared" si="6"/>
        <v>9741</v>
      </c>
      <c r="B50" s="19" t="str">
        <f t="shared" si="6"/>
        <v>UTD</v>
      </c>
      <c r="C50" s="58">
        <f t="shared" si="7"/>
        <v>3619.5850718330817</v>
      </c>
      <c r="D50" s="15">
        <f t="shared" ref="D50:M50" si="11">D92*D142</f>
        <v>717.9</v>
      </c>
      <c r="E50" s="14">
        <f t="shared" si="11"/>
        <v>336.45580000000001</v>
      </c>
      <c r="F50" s="14">
        <f t="shared" si="11"/>
        <v>268.29760516638265</v>
      </c>
      <c r="G50" s="13">
        <f t="shared" si="11"/>
        <v>1530.3610000000317</v>
      </c>
      <c r="H50" s="15">
        <f t="shared" si="11"/>
        <v>126.5</v>
      </c>
      <c r="I50" s="13">
        <f t="shared" si="11"/>
        <v>9.6</v>
      </c>
      <c r="J50" s="16">
        <f t="shared" si="11"/>
        <v>63.344000000000001</v>
      </c>
      <c r="K50" s="15">
        <f t="shared" si="11"/>
        <v>232.05</v>
      </c>
      <c r="L50" s="14">
        <f t="shared" si="11"/>
        <v>192.09</v>
      </c>
      <c r="M50" s="13">
        <f t="shared" si="11"/>
        <v>142.98666666666668</v>
      </c>
      <c r="N50" s="87">
        <v>1</v>
      </c>
      <c r="O50" s="13">
        <v>90197.027768754284</v>
      </c>
      <c r="P50" s="58">
        <f t="shared" si="10"/>
        <v>326475815.23549694</v>
      </c>
    </row>
    <row r="51" spans="1:16" outlineLevel="1" x14ac:dyDescent="0.2">
      <c r="A51" s="20">
        <f t="shared" si="6"/>
        <v>3661</v>
      </c>
      <c r="B51" s="19" t="str">
        <f t="shared" si="6"/>
        <v>UTEP</v>
      </c>
      <c r="C51" s="58">
        <f t="shared" si="7"/>
        <v>4496.9126120269448</v>
      </c>
      <c r="D51" s="15">
        <f t="shared" ref="D51:M51" si="12">D93*D143</f>
        <v>917.1</v>
      </c>
      <c r="E51" s="14">
        <f t="shared" si="12"/>
        <v>238.44599999999997</v>
      </c>
      <c r="F51" s="14">
        <f t="shared" si="12"/>
        <v>228.70894536023343</v>
      </c>
      <c r="G51" s="13">
        <f t="shared" si="12"/>
        <v>1889.4230000000439</v>
      </c>
      <c r="H51" s="15">
        <f t="shared" si="12"/>
        <v>196.5</v>
      </c>
      <c r="I51" s="13">
        <f t="shared" si="12"/>
        <v>27</v>
      </c>
      <c r="J51" s="16">
        <f t="shared" si="12"/>
        <v>118.28800000000001</v>
      </c>
      <c r="K51" s="15">
        <f t="shared" si="12"/>
        <v>305.38666666666671</v>
      </c>
      <c r="L51" s="14">
        <f t="shared" si="12"/>
        <v>302.21999999999997</v>
      </c>
      <c r="M51" s="13">
        <f t="shared" si="12"/>
        <v>273.84000000000003</v>
      </c>
      <c r="N51" s="87">
        <v>2</v>
      </c>
      <c r="O51" s="13">
        <v>69184.923785166247</v>
      </c>
      <c r="P51" s="58">
        <f t="shared" si="10"/>
        <v>311118556.33163702</v>
      </c>
    </row>
    <row r="52" spans="1:16" outlineLevel="1" x14ac:dyDescent="0.2">
      <c r="A52" s="20">
        <f t="shared" si="6"/>
        <v>3599</v>
      </c>
      <c r="B52" s="19" t="str">
        <f t="shared" si="6"/>
        <v>UTPA</v>
      </c>
      <c r="C52" s="58">
        <f t="shared" si="7"/>
        <v>4051.1806787462674</v>
      </c>
      <c r="D52" s="15">
        <f t="shared" ref="D52:M52" si="13">D94*D144</f>
        <v>774</v>
      </c>
      <c r="E52" s="14">
        <f t="shared" si="13"/>
        <v>166.797</v>
      </c>
      <c r="F52" s="14">
        <f t="shared" si="13"/>
        <v>153.69367874623376</v>
      </c>
      <c r="G52" s="13">
        <f t="shared" si="13"/>
        <v>1540.2500000000339</v>
      </c>
      <c r="H52" s="15">
        <f t="shared" si="13"/>
        <v>156.1</v>
      </c>
      <c r="I52" s="13">
        <f t="shared" si="13"/>
        <v>8.4</v>
      </c>
      <c r="J52" s="16">
        <f t="shared" si="13"/>
        <v>112.24000000000001</v>
      </c>
      <c r="K52" s="15">
        <f t="shared" si="13"/>
        <v>407.53333333333336</v>
      </c>
      <c r="L52" s="14">
        <f t="shared" si="13"/>
        <v>402.48</v>
      </c>
      <c r="M52" s="13">
        <f t="shared" si="13"/>
        <v>329.68666666666667</v>
      </c>
      <c r="N52" s="87">
        <v>3</v>
      </c>
      <c r="O52" s="13">
        <v>64130.952037511772</v>
      </c>
      <c r="P52" s="58">
        <f t="shared" si="10"/>
        <v>259806073.80397126</v>
      </c>
    </row>
    <row r="53" spans="1:16" outlineLevel="1" x14ac:dyDescent="0.2">
      <c r="A53" s="20">
        <f t="shared" si="6"/>
        <v>30646</v>
      </c>
      <c r="B53" s="19" t="str">
        <f t="shared" si="6"/>
        <v>UTB</v>
      </c>
      <c r="C53" s="58">
        <f t="shared" si="7"/>
        <v>1619.452911442484</v>
      </c>
      <c r="D53" s="15">
        <f t="shared" ref="D53:M53" si="14">D95*D145</f>
        <v>327.59999999999997</v>
      </c>
      <c r="E53" s="14">
        <f t="shared" si="14"/>
        <v>94.225638676953011</v>
      </c>
      <c r="F53" s="14">
        <f t="shared" si="14"/>
        <v>258.4592727655247</v>
      </c>
      <c r="G53" s="13">
        <f t="shared" si="14"/>
        <v>629.33800000000656</v>
      </c>
      <c r="H53" s="15">
        <f t="shared" si="14"/>
        <v>37.299999999999997</v>
      </c>
      <c r="I53" s="13">
        <f t="shared" si="14"/>
        <v>5.4999999999999991</v>
      </c>
      <c r="J53" s="16">
        <f t="shared" si="14"/>
        <v>44.96</v>
      </c>
      <c r="K53" s="15">
        <f t="shared" si="14"/>
        <v>132.63333333333333</v>
      </c>
      <c r="L53" s="14">
        <f t="shared" si="14"/>
        <v>72.323333333333338</v>
      </c>
      <c r="M53" s="13">
        <f t="shared" si="14"/>
        <v>17.113333333333337</v>
      </c>
      <c r="N53" s="87">
        <v>3</v>
      </c>
      <c r="O53" s="13">
        <v>64130.952037511772</v>
      </c>
      <c r="P53" s="58">
        <f t="shared" si="10"/>
        <v>103857056.99072674</v>
      </c>
    </row>
    <row r="54" spans="1:16" outlineLevel="1" x14ac:dyDescent="0.2">
      <c r="A54" s="20">
        <f t="shared" si="6"/>
        <v>9930</v>
      </c>
      <c r="B54" s="19" t="str">
        <f t="shared" si="6"/>
        <v>UTPB</v>
      </c>
      <c r="C54" s="58">
        <f t="shared" si="7"/>
        <v>879.48580982434612</v>
      </c>
      <c r="D54" s="15">
        <f t="shared" ref="D54:M54" si="15">D96*D146</f>
        <v>160</v>
      </c>
      <c r="E54" s="14">
        <f t="shared" si="15"/>
        <v>35.520000000000003</v>
      </c>
      <c r="F54" s="14">
        <f t="shared" si="15"/>
        <v>173.43880982434507</v>
      </c>
      <c r="G54" s="13">
        <f t="shared" si="15"/>
        <v>300.45500000000112</v>
      </c>
      <c r="H54" s="15">
        <f t="shared" si="15"/>
        <v>12.4</v>
      </c>
      <c r="I54" s="13">
        <f t="shared" si="15"/>
        <v>3</v>
      </c>
      <c r="J54" s="16">
        <f t="shared" si="15"/>
        <v>19.152000000000001</v>
      </c>
      <c r="K54" s="15">
        <f t="shared" si="15"/>
        <v>78.566666666666663</v>
      </c>
      <c r="L54" s="14">
        <f t="shared" si="15"/>
        <v>63.916666666666671</v>
      </c>
      <c r="M54" s="13">
        <f t="shared" si="15"/>
        <v>33.036666666666669</v>
      </c>
      <c r="N54" s="87">
        <v>3</v>
      </c>
      <c r="O54" s="13">
        <v>64130.952037511772</v>
      </c>
      <c r="P54" s="58">
        <f t="shared" si="10"/>
        <v>56402262.287517339</v>
      </c>
    </row>
    <row r="55" spans="1:16" outlineLevel="1" x14ac:dyDescent="0.2">
      <c r="A55" s="20">
        <f t="shared" si="6"/>
        <v>10115</v>
      </c>
      <c r="B55" s="19" t="str">
        <f t="shared" si="6"/>
        <v>UTSA</v>
      </c>
      <c r="C55" s="58">
        <f t="shared" si="7"/>
        <v>5836.5855632358725</v>
      </c>
      <c r="D55" s="15">
        <f t="shared" ref="D55:M55" si="16">D97*D147</f>
        <v>1235.9000000000001</v>
      </c>
      <c r="E55" s="14">
        <f t="shared" si="16"/>
        <v>347.42522222222226</v>
      </c>
      <c r="F55" s="14">
        <f t="shared" si="16"/>
        <v>202.41034101368405</v>
      </c>
      <c r="G55" s="13">
        <f t="shared" si="16"/>
        <v>2524.2639999999669</v>
      </c>
      <c r="H55" s="15">
        <f t="shared" si="16"/>
        <v>117.6</v>
      </c>
      <c r="I55" s="13">
        <f t="shared" si="16"/>
        <v>14.899999999999999</v>
      </c>
      <c r="J55" s="16">
        <f t="shared" si="16"/>
        <v>149.93600000000001</v>
      </c>
      <c r="K55" s="15">
        <f t="shared" si="16"/>
        <v>476.67666666666673</v>
      </c>
      <c r="L55" s="14">
        <f t="shared" si="16"/>
        <v>401.28000000000003</v>
      </c>
      <c r="M55" s="13">
        <f t="shared" si="16"/>
        <v>366.19333333333333</v>
      </c>
      <c r="N55" s="87">
        <v>2</v>
      </c>
      <c r="O55" s="13">
        <v>69184.923785166247</v>
      </c>
      <c r="P55" s="58">
        <f t="shared" si="10"/>
        <v>403803727.35807544</v>
      </c>
    </row>
    <row r="56" spans="1:16" outlineLevel="1" x14ac:dyDescent="0.2">
      <c r="A56" s="20">
        <f t="shared" si="6"/>
        <v>11163</v>
      </c>
      <c r="B56" s="19" t="str">
        <f t="shared" si="6"/>
        <v>UTT</v>
      </c>
      <c r="C56" s="58">
        <f t="shared" si="7"/>
        <v>1864.8745538786425</v>
      </c>
      <c r="D56" s="15">
        <f t="shared" ref="D56:M56" si="17">D98*D148</f>
        <v>357</v>
      </c>
      <c r="E56" s="14">
        <f t="shared" si="17"/>
        <v>92.046500000000009</v>
      </c>
      <c r="F56" s="14">
        <f t="shared" si="17"/>
        <v>219.4180538786392</v>
      </c>
      <c r="G56" s="13">
        <f t="shared" si="17"/>
        <v>708.79800000000307</v>
      </c>
      <c r="H56" s="15">
        <f t="shared" si="17"/>
        <v>113</v>
      </c>
      <c r="I56" s="13">
        <f t="shared" si="17"/>
        <v>4.2</v>
      </c>
      <c r="J56" s="16">
        <f t="shared" si="17"/>
        <v>45.232000000000006</v>
      </c>
      <c r="K56" s="15">
        <f t="shared" si="17"/>
        <v>143.63333333333333</v>
      </c>
      <c r="L56" s="14">
        <f t="shared" si="17"/>
        <v>115.7</v>
      </c>
      <c r="M56" s="13">
        <f t="shared" si="17"/>
        <v>65.846666666666664</v>
      </c>
      <c r="N56" s="87">
        <v>3</v>
      </c>
      <c r="O56" s="13">
        <v>64130.952037511772</v>
      </c>
      <c r="P56" s="58">
        <f t="shared" si="10"/>
        <v>119596180.57076739</v>
      </c>
    </row>
    <row r="57" spans="1:16" outlineLevel="1" x14ac:dyDescent="0.2">
      <c r="A57" s="20">
        <f t="shared" si="6"/>
        <v>3632</v>
      </c>
      <c r="B57" s="19" t="str">
        <f t="shared" si="6"/>
        <v>TAMU</v>
      </c>
      <c r="C57" s="58">
        <f t="shared" si="7"/>
        <v>10889.754859913339</v>
      </c>
      <c r="D57" s="15">
        <f t="shared" ref="D57:M57" si="18">D99*D149</f>
        <v>1747.9333333333334</v>
      </c>
      <c r="E57" s="14">
        <f t="shared" si="18"/>
        <v>1836.7866111111107</v>
      </c>
      <c r="F57" s="14">
        <f t="shared" si="18"/>
        <v>315.5235821355335</v>
      </c>
      <c r="G57" s="13">
        <f t="shared" si="18"/>
        <v>4020.9633333333604</v>
      </c>
      <c r="H57" s="15">
        <f t="shared" si="18"/>
        <v>352.6</v>
      </c>
      <c r="I57" s="13">
        <f t="shared" si="18"/>
        <v>25.200000000000003</v>
      </c>
      <c r="J57" s="16">
        <f t="shared" si="18"/>
        <v>119.16800000000003</v>
      </c>
      <c r="K57" s="15">
        <f t="shared" si="18"/>
        <v>704.24666666666667</v>
      </c>
      <c r="L57" s="14">
        <f t="shared" si="18"/>
        <v>801.66</v>
      </c>
      <c r="M57" s="13">
        <f t="shared" si="18"/>
        <v>965.67333333333352</v>
      </c>
      <c r="N57" s="87">
        <v>1</v>
      </c>
      <c r="O57" s="13">
        <v>90197.027768754284</v>
      </c>
      <c r="P57" s="58">
        <f t="shared" si="10"/>
        <v>982223521.49453032</v>
      </c>
    </row>
    <row r="58" spans="1:16" outlineLevel="1" x14ac:dyDescent="0.2">
      <c r="A58" s="20">
        <f t="shared" si="6"/>
        <v>10298</v>
      </c>
      <c r="B58" s="19" t="str">
        <f t="shared" si="6"/>
        <v>TAMUG</v>
      </c>
      <c r="C58" s="58">
        <f t="shared" si="7"/>
        <v>905.8334378653102</v>
      </c>
      <c r="D58" s="15">
        <f t="shared" ref="D58:M58" si="19">D100*D150</f>
        <v>123.89999999999998</v>
      </c>
      <c r="E58" s="14">
        <f t="shared" si="19"/>
        <v>38.863299999999995</v>
      </c>
      <c r="F58" s="14">
        <f t="shared" si="19"/>
        <v>184.49213786531129</v>
      </c>
      <c r="G58" s="13">
        <f t="shared" si="19"/>
        <v>316.81199999999899</v>
      </c>
      <c r="H58" s="15">
        <f t="shared" si="19"/>
        <v>16.8</v>
      </c>
      <c r="I58" s="13">
        <f t="shared" si="19"/>
        <v>0</v>
      </c>
      <c r="J58" s="16">
        <f t="shared" si="19"/>
        <v>11.375999999999999</v>
      </c>
      <c r="K58" s="15">
        <f t="shared" si="19"/>
        <v>88.850000000000023</v>
      </c>
      <c r="L58" s="14">
        <f t="shared" si="19"/>
        <v>62.010000000000005</v>
      </c>
      <c r="M58" s="13">
        <f t="shared" si="19"/>
        <v>62.730000000000004</v>
      </c>
      <c r="N58" s="87">
        <v>6</v>
      </c>
      <c r="O58" s="13">
        <v>62223.550136993705</v>
      </c>
      <c r="P58" s="58">
        <f t="shared" si="10"/>
        <v>56364172.336777501</v>
      </c>
    </row>
    <row r="59" spans="1:16" outlineLevel="1" x14ac:dyDescent="0.2">
      <c r="A59" s="20">
        <f t="shared" si="6"/>
        <v>3630</v>
      </c>
      <c r="B59" s="19" t="str">
        <f t="shared" si="6"/>
        <v>Prairie View</v>
      </c>
      <c r="C59" s="58">
        <f t="shared" si="7"/>
        <v>1684.0129101897294</v>
      </c>
      <c r="D59" s="15">
        <f t="shared" ref="D59:M59" si="20">D101*D151</f>
        <v>280.89999999999998</v>
      </c>
      <c r="E59" s="14">
        <f t="shared" si="20"/>
        <v>52.200583333333327</v>
      </c>
      <c r="F59" s="14">
        <f t="shared" si="20"/>
        <v>118.67766018972654</v>
      </c>
      <c r="G59" s="13">
        <f t="shared" si="20"/>
        <v>621.87000000000273</v>
      </c>
      <c r="H59" s="15">
        <f t="shared" si="20"/>
        <v>94.7</v>
      </c>
      <c r="I59" s="13">
        <f t="shared" si="20"/>
        <v>2.9</v>
      </c>
      <c r="J59" s="16">
        <f t="shared" si="20"/>
        <v>38.527999999999999</v>
      </c>
      <c r="K59" s="15">
        <f t="shared" si="20"/>
        <v>166.8</v>
      </c>
      <c r="L59" s="14">
        <f t="shared" si="20"/>
        <v>153.53</v>
      </c>
      <c r="M59" s="13">
        <f t="shared" si="20"/>
        <v>153.90666666666669</v>
      </c>
      <c r="N59" s="87">
        <v>3</v>
      </c>
      <c r="O59" s="13">
        <v>64130.952037511772</v>
      </c>
      <c r="P59" s="58">
        <f t="shared" si="10"/>
        <v>107997351.17392816</v>
      </c>
    </row>
    <row r="60" spans="1:16" outlineLevel="1" x14ac:dyDescent="0.2">
      <c r="A60" s="20">
        <f t="shared" si="6"/>
        <v>3631</v>
      </c>
      <c r="B60" s="19" t="str">
        <f t="shared" si="6"/>
        <v>Tarleton</v>
      </c>
      <c r="C60" s="58">
        <f t="shared" si="7"/>
        <v>2362.7349914757838</v>
      </c>
      <c r="D60" s="15">
        <f t="shared" ref="D60:M60" si="21">D102*D152</f>
        <v>463.59999999999997</v>
      </c>
      <c r="E60" s="14">
        <f t="shared" si="21"/>
        <v>110.80040000000001</v>
      </c>
      <c r="F60" s="14">
        <f t="shared" si="21"/>
        <v>184.19825814244246</v>
      </c>
      <c r="G60" s="13">
        <f t="shared" si="21"/>
        <v>936.76300000000788</v>
      </c>
      <c r="H60" s="15">
        <f t="shared" si="21"/>
        <v>60.9</v>
      </c>
      <c r="I60" s="13">
        <f t="shared" si="21"/>
        <v>14.299999999999999</v>
      </c>
      <c r="J60" s="16">
        <f t="shared" si="21"/>
        <v>57.36</v>
      </c>
      <c r="K60" s="15">
        <f t="shared" si="21"/>
        <v>215.43333333333337</v>
      </c>
      <c r="L60" s="14">
        <f t="shared" si="21"/>
        <v>172.72666666666669</v>
      </c>
      <c r="M60" s="13">
        <f t="shared" si="21"/>
        <v>146.65333333333334</v>
      </c>
      <c r="N60" s="87">
        <v>3</v>
      </c>
      <c r="O60" s="13">
        <v>64130.952037511772</v>
      </c>
      <c r="P60" s="58">
        <f t="shared" si="10"/>
        <v>151524444.41568428</v>
      </c>
    </row>
    <row r="61" spans="1:16" outlineLevel="1" x14ac:dyDescent="0.2">
      <c r="A61" s="27">
        <f t="shared" si="6"/>
        <v>103631</v>
      </c>
      <c r="B61" s="19" t="str">
        <f t="shared" si="6"/>
        <v>TAMUCT</v>
      </c>
      <c r="C61" s="58">
        <f t="shared" si="7"/>
        <v>1034.5657714150541</v>
      </c>
      <c r="D61" s="15">
        <f t="shared" ref="D61:M61" si="22">D103*D153</f>
        <v>138.1</v>
      </c>
      <c r="E61" s="14">
        <f t="shared" si="22"/>
        <v>33.005899999999997</v>
      </c>
      <c r="F61" s="14">
        <f t="shared" si="22"/>
        <v>506.90887141505431</v>
      </c>
      <c r="G61" s="13">
        <f t="shared" si="22"/>
        <v>256.08499999999975</v>
      </c>
      <c r="H61" s="15">
        <f t="shared" si="22"/>
        <v>12.2</v>
      </c>
      <c r="I61" s="13">
        <f t="shared" si="22"/>
        <v>0</v>
      </c>
      <c r="J61" s="16">
        <f t="shared" si="22"/>
        <v>15.696000000000002</v>
      </c>
      <c r="K61" s="15">
        <f t="shared" si="22"/>
        <v>49.5</v>
      </c>
      <c r="L61" s="14">
        <f t="shared" si="22"/>
        <v>17.29</v>
      </c>
      <c r="M61" s="13">
        <f t="shared" si="22"/>
        <v>5.78</v>
      </c>
      <c r="N61" s="87">
        <v>4</v>
      </c>
      <c r="O61" s="13">
        <v>72600.916032124354</v>
      </c>
      <c r="P61" s="58">
        <f t="shared" si="10"/>
        <v>75110422.700214297</v>
      </c>
    </row>
    <row r="62" spans="1:16" outlineLevel="1" x14ac:dyDescent="0.2">
      <c r="A62" s="20">
        <f t="shared" si="6"/>
        <v>11161</v>
      </c>
      <c r="B62" s="19" t="str">
        <f t="shared" si="6"/>
        <v>TAMUCC</v>
      </c>
      <c r="C62" s="58">
        <f t="shared" si="7"/>
        <v>2208.871522137827</v>
      </c>
      <c r="D62" s="15">
        <f t="shared" ref="D62:M62" si="23">D104*D154</f>
        <v>416.49999999999994</v>
      </c>
      <c r="E62" s="14">
        <f t="shared" si="23"/>
        <v>105.791</v>
      </c>
      <c r="F62" s="14">
        <f t="shared" si="23"/>
        <v>160.32385547115581</v>
      </c>
      <c r="G62" s="13">
        <f t="shared" si="23"/>
        <v>841.2600000000042</v>
      </c>
      <c r="H62" s="15">
        <f t="shared" si="23"/>
        <v>79.899999999999991</v>
      </c>
      <c r="I62" s="13">
        <f t="shared" si="23"/>
        <v>7.7</v>
      </c>
      <c r="J62" s="16">
        <f t="shared" si="23"/>
        <v>51.839999999999996</v>
      </c>
      <c r="K62" s="15">
        <f t="shared" si="23"/>
        <v>205.4</v>
      </c>
      <c r="L62" s="14">
        <f t="shared" si="23"/>
        <v>190.84</v>
      </c>
      <c r="M62" s="13">
        <f t="shared" si="23"/>
        <v>149.31666666666669</v>
      </c>
      <c r="N62" s="87">
        <v>3</v>
      </c>
      <c r="O62" s="13">
        <v>64130.952037511772</v>
      </c>
      <c r="P62" s="58">
        <f t="shared" si="10"/>
        <v>141657033.64324662</v>
      </c>
    </row>
    <row r="63" spans="1:16" outlineLevel="1" x14ac:dyDescent="0.2">
      <c r="A63" s="20">
        <f t="shared" si="6"/>
        <v>3639</v>
      </c>
      <c r="B63" s="19" t="str">
        <f t="shared" si="6"/>
        <v>TAMUK</v>
      </c>
      <c r="C63" s="58">
        <f t="shared" si="7"/>
        <v>1381.182160798124</v>
      </c>
      <c r="D63" s="15">
        <f t="shared" ref="D63:M63" si="24">D105*D155</f>
        <v>228.49999999999997</v>
      </c>
      <c r="E63" s="14">
        <f t="shared" si="24"/>
        <v>45.96658333333334</v>
      </c>
      <c r="F63" s="14">
        <f t="shared" si="24"/>
        <v>134.09624413145539</v>
      </c>
      <c r="G63" s="13">
        <f t="shared" si="24"/>
        <v>529.03600000000188</v>
      </c>
      <c r="H63" s="15">
        <f t="shared" si="24"/>
        <v>78</v>
      </c>
      <c r="I63" s="13">
        <f t="shared" si="24"/>
        <v>5</v>
      </c>
      <c r="J63" s="16">
        <f t="shared" si="24"/>
        <v>31.120000000000005</v>
      </c>
      <c r="K63" s="15">
        <f t="shared" si="24"/>
        <v>122.73333333333333</v>
      </c>
      <c r="L63" s="14">
        <f t="shared" si="24"/>
        <v>111.75666666666666</v>
      </c>
      <c r="M63" s="13">
        <f t="shared" si="24"/>
        <v>94.973333333333329</v>
      </c>
      <c r="N63" s="87">
        <v>3</v>
      </c>
      <c r="O63" s="13">
        <v>64130.952037511772</v>
      </c>
      <c r="P63" s="58">
        <f t="shared" si="10"/>
        <v>88576526.909211352</v>
      </c>
    </row>
    <row r="64" spans="1:16" outlineLevel="1" x14ac:dyDescent="0.2">
      <c r="A64" s="27">
        <f t="shared" si="6"/>
        <v>103639</v>
      </c>
      <c r="B64" s="19" t="str">
        <f t="shared" si="6"/>
        <v>TAMUSA</v>
      </c>
      <c r="C64" s="58">
        <f t="shared" si="7"/>
        <v>940.6677853069499</v>
      </c>
      <c r="D64" s="15">
        <f t="shared" ref="D64:M64" si="25">D106*D156</f>
        <v>176.29999999999998</v>
      </c>
      <c r="E64" s="14">
        <f t="shared" si="25"/>
        <v>35.465683333333331</v>
      </c>
      <c r="F64" s="14">
        <f t="shared" si="25"/>
        <v>311.98876864028188</v>
      </c>
      <c r="G64" s="13">
        <f t="shared" si="25"/>
        <v>307.80400000000134</v>
      </c>
      <c r="H64" s="15">
        <f t="shared" si="25"/>
        <v>1.5</v>
      </c>
      <c r="I64" s="13">
        <f t="shared" si="25"/>
        <v>0.6</v>
      </c>
      <c r="J64" s="16">
        <f t="shared" si="25"/>
        <v>23.535999999999998</v>
      </c>
      <c r="K64" s="15">
        <f t="shared" si="25"/>
        <v>72.966666666666669</v>
      </c>
      <c r="L64" s="14">
        <f t="shared" si="25"/>
        <v>10.053333333333333</v>
      </c>
      <c r="M64" s="13">
        <f t="shared" si="25"/>
        <v>0.45333333333333337</v>
      </c>
      <c r="N64" s="87">
        <v>5</v>
      </c>
      <c r="O64" s="13">
        <v>64633.042238187707</v>
      </c>
      <c r="P64" s="58">
        <f t="shared" si="10"/>
        <v>60798220.699846581</v>
      </c>
    </row>
    <row r="65" spans="1:16" outlineLevel="1" x14ac:dyDescent="0.2">
      <c r="A65" s="20">
        <f t="shared" si="6"/>
        <v>9651</v>
      </c>
      <c r="B65" s="19" t="str">
        <f t="shared" si="6"/>
        <v>TAMI</v>
      </c>
      <c r="C65" s="58">
        <f t="shared" si="7"/>
        <v>1304.2961576113573</v>
      </c>
      <c r="D65" s="15">
        <f t="shared" ref="D65:M65" si="26">D107*D157</f>
        <v>236.89999999999998</v>
      </c>
      <c r="E65" s="14">
        <f t="shared" si="26"/>
        <v>56.066333333333326</v>
      </c>
      <c r="F65" s="14">
        <f t="shared" si="26"/>
        <v>144.94615761135586</v>
      </c>
      <c r="G65" s="13">
        <f t="shared" si="26"/>
        <v>437.54900000000151</v>
      </c>
      <c r="H65" s="15">
        <f t="shared" si="26"/>
        <v>34.700000000000003</v>
      </c>
      <c r="I65" s="13">
        <f t="shared" si="26"/>
        <v>6.6999999999999993</v>
      </c>
      <c r="J65" s="16">
        <f t="shared" si="26"/>
        <v>34.207999999999998</v>
      </c>
      <c r="K65" s="15">
        <f t="shared" si="26"/>
        <v>140.66666666666669</v>
      </c>
      <c r="L65" s="14">
        <f t="shared" si="26"/>
        <v>132.03666666666666</v>
      </c>
      <c r="M65" s="13">
        <f t="shared" si="26"/>
        <v>80.523333333333341</v>
      </c>
      <c r="N65" s="87">
        <v>3</v>
      </c>
      <c r="O65" s="13">
        <v>64130.952037511772</v>
      </c>
      <c r="P65" s="58">
        <f t="shared" si="10"/>
        <v>83645754.326484844</v>
      </c>
    </row>
    <row r="66" spans="1:16" outlineLevel="1" x14ac:dyDescent="0.2">
      <c r="A66" s="20">
        <f t="shared" si="6"/>
        <v>3665</v>
      </c>
      <c r="B66" s="19" t="str">
        <f t="shared" si="6"/>
        <v>WTAMU</v>
      </c>
      <c r="C66" s="58">
        <f t="shared" si="7"/>
        <v>1957.9589805719186</v>
      </c>
      <c r="D66" s="15">
        <f t="shared" ref="D66:M66" si="27">D108*D158</f>
        <v>376.7</v>
      </c>
      <c r="E66" s="14">
        <f t="shared" si="27"/>
        <v>88.65006666666666</v>
      </c>
      <c r="F66" s="14">
        <f t="shared" si="27"/>
        <v>173.90791390524652</v>
      </c>
      <c r="G66" s="13">
        <f t="shared" si="27"/>
        <v>751.07300000000509</v>
      </c>
      <c r="H66" s="15">
        <f t="shared" si="27"/>
        <v>57.499999999999993</v>
      </c>
      <c r="I66" s="13">
        <f t="shared" si="27"/>
        <v>18.2</v>
      </c>
      <c r="J66" s="16">
        <f t="shared" si="27"/>
        <v>42.688000000000002</v>
      </c>
      <c r="K66" s="15">
        <f t="shared" si="27"/>
        <v>179.16666666666669</v>
      </c>
      <c r="L66" s="14">
        <f t="shared" si="27"/>
        <v>157.64666666666668</v>
      </c>
      <c r="M66" s="13">
        <f t="shared" si="27"/>
        <v>112.42666666666668</v>
      </c>
      <c r="N66" s="87">
        <v>3</v>
      </c>
      <c r="O66" s="13">
        <v>64130.952037511772</v>
      </c>
      <c r="P66" s="58">
        <f t="shared" si="10"/>
        <v>125565773.47447315</v>
      </c>
    </row>
    <row r="67" spans="1:16" outlineLevel="1" x14ac:dyDescent="0.2">
      <c r="A67" s="20">
        <f t="shared" si="6"/>
        <v>3565</v>
      </c>
      <c r="B67" s="19" t="str">
        <f t="shared" si="6"/>
        <v>TAMUC</v>
      </c>
      <c r="C67" s="58">
        <f t="shared" si="7"/>
        <v>1953.8977652201963</v>
      </c>
      <c r="D67" s="15">
        <f t="shared" ref="D67:M67" si="28">D109*D159</f>
        <v>397.29999999999995</v>
      </c>
      <c r="E67" s="14">
        <f t="shared" si="28"/>
        <v>87.405999999999992</v>
      </c>
      <c r="F67" s="14">
        <f t="shared" si="28"/>
        <v>211.46576522018887</v>
      </c>
      <c r="G67" s="13">
        <f t="shared" si="28"/>
        <v>750.54800000000739</v>
      </c>
      <c r="H67" s="15">
        <f t="shared" si="28"/>
        <v>21.9</v>
      </c>
      <c r="I67" s="13">
        <f t="shared" si="28"/>
        <v>22.299999999999997</v>
      </c>
      <c r="J67" s="16">
        <f t="shared" si="28"/>
        <v>48.927999999999997</v>
      </c>
      <c r="K67" s="15">
        <f t="shared" si="28"/>
        <v>189.3</v>
      </c>
      <c r="L67" s="14">
        <f t="shared" si="28"/>
        <v>147.85333333333332</v>
      </c>
      <c r="M67" s="13">
        <f t="shared" si="28"/>
        <v>76.896666666666675</v>
      </c>
      <c r="N67" s="87">
        <v>3</v>
      </c>
      <c r="O67" s="13">
        <v>64130.952037511772</v>
      </c>
      <c r="P67" s="58">
        <f t="shared" si="10"/>
        <v>125305323.86753784</v>
      </c>
    </row>
    <row r="68" spans="1:16" outlineLevel="1" x14ac:dyDescent="0.2">
      <c r="A68" s="20">
        <f t="shared" ref="A68:B85" si="29">A25</f>
        <v>29269</v>
      </c>
      <c r="B68" s="19" t="str">
        <f t="shared" si="29"/>
        <v>TAMUT</v>
      </c>
      <c r="C68" s="58">
        <f t="shared" si="7"/>
        <v>705.20670293342687</v>
      </c>
      <c r="D68" s="15">
        <f t="shared" ref="D68:M68" si="30">D110*D160</f>
        <v>103.7</v>
      </c>
      <c r="E68" s="14">
        <f t="shared" si="30"/>
        <v>28.104039382025626</v>
      </c>
      <c r="F68" s="14">
        <f t="shared" si="30"/>
        <v>290.74766355140184</v>
      </c>
      <c r="G68" s="13">
        <f t="shared" si="30"/>
        <v>185.97299999999947</v>
      </c>
      <c r="H68" s="15">
        <f t="shared" si="30"/>
        <v>12.499999999999998</v>
      </c>
      <c r="I68" s="13">
        <f t="shared" si="30"/>
        <v>5.8</v>
      </c>
      <c r="J68" s="16">
        <f t="shared" si="30"/>
        <v>11.472000000000001</v>
      </c>
      <c r="K68" s="15">
        <f t="shared" si="30"/>
        <v>43.266666666666673</v>
      </c>
      <c r="L68" s="14">
        <f t="shared" si="30"/>
        <v>23.53</v>
      </c>
      <c r="M68" s="13">
        <f t="shared" si="30"/>
        <v>0.11333333333333334</v>
      </c>
      <c r="N68" s="87">
        <v>4</v>
      </c>
      <c r="O68" s="13">
        <v>72600.916032124354</v>
      </c>
      <c r="P68" s="58">
        <f t="shared" si="10"/>
        <v>51198652.624960989</v>
      </c>
    </row>
    <row r="69" spans="1:16" outlineLevel="1" x14ac:dyDescent="0.2">
      <c r="A69" s="20">
        <f t="shared" si="29"/>
        <v>3652</v>
      </c>
      <c r="B69" s="19" t="str">
        <f t="shared" si="29"/>
        <v>UH</v>
      </c>
      <c r="C69" s="58">
        <f t="shared" si="7"/>
        <v>7373.9654745578273</v>
      </c>
      <c r="D69" s="15">
        <f t="shared" ref="D69:M69" si="31">D111*D161</f>
        <v>1529.6000000000001</v>
      </c>
      <c r="E69" s="14">
        <f t="shared" si="31"/>
        <v>546.91697777777779</v>
      </c>
      <c r="F69" s="14">
        <f t="shared" si="31"/>
        <v>214.25049678026627</v>
      </c>
      <c r="G69" s="13">
        <f t="shared" si="31"/>
        <v>3174.0739999997832</v>
      </c>
      <c r="H69" s="15">
        <f t="shared" si="31"/>
        <v>221.1</v>
      </c>
      <c r="I69" s="13">
        <f t="shared" si="31"/>
        <v>18.799999999999997</v>
      </c>
      <c r="J69" s="16">
        <f t="shared" si="31"/>
        <v>161.904</v>
      </c>
      <c r="K69" s="15">
        <f t="shared" si="31"/>
        <v>532.16333333333341</v>
      </c>
      <c r="L69" s="14">
        <f t="shared" si="31"/>
        <v>512.13</v>
      </c>
      <c r="M69" s="13">
        <f t="shared" si="31"/>
        <v>463.02666666666676</v>
      </c>
      <c r="N69" s="87">
        <v>1</v>
      </c>
      <c r="O69" s="13">
        <v>90197.027768754284</v>
      </c>
      <c r="P69" s="58">
        <f t="shared" si="10"/>
        <v>665109768.67452776</v>
      </c>
    </row>
    <row r="70" spans="1:16" outlineLevel="1" x14ac:dyDescent="0.2">
      <c r="A70" s="20">
        <f t="shared" si="29"/>
        <v>11711</v>
      </c>
      <c r="B70" s="19" t="str">
        <f t="shared" si="29"/>
        <v>UHCL</v>
      </c>
      <c r="C70" s="58">
        <f t="shared" si="7"/>
        <v>1777.1573517645782</v>
      </c>
      <c r="D70" s="15">
        <f t="shared" ref="D70:M70" si="32">D112*D162</f>
        <v>357.2</v>
      </c>
      <c r="E70" s="14">
        <f t="shared" si="32"/>
        <v>92.901401903848253</v>
      </c>
      <c r="F70" s="14">
        <f t="shared" si="32"/>
        <v>297.70194986072426</v>
      </c>
      <c r="G70" s="13">
        <f t="shared" si="32"/>
        <v>684.88600000000588</v>
      </c>
      <c r="H70" s="15">
        <f t="shared" si="32"/>
        <v>32</v>
      </c>
      <c r="I70" s="13">
        <f t="shared" si="32"/>
        <v>2.5</v>
      </c>
      <c r="J70" s="16">
        <f t="shared" si="32"/>
        <v>37.167999999999999</v>
      </c>
      <c r="K70" s="15">
        <f t="shared" si="32"/>
        <v>139.13333333333333</v>
      </c>
      <c r="L70" s="14">
        <f t="shared" si="32"/>
        <v>123.97666666666666</v>
      </c>
      <c r="M70" s="13">
        <f t="shared" si="32"/>
        <v>9.6900000000000013</v>
      </c>
      <c r="N70" s="87">
        <v>3</v>
      </c>
      <c r="O70" s="13">
        <v>64130.952037511772</v>
      </c>
      <c r="P70" s="58">
        <f t="shared" si="10"/>
        <v>113970792.8891256</v>
      </c>
    </row>
    <row r="71" spans="1:16" outlineLevel="1" x14ac:dyDescent="0.2">
      <c r="A71" s="20">
        <f t="shared" si="29"/>
        <v>12826</v>
      </c>
      <c r="B71" s="19" t="str">
        <f t="shared" si="29"/>
        <v>UHD</v>
      </c>
      <c r="C71" s="58">
        <f t="shared" si="7"/>
        <v>3064.0372389731624</v>
      </c>
      <c r="D71" s="15">
        <f t="shared" ref="D71:M71" si="33">D113*D163</f>
        <v>714.7</v>
      </c>
      <c r="E71" s="14">
        <f t="shared" si="33"/>
        <v>67.896500000000017</v>
      </c>
      <c r="F71" s="14">
        <f t="shared" si="33"/>
        <v>223.747738973146</v>
      </c>
      <c r="G71" s="13">
        <f t="shared" si="33"/>
        <v>1281.3950000000164</v>
      </c>
      <c r="H71" s="15">
        <f t="shared" si="33"/>
        <v>38.9</v>
      </c>
      <c r="I71" s="13">
        <f t="shared" si="33"/>
        <v>0.5</v>
      </c>
      <c r="J71" s="16">
        <f t="shared" si="33"/>
        <v>80.688000000000002</v>
      </c>
      <c r="K71" s="15">
        <f t="shared" si="33"/>
        <v>310.53333333333336</v>
      </c>
      <c r="L71" s="14">
        <f t="shared" si="33"/>
        <v>242.88333333333333</v>
      </c>
      <c r="M71" s="13">
        <f t="shared" si="33"/>
        <v>102.79333333333334</v>
      </c>
      <c r="N71" s="87">
        <v>5</v>
      </c>
      <c r="O71" s="13">
        <v>64633.042238187707</v>
      </c>
      <c r="P71" s="58">
        <f t="shared" si="10"/>
        <v>198038048.28593245</v>
      </c>
    </row>
    <row r="72" spans="1:16" outlineLevel="1" x14ac:dyDescent="0.2">
      <c r="A72" s="20">
        <f t="shared" si="29"/>
        <v>13231</v>
      </c>
      <c r="B72" s="19" t="str">
        <f t="shared" si="29"/>
        <v>UHV</v>
      </c>
      <c r="C72" s="58">
        <f t="shared" si="7"/>
        <v>1008.2968527859374</v>
      </c>
      <c r="D72" s="15">
        <f t="shared" ref="D72:M72" si="34">D114*D164</f>
        <v>172.99999999999997</v>
      </c>
      <c r="E72" s="14">
        <f t="shared" si="34"/>
        <v>45.029319425829101</v>
      </c>
      <c r="F72" s="14">
        <f t="shared" si="34"/>
        <v>300.63486669344121</v>
      </c>
      <c r="G72" s="13">
        <f t="shared" si="34"/>
        <v>325.34400000000034</v>
      </c>
      <c r="H72" s="15">
        <f t="shared" si="34"/>
        <v>32.4</v>
      </c>
      <c r="I72" s="13">
        <f t="shared" si="34"/>
        <v>2.1999999999999997</v>
      </c>
      <c r="J72" s="16">
        <f t="shared" si="34"/>
        <v>18.432000000000002</v>
      </c>
      <c r="K72" s="15">
        <f t="shared" si="34"/>
        <v>71.600000000000009</v>
      </c>
      <c r="L72" s="14">
        <f t="shared" si="34"/>
        <v>38.523333333333333</v>
      </c>
      <c r="M72" s="13">
        <f t="shared" si="34"/>
        <v>1.1333333333333335</v>
      </c>
      <c r="N72" s="87">
        <v>4</v>
      </c>
      <c r="O72" s="13">
        <v>72600.916032124354</v>
      </c>
      <c r="P72" s="58">
        <f t="shared" si="10"/>
        <v>73203275.144567087</v>
      </c>
    </row>
    <row r="73" spans="1:16" outlineLevel="1" x14ac:dyDescent="0.2">
      <c r="A73" s="20">
        <f t="shared" si="29"/>
        <v>3592</v>
      </c>
      <c r="B73" s="19" t="str">
        <f t="shared" si="29"/>
        <v>Midwestern</v>
      </c>
      <c r="C73" s="58">
        <f t="shared" si="7"/>
        <v>1679.9650827769271</v>
      </c>
      <c r="D73" s="15">
        <f t="shared" ref="D73:M73" si="35">D115*D165</f>
        <v>309.5</v>
      </c>
      <c r="E73" s="14">
        <f t="shared" si="35"/>
        <v>67.986833333333323</v>
      </c>
      <c r="F73" s="14">
        <f t="shared" si="35"/>
        <v>180.91891611025949</v>
      </c>
      <c r="G73" s="13">
        <f t="shared" si="35"/>
        <v>588.60000000000105</v>
      </c>
      <c r="H73" s="15">
        <f t="shared" si="35"/>
        <v>99.999999999999986</v>
      </c>
      <c r="I73" s="13">
        <f t="shared" si="35"/>
        <v>4.5</v>
      </c>
      <c r="J73" s="16">
        <f t="shared" si="35"/>
        <v>33.136000000000003</v>
      </c>
      <c r="K73" s="15">
        <f t="shared" si="35"/>
        <v>143.80000000000001</v>
      </c>
      <c r="L73" s="14">
        <f t="shared" si="35"/>
        <v>135.98000000000002</v>
      </c>
      <c r="M73" s="13">
        <f t="shared" si="35"/>
        <v>115.54333333333334</v>
      </c>
      <c r="N73" s="87">
        <v>3</v>
      </c>
      <c r="O73" s="13">
        <v>64130.952037511772</v>
      </c>
      <c r="P73" s="58">
        <f t="shared" si="10"/>
        <v>107737760.14826161</v>
      </c>
    </row>
    <row r="74" spans="1:16" outlineLevel="1" x14ac:dyDescent="0.2">
      <c r="A74" s="20">
        <f t="shared" si="29"/>
        <v>3594</v>
      </c>
      <c r="B74" s="19" t="str">
        <f t="shared" si="29"/>
        <v>UNT</v>
      </c>
      <c r="C74" s="58">
        <f t="shared" si="7"/>
        <v>8003.7332234383775</v>
      </c>
      <c r="D74" s="15">
        <f t="shared" ref="D74:M74" si="36">D116*D166</f>
        <v>1805</v>
      </c>
      <c r="E74" s="14">
        <f t="shared" si="36"/>
        <v>693.52111111111117</v>
      </c>
      <c r="F74" s="14">
        <f t="shared" si="36"/>
        <v>258.86944566084128</v>
      </c>
      <c r="G74" s="13">
        <f t="shared" si="36"/>
        <v>3423.4659999997589</v>
      </c>
      <c r="H74" s="15">
        <f t="shared" si="36"/>
        <v>101</v>
      </c>
      <c r="I74" s="13">
        <f t="shared" si="36"/>
        <v>13</v>
      </c>
      <c r="J74" s="16">
        <f t="shared" si="36"/>
        <v>183.35999999999999</v>
      </c>
      <c r="K74" s="15">
        <f t="shared" si="36"/>
        <v>550.52666666666676</v>
      </c>
      <c r="L74" s="14">
        <f t="shared" si="36"/>
        <v>507.80999999999995</v>
      </c>
      <c r="M74" s="13">
        <f t="shared" si="36"/>
        <v>467.18000000000006</v>
      </c>
      <c r="N74" s="87">
        <v>1</v>
      </c>
      <c r="O74" s="13">
        <v>90197.027768754284</v>
      </c>
      <c r="P74" s="58">
        <f t="shared" si="10"/>
        <v>721912947.80817258</v>
      </c>
    </row>
    <row r="75" spans="1:16" outlineLevel="1" x14ac:dyDescent="0.2">
      <c r="A75" s="27">
        <f t="shared" si="29"/>
        <v>113594</v>
      </c>
      <c r="B75" s="19" t="str">
        <f t="shared" si="29"/>
        <v>UNTD</v>
      </c>
      <c r="C75" s="58">
        <f t="shared" si="7"/>
        <v>764.98868299041612</v>
      </c>
      <c r="D75" s="15">
        <f t="shared" ref="D75:M75" si="37">D117*D167</f>
        <v>121.05</v>
      </c>
      <c r="E75" s="14">
        <f t="shared" si="37"/>
        <v>34.953187499999999</v>
      </c>
      <c r="F75" s="14">
        <f t="shared" si="37"/>
        <v>319.85449549041709</v>
      </c>
      <c r="G75" s="13">
        <f t="shared" si="37"/>
        <v>211.75799999999916</v>
      </c>
      <c r="H75" s="15">
        <f t="shared" si="37"/>
        <v>3.5999999999999996</v>
      </c>
      <c r="I75" s="13">
        <f t="shared" si="37"/>
        <v>0</v>
      </c>
      <c r="J75" s="16">
        <f t="shared" si="37"/>
        <v>14.808</v>
      </c>
      <c r="K75" s="15">
        <f t="shared" si="37"/>
        <v>47.800000000000004</v>
      </c>
      <c r="L75" s="14">
        <f t="shared" si="37"/>
        <v>9.2949999999999999</v>
      </c>
      <c r="M75" s="13">
        <f t="shared" si="37"/>
        <v>1.87</v>
      </c>
      <c r="N75" s="87" t="s">
        <v>78</v>
      </c>
      <c r="O75" s="13">
        <v>62223.550136993705</v>
      </c>
      <c r="P75" s="58">
        <f t="shared" si="10"/>
        <v>47600311.670286939</v>
      </c>
    </row>
    <row r="76" spans="1:16" outlineLevel="1" x14ac:dyDescent="0.2">
      <c r="A76" s="20">
        <f t="shared" si="29"/>
        <v>3624</v>
      </c>
      <c r="B76" s="19" t="str">
        <f t="shared" si="29"/>
        <v>SFA</v>
      </c>
      <c r="C76" s="58">
        <f t="shared" si="7"/>
        <v>2946.7690823256303</v>
      </c>
      <c r="D76" s="15">
        <f t="shared" ref="D76:M76" si="38">D118*D168</f>
        <v>576.5</v>
      </c>
      <c r="E76" s="14">
        <f t="shared" si="38"/>
        <v>159.69049999999999</v>
      </c>
      <c r="F76" s="14">
        <f t="shared" si="38"/>
        <v>151.93158232562936</v>
      </c>
      <c r="G76" s="13">
        <f t="shared" si="38"/>
        <v>1116.5210000000006</v>
      </c>
      <c r="H76" s="15">
        <f t="shared" si="38"/>
        <v>74.399999999999991</v>
      </c>
      <c r="I76" s="13">
        <f t="shared" si="38"/>
        <v>13.399999999999999</v>
      </c>
      <c r="J76" s="16">
        <f t="shared" si="38"/>
        <v>70.095999999999989</v>
      </c>
      <c r="K76" s="15">
        <f t="shared" si="38"/>
        <v>276.93333333333334</v>
      </c>
      <c r="L76" s="14">
        <f t="shared" si="38"/>
        <v>269.75</v>
      </c>
      <c r="M76" s="13">
        <f t="shared" si="38"/>
        <v>237.54666666666668</v>
      </c>
      <c r="N76" s="87">
        <v>3</v>
      </c>
      <c r="O76" s="13">
        <v>64130.952037511772</v>
      </c>
      <c r="P76" s="58">
        <f t="shared" si="10"/>
        <v>188979106.68424758</v>
      </c>
    </row>
    <row r="77" spans="1:16" outlineLevel="1" x14ac:dyDescent="0.2">
      <c r="A77" s="20">
        <f t="shared" si="29"/>
        <v>3642</v>
      </c>
      <c r="B77" s="19" t="str">
        <f t="shared" si="29"/>
        <v>TSU</v>
      </c>
      <c r="C77" s="58">
        <f t="shared" si="7"/>
        <v>1315.9213575816959</v>
      </c>
      <c r="D77" s="15">
        <f t="shared" ref="D77:M77" si="39">D119*D169</f>
        <v>227.5</v>
      </c>
      <c r="E77" s="14">
        <f t="shared" si="39"/>
        <v>16.342083333333331</v>
      </c>
      <c r="F77" s="14">
        <f t="shared" si="39"/>
        <v>97.002607581695372</v>
      </c>
      <c r="G77" s="13">
        <f t="shared" si="39"/>
        <v>446.59600000000057</v>
      </c>
      <c r="H77" s="15">
        <f t="shared" si="39"/>
        <v>40.300000000000004</v>
      </c>
      <c r="I77" s="13">
        <f t="shared" si="39"/>
        <v>0.89999999999999991</v>
      </c>
      <c r="J77" s="16">
        <f t="shared" si="39"/>
        <v>31.984000000000002</v>
      </c>
      <c r="K77" s="15">
        <f t="shared" si="39"/>
        <v>163.73333333333335</v>
      </c>
      <c r="L77" s="14">
        <f t="shared" si="39"/>
        <v>147.29</v>
      </c>
      <c r="M77" s="13">
        <f t="shared" si="39"/>
        <v>144.27333333333334</v>
      </c>
      <c r="N77" s="87">
        <v>3</v>
      </c>
      <c r="O77" s="13">
        <v>64130.952037511772</v>
      </c>
      <c r="P77" s="58">
        <f t="shared" si="10"/>
        <v>84391289.468209118</v>
      </c>
    </row>
    <row r="78" spans="1:16" outlineLevel="1" x14ac:dyDescent="0.2">
      <c r="A78" s="20">
        <f t="shared" si="29"/>
        <v>3644</v>
      </c>
      <c r="B78" s="19" t="str">
        <f t="shared" si="29"/>
        <v>TTU</v>
      </c>
      <c r="C78" s="58">
        <f t="shared" si="7"/>
        <v>7185.6806979368048</v>
      </c>
      <c r="D78" s="15">
        <f t="shared" ref="D78:M78" si="40">D120*D170</f>
        <v>1402.2</v>
      </c>
      <c r="E78" s="14">
        <f t="shared" si="40"/>
        <v>684.27359999999999</v>
      </c>
      <c r="F78" s="14">
        <f t="shared" si="40"/>
        <v>210.61243127033356</v>
      </c>
      <c r="G78" s="13">
        <f t="shared" si="40"/>
        <v>3038.4339999998042</v>
      </c>
      <c r="H78" s="15">
        <f t="shared" si="40"/>
        <v>218.20000000000002</v>
      </c>
      <c r="I78" s="13">
        <f t="shared" si="40"/>
        <v>17.2</v>
      </c>
      <c r="J78" s="16">
        <f t="shared" si="40"/>
        <v>133.34399999999999</v>
      </c>
      <c r="K78" s="15">
        <f t="shared" si="40"/>
        <v>453.97333333333336</v>
      </c>
      <c r="L78" s="14">
        <f t="shared" si="40"/>
        <v>475.04999999999995</v>
      </c>
      <c r="M78" s="13">
        <f t="shared" si="40"/>
        <v>552.39333333333332</v>
      </c>
      <c r="N78" s="87">
        <v>1</v>
      </c>
      <c r="O78" s="13">
        <v>90197.027768754284</v>
      </c>
      <c r="P78" s="58">
        <f t="shared" si="10"/>
        <v>648127041.44920766</v>
      </c>
    </row>
    <row r="79" spans="1:16" outlineLevel="1" x14ac:dyDescent="0.2">
      <c r="A79" s="20">
        <f t="shared" si="29"/>
        <v>3541</v>
      </c>
      <c r="B79" s="19" t="str">
        <f t="shared" si="29"/>
        <v>Angelo</v>
      </c>
      <c r="C79" s="58">
        <f t="shared" si="7"/>
        <v>1622.1398553119836</v>
      </c>
      <c r="D79" s="15">
        <f t="shared" ref="D79:M79" si="41">D121*D171</f>
        <v>297.39999999999998</v>
      </c>
      <c r="E79" s="14">
        <f t="shared" si="41"/>
        <v>63.891433333333332</v>
      </c>
      <c r="F79" s="14">
        <f t="shared" si="41"/>
        <v>152.29275531198221</v>
      </c>
      <c r="G79" s="13">
        <f t="shared" si="41"/>
        <v>593.20500000000152</v>
      </c>
      <c r="H79" s="15">
        <f t="shared" si="41"/>
        <v>76.3</v>
      </c>
      <c r="I79" s="13">
        <f t="shared" si="41"/>
        <v>5.8</v>
      </c>
      <c r="J79" s="16">
        <f t="shared" si="41"/>
        <v>34.704000000000001</v>
      </c>
      <c r="K79" s="15">
        <f t="shared" si="41"/>
        <v>143.86666666666667</v>
      </c>
      <c r="L79" s="14">
        <f t="shared" si="41"/>
        <v>134.37666666666669</v>
      </c>
      <c r="M79" s="13">
        <f t="shared" si="41"/>
        <v>120.30333333333334</v>
      </c>
      <c r="N79" s="87">
        <v>3</v>
      </c>
      <c r="O79" s="13">
        <v>64130.952037511772</v>
      </c>
      <c r="P79" s="58">
        <f t="shared" si="10"/>
        <v>104029373.2591491</v>
      </c>
    </row>
    <row r="80" spans="1:16" outlineLevel="1" x14ac:dyDescent="0.2">
      <c r="A80" s="20">
        <f t="shared" si="29"/>
        <v>3646</v>
      </c>
      <c r="B80" s="19" t="str">
        <f t="shared" si="29"/>
        <v>TWU</v>
      </c>
      <c r="C80" s="58">
        <f t="shared" si="7"/>
        <v>2665.8089988794663</v>
      </c>
      <c r="D80" s="15">
        <f t="shared" ref="D80:M80" si="42">D122*D172</f>
        <v>541.79999999999995</v>
      </c>
      <c r="E80" s="14">
        <f t="shared" si="42"/>
        <v>141.8613</v>
      </c>
      <c r="F80" s="14">
        <f t="shared" si="42"/>
        <v>206.59203221279969</v>
      </c>
      <c r="G80" s="13">
        <f t="shared" si="42"/>
        <v>1035.6529999999998</v>
      </c>
      <c r="H80" s="15">
        <f t="shared" si="42"/>
        <v>170.8</v>
      </c>
      <c r="I80" s="13">
        <f t="shared" si="42"/>
        <v>9.5</v>
      </c>
      <c r="J80" s="16">
        <f t="shared" si="42"/>
        <v>59.856000000000002</v>
      </c>
      <c r="K80" s="15">
        <f t="shared" si="42"/>
        <v>219.60000000000002</v>
      </c>
      <c r="L80" s="14">
        <f t="shared" si="42"/>
        <v>168.00333333333333</v>
      </c>
      <c r="M80" s="13">
        <f t="shared" si="42"/>
        <v>112.14333333333333</v>
      </c>
      <c r="N80" s="87">
        <v>2</v>
      </c>
      <c r="O80" s="13">
        <v>69184.923785166247</v>
      </c>
      <c r="P80" s="58">
        <f t="shared" si="10"/>
        <v>184433792.41328621</v>
      </c>
    </row>
    <row r="81" spans="1:16" outlineLevel="1" x14ac:dyDescent="0.2">
      <c r="A81" s="20">
        <f t="shared" si="29"/>
        <v>3581</v>
      </c>
      <c r="B81" s="19" t="str">
        <f t="shared" si="29"/>
        <v>Lamar</v>
      </c>
      <c r="C81" s="58">
        <f t="shared" si="7"/>
        <v>2143.4464020667288</v>
      </c>
      <c r="D81" s="15">
        <f t="shared" ref="D81:M81" si="43">D123*D173</f>
        <v>400.59999999999997</v>
      </c>
      <c r="E81" s="14">
        <f t="shared" si="43"/>
        <v>70.171766666666656</v>
      </c>
      <c r="F81" s="14">
        <f t="shared" si="43"/>
        <v>137.66196873339072</v>
      </c>
      <c r="G81" s="13">
        <f t="shared" si="43"/>
        <v>805.47000000000492</v>
      </c>
      <c r="H81" s="15">
        <f t="shared" si="43"/>
        <v>99</v>
      </c>
      <c r="I81" s="13">
        <f t="shared" si="43"/>
        <v>5.0999999999999996</v>
      </c>
      <c r="J81" s="16">
        <f t="shared" si="43"/>
        <v>45.536000000000001</v>
      </c>
      <c r="K81" s="15">
        <f t="shared" si="43"/>
        <v>214.46666666666667</v>
      </c>
      <c r="L81" s="14">
        <f t="shared" si="43"/>
        <v>193.57</v>
      </c>
      <c r="M81" s="13">
        <f t="shared" si="43"/>
        <v>171.87</v>
      </c>
      <c r="N81" s="87">
        <v>3</v>
      </c>
      <c r="O81" s="13">
        <v>64130.952037511772</v>
      </c>
      <c r="P81" s="58">
        <f t="shared" si="10"/>
        <v>137461258.40591857</v>
      </c>
    </row>
    <row r="82" spans="1:16" outlineLevel="1" x14ac:dyDescent="0.2">
      <c r="A82" s="20">
        <f t="shared" si="29"/>
        <v>3606</v>
      </c>
      <c r="B82" s="19" t="str">
        <f t="shared" si="29"/>
        <v>SHSU</v>
      </c>
      <c r="C82" s="58">
        <f t="shared" si="7"/>
        <v>4378.1744067947939</v>
      </c>
      <c r="D82" s="15">
        <f t="shared" ref="D82:M82" si="44">D124*D174</f>
        <v>923.3</v>
      </c>
      <c r="E82" s="14">
        <f t="shared" si="44"/>
        <v>270.83466666666664</v>
      </c>
      <c r="F82" s="14">
        <f t="shared" si="44"/>
        <v>183.5674067947576</v>
      </c>
      <c r="G82" s="13">
        <f t="shared" si="44"/>
        <v>1751.1230000000367</v>
      </c>
      <c r="H82" s="15">
        <f t="shared" si="44"/>
        <v>50.1</v>
      </c>
      <c r="I82" s="13">
        <f t="shared" si="44"/>
        <v>18.3</v>
      </c>
      <c r="J82" s="16">
        <f t="shared" si="44"/>
        <v>106.256</v>
      </c>
      <c r="K82" s="15">
        <f t="shared" si="44"/>
        <v>389.43333333333339</v>
      </c>
      <c r="L82" s="14">
        <f t="shared" si="44"/>
        <v>385.49333333333334</v>
      </c>
      <c r="M82" s="13">
        <f t="shared" si="44"/>
        <v>299.76666666666665</v>
      </c>
      <c r="N82" s="87">
        <v>3</v>
      </c>
      <c r="O82" s="13">
        <v>64130.952037511772</v>
      </c>
      <c r="P82" s="58">
        <f t="shared" si="10"/>
        <v>280776492.89401847</v>
      </c>
    </row>
    <row r="83" spans="1:16" outlineLevel="1" x14ac:dyDescent="0.2">
      <c r="A83" s="20">
        <f t="shared" si="29"/>
        <v>3615</v>
      </c>
      <c r="B83" s="19" t="str">
        <f t="shared" si="29"/>
        <v>TXST</v>
      </c>
      <c r="C83" s="58">
        <f t="shared" si="7"/>
        <v>7484.7405151976709</v>
      </c>
      <c r="D83" s="15">
        <f t="shared" ref="D83:M83" si="45">D125*D175</f>
        <v>1608.3</v>
      </c>
      <c r="E83" s="14">
        <f t="shared" si="45"/>
        <v>678.70260000000007</v>
      </c>
      <c r="F83" s="14">
        <f t="shared" si="45"/>
        <v>234.06891519786396</v>
      </c>
      <c r="G83" s="13">
        <f t="shared" si="45"/>
        <v>3131.1929999998069</v>
      </c>
      <c r="H83" s="15">
        <f t="shared" si="45"/>
        <v>146.6</v>
      </c>
      <c r="I83" s="13">
        <f t="shared" si="45"/>
        <v>20</v>
      </c>
      <c r="J83" s="16">
        <f t="shared" si="45"/>
        <v>176.416</v>
      </c>
      <c r="K83" s="15">
        <f t="shared" si="45"/>
        <v>522.9233333333334</v>
      </c>
      <c r="L83" s="14">
        <f t="shared" si="45"/>
        <v>502.10999999999996</v>
      </c>
      <c r="M83" s="13">
        <f t="shared" si="45"/>
        <v>464.42666666666673</v>
      </c>
      <c r="N83" s="87">
        <v>3</v>
      </c>
      <c r="O83" s="13">
        <v>64130.952037511772</v>
      </c>
      <c r="P83" s="58">
        <f t="shared" si="10"/>
        <v>480003534.99336296</v>
      </c>
    </row>
    <row r="84" spans="1:16" outlineLevel="1" x14ac:dyDescent="0.2">
      <c r="A84" s="20">
        <f t="shared" si="29"/>
        <v>3625</v>
      </c>
      <c r="B84" s="19" t="str">
        <f t="shared" si="29"/>
        <v>SRSU</v>
      </c>
      <c r="C84" s="58">
        <f t="shared" si="7"/>
        <v>391.12272256243051</v>
      </c>
      <c r="D84" s="15">
        <f t="shared" ref="D84:M84" si="46">D126*D176</f>
        <v>56.800000000000004</v>
      </c>
      <c r="E84" s="14">
        <f t="shared" si="46"/>
        <v>8.5483999999999991</v>
      </c>
      <c r="F84" s="14">
        <f t="shared" si="46"/>
        <v>116.39132256243057</v>
      </c>
      <c r="G84" s="13">
        <f t="shared" si="46"/>
        <v>118.29899999999989</v>
      </c>
      <c r="H84" s="15">
        <f t="shared" si="46"/>
        <v>3.8</v>
      </c>
      <c r="I84" s="13">
        <f t="shared" si="46"/>
        <v>1.9</v>
      </c>
      <c r="J84" s="16">
        <f t="shared" si="46"/>
        <v>7.8239999999999998</v>
      </c>
      <c r="K84" s="15">
        <f t="shared" si="46"/>
        <v>30</v>
      </c>
      <c r="L84" s="14">
        <f t="shared" si="46"/>
        <v>25.176666666666666</v>
      </c>
      <c r="M84" s="13">
        <f t="shared" si="46"/>
        <v>22.383333333333333</v>
      </c>
      <c r="N84" s="87">
        <v>3</v>
      </c>
      <c r="O84" s="13">
        <v>64130.952037511772</v>
      </c>
      <c r="P84" s="58">
        <f t="shared" si="10"/>
        <v>25083072.561432254</v>
      </c>
    </row>
    <row r="85" spans="1:16" outlineLevel="1" x14ac:dyDescent="0.2">
      <c r="A85" s="20">
        <f t="shared" si="29"/>
        <v>20</v>
      </c>
      <c r="B85" s="19" t="str">
        <f t="shared" si="29"/>
        <v>SRRG</v>
      </c>
      <c r="C85" s="58">
        <f t="shared" si="7"/>
        <v>460.72429185133666</v>
      </c>
      <c r="D85" s="15">
        <f t="shared" ref="D85:M85" si="47">D127*D177</f>
        <v>48.499999999999993</v>
      </c>
      <c r="E85" s="14">
        <f t="shared" si="47"/>
        <v>7.7048964927506631</v>
      </c>
      <c r="F85" s="14">
        <f t="shared" si="47"/>
        <v>274.47306202525277</v>
      </c>
      <c r="G85" s="13">
        <f t="shared" si="47"/>
        <v>83.750999999999934</v>
      </c>
      <c r="H85" s="15">
        <f t="shared" si="47"/>
        <v>1.9</v>
      </c>
      <c r="I85" s="13">
        <f t="shared" si="47"/>
        <v>1.7</v>
      </c>
      <c r="J85" s="16">
        <f t="shared" si="47"/>
        <v>6.9119999999999999</v>
      </c>
      <c r="K85" s="15">
        <f t="shared" si="47"/>
        <v>23</v>
      </c>
      <c r="L85" s="14">
        <f t="shared" si="47"/>
        <v>12.046666666666667</v>
      </c>
      <c r="M85" s="13">
        <f t="shared" si="47"/>
        <v>0.73666666666666669</v>
      </c>
      <c r="N85" s="87">
        <v>5</v>
      </c>
      <c r="O85" s="13">
        <v>64633.042238187707</v>
      </c>
      <c r="P85" s="58">
        <f t="shared" si="10"/>
        <v>29778012.615386564</v>
      </c>
    </row>
    <row r="86" spans="1:16" ht="13.5" outlineLevel="1" thickBot="1" x14ac:dyDescent="0.25">
      <c r="A86" s="12"/>
      <c r="B86" s="11" t="s">
        <v>11</v>
      </c>
      <c r="C86" s="57">
        <f t="shared" ref="C86:M86" si="48">SUM(C48:C85)</f>
        <v>121925.53310110039</v>
      </c>
      <c r="D86" s="9">
        <f t="shared" si="48"/>
        <v>23567.45</v>
      </c>
      <c r="E86" s="7">
        <f t="shared" si="48"/>
        <v>9855.5761556036286</v>
      </c>
      <c r="F86" s="7">
        <f t="shared" si="48"/>
        <v>8429.5346121639686</v>
      </c>
      <c r="G86" s="3">
        <f t="shared" si="48"/>
        <v>47893.629333332814</v>
      </c>
      <c r="H86" s="5">
        <f t="shared" si="48"/>
        <v>3827.666666666667</v>
      </c>
      <c r="I86" s="3">
        <f t="shared" si="48"/>
        <v>340.29999999999995</v>
      </c>
      <c r="J86" s="6">
        <f t="shared" si="48"/>
        <v>2502.1146666666668</v>
      </c>
      <c r="K86" s="5">
        <f t="shared" si="48"/>
        <v>9338.723333333337</v>
      </c>
      <c r="L86" s="4">
        <f t="shared" si="48"/>
        <v>8569.9483333333319</v>
      </c>
      <c r="M86" s="3">
        <f t="shared" si="48"/>
        <v>7600.5899999999992</v>
      </c>
      <c r="N86" s="101"/>
      <c r="O86" s="102"/>
      <c r="P86" s="57">
        <f>SUM(P48:P85)</f>
        <v>9341763778.6275539</v>
      </c>
    </row>
    <row r="87" spans="1:16" ht="13.5" thickBot="1" x14ac:dyDescent="0.25">
      <c r="A87" s="69" t="s">
        <v>30</v>
      </c>
    </row>
    <row r="88" spans="1:16" ht="12.75" customHeight="1" outlineLevel="1" x14ac:dyDescent="0.2">
      <c r="A88" s="273" t="s">
        <v>24</v>
      </c>
      <c r="B88" s="275" t="s">
        <v>23</v>
      </c>
      <c r="C88" s="277" t="s">
        <v>77</v>
      </c>
      <c r="D88" s="279" t="s">
        <v>35</v>
      </c>
      <c r="E88" s="280"/>
      <c r="F88" s="280"/>
      <c r="G88" s="281"/>
      <c r="H88" s="282" t="s">
        <v>18</v>
      </c>
      <c r="I88" s="291" t="s">
        <v>17</v>
      </c>
      <c r="J88" s="293" t="s">
        <v>16</v>
      </c>
      <c r="K88" s="295" t="s">
        <v>34</v>
      </c>
      <c r="L88" s="296"/>
      <c r="M88" s="296"/>
      <c r="N88" s="308" t="s">
        <v>99</v>
      </c>
    </row>
    <row r="89" spans="1:16" ht="51.75" outlineLevel="1" thickBot="1" x14ac:dyDescent="0.25">
      <c r="A89" s="274"/>
      <c r="B89" s="276"/>
      <c r="C89" s="278"/>
      <c r="D89" s="68"/>
      <c r="E89" s="67" t="s">
        <v>33</v>
      </c>
      <c r="F89" s="67" t="s">
        <v>32</v>
      </c>
      <c r="G89" s="66" t="s">
        <v>31</v>
      </c>
      <c r="H89" s="283"/>
      <c r="I89" s="292"/>
      <c r="J89" s="294"/>
      <c r="K89" s="44" t="s">
        <v>14</v>
      </c>
      <c r="L89" s="43" t="s">
        <v>13</v>
      </c>
      <c r="M89" s="42" t="s">
        <v>12</v>
      </c>
      <c r="N89" s="309"/>
    </row>
    <row r="90" spans="1:16" outlineLevel="1" x14ac:dyDescent="0.2">
      <c r="A90" s="20">
        <f t="shared" ref="A90:B109" si="49">A5</f>
        <v>3656</v>
      </c>
      <c r="B90" s="19" t="str">
        <f t="shared" si="49"/>
        <v>UTA</v>
      </c>
      <c r="C90" s="90">
        <f>D90+E90+F90+K90+L90+M90</f>
        <v>1</v>
      </c>
      <c r="D90" s="91">
        <f>SUMIF($N$131:$N$135,$N90,D$131:D$135)</f>
        <v>0.3</v>
      </c>
      <c r="E90" s="92">
        <f t="shared" ref="E90:M105" si="50">SUMIF($N$131:$N$135,$N90,E$131:E$135)</f>
        <v>0.2</v>
      </c>
      <c r="F90" s="92">
        <f t="shared" si="50"/>
        <v>0.2</v>
      </c>
      <c r="G90" s="93">
        <f t="shared" si="50"/>
        <v>0.3</v>
      </c>
      <c r="H90" s="91">
        <f t="shared" si="50"/>
        <v>0.3</v>
      </c>
      <c r="I90" s="93">
        <f t="shared" si="50"/>
        <v>0.3</v>
      </c>
      <c r="J90" s="98">
        <f t="shared" si="50"/>
        <v>0.12</v>
      </c>
      <c r="K90" s="91">
        <f t="shared" si="50"/>
        <v>7.0000000000000007E-2</v>
      </c>
      <c r="L90" s="92">
        <f t="shared" si="50"/>
        <v>0.09</v>
      </c>
      <c r="M90" s="93">
        <f t="shared" si="50"/>
        <v>0.14000000000000001</v>
      </c>
      <c r="N90" s="88" t="s">
        <v>83</v>
      </c>
    </row>
    <row r="91" spans="1:16" outlineLevel="1" x14ac:dyDescent="0.2">
      <c r="A91" s="20">
        <f t="shared" si="49"/>
        <v>3658</v>
      </c>
      <c r="B91" s="19" t="str">
        <f t="shared" si="49"/>
        <v>UT</v>
      </c>
      <c r="C91" s="90">
        <f t="shared" ref="C91:C127" si="51">D91+E91+F91+K91+L91+M91</f>
        <v>1</v>
      </c>
      <c r="D91" s="91">
        <f t="shared" ref="D91:M106" si="52">SUMIF($N$131:$N$135,$N91,D$131:D$135)</f>
        <v>0.2</v>
      </c>
      <c r="E91" s="92">
        <f t="shared" si="50"/>
        <v>0.25</v>
      </c>
      <c r="F91" s="92">
        <f t="shared" si="50"/>
        <v>0.25</v>
      </c>
      <c r="G91" s="93">
        <f t="shared" si="50"/>
        <v>0.2</v>
      </c>
      <c r="H91" s="94">
        <f t="shared" si="50"/>
        <v>0.2</v>
      </c>
      <c r="I91" s="95">
        <f t="shared" si="50"/>
        <v>0.2</v>
      </c>
      <c r="J91" s="96">
        <f t="shared" si="50"/>
        <v>8.0000000000000016E-2</v>
      </c>
      <c r="K91" s="94">
        <f t="shared" si="50"/>
        <v>7.0000000000000007E-2</v>
      </c>
      <c r="L91" s="97">
        <f t="shared" si="50"/>
        <v>0.09</v>
      </c>
      <c r="M91" s="95">
        <f t="shared" si="50"/>
        <v>0.14000000000000001</v>
      </c>
      <c r="N91" s="89" t="s">
        <v>82</v>
      </c>
    </row>
    <row r="92" spans="1:16" outlineLevel="1" x14ac:dyDescent="0.2">
      <c r="A92" s="20">
        <f t="shared" si="49"/>
        <v>9741</v>
      </c>
      <c r="B92" s="19" t="str">
        <f t="shared" si="49"/>
        <v>UTD</v>
      </c>
      <c r="C92" s="90">
        <f t="shared" si="51"/>
        <v>1</v>
      </c>
      <c r="D92" s="91">
        <f t="shared" si="52"/>
        <v>0.3</v>
      </c>
      <c r="E92" s="92">
        <f t="shared" si="50"/>
        <v>0.2</v>
      </c>
      <c r="F92" s="92">
        <f t="shared" si="50"/>
        <v>0.2</v>
      </c>
      <c r="G92" s="93">
        <f t="shared" si="50"/>
        <v>0.3</v>
      </c>
      <c r="H92" s="91">
        <f t="shared" si="50"/>
        <v>0.3</v>
      </c>
      <c r="I92" s="93">
        <f t="shared" si="50"/>
        <v>0.3</v>
      </c>
      <c r="J92" s="98">
        <f t="shared" si="50"/>
        <v>0.12</v>
      </c>
      <c r="K92" s="91">
        <f t="shared" si="50"/>
        <v>7.0000000000000007E-2</v>
      </c>
      <c r="L92" s="92">
        <f t="shared" si="50"/>
        <v>0.09</v>
      </c>
      <c r="M92" s="93">
        <f t="shared" si="50"/>
        <v>0.14000000000000001</v>
      </c>
      <c r="N92" s="89" t="s">
        <v>83</v>
      </c>
    </row>
    <row r="93" spans="1:16" outlineLevel="1" x14ac:dyDescent="0.2">
      <c r="A93" s="20">
        <f t="shared" si="49"/>
        <v>3661</v>
      </c>
      <c r="B93" s="19" t="str">
        <f t="shared" si="49"/>
        <v>UTEP</v>
      </c>
      <c r="C93" s="90">
        <f t="shared" si="51"/>
        <v>1</v>
      </c>
      <c r="D93" s="91">
        <f t="shared" si="52"/>
        <v>0.3</v>
      </c>
      <c r="E93" s="92">
        <f t="shared" si="50"/>
        <v>0.2</v>
      </c>
      <c r="F93" s="92">
        <f t="shared" si="50"/>
        <v>0.2</v>
      </c>
      <c r="G93" s="93">
        <f t="shared" si="50"/>
        <v>0.3</v>
      </c>
      <c r="H93" s="91">
        <f t="shared" si="50"/>
        <v>0.3</v>
      </c>
      <c r="I93" s="93">
        <f t="shared" si="50"/>
        <v>0.3</v>
      </c>
      <c r="J93" s="98">
        <f t="shared" si="50"/>
        <v>0.12</v>
      </c>
      <c r="K93" s="91">
        <f t="shared" si="50"/>
        <v>7.0000000000000007E-2</v>
      </c>
      <c r="L93" s="92">
        <f t="shared" si="50"/>
        <v>0.09</v>
      </c>
      <c r="M93" s="93">
        <f t="shared" si="50"/>
        <v>0.14000000000000001</v>
      </c>
      <c r="N93" s="89" t="s">
        <v>83</v>
      </c>
    </row>
    <row r="94" spans="1:16" outlineLevel="1" x14ac:dyDescent="0.2">
      <c r="A94" s="20">
        <f t="shared" si="49"/>
        <v>3599</v>
      </c>
      <c r="B94" s="19" t="str">
        <f t="shared" si="49"/>
        <v>UTPA</v>
      </c>
      <c r="C94" s="90">
        <f t="shared" si="51"/>
        <v>1</v>
      </c>
      <c r="D94" s="91">
        <f t="shared" si="52"/>
        <v>0.3</v>
      </c>
      <c r="E94" s="92">
        <f t="shared" si="50"/>
        <v>0.15</v>
      </c>
      <c r="F94" s="92">
        <f t="shared" si="50"/>
        <v>0.15</v>
      </c>
      <c r="G94" s="93">
        <f t="shared" si="50"/>
        <v>0.3</v>
      </c>
      <c r="H94" s="91">
        <f t="shared" si="50"/>
        <v>0.3</v>
      </c>
      <c r="I94" s="93">
        <f t="shared" si="50"/>
        <v>0.3</v>
      </c>
      <c r="J94" s="98">
        <f t="shared" si="50"/>
        <v>0.12</v>
      </c>
      <c r="K94" s="91">
        <f t="shared" si="50"/>
        <v>0.1</v>
      </c>
      <c r="L94" s="92">
        <f t="shared" si="50"/>
        <v>0.13</v>
      </c>
      <c r="M94" s="93">
        <f t="shared" si="50"/>
        <v>0.17</v>
      </c>
      <c r="N94" s="89" t="s">
        <v>84</v>
      </c>
    </row>
    <row r="95" spans="1:16" outlineLevel="1" x14ac:dyDescent="0.2">
      <c r="A95" s="20">
        <f t="shared" si="49"/>
        <v>30646</v>
      </c>
      <c r="B95" s="19" t="str">
        <f t="shared" si="49"/>
        <v>UTB</v>
      </c>
      <c r="C95" s="90">
        <f t="shared" si="51"/>
        <v>1</v>
      </c>
      <c r="D95" s="91">
        <f t="shared" si="52"/>
        <v>0.3</v>
      </c>
      <c r="E95" s="92">
        <f t="shared" si="50"/>
        <v>0.15</v>
      </c>
      <c r="F95" s="92">
        <f t="shared" si="50"/>
        <v>0.15</v>
      </c>
      <c r="G95" s="93">
        <f t="shared" si="50"/>
        <v>0.3</v>
      </c>
      <c r="H95" s="91">
        <f t="shared" si="50"/>
        <v>0.3</v>
      </c>
      <c r="I95" s="93">
        <f t="shared" si="50"/>
        <v>0.3</v>
      </c>
      <c r="J95" s="98">
        <f t="shared" si="50"/>
        <v>0.12</v>
      </c>
      <c r="K95" s="91">
        <f t="shared" si="50"/>
        <v>0.1</v>
      </c>
      <c r="L95" s="92">
        <f t="shared" si="50"/>
        <v>0.13</v>
      </c>
      <c r="M95" s="93">
        <f t="shared" si="50"/>
        <v>0.17</v>
      </c>
      <c r="N95" s="89" t="s">
        <v>85</v>
      </c>
    </row>
    <row r="96" spans="1:16" outlineLevel="1" x14ac:dyDescent="0.2">
      <c r="A96" s="20">
        <f t="shared" si="49"/>
        <v>9930</v>
      </c>
      <c r="B96" s="19" t="str">
        <f t="shared" si="49"/>
        <v>UTPB</v>
      </c>
      <c r="C96" s="90">
        <f t="shared" si="51"/>
        <v>1</v>
      </c>
      <c r="D96" s="91">
        <f t="shared" si="52"/>
        <v>0.3</v>
      </c>
      <c r="E96" s="92">
        <f t="shared" si="50"/>
        <v>0.15</v>
      </c>
      <c r="F96" s="92">
        <f t="shared" si="50"/>
        <v>0.15</v>
      </c>
      <c r="G96" s="93">
        <f t="shared" si="50"/>
        <v>0.3</v>
      </c>
      <c r="H96" s="91">
        <f t="shared" si="50"/>
        <v>0.3</v>
      </c>
      <c r="I96" s="93">
        <f t="shared" si="50"/>
        <v>0.3</v>
      </c>
      <c r="J96" s="98">
        <f t="shared" si="50"/>
        <v>0.12</v>
      </c>
      <c r="K96" s="91">
        <f t="shared" si="50"/>
        <v>0.1</v>
      </c>
      <c r="L96" s="92">
        <f t="shared" si="50"/>
        <v>0.13</v>
      </c>
      <c r="M96" s="93">
        <f t="shared" si="50"/>
        <v>0.17</v>
      </c>
      <c r="N96" s="89" t="s">
        <v>85</v>
      </c>
    </row>
    <row r="97" spans="1:14" outlineLevel="1" x14ac:dyDescent="0.2">
      <c r="A97" s="20">
        <f t="shared" si="49"/>
        <v>10115</v>
      </c>
      <c r="B97" s="19" t="str">
        <f t="shared" si="49"/>
        <v>UTSA</v>
      </c>
      <c r="C97" s="90">
        <f t="shared" si="51"/>
        <v>1</v>
      </c>
      <c r="D97" s="91">
        <f t="shared" si="52"/>
        <v>0.3</v>
      </c>
      <c r="E97" s="92">
        <f t="shared" si="50"/>
        <v>0.2</v>
      </c>
      <c r="F97" s="92">
        <f t="shared" si="50"/>
        <v>0.2</v>
      </c>
      <c r="G97" s="93">
        <f t="shared" si="50"/>
        <v>0.3</v>
      </c>
      <c r="H97" s="91">
        <f t="shared" si="50"/>
        <v>0.3</v>
      </c>
      <c r="I97" s="93">
        <f t="shared" si="50"/>
        <v>0.3</v>
      </c>
      <c r="J97" s="98">
        <f t="shared" si="50"/>
        <v>0.12</v>
      </c>
      <c r="K97" s="91">
        <f t="shared" si="50"/>
        <v>7.0000000000000007E-2</v>
      </c>
      <c r="L97" s="92">
        <f t="shared" si="50"/>
        <v>0.09</v>
      </c>
      <c r="M97" s="93">
        <f t="shared" si="50"/>
        <v>0.14000000000000001</v>
      </c>
      <c r="N97" s="89" t="s">
        <v>83</v>
      </c>
    </row>
    <row r="98" spans="1:14" outlineLevel="1" x14ac:dyDescent="0.2">
      <c r="A98" s="20">
        <f t="shared" si="49"/>
        <v>11163</v>
      </c>
      <c r="B98" s="19" t="str">
        <f t="shared" si="49"/>
        <v>UTT</v>
      </c>
      <c r="C98" s="90">
        <f t="shared" si="51"/>
        <v>1</v>
      </c>
      <c r="D98" s="91">
        <f t="shared" si="52"/>
        <v>0.3</v>
      </c>
      <c r="E98" s="92">
        <f t="shared" si="50"/>
        <v>0.15</v>
      </c>
      <c r="F98" s="92">
        <f t="shared" si="50"/>
        <v>0.15</v>
      </c>
      <c r="G98" s="93">
        <f t="shared" si="50"/>
        <v>0.3</v>
      </c>
      <c r="H98" s="91">
        <f t="shared" si="50"/>
        <v>0.3</v>
      </c>
      <c r="I98" s="93">
        <f t="shared" si="50"/>
        <v>0.3</v>
      </c>
      <c r="J98" s="98">
        <f t="shared" si="50"/>
        <v>0.12</v>
      </c>
      <c r="K98" s="91">
        <f t="shared" si="50"/>
        <v>0.1</v>
      </c>
      <c r="L98" s="92">
        <f t="shared" si="50"/>
        <v>0.13</v>
      </c>
      <c r="M98" s="93">
        <f t="shared" si="50"/>
        <v>0.17</v>
      </c>
      <c r="N98" s="89" t="s">
        <v>85</v>
      </c>
    </row>
    <row r="99" spans="1:14" outlineLevel="1" x14ac:dyDescent="0.2">
      <c r="A99" s="20">
        <f t="shared" si="49"/>
        <v>3632</v>
      </c>
      <c r="B99" s="19" t="str">
        <f t="shared" si="49"/>
        <v>TAMU</v>
      </c>
      <c r="C99" s="90">
        <f t="shared" si="51"/>
        <v>1</v>
      </c>
      <c r="D99" s="91">
        <f t="shared" si="52"/>
        <v>0.2</v>
      </c>
      <c r="E99" s="92">
        <f t="shared" si="50"/>
        <v>0.25</v>
      </c>
      <c r="F99" s="92">
        <f t="shared" si="50"/>
        <v>0.25</v>
      </c>
      <c r="G99" s="93">
        <f t="shared" si="50"/>
        <v>0.2</v>
      </c>
      <c r="H99" s="94">
        <f t="shared" si="50"/>
        <v>0.2</v>
      </c>
      <c r="I99" s="95">
        <f t="shared" si="50"/>
        <v>0.2</v>
      </c>
      <c r="J99" s="96">
        <f t="shared" si="50"/>
        <v>8.0000000000000016E-2</v>
      </c>
      <c r="K99" s="94">
        <f t="shared" si="50"/>
        <v>7.0000000000000007E-2</v>
      </c>
      <c r="L99" s="97">
        <f t="shared" si="50"/>
        <v>0.09</v>
      </c>
      <c r="M99" s="95">
        <f t="shared" si="50"/>
        <v>0.14000000000000001</v>
      </c>
      <c r="N99" s="89" t="s">
        <v>82</v>
      </c>
    </row>
    <row r="100" spans="1:14" outlineLevel="1" x14ac:dyDescent="0.2">
      <c r="A100" s="20">
        <f t="shared" si="49"/>
        <v>10298</v>
      </c>
      <c r="B100" s="19" t="str">
        <f t="shared" si="49"/>
        <v>TAMUG</v>
      </c>
      <c r="C100" s="90">
        <f t="shared" si="51"/>
        <v>1.5</v>
      </c>
      <c r="D100" s="91">
        <f>SUMIF($N$131:$N$135,$N100,D$131:D$135)*1.5</f>
        <v>0.44999999999999996</v>
      </c>
      <c r="E100" s="92">
        <f t="shared" ref="E100:M100" si="53">SUMIF($N$131:$N$135,$N100,E$131:E$135)*1.5</f>
        <v>0.22499999999999998</v>
      </c>
      <c r="F100" s="92">
        <f t="shared" si="53"/>
        <v>0.22499999999999998</v>
      </c>
      <c r="G100" s="93">
        <f t="shared" si="53"/>
        <v>0.44999999999999996</v>
      </c>
      <c r="H100" s="91">
        <f t="shared" si="53"/>
        <v>0.44999999999999996</v>
      </c>
      <c r="I100" s="93">
        <f t="shared" si="53"/>
        <v>0.44999999999999996</v>
      </c>
      <c r="J100" s="98">
        <f t="shared" si="53"/>
        <v>0.18</v>
      </c>
      <c r="K100" s="91">
        <f t="shared" si="53"/>
        <v>0.15000000000000002</v>
      </c>
      <c r="L100" s="92">
        <f t="shared" si="53"/>
        <v>0.19500000000000001</v>
      </c>
      <c r="M100" s="93">
        <f t="shared" si="53"/>
        <v>0.255</v>
      </c>
      <c r="N100" s="89" t="s">
        <v>85</v>
      </c>
    </row>
    <row r="101" spans="1:14" outlineLevel="1" x14ac:dyDescent="0.2">
      <c r="A101" s="20">
        <f t="shared" si="49"/>
        <v>3630</v>
      </c>
      <c r="B101" s="19" t="str">
        <f t="shared" si="49"/>
        <v>Prairie View</v>
      </c>
      <c r="C101" s="90">
        <f t="shared" si="51"/>
        <v>1</v>
      </c>
      <c r="D101" s="91">
        <f t="shared" si="52"/>
        <v>0.3</v>
      </c>
      <c r="E101" s="92">
        <f t="shared" si="50"/>
        <v>0.15</v>
      </c>
      <c r="F101" s="92">
        <f t="shared" si="50"/>
        <v>0.15</v>
      </c>
      <c r="G101" s="93">
        <f t="shared" si="50"/>
        <v>0.3</v>
      </c>
      <c r="H101" s="91">
        <f t="shared" si="50"/>
        <v>0.3</v>
      </c>
      <c r="I101" s="93">
        <f t="shared" si="50"/>
        <v>0.3</v>
      </c>
      <c r="J101" s="98">
        <f t="shared" si="50"/>
        <v>0.12</v>
      </c>
      <c r="K101" s="91">
        <f t="shared" si="50"/>
        <v>0.1</v>
      </c>
      <c r="L101" s="92">
        <f t="shared" si="50"/>
        <v>0.13</v>
      </c>
      <c r="M101" s="93">
        <f t="shared" si="50"/>
        <v>0.17</v>
      </c>
      <c r="N101" s="89" t="s">
        <v>86</v>
      </c>
    </row>
    <row r="102" spans="1:14" outlineLevel="1" x14ac:dyDescent="0.2">
      <c r="A102" s="20">
        <f t="shared" si="49"/>
        <v>3631</v>
      </c>
      <c r="B102" s="19" t="str">
        <f t="shared" si="49"/>
        <v>Tarleton</v>
      </c>
      <c r="C102" s="90">
        <f t="shared" si="51"/>
        <v>1</v>
      </c>
      <c r="D102" s="91">
        <f t="shared" si="52"/>
        <v>0.3</v>
      </c>
      <c r="E102" s="92">
        <f t="shared" si="50"/>
        <v>0.15</v>
      </c>
      <c r="F102" s="92">
        <f t="shared" si="50"/>
        <v>0.15</v>
      </c>
      <c r="G102" s="93">
        <f t="shared" si="50"/>
        <v>0.3</v>
      </c>
      <c r="H102" s="91">
        <f t="shared" si="50"/>
        <v>0.3</v>
      </c>
      <c r="I102" s="93">
        <f t="shared" si="50"/>
        <v>0.3</v>
      </c>
      <c r="J102" s="98">
        <f t="shared" si="50"/>
        <v>0.12</v>
      </c>
      <c r="K102" s="91">
        <f t="shared" si="50"/>
        <v>0.1</v>
      </c>
      <c r="L102" s="92">
        <f t="shared" si="50"/>
        <v>0.13</v>
      </c>
      <c r="M102" s="93">
        <f t="shared" si="50"/>
        <v>0.17</v>
      </c>
      <c r="N102" s="89" t="s">
        <v>86</v>
      </c>
    </row>
    <row r="103" spans="1:14" outlineLevel="1" x14ac:dyDescent="0.2">
      <c r="A103" s="27">
        <f t="shared" si="49"/>
        <v>103631</v>
      </c>
      <c r="B103" s="19" t="str">
        <f t="shared" si="49"/>
        <v>TAMUCT</v>
      </c>
      <c r="C103" s="90">
        <f t="shared" si="51"/>
        <v>1</v>
      </c>
      <c r="D103" s="91">
        <f t="shared" si="52"/>
        <v>0.3</v>
      </c>
      <c r="E103" s="92">
        <f t="shared" si="50"/>
        <v>0.15</v>
      </c>
      <c r="F103" s="92">
        <f t="shared" si="50"/>
        <v>0.15</v>
      </c>
      <c r="G103" s="93">
        <f t="shared" si="50"/>
        <v>0.3</v>
      </c>
      <c r="H103" s="91">
        <f t="shared" si="50"/>
        <v>0.3</v>
      </c>
      <c r="I103" s="93">
        <f t="shared" si="50"/>
        <v>0.3</v>
      </c>
      <c r="J103" s="98">
        <f t="shared" si="50"/>
        <v>0.12</v>
      </c>
      <c r="K103" s="91">
        <f t="shared" si="50"/>
        <v>0.1</v>
      </c>
      <c r="L103" s="92">
        <f t="shared" si="50"/>
        <v>0.13</v>
      </c>
      <c r="M103" s="93">
        <f t="shared" si="50"/>
        <v>0.17</v>
      </c>
      <c r="N103" s="89" t="s">
        <v>85</v>
      </c>
    </row>
    <row r="104" spans="1:14" outlineLevel="1" x14ac:dyDescent="0.2">
      <c r="A104" s="20">
        <f t="shared" si="49"/>
        <v>11161</v>
      </c>
      <c r="B104" s="19" t="str">
        <f t="shared" si="49"/>
        <v>TAMUCC</v>
      </c>
      <c r="C104" s="90">
        <f t="shared" si="51"/>
        <v>1</v>
      </c>
      <c r="D104" s="91">
        <f t="shared" si="52"/>
        <v>0.3</v>
      </c>
      <c r="E104" s="92">
        <f t="shared" si="50"/>
        <v>0.15</v>
      </c>
      <c r="F104" s="92">
        <f t="shared" si="50"/>
        <v>0.15</v>
      </c>
      <c r="G104" s="93">
        <f t="shared" si="50"/>
        <v>0.3</v>
      </c>
      <c r="H104" s="91">
        <f t="shared" si="50"/>
        <v>0.3</v>
      </c>
      <c r="I104" s="93">
        <f t="shared" si="50"/>
        <v>0.3</v>
      </c>
      <c r="J104" s="98">
        <f t="shared" si="50"/>
        <v>0.12</v>
      </c>
      <c r="K104" s="91">
        <f t="shared" si="50"/>
        <v>0.1</v>
      </c>
      <c r="L104" s="92">
        <f t="shared" si="50"/>
        <v>0.13</v>
      </c>
      <c r="M104" s="93">
        <f t="shared" si="50"/>
        <v>0.17</v>
      </c>
      <c r="N104" s="89" t="s">
        <v>84</v>
      </c>
    </row>
    <row r="105" spans="1:14" outlineLevel="1" x14ac:dyDescent="0.2">
      <c r="A105" s="20">
        <f t="shared" si="49"/>
        <v>3639</v>
      </c>
      <c r="B105" s="19" t="str">
        <f t="shared" si="49"/>
        <v>TAMUK</v>
      </c>
      <c r="C105" s="90">
        <f t="shared" si="51"/>
        <v>1</v>
      </c>
      <c r="D105" s="91">
        <f t="shared" si="52"/>
        <v>0.3</v>
      </c>
      <c r="E105" s="92">
        <f t="shared" si="50"/>
        <v>0.15</v>
      </c>
      <c r="F105" s="92">
        <f t="shared" si="50"/>
        <v>0.15</v>
      </c>
      <c r="G105" s="93">
        <f t="shared" si="50"/>
        <v>0.3</v>
      </c>
      <c r="H105" s="91">
        <f t="shared" si="50"/>
        <v>0.3</v>
      </c>
      <c r="I105" s="93">
        <f t="shared" si="50"/>
        <v>0.3</v>
      </c>
      <c r="J105" s="98">
        <f t="shared" si="50"/>
        <v>0.12</v>
      </c>
      <c r="K105" s="91">
        <f t="shared" si="50"/>
        <v>0.1</v>
      </c>
      <c r="L105" s="92">
        <f t="shared" si="50"/>
        <v>0.13</v>
      </c>
      <c r="M105" s="93">
        <f t="shared" si="50"/>
        <v>0.17</v>
      </c>
      <c r="N105" s="89" t="s">
        <v>84</v>
      </c>
    </row>
    <row r="106" spans="1:14" outlineLevel="1" x14ac:dyDescent="0.2">
      <c r="A106" s="27">
        <f t="shared" si="49"/>
        <v>103639</v>
      </c>
      <c r="B106" s="19" t="str">
        <f t="shared" si="49"/>
        <v>TAMUSA</v>
      </c>
      <c r="C106" s="90">
        <f t="shared" si="51"/>
        <v>1</v>
      </c>
      <c r="D106" s="91">
        <f t="shared" si="52"/>
        <v>0.3</v>
      </c>
      <c r="E106" s="92">
        <f t="shared" si="52"/>
        <v>0.15</v>
      </c>
      <c r="F106" s="92">
        <f t="shared" si="52"/>
        <v>0.15</v>
      </c>
      <c r="G106" s="93">
        <f t="shared" si="52"/>
        <v>0.3</v>
      </c>
      <c r="H106" s="91">
        <f t="shared" si="52"/>
        <v>0.3</v>
      </c>
      <c r="I106" s="93">
        <f t="shared" si="52"/>
        <v>0.3</v>
      </c>
      <c r="J106" s="98">
        <f t="shared" si="52"/>
        <v>0.12</v>
      </c>
      <c r="K106" s="91">
        <f t="shared" si="52"/>
        <v>0.1</v>
      </c>
      <c r="L106" s="92">
        <f t="shared" si="52"/>
        <v>0.13</v>
      </c>
      <c r="M106" s="93">
        <f t="shared" si="52"/>
        <v>0.17</v>
      </c>
      <c r="N106" s="89" t="s">
        <v>85</v>
      </c>
    </row>
    <row r="107" spans="1:14" outlineLevel="1" x14ac:dyDescent="0.2">
      <c r="A107" s="20">
        <f t="shared" si="49"/>
        <v>9651</v>
      </c>
      <c r="B107" s="19" t="str">
        <f t="shared" si="49"/>
        <v>TAMI</v>
      </c>
      <c r="C107" s="90">
        <f t="shared" si="51"/>
        <v>1</v>
      </c>
      <c r="D107" s="91">
        <f t="shared" ref="D107:M122" si="54">SUMIF($N$131:$N$135,$N107,D$131:D$135)</f>
        <v>0.3</v>
      </c>
      <c r="E107" s="92">
        <f t="shared" si="54"/>
        <v>0.15</v>
      </c>
      <c r="F107" s="92">
        <f t="shared" si="54"/>
        <v>0.15</v>
      </c>
      <c r="G107" s="93">
        <f t="shared" si="54"/>
        <v>0.3</v>
      </c>
      <c r="H107" s="91">
        <f t="shared" si="54"/>
        <v>0.3</v>
      </c>
      <c r="I107" s="93">
        <f t="shared" si="54"/>
        <v>0.3</v>
      </c>
      <c r="J107" s="98">
        <f t="shared" si="54"/>
        <v>0.12</v>
      </c>
      <c r="K107" s="91">
        <f t="shared" si="54"/>
        <v>0.1</v>
      </c>
      <c r="L107" s="92">
        <f t="shared" si="54"/>
        <v>0.13</v>
      </c>
      <c r="M107" s="93">
        <f t="shared" si="54"/>
        <v>0.17</v>
      </c>
      <c r="N107" s="89" t="s">
        <v>86</v>
      </c>
    </row>
    <row r="108" spans="1:14" outlineLevel="1" x14ac:dyDescent="0.2">
      <c r="A108" s="20">
        <f t="shared" si="49"/>
        <v>3665</v>
      </c>
      <c r="B108" s="19" t="str">
        <f t="shared" si="49"/>
        <v>WTAMU</v>
      </c>
      <c r="C108" s="90">
        <f t="shared" si="51"/>
        <v>1</v>
      </c>
      <c r="D108" s="91">
        <f t="shared" si="54"/>
        <v>0.3</v>
      </c>
      <c r="E108" s="92">
        <f t="shared" si="54"/>
        <v>0.15</v>
      </c>
      <c r="F108" s="92">
        <f t="shared" si="54"/>
        <v>0.15</v>
      </c>
      <c r="G108" s="93">
        <f t="shared" si="54"/>
        <v>0.3</v>
      </c>
      <c r="H108" s="91">
        <f t="shared" si="54"/>
        <v>0.3</v>
      </c>
      <c r="I108" s="93">
        <f t="shared" si="54"/>
        <v>0.3</v>
      </c>
      <c r="J108" s="98">
        <f t="shared" si="54"/>
        <v>0.12</v>
      </c>
      <c r="K108" s="91">
        <f t="shared" si="54"/>
        <v>0.1</v>
      </c>
      <c r="L108" s="92">
        <f t="shared" si="54"/>
        <v>0.13</v>
      </c>
      <c r="M108" s="93">
        <f t="shared" si="54"/>
        <v>0.17</v>
      </c>
      <c r="N108" s="89" t="s">
        <v>86</v>
      </c>
    </row>
    <row r="109" spans="1:14" outlineLevel="1" x14ac:dyDescent="0.2">
      <c r="A109" s="20">
        <f t="shared" si="49"/>
        <v>3565</v>
      </c>
      <c r="B109" s="19" t="str">
        <f t="shared" si="49"/>
        <v>TAMUC</v>
      </c>
      <c r="C109" s="90">
        <f t="shared" si="51"/>
        <v>1</v>
      </c>
      <c r="D109" s="91">
        <f t="shared" si="54"/>
        <v>0.3</v>
      </c>
      <c r="E109" s="92">
        <f t="shared" si="54"/>
        <v>0.15</v>
      </c>
      <c r="F109" s="92">
        <f t="shared" si="54"/>
        <v>0.15</v>
      </c>
      <c r="G109" s="93">
        <f t="shared" si="54"/>
        <v>0.3</v>
      </c>
      <c r="H109" s="91">
        <f t="shared" si="54"/>
        <v>0.3</v>
      </c>
      <c r="I109" s="93">
        <f t="shared" si="54"/>
        <v>0.3</v>
      </c>
      <c r="J109" s="98">
        <f t="shared" si="54"/>
        <v>0.12</v>
      </c>
      <c r="K109" s="91">
        <f t="shared" si="54"/>
        <v>0.1</v>
      </c>
      <c r="L109" s="92">
        <f t="shared" si="54"/>
        <v>0.13</v>
      </c>
      <c r="M109" s="93">
        <f t="shared" si="54"/>
        <v>0.17</v>
      </c>
      <c r="N109" s="89" t="s">
        <v>84</v>
      </c>
    </row>
    <row r="110" spans="1:14" outlineLevel="1" x14ac:dyDescent="0.2">
      <c r="A110" s="20">
        <f t="shared" ref="A110:B127" si="55">A25</f>
        <v>29269</v>
      </c>
      <c r="B110" s="19" t="str">
        <f t="shared" si="55"/>
        <v>TAMUT</v>
      </c>
      <c r="C110" s="90">
        <f t="shared" si="51"/>
        <v>1</v>
      </c>
      <c r="D110" s="91">
        <f t="shared" si="54"/>
        <v>0.3</v>
      </c>
      <c r="E110" s="92">
        <f t="shared" si="54"/>
        <v>0.15</v>
      </c>
      <c r="F110" s="92">
        <f t="shared" si="54"/>
        <v>0.15</v>
      </c>
      <c r="G110" s="93">
        <f t="shared" si="54"/>
        <v>0.3</v>
      </c>
      <c r="H110" s="91">
        <f t="shared" si="54"/>
        <v>0.3</v>
      </c>
      <c r="I110" s="93">
        <f t="shared" si="54"/>
        <v>0.3</v>
      </c>
      <c r="J110" s="98">
        <f t="shared" si="54"/>
        <v>0.12</v>
      </c>
      <c r="K110" s="91">
        <f t="shared" si="54"/>
        <v>0.1</v>
      </c>
      <c r="L110" s="92">
        <f t="shared" si="54"/>
        <v>0.13</v>
      </c>
      <c r="M110" s="93">
        <f t="shared" si="54"/>
        <v>0.17</v>
      </c>
      <c r="N110" s="89" t="s">
        <v>85</v>
      </c>
    </row>
    <row r="111" spans="1:14" outlineLevel="1" x14ac:dyDescent="0.2">
      <c r="A111" s="20">
        <f t="shared" si="55"/>
        <v>3652</v>
      </c>
      <c r="B111" s="19" t="str">
        <f t="shared" si="55"/>
        <v>UH</v>
      </c>
      <c r="C111" s="90">
        <f t="shared" si="51"/>
        <v>1</v>
      </c>
      <c r="D111" s="91">
        <f t="shared" si="54"/>
        <v>0.3</v>
      </c>
      <c r="E111" s="92">
        <f t="shared" si="54"/>
        <v>0.2</v>
      </c>
      <c r="F111" s="92">
        <f t="shared" si="54"/>
        <v>0.2</v>
      </c>
      <c r="G111" s="93">
        <f t="shared" si="54"/>
        <v>0.3</v>
      </c>
      <c r="H111" s="91">
        <f t="shared" si="54"/>
        <v>0.3</v>
      </c>
      <c r="I111" s="93">
        <f t="shared" si="54"/>
        <v>0.3</v>
      </c>
      <c r="J111" s="98">
        <f t="shared" si="54"/>
        <v>0.12</v>
      </c>
      <c r="K111" s="91">
        <f t="shared" si="54"/>
        <v>7.0000000000000007E-2</v>
      </c>
      <c r="L111" s="92">
        <f t="shared" si="54"/>
        <v>0.09</v>
      </c>
      <c r="M111" s="93">
        <f t="shared" si="54"/>
        <v>0.14000000000000001</v>
      </c>
      <c r="N111" s="89" t="s">
        <v>83</v>
      </c>
    </row>
    <row r="112" spans="1:14" outlineLevel="1" x14ac:dyDescent="0.2">
      <c r="A112" s="20">
        <f t="shared" si="55"/>
        <v>11711</v>
      </c>
      <c r="B112" s="19" t="str">
        <f t="shared" si="55"/>
        <v>UHCL</v>
      </c>
      <c r="C112" s="90">
        <f t="shared" si="51"/>
        <v>1</v>
      </c>
      <c r="D112" s="91">
        <f t="shared" si="54"/>
        <v>0.3</v>
      </c>
      <c r="E112" s="92">
        <f t="shared" si="54"/>
        <v>0.15</v>
      </c>
      <c r="F112" s="92">
        <f t="shared" si="54"/>
        <v>0.15</v>
      </c>
      <c r="G112" s="93">
        <f t="shared" si="54"/>
        <v>0.3</v>
      </c>
      <c r="H112" s="91">
        <f t="shared" si="54"/>
        <v>0.3</v>
      </c>
      <c r="I112" s="93">
        <f t="shared" si="54"/>
        <v>0.3</v>
      </c>
      <c r="J112" s="98">
        <f t="shared" si="54"/>
        <v>0.12</v>
      </c>
      <c r="K112" s="91">
        <f t="shared" si="54"/>
        <v>0.1</v>
      </c>
      <c r="L112" s="92">
        <f t="shared" si="54"/>
        <v>0.13</v>
      </c>
      <c r="M112" s="93">
        <f t="shared" si="54"/>
        <v>0.17</v>
      </c>
      <c r="N112" s="89" t="s">
        <v>85</v>
      </c>
    </row>
    <row r="113" spans="1:19" outlineLevel="1" x14ac:dyDescent="0.2">
      <c r="A113" s="20">
        <f t="shared" si="55"/>
        <v>12826</v>
      </c>
      <c r="B113" s="19" t="str">
        <f t="shared" si="55"/>
        <v>UHD</v>
      </c>
      <c r="C113" s="90">
        <f t="shared" si="51"/>
        <v>1</v>
      </c>
      <c r="D113" s="91">
        <f t="shared" si="54"/>
        <v>0.3</v>
      </c>
      <c r="E113" s="92">
        <f t="shared" si="54"/>
        <v>0.15</v>
      </c>
      <c r="F113" s="92">
        <f t="shared" si="54"/>
        <v>0.15</v>
      </c>
      <c r="G113" s="93">
        <f t="shared" si="54"/>
        <v>0.3</v>
      </c>
      <c r="H113" s="91">
        <f t="shared" si="54"/>
        <v>0.3</v>
      </c>
      <c r="I113" s="93">
        <f t="shared" si="54"/>
        <v>0.3</v>
      </c>
      <c r="J113" s="98">
        <f t="shared" si="54"/>
        <v>0.12</v>
      </c>
      <c r="K113" s="91">
        <f t="shared" si="54"/>
        <v>0.1</v>
      </c>
      <c r="L113" s="92">
        <f t="shared" si="54"/>
        <v>0.13</v>
      </c>
      <c r="M113" s="93">
        <f t="shared" si="54"/>
        <v>0.17</v>
      </c>
      <c r="N113" s="89" t="s">
        <v>85</v>
      </c>
    </row>
    <row r="114" spans="1:19" outlineLevel="1" x14ac:dyDescent="0.2">
      <c r="A114" s="20">
        <f t="shared" si="55"/>
        <v>13231</v>
      </c>
      <c r="B114" s="19" t="str">
        <f t="shared" si="55"/>
        <v>UHV</v>
      </c>
      <c r="C114" s="90">
        <f t="shared" si="51"/>
        <v>1</v>
      </c>
      <c r="D114" s="91">
        <f t="shared" si="54"/>
        <v>0.3</v>
      </c>
      <c r="E114" s="92">
        <f t="shared" si="54"/>
        <v>0.15</v>
      </c>
      <c r="F114" s="92">
        <f t="shared" si="54"/>
        <v>0.15</v>
      </c>
      <c r="G114" s="93">
        <f t="shared" si="54"/>
        <v>0.3</v>
      </c>
      <c r="H114" s="91">
        <f t="shared" si="54"/>
        <v>0.3</v>
      </c>
      <c r="I114" s="93">
        <f t="shared" si="54"/>
        <v>0.3</v>
      </c>
      <c r="J114" s="98">
        <f t="shared" si="54"/>
        <v>0.12</v>
      </c>
      <c r="K114" s="91">
        <f t="shared" si="54"/>
        <v>0.1</v>
      </c>
      <c r="L114" s="92">
        <f t="shared" si="54"/>
        <v>0.13</v>
      </c>
      <c r="M114" s="93">
        <f t="shared" si="54"/>
        <v>0.17</v>
      </c>
      <c r="N114" s="89" t="s">
        <v>85</v>
      </c>
    </row>
    <row r="115" spans="1:19" outlineLevel="1" x14ac:dyDescent="0.2">
      <c r="A115" s="20">
        <f t="shared" si="55"/>
        <v>3592</v>
      </c>
      <c r="B115" s="19" t="str">
        <f t="shared" si="55"/>
        <v>Midwestern</v>
      </c>
      <c r="C115" s="90">
        <f t="shared" si="51"/>
        <v>1</v>
      </c>
      <c r="D115" s="91">
        <f t="shared" si="54"/>
        <v>0.3</v>
      </c>
      <c r="E115" s="92">
        <f t="shared" si="54"/>
        <v>0.15</v>
      </c>
      <c r="F115" s="92">
        <f t="shared" si="54"/>
        <v>0.15</v>
      </c>
      <c r="G115" s="93">
        <f t="shared" si="54"/>
        <v>0.3</v>
      </c>
      <c r="H115" s="91">
        <f t="shared" si="54"/>
        <v>0.3</v>
      </c>
      <c r="I115" s="93">
        <f t="shared" si="54"/>
        <v>0.3</v>
      </c>
      <c r="J115" s="98">
        <f t="shared" si="54"/>
        <v>0.12</v>
      </c>
      <c r="K115" s="91">
        <f t="shared" si="54"/>
        <v>0.1</v>
      </c>
      <c r="L115" s="92">
        <f t="shared" si="54"/>
        <v>0.13</v>
      </c>
      <c r="M115" s="93">
        <f t="shared" si="54"/>
        <v>0.17</v>
      </c>
      <c r="N115" s="89" t="s">
        <v>85</v>
      </c>
    </row>
    <row r="116" spans="1:19" outlineLevel="1" x14ac:dyDescent="0.2">
      <c r="A116" s="20">
        <f t="shared" si="55"/>
        <v>3594</v>
      </c>
      <c r="B116" s="19" t="str">
        <f t="shared" si="55"/>
        <v>UNT</v>
      </c>
      <c r="C116" s="90">
        <f t="shared" si="51"/>
        <v>1</v>
      </c>
      <c r="D116" s="91">
        <f t="shared" si="54"/>
        <v>0.3</v>
      </c>
      <c r="E116" s="92">
        <f t="shared" si="54"/>
        <v>0.2</v>
      </c>
      <c r="F116" s="92">
        <f t="shared" si="54"/>
        <v>0.2</v>
      </c>
      <c r="G116" s="93">
        <f t="shared" si="54"/>
        <v>0.3</v>
      </c>
      <c r="H116" s="91">
        <f t="shared" si="54"/>
        <v>0.3</v>
      </c>
      <c r="I116" s="93">
        <f t="shared" si="54"/>
        <v>0.3</v>
      </c>
      <c r="J116" s="98">
        <f t="shared" si="54"/>
        <v>0.12</v>
      </c>
      <c r="K116" s="91">
        <f t="shared" si="54"/>
        <v>7.0000000000000007E-2</v>
      </c>
      <c r="L116" s="92">
        <f t="shared" si="54"/>
        <v>0.09</v>
      </c>
      <c r="M116" s="93">
        <f t="shared" si="54"/>
        <v>0.14000000000000001</v>
      </c>
      <c r="N116" s="89" t="s">
        <v>83</v>
      </c>
      <c r="Q116" s="151"/>
      <c r="S116" s="151"/>
    </row>
    <row r="117" spans="1:19" outlineLevel="1" x14ac:dyDescent="0.2">
      <c r="A117" s="27">
        <f t="shared" si="55"/>
        <v>113594</v>
      </c>
      <c r="B117" s="19" t="str">
        <f t="shared" si="55"/>
        <v>UNTD</v>
      </c>
      <c r="C117" s="90">
        <f t="shared" si="51"/>
        <v>1</v>
      </c>
      <c r="D117" s="91">
        <f t="shared" si="54"/>
        <v>0.3</v>
      </c>
      <c r="E117" s="92">
        <f t="shared" si="54"/>
        <v>0.15</v>
      </c>
      <c r="F117" s="92">
        <f t="shared" si="54"/>
        <v>0.15</v>
      </c>
      <c r="G117" s="93">
        <f t="shared" si="54"/>
        <v>0.3</v>
      </c>
      <c r="H117" s="91">
        <f t="shared" si="54"/>
        <v>0.3</v>
      </c>
      <c r="I117" s="93">
        <f t="shared" si="54"/>
        <v>0.3</v>
      </c>
      <c r="J117" s="98">
        <f t="shared" si="54"/>
        <v>0.12</v>
      </c>
      <c r="K117" s="91">
        <f t="shared" si="54"/>
        <v>0.1</v>
      </c>
      <c r="L117" s="92">
        <f t="shared" si="54"/>
        <v>0.13</v>
      </c>
      <c r="M117" s="93">
        <f t="shared" si="54"/>
        <v>0.17</v>
      </c>
      <c r="N117" s="89" t="s">
        <v>85</v>
      </c>
    </row>
    <row r="118" spans="1:19" outlineLevel="1" x14ac:dyDescent="0.2">
      <c r="A118" s="20">
        <f t="shared" si="55"/>
        <v>3624</v>
      </c>
      <c r="B118" s="19" t="str">
        <f t="shared" si="55"/>
        <v>SFA</v>
      </c>
      <c r="C118" s="90">
        <f t="shared" si="51"/>
        <v>1</v>
      </c>
      <c r="D118" s="91">
        <f t="shared" si="54"/>
        <v>0.3</v>
      </c>
      <c r="E118" s="92">
        <f t="shared" si="54"/>
        <v>0.15</v>
      </c>
      <c r="F118" s="92">
        <f t="shared" si="54"/>
        <v>0.15</v>
      </c>
      <c r="G118" s="93">
        <f t="shared" si="54"/>
        <v>0.3</v>
      </c>
      <c r="H118" s="91">
        <f t="shared" si="54"/>
        <v>0.3</v>
      </c>
      <c r="I118" s="93">
        <f t="shared" si="54"/>
        <v>0.3</v>
      </c>
      <c r="J118" s="98">
        <f t="shared" si="54"/>
        <v>0.12</v>
      </c>
      <c r="K118" s="91">
        <f t="shared" si="54"/>
        <v>0.1</v>
      </c>
      <c r="L118" s="92">
        <f t="shared" si="54"/>
        <v>0.13</v>
      </c>
      <c r="M118" s="93">
        <f t="shared" si="54"/>
        <v>0.17</v>
      </c>
      <c r="N118" s="89" t="s">
        <v>86</v>
      </c>
    </row>
    <row r="119" spans="1:19" outlineLevel="1" x14ac:dyDescent="0.2">
      <c r="A119" s="20">
        <f t="shared" si="55"/>
        <v>3642</v>
      </c>
      <c r="B119" s="19" t="str">
        <f t="shared" si="55"/>
        <v>TSU</v>
      </c>
      <c r="C119" s="90">
        <f t="shared" si="51"/>
        <v>1</v>
      </c>
      <c r="D119" s="91">
        <f t="shared" si="54"/>
        <v>0.3</v>
      </c>
      <c r="E119" s="92">
        <f t="shared" si="54"/>
        <v>0.15</v>
      </c>
      <c r="F119" s="92">
        <f t="shared" si="54"/>
        <v>0.15</v>
      </c>
      <c r="G119" s="93">
        <f t="shared" si="54"/>
        <v>0.3</v>
      </c>
      <c r="H119" s="91">
        <f t="shared" si="54"/>
        <v>0.3</v>
      </c>
      <c r="I119" s="93">
        <f t="shared" si="54"/>
        <v>0.3</v>
      </c>
      <c r="J119" s="98">
        <f t="shared" si="54"/>
        <v>0.12</v>
      </c>
      <c r="K119" s="91">
        <f t="shared" si="54"/>
        <v>0.1</v>
      </c>
      <c r="L119" s="92">
        <f t="shared" si="54"/>
        <v>0.13</v>
      </c>
      <c r="M119" s="93">
        <f t="shared" si="54"/>
        <v>0.17</v>
      </c>
      <c r="N119" s="89" t="s">
        <v>84</v>
      </c>
    </row>
    <row r="120" spans="1:19" outlineLevel="1" x14ac:dyDescent="0.2">
      <c r="A120" s="20">
        <f t="shared" si="55"/>
        <v>3644</v>
      </c>
      <c r="B120" s="19" t="str">
        <f t="shared" si="55"/>
        <v>TTU</v>
      </c>
      <c r="C120" s="90">
        <f t="shared" si="51"/>
        <v>1</v>
      </c>
      <c r="D120" s="91">
        <f t="shared" si="54"/>
        <v>0.3</v>
      </c>
      <c r="E120" s="92">
        <f t="shared" si="54"/>
        <v>0.2</v>
      </c>
      <c r="F120" s="92">
        <f t="shared" si="54"/>
        <v>0.2</v>
      </c>
      <c r="G120" s="93">
        <f t="shared" si="54"/>
        <v>0.3</v>
      </c>
      <c r="H120" s="91">
        <f t="shared" si="54"/>
        <v>0.3</v>
      </c>
      <c r="I120" s="93">
        <f t="shared" si="54"/>
        <v>0.3</v>
      </c>
      <c r="J120" s="98">
        <f t="shared" si="54"/>
        <v>0.12</v>
      </c>
      <c r="K120" s="91">
        <f t="shared" si="54"/>
        <v>7.0000000000000007E-2</v>
      </c>
      <c r="L120" s="92">
        <f t="shared" si="54"/>
        <v>0.09</v>
      </c>
      <c r="M120" s="93">
        <f t="shared" si="54"/>
        <v>0.14000000000000001</v>
      </c>
      <c r="N120" s="89" t="s">
        <v>83</v>
      </c>
    </row>
    <row r="121" spans="1:19" outlineLevel="1" x14ac:dyDescent="0.2">
      <c r="A121" s="20">
        <f t="shared" si="55"/>
        <v>3541</v>
      </c>
      <c r="B121" s="19" t="str">
        <f t="shared" si="55"/>
        <v>Angelo</v>
      </c>
      <c r="C121" s="90">
        <f t="shared" si="51"/>
        <v>1</v>
      </c>
      <c r="D121" s="91">
        <f t="shared" si="54"/>
        <v>0.3</v>
      </c>
      <c r="E121" s="92">
        <f t="shared" si="54"/>
        <v>0.15</v>
      </c>
      <c r="F121" s="92">
        <f t="shared" si="54"/>
        <v>0.15</v>
      </c>
      <c r="G121" s="93">
        <f t="shared" si="54"/>
        <v>0.3</v>
      </c>
      <c r="H121" s="91">
        <f t="shared" si="54"/>
        <v>0.3</v>
      </c>
      <c r="I121" s="93">
        <f t="shared" si="54"/>
        <v>0.3</v>
      </c>
      <c r="J121" s="98">
        <f t="shared" si="54"/>
        <v>0.12</v>
      </c>
      <c r="K121" s="91">
        <f t="shared" si="54"/>
        <v>0.1</v>
      </c>
      <c r="L121" s="92">
        <f t="shared" si="54"/>
        <v>0.13</v>
      </c>
      <c r="M121" s="93">
        <f t="shared" si="54"/>
        <v>0.17</v>
      </c>
      <c r="N121" s="89" t="s">
        <v>85</v>
      </c>
    </row>
    <row r="122" spans="1:19" outlineLevel="1" x14ac:dyDescent="0.2">
      <c r="A122" s="20">
        <f t="shared" si="55"/>
        <v>3646</v>
      </c>
      <c r="B122" s="19" t="str">
        <f t="shared" si="55"/>
        <v>TWU</v>
      </c>
      <c r="C122" s="90">
        <f t="shared" si="51"/>
        <v>1</v>
      </c>
      <c r="D122" s="91">
        <f t="shared" si="54"/>
        <v>0.3</v>
      </c>
      <c r="E122" s="92">
        <f t="shared" si="54"/>
        <v>0.15</v>
      </c>
      <c r="F122" s="92">
        <f t="shared" si="54"/>
        <v>0.15</v>
      </c>
      <c r="G122" s="93">
        <f t="shared" si="54"/>
        <v>0.3</v>
      </c>
      <c r="H122" s="91">
        <f t="shared" si="54"/>
        <v>0.3</v>
      </c>
      <c r="I122" s="93">
        <f t="shared" si="54"/>
        <v>0.3</v>
      </c>
      <c r="J122" s="98">
        <f t="shared" si="54"/>
        <v>0.12</v>
      </c>
      <c r="K122" s="91">
        <f t="shared" si="54"/>
        <v>0.1</v>
      </c>
      <c r="L122" s="92">
        <f t="shared" si="54"/>
        <v>0.13</v>
      </c>
      <c r="M122" s="93">
        <f t="shared" si="54"/>
        <v>0.17</v>
      </c>
      <c r="N122" s="89" t="s">
        <v>84</v>
      </c>
    </row>
    <row r="123" spans="1:19" outlineLevel="1" x14ac:dyDescent="0.2">
      <c r="A123" s="20">
        <f t="shared" si="55"/>
        <v>3581</v>
      </c>
      <c r="B123" s="19" t="str">
        <f t="shared" si="55"/>
        <v>Lamar</v>
      </c>
      <c r="C123" s="90">
        <f t="shared" si="51"/>
        <v>1</v>
      </c>
      <c r="D123" s="91">
        <f t="shared" ref="D123:M127" si="56">SUMIF($N$131:$N$135,$N123,D$131:D$135)</f>
        <v>0.3</v>
      </c>
      <c r="E123" s="92">
        <f t="shared" si="56"/>
        <v>0.15</v>
      </c>
      <c r="F123" s="92">
        <f t="shared" si="56"/>
        <v>0.15</v>
      </c>
      <c r="G123" s="93">
        <f t="shared" si="56"/>
        <v>0.3</v>
      </c>
      <c r="H123" s="91">
        <f t="shared" si="56"/>
        <v>0.3</v>
      </c>
      <c r="I123" s="93">
        <f t="shared" si="56"/>
        <v>0.3</v>
      </c>
      <c r="J123" s="98">
        <f t="shared" si="56"/>
        <v>0.12</v>
      </c>
      <c r="K123" s="91">
        <f t="shared" si="56"/>
        <v>0.1</v>
      </c>
      <c r="L123" s="92">
        <f t="shared" si="56"/>
        <v>0.13</v>
      </c>
      <c r="M123" s="93">
        <f t="shared" si="56"/>
        <v>0.17</v>
      </c>
      <c r="N123" s="89" t="s">
        <v>86</v>
      </c>
    </row>
    <row r="124" spans="1:19" outlineLevel="1" x14ac:dyDescent="0.2">
      <c r="A124" s="20">
        <f t="shared" si="55"/>
        <v>3606</v>
      </c>
      <c r="B124" s="19" t="str">
        <f t="shared" si="55"/>
        <v>SHSU</v>
      </c>
      <c r="C124" s="90">
        <f t="shared" si="51"/>
        <v>1</v>
      </c>
      <c r="D124" s="91">
        <f t="shared" si="56"/>
        <v>0.3</v>
      </c>
      <c r="E124" s="92">
        <f t="shared" si="56"/>
        <v>0.15</v>
      </c>
      <c r="F124" s="92">
        <f t="shared" si="56"/>
        <v>0.15</v>
      </c>
      <c r="G124" s="93">
        <f t="shared" si="56"/>
        <v>0.3</v>
      </c>
      <c r="H124" s="91">
        <f t="shared" si="56"/>
        <v>0.3</v>
      </c>
      <c r="I124" s="93">
        <f t="shared" si="56"/>
        <v>0.3</v>
      </c>
      <c r="J124" s="98">
        <f t="shared" si="56"/>
        <v>0.12</v>
      </c>
      <c r="K124" s="91">
        <f t="shared" si="56"/>
        <v>0.1</v>
      </c>
      <c r="L124" s="92">
        <f t="shared" si="56"/>
        <v>0.13</v>
      </c>
      <c r="M124" s="93">
        <f t="shared" si="56"/>
        <v>0.17</v>
      </c>
      <c r="N124" s="89" t="s">
        <v>84</v>
      </c>
    </row>
    <row r="125" spans="1:19" outlineLevel="1" x14ac:dyDescent="0.2">
      <c r="A125" s="20">
        <f t="shared" si="55"/>
        <v>3615</v>
      </c>
      <c r="B125" s="19" t="str">
        <f t="shared" si="55"/>
        <v>TXST</v>
      </c>
      <c r="C125" s="90">
        <f t="shared" si="51"/>
        <v>1</v>
      </c>
      <c r="D125" s="91">
        <f t="shared" si="56"/>
        <v>0.3</v>
      </c>
      <c r="E125" s="92">
        <f t="shared" si="56"/>
        <v>0.2</v>
      </c>
      <c r="F125" s="92">
        <f t="shared" si="56"/>
        <v>0.2</v>
      </c>
      <c r="G125" s="93">
        <f t="shared" si="56"/>
        <v>0.3</v>
      </c>
      <c r="H125" s="91">
        <f t="shared" si="56"/>
        <v>0.3</v>
      </c>
      <c r="I125" s="93">
        <f t="shared" si="56"/>
        <v>0.3</v>
      </c>
      <c r="J125" s="98">
        <f t="shared" si="56"/>
        <v>0.12</v>
      </c>
      <c r="K125" s="91">
        <f t="shared" si="56"/>
        <v>7.0000000000000007E-2</v>
      </c>
      <c r="L125" s="92">
        <f t="shared" si="56"/>
        <v>0.09</v>
      </c>
      <c r="M125" s="93">
        <f t="shared" si="56"/>
        <v>0.14000000000000001</v>
      </c>
      <c r="N125" s="89" t="s">
        <v>83</v>
      </c>
    </row>
    <row r="126" spans="1:19" outlineLevel="1" x14ac:dyDescent="0.2">
      <c r="A126" s="20">
        <f t="shared" si="55"/>
        <v>3625</v>
      </c>
      <c r="B126" s="19" t="str">
        <f t="shared" si="55"/>
        <v>SRSU</v>
      </c>
      <c r="C126" s="90">
        <f t="shared" si="51"/>
        <v>1</v>
      </c>
      <c r="D126" s="91">
        <f t="shared" si="56"/>
        <v>0.3</v>
      </c>
      <c r="E126" s="92">
        <f t="shared" si="56"/>
        <v>0.15</v>
      </c>
      <c r="F126" s="92">
        <f t="shared" si="56"/>
        <v>0.15</v>
      </c>
      <c r="G126" s="93">
        <f t="shared" si="56"/>
        <v>0.3</v>
      </c>
      <c r="H126" s="91">
        <f t="shared" si="56"/>
        <v>0.3</v>
      </c>
      <c r="I126" s="93">
        <f t="shared" si="56"/>
        <v>0.3</v>
      </c>
      <c r="J126" s="98">
        <f t="shared" si="56"/>
        <v>0.12</v>
      </c>
      <c r="K126" s="91">
        <f t="shared" si="56"/>
        <v>0.1</v>
      </c>
      <c r="L126" s="92">
        <f t="shared" si="56"/>
        <v>0.13</v>
      </c>
      <c r="M126" s="93">
        <f t="shared" si="56"/>
        <v>0.17</v>
      </c>
      <c r="N126" s="89" t="s">
        <v>85</v>
      </c>
    </row>
    <row r="127" spans="1:19" outlineLevel="1" x14ac:dyDescent="0.2">
      <c r="A127" s="20">
        <f t="shared" si="55"/>
        <v>20</v>
      </c>
      <c r="B127" s="19" t="str">
        <f t="shared" si="55"/>
        <v>SRRG</v>
      </c>
      <c r="C127" s="90">
        <f t="shared" si="51"/>
        <v>1</v>
      </c>
      <c r="D127" s="91">
        <f t="shared" si="56"/>
        <v>0.3</v>
      </c>
      <c r="E127" s="92">
        <f t="shared" si="56"/>
        <v>0.15</v>
      </c>
      <c r="F127" s="92">
        <f t="shared" si="56"/>
        <v>0.15</v>
      </c>
      <c r="G127" s="93">
        <f t="shared" si="56"/>
        <v>0.3</v>
      </c>
      <c r="H127" s="91">
        <f t="shared" si="56"/>
        <v>0.3</v>
      </c>
      <c r="I127" s="93">
        <f t="shared" si="56"/>
        <v>0.3</v>
      </c>
      <c r="J127" s="98">
        <f t="shared" si="56"/>
        <v>0.12</v>
      </c>
      <c r="K127" s="91">
        <f t="shared" si="56"/>
        <v>0.1</v>
      </c>
      <c r="L127" s="92">
        <f t="shared" si="56"/>
        <v>0.13</v>
      </c>
      <c r="M127" s="93">
        <f t="shared" si="56"/>
        <v>0.17</v>
      </c>
      <c r="N127" s="89" t="s">
        <v>85</v>
      </c>
    </row>
    <row r="128" spans="1:19" ht="13.5" thickBot="1" x14ac:dyDescent="0.25">
      <c r="A128" s="121" t="s">
        <v>89</v>
      </c>
      <c r="B128" s="72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20"/>
    </row>
    <row r="129" spans="1:14" x14ac:dyDescent="0.2">
      <c r="A129" s="118"/>
      <c r="B129" s="72"/>
      <c r="C129" s="277" t="s">
        <v>77</v>
      </c>
      <c r="D129" s="279" t="s">
        <v>35</v>
      </c>
      <c r="E129" s="280"/>
      <c r="F129" s="280"/>
      <c r="G129" s="281"/>
      <c r="H129" s="282" t="s">
        <v>18</v>
      </c>
      <c r="I129" s="291" t="s">
        <v>17</v>
      </c>
      <c r="J129" s="293" t="s">
        <v>16</v>
      </c>
      <c r="K129" s="295" t="s">
        <v>34</v>
      </c>
      <c r="L129" s="296"/>
      <c r="M129" s="296"/>
      <c r="N129" s="308" t="s">
        <v>96</v>
      </c>
    </row>
    <row r="130" spans="1:14" ht="51.75" thickBot="1" x14ac:dyDescent="0.25">
      <c r="A130" s="118"/>
      <c r="B130" s="72"/>
      <c r="C130" s="278"/>
      <c r="D130" s="68"/>
      <c r="E130" s="67" t="s">
        <v>33</v>
      </c>
      <c r="F130" s="67" t="s">
        <v>32</v>
      </c>
      <c r="G130" s="115" t="s">
        <v>31</v>
      </c>
      <c r="H130" s="283"/>
      <c r="I130" s="292"/>
      <c r="J130" s="294"/>
      <c r="K130" s="44" t="s">
        <v>14</v>
      </c>
      <c r="L130" s="43" t="s">
        <v>13</v>
      </c>
      <c r="M130" s="42" t="s">
        <v>12</v>
      </c>
      <c r="N130" s="309"/>
    </row>
    <row r="131" spans="1:14" x14ac:dyDescent="0.2">
      <c r="A131" s="118"/>
      <c r="B131" s="72"/>
      <c r="C131" s="122">
        <v>1</v>
      </c>
      <c r="D131" s="123">
        <v>0.2</v>
      </c>
      <c r="E131" s="124">
        <v>0.25</v>
      </c>
      <c r="F131" s="124">
        <v>0.25</v>
      </c>
      <c r="G131" s="125">
        <v>0.2</v>
      </c>
      <c r="H131" s="126">
        <v>0.2</v>
      </c>
      <c r="I131" s="127">
        <v>0.2</v>
      </c>
      <c r="J131" s="128">
        <v>8.0000000000000016E-2</v>
      </c>
      <c r="K131" s="126">
        <v>7.0000000000000007E-2</v>
      </c>
      <c r="L131" s="129">
        <v>0.09</v>
      </c>
      <c r="M131" s="127">
        <v>0.14000000000000001</v>
      </c>
      <c r="N131" s="88" t="s">
        <v>82</v>
      </c>
    </row>
    <row r="132" spans="1:14" x14ac:dyDescent="0.2">
      <c r="A132" s="118"/>
      <c r="B132" s="72"/>
      <c r="C132" s="122">
        <v>1</v>
      </c>
      <c r="D132" s="130">
        <v>0.3</v>
      </c>
      <c r="E132" s="131">
        <v>0.2</v>
      </c>
      <c r="F132" s="131">
        <v>0.2</v>
      </c>
      <c r="G132" s="132">
        <v>0.3</v>
      </c>
      <c r="H132" s="130">
        <v>0.3</v>
      </c>
      <c r="I132" s="132">
        <v>0.3</v>
      </c>
      <c r="J132" s="133">
        <v>0.12</v>
      </c>
      <c r="K132" s="123">
        <v>7.0000000000000007E-2</v>
      </c>
      <c r="L132" s="134">
        <v>0.09</v>
      </c>
      <c r="M132" s="125">
        <v>0.14000000000000001</v>
      </c>
      <c r="N132" s="89" t="s">
        <v>83</v>
      </c>
    </row>
    <row r="133" spans="1:14" x14ac:dyDescent="0.2">
      <c r="A133" s="118"/>
      <c r="B133" s="72"/>
      <c r="C133" s="122">
        <v>1</v>
      </c>
      <c r="D133" s="130">
        <v>0.3</v>
      </c>
      <c r="E133" s="135">
        <v>0.15</v>
      </c>
      <c r="F133" s="135">
        <v>0.15</v>
      </c>
      <c r="G133" s="132">
        <v>0.3</v>
      </c>
      <c r="H133" s="130">
        <v>0.3</v>
      </c>
      <c r="I133" s="132">
        <v>0.3</v>
      </c>
      <c r="J133" s="133">
        <v>0.12</v>
      </c>
      <c r="K133" s="130">
        <v>0.1</v>
      </c>
      <c r="L133" s="135">
        <v>0.13</v>
      </c>
      <c r="M133" s="132">
        <v>0.17</v>
      </c>
      <c r="N133" s="89" t="s">
        <v>84</v>
      </c>
    </row>
    <row r="134" spans="1:14" x14ac:dyDescent="0.2">
      <c r="A134" s="118"/>
      <c r="B134" s="72"/>
      <c r="C134" s="122">
        <v>1</v>
      </c>
      <c r="D134" s="130">
        <v>0.3</v>
      </c>
      <c r="E134" s="135">
        <v>0.15</v>
      </c>
      <c r="F134" s="135">
        <v>0.15</v>
      </c>
      <c r="G134" s="132">
        <v>0.3</v>
      </c>
      <c r="H134" s="130">
        <v>0.3</v>
      </c>
      <c r="I134" s="132">
        <v>0.3</v>
      </c>
      <c r="J134" s="133">
        <v>0.12</v>
      </c>
      <c r="K134" s="130">
        <v>0.1</v>
      </c>
      <c r="L134" s="135">
        <v>0.13</v>
      </c>
      <c r="M134" s="132">
        <v>0.17</v>
      </c>
      <c r="N134" s="89" t="s">
        <v>86</v>
      </c>
    </row>
    <row r="135" spans="1:14" x14ac:dyDescent="0.2">
      <c r="A135" s="118"/>
      <c r="B135" s="72"/>
      <c r="C135" s="122">
        <v>1</v>
      </c>
      <c r="D135" s="130">
        <v>0.3</v>
      </c>
      <c r="E135" s="135">
        <v>0.15</v>
      </c>
      <c r="F135" s="135">
        <v>0.15</v>
      </c>
      <c r="G135" s="132">
        <v>0.3</v>
      </c>
      <c r="H135" s="130">
        <v>0.3</v>
      </c>
      <c r="I135" s="132">
        <v>0.3</v>
      </c>
      <c r="J135" s="133">
        <v>0.12</v>
      </c>
      <c r="K135" s="130">
        <v>0.1</v>
      </c>
      <c r="L135" s="135">
        <v>0.13</v>
      </c>
      <c r="M135" s="132">
        <v>0.17</v>
      </c>
      <c r="N135" s="89" t="s">
        <v>85</v>
      </c>
    </row>
    <row r="136" spans="1:14" ht="13.5" thickBot="1" x14ac:dyDescent="0.25">
      <c r="A136" s="69" t="s">
        <v>75</v>
      </c>
    </row>
    <row r="137" spans="1:14" ht="12.75" customHeight="1" outlineLevel="1" x14ac:dyDescent="0.2">
      <c r="A137" s="273" t="s">
        <v>24</v>
      </c>
      <c r="B137" s="275" t="s">
        <v>23</v>
      </c>
      <c r="C137" s="277" t="s">
        <v>36</v>
      </c>
      <c r="D137" s="279" t="s">
        <v>35</v>
      </c>
      <c r="E137" s="280"/>
      <c r="F137" s="280"/>
      <c r="G137" s="281"/>
      <c r="H137" s="282" t="s">
        <v>18</v>
      </c>
      <c r="I137" s="291" t="s">
        <v>17</v>
      </c>
      <c r="J137" s="293" t="s">
        <v>16</v>
      </c>
      <c r="K137" s="295" t="s">
        <v>34</v>
      </c>
      <c r="L137" s="296"/>
      <c r="M137" s="296"/>
    </row>
    <row r="138" spans="1:14" ht="51.75" outlineLevel="1" thickBot="1" x14ac:dyDescent="0.25">
      <c r="A138" s="274"/>
      <c r="B138" s="276"/>
      <c r="C138" s="278"/>
      <c r="D138" s="68"/>
      <c r="E138" s="67" t="s">
        <v>33</v>
      </c>
      <c r="F138" s="67" t="s">
        <v>32</v>
      </c>
      <c r="G138" s="66" t="s">
        <v>31</v>
      </c>
      <c r="H138" s="283"/>
      <c r="I138" s="292"/>
      <c r="J138" s="294"/>
      <c r="K138" s="44" t="s">
        <v>14</v>
      </c>
      <c r="L138" s="43" t="s">
        <v>13</v>
      </c>
      <c r="M138" s="42" t="s">
        <v>12</v>
      </c>
    </row>
    <row r="139" spans="1:14" outlineLevel="1" x14ac:dyDescent="0.2">
      <c r="A139" s="303" t="s">
        <v>79</v>
      </c>
      <c r="B139" s="304"/>
      <c r="C139" s="305"/>
      <c r="D139" s="62">
        <v>1</v>
      </c>
      <c r="E139" s="61">
        <v>1</v>
      </c>
      <c r="F139" s="61">
        <v>50</v>
      </c>
      <c r="G139" s="60">
        <v>1</v>
      </c>
      <c r="H139" s="65">
        <v>1</v>
      </c>
      <c r="I139" s="64">
        <v>1</v>
      </c>
      <c r="J139" s="63">
        <v>0.4</v>
      </c>
      <c r="K139" s="62">
        <v>1</v>
      </c>
      <c r="L139" s="61">
        <v>1</v>
      </c>
      <c r="M139" s="60">
        <v>1</v>
      </c>
    </row>
    <row r="140" spans="1:14" outlineLevel="1" x14ac:dyDescent="0.2">
      <c r="A140" s="20">
        <f t="shared" ref="A140:B159" si="57">A5</f>
        <v>3656</v>
      </c>
      <c r="B140" s="19" t="str">
        <f t="shared" si="57"/>
        <v>UTA</v>
      </c>
      <c r="C140" s="58">
        <f t="shared" ref="C140:C177" si="58">SUM(D140:M140)</f>
        <v>34784.139413902456</v>
      </c>
      <c r="D140" s="15">
        <f t="shared" ref="D140:D149" si="59">D182*D$139</f>
        <v>5018</v>
      </c>
      <c r="E140" s="14">
        <f t="shared" ref="E140:E149" si="60">D182*E182*E$139</f>
        <v>2600.9966666666669</v>
      </c>
      <c r="F140" s="14">
        <f t="shared" ref="F140:F149" si="61">IFERROR(D182/F182*100*F$139,0)</f>
        <v>1480.1894139024141</v>
      </c>
      <c r="G140" s="13">
        <f t="shared" ref="G140:M149" si="62">G182*G$139</f>
        <v>10418.553333333379</v>
      </c>
      <c r="H140" s="36">
        <f t="shared" si="62"/>
        <v>1531.3333333333333</v>
      </c>
      <c r="I140" s="35">
        <f t="shared" si="62"/>
        <v>35</v>
      </c>
      <c r="J140" s="34">
        <f t="shared" si="62"/>
        <v>1246.4000000000001</v>
      </c>
      <c r="K140" s="36">
        <f t="shared" si="62"/>
        <v>6836.333333333333</v>
      </c>
      <c r="L140" s="59">
        <f t="shared" si="62"/>
        <v>3833.6666666666665</v>
      </c>
      <c r="M140" s="35">
        <f t="shared" si="62"/>
        <v>1783.6666666666667</v>
      </c>
    </row>
    <row r="141" spans="1:14" outlineLevel="1" x14ac:dyDescent="0.2">
      <c r="A141" s="20">
        <f t="shared" si="57"/>
        <v>3658</v>
      </c>
      <c r="B141" s="19" t="str">
        <f t="shared" si="57"/>
        <v>UT</v>
      </c>
      <c r="C141" s="58">
        <f t="shared" si="58"/>
        <v>66060.878269723427</v>
      </c>
      <c r="D141" s="15">
        <f t="shared" si="59"/>
        <v>8946.3333333333339</v>
      </c>
      <c r="E141" s="14">
        <f t="shared" si="60"/>
        <v>7416.5103333333345</v>
      </c>
      <c r="F141" s="14">
        <f t="shared" si="61"/>
        <v>1324.8846030562338</v>
      </c>
      <c r="G141" s="13">
        <f t="shared" si="62"/>
        <v>19398.350000000519</v>
      </c>
      <c r="H141" s="15">
        <f t="shared" si="62"/>
        <v>1876.3333333333333</v>
      </c>
      <c r="I141" s="13">
        <f t="shared" si="62"/>
        <v>66</v>
      </c>
      <c r="J141" s="16">
        <f t="shared" si="62"/>
        <v>1388.1333333333334</v>
      </c>
      <c r="K141" s="15">
        <f t="shared" si="62"/>
        <v>9598.3333333333339</v>
      </c>
      <c r="L141" s="14">
        <f t="shared" si="62"/>
        <v>9005.6666666666661</v>
      </c>
      <c r="M141" s="13">
        <f t="shared" si="62"/>
        <v>7040.333333333333</v>
      </c>
    </row>
    <row r="142" spans="1:14" outlineLevel="1" x14ac:dyDescent="0.2">
      <c r="A142" s="20">
        <f t="shared" si="57"/>
        <v>9741</v>
      </c>
      <c r="B142" s="19" t="str">
        <f t="shared" si="57"/>
        <v>UTD</v>
      </c>
      <c r="C142" s="58">
        <f t="shared" si="58"/>
        <v>17970.17035916535</v>
      </c>
      <c r="D142" s="15">
        <f t="shared" si="59"/>
        <v>2393</v>
      </c>
      <c r="E142" s="14">
        <f t="shared" si="60"/>
        <v>1682.279</v>
      </c>
      <c r="F142" s="14">
        <f t="shared" si="61"/>
        <v>1341.4880258319133</v>
      </c>
      <c r="G142" s="13">
        <f t="shared" si="62"/>
        <v>5101.2033333334393</v>
      </c>
      <c r="H142" s="15">
        <f t="shared" si="62"/>
        <v>421.66666666666669</v>
      </c>
      <c r="I142" s="13">
        <f t="shared" si="62"/>
        <v>32</v>
      </c>
      <c r="J142" s="16">
        <f t="shared" si="62"/>
        <v>527.86666666666667</v>
      </c>
      <c r="K142" s="15">
        <f t="shared" si="62"/>
        <v>3315</v>
      </c>
      <c r="L142" s="14">
        <f t="shared" si="62"/>
        <v>2134.3333333333335</v>
      </c>
      <c r="M142" s="13">
        <f t="shared" si="62"/>
        <v>1021.3333333333334</v>
      </c>
    </row>
    <row r="143" spans="1:14" outlineLevel="1" x14ac:dyDescent="0.2">
      <c r="A143" s="20">
        <f t="shared" si="57"/>
        <v>3661</v>
      </c>
      <c r="B143" s="19" t="str">
        <f t="shared" si="57"/>
        <v>UTEP</v>
      </c>
      <c r="C143" s="58">
        <f t="shared" si="58"/>
        <v>23098.251393467981</v>
      </c>
      <c r="D143" s="15">
        <f t="shared" si="59"/>
        <v>3057</v>
      </c>
      <c r="E143" s="14">
        <f t="shared" si="60"/>
        <v>1192.2299999999998</v>
      </c>
      <c r="F143" s="14">
        <f t="shared" si="61"/>
        <v>1143.5447268011671</v>
      </c>
      <c r="G143" s="13">
        <f t="shared" si="62"/>
        <v>6298.0766666668133</v>
      </c>
      <c r="H143" s="15">
        <f t="shared" si="62"/>
        <v>655</v>
      </c>
      <c r="I143" s="13">
        <f t="shared" si="62"/>
        <v>90</v>
      </c>
      <c r="J143" s="16">
        <f t="shared" si="62"/>
        <v>985.73333333333346</v>
      </c>
      <c r="K143" s="15">
        <f t="shared" si="62"/>
        <v>4362.666666666667</v>
      </c>
      <c r="L143" s="14">
        <f t="shared" si="62"/>
        <v>3358</v>
      </c>
      <c r="M143" s="13">
        <f t="shared" si="62"/>
        <v>1956</v>
      </c>
    </row>
    <row r="144" spans="1:14" outlineLevel="1" x14ac:dyDescent="0.2">
      <c r="A144" s="20">
        <f t="shared" si="57"/>
        <v>3599</v>
      </c>
      <c r="B144" s="19" t="str">
        <f t="shared" si="57"/>
        <v>UTPA</v>
      </c>
      <c r="C144" s="58">
        <f t="shared" si="58"/>
        <v>20445.104524975006</v>
      </c>
      <c r="D144" s="15">
        <f t="shared" si="59"/>
        <v>2580</v>
      </c>
      <c r="E144" s="14">
        <f t="shared" si="60"/>
        <v>1111.98</v>
      </c>
      <c r="F144" s="14">
        <f t="shared" si="61"/>
        <v>1024.6245249748918</v>
      </c>
      <c r="G144" s="13">
        <f t="shared" si="62"/>
        <v>5134.1666666667797</v>
      </c>
      <c r="H144" s="15">
        <f t="shared" si="62"/>
        <v>520.33333333333337</v>
      </c>
      <c r="I144" s="13">
        <f t="shared" si="62"/>
        <v>28</v>
      </c>
      <c r="J144" s="16">
        <f t="shared" si="62"/>
        <v>935.33333333333348</v>
      </c>
      <c r="K144" s="15">
        <f t="shared" si="62"/>
        <v>4075.3333333333335</v>
      </c>
      <c r="L144" s="14">
        <f t="shared" si="62"/>
        <v>3096</v>
      </c>
      <c r="M144" s="13">
        <f t="shared" si="62"/>
        <v>1939.3333333333333</v>
      </c>
    </row>
    <row r="145" spans="1:13" outlineLevel="1" x14ac:dyDescent="0.2">
      <c r="A145" s="20">
        <f t="shared" si="57"/>
        <v>30646</v>
      </c>
      <c r="B145" s="19" t="str">
        <f t="shared" si="57"/>
        <v>UTB</v>
      </c>
      <c r="C145" s="58">
        <f t="shared" si="58"/>
        <v>8041.6927429498728</v>
      </c>
      <c r="D145" s="15">
        <f t="shared" si="59"/>
        <v>1092</v>
      </c>
      <c r="E145" s="14">
        <f t="shared" si="60"/>
        <v>628.17092451302005</v>
      </c>
      <c r="F145" s="14">
        <f t="shared" si="61"/>
        <v>1723.0618184368313</v>
      </c>
      <c r="G145" s="13">
        <f t="shared" si="62"/>
        <v>2097.7933333333553</v>
      </c>
      <c r="H145" s="15">
        <f t="shared" si="62"/>
        <v>124.33333333333333</v>
      </c>
      <c r="I145" s="13">
        <f t="shared" si="62"/>
        <v>18.333333333333332</v>
      </c>
      <c r="J145" s="16">
        <f t="shared" si="62"/>
        <v>374.66666666666669</v>
      </c>
      <c r="K145" s="15">
        <f t="shared" si="62"/>
        <v>1326.3333333333333</v>
      </c>
      <c r="L145" s="14">
        <f t="shared" si="62"/>
        <v>556.33333333333337</v>
      </c>
      <c r="M145" s="13">
        <f t="shared" si="62"/>
        <v>100.66666666666667</v>
      </c>
    </row>
    <row r="146" spans="1:13" outlineLevel="1" x14ac:dyDescent="0.2">
      <c r="A146" s="20">
        <f t="shared" si="57"/>
        <v>9930</v>
      </c>
      <c r="B146" s="19" t="str">
        <f t="shared" si="57"/>
        <v>UTPB</v>
      </c>
      <c r="C146" s="58">
        <f t="shared" si="58"/>
        <v>4610.5087321623041</v>
      </c>
      <c r="D146" s="15">
        <f t="shared" si="59"/>
        <v>533.33333333333337</v>
      </c>
      <c r="E146" s="14">
        <f t="shared" si="60"/>
        <v>236.8</v>
      </c>
      <c r="F146" s="14">
        <f t="shared" si="61"/>
        <v>1156.2587321623005</v>
      </c>
      <c r="G146" s="13">
        <f t="shared" si="62"/>
        <v>1001.5166666666704</v>
      </c>
      <c r="H146" s="15">
        <f t="shared" si="62"/>
        <v>41.333333333333336</v>
      </c>
      <c r="I146" s="13">
        <f t="shared" si="62"/>
        <v>10</v>
      </c>
      <c r="J146" s="16">
        <f t="shared" si="62"/>
        <v>159.60000000000002</v>
      </c>
      <c r="K146" s="15">
        <f t="shared" si="62"/>
        <v>785.66666666666663</v>
      </c>
      <c r="L146" s="14">
        <f t="shared" si="62"/>
        <v>491.66666666666669</v>
      </c>
      <c r="M146" s="13">
        <f t="shared" si="62"/>
        <v>194.33333333333334</v>
      </c>
    </row>
    <row r="147" spans="1:13" outlineLevel="1" x14ac:dyDescent="0.2">
      <c r="A147" s="20">
        <f t="shared" si="57"/>
        <v>10115</v>
      </c>
      <c r="B147" s="19" t="str">
        <f t="shared" si="57"/>
        <v>UTSA</v>
      </c>
      <c r="C147" s="58">
        <f t="shared" si="58"/>
        <v>30858.191149512757</v>
      </c>
      <c r="D147" s="15">
        <f t="shared" si="59"/>
        <v>4119.666666666667</v>
      </c>
      <c r="E147" s="14">
        <f t="shared" si="60"/>
        <v>1737.1261111111112</v>
      </c>
      <c r="F147" s="14">
        <f t="shared" si="61"/>
        <v>1012.0517050684201</v>
      </c>
      <c r="G147" s="13">
        <f t="shared" si="62"/>
        <v>8414.213333333224</v>
      </c>
      <c r="H147" s="15">
        <f t="shared" si="62"/>
        <v>392</v>
      </c>
      <c r="I147" s="13">
        <f t="shared" si="62"/>
        <v>49.666666666666664</v>
      </c>
      <c r="J147" s="16">
        <f t="shared" si="62"/>
        <v>1249.4666666666667</v>
      </c>
      <c r="K147" s="15">
        <f t="shared" si="62"/>
        <v>6809.666666666667</v>
      </c>
      <c r="L147" s="14">
        <f t="shared" si="62"/>
        <v>4458.666666666667</v>
      </c>
      <c r="M147" s="13">
        <f t="shared" si="62"/>
        <v>2615.6666666666665</v>
      </c>
    </row>
    <row r="148" spans="1:13" outlineLevel="1" x14ac:dyDescent="0.2">
      <c r="A148" s="20">
        <f t="shared" si="57"/>
        <v>11163</v>
      </c>
      <c r="B148" s="19" t="str">
        <f t="shared" si="57"/>
        <v>UTT</v>
      </c>
      <c r="C148" s="58">
        <f t="shared" si="58"/>
        <v>9110.3570258576055</v>
      </c>
      <c r="D148" s="15">
        <f t="shared" si="59"/>
        <v>1190</v>
      </c>
      <c r="E148" s="14">
        <f t="shared" si="60"/>
        <v>613.64333333333343</v>
      </c>
      <c r="F148" s="14">
        <f t="shared" si="61"/>
        <v>1462.7870258575947</v>
      </c>
      <c r="G148" s="13">
        <f t="shared" si="62"/>
        <v>2362.6600000000103</v>
      </c>
      <c r="H148" s="15">
        <f t="shared" si="62"/>
        <v>376.66666666666669</v>
      </c>
      <c r="I148" s="13">
        <f t="shared" si="62"/>
        <v>14</v>
      </c>
      <c r="J148" s="16">
        <f t="shared" si="62"/>
        <v>376.93333333333339</v>
      </c>
      <c r="K148" s="15">
        <f t="shared" si="62"/>
        <v>1436.3333333333333</v>
      </c>
      <c r="L148" s="14">
        <f t="shared" si="62"/>
        <v>890</v>
      </c>
      <c r="M148" s="13">
        <f t="shared" si="62"/>
        <v>387.33333333333331</v>
      </c>
    </row>
    <row r="149" spans="1:13" outlineLevel="1" x14ac:dyDescent="0.2">
      <c r="A149" s="20">
        <f t="shared" si="57"/>
        <v>3632</v>
      </c>
      <c r="B149" s="19" t="str">
        <f t="shared" si="57"/>
        <v>TAMU</v>
      </c>
      <c r="C149" s="58">
        <f t="shared" si="58"/>
        <v>66697.990772986712</v>
      </c>
      <c r="D149" s="15">
        <f t="shared" si="59"/>
        <v>8739.6666666666661</v>
      </c>
      <c r="E149" s="14">
        <f t="shared" si="60"/>
        <v>7347.1464444444427</v>
      </c>
      <c r="F149" s="14">
        <f t="shared" si="61"/>
        <v>1262.094328542134</v>
      </c>
      <c r="G149" s="13">
        <f t="shared" si="62"/>
        <v>20104.8166666668</v>
      </c>
      <c r="H149" s="15">
        <f t="shared" si="62"/>
        <v>1763</v>
      </c>
      <c r="I149" s="13">
        <f t="shared" si="62"/>
        <v>126</v>
      </c>
      <c r="J149" s="16">
        <f t="shared" si="62"/>
        <v>1489.6000000000001</v>
      </c>
      <c r="K149" s="15">
        <f t="shared" si="62"/>
        <v>10060.666666666666</v>
      </c>
      <c r="L149" s="14">
        <f t="shared" si="62"/>
        <v>8907.3333333333339</v>
      </c>
      <c r="M149" s="13">
        <f t="shared" si="62"/>
        <v>6897.666666666667</v>
      </c>
    </row>
    <row r="150" spans="1:13" outlineLevel="1" x14ac:dyDescent="0.2">
      <c r="A150" s="20">
        <f t="shared" si="57"/>
        <v>10298</v>
      </c>
      <c r="B150" s="19" t="str">
        <f t="shared" si="57"/>
        <v>TAMUG</v>
      </c>
      <c r="C150" s="58">
        <f t="shared" si="58"/>
        <v>3228.9175016236036</v>
      </c>
      <c r="D150" s="15">
        <f>D192*D$139</f>
        <v>275.33333333333331</v>
      </c>
      <c r="E150" s="14">
        <f>D192*E192*E$139</f>
        <v>172.72577777777778</v>
      </c>
      <c r="F150" s="14">
        <f>IFERROR(D192/F192*100*F$139,0)</f>
        <v>819.96505717916136</v>
      </c>
      <c r="G150" s="13">
        <f t="shared" ref="G150:M150" si="63">G192*G$139</f>
        <v>704.02666666666448</v>
      </c>
      <c r="H150" s="15">
        <f t="shared" si="63"/>
        <v>37.333333333333336</v>
      </c>
      <c r="I150" s="13">
        <f t="shared" si="63"/>
        <v>0</v>
      </c>
      <c r="J150" s="16">
        <f t="shared" si="63"/>
        <v>63.2</v>
      </c>
      <c r="K150" s="15">
        <f t="shared" si="63"/>
        <v>592.33333333333337</v>
      </c>
      <c r="L150" s="14">
        <f t="shared" si="63"/>
        <v>318</v>
      </c>
      <c r="M150" s="13">
        <f t="shared" si="63"/>
        <v>246</v>
      </c>
    </row>
    <row r="151" spans="1:13" outlineLevel="1" x14ac:dyDescent="0.2">
      <c r="A151" s="20">
        <f t="shared" si="57"/>
        <v>3630</v>
      </c>
      <c r="B151" s="19" t="str">
        <f t="shared" si="57"/>
        <v>Prairie View</v>
      </c>
      <c r="C151" s="58">
        <f t="shared" si="58"/>
        <v>8549.1549568204082</v>
      </c>
      <c r="D151" s="15">
        <f t="shared" ref="D151:D177" si="64">D193*D$139</f>
        <v>936.33333333333337</v>
      </c>
      <c r="E151" s="14">
        <f t="shared" ref="E151:E177" si="65">D193*E193*E$139</f>
        <v>348.00388888888887</v>
      </c>
      <c r="F151" s="14">
        <f t="shared" ref="F151:F177" si="66">IFERROR(D193/F193*100*F$139,0)</f>
        <v>791.18440126484359</v>
      </c>
      <c r="G151" s="13">
        <f t="shared" ref="G151:M166" si="67">G193*G$139</f>
        <v>2072.9000000000092</v>
      </c>
      <c r="H151" s="15">
        <f t="shared" si="67"/>
        <v>315.66666666666669</v>
      </c>
      <c r="I151" s="13">
        <f t="shared" si="67"/>
        <v>9.6666666666666661</v>
      </c>
      <c r="J151" s="16">
        <f t="shared" si="67"/>
        <v>321.06666666666666</v>
      </c>
      <c r="K151" s="15">
        <f t="shared" si="67"/>
        <v>1668</v>
      </c>
      <c r="L151" s="14">
        <f t="shared" si="67"/>
        <v>1181</v>
      </c>
      <c r="M151" s="13">
        <f t="shared" si="67"/>
        <v>905.33333333333337</v>
      </c>
    </row>
    <row r="152" spans="1:13" outlineLevel="1" x14ac:dyDescent="0.2">
      <c r="A152" s="20">
        <f t="shared" si="57"/>
        <v>3631</v>
      </c>
      <c r="B152" s="19" t="str">
        <f t="shared" si="57"/>
        <v>Tarleton</v>
      </c>
      <c r="C152" s="58">
        <f t="shared" si="58"/>
        <v>11708.867720949642</v>
      </c>
      <c r="D152" s="15">
        <f t="shared" si="64"/>
        <v>1545.3333333333333</v>
      </c>
      <c r="E152" s="14">
        <f t="shared" si="65"/>
        <v>738.66933333333338</v>
      </c>
      <c r="F152" s="14">
        <f t="shared" si="66"/>
        <v>1227.988387616283</v>
      </c>
      <c r="G152" s="13">
        <f t="shared" si="67"/>
        <v>3122.5433333333599</v>
      </c>
      <c r="H152" s="15">
        <f t="shared" si="67"/>
        <v>203</v>
      </c>
      <c r="I152" s="13">
        <f t="shared" si="67"/>
        <v>47.666666666666664</v>
      </c>
      <c r="J152" s="16">
        <f t="shared" si="67"/>
        <v>478</v>
      </c>
      <c r="K152" s="15">
        <f t="shared" si="67"/>
        <v>2154.3333333333335</v>
      </c>
      <c r="L152" s="14">
        <f t="shared" si="67"/>
        <v>1328.6666666666667</v>
      </c>
      <c r="M152" s="13">
        <f t="shared" si="67"/>
        <v>862.66666666666663</v>
      </c>
    </row>
    <row r="153" spans="1:13" outlineLevel="1" x14ac:dyDescent="0.2">
      <c r="A153" s="27">
        <f t="shared" si="57"/>
        <v>103631</v>
      </c>
      <c r="B153" s="19" t="str">
        <f t="shared" si="57"/>
        <v>TAMUCT</v>
      </c>
      <c r="C153" s="58">
        <f t="shared" si="58"/>
        <v>5746.8484761003619</v>
      </c>
      <c r="D153" s="15">
        <f t="shared" si="64"/>
        <v>460.33333333333331</v>
      </c>
      <c r="E153" s="14">
        <f t="shared" si="65"/>
        <v>220.03933333333333</v>
      </c>
      <c r="F153" s="14">
        <f t="shared" si="66"/>
        <v>3379.3924761003623</v>
      </c>
      <c r="G153" s="13">
        <f t="shared" si="67"/>
        <v>853.61666666666588</v>
      </c>
      <c r="H153" s="15">
        <f t="shared" si="67"/>
        <v>40.666666666666664</v>
      </c>
      <c r="I153" s="13">
        <f t="shared" si="67"/>
        <v>0</v>
      </c>
      <c r="J153" s="16">
        <f t="shared" si="67"/>
        <v>130.80000000000001</v>
      </c>
      <c r="K153" s="15">
        <f t="shared" si="67"/>
        <v>495</v>
      </c>
      <c r="L153" s="14">
        <f t="shared" si="67"/>
        <v>133</v>
      </c>
      <c r="M153" s="13">
        <f t="shared" si="67"/>
        <v>34</v>
      </c>
    </row>
    <row r="154" spans="1:13" outlineLevel="1" x14ac:dyDescent="0.2">
      <c r="A154" s="20">
        <f t="shared" si="57"/>
        <v>11161</v>
      </c>
      <c r="B154" s="19" t="str">
        <f t="shared" si="57"/>
        <v>TAMUCC</v>
      </c>
      <c r="C154" s="58">
        <f t="shared" si="58"/>
        <v>11090.965703141053</v>
      </c>
      <c r="D154" s="15">
        <f t="shared" si="64"/>
        <v>1388.3333333333333</v>
      </c>
      <c r="E154" s="14">
        <f t="shared" si="65"/>
        <v>705.27333333333331</v>
      </c>
      <c r="F154" s="14">
        <f t="shared" si="66"/>
        <v>1068.8257031410387</v>
      </c>
      <c r="G154" s="13">
        <f t="shared" si="67"/>
        <v>2804.2000000000139</v>
      </c>
      <c r="H154" s="15">
        <f t="shared" si="67"/>
        <v>266.33333333333331</v>
      </c>
      <c r="I154" s="13">
        <f t="shared" si="67"/>
        <v>25.666666666666668</v>
      </c>
      <c r="J154" s="16">
        <f t="shared" si="67"/>
        <v>432</v>
      </c>
      <c r="K154" s="15">
        <f t="shared" si="67"/>
        <v>2054</v>
      </c>
      <c r="L154" s="14">
        <f t="shared" si="67"/>
        <v>1468</v>
      </c>
      <c r="M154" s="13">
        <f t="shared" si="67"/>
        <v>878.33333333333337</v>
      </c>
    </row>
    <row r="155" spans="1:13" outlineLevel="1" x14ac:dyDescent="0.2">
      <c r="A155" s="20">
        <f t="shared" si="57"/>
        <v>3639</v>
      </c>
      <c r="B155" s="19" t="str">
        <f t="shared" si="57"/>
        <v>TAMUK</v>
      </c>
      <c r="C155" s="58">
        <f t="shared" si="58"/>
        <v>6907.2055164319308</v>
      </c>
      <c r="D155" s="15">
        <f t="shared" si="64"/>
        <v>761.66666666666663</v>
      </c>
      <c r="E155" s="14">
        <f t="shared" si="65"/>
        <v>306.44388888888892</v>
      </c>
      <c r="F155" s="14">
        <f t="shared" si="66"/>
        <v>893.97496087636932</v>
      </c>
      <c r="G155" s="13">
        <f t="shared" si="67"/>
        <v>1763.4533333333395</v>
      </c>
      <c r="H155" s="15">
        <f t="shared" si="67"/>
        <v>260</v>
      </c>
      <c r="I155" s="13">
        <f t="shared" si="67"/>
        <v>16.666666666666668</v>
      </c>
      <c r="J155" s="16">
        <f t="shared" si="67"/>
        <v>259.33333333333337</v>
      </c>
      <c r="K155" s="15">
        <f t="shared" si="67"/>
        <v>1227.3333333333333</v>
      </c>
      <c r="L155" s="14">
        <f t="shared" si="67"/>
        <v>859.66666666666663</v>
      </c>
      <c r="M155" s="13">
        <f t="shared" si="67"/>
        <v>558.66666666666663</v>
      </c>
    </row>
    <row r="156" spans="1:13" outlineLevel="1" x14ac:dyDescent="0.2">
      <c r="A156" s="27">
        <f t="shared" si="57"/>
        <v>103639</v>
      </c>
      <c r="B156" s="19" t="str">
        <f t="shared" si="57"/>
        <v>TAMUSA</v>
      </c>
      <c r="C156" s="58">
        <f t="shared" si="58"/>
        <v>4942.8430131574396</v>
      </c>
      <c r="D156" s="15">
        <f t="shared" si="64"/>
        <v>587.66666666666663</v>
      </c>
      <c r="E156" s="14">
        <f t="shared" si="65"/>
        <v>236.43788888888889</v>
      </c>
      <c r="F156" s="14">
        <f t="shared" si="66"/>
        <v>2079.9251242685459</v>
      </c>
      <c r="G156" s="13">
        <f t="shared" si="67"/>
        <v>1026.0133333333379</v>
      </c>
      <c r="H156" s="15">
        <f t="shared" si="67"/>
        <v>5</v>
      </c>
      <c r="I156" s="13">
        <f t="shared" si="67"/>
        <v>2</v>
      </c>
      <c r="J156" s="16">
        <f t="shared" si="67"/>
        <v>196.13333333333333</v>
      </c>
      <c r="K156" s="15">
        <f t="shared" si="67"/>
        <v>729.66666666666663</v>
      </c>
      <c r="L156" s="14">
        <f t="shared" si="67"/>
        <v>77.333333333333329</v>
      </c>
      <c r="M156" s="13">
        <f t="shared" si="67"/>
        <v>2.6666666666666665</v>
      </c>
    </row>
    <row r="157" spans="1:13" outlineLevel="1" x14ac:dyDescent="0.2">
      <c r="A157" s="20">
        <f t="shared" si="57"/>
        <v>9651</v>
      </c>
      <c r="B157" s="19" t="str">
        <f t="shared" si="57"/>
        <v>TAMI</v>
      </c>
      <c r="C157" s="58">
        <f t="shared" si="58"/>
        <v>6907.3132729646004</v>
      </c>
      <c r="D157" s="15">
        <f t="shared" si="64"/>
        <v>789.66666666666663</v>
      </c>
      <c r="E157" s="14">
        <f t="shared" si="65"/>
        <v>373.77555555555551</v>
      </c>
      <c r="F157" s="14">
        <f t="shared" si="66"/>
        <v>966.30771740903901</v>
      </c>
      <c r="G157" s="13">
        <f t="shared" si="67"/>
        <v>1458.4966666666717</v>
      </c>
      <c r="H157" s="15">
        <f t="shared" si="67"/>
        <v>115.66666666666667</v>
      </c>
      <c r="I157" s="13">
        <f t="shared" si="67"/>
        <v>22.333333333333332</v>
      </c>
      <c r="J157" s="16">
        <f t="shared" si="67"/>
        <v>285.06666666666666</v>
      </c>
      <c r="K157" s="15">
        <f t="shared" si="67"/>
        <v>1406.6666666666667</v>
      </c>
      <c r="L157" s="14">
        <f t="shared" si="67"/>
        <v>1015.6666666666666</v>
      </c>
      <c r="M157" s="13">
        <f t="shared" si="67"/>
        <v>473.66666666666669</v>
      </c>
    </row>
    <row r="158" spans="1:13" outlineLevel="1" x14ac:dyDescent="0.2">
      <c r="A158" s="20">
        <f t="shared" si="57"/>
        <v>3665</v>
      </c>
      <c r="B158" s="19" t="str">
        <f t="shared" si="57"/>
        <v>WTAMU</v>
      </c>
      <c r="C158" s="58">
        <f t="shared" si="58"/>
        <v>9783.3632038127744</v>
      </c>
      <c r="D158" s="15">
        <f t="shared" si="64"/>
        <v>1255.6666666666667</v>
      </c>
      <c r="E158" s="14">
        <f t="shared" si="65"/>
        <v>591.00044444444438</v>
      </c>
      <c r="F158" s="14">
        <f t="shared" si="66"/>
        <v>1159.3860927016435</v>
      </c>
      <c r="G158" s="13">
        <f t="shared" si="67"/>
        <v>2503.5766666666836</v>
      </c>
      <c r="H158" s="15">
        <f t="shared" si="67"/>
        <v>191.66666666666666</v>
      </c>
      <c r="I158" s="13">
        <f t="shared" si="67"/>
        <v>60.666666666666664</v>
      </c>
      <c r="J158" s="16">
        <f t="shared" si="67"/>
        <v>355.73333333333335</v>
      </c>
      <c r="K158" s="15">
        <f t="shared" si="67"/>
        <v>1791.6666666666667</v>
      </c>
      <c r="L158" s="14">
        <f t="shared" si="67"/>
        <v>1212.6666666666667</v>
      </c>
      <c r="M158" s="13">
        <f t="shared" si="67"/>
        <v>661.33333333333337</v>
      </c>
    </row>
    <row r="159" spans="1:13" outlineLevel="1" x14ac:dyDescent="0.2">
      <c r="A159" s="20">
        <f t="shared" si="57"/>
        <v>3565</v>
      </c>
      <c r="B159" s="19" t="str">
        <f t="shared" si="57"/>
        <v>TAMUC</v>
      </c>
      <c r="C159" s="58">
        <f t="shared" si="58"/>
        <v>9856.371768134617</v>
      </c>
      <c r="D159" s="15">
        <f t="shared" si="64"/>
        <v>1324.3333333333333</v>
      </c>
      <c r="E159" s="14">
        <f t="shared" si="65"/>
        <v>582.70666666666659</v>
      </c>
      <c r="F159" s="14">
        <f t="shared" si="66"/>
        <v>1409.7717681345925</v>
      </c>
      <c r="G159" s="13">
        <f t="shared" si="67"/>
        <v>2501.8266666666914</v>
      </c>
      <c r="H159" s="15">
        <f t="shared" si="67"/>
        <v>73</v>
      </c>
      <c r="I159" s="13">
        <f t="shared" si="67"/>
        <v>74.333333333333329</v>
      </c>
      <c r="J159" s="16">
        <f t="shared" si="67"/>
        <v>407.73333333333335</v>
      </c>
      <c r="K159" s="15">
        <f t="shared" si="67"/>
        <v>1893</v>
      </c>
      <c r="L159" s="14">
        <f t="shared" si="67"/>
        <v>1137.3333333333333</v>
      </c>
      <c r="M159" s="13">
        <f t="shared" si="67"/>
        <v>452.33333333333331</v>
      </c>
    </row>
    <row r="160" spans="1:13" outlineLevel="1" x14ac:dyDescent="0.2">
      <c r="A160" s="20">
        <f t="shared" ref="A160:B177" si="68">A25</f>
        <v>29269</v>
      </c>
      <c r="B160" s="19" t="str">
        <f t="shared" si="68"/>
        <v>TAMUT</v>
      </c>
      <c r="C160" s="58">
        <f t="shared" si="58"/>
        <v>3862.1880195561812</v>
      </c>
      <c r="D160" s="15">
        <f t="shared" si="64"/>
        <v>345.66666666666669</v>
      </c>
      <c r="E160" s="14">
        <f t="shared" si="65"/>
        <v>187.3602625468375</v>
      </c>
      <c r="F160" s="14">
        <f t="shared" si="66"/>
        <v>1938.3177570093458</v>
      </c>
      <c r="G160" s="13">
        <f t="shared" si="67"/>
        <v>619.90999999999826</v>
      </c>
      <c r="H160" s="15">
        <f t="shared" si="67"/>
        <v>41.666666666666664</v>
      </c>
      <c r="I160" s="13">
        <f t="shared" si="67"/>
        <v>19.333333333333332</v>
      </c>
      <c r="J160" s="16">
        <f t="shared" si="67"/>
        <v>95.600000000000009</v>
      </c>
      <c r="K160" s="15">
        <f t="shared" si="67"/>
        <v>432.66666666666669</v>
      </c>
      <c r="L160" s="14">
        <f t="shared" si="67"/>
        <v>181</v>
      </c>
      <c r="M160" s="13">
        <f t="shared" si="67"/>
        <v>0.66666666666666663</v>
      </c>
    </row>
    <row r="161" spans="1:14" outlineLevel="1" x14ac:dyDescent="0.2">
      <c r="A161" s="20">
        <f t="shared" si="68"/>
        <v>3652</v>
      </c>
      <c r="B161" s="19" t="str">
        <f t="shared" si="68"/>
        <v>UH</v>
      </c>
      <c r="C161" s="58">
        <f t="shared" si="58"/>
        <v>38233.6173727895</v>
      </c>
      <c r="D161" s="15">
        <f t="shared" si="64"/>
        <v>5098.666666666667</v>
      </c>
      <c r="E161" s="14">
        <f t="shared" si="65"/>
        <v>2734.5848888888891</v>
      </c>
      <c r="F161" s="14">
        <f t="shared" si="66"/>
        <v>1071.2524839013313</v>
      </c>
      <c r="G161" s="13">
        <f t="shared" si="67"/>
        <v>10580.246666665944</v>
      </c>
      <c r="H161" s="15">
        <f t="shared" si="67"/>
        <v>737</v>
      </c>
      <c r="I161" s="13">
        <f t="shared" si="67"/>
        <v>62.666666666666664</v>
      </c>
      <c r="J161" s="16">
        <f t="shared" si="67"/>
        <v>1349.2</v>
      </c>
      <c r="K161" s="15">
        <f t="shared" si="67"/>
        <v>7602.333333333333</v>
      </c>
      <c r="L161" s="14">
        <f t="shared" si="67"/>
        <v>5690.333333333333</v>
      </c>
      <c r="M161" s="13">
        <f t="shared" si="67"/>
        <v>3307.3333333333335</v>
      </c>
    </row>
    <row r="162" spans="1:14" outlineLevel="1" x14ac:dyDescent="0.2">
      <c r="A162" s="20">
        <f t="shared" si="68"/>
        <v>11711</v>
      </c>
      <c r="B162" s="19" t="str">
        <f t="shared" si="68"/>
        <v>UHCL</v>
      </c>
      <c r="C162" s="58">
        <f t="shared" si="58"/>
        <v>8904.3756784305024</v>
      </c>
      <c r="D162" s="15">
        <f t="shared" si="64"/>
        <v>1190.6666666666667</v>
      </c>
      <c r="E162" s="14">
        <f t="shared" si="65"/>
        <v>619.34267935898833</v>
      </c>
      <c r="F162" s="14">
        <f t="shared" si="66"/>
        <v>1984.6796657381617</v>
      </c>
      <c r="G162" s="13">
        <f t="shared" si="67"/>
        <v>2282.9533333333529</v>
      </c>
      <c r="H162" s="15">
        <f t="shared" si="67"/>
        <v>106.66666666666667</v>
      </c>
      <c r="I162" s="13">
        <f t="shared" si="67"/>
        <v>8.3333333333333339</v>
      </c>
      <c r="J162" s="16">
        <f t="shared" si="67"/>
        <v>309.73333333333335</v>
      </c>
      <c r="K162" s="15">
        <f t="shared" si="67"/>
        <v>1391.3333333333333</v>
      </c>
      <c r="L162" s="14">
        <f t="shared" si="67"/>
        <v>953.66666666666663</v>
      </c>
      <c r="M162" s="13">
        <f t="shared" si="67"/>
        <v>57</v>
      </c>
    </row>
    <row r="163" spans="1:14" outlineLevel="1" x14ac:dyDescent="0.2">
      <c r="A163" s="20">
        <f t="shared" si="68"/>
        <v>12826</v>
      </c>
      <c r="B163" s="19" t="str">
        <f t="shared" si="68"/>
        <v>UHD</v>
      </c>
      <c r="C163" s="58">
        <f t="shared" si="58"/>
        <v>14980.011593154361</v>
      </c>
      <c r="D163" s="15">
        <f t="shared" si="64"/>
        <v>2382.3333333333335</v>
      </c>
      <c r="E163" s="14">
        <f t="shared" si="65"/>
        <v>452.64333333333343</v>
      </c>
      <c r="F163" s="14">
        <f t="shared" si="66"/>
        <v>1491.6515931543067</v>
      </c>
      <c r="G163" s="13">
        <f t="shared" si="67"/>
        <v>4271.3166666667212</v>
      </c>
      <c r="H163" s="15">
        <f t="shared" si="67"/>
        <v>129.66666666666666</v>
      </c>
      <c r="I163" s="13">
        <f t="shared" si="67"/>
        <v>1.6666666666666667</v>
      </c>
      <c r="J163" s="16">
        <f t="shared" si="67"/>
        <v>672.40000000000009</v>
      </c>
      <c r="K163" s="15">
        <f t="shared" si="67"/>
        <v>3105.3333333333335</v>
      </c>
      <c r="L163" s="14">
        <f t="shared" si="67"/>
        <v>1868.3333333333333</v>
      </c>
      <c r="M163" s="13">
        <f t="shared" si="67"/>
        <v>604.66666666666663</v>
      </c>
    </row>
    <row r="164" spans="1:14" outlineLevel="1" x14ac:dyDescent="0.2">
      <c r="A164" s="20">
        <f t="shared" si="68"/>
        <v>13231</v>
      </c>
      <c r="B164" s="19" t="str">
        <f t="shared" si="68"/>
        <v>UHV</v>
      </c>
      <c r="C164" s="58">
        <f t="shared" si="58"/>
        <v>5253.5079074618034</v>
      </c>
      <c r="D164" s="15">
        <f t="shared" si="64"/>
        <v>576.66666666666663</v>
      </c>
      <c r="E164" s="14">
        <f t="shared" si="65"/>
        <v>300.19546283886069</v>
      </c>
      <c r="F164" s="14">
        <f t="shared" si="66"/>
        <v>2004.2324446229416</v>
      </c>
      <c r="G164" s="13">
        <f t="shared" si="67"/>
        <v>1084.4800000000012</v>
      </c>
      <c r="H164" s="15">
        <f t="shared" si="67"/>
        <v>108</v>
      </c>
      <c r="I164" s="13">
        <f t="shared" si="67"/>
        <v>7.333333333333333</v>
      </c>
      <c r="J164" s="16">
        <f t="shared" si="67"/>
        <v>153.60000000000002</v>
      </c>
      <c r="K164" s="15">
        <f t="shared" si="67"/>
        <v>716</v>
      </c>
      <c r="L164" s="14">
        <f t="shared" si="67"/>
        <v>296.33333333333331</v>
      </c>
      <c r="M164" s="13">
        <f t="shared" si="67"/>
        <v>6.666666666666667</v>
      </c>
    </row>
    <row r="165" spans="1:14" outlineLevel="1" x14ac:dyDescent="0.2">
      <c r="A165" s="20">
        <f t="shared" si="68"/>
        <v>3592</v>
      </c>
      <c r="B165" s="19" t="str">
        <f t="shared" si="68"/>
        <v>Midwestern</v>
      </c>
      <c r="C165" s="58">
        <f t="shared" si="58"/>
        <v>8441.1716629572893</v>
      </c>
      <c r="D165" s="15">
        <f t="shared" si="64"/>
        <v>1031.6666666666667</v>
      </c>
      <c r="E165" s="14">
        <f t="shared" si="65"/>
        <v>453.24555555555554</v>
      </c>
      <c r="F165" s="14">
        <f t="shared" si="66"/>
        <v>1206.12610740173</v>
      </c>
      <c r="G165" s="13">
        <f t="shared" si="67"/>
        <v>1962.0000000000034</v>
      </c>
      <c r="H165" s="15">
        <f t="shared" si="67"/>
        <v>333.33333333333331</v>
      </c>
      <c r="I165" s="13">
        <f t="shared" si="67"/>
        <v>15</v>
      </c>
      <c r="J165" s="16">
        <f t="shared" si="67"/>
        <v>276.13333333333338</v>
      </c>
      <c r="K165" s="15">
        <f t="shared" si="67"/>
        <v>1438</v>
      </c>
      <c r="L165" s="14">
        <f t="shared" si="67"/>
        <v>1046</v>
      </c>
      <c r="M165" s="13">
        <f t="shared" si="67"/>
        <v>679.66666666666663</v>
      </c>
    </row>
    <row r="166" spans="1:14" outlineLevel="1" x14ac:dyDescent="0.2">
      <c r="A166" s="20">
        <f t="shared" si="68"/>
        <v>3594</v>
      </c>
      <c r="B166" s="19" t="str">
        <f t="shared" si="68"/>
        <v>UNT</v>
      </c>
      <c r="C166" s="58">
        <f t="shared" si="58"/>
        <v>40942.172783858958</v>
      </c>
      <c r="D166" s="15">
        <f t="shared" si="64"/>
        <v>6016.666666666667</v>
      </c>
      <c r="E166" s="14">
        <f t="shared" si="65"/>
        <v>3467.6055555555558</v>
      </c>
      <c r="F166" s="14">
        <f t="shared" si="66"/>
        <v>1294.3472283042063</v>
      </c>
      <c r="G166" s="13">
        <f t="shared" si="67"/>
        <v>11411.553333332529</v>
      </c>
      <c r="H166" s="15">
        <f t="shared" si="67"/>
        <v>336.66666666666669</v>
      </c>
      <c r="I166" s="13">
        <f t="shared" si="67"/>
        <v>43.333333333333336</v>
      </c>
      <c r="J166" s="16">
        <f t="shared" si="67"/>
        <v>1528</v>
      </c>
      <c r="K166" s="15">
        <f t="shared" si="67"/>
        <v>7864.666666666667</v>
      </c>
      <c r="L166" s="14">
        <f t="shared" si="67"/>
        <v>5642.333333333333</v>
      </c>
      <c r="M166" s="13">
        <f t="shared" si="67"/>
        <v>3337</v>
      </c>
    </row>
    <row r="167" spans="1:14" outlineLevel="1" x14ac:dyDescent="0.2">
      <c r="A167" s="27">
        <f t="shared" si="68"/>
        <v>113594</v>
      </c>
      <c r="B167" s="19" t="str">
        <f t="shared" si="68"/>
        <v>UNTD</v>
      </c>
      <c r="C167" s="58">
        <f t="shared" si="58"/>
        <v>4170.6445532694452</v>
      </c>
      <c r="D167" s="15">
        <f t="shared" si="64"/>
        <v>403.5</v>
      </c>
      <c r="E167" s="14">
        <f t="shared" si="65"/>
        <v>233.02125000000001</v>
      </c>
      <c r="F167" s="14">
        <f t="shared" si="66"/>
        <v>2132.3633032694474</v>
      </c>
      <c r="G167" s="13">
        <f t="shared" ref="G167:M177" si="69">G209*G$139</f>
        <v>705.85999999999717</v>
      </c>
      <c r="H167" s="15">
        <f t="shared" si="69"/>
        <v>12</v>
      </c>
      <c r="I167" s="13">
        <f t="shared" si="69"/>
        <v>0</v>
      </c>
      <c r="J167" s="16">
        <f t="shared" si="69"/>
        <v>123.4</v>
      </c>
      <c r="K167" s="15">
        <f t="shared" si="69"/>
        <v>478</v>
      </c>
      <c r="L167" s="14">
        <f t="shared" si="69"/>
        <v>71.5</v>
      </c>
      <c r="M167" s="13">
        <f t="shared" si="69"/>
        <v>11</v>
      </c>
    </row>
    <row r="168" spans="1:14" outlineLevel="1" x14ac:dyDescent="0.2">
      <c r="A168" s="20">
        <f t="shared" si="68"/>
        <v>3624</v>
      </c>
      <c r="B168" s="19" t="str">
        <f t="shared" si="68"/>
        <v>SFA</v>
      </c>
      <c r="C168" s="58">
        <f t="shared" si="58"/>
        <v>14839.350548837534</v>
      </c>
      <c r="D168" s="15">
        <f t="shared" si="64"/>
        <v>1921.6666666666667</v>
      </c>
      <c r="E168" s="14">
        <f t="shared" si="65"/>
        <v>1064.6033333333332</v>
      </c>
      <c r="F168" s="14">
        <f t="shared" si="66"/>
        <v>1012.8772155041958</v>
      </c>
      <c r="G168" s="13">
        <f t="shared" si="69"/>
        <v>3721.736666666669</v>
      </c>
      <c r="H168" s="15">
        <f t="shared" si="69"/>
        <v>248</v>
      </c>
      <c r="I168" s="13">
        <f t="shared" si="69"/>
        <v>44.666666666666664</v>
      </c>
      <c r="J168" s="16">
        <f t="shared" si="69"/>
        <v>584.13333333333333</v>
      </c>
      <c r="K168" s="15">
        <f t="shared" si="69"/>
        <v>2769.3333333333335</v>
      </c>
      <c r="L168" s="14">
        <f t="shared" si="69"/>
        <v>2075</v>
      </c>
      <c r="M168" s="13">
        <f t="shared" si="69"/>
        <v>1397.3333333333333</v>
      </c>
    </row>
    <row r="169" spans="1:14" outlineLevel="1" x14ac:dyDescent="0.2">
      <c r="A169" s="20">
        <f t="shared" si="68"/>
        <v>3642</v>
      </c>
      <c r="B169" s="19" t="str">
        <f t="shared" si="68"/>
        <v>TSU</v>
      </c>
      <c r="C169" s="58">
        <f t="shared" si="58"/>
        <v>7025.4846061001936</v>
      </c>
      <c r="D169" s="15">
        <f t="shared" si="64"/>
        <v>758.33333333333337</v>
      </c>
      <c r="E169" s="14">
        <f t="shared" si="65"/>
        <v>108.94722222222221</v>
      </c>
      <c r="F169" s="14">
        <f t="shared" si="66"/>
        <v>646.68405054463585</v>
      </c>
      <c r="G169" s="13">
        <f t="shared" si="69"/>
        <v>1488.6533333333352</v>
      </c>
      <c r="H169" s="15">
        <f t="shared" si="69"/>
        <v>134.33333333333334</v>
      </c>
      <c r="I169" s="13">
        <f t="shared" si="69"/>
        <v>3</v>
      </c>
      <c r="J169" s="16">
        <f t="shared" si="69"/>
        <v>266.53333333333336</v>
      </c>
      <c r="K169" s="15">
        <f t="shared" si="69"/>
        <v>1637.3333333333333</v>
      </c>
      <c r="L169" s="14">
        <f t="shared" si="69"/>
        <v>1133</v>
      </c>
      <c r="M169" s="13">
        <f t="shared" si="69"/>
        <v>848.66666666666663</v>
      </c>
    </row>
    <row r="170" spans="1:14" outlineLevel="1" x14ac:dyDescent="0.2">
      <c r="A170" s="20">
        <f t="shared" si="68"/>
        <v>3644</v>
      </c>
      <c r="B170" s="19" t="str">
        <f t="shared" si="68"/>
        <v>TTU</v>
      </c>
      <c r="C170" s="58">
        <f t="shared" si="58"/>
        <v>36881.743489684348</v>
      </c>
      <c r="D170" s="15">
        <f t="shared" si="64"/>
        <v>4674</v>
      </c>
      <c r="E170" s="14">
        <f t="shared" si="65"/>
        <v>3421.3679999999995</v>
      </c>
      <c r="F170" s="14">
        <f t="shared" si="66"/>
        <v>1053.0621563516677</v>
      </c>
      <c r="G170" s="13">
        <f t="shared" si="69"/>
        <v>10128.113333332682</v>
      </c>
      <c r="H170" s="15">
        <f t="shared" si="69"/>
        <v>727.33333333333337</v>
      </c>
      <c r="I170" s="13">
        <f t="shared" si="69"/>
        <v>57.333333333333336</v>
      </c>
      <c r="J170" s="16">
        <f t="shared" si="69"/>
        <v>1111.2</v>
      </c>
      <c r="K170" s="15">
        <f t="shared" si="69"/>
        <v>6485.333333333333</v>
      </c>
      <c r="L170" s="14">
        <f t="shared" si="69"/>
        <v>5278.333333333333</v>
      </c>
      <c r="M170" s="13">
        <f t="shared" si="69"/>
        <v>3945.6666666666665</v>
      </c>
    </row>
    <row r="171" spans="1:14" outlineLevel="1" x14ac:dyDescent="0.2">
      <c r="A171" s="20">
        <f t="shared" si="68"/>
        <v>3541</v>
      </c>
      <c r="B171" s="19" t="str">
        <f t="shared" si="68"/>
        <v>Angelo</v>
      </c>
      <c r="C171" s="58">
        <f t="shared" si="58"/>
        <v>8152.7779243021087</v>
      </c>
      <c r="D171" s="15">
        <f t="shared" si="64"/>
        <v>991.33333333333337</v>
      </c>
      <c r="E171" s="14">
        <f t="shared" si="65"/>
        <v>425.94288888888889</v>
      </c>
      <c r="F171" s="14">
        <f t="shared" si="66"/>
        <v>1015.2850354132148</v>
      </c>
      <c r="G171" s="13">
        <f t="shared" si="69"/>
        <v>1977.3500000000051</v>
      </c>
      <c r="H171" s="15">
        <f t="shared" si="69"/>
        <v>254.33333333333334</v>
      </c>
      <c r="I171" s="13">
        <f t="shared" si="69"/>
        <v>19.333333333333332</v>
      </c>
      <c r="J171" s="16">
        <f t="shared" si="69"/>
        <v>289.2</v>
      </c>
      <c r="K171" s="15">
        <f t="shared" si="69"/>
        <v>1438.6666666666667</v>
      </c>
      <c r="L171" s="14">
        <f t="shared" si="69"/>
        <v>1033.6666666666667</v>
      </c>
      <c r="M171" s="13">
        <f t="shared" si="69"/>
        <v>707.66666666666663</v>
      </c>
    </row>
    <row r="172" spans="1:14" outlineLevel="1" x14ac:dyDescent="0.2">
      <c r="A172" s="20">
        <f t="shared" si="68"/>
        <v>3646</v>
      </c>
      <c r="B172" s="19" t="str">
        <f t="shared" si="68"/>
        <v>TWU</v>
      </c>
      <c r="C172" s="58">
        <f t="shared" si="58"/>
        <v>12828.998881418664</v>
      </c>
      <c r="D172" s="15">
        <f t="shared" si="64"/>
        <v>1806</v>
      </c>
      <c r="E172" s="14">
        <f t="shared" si="65"/>
        <v>945.74200000000008</v>
      </c>
      <c r="F172" s="14">
        <f t="shared" si="66"/>
        <v>1377.2802147519981</v>
      </c>
      <c r="G172" s="13">
        <f t="shared" si="69"/>
        <v>3452.1766666666658</v>
      </c>
      <c r="H172" s="15">
        <f t="shared" si="69"/>
        <v>569.33333333333337</v>
      </c>
      <c r="I172" s="13">
        <f t="shared" si="69"/>
        <v>31.666666666666668</v>
      </c>
      <c r="J172" s="16">
        <f t="shared" si="69"/>
        <v>498.8</v>
      </c>
      <c r="K172" s="15">
        <f t="shared" si="69"/>
        <v>2196</v>
      </c>
      <c r="L172" s="14">
        <f t="shared" si="69"/>
        <v>1292.3333333333333</v>
      </c>
      <c r="M172" s="13">
        <f t="shared" si="69"/>
        <v>659.66666666666663</v>
      </c>
    </row>
    <row r="173" spans="1:14" outlineLevel="1" x14ac:dyDescent="0.2">
      <c r="A173" s="20">
        <f t="shared" si="68"/>
        <v>3581</v>
      </c>
      <c r="B173" s="19" t="str">
        <f t="shared" si="68"/>
        <v>Lamar</v>
      </c>
      <c r="C173" s="58">
        <f t="shared" si="58"/>
        <v>10776.924902667066</v>
      </c>
      <c r="D173" s="15">
        <f t="shared" si="64"/>
        <v>1335.3333333333333</v>
      </c>
      <c r="E173" s="14">
        <f t="shared" si="65"/>
        <v>467.81177777777776</v>
      </c>
      <c r="F173" s="14">
        <f t="shared" si="66"/>
        <v>917.74645822260493</v>
      </c>
      <c r="G173" s="13">
        <f t="shared" si="69"/>
        <v>2684.9000000000165</v>
      </c>
      <c r="H173" s="15">
        <f t="shared" si="69"/>
        <v>330</v>
      </c>
      <c r="I173" s="13">
        <f t="shared" si="69"/>
        <v>17</v>
      </c>
      <c r="J173" s="16">
        <f t="shared" si="69"/>
        <v>379.4666666666667</v>
      </c>
      <c r="K173" s="15">
        <f t="shared" si="69"/>
        <v>2144.6666666666665</v>
      </c>
      <c r="L173" s="14">
        <f t="shared" si="69"/>
        <v>1489</v>
      </c>
      <c r="M173" s="13">
        <f t="shared" si="69"/>
        <v>1011</v>
      </c>
    </row>
    <row r="174" spans="1:14" outlineLevel="1" x14ac:dyDescent="0.2">
      <c r="A174" s="20">
        <f t="shared" si="68"/>
        <v>3606</v>
      </c>
      <c r="B174" s="19" t="str">
        <f t="shared" si="68"/>
        <v>SHSU</v>
      </c>
      <c r="C174" s="58">
        <f t="shared" si="58"/>
        <v>21680.557156409614</v>
      </c>
      <c r="D174" s="15">
        <f t="shared" si="64"/>
        <v>3077.6666666666665</v>
      </c>
      <c r="E174" s="14">
        <f t="shared" si="65"/>
        <v>1805.5644444444445</v>
      </c>
      <c r="F174" s="14">
        <f t="shared" si="66"/>
        <v>1223.7827119650508</v>
      </c>
      <c r="G174" s="13">
        <f t="shared" si="69"/>
        <v>5837.0766666667887</v>
      </c>
      <c r="H174" s="15">
        <f t="shared" si="69"/>
        <v>167</v>
      </c>
      <c r="I174" s="13">
        <f t="shared" si="69"/>
        <v>61</v>
      </c>
      <c r="J174" s="16">
        <f t="shared" si="69"/>
        <v>885.4666666666667</v>
      </c>
      <c r="K174" s="15">
        <f t="shared" si="69"/>
        <v>3894.3333333333335</v>
      </c>
      <c r="L174" s="14">
        <f t="shared" si="69"/>
        <v>2965.3333333333335</v>
      </c>
      <c r="M174" s="13">
        <f t="shared" si="69"/>
        <v>1763.3333333333333</v>
      </c>
    </row>
    <row r="175" spans="1:14" outlineLevel="1" x14ac:dyDescent="0.2">
      <c r="A175" s="20">
        <f t="shared" si="68"/>
        <v>3615</v>
      </c>
      <c r="B175" s="19" t="str">
        <f t="shared" si="68"/>
        <v>TXST</v>
      </c>
      <c r="C175" s="58">
        <f t="shared" si="58"/>
        <v>38754.300909322017</v>
      </c>
      <c r="D175" s="15">
        <f t="shared" si="64"/>
        <v>5361</v>
      </c>
      <c r="E175" s="14">
        <f t="shared" si="65"/>
        <v>3393.5129999999999</v>
      </c>
      <c r="F175" s="14">
        <f t="shared" si="66"/>
        <v>1170.3445759893198</v>
      </c>
      <c r="G175" s="13">
        <f t="shared" si="69"/>
        <v>10437.309999999357</v>
      </c>
      <c r="H175" s="15">
        <f t="shared" si="69"/>
        <v>488.66666666666669</v>
      </c>
      <c r="I175" s="13">
        <f t="shared" si="69"/>
        <v>66.666666666666671</v>
      </c>
      <c r="J175" s="16">
        <f t="shared" si="69"/>
        <v>1470.1333333333334</v>
      </c>
      <c r="K175" s="15">
        <f t="shared" si="69"/>
        <v>7470.333333333333</v>
      </c>
      <c r="L175" s="14">
        <f t="shared" si="69"/>
        <v>5579</v>
      </c>
      <c r="M175" s="13">
        <f t="shared" si="69"/>
        <v>3317.3333333333335</v>
      </c>
    </row>
    <row r="176" spans="1:14" outlineLevel="1" x14ac:dyDescent="0.2">
      <c r="A176" s="20">
        <f t="shared" si="68"/>
        <v>3625</v>
      </c>
      <c r="B176" s="19" t="str">
        <f t="shared" si="68"/>
        <v>SRSU</v>
      </c>
      <c r="C176" s="58">
        <f t="shared" si="58"/>
        <v>2126.1281504162034</v>
      </c>
      <c r="D176" s="15">
        <f t="shared" si="64"/>
        <v>189.33333333333334</v>
      </c>
      <c r="E176" s="14">
        <f t="shared" si="65"/>
        <v>56.989333333333335</v>
      </c>
      <c r="F176" s="14">
        <f t="shared" si="66"/>
        <v>775.94215041620384</v>
      </c>
      <c r="G176" s="13">
        <f t="shared" si="69"/>
        <v>394.32999999999964</v>
      </c>
      <c r="H176" s="15">
        <f t="shared" si="69"/>
        <v>12.666666666666666</v>
      </c>
      <c r="I176" s="13">
        <f t="shared" si="69"/>
        <v>6.333333333333333</v>
      </c>
      <c r="J176" s="16">
        <f t="shared" si="69"/>
        <v>65.2</v>
      </c>
      <c r="K176" s="15">
        <f t="shared" si="69"/>
        <v>300</v>
      </c>
      <c r="L176" s="14">
        <f t="shared" si="69"/>
        <v>193.66666666666666</v>
      </c>
      <c r="M176" s="13">
        <f t="shared" si="69"/>
        <v>131.66666666666666</v>
      </c>
      <c r="N176" s="41"/>
    </row>
    <row r="177" spans="1:14" outlineLevel="1" x14ac:dyDescent="0.2">
      <c r="A177" s="20">
        <f t="shared" si="68"/>
        <v>20</v>
      </c>
      <c r="B177" s="19" t="str">
        <f t="shared" si="68"/>
        <v>SRRG</v>
      </c>
      <c r="C177" s="58">
        <f t="shared" si="58"/>
        <v>2718.6230567866896</v>
      </c>
      <c r="D177" s="15">
        <f t="shared" si="64"/>
        <v>161.66666666666666</v>
      </c>
      <c r="E177" s="14">
        <f t="shared" si="65"/>
        <v>51.365976618337754</v>
      </c>
      <c r="F177" s="14">
        <f t="shared" si="66"/>
        <v>1829.8204135016854</v>
      </c>
      <c r="G177" s="13">
        <f t="shared" si="69"/>
        <v>279.16999999999979</v>
      </c>
      <c r="H177" s="15">
        <f t="shared" si="69"/>
        <v>6.333333333333333</v>
      </c>
      <c r="I177" s="13">
        <f t="shared" si="69"/>
        <v>5.666666666666667</v>
      </c>
      <c r="J177" s="16">
        <f t="shared" si="69"/>
        <v>57.6</v>
      </c>
      <c r="K177" s="15">
        <f t="shared" si="69"/>
        <v>230</v>
      </c>
      <c r="L177" s="14">
        <f t="shared" si="69"/>
        <v>92.666666666666671</v>
      </c>
      <c r="M177" s="13">
        <f t="shared" si="69"/>
        <v>4.333333333333333</v>
      </c>
      <c r="N177" s="55"/>
    </row>
    <row r="178" spans="1:14" ht="13.5" outlineLevel="1" thickBot="1" x14ac:dyDescent="0.25">
      <c r="A178" s="12"/>
      <c r="B178" s="11" t="s">
        <v>11</v>
      </c>
      <c r="C178" s="57">
        <f t="shared" ref="C178:M178" si="70">SUM(C140:C177)</f>
        <v>640971.71471526229</v>
      </c>
      <c r="D178" s="9">
        <f t="shared" si="70"/>
        <v>84315.833333333314</v>
      </c>
      <c r="E178" s="7">
        <f t="shared" si="70"/>
        <v>49031.80588920939</v>
      </c>
      <c r="F178" s="7">
        <f t="shared" si="70"/>
        <v>50873.502159387834</v>
      </c>
      <c r="G178" s="3">
        <f t="shared" si="70"/>
        <v>172461.13999999844</v>
      </c>
      <c r="H178" s="5">
        <f t="shared" si="70"/>
        <v>13953.333333333332</v>
      </c>
      <c r="I178" s="3">
        <f t="shared" si="70"/>
        <v>1198.3333333333335</v>
      </c>
      <c r="J178" s="6">
        <f t="shared" si="70"/>
        <v>21778.600000000006</v>
      </c>
      <c r="K178" s="5">
        <f t="shared" si="70"/>
        <v>114212.66666666664</v>
      </c>
      <c r="L178" s="4">
        <f t="shared" si="70"/>
        <v>82344.5</v>
      </c>
      <c r="M178" s="3">
        <f t="shared" si="70"/>
        <v>50801.999999999993</v>
      </c>
      <c r="N178" s="55"/>
    </row>
    <row r="179" spans="1:14" ht="13.5" thickBot="1" x14ac:dyDescent="0.25">
      <c r="A179" s="45" t="s">
        <v>29</v>
      </c>
      <c r="B179" s="45"/>
      <c r="C179" s="54"/>
      <c r="D179" s="54"/>
      <c r="E179" s="54"/>
      <c r="F179" s="56"/>
      <c r="H179" s="56"/>
      <c r="N179" s="55"/>
    </row>
    <row r="180" spans="1:14" ht="12.75" customHeight="1" outlineLevel="1" x14ac:dyDescent="0.2">
      <c r="A180" s="273" t="s">
        <v>24</v>
      </c>
      <c r="B180" s="275" t="s">
        <v>23</v>
      </c>
      <c r="C180" s="277"/>
      <c r="D180" s="306" t="s">
        <v>28</v>
      </c>
      <c r="E180" s="301" t="s">
        <v>21</v>
      </c>
      <c r="F180" s="275" t="s">
        <v>20</v>
      </c>
      <c r="G180" s="297" t="s">
        <v>19</v>
      </c>
      <c r="H180" s="299" t="s">
        <v>18</v>
      </c>
      <c r="I180" s="291" t="s">
        <v>17</v>
      </c>
      <c r="J180" s="293" t="s">
        <v>16</v>
      </c>
      <c r="K180" s="295" t="s">
        <v>15</v>
      </c>
      <c r="L180" s="296"/>
      <c r="M180" s="296"/>
      <c r="N180" s="55"/>
    </row>
    <row r="181" spans="1:14" s="41" customFormat="1" ht="41.25" customHeight="1" outlineLevel="1" thickBot="1" x14ac:dyDescent="0.25">
      <c r="A181" s="274"/>
      <c r="B181" s="276"/>
      <c r="C181" s="278"/>
      <c r="D181" s="307"/>
      <c r="E181" s="302"/>
      <c r="F181" s="276"/>
      <c r="G181" s="298"/>
      <c r="H181" s="300"/>
      <c r="I181" s="292"/>
      <c r="J181" s="294"/>
      <c r="K181" s="44" t="s">
        <v>14</v>
      </c>
      <c r="L181" s="43" t="s">
        <v>13</v>
      </c>
      <c r="M181" s="42" t="s">
        <v>12</v>
      </c>
      <c r="N181" s="55"/>
    </row>
    <row r="182" spans="1:14" outlineLevel="1" x14ac:dyDescent="0.2">
      <c r="A182" s="20">
        <f t="shared" ref="A182:B197" si="71">A140</f>
        <v>3656</v>
      </c>
      <c r="B182" s="19" t="str">
        <f t="shared" si="71"/>
        <v>UTA</v>
      </c>
      <c r="C182" s="38"/>
      <c r="D182" s="33">
        <f t="shared" ref="D182:M197" si="72">AVERAGE(D224,D266,D308)</f>
        <v>5018</v>
      </c>
      <c r="E182" s="37">
        <f t="shared" si="72"/>
        <v>0.51833333333333342</v>
      </c>
      <c r="F182" s="32">
        <f t="shared" si="72"/>
        <v>16950.533333333333</v>
      </c>
      <c r="G182" s="31">
        <f t="shared" si="72"/>
        <v>10418.553333333379</v>
      </c>
      <c r="H182" s="36">
        <f t="shared" si="72"/>
        <v>1531.3333333333333</v>
      </c>
      <c r="I182" s="35">
        <f t="shared" si="72"/>
        <v>35</v>
      </c>
      <c r="J182" s="34">
        <f t="shared" si="72"/>
        <v>3116</v>
      </c>
      <c r="K182" s="33">
        <f t="shared" si="72"/>
        <v>6836.333333333333</v>
      </c>
      <c r="L182" s="32">
        <f t="shared" si="72"/>
        <v>3833.6666666666665</v>
      </c>
      <c r="M182" s="31">
        <f t="shared" si="72"/>
        <v>1783.6666666666667</v>
      </c>
      <c r="N182" s="55"/>
    </row>
    <row r="183" spans="1:14" outlineLevel="1" x14ac:dyDescent="0.2">
      <c r="A183" s="20">
        <f t="shared" si="71"/>
        <v>3658</v>
      </c>
      <c r="B183" s="19" t="str">
        <f t="shared" si="71"/>
        <v>UT</v>
      </c>
      <c r="C183" s="18"/>
      <c r="D183" s="15">
        <f t="shared" si="72"/>
        <v>8946.3333333333339</v>
      </c>
      <c r="E183" s="21">
        <f t="shared" si="72"/>
        <v>0.82900000000000007</v>
      </c>
      <c r="F183" s="14">
        <f t="shared" si="72"/>
        <v>33762.688888888893</v>
      </c>
      <c r="G183" s="13">
        <f t="shared" si="72"/>
        <v>19398.350000000519</v>
      </c>
      <c r="H183" s="15">
        <f t="shared" si="72"/>
        <v>1876.3333333333333</v>
      </c>
      <c r="I183" s="13">
        <f t="shared" si="72"/>
        <v>66</v>
      </c>
      <c r="J183" s="16">
        <f t="shared" si="72"/>
        <v>3470.3333333333335</v>
      </c>
      <c r="K183" s="15">
        <f t="shared" si="72"/>
        <v>9598.3333333333339</v>
      </c>
      <c r="L183" s="14">
        <f t="shared" si="72"/>
        <v>9005.6666666666661</v>
      </c>
      <c r="M183" s="13">
        <f t="shared" si="72"/>
        <v>7040.333333333333</v>
      </c>
      <c r="N183" s="55"/>
    </row>
    <row r="184" spans="1:14" outlineLevel="1" x14ac:dyDescent="0.2">
      <c r="A184" s="20">
        <f t="shared" si="71"/>
        <v>9741</v>
      </c>
      <c r="B184" s="19" t="str">
        <f t="shared" si="71"/>
        <v>UTD</v>
      </c>
      <c r="C184" s="18"/>
      <c r="D184" s="15">
        <f t="shared" si="72"/>
        <v>2393</v>
      </c>
      <c r="E184" s="21">
        <f t="shared" si="72"/>
        <v>0.70299999999999996</v>
      </c>
      <c r="F184" s="14">
        <f t="shared" si="72"/>
        <v>8919.1999999999989</v>
      </c>
      <c r="G184" s="13">
        <f t="shared" si="72"/>
        <v>5101.2033333334393</v>
      </c>
      <c r="H184" s="15">
        <f t="shared" si="72"/>
        <v>421.66666666666669</v>
      </c>
      <c r="I184" s="13">
        <f t="shared" si="72"/>
        <v>32</v>
      </c>
      <c r="J184" s="16">
        <f t="shared" si="72"/>
        <v>1319.6666666666667</v>
      </c>
      <c r="K184" s="15">
        <f t="shared" si="72"/>
        <v>3315</v>
      </c>
      <c r="L184" s="14">
        <f t="shared" si="72"/>
        <v>2134.3333333333335</v>
      </c>
      <c r="M184" s="13">
        <f t="shared" si="72"/>
        <v>1021.3333333333334</v>
      </c>
      <c r="N184" s="55"/>
    </row>
    <row r="185" spans="1:14" outlineLevel="1" x14ac:dyDescent="0.2">
      <c r="A185" s="20">
        <f t="shared" si="71"/>
        <v>3661</v>
      </c>
      <c r="B185" s="19" t="str">
        <f t="shared" si="71"/>
        <v>UTEP</v>
      </c>
      <c r="C185" s="18"/>
      <c r="D185" s="15">
        <f t="shared" si="72"/>
        <v>3057</v>
      </c>
      <c r="E185" s="21">
        <f t="shared" si="72"/>
        <v>0.38999999999999996</v>
      </c>
      <c r="F185" s="14">
        <f t="shared" si="72"/>
        <v>13366.333333333334</v>
      </c>
      <c r="G185" s="13">
        <f t="shared" si="72"/>
        <v>6298.0766666668133</v>
      </c>
      <c r="H185" s="15">
        <f t="shared" si="72"/>
        <v>655</v>
      </c>
      <c r="I185" s="13">
        <f t="shared" si="72"/>
        <v>90</v>
      </c>
      <c r="J185" s="16">
        <f t="shared" si="72"/>
        <v>2464.3333333333335</v>
      </c>
      <c r="K185" s="15">
        <f t="shared" si="72"/>
        <v>4362.666666666667</v>
      </c>
      <c r="L185" s="14">
        <f t="shared" si="72"/>
        <v>3358</v>
      </c>
      <c r="M185" s="13">
        <f t="shared" si="72"/>
        <v>1956</v>
      </c>
      <c r="N185" s="55"/>
    </row>
    <row r="186" spans="1:14" outlineLevel="1" x14ac:dyDescent="0.2">
      <c r="A186" s="20">
        <f t="shared" si="71"/>
        <v>3599</v>
      </c>
      <c r="B186" s="19" t="str">
        <f t="shared" si="71"/>
        <v>UTPA</v>
      </c>
      <c r="C186" s="18"/>
      <c r="D186" s="15">
        <f t="shared" si="72"/>
        <v>2580</v>
      </c>
      <c r="E186" s="21">
        <f t="shared" si="72"/>
        <v>0.43099999999999999</v>
      </c>
      <c r="F186" s="14">
        <f t="shared" si="72"/>
        <v>12589.977777777778</v>
      </c>
      <c r="G186" s="13">
        <f t="shared" si="72"/>
        <v>5134.1666666667797</v>
      </c>
      <c r="H186" s="15">
        <f t="shared" si="72"/>
        <v>520.33333333333337</v>
      </c>
      <c r="I186" s="13">
        <f t="shared" si="72"/>
        <v>28</v>
      </c>
      <c r="J186" s="16">
        <f t="shared" si="72"/>
        <v>2338.3333333333335</v>
      </c>
      <c r="K186" s="15">
        <f t="shared" si="72"/>
        <v>4075.3333333333335</v>
      </c>
      <c r="L186" s="14">
        <f t="shared" si="72"/>
        <v>3096</v>
      </c>
      <c r="M186" s="13">
        <f t="shared" si="72"/>
        <v>1939.3333333333333</v>
      </c>
      <c r="N186" s="55"/>
    </row>
    <row r="187" spans="1:14" outlineLevel="1" x14ac:dyDescent="0.2">
      <c r="A187" s="20">
        <f t="shared" si="71"/>
        <v>30646</v>
      </c>
      <c r="B187" s="19" t="str">
        <f t="shared" si="71"/>
        <v>UTB</v>
      </c>
      <c r="C187" s="18"/>
      <c r="D187" s="15">
        <f t="shared" si="72"/>
        <v>1092</v>
      </c>
      <c r="E187" s="21">
        <f t="shared" si="72"/>
        <v>0.57524809937089749</v>
      </c>
      <c r="F187" s="14">
        <f t="shared" si="72"/>
        <v>3168.7777777777778</v>
      </c>
      <c r="G187" s="13">
        <f t="shared" si="72"/>
        <v>2097.7933333333553</v>
      </c>
      <c r="H187" s="15">
        <f t="shared" si="72"/>
        <v>124.33333333333333</v>
      </c>
      <c r="I187" s="13">
        <f t="shared" si="72"/>
        <v>18.333333333333332</v>
      </c>
      <c r="J187" s="16">
        <f t="shared" si="72"/>
        <v>936.66666666666663</v>
      </c>
      <c r="K187" s="15">
        <f t="shared" si="72"/>
        <v>1326.3333333333333</v>
      </c>
      <c r="L187" s="14">
        <f t="shared" si="72"/>
        <v>556.33333333333337</v>
      </c>
      <c r="M187" s="13">
        <f t="shared" si="72"/>
        <v>100.66666666666667</v>
      </c>
      <c r="N187" s="55"/>
    </row>
    <row r="188" spans="1:14" outlineLevel="1" x14ac:dyDescent="0.2">
      <c r="A188" s="20">
        <f t="shared" si="71"/>
        <v>9930</v>
      </c>
      <c r="B188" s="19" t="str">
        <f t="shared" si="71"/>
        <v>UTPB</v>
      </c>
      <c r="C188" s="18"/>
      <c r="D188" s="15">
        <f t="shared" si="72"/>
        <v>533.33333333333337</v>
      </c>
      <c r="E188" s="21">
        <f t="shared" si="72"/>
        <v>0.44400000000000001</v>
      </c>
      <c r="F188" s="14">
        <f t="shared" si="72"/>
        <v>2306.2888888888888</v>
      </c>
      <c r="G188" s="13">
        <f t="shared" si="72"/>
        <v>1001.5166666666704</v>
      </c>
      <c r="H188" s="15">
        <f t="shared" si="72"/>
        <v>41.333333333333336</v>
      </c>
      <c r="I188" s="13">
        <f t="shared" si="72"/>
        <v>10</v>
      </c>
      <c r="J188" s="16">
        <f t="shared" si="72"/>
        <v>399</v>
      </c>
      <c r="K188" s="15">
        <f t="shared" si="72"/>
        <v>785.66666666666663</v>
      </c>
      <c r="L188" s="14">
        <f t="shared" si="72"/>
        <v>491.66666666666669</v>
      </c>
      <c r="M188" s="13">
        <f t="shared" si="72"/>
        <v>194.33333333333334</v>
      </c>
      <c r="N188" s="55"/>
    </row>
    <row r="189" spans="1:14" outlineLevel="1" x14ac:dyDescent="0.2">
      <c r="A189" s="20">
        <f t="shared" si="71"/>
        <v>10115</v>
      </c>
      <c r="B189" s="19" t="str">
        <f t="shared" si="71"/>
        <v>UTSA</v>
      </c>
      <c r="C189" s="18"/>
      <c r="D189" s="15">
        <f t="shared" si="72"/>
        <v>4119.666666666667</v>
      </c>
      <c r="E189" s="21">
        <f t="shared" si="72"/>
        <v>0.42166666666666663</v>
      </c>
      <c r="F189" s="14">
        <f t="shared" si="72"/>
        <v>20353.044444444444</v>
      </c>
      <c r="G189" s="13">
        <f t="shared" si="72"/>
        <v>8414.213333333224</v>
      </c>
      <c r="H189" s="15">
        <f t="shared" si="72"/>
        <v>392</v>
      </c>
      <c r="I189" s="13">
        <f t="shared" si="72"/>
        <v>49.666666666666664</v>
      </c>
      <c r="J189" s="16">
        <f t="shared" si="72"/>
        <v>3123.6666666666665</v>
      </c>
      <c r="K189" s="15">
        <f t="shared" si="72"/>
        <v>6809.666666666667</v>
      </c>
      <c r="L189" s="14">
        <f t="shared" si="72"/>
        <v>4458.666666666667</v>
      </c>
      <c r="M189" s="13">
        <f t="shared" si="72"/>
        <v>2615.6666666666665</v>
      </c>
      <c r="N189" s="55"/>
    </row>
    <row r="190" spans="1:14" outlineLevel="1" x14ac:dyDescent="0.2">
      <c r="A190" s="20">
        <f t="shared" si="71"/>
        <v>11163</v>
      </c>
      <c r="B190" s="19" t="str">
        <f t="shared" si="71"/>
        <v>UTT</v>
      </c>
      <c r="C190" s="18"/>
      <c r="D190" s="15">
        <f t="shared" si="72"/>
        <v>1190</v>
      </c>
      <c r="E190" s="21">
        <f t="shared" si="72"/>
        <v>0.51566666666666672</v>
      </c>
      <c r="F190" s="14">
        <f t="shared" si="72"/>
        <v>4067.577777777778</v>
      </c>
      <c r="G190" s="13">
        <f t="shared" si="72"/>
        <v>2362.6600000000103</v>
      </c>
      <c r="H190" s="15">
        <f t="shared" si="72"/>
        <v>376.66666666666669</v>
      </c>
      <c r="I190" s="13">
        <f t="shared" si="72"/>
        <v>14</v>
      </c>
      <c r="J190" s="16">
        <f t="shared" si="72"/>
        <v>942.33333333333337</v>
      </c>
      <c r="K190" s="15">
        <f t="shared" si="72"/>
        <v>1436.3333333333333</v>
      </c>
      <c r="L190" s="14">
        <f t="shared" si="72"/>
        <v>890</v>
      </c>
      <c r="M190" s="13">
        <f t="shared" si="72"/>
        <v>387.33333333333331</v>
      </c>
      <c r="N190" s="55"/>
    </row>
    <row r="191" spans="1:14" outlineLevel="1" x14ac:dyDescent="0.2">
      <c r="A191" s="20">
        <f t="shared" si="71"/>
        <v>3632</v>
      </c>
      <c r="B191" s="19" t="str">
        <f t="shared" si="71"/>
        <v>TAMU</v>
      </c>
      <c r="C191" s="18"/>
      <c r="D191" s="15">
        <f t="shared" si="72"/>
        <v>8739.6666666666661</v>
      </c>
      <c r="E191" s="21">
        <f t="shared" si="72"/>
        <v>0.84066666666666656</v>
      </c>
      <c r="F191" s="14">
        <f t="shared" si="72"/>
        <v>34623.666666666664</v>
      </c>
      <c r="G191" s="13">
        <f t="shared" si="72"/>
        <v>20104.8166666668</v>
      </c>
      <c r="H191" s="15">
        <f t="shared" si="72"/>
        <v>1763</v>
      </c>
      <c r="I191" s="13">
        <f t="shared" si="72"/>
        <v>126</v>
      </c>
      <c r="J191" s="16">
        <f t="shared" si="72"/>
        <v>3724</v>
      </c>
      <c r="K191" s="15">
        <f t="shared" si="72"/>
        <v>10060.666666666666</v>
      </c>
      <c r="L191" s="14">
        <f t="shared" si="72"/>
        <v>8907.3333333333339</v>
      </c>
      <c r="M191" s="13">
        <f t="shared" si="72"/>
        <v>6897.666666666667</v>
      </c>
      <c r="N191" s="55"/>
    </row>
    <row r="192" spans="1:14" outlineLevel="1" x14ac:dyDescent="0.2">
      <c r="A192" s="20">
        <f t="shared" si="71"/>
        <v>10298</v>
      </c>
      <c r="B192" s="19" t="str">
        <f t="shared" si="71"/>
        <v>TAMUG</v>
      </c>
      <c r="C192" s="18"/>
      <c r="D192" s="15">
        <f t="shared" si="72"/>
        <v>275.33333333333331</v>
      </c>
      <c r="E192" s="21">
        <f t="shared" si="72"/>
        <v>0.62733333333333341</v>
      </c>
      <c r="F192" s="14">
        <f t="shared" si="72"/>
        <v>1678.9333333333334</v>
      </c>
      <c r="G192" s="13">
        <f t="shared" si="72"/>
        <v>704.02666666666448</v>
      </c>
      <c r="H192" s="15">
        <f t="shared" si="72"/>
        <v>37.333333333333336</v>
      </c>
      <c r="I192" s="13">
        <f t="shared" si="72"/>
        <v>0</v>
      </c>
      <c r="J192" s="16">
        <f t="shared" si="72"/>
        <v>158</v>
      </c>
      <c r="K192" s="15">
        <f t="shared" si="72"/>
        <v>592.33333333333337</v>
      </c>
      <c r="L192" s="14">
        <f t="shared" si="72"/>
        <v>318</v>
      </c>
      <c r="M192" s="13">
        <f t="shared" si="72"/>
        <v>246</v>
      </c>
      <c r="N192" s="55"/>
    </row>
    <row r="193" spans="1:14" outlineLevel="1" x14ac:dyDescent="0.2">
      <c r="A193" s="20">
        <f t="shared" si="71"/>
        <v>3630</v>
      </c>
      <c r="B193" s="19" t="str">
        <f t="shared" si="71"/>
        <v>Prairie View</v>
      </c>
      <c r="C193" s="18"/>
      <c r="D193" s="15">
        <f t="shared" si="72"/>
        <v>936.33333333333337</v>
      </c>
      <c r="E193" s="21">
        <f t="shared" si="72"/>
        <v>0.37166666666666665</v>
      </c>
      <c r="F193" s="14">
        <f t="shared" si="72"/>
        <v>5917.2888888888883</v>
      </c>
      <c r="G193" s="13">
        <f t="shared" si="72"/>
        <v>2072.9000000000092</v>
      </c>
      <c r="H193" s="15">
        <f t="shared" si="72"/>
        <v>315.66666666666669</v>
      </c>
      <c r="I193" s="13">
        <f t="shared" si="72"/>
        <v>9.6666666666666661</v>
      </c>
      <c r="J193" s="16">
        <f t="shared" si="72"/>
        <v>802.66666666666663</v>
      </c>
      <c r="K193" s="15">
        <f t="shared" si="72"/>
        <v>1668</v>
      </c>
      <c r="L193" s="14">
        <f t="shared" si="72"/>
        <v>1181</v>
      </c>
      <c r="M193" s="13">
        <f t="shared" si="72"/>
        <v>905.33333333333337</v>
      </c>
      <c r="N193" s="55"/>
    </row>
    <row r="194" spans="1:14" outlineLevel="1" x14ac:dyDescent="0.2">
      <c r="A194" s="20">
        <f t="shared" si="71"/>
        <v>3631</v>
      </c>
      <c r="B194" s="19" t="str">
        <f t="shared" si="71"/>
        <v>Tarleton</v>
      </c>
      <c r="C194" s="18"/>
      <c r="D194" s="15">
        <f t="shared" si="72"/>
        <v>1545.3333333333333</v>
      </c>
      <c r="E194" s="21">
        <f t="shared" si="72"/>
        <v>0.47800000000000004</v>
      </c>
      <c r="F194" s="14">
        <f t="shared" si="72"/>
        <v>6292.1333333333323</v>
      </c>
      <c r="G194" s="13">
        <f t="shared" si="72"/>
        <v>3122.5433333333599</v>
      </c>
      <c r="H194" s="15">
        <f t="shared" si="72"/>
        <v>203</v>
      </c>
      <c r="I194" s="13">
        <f t="shared" si="72"/>
        <v>47.666666666666664</v>
      </c>
      <c r="J194" s="16">
        <f t="shared" si="72"/>
        <v>1195</v>
      </c>
      <c r="K194" s="15">
        <f t="shared" si="72"/>
        <v>2154.3333333333335</v>
      </c>
      <c r="L194" s="14">
        <f t="shared" si="72"/>
        <v>1328.6666666666667</v>
      </c>
      <c r="M194" s="13">
        <f t="shared" si="72"/>
        <v>862.66666666666663</v>
      </c>
      <c r="N194" s="55"/>
    </row>
    <row r="195" spans="1:14" outlineLevel="1" x14ac:dyDescent="0.2">
      <c r="A195" s="27">
        <f t="shared" si="71"/>
        <v>103631</v>
      </c>
      <c r="B195" s="19" t="str">
        <f t="shared" si="71"/>
        <v>TAMUCT</v>
      </c>
      <c r="C195" s="18"/>
      <c r="D195" s="15">
        <f t="shared" si="72"/>
        <v>460.33333333333331</v>
      </c>
      <c r="E195" s="21">
        <f t="shared" si="72"/>
        <v>0.47800000000000004</v>
      </c>
      <c r="F195" s="14">
        <f t="shared" si="72"/>
        <v>681.08888888888885</v>
      </c>
      <c r="G195" s="13">
        <f t="shared" si="72"/>
        <v>853.61666666666588</v>
      </c>
      <c r="H195" s="15">
        <f t="shared" si="72"/>
        <v>40.666666666666664</v>
      </c>
      <c r="I195" s="13">
        <f t="shared" si="72"/>
        <v>0</v>
      </c>
      <c r="J195" s="16">
        <f t="shared" si="72"/>
        <v>327</v>
      </c>
      <c r="K195" s="15">
        <f t="shared" si="72"/>
        <v>495</v>
      </c>
      <c r="L195" s="14">
        <f t="shared" si="72"/>
        <v>133</v>
      </c>
      <c r="M195" s="13">
        <f t="shared" si="72"/>
        <v>34</v>
      </c>
      <c r="N195" s="55"/>
    </row>
    <row r="196" spans="1:14" outlineLevel="1" x14ac:dyDescent="0.2">
      <c r="A196" s="20">
        <f t="shared" si="71"/>
        <v>11161</v>
      </c>
      <c r="B196" s="19" t="str">
        <f t="shared" si="71"/>
        <v>TAMUCC</v>
      </c>
      <c r="C196" s="18"/>
      <c r="D196" s="15">
        <f t="shared" si="72"/>
        <v>1388.3333333333333</v>
      </c>
      <c r="E196" s="21">
        <f t="shared" si="72"/>
        <v>0.50800000000000001</v>
      </c>
      <c r="F196" s="14">
        <f t="shared" si="72"/>
        <v>6494.666666666667</v>
      </c>
      <c r="G196" s="13">
        <f t="shared" si="72"/>
        <v>2804.2000000000139</v>
      </c>
      <c r="H196" s="15">
        <f t="shared" si="72"/>
        <v>266.33333333333331</v>
      </c>
      <c r="I196" s="13">
        <f t="shared" si="72"/>
        <v>25.666666666666668</v>
      </c>
      <c r="J196" s="16">
        <f t="shared" si="72"/>
        <v>1080</v>
      </c>
      <c r="K196" s="15">
        <f t="shared" si="72"/>
        <v>2054</v>
      </c>
      <c r="L196" s="14">
        <f t="shared" si="72"/>
        <v>1468</v>
      </c>
      <c r="M196" s="13">
        <f t="shared" si="72"/>
        <v>878.33333333333337</v>
      </c>
      <c r="N196" s="55"/>
    </row>
    <row r="197" spans="1:14" outlineLevel="1" x14ac:dyDescent="0.2">
      <c r="A197" s="20">
        <f t="shared" si="71"/>
        <v>3639</v>
      </c>
      <c r="B197" s="19" t="str">
        <f t="shared" si="71"/>
        <v>TAMUK</v>
      </c>
      <c r="C197" s="18"/>
      <c r="D197" s="15">
        <f t="shared" si="72"/>
        <v>761.66666666666663</v>
      </c>
      <c r="E197" s="21">
        <f t="shared" si="72"/>
        <v>0.40233333333333338</v>
      </c>
      <c r="F197" s="14">
        <f t="shared" si="72"/>
        <v>4260</v>
      </c>
      <c r="G197" s="13">
        <f t="shared" si="72"/>
        <v>1763.4533333333395</v>
      </c>
      <c r="H197" s="15">
        <f t="shared" si="72"/>
        <v>260</v>
      </c>
      <c r="I197" s="13">
        <f t="shared" si="72"/>
        <v>16.666666666666668</v>
      </c>
      <c r="J197" s="16">
        <f t="shared" si="72"/>
        <v>648.33333333333337</v>
      </c>
      <c r="K197" s="15">
        <f t="shared" si="72"/>
        <v>1227.3333333333333</v>
      </c>
      <c r="L197" s="14">
        <f t="shared" si="72"/>
        <v>859.66666666666663</v>
      </c>
      <c r="M197" s="13">
        <f t="shared" si="72"/>
        <v>558.66666666666663</v>
      </c>
      <c r="N197" s="55"/>
    </row>
    <row r="198" spans="1:14" outlineLevel="1" x14ac:dyDescent="0.2">
      <c r="A198" s="27">
        <f t="shared" ref="A198:B213" si="73">A156</f>
        <v>103639</v>
      </c>
      <c r="B198" s="19" t="str">
        <f t="shared" si="73"/>
        <v>TAMUSA</v>
      </c>
      <c r="C198" s="18"/>
      <c r="D198" s="15">
        <f t="shared" ref="D198:M213" si="74">AVERAGE(D240,D282,D324)</f>
        <v>587.66666666666663</v>
      </c>
      <c r="E198" s="21">
        <f t="shared" si="74"/>
        <v>0.40233333333333338</v>
      </c>
      <c r="F198" s="14">
        <f t="shared" si="74"/>
        <v>1412.711111111111</v>
      </c>
      <c r="G198" s="13">
        <f t="shared" si="74"/>
        <v>1026.0133333333379</v>
      </c>
      <c r="H198" s="15">
        <f t="shared" si="74"/>
        <v>5</v>
      </c>
      <c r="I198" s="13">
        <f t="shared" si="74"/>
        <v>2</v>
      </c>
      <c r="J198" s="16">
        <f t="shared" si="74"/>
        <v>490.33333333333331</v>
      </c>
      <c r="K198" s="15">
        <f t="shared" si="74"/>
        <v>729.66666666666663</v>
      </c>
      <c r="L198" s="14">
        <f t="shared" si="74"/>
        <v>77.333333333333329</v>
      </c>
      <c r="M198" s="13">
        <f t="shared" si="74"/>
        <v>2.6666666666666665</v>
      </c>
      <c r="N198" s="55"/>
    </row>
    <row r="199" spans="1:14" outlineLevel="1" x14ac:dyDescent="0.2">
      <c r="A199" s="20">
        <f t="shared" si="73"/>
        <v>9651</v>
      </c>
      <c r="B199" s="19" t="str">
        <f t="shared" si="73"/>
        <v>TAMI</v>
      </c>
      <c r="C199" s="18"/>
      <c r="D199" s="15">
        <f t="shared" si="74"/>
        <v>789.66666666666663</v>
      </c>
      <c r="E199" s="21">
        <f t="shared" si="74"/>
        <v>0.47333333333333333</v>
      </c>
      <c r="F199" s="14">
        <f t="shared" si="74"/>
        <v>4086</v>
      </c>
      <c r="G199" s="13">
        <f t="shared" si="74"/>
        <v>1458.4966666666717</v>
      </c>
      <c r="H199" s="15">
        <f t="shared" si="74"/>
        <v>115.66666666666667</v>
      </c>
      <c r="I199" s="13">
        <f t="shared" si="74"/>
        <v>22.333333333333332</v>
      </c>
      <c r="J199" s="16">
        <f t="shared" si="74"/>
        <v>712.66666666666663</v>
      </c>
      <c r="K199" s="15">
        <f t="shared" si="74"/>
        <v>1406.6666666666667</v>
      </c>
      <c r="L199" s="14">
        <f t="shared" si="74"/>
        <v>1015.6666666666666</v>
      </c>
      <c r="M199" s="13">
        <f t="shared" si="74"/>
        <v>473.66666666666669</v>
      </c>
      <c r="N199" s="55"/>
    </row>
    <row r="200" spans="1:14" outlineLevel="1" x14ac:dyDescent="0.2">
      <c r="A200" s="20">
        <f t="shared" si="73"/>
        <v>3665</v>
      </c>
      <c r="B200" s="19" t="str">
        <f t="shared" si="73"/>
        <v>WTAMU</v>
      </c>
      <c r="C200" s="18"/>
      <c r="D200" s="15">
        <f t="shared" si="74"/>
        <v>1255.6666666666667</v>
      </c>
      <c r="E200" s="21">
        <f t="shared" si="74"/>
        <v>0.47066666666666662</v>
      </c>
      <c r="F200" s="14">
        <f t="shared" si="74"/>
        <v>5415.2222222222226</v>
      </c>
      <c r="G200" s="13">
        <f t="shared" si="74"/>
        <v>2503.5766666666836</v>
      </c>
      <c r="H200" s="15">
        <f t="shared" si="74"/>
        <v>191.66666666666666</v>
      </c>
      <c r="I200" s="13">
        <f t="shared" si="74"/>
        <v>60.666666666666664</v>
      </c>
      <c r="J200" s="16">
        <f t="shared" si="74"/>
        <v>889.33333333333337</v>
      </c>
      <c r="K200" s="15">
        <f t="shared" si="74"/>
        <v>1791.6666666666667</v>
      </c>
      <c r="L200" s="14">
        <f t="shared" si="74"/>
        <v>1212.6666666666667</v>
      </c>
      <c r="M200" s="13">
        <f t="shared" si="74"/>
        <v>661.33333333333337</v>
      </c>
      <c r="N200" s="55"/>
    </row>
    <row r="201" spans="1:14" outlineLevel="1" x14ac:dyDescent="0.2">
      <c r="A201" s="20">
        <f t="shared" si="73"/>
        <v>3565</v>
      </c>
      <c r="B201" s="19" t="str">
        <f t="shared" si="73"/>
        <v>TAMUC</v>
      </c>
      <c r="C201" s="18"/>
      <c r="D201" s="15">
        <f t="shared" si="74"/>
        <v>1324.3333333333333</v>
      </c>
      <c r="E201" s="21">
        <f t="shared" si="74"/>
        <v>0.44</v>
      </c>
      <c r="F201" s="14">
        <f t="shared" si="74"/>
        <v>4696.9777777777772</v>
      </c>
      <c r="G201" s="13">
        <f t="shared" si="74"/>
        <v>2501.8266666666914</v>
      </c>
      <c r="H201" s="15">
        <f t="shared" si="74"/>
        <v>73</v>
      </c>
      <c r="I201" s="13">
        <f t="shared" si="74"/>
        <v>74.333333333333329</v>
      </c>
      <c r="J201" s="16">
        <f t="shared" si="74"/>
        <v>1019.3333333333334</v>
      </c>
      <c r="K201" s="15">
        <f t="shared" si="74"/>
        <v>1893</v>
      </c>
      <c r="L201" s="14">
        <f t="shared" si="74"/>
        <v>1137.3333333333333</v>
      </c>
      <c r="M201" s="13">
        <f t="shared" si="74"/>
        <v>452.33333333333331</v>
      </c>
      <c r="N201" s="55"/>
    </row>
    <row r="202" spans="1:14" outlineLevel="1" x14ac:dyDescent="0.2">
      <c r="A202" s="20">
        <f t="shared" si="73"/>
        <v>29269</v>
      </c>
      <c r="B202" s="19" t="str">
        <f t="shared" si="73"/>
        <v>TAMUT</v>
      </c>
      <c r="C202" s="18"/>
      <c r="D202" s="15">
        <f t="shared" si="74"/>
        <v>345.66666666666669</v>
      </c>
      <c r="E202" s="21">
        <f t="shared" si="74"/>
        <v>0.54202583186163211</v>
      </c>
      <c r="F202" s="14">
        <f t="shared" si="74"/>
        <v>891.66666666666663</v>
      </c>
      <c r="G202" s="13">
        <f t="shared" si="74"/>
        <v>619.90999999999826</v>
      </c>
      <c r="H202" s="15">
        <f t="shared" si="74"/>
        <v>41.666666666666664</v>
      </c>
      <c r="I202" s="13">
        <f t="shared" si="74"/>
        <v>19.333333333333332</v>
      </c>
      <c r="J202" s="16">
        <f t="shared" si="74"/>
        <v>239</v>
      </c>
      <c r="K202" s="15">
        <f t="shared" si="74"/>
        <v>432.66666666666669</v>
      </c>
      <c r="L202" s="14">
        <f t="shared" si="74"/>
        <v>181</v>
      </c>
      <c r="M202" s="13">
        <f t="shared" si="74"/>
        <v>0.66666666666666663</v>
      </c>
      <c r="N202" s="55"/>
    </row>
    <row r="203" spans="1:14" outlineLevel="1" x14ac:dyDescent="0.2">
      <c r="A203" s="20">
        <f t="shared" si="73"/>
        <v>3652</v>
      </c>
      <c r="B203" s="19" t="str">
        <f t="shared" si="73"/>
        <v>UH</v>
      </c>
      <c r="C203" s="18"/>
      <c r="D203" s="15">
        <f t="shared" si="74"/>
        <v>5098.666666666667</v>
      </c>
      <c r="E203" s="21">
        <f t="shared" si="74"/>
        <v>0.53633333333333333</v>
      </c>
      <c r="F203" s="14">
        <f t="shared" si="74"/>
        <v>23797.68888888889</v>
      </c>
      <c r="G203" s="13">
        <f t="shared" si="74"/>
        <v>10580.246666665944</v>
      </c>
      <c r="H203" s="15">
        <f t="shared" si="74"/>
        <v>737</v>
      </c>
      <c r="I203" s="13">
        <f t="shared" si="74"/>
        <v>62.666666666666664</v>
      </c>
      <c r="J203" s="16">
        <f t="shared" si="74"/>
        <v>3373</v>
      </c>
      <c r="K203" s="15">
        <f t="shared" si="74"/>
        <v>7602.333333333333</v>
      </c>
      <c r="L203" s="14">
        <f t="shared" si="74"/>
        <v>5690.333333333333</v>
      </c>
      <c r="M203" s="13">
        <f t="shared" si="74"/>
        <v>3307.3333333333335</v>
      </c>
      <c r="N203" s="55"/>
    </row>
    <row r="204" spans="1:14" outlineLevel="1" x14ac:dyDescent="0.2">
      <c r="A204" s="20">
        <f t="shared" si="73"/>
        <v>11711</v>
      </c>
      <c r="B204" s="19" t="str">
        <f t="shared" si="73"/>
        <v>UHCL</v>
      </c>
      <c r="C204" s="18"/>
      <c r="D204" s="15">
        <f t="shared" si="74"/>
        <v>1190.6666666666667</v>
      </c>
      <c r="E204" s="21">
        <f t="shared" si="74"/>
        <v>0.52016462432165866</v>
      </c>
      <c r="F204" s="14">
        <f t="shared" si="74"/>
        <v>2999.6444444444446</v>
      </c>
      <c r="G204" s="13">
        <f t="shared" si="74"/>
        <v>2282.9533333333529</v>
      </c>
      <c r="H204" s="15">
        <f t="shared" si="74"/>
        <v>106.66666666666667</v>
      </c>
      <c r="I204" s="13">
        <f t="shared" si="74"/>
        <v>8.3333333333333339</v>
      </c>
      <c r="J204" s="16">
        <f t="shared" si="74"/>
        <v>774.33333333333337</v>
      </c>
      <c r="K204" s="15">
        <f t="shared" si="74"/>
        <v>1391.3333333333333</v>
      </c>
      <c r="L204" s="14">
        <f t="shared" si="74"/>
        <v>953.66666666666663</v>
      </c>
      <c r="M204" s="13">
        <f t="shared" si="74"/>
        <v>57</v>
      </c>
      <c r="N204" s="55"/>
    </row>
    <row r="205" spans="1:14" outlineLevel="1" x14ac:dyDescent="0.2">
      <c r="A205" s="20">
        <f t="shared" si="73"/>
        <v>12826</v>
      </c>
      <c r="B205" s="19" t="str">
        <f t="shared" si="73"/>
        <v>UHD</v>
      </c>
      <c r="C205" s="18"/>
      <c r="D205" s="15">
        <f t="shared" si="74"/>
        <v>2382.3333333333335</v>
      </c>
      <c r="E205" s="21">
        <f t="shared" si="74"/>
        <v>0.19000000000000003</v>
      </c>
      <c r="F205" s="14">
        <f t="shared" si="74"/>
        <v>7985.5555555555547</v>
      </c>
      <c r="G205" s="13">
        <f t="shared" si="74"/>
        <v>4271.3166666667212</v>
      </c>
      <c r="H205" s="15">
        <f t="shared" si="74"/>
        <v>129.66666666666666</v>
      </c>
      <c r="I205" s="13">
        <f t="shared" si="74"/>
        <v>1.6666666666666667</v>
      </c>
      <c r="J205" s="16">
        <f t="shared" si="74"/>
        <v>1681</v>
      </c>
      <c r="K205" s="15">
        <f t="shared" si="74"/>
        <v>3105.3333333333335</v>
      </c>
      <c r="L205" s="14">
        <f t="shared" si="74"/>
        <v>1868.3333333333333</v>
      </c>
      <c r="M205" s="13">
        <f t="shared" si="74"/>
        <v>604.66666666666663</v>
      </c>
      <c r="N205" s="55"/>
    </row>
    <row r="206" spans="1:14" outlineLevel="1" x14ac:dyDescent="0.2">
      <c r="A206" s="20">
        <f t="shared" si="73"/>
        <v>13231</v>
      </c>
      <c r="B206" s="19" t="str">
        <f t="shared" si="73"/>
        <v>UHV</v>
      </c>
      <c r="C206" s="18"/>
      <c r="D206" s="15">
        <f t="shared" si="74"/>
        <v>576.66666666666663</v>
      </c>
      <c r="E206" s="21">
        <f t="shared" si="74"/>
        <v>0.52057016677259083</v>
      </c>
      <c r="F206" s="14">
        <f t="shared" si="74"/>
        <v>1438.6222222222223</v>
      </c>
      <c r="G206" s="13">
        <f t="shared" si="74"/>
        <v>1084.4800000000012</v>
      </c>
      <c r="H206" s="15">
        <f t="shared" si="74"/>
        <v>108</v>
      </c>
      <c r="I206" s="13">
        <f t="shared" si="74"/>
        <v>7.333333333333333</v>
      </c>
      <c r="J206" s="16">
        <f t="shared" si="74"/>
        <v>384</v>
      </c>
      <c r="K206" s="15">
        <f t="shared" si="74"/>
        <v>716</v>
      </c>
      <c r="L206" s="14">
        <f t="shared" si="74"/>
        <v>296.33333333333331</v>
      </c>
      <c r="M206" s="13">
        <f t="shared" si="74"/>
        <v>6.666666666666667</v>
      </c>
      <c r="N206" s="55"/>
    </row>
    <row r="207" spans="1:14" outlineLevel="1" x14ac:dyDescent="0.2">
      <c r="A207" s="20">
        <f t="shared" si="73"/>
        <v>3592</v>
      </c>
      <c r="B207" s="19" t="str">
        <f t="shared" si="73"/>
        <v>Midwestern</v>
      </c>
      <c r="C207" s="18"/>
      <c r="D207" s="15">
        <f t="shared" si="74"/>
        <v>1031.6666666666667</v>
      </c>
      <c r="E207" s="21">
        <f t="shared" si="74"/>
        <v>0.4393333333333333</v>
      </c>
      <c r="F207" s="14">
        <f t="shared" si="74"/>
        <v>4276.7777777777783</v>
      </c>
      <c r="G207" s="13">
        <f t="shared" si="74"/>
        <v>1962.0000000000034</v>
      </c>
      <c r="H207" s="15">
        <f t="shared" si="74"/>
        <v>333.33333333333331</v>
      </c>
      <c r="I207" s="13">
        <f t="shared" si="74"/>
        <v>15</v>
      </c>
      <c r="J207" s="16">
        <f t="shared" si="74"/>
        <v>690.33333333333337</v>
      </c>
      <c r="K207" s="15">
        <f t="shared" si="74"/>
        <v>1438</v>
      </c>
      <c r="L207" s="14">
        <f t="shared" si="74"/>
        <v>1046</v>
      </c>
      <c r="M207" s="13">
        <f t="shared" si="74"/>
        <v>679.66666666666663</v>
      </c>
      <c r="N207" s="55"/>
    </row>
    <row r="208" spans="1:14" outlineLevel="1" x14ac:dyDescent="0.2">
      <c r="A208" s="20">
        <f t="shared" si="73"/>
        <v>3594</v>
      </c>
      <c r="B208" s="19" t="str">
        <f t="shared" si="73"/>
        <v>UNT</v>
      </c>
      <c r="C208" s="18"/>
      <c r="D208" s="15">
        <f t="shared" si="74"/>
        <v>6016.666666666667</v>
      </c>
      <c r="E208" s="21">
        <f t="shared" si="74"/>
        <v>0.57633333333333336</v>
      </c>
      <c r="F208" s="14">
        <f t="shared" si="74"/>
        <v>23242.088888888899</v>
      </c>
      <c r="G208" s="13">
        <f t="shared" si="74"/>
        <v>11411.553333332529</v>
      </c>
      <c r="H208" s="15">
        <f t="shared" si="74"/>
        <v>336.66666666666669</v>
      </c>
      <c r="I208" s="13">
        <f t="shared" si="74"/>
        <v>43.333333333333336</v>
      </c>
      <c r="J208" s="16">
        <f t="shared" si="74"/>
        <v>3820</v>
      </c>
      <c r="K208" s="15">
        <f t="shared" si="74"/>
        <v>7864.666666666667</v>
      </c>
      <c r="L208" s="14">
        <f t="shared" si="74"/>
        <v>5642.333333333333</v>
      </c>
      <c r="M208" s="13">
        <f t="shared" si="74"/>
        <v>3337</v>
      </c>
      <c r="N208" s="55"/>
    </row>
    <row r="209" spans="1:14" outlineLevel="1" x14ac:dyDescent="0.2">
      <c r="A209" s="27">
        <f t="shared" si="73"/>
        <v>113594</v>
      </c>
      <c r="B209" s="19" t="str">
        <f t="shared" si="73"/>
        <v>UNTD</v>
      </c>
      <c r="C209" s="18"/>
      <c r="D209" s="15">
        <f t="shared" si="74"/>
        <v>403.5</v>
      </c>
      <c r="E209" s="21">
        <f t="shared" si="74"/>
        <v>0.57750000000000001</v>
      </c>
      <c r="F209" s="14">
        <f t="shared" si="74"/>
        <v>946.13333333333333</v>
      </c>
      <c r="G209" s="13">
        <f t="shared" si="74"/>
        <v>705.85999999999717</v>
      </c>
      <c r="H209" s="15">
        <f t="shared" si="74"/>
        <v>12</v>
      </c>
      <c r="I209" s="13">
        <f t="shared" si="74"/>
        <v>0</v>
      </c>
      <c r="J209" s="16">
        <f t="shared" si="74"/>
        <v>308.5</v>
      </c>
      <c r="K209" s="15">
        <f t="shared" si="74"/>
        <v>478</v>
      </c>
      <c r="L209" s="14">
        <f t="shared" si="74"/>
        <v>71.5</v>
      </c>
      <c r="M209" s="13">
        <f t="shared" si="74"/>
        <v>11</v>
      </c>
      <c r="N209" s="55"/>
    </row>
    <row r="210" spans="1:14" outlineLevel="1" x14ac:dyDescent="0.2">
      <c r="A210" s="20">
        <f t="shared" si="73"/>
        <v>3624</v>
      </c>
      <c r="B210" s="19" t="str">
        <f t="shared" si="73"/>
        <v>SFA</v>
      </c>
      <c r="C210" s="18"/>
      <c r="D210" s="15">
        <f t="shared" si="74"/>
        <v>1921.6666666666667</v>
      </c>
      <c r="E210" s="21">
        <f t="shared" si="74"/>
        <v>0.55399999999999994</v>
      </c>
      <c r="F210" s="14">
        <f t="shared" si="74"/>
        <v>9486.177777777777</v>
      </c>
      <c r="G210" s="13">
        <f t="shared" si="74"/>
        <v>3721.736666666669</v>
      </c>
      <c r="H210" s="15">
        <f t="shared" si="74"/>
        <v>248</v>
      </c>
      <c r="I210" s="13">
        <f t="shared" si="74"/>
        <v>44.666666666666664</v>
      </c>
      <c r="J210" s="16">
        <f t="shared" si="74"/>
        <v>1460.3333333333333</v>
      </c>
      <c r="K210" s="15">
        <f t="shared" si="74"/>
        <v>2769.3333333333335</v>
      </c>
      <c r="L210" s="14">
        <f t="shared" si="74"/>
        <v>2075</v>
      </c>
      <c r="M210" s="13">
        <f t="shared" si="74"/>
        <v>1397.3333333333333</v>
      </c>
      <c r="N210" s="55"/>
    </row>
    <row r="211" spans="1:14" outlineLevel="1" x14ac:dyDescent="0.2">
      <c r="A211" s="20">
        <f t="shared" si="73"/>
        <v>3642</v>
      </c>
      <c r="B211" s="19" t="str">
        <f t="shared" si="73"/>
        <v>TSU</v>
      </c>
      <c r="C211" s="18"/>
      <c r="D211" s="15">
        <f t="shared" si="74"/>
        <v>758.33333333333337</v>
      </c>
      <c r="E211" s="21">
        <f t="shared" si="74"/>
        <v>0.14366666666666664</v>
      </c>
      <c r="F211" s="14">
        <f t="shared" si="74"/>
        <v>5863.2444444444445</v>
      </c>
      <c r="G211" s="13">
        <f t="shared" si="74"/>
        <v>1488.6533333333352</v>
      </c>
      <c r="H211" s="15">
        <f t="shared" si="74"/>
        <v>134.33333333333334</v>
      </c>
      <c r="I211" s="13">
        <f t="shared" si="74"/>
        <v>3</v>
      </c>
      <c r="J211" s="16">
        <f t="shared" si="74"/>
        <v>666.33333333333337</v>
      </c>
      <c r="K211" s="15">
        <f t="shared" si="74"/>
        <v>1637.3333333333333</v>
      </c>
      <c r="L211" s="14">
        <f t="shared" si="74"/>
        <v>1133</v>
      </c>
      <c r="M211" s="13">
        <f t="shared" si="74"/>
        <v>848.66666666666663</v>
      </c>
      <c r="N211" s="55"/>
    </row>
    <row r="212" spans="1:14" outlineLevel="1" x14ac:dyDescent="0.2">
      <c r="A212" s="20">
        <f t="shared" si="73"/>
        <v>3644</v>
      </c>
      <c r="B212" s="19" t="str">
        <f t="shared" si="73"/>
        <v>TTU</v>
      </c>
      <c r="C212" s="18"/>
      <c r="D212" s="15">
        <f t="shared" si="74"/>
        <v>4674</v>
      </c>
      <c r="E212" s="21">
        <f t="shared" si="74"/>
        <v>0.73199999999999987</v>
      </c>
      <c r="F212" s="14">
        <f t="shared" si="74"/>
        <v>22192.42222222222</v>
      </c>
      <c r="G212" s="13">
        <f t="shared" si="74"/>
        <v>10128.113333332682</v>
      </c>
      <c r="H212" s="15">
        <f t="shared" si="74"/>
        <v>727.33333333333337</v>
      </c>
      <c r="I212" s="13">
        <f t="shared" si="74"/>
        <v>57.333333333333336</v>
      </c>
      <c r="J212" s="16">
        <f t="shared" si="74"/>
        <v>2778</v>
      </c>
      <c r="K212" s="15">
        <f t="shared" si="74"/>
        <v>6485.333333333333</v>
      </c>
      <c r="L212" s="14">
        <f t="shared" si="74"/>
        <v>5278.333333333333</v>
      </c>
      <c r="M212" s="13">
        <f t="shared" si="74"/>
        <v>3945.6666666666665</v>
      </c>
      <c r="N212" s="55"/>
    </row>
    <row r="213" spans="1:14" outlineLevel="1" x14ac:dyDescent="0.2">
      <c r="A213" s="20">
        <f t="shared" si="73"/>
        <v>3541</v>
      </c>
      <c r="B213" s="19" t="str">
        <f t="shared" si="73"/>
        <v>Angelo</v>
      </c>
      <c r="C213" s="18"/>
      <c r="D213" s="15">
        <f t="shared" si="74"/>
        <v>991.33333333333337</v>
      </c>
      <c r="E213" s="21">
        <f t="shared" si="74"/>
        <v>0.42966666666666664</v>
      </c>
      <c r="F213" s="14">
        <f t="shared" si="74"/>
        <v>4882.0444444444447</v>
      </c>
      <c r="G213" s="13">
        <f t="shared" si="74"/>
        <v>1977.3500000000051</v>
      </c>
      <c r="H213" s="15">
        <f t="shared" si="74"/>
        <v>254.33333333333334</v>
      </c>
      <c r="I213" s="13">
        <f t="shared" si="74"/>
        <v>19.333333333333332</v>
      </c>
      <c r="J213" s="16">
        <f t="shared" si="74"/>
        <v>723</v>
      </c>
      <c r="K213" s="15">
        <f t="shared" si="74"/>
        <v>1438.6666666666667</v>
      </c>
      <c r="L213" s="14">
        <f t="shared" si="74"/>
        <v>1033.6666666666667</v>
      </c>
      <c r="M213" s="13">
        <f t="shared" si="74"/>
        <v>707.66666666666663</v>
      </c>
      <c r="N213" s="55"/>
    </row>
    <row r="214" spans="1:14" outlineLevel="1" x14ac:dyDescent="0.2">
      <c r="A214" s="20">
        <f t="shared" ref="A214:B219" si="75">A172</f>
        <v>3646</v>
      </c>
      <c r="B214" s="19" t="str">
        <f t="shared" si="75"/>
        <v>TWU</v>
      </c>
      <c r="C214" s="18"/>
      <c r="D214" s="15">
        <f t="shared" ref="D214:M219" si="76">AVERAGE(D256,D298,D340)</f>
        <v>1806</v>
      </c>
      <c r="E214" s="21">
        <f t="shared" si="76"/>
        <v>0.52366666666666672</v>
      </c>
      <c r="F214" s="14">
        <f t="shared" si="76"/>
        <v>6556.4000000000005</v>
      </c>
      <c r="G214" s="13">
        <f t="shared" si="76"/>
        <v>3452.1766666666658</v>
      </c>
      <c r="H214" s="15">
        <f t="shared" si="76"/>
        <v>569.33333333333337</v>
      </c>
      <c r="I214" s="13">
        <f t="shared" si="76"/>
        <v>31.666666666666668</v>
      </c>
      <c r="J214" s="16">
        <f t="shared" si="76"/>
        <v>1247</v>
      </c>
      <c r="K214" s="15">
        <f t="shared" si="76"/>
        <v>2196</v>
      </c>
      <c r="L214" s="14">
        <f t="shared" si="76"/>
        <v>1292.3333333333333</v>
      </c>
      <c r="M214" s="13">
        <f t="shared" si="76"/>
        <v>659.66666666666663</v>
      </c>
      <c r="N214" s="55"/>
    </row>
    <row r="215" spans="1:14" outlineLevel="1" x14ac:dyDescent="0.2">
      <c r="A215" s="20">
        <f t="shared" si="75"/>
        <v>3581</v>
      </c>
      <c r="B215" s="19" t="str">
        <f t="shared" si="75"/>
        <v>Lamar</v>
      </c>
      <c r="C215" s="18"/>
      <c r="D215" s="15">
        <f t="shared" si="76"/>
        <v>1335.3333333333333</v>
      </c>
      <c r="E215" s="21">
        <f t="shared" si="76"/>
        <v>0.35033333333333333</v>
      </c>
      <c r="F215" s="14">
        <f t="shared" si="76"/>
        <v>7275.0666666666666</v>
      </c>
      <c r="G215" s="13">
        <f t="shared" si="76"/>
        <v>2684.9000000000165</v>
      </c>
      <c r="H215" s="15">
        <f t="shared" si="76"/>
        <v>330</v>
      </c>
      <c r="I215" s="13">
        <f t="shared" si="76"/>
        <v>17</v>
      </c>
      <c r="J215" s="16">
        <f t="shared" si="76"/>
        <v>948.66666666666663</v>
      </c>
      <c r="K215" s="15">
        <f t="shared" si="76"/>
        <v>2144.6666666666665</v>
      </c>
      <c r="L215" s="14">
        <f t="shared" si="76"/>
        <v>1489</v>
      </c>
      <c r="M215" s="13">
        <f t="shared" si="76"/>
        <v>1011</v>
      </c>
      <c r="N215" s="55"/>
    </row>
    <row r="216" spans="1:14" outlineLevel="1" x14ac:dyDescent="0.2">
      <c r="A216" s="20">
        <f t="shared" si="75"/>
        <v>3606</v>
      </c>
      <c r="B216" s="19" t="str">
        <f t="shared" si="75"/>
        <v>SHSU</v>
      </c>
      <c r="C216" s="18"/>
      <c r="D216" s="15">
        <f t="shared" si="76"/>
        <v>3077.6666666666665</v>
      </c>
      <c r="E216" s="21">
        <f t="shared" si="76"/>
        <v>0.58666666666666667</v>
      </c>
      <c r="F216" s="14">
        <f t="shared" si="76"/>
        <v>12574.4</v>
      </c>
      <c r="G216" s="13">
        <f t="shared" si="76"/>
        <v>5837.0766666667887</v>
      </c>
      <c r="H216" s="15">
        <f t="shared" si="76"/>
        <v>167</v>
      </c>
      <c r="I216" s="13">
        <f t="shared" si="76"/>
        <v>61</v>
      </c>
      <c r="J216" s="16">
        <f t="shared" si="76"/>
        <v>2213.6666666666665</v>
      </c>
      <c r="K216" s="15">
        <f t="shared" si="76"/>
        <v>3894.3333333333335</v>
      </c>
      <c r="L216" s="14">
        <f t="shared" si="76"/>
        <v>2965.3333333333335</v>
      </c>
      <c r="M216" s="13">
        <f t="shared" si="76"/>
        <v>1763.3333333333333</v>
      </c>
    </row>
    <row r="217" spans="1:14" outlineLevel="1" x14ac:dyDescent="0.2">
      <c r="A217" s="20">
        <f t="shared" si="75"/>
        <v>3615</v>
      </c>
      <c r="B217" s="19" t="str">
        <f t="shared" si="75"/>
        <v>TXST</v>
      </c>
      <c r="C217" s="18"/>
      <c r="D217" s="15">
        <f t="shared" si="76"/>
        <v>5361</v>
      </c>
      <c r="E217" s="21">
        <f t="shared" si="76"/>
        <v>0.63300000000000001</v>
      </c>
      <c r="F217" s="14">
        <f t="shared" si="76"/>
        <v>22903.511111111107</v>
      </c>
      <c r="G217" s="13">
        <f t="shared" si="76"/>
        <v>10437.309999999357</v>
      </c>
      <c r="H217" s="15">
        <f t="shared" si="76"/>
        <v>488.66666666666669</v>
      </c>
      <c r="I217" s="13">
        <f t="shared" si="76"/>
        <v>66.666666666666671</v>
      </c>
      <c r="J217" s="16">
        <f t="shared" si="76"/>
        <v>3675.3333333333335</v>
      </c>
      <c r="K217" s="15">
        <f t="shared" si="76"/>
        <v>7470.333333333333</v>
      </c>
      <c r="L217" s="14">
        <f t="shared" si="76"/>
        <v>5579</v>
      </c>
      <c r="M217" s="13">
        <f t="shared" si="76"/>
        <v>3317.3333333333335</v>
      </c>
    </row>
    <row r="218" spans="1:14" outlineLevel="1" x14ac:dyDescent="0.2">
      <c r="A218" s="20">
        <f t="shared" si="75"/>
        <v>3625</v>
      </c>
      <c r="B218" s="19" t="str">
        <f t="shared" si="75"/>
        <v>SRSU</v>
      </c>
      <c r="C218" s="18"/>
      <c r="D218" s="15">
        <f t="shared" si="76"/>
        <v>189.33333333333334</v>
      </c>
      <c r="E218" s="21">
        <f t="shared" si="76"/>
        <v>0.30099999999999999</v>
      </c>
      <c r="F218" s="14">
        <f t="shared" si="76"/>
        <v>1220.0222222222221</v>
      </c>
      <c r="G218" s="13">
        <f t="shared" si="76"/>
        <v>394.32999999999964</v>
      </c>
      <c r="H218" s="15">
        <f t="shared" si="76"/>
        <v>12.666666666666666</v>
      </c>
      <c r="I218" s="13">
        <f t="shared" si="76"/>
        <v>6.333333333333333</v>
      </c>
      <c r="J218" s="16">
        <f t="shared" si="76"/>
        <v>163</v>
      </c>
      <c r="K218" s="15">
        <f t="shared" si="76"/>
        <v>300</v>
      </c>
      <c r="L218" s="14">
        <f t="shared" si="76"/>
        <v>193.66666666666666</v>
      </c>
      <c r="M218" s="13">
        <f t="shared" si="76"/>
        <v>131.66666666666666</v>
      </c>
      <c r="N218" s="41"/>
    </row>
    <row r="219" spans="1:14" outlineLevel="1" x14ac:dyDescent="0.2">
      <c r="A219" s="20">
        <f t="shared" si="75"/>
        <v>20</v>
      </c>
      <c r="B219" s="19" t="str">
        <f t="shared" si="75"/>
        <v>SRRG</v>
      </c>
      <c r="C219" s="18"/>
      <c r="D219" s="15">
        <f t="shared" si="76"/>
        <v>161.66666666666666</v>
      </c>
      <c r="E219" s="21">
        <f t="shared" si="76"/>
        <v>0.31772769042270776</v>
      </c>
      <c r="F219" s="14">
        <f t="shared" si="76"/>
        <v>441.75555555555553</v>
      </c>
      <c r="G219" s="13">
        <f t="shared" si="76"/>
        <v>279.16999999999979</v>
      </c>
      <c r="H219" s="15">
        <f t="shared" si="76"/>
        <v>6.333333333333333</v>
      </c>
      <c r="I219" s="13">
        <f t="shared" si="76"/>
        <v>5.666666666666667</v>
      </c>
      <c r="J219" s="16">
        <f t="shared" si="76"/>
        <v>144</v>
      </c>
      <c r="K219" s="15">
        <f t="shared" si="76"/>
        <v>230</v>
      </c>
      <c r="L219" s="14">
        <f t="shared" si="76"/>
        <v>92.666666666666671</v>
      </c>
      <c r="M219" s="13">
        <f t="shared" si="76"/>
        <v>4.333333333333333</v>
      </c>
    </row>
    <row r="220" spans="1:14" ht="13.5" outlineLevel="1" thickBot="1" x14ac:dyDescent="0.25">
      <c r="A220" s="12"/>
      <c r="B220" s="11" t="s">
        <v>11</v>
      </c>
      <c r="C220" s="10"/>
      <c r="D220" s="9">
        <f>SUM(D182:D219)</f>
        <v>84315.833333333314</v>
      </c>
      <c r="E220" s="8">
        <v>0.55900000000000005</v>
      </c>
      <c r="F220" s="7">
        <f t="shared" ref="F220:M220" si="77">SUM(F182:F219)</f>
        <v>350016.33333333331</v>
      </c>
      <c r="G220" s="3">
        <f t="shared" si="77"/>
        <v>172461.13999999844</v>
      </c>
      <c r="H220" s="5">
        <f t="shared" si="77"/>
        <v>13953.333333333332</v>
      </c>
      <c r="I220" s="3">
        <f t="shared" si="77"/>
        <v>1198.3333333333335</v>
      </c>
      <c r="J220" s="6">
        <f t="shared" si="77"/>
        <v>54446.500000000007</v>
      </c>
      <c r="K220" s="5">
        <f t="shared" si="77"/>
        <v>114212.66666666664</v>
      </c>
      <c r="L220" s="4">
        <f t="shared" si="77"/>
        <v>82344.5</v>
      </c>
      <c r="M220" s="3">
        <f t="shared" si="77"/>
        <v>50801.999999999993</v>
      </c>
    </row>
    <row r="221" spans="1:14" ht="13.5" thickBot="1" x14ac:dyDescent="0.25">
      <c r="A221" s="45" t="s">
        <v>27</v>
      </c>
      <c r="B221" s="45"/>
      <c r="C221" s="45"/>
      <c r="D221" s="54"/>
      <c r="F221" s="54"/>
      <c r="J221" s="54"/>
    </row>
    <row r="222" spans="1:14" ht="12.75" customHeight="1" outlineLevel="1" x14ac:dyDescent="0.2">
      <c r="A222" s="273" t="s">
        <v>24</v>
      </c>
      <c r="B222" s="275" t="s">
        <v>23</v>
      </c>
      <c r="C222" s="277"/>
      <c r="D222" s="306" t="s">
        <v>22</v>
      </c>
      <c r="E222" s="301" t="s">
        <v>21</v>
      </c>
      <c r="F222" s="275" t="s">
        <v>20</v>
      </c>
      <c r="G222" s="297" t="s">
        <v>19</v>
      </c>
      <c r="H222" s="299" t="s">
        <v>18</v>
      </c>
      <c r="I222" s="291" t="s">
        <v>17</v>
      </c>
      <c r="J222" s="293" t="s">
        <v>16</v>
      </c>
      <c r="K222" s="295" t="s">
        <v>15</v>
      </c>
      <c r="L222" s="296"/>
      <c r="M222" s="296"/>
    </row>
    <row r="223" spans="1:14" s="41" customFormat="1" ht="36" customHeight="1" outlineLevel="1" thickBot="1" x14ac:dyDescent="0.25">
      <c r="A223" s="274"/>
      <c r="B223" s="276"/>
      <c r="C223" s="278"/>
      <c r="D223" s="307"/>
      <c r="E223" s="302"/>
      <c r="F223" s="276"/>
      <c r="G223" s="298"/>
      <c r="H223" s="300"/>
      <c r="I223" s="292"/>
      <c r="J223" s="294"/>
      <c r="K223" s="44" t="s">
        <v>14</v>
      </c>
      <c r="L223" s="43" t="s">
        <v>13</v>
      </c>
      <c r="M223" s="42" t="s">
        <v>12</v>
      </c>
      <c r="N223" s="1"/>
    </row>
    <row r="224" spans="1:14" outlineLevel="1" x14ac:dyDescent="0.2">
      <c r="A224" s="40">
        <f t="shared" ref="A224:B239" si="78">A182</f>
        <v>3656</v>
      </c>
      <c r="B224" s="39" t="str">
        <f t="shared" si="78"/>
        <v>UTA</v>
      </c>
      <c r="C224" s="38"/>
      <c r="D224" s="33">
        <v>5773</v>
      </c>
      <c r="E224" s="37">
        <v>0.55500000000000005</v>
      </c>
      <c r="F224" s="32">
        <v>17781.466666666667</v>
      </c>
      <c r="G224" s="51">
        <v>12087.560000000249</v>
      </c>
      <c r="H224" s="36">
        <v>2140</v>
      </c>
      <c r="I224" s="35">
        <v>43</v>
      </c>
      <c r="J224" s="34">
        <v>3528</v>
      </c>
      <c r="K224" s="53">
        <v>6893</v>
      </c>
      <c r="L224" s="52">
        <v>3962</v>
      </c>
      <c r="M224" s="51">
        <v>1894</v>
      </c>
    </row>
    <row r="225" spans="1:13" outlineLevel="1" x14ac:dyDescent="0.2">
      <c r="A225" s="20">
        <f t="shared" si="78"/>
        <v>3658</v>
      </c>
      <c r="B225" s="19" t="str">
        <f t="shared" si="78"/>
        <v>UT</v>
      </c>
      <c r="C225" s="18"/>
      <c r="D225" s="15">
        <v>8860</v>
      </c>
      <c r="E225" s="21">
        <v>0.82499999999999996</v>
      </c>
      <c r="F225" s="14">
        <v>33841.466666666667</v>
      </c>
      <c r="G225" s="28">
        <v>19542.67999999996</v>
      </c>
      <c r="H225" s="15">
        <v>1981</v>
      </c>
      <c r="I225" s="13">
        <v>83</v>
      </c>
      <c r="J225" s="16">
        <v>3501</v>
      </c>
      <c r="K225" s="30">
        <v>9260</v>
      </c>
      <c r="L225" s="29">
        <v>8373</v>
      </c>
      <c r="M225" s="28">
        <v>6348</v>
      </c>
    </row>
    <row r="226" spans="1:13" outlineLevel="1" x14ac:dyDescent="0.2">
      <c r="A226" s="20">
        <f t="shared" si="78"/>
        <v>9741</v>
      </c>
      <c r="B226" s="19" t="str">
        <f t="shared" si="78"/>
        <v>UTD</v>
      </c>
      <c r="C226" s="18"/>
      <c r="D226" s="15">
        <v>2510</v>
      </c>
      <c r="E226" s="21">
        <v>0.71900000000000008</v>
      </c>
      <c r="F226" s="14">
        <v>9826.5333333333328</v>
      </c>
      <c r="G226" s="28">
        <v>5443.8700000002518</v>
      </c>
      <c r="H226" s="15">
        <v>449</v>
      </c>
      <c r="I226" s="13">
        <v>33</v>
      </c>
      <c r="J226" s="16">
        <v>1410</v>
      </c>
      <c r="K226" s="30">
        <v>3522</v>
      </c>
      <c r="L226" s="29">
        <v>2348</v>
      </c>
      <c r="M226" s="28">
        <v>1065</v>
      </c>
    </row>
    <row r="227" spans="1:13" outlineLevel="1" x14ac:dyDescent="0.2">
      <c r="A227" s="20">
        <f t="shared" si="78"/>
        <v>3661</v>
      </c>
      <c r="B227" s="19" t="str">
        <f t="shared" si="78"/>
        <v>UTEP</v>
      </c>
      <c r="C227" s="18"/>
      <c r="D227" s="15">
        <v>3132</v>
      </c>
      <c r="E227" s="21">
        <v>0.41200000000000003</v>
      </c>
      <c r="F227" s="14">
        <v>13931.066666666668</v>
      </c>
      <c r="G227" s="28">
        <v>6456.0600000003096</v>
      </c>
      <c r="H227" s="15">
        <v>643</v>
      </c>
      <c r="I227" s="13">
        <v>86</v>
      </c>
      <c r="J227" s="16">
        <v>2590</v>
      </c>
      <c r="K227" s="30">
        <v>4400</v>
      </c>
      <c r="L227" s="29">
        <v>3304</v>
      </c>
      <c r="M227" s="28">
        <v>1986</v>
      </c>
    </row>
    <row r="228" spans="1:13" outlineLevel="1" x14ac:dyDescent="0.2">
      <c r="A228" s="20">
        <f t="shared" si="78"/>
        <v>3599</v>
      </c>
      <c r="B228" s="19" t="str">
        <f t="shared" si="78"/>
        <v>UTPA</v>
      </c>
      <c r="C228" s="18"/>
      <c r="D228" s="15">
        <v>2462</v>
      </c>
      <c r="E228" s="21">
        <v>0.44</v>
      </c>
      <c r="F228" s="14">
        <v>12698.333333333334</v>
      </c>
      <c r="G228" s="28">
        <v>5000.2800000001325</v>
      </c>
      <c r="H228" s="15">
        <v>547</v>
      </c>
      <c r="I228" s="13">
        <v>19</v>
      </c>
      <c r="J228" s="16">
        <v>2247</v>
      </c>
      <c r="K228" s="30">
        <v>3730</v>
      </c>
      <c r="L228" s="29">
        <v>2862</v>
      </c>
      <c r="M228" s="28">
        <v>1896</v>
      </c>
    </row>
    <row r="229" spans="1:13" outlineLevel="1" x14ac:dyDescent="0.2">
      <c r="A229" s="20">
        <f t="shared" si="78"/>
        <v>30646</v>
      </c>
      <c r="B229" s="19" t="str">
        <f t="shared" si="78"/>
        <v>UTB</v>
      </c>
      <c r="C229" s="18"/>
      <c r="D229" s="15">
        <v>1149</v>
      </c>
      <c r="E229" s="17">
        <v>0.52783109404990403</v>
      </c>
      <c r="F229" s="14">
        <v>3400.5333333333333</v>
      </c>
      <c r="G229" s="28">
        <v>2236.3100000000127</v>
      </c>
      <c r="H229" s="15">
        <v>133</v>
      </c>
      <c r="I229" s="13">
        <v>21</v>
      </c>
      <c r="J229" s="16">
        <v>978</v>
      </c>
      <c r="K229" s="30">
        <v>1243</v>
      </c>
      <c r="L229" s="29">
        <v>486</v>
      </c>
      <c r="M229" s="28">
        <v>99</v>
      </c>
    </row>
    <row r="230" spans="1:13" outlineLevel="1" x14ac:dyDescent="0.2">
      <c r="A230" s="20">
        <f t="shared" si="78"/>
        <v>9930</v>
      </c>
      <c r="B230" s="19" t="str">
        <f t="shared" si="78"/>
        <v>UTPB</v>
      </c>
      <c r="C230" s="18"/>
      <c r="D230" s="15">
        <v>546</v>
      </c>
      <c r="E230" s="21">
        <v>0.47899999999999998</v>
      </c>
      <c r="F230" s="14">
        <v>2343.2666666666669</v>
      </c>
      <c r="G230" s="28">
        <v>1054.6599999999951</v>
      </c>
      <c r="H230" s="15">
        <v>51</v>
      </c>
      <c r="I230" s="13">
        <v>7</v>
      </c>
      <c r="J230" s="16">
        <v>411</v>
      </c>
      <c r="K230" s="30">
        <v>742</v>
      </c>
      <c r="L230" s="29">
        <v>535</v>
      </c>
      <c r="M230" s="28">
        <v>210</v>
      </c>
    </row>
    <row r="231" spans="1:13" outlineLevel="1" x14ac:dyDescent="0.2">
      <c r="A231" s="20">
        <f t="shared" si="78"/>
        <v>10115</v>
      </c>
      <c r="B231" s="19" t="str">
        <f t="shared" si="78"/>
        <v>UTSA</v>
      </c>
      <c r="C231" s="18"/>
      <c r="D231" s="15">
        <v>4243</v>
      </c>
      <c r="E231" s="21">
        <v>0.43099999999999999</v>
      </c>
      <c r="F231" s="14">
        <v>21066.866666666665</v>
      </c>
      <c r="G231" s="28">
        <v>8736.7000000001954</v>
      </c>
      <c r="H231" s="15">
        <v>407</v>
      </c>
      <c r="I231" s="13">
        <v>63</v>
      </c>
      <c r="J231" s="16">
        <v>3204</v>
      </c>
      <c r="K231" s="30">
        <v>6815</v>
      </c>
      <c r="L231" s="29">
        <v>4371</v>
      </c>
      <c r="M231" s="28">
        <v>2560</v>
      </c>
    </row>
    <row r="232" spans="1:13" outlineLevel="1" x14ac:dyDescent="0.2">
      <c r="A232" s="20">
        <f t="shared" si="78"/>
        <v>11163</v>
      </c>
      <c r="B232" s="19" t="str">
        <f t="shared" si="78"/>
        <v>UTT</v>
      </c>
      <c r="C232" s="18"/>
      <c r="D232" s="15">
        <v>1144</v>
      </c>
      <c r="E232" s="21">
        <v>0.51800000000000002</v>
      </c>
      <c r="F232" s="14">
        <v>4086.7333333333331</v>
      </c>
      <c r="G232" s="28">
        <v>2263.8699999999944</v>
      </c>
      <c r="H232" s="15">
        <v>392</v>
      </c>
      <c r="I232" s="13">
        <v>23</v>
      </c>
      <c r="J232" s="16">
        <v>886</v>
      </c>
      <c r="K232" s="30">
        <v>1409</v>
      </c>
      <c r="L232" s="29">
        <v>844</v>
      </c>
      <c r="M232" s="28">
        <v>383</v>
      </c>
    </row>
    <row r="233" spans="1:13" outlineLevel="1" x14ac:dyDescent="0.2">
      <c r="A233" s="20">
        <f t="shared" si="78"/>
        <v>3632</v>
      </c>
      <c r="B233" s="19" t="str">
        <f t="shared" si="78"/>
        <v>TAMU</v>
      </c>
      <c r="C233" s="18"/>
      <c r="D233" s="15">
        <v>9020</v>
      </c>
      <c r="E233" s="21">
        <v>0.84200000000000008</v>
      </c>
      <c r="F233" s="14">
        <v>35116.666666666664</v>
      </c>
      <c r="G233" s="28">
        <v>21108.189999999984</v>
      </c>
      <c r="H233" s="15">
        <v>1934</v>
      </c>
      <c r="I233" s="13">
        <v>137</v>
      </c>
      <c r="J233" s="16">
        <v>3915</v>
      </c>
      <c r="K233" s="30">
        <v>10547</v>
      </c>
      <c r="L233" s="29">
        <v>8924</v>
      </c>
      <c r="M233" s="28">
        <v>6938</v>
      </c>
    </row>
    <row r="234" spans="1:13" outlineLevel="1" x14ac:dyDescent="0.2">
      <c r="A234" s="20">
        <f t="shared" si="78"/>
        <v>10298</v>
      </c>
      <c r="B234" s="19" t="str">
        <f t="shared" si="78"/>
        <v>TAMUG</v>
      </c>
      <c r="C234" s="18"/>
      <c r="D234" s="15">
        <v>314</v>
      </c>
      <c r="E234" s="21">
        <v>0.626</v>
      </c>
      <c r="F234" s="14">
        <v>1769.4666666666667</v>
      </c>
      <c r="G234" s="28">
        <v>826.3399999999923</v>
      </c>
      <c r="H234" s="15">
        <v>46</v>
      </c>
      <c r="I234" s="13">
        <v>0</v>
      </c>
      <c r="J234" s="16">
        <v>186</v>
      </c>
      <c r="K234" s="30">
        <v>607</v>
      </c>
      <c r="L234" s="29">
        <v>296</v>
      </c>
      <c r="M234" s="28">
        <v>263</v>
      </c>
    </row>
    <row r="235" spans="1:13" outlineLevel="1" x14ac:dyDescent="0.2">
      <c r="A235" s="20">
        <f t="shared" si="78"/>
        <v>3630</v>
      </c>
      <c r="B235" s="19" t="str">
        <f t="shared" si="78"/>
        <v>Prairie View</v>
      </c>
      <c r="C235" s="18"/>
      <c r="D235" s="15">
        <v>1026</v>
      </c>
      <c r="E235" s="21">
        <v>0.40299999999999997</v>
      </c>
      <c r="F235" s="14">
        <v>5822.8</v>
      </c>
      <c r="G235" s="28">
        <v>2288.9700000000062</v>
      </c>
      <c r="H235" s="15">
        <v>373</v>
      </c>
      <c r="I235" s="13">
        <v>11</v>
      </c>
      <c r="J235" s="16">
        <v>877</v>
      </c>
      <c r="K235" s="30">
        <v>1701</v>
      </c>
      <c r="L235" s="29">
        <v>1132</v>
      </c>
      <c r="M235" s="28">
        <v>871</v>
      </c>
    </row>
    <row r="236" spans="1:13" outlineLevel="1" x14ac:dyDescent="0.2">
      <c r="A236" s="20">
        <f t="shared" si="78"/>
        <v>3631</v>
      </c>
      <c r="B236" s="19" t="str">
        <f t="shared" si="78"/>
        <v>Tarleton</v>
      </c>
      <c r="C236" s="18"/>
      <c r="D236" s="15">
        <v>1662</v>
      </c>
      <c r="E236" s="21">
        <v>0.47600000000000003</v>
      </c>
      <c r="F236" s="14">
        <v>6766.4</v>
      </c>
      <c r="G236" s="28">
        <v>3337.2399999999966</v>
      </c>
      <c r="H236" s="15">
        <v>229</v>
      </c>
      <c r="I236" s="13">
        <v>49</v>
      </c>
      <c r="J236" s="16">
        <v>1296</v>
      </c>
      <c r="K236" s="30">
        <v>2227</v>
      </c>
      <c r="L236" s="29">
        <v>1216</v>
      </c>
      <c r="M236" s="28">
        <v>845</v>
      </c>
    </row>
    <row r="237" spans="1:13" outlineLevel="1" x14ac:dyDescent="0.2">
      <c r="A237" s="27">
        <f t="shared" si="78"/>
        <v>103631</v>
      </c>
      <c r="B237" s="19" t="str">
        <f t="shared" si="78"/>
        <v>TAMUCT</v>
      </c>
      <c r="C237" s="18"/>
      <c r="D237" s="15">
        <v>469</v>
      </c>
      <c r="E237" s="21">
        <f>E236</f>
        <v>0.47600000000000003</v>
      </c>
      <c r="F237" s="14">
        <v>684.13333333333333</v>
      </c>
      <c r="G237" s="28">
        <v>882.20999999999208</v>
      </c>
      <c r="H237" s="15">
        <v>42</v>
      </c>
      <c r="I237" s="13">
        <v>0</v>
      </c>
      <c r="J237" s="16">
        <v>329</v>
      </c>
      <c r="K237" s="30">
        <v>550</v>
      </c>
      <c r="L237" s="29">
        <v>119</v>
      </c>
      <c r="M237" s="28">
        <v>5</v>
      </c>
    </row>
    <row r="238" spans="1:13" outlineLevel="1" x14ac:dyDescent="0.2">
      <c r="A238" s="20">
        <f t="shared" si="78"/>
        <v>11161</v>
      </c>
      <c r="B238" s="19" t="str">
        <f t="shared" si="78"/>
        <v>TAMUCC</v>
      </c>
      <c r="C238" s="18"/>
      <c r="D238" s="15">
        <v>1515</v>
      </c>
      <c r="E238" s="21">
        <v>0.51</v>
      </c>
      <c r="F238" s="14">
        <v>6742.2</v>
      </c>
      <c r="G238" s="28">
        <v>3028.8999999999978</v>
      </c>
      <c r="H238" s="15">
        <v>310</v>
      </c>
      <c r="I238" s="13">
        <v>23</v>
      </c>
      <c r="J238" s="16">
        <v>1182</v>
      </c>
      <c r="K238" s="30">
        <v>1957</v>
      </c>
      <c r="L238" s="29">
        <v>1470</v>
      </c>
      <c r="M238" s="28">
        <v>959</v>
      </c>
    </row>
    <row r="239" spans="1:13" outlineLevel="1" x14ac:dyDescent="0.2">
      <c r="A239" s="20">
        <f t="shared" si="78"/>
        <v>3639</v>
      </c>
      <c r="B239" s="19" t="str">
        <f t="shared" si="78"/>
        <v>TAMUK</v>
      </c>
      <c r="C239" s="18"/>
      <c r="D239" s="15">
        <v>855</v>
      </c>
      <c r="E239" s="21">
        <v>0.39200000000000002</v>
      </c>
      <c r="F239" s="14">
        <v>4577.5333333333338</v>
      </c>
      <c r="G239" s="28">
        <v>1952.6200000000099</v>
      </c>
      <c r="H239" s="15">
        <v>298</v>
      </c>
      <c r="I239" s="13">
        <v>19</v>
      </c>
      <c r="J239" s="16">
        <v>742</v>
      </c>
      <c r="K239" s="30">
        <v>1343</v>
      </c>
      <c r="L239" s="29">
        <v>910</v>
      </c>
      <c r="M239" s="28">
        <v>571</v>
      </c>
    </row>
    <row r="240" spans="1:13" outlineLevel="1" x14ac:dyDescent="0.2">
      <c r="A240" s="27">
        <f t="shared" ref="A240:B255" si="79">A198</f>
        <v>103639</v>
      </c>
      <c r="B240" s="19" t="str">
        <f t="shared" si="79"/>
        <v>TAMUSA</v>
      </c>
      <c r="C240" s="18"/>
      <c r="D240" s="15">
        <v>647</v>
      </c>
      <c r="E240" s="21">
        <f>E239</f>
        <v>0.39200000000000002</v>
      </c>
      <c r="F240" s="14">
        <v>1673.0666666666666</v>
      </c>
      <c r="G240" s="28">
        <v>1155.5399999999984</v>
      </c>
      <c r="H240" s="15">
        <v>10</v>
      </c>
      <c r="I240" s="13">
        <v>4</v>
      </c>
      <c r="J240" s="16">
        <v>549</v>
      </c>
      <c r="K240" s="30">
        <v>887</v>
      </c>
      <c r="L240" s="29">
        <v>190</v>
      </c>
      <c r="M240" s="28">
        <v>1</v>
      </c>
    </row>
    <row r="241" spans="1:13" outlineLevel="1" x14ac:dyDescent="0.2">
      <c r="A241" s="20">
        <f t="shared" si="79"/>
        <v>9651</v>
      </c>
      <c r="B241" s="19" t="str">
        <f t="shared" si="79"/>
        <v>TAMI</v>
      </c>
      <c r="C241" s="18"/>
      <c r="D241" s="15">
        <v>805</v>
      </c>
      <c r="E241" s="21">
        <v>0.45700000000000002</v>
      </c>
      <c r="F241" s="14">
        <v>4312.1333333333332</v>
      </c>
      <c r="G241" s="28">
        <v>1498.7699999999936</v>
      </c>
      <c r="H241" s="15">
        <v>142</v>
      </c>
      <c r="I241" s="13">
        <v>23</v>
      </c>
      <c r="J241" s="16">
        <v>737</v>
      </c>
      <c r="K241" s="30">
        <v>1292</v>
      </c>
      <c r="L241" s="29">
        <v>1039</v>
      </c>
      <c r="M241" s="28">
        <v>488</v>
      </c>
    </row>
    <row r="242" spans="1:13" outlineLevel="1" x14ac:dyDescent="0.2">
      <c r="A242" s="20">
        <f t="shared" si="79"/>
        <v>3665</v>
      </c>
      <c r="B242" s="19" t="str">
        <f t="shared" si="79"/>
        <v>WTAMU</v>
      </c>
      <c r="C242" s="18"/>
      <c r="D242" s="15">
        <v>1253</v>
      </c>
      <c r="E242" s="21">
        <v>0.48200000000000004</v>
      </c>
      <c r="F242" s="14">
        <v>5523.2</v>
      </c>
      <c r="G242" s="28">
        <v>2523.9800000000132</v>
      </c>
      <c r="H242" s="15">
        <v>175</v>
      </c>
      <c r="I242" s="13">
        <v>60</v>
      </c>
      <c r="J242" s="16">
        <v>902</v>
      </c>
      <c r="K242" s="30">
        <v>1631</v>
      </c>
      <c r="L242" s="29">
        <v>1213</v>
      </c>
      <c r="M242" s="28">
        <v>689</v>
      </c>
    </row>
    <row r="243" spans="1:13" outlineLevel="1" x14ac:dyDescent="0.2">
      <c r="A243" s="20">
        <f t="shared" si="79"/>
        <v>3565</v>
      </c>
      <c r="B243" s="19" t="str">
        <f t="shared" si="79"/>
        <v>TAMUC</v>
      </c>
      <c r="C243" s="18"/>
      <c r="D243" s="15">
        <v>1507</v>
      </c>
      <c r="E243" s="21">
        <v>0.44600000000000001</v>
      </c>
      <c r="F243" s="14">
        <v>5135.2666666666664</v>
      </c>
      <c r="G243" s="28">
        <v>2861.9500000000121</v>
      </c>
      <c r="H243" s="15">
        <v>89</v>
      </c>
      <c r="I243" s="13">
        <v>81</v>
      </c>
      <c r="J243" s="16">
        <v>1172</v>
      </c>
      <c r="K243" s="30">
        <v>2056</v>
      </c>
      <c r="L243" s="29">
        <v>1174</v>
      </c>
      <c r="M243" s="28">
        <v>457</v>
      </c>
    </row>
    <row r="244" spans="1:13" outlineLevel="1" x14ac:dyDescent="0.2">
      <c r="A244" s="20">
        <f t="shared" si="79"/>
        <v>29269</v>
      </c>
      <c r="B244" s="19" t="str">
        <f t="shared" si="79"/>
        <v>TAMUT</v>
      </c>
      <c r="C244" s="18"/>
      <c r="D244" s="15">
        <v>376</v>
      </c>
      <c r="E244" s="17">
        <v>0.49242424242424243</v>
      </c>
      <c r="F244" s="14">
        <v>1101.2666666666667</v>
      </c>
      <c r="G244" s="28">
        <v>680.4399999999946</v>
      </c>
      <c r="H244" s="15">
        <v>47</v>
      </c>
      <c r="I244" s="13">
        <v>25</v>
      </c>
      <c r="J244" s="16">
        <v>277</v>
      </c>
      <c r="K244" s="30">
        <v>484</v>
      </c>
      <c r="L244" s="29">
        <v>219</v>
      </c>
      <c r="M244" s="28">
        <v>1</v>
      </c>
    </row>
    <row r="245" spans="1:13" outlineLevel="1" x14ac:dyDescent="0.2">
      <c r="A245" s="20">
        <f t="shared" si="79"/>
        <v>3652</v>
      </c>
      <c r="B245" s="19" t="str">
        <f t="shared" si="79"/>
        <v>UH</v>
      </c>
      <c r="C245" s="18"/>
      <c r="D245" s="15">
        <v>5426</v>
      </c>
      <c r="E245" s="21">
        <v>0.53600000000000003</v>
      </c>
      <c r="F245" s="14">
        <v>24760.400000000001</v>
      </c>
      <c r="G245" s="28">
        <v>11378.949999999324</v>
      </c>
      <c r="H245" s="15">
        <v>835</v>
      </c>
      <c r="I245" s="13">
        <v>60</v>
      </c>
      <c r="J245" s="16">
        <v>3688</v>
      </c>
      <c r="K245" s="30">
        <v>7823</v>
      </c>
      <c r="L245" s="29">
        <v>5667</v>
      </c>
      <c r="M245" s="28">
        <v>3232</v>
      </c>
    </row>
    <row r="246" spans="1:13" outlineLevel="1" x14ac:dyDescent="0.2">
      <c r="A246" s="20">
        <f t="shared" si="79"/>
        <v>11711</v>
      </c>
      <c r="B246" s="19" t="str">
        <f t="shared" si="79"/>
        <v>UHCL</v>
      </c>
      <c r="C246" s="18"/>
      <c r="D246" s="15">
        <v>1251</v>
      </c>
      <c r="E246" s="17">
        <v>0.51671732522796354</v>
      </c>
      <c r="F246" s="14">
        <v>3079.2666666666669</v>
      </c>
      <c r="G246" s="28">
        <v>2423.7000000000025</v>
      </c>
      <c r="H246" s="15">
        <v>119</v>
      </c>
      <c r="I246" s="13">
        <v>9</v>
      </c>
      <c r="J246" s="16">
        <v>839</v>
      </c>
      <c r="K246" s="30">
        <v>1391</v>
      </c>
      <c r="L246" s="29">
        <v>1014</v>
      </c>
      <c r="M246" s="28">
        <v>37</v>
      </c>
    </row>
    <row r="247" spans="1:13" outlineLevel="1" x14ac:dyDescent="0.2">
      <c r="A247" s="20">
        <f t="shared" si="79"/>
        <v>12826</v>
      </c>
      <c r="B247" s="19" t="str">
        <f t="shared" si="79"/>
        <v>UHD</v>
      </c>
      <c r="C247" s="18"/>
      <c r="D247" s="15">
        <v>2351</v>
      </c>
      <c r="E247" s="21">
        <v>0.17399999999999999</v>
      </c>
      <c r="F247" s="14">
        <v>8043.8</v>
      </c>
      <c r="G247" s="28">
        <v>4292.430000000033</v>
      </c>
      <c r="H247" s="15">
        <v>134</v>
      </c>
      <c r="I247" s="13">
        <v>3</v>
      </c>
      <c r="J247" s="16">
        <v>1694</v>
      </c>
      <c r="K247" s="30">
        <v>3011</v>
      </c>
      <c r="L247" s="29">
        <v>1820</v>
      </c>
      <c r="M247" s="28">
        <v>590</v>
      </c>
    </row>
    <row r="248" spans="1:13" outlineLevel="1" x14ac:dyDescent="0.2">
      <c r="A248" s="20">
        <f t="shared" si="79"/>
        <v>13231</v>
      </c>
      <c r="B248" s="19" t="str">
        <f t="shared" si="79"/>
        <v>UHV</v>
      </c>
      <c r="C248" s="18"/>
      <c r="D248" s="15">
        <v>619</v>
      </c>
      <c r="E248" s="17">
        <v>0.47520661157024796</v>
      </c>
      <c r="F248" s="14">
        <v>1685.8666666666666</v>
      </c>
      <c r="G248" s="28">
        <v>1187.5899999999924</v>
      </c>
      <c r="H248" s="15">
        <v>134</v>
      </c>
      <c r="I248" s="13">
        <v>9</v>
      </c>
      <c r="J248" s="16">
        <v>418</v>
      </c>
      <c r="K248" s="30">
        <v>776</v>
      </c>
      <c r="L248" s="29">
        <v>334</v>
      </c>
      <c r="M248" s="28">
        <v>6</v>
      </c>
    </row>
    <row r="249" spans="1:13" outlineLevel="1" x14ac:dyDescent="0.2">
      <c r="A249" s="20">
        <f t="shared" si="79"/>
        <v>3592</v>
      </c>
      <c r="B249" s="19" t="str">
        <f t="shared" si="79"/>
        <v>Midwestern</v>
      </c>
      <c r="C249" s="18"/>
      <c r="D249" s="15">
        <v>1066</v>
      </c>
      <c r="E249" s="21">
        <v>0.46299999999999997</v>
      </c>
      <c r="F249" s="14">
        <v>4147.7333333333336</v>
      </c>
      <c r="G249" s="28">
        <v>2062.1399999999949</v>
      </c>
      <c r="H249" s="15">
        <v>358</v>
      </c>
      <c r="I249" s="13">
        <v>15</v>
      </c>
      <c r="J249" s="16">
        <v>723</v>
      </c>
      <c r="K249" s="30">
        <v>1310</v>
      </c>
      <c r="L249" s="29">
        <v>979</v>
      </c>
      <c r="M249" s="28">
        <v>683</v>
      </c>
    </row>
    <row r="250" spans="1:13" outlineLevel="1" x14ac:dyDescent="0.2">
      <c r="A250" s="20">
        <f t="shared" si="79"/>
        <v>3594</v>
      </c>
      <c r="B250" s="19" t="str">
        <f t="shared" si="79"/>
        <v>UNT</v>
      </c>
      <c r="C250" s="18"/>
      <c r="D250" s="15">
        <v>5843</v>
      </c>
      <c r="E250" s="21">
        <v>0.56799999999999995</v>
      </c>
      <c r="F250" s="14">
        <v>23213.466666666667</v>
      </c>
      <c r="G250" s="28">
        <v>11338.869999999399</v>
      </c>
      <c r="H250" s="15">
        <v>368</v>
      </c>
      <c r="I250" s="13">
        <v>56</v>
      </c>
      <c r="J250" s="16">
        <v>3771</v>
      </c>
      <c r="K250" s="30">
        <v>7310</v>
      </c>
      <c r="L250" s="29">
        <v>5432</v>
      </c>
      <c r="M250" s="28">
        <v>3116</v>
      </c>
    </row>
    <row r="251" spans="1:13" outlineLevel="1" x14ac:dyDescent="0.2">
      <c r="A251" s="27">
        <f t="shared" si="79"/>
        <v>113594</v>
      </c>
      <c r="B251" s="19" t="str">
        <f t="shared" si="79"/>
        <v>UNTD</v>
      </c>
      <c r="C251" s="18"/>
      <c r="D251" s="15">
        <v>419</v>
      </c>
      <c r="E251" s="21">
        <f>E250</f>
        <v>0.56799999999999995</v>
      </c>
      <c r="F251" s="14">
        <v>983.4666666666667</v>
      </c>
      <c r="G251" s="28">
        <v>742.11999999999398</v>
      </c>
      <c r="H251" s="15">
        <v>14</v>
      </c>
      <c r="I251" s="13">
        <v>0</v>
      </c>
      <c r="J251" s="16">
        <v>313</v>
      </c>
      <c r="K251" s="30">
        <v>469</v>
      </c>
      <c r="L251" s="29">
        <v>80</v>
      </c>
      <c r="M251" s="28">
        <v>4</v>
      </c>
    </row>
    <row r="252" spans="1:13" outlineLevel="1" x14ac:dyDescent="0.2">
      <c r="A252" s="20">
        <f t="shared" si="79"/>
        <v>3624</v>
      </c>
      <c r="B252" s="19" t="str">
        <f t="shared" si="79"/>
        <v>SFA</v>
      </c>
      <c r="C252" s="18"/>
      <c r="D252" s="15">
        <v>2011</v>
      </c>
      <c r="E252" s="21">
        <v>0.55299999999999994</v>
      </c>
      <c r="F252" s="14">
        <v>9507.3333333333339</v>
      </c>
      <c r="G252" s="28">
        <v>3932.9399999999569</v>
      </c>
      <c r="H252" s="15">
        <v>273</v>
      </c>
      <c r="I252" s="13">
        <v>42</v>
      </c>
      <c r="J252" s="16">
        <v>1513</v>
      </c>
      <c r="K252" s="30">
        <v>2605</v>
      </c>
      <c r="L252" s="29">
        <v>2125</v>
      </c>
      <c r="M252" s="28">
        <v>1473</v>
      </c>
    </row>
    <row r="253" spans="1:13" outlineLevel="1" x14ac:dyDescent="0.2">
      <c r="A253" s="20">
        <f t="shared" si="79"/>
        <v>3642</v>
      </c>
      <c r="B253" s="19" t="str">
        <f t="shared" si="79"/>
        <v>TSU</v>
      </c>
      <c r="C253" s="18"/>
      <c r="D253" s="15">
        <v>737</v>
      </c>
      <c r="E253" s="21">
        <v>0.14099999999999999</v>
      </c>
      <c r="F253" s="14">
        <v>5767.1333333333332</v>
      </c>
      <c r="G253" s="28">
        <v>1478.8299999999929</v>
      </c>
      <c r="H253" s="15">
        <v>154</v>
      </c>
      <c r="I253" s="13">
        <v>5</v>
      </c>
      <c r="J253" s="16">
        <v>641</v>
      </c>
      <c r="K253" s="30">
        <v>1349</v>
      </c>
      <c r="L253" s="29">
        <v>988</v>
      </c>
      <c r="M253" s="28">
        <v>760</v>
      </c>
    </row>
    <row r="254" spans="1:13" outlineLevel="1" x14ac:dyDescent="0.2">
      <c r="A254" s="20">
        <f t="shared" si="79"/>
        <v>3644</v>
      </c>
      <c r="B254" s="19" t="str">
        <f t="shared" si="79"/>
        <v>TTU</v>
      </c>
      <c r="C254" s="18"/>
      <c r="D254" s="15">
        <v>4941</v>
      </c>
      <c r="E254" s="21">
        <v>0.73599999999999999</v>
      </c>
      <c r="F254" s="14">
        <v>22627.599999999999</v>
      </c>
      <c r="G254" s="28">
        <v>10741.019999999262</v>
      </c>
      <c r="H254" s="15">
        <v>839</v>
      </c>
      <c r="I254" s="13">
        <v>67</v>
      </c>
      <c r="J254" s="16">
        <v>3071</v>
      </c>
      <c r="K254" s="30">
        <v>6449</v>
      </c>
      <c r="L254" s="29">
        <v>5332</v>
      </c>
      <c r="M254" s="28">
        <v>4048</v>
      </c>
    </row>
    <row r="255" spans="1:13" outlineLevel="1" x14ac:dyDescent="0.2">
      <c r="A255" s="20">
        <f t="shared" si="79"/>
        <v>3541</v>
      </c>
      <c r="B255" s="19" t="str">
        <f t="shared" si="79"/>
        <v>Angelo</v>
      </c>
      <c r="C255" s="18"/>
      <c r="D255" s="15">
        <v>1073</v>
      </c>
      <c r="E255" s="21">
        <v>0.40799999999999997</v>
      </c>
      <c r="F255" s="14">
        <v>4921.333333333333</v>
      </c>
      <c r="G255" s="28">
        <v>2141.5100000000025</v>
      </c>
      <c r="H255" s="15">
        <v>304</v>
      </c>
      <c r="I255" s="13">
        <v>19</v>
      </c>
      <c r="J255" s="16">
        <v>773</v>
      </c>
      <c r="K255" s="30">
        <v>1398</v>
      </c>
      <c r="L255" s="29">
        <v>1022</v>
      </c>
      <c r="M255" s="28">
        <v>707</v>
      </c>
    </row>
    <row r="256" spans="1:13" outlineLevel="1" x14ac:dyDescent="0.2">
      <c r="A256" s="20">
        <f t="shared" ref="A256:B261" si="80">A214</f>
        <v>3646</v>
      </c>
      <c r="B256" s="19" t="str">
        <f t="shared" si="80"/>
        <v>TWU</v>
      </c>
      <c r="C256" s="18"/>
      <c r="D256" s="15">
        <v>1919</v>
      </c>
      <c r="E256" s="21">
        <v>0.54200000000000004</v>
      </c>
      <c r="F256" s="14">
        <v>6999.5333333333338</v>
      </c>
      <c r="G256" s="28">
        <v>3704.3199999999606</v>
      </c>
      <c r="H256" s="15">
        <v>571</v>
      </c>
      <c r="I256" s="13">
        <v>30</v>
      </c>
      <c r="J256" s="16">
        <v>1326</v>
      </c>
      <c r="K256" s="30">
        <v>2425</v>
      </c>
      <c r="L256" s="29">
        <v>1247</v>
      </c>
      <c r="M256" s="28">
        <v>703</v>
      </c>
    </row>
    <row r="257" spans="1:14" outlineLevel="1" x14ac:dyDescent="0.2">
      <c r="A257" s="20">
        <f t="shared" si="80"/>
        <v>3581</v>
      </c>
      <c r="B257" s="19" t="str">
        <f t="shared" si="80"/>
        <v>Lamar</v>
      </c>
      <c r="C257" s="18"/>
      <c r="D257" s="15">
        <v>1380</v>
      </c>
      <c r="E257" s="21">
        <v>0.35899999999999999</v>
      </c>
      <c r="F257" s="14">
        <v>7404.4666666666662</v>
      </c>
      <c r="G257" s="28">
        <v>2721.5300000000057</v>
      </c>
      <c r="H257" s="15">
        <v>318</v>
      </c>
      <c r="I257" s="13">
        <v>18</v>
      </c>
      <c r="J257" s="16">
        <v>995</v>
      </c>
      <c r="K257" s="30">
        <v>2074</v>
      </c>
      <c r="L257" s="29">
        <v>1486</v>
      </c>
      <c r="M257" s="28">
        <v>1002</v>
      </c>
    </row>
    <row r="258" spans="1:14" outlineLevel="1" x14ac:dyDescent="0.2">
      <c r="A258" s="20">
        <f t="shared" si="80"/>
        <v>3606</v>
      </c>
      <c r="B258" s="19" t="str">
        <f t="shared" si="80"/>
        <v>SHSU</v>
      </c>
      <c r="C258" s="18"/>
      <c r="D258" s="15">
        <v>2978</v>
      </c>
      <c r="E258" s="21">
        <v>0.57799999999999996</v>
      </c>
      <c r="F258" s="14">
        <v>12574.466666666667</v>
      </c>
      <c r="G258" s="28">
        <v>5694.020000000286</v>
      </c>
      <c r="H258" s="15">
        <v>172</v>
      </c>
      <c r="I258" s="13">
        <v>51</v>
      </c>
      <c r="J258" s="16">
        <v>2163</v>
      </c>
      <c r="K258" s="30">
        <v>3894</v>
      </c>
      <c r="L258" s="29">
        <v>2915</v>
      </c>
      <c r="M258" s="28">
        <v>1704</v>
      </c>
    </row>
    <row r="259" spans="1:14" outlineLevel="1" x14ac:dyDescent="0.2">
      <c r="A259" s="20">
        <f t="shared" si="80"/>
        <v>3615</v>
      </c>
      <c r="B259" s="19" t="str">
        <f t="shared" si="80"/>
        <v>TXST</v>
      </c>
      <c r="C259" s="18"/>
      <c r="D259" s="15">
        <v>5435</v>
      </c>
      <c r="E259" s="21">
        <v>0.61399999999999999</v>
      </c>
      <c r="F259" s="14">
        <v>24028</v>
      </c>
      <c r="G259" s="28">
        <v>10677.06999999951</v>
      </c>
      <c r="H259" s="15">
        <v>582</v>
      </c>
      <c r="I259" s="13">
        <v>67</v>
      </c>
      <c r="J259" s="16">
        <v>3816</v>
      </c>
      <c r="K259" s="30">
        <v>7425</v>
      </c>
      <c r="L259" s="29">
        <v>5561</v>
      </c>
      <c r="M259" s="28">
        <v>3333</v>
      </c>
    </row>
    <row r="260" spans="1:14" outlineLevel="1" x14ac:dyDescent="0.2">
      <c r="A260" s="20">
        <f t="shared" si="80"/>
        <v>3625</v>
      </c>
      <c r="B260" s="19" t="str">
        <f t="shared" si="80"/>
        <v>SRSU</v>
      </c>
      <c r="C260" s="18"/>
      <c r="D260" s="15">
        <v>191</v>
      </c>
      <c r="E260" s="21">
        <v>0.32600000000000001</v>
      </c>
      <c r="F260" s="14">
        <v>1229</v>
      </c>
      <c r="G260" s="28">
        <v>409.0499999999999</v>
      </c>
      <c r="H260" s="15">
        <v>10</v>
      </c>
      <c r="I260" s="13">
        <v>5</v>
      </c>
      <c r="J260" s="16">
        <v>167</v>
      </c>
      <c r="K260" s="30">
        <v>284</v>
      </c>
      <c r="L260" s="29">
        <v>188</v>
      </c>
      <c r="M260" s="28">
        <v>144</v>
      </c>
      <c r="N260" s="41"/>
    </row>
    <row r="261" spans="1:14" outlineLevel="1" x14ac:dyDescent="0.2">
      <c r="A261" s="20">
        <f t="shared" si="80"/>
        <v>20</v>
      </c>
      <c r="B261" s="19" t="str">
        <f t="shared" si="80"/>
        <v>SRRG</v>
      </c>
      <c r="C261" s="18"/>
      <c r="D261" s="15">
        <v>154</v>
      </c>
      <c r="E261" s="17">
        <v>0.25423728813559321</v>
      </c>
      <c r="F261" s="14">
        <v>436.8</v>
      </c>
      <c r="G261" s="28">
        <v>268.06000000000023</v>
      </c>
      <c r="H261" s="15">
        <v>6</v>
      </c>
      <c r="I261" s="13">
        <v>1</v>
      </c>
      <c r="J261" s="16">
        <v>138</v>
      </c>
      <c r="K261" s="30">
        <v>215</v>
      </c>
      <c r="L261" s="29">
        <v>91</v>
      </c>
      <c r="M261" s="28">
        <v>6</v>
      </c>
    </row>
    <row r="262" spans="1:14" ht="13.5" outlineLevel="1" thickBot="1" x14ac:dyDescent="0.25">
      <c r="A262" s="12"/>
      <c r="B262" s="11" t="s">
        <v>11</v>
      </c>
      <c r="C262" s="10"/>
      <c r="D262" s="9">
        <f>SUM(D224:D261)</f>
        <v>87062</v>
      </c>
      <c r="E262" s="8">
        <v>0.58700000000000008</v>
      </c>
      <c r="F262" s="7">
        <f t="shared" ref="F262:M262" si="81">SUM(F224:F261)</f>
        <v>359610.06666666665</v>
      </c>
      <c r="G262" s="3">
        <f t="shared" si="81"/>
        <v>180161.28999999876</v>
      </c>
      <c r="H262" s="5">
        <f t="shared" si="81"/>
        <v>15629</v>
      </c>
      <c r="I262" s="3">
        <f t="shared" si="81"/>
        <v>1267</v>
      </c>
      <c r="J262" s="6">
        <f t="shared" si="81"/>
        <v>56968</v>
      </c>
      <c r="K262" s="5">
        <f t="shared" si="81"/>
        <v>113504</v>
      </c>
      <c r="L262" s="4">
        <f t="shared" si="81"/>
        <v>81268</v>
      </c>
      <c r="M262" s="3">
        <f t="shared" si="81"/>
        <v>50077</v>
      </c>
    </row>
    <row r="263" spans="1:14" ht="13.5" thickBot="1" x14ac:dyDescent="0.25">
      <c r="A263" s="45" t="s">
        <v>26</v>
      </c>
      <c r="B263" s="45"/>
      <c r="C263" s="45"/>
      <c r="D263" s="45"/>
      <c r="F263" s="45"/>
      <c r="J263" s="45"/>
    </row>
    <row r="264" spans="1:14" ht="12.75" customHeight="1" outlineLevel="1" x14ac:dyDescent="0.2">
      <c r="A264" s="273" t="s">
        <v>24</v>
      </c>
      <c r="B264" s="275" t="s">
        <v>23</v>
      </c>
      <c r="C264" s="277"/>
      <c r="D264" s="306" t="s">
        <v>22</v>
      </c>
      <c r="E264" s="301" t="s">
        <v>21</v>
      </c>
      <c r="F264" s="275" t="s">
        <v>20</v>
      </c>
      <c r="G264" s="297" t="s">
        <v>19</v>
      </c>
      <c r="H264" s="299" t="s">
        <v>18</v>
      </c>
      <c r="I264" s="291" t="s">
        <v>17</v>
      </c>
      <c r="J264" s="293" t="s">
        <v>16</v>
      </c>
      <c r="K264" s="295" t="s">
        <v>15</v>
      </c>
      <c r="L264" s="296"/>
      <c r="M264" s="296"/>
    </row>
    <row r="265" spans="1:14" s="41" customFormat="1" ht="40.5" customHeight="1" outlineLevel="1" thickBot="1" x14ac:dyDescent="0.25">
      <c r="A265" s="274"/>
      <c r="B265" s="276"/>
      <c r="C265" s="278"/>
      <c r="D265" s="307"/>
      <c r="E265" s="302"/>
      <c r="F265" s="276"/>
      <c r="G265" s="298"/>
      <c r="H265" s="300"/>
      <c r="I265" s="292"/>
      <c r="J265" s="294"/>
      <c r="K265" s="44" t="s">
        <v>14</v>
      </c>
      <c r="L265" s="43" t="s">
        <v>13</v>
      </c>
      <c r="M265" s="42" t="s">
        <v>12</v>
      </c>
      <c r="N265" s="1"/>
    </row>
    <row r="266" spans="1:14" outlineLevel="1" x14ac:dyDescent="0.2">
      <c r="A266" s="40">
        <f t="shared" ref="A266:B281" si="82">A224</f>
        <v>3656</v>
      </c>
      <c r="B266" s="39" t="str">
        <f t="shared" si="82"/>
        <v>UTA</v>
      </c>
      <c r="C266" s="38"/>
      <c r="D266" s="33">
        <v>5103</v>
      </c>
      <c r="E266" s="37">
        <v>0.49299999999999999</v>
      </c>
      <c r="F266" s="32">
        <v>17372</v>
      </c>
      <c r="G266" s="31">
        <v>10527.860000000002</v>
      </c>
      <c r="H266" s="36">
        <v>1620</v>
      </c>
      <c r="I266" s="35">
        <v>26</v>
      </c>
      <c r="J266" s="34">
        <v>3158</v>
      </c>
      <c r="K266" s="33">
        <v>6986</v>
      </c>
      <c r="L266" s="32">
        <v>3903</v>
      </c>
      <c r="M266" s="31">
        <v>1733</v>
      </c>
    </row>
    <row r="267" spans="1:14" outlineLevel="1" x14ac:dyDescent="0.2">
      <c r="A267" s="20">
        <f t="shared" si="82"/>
        <v>3658</v>
      </c>
      <c r="B267" s="19" t="str">
        <f t="shared" si="82"/>
        <v>UT</v>
      </c>
      <c r="C267" s="18"/>
      <c r="D267" s="15">
        <v>9027</v>
      </c>
      <c r="E267" s="21">
        <v>0.83299999999999996</v>
      </c>
      <c r="F267" s="14">
        <v>33709.866666666669</v>
      </c>
      <c r="G267" s="13">
        <v>19422.050000001858</v>
      </c>
      <c r="H267" s="15">
        <v>1894</v>
      </c>
      <c r="I267" s="13">
        <v>60</v>
      </c>
      <c r="J267" s="16">
        <v>3475</v>
      </c>
      <c r="K267" s="15">
        <v>9939</v>
      </c>
      <c r="L267" s="14">
        <v>8895</v>
      </c>
      <c r="M267" s="13">
        <v>7485</v>
      </c>
    </row>
    <row r="268" spans="1:14" outlineLevel="1" x14ac:dyDescent="0.2">
      <c r="A268" s="20">
        <f t="shared" si="82"/>
        <v>9741</v>
      </c>
      <c r="B268" s="19" t="str">
        <f t="shared" si="82"/>
        <v>UTD</v>
      </c>
      <c r="C268" s="18"/>
      <c r="D268" s="15">
        <v>2314</v>
      </c>
      <c r="E268" s="21">
        <v>0.68299999999999994</v>
      </c>
      <c r="F268" s="14">
        <v>8822.2000000000007</v>
      </c>
      <c r="G268" s="13">
        <v>4904.1700000000228</v>
      </c>
      <c r="H268" s="15">
        <v>424</v>
      </c>
      <c r="I268" s="13">
        <v>27</v>
      </c>
      <c r="J268" s="16">
        <v>1294</v>
      </c>
      <c r="K268" s="15">
        <v>3345</v>
      </c>
      <c r="L268" s="14">
        <v>2105</v>
      </c>
      <c r="M268" s="13">
        <v>1076</v>
      </c>
    </row>
    <row r="269" spans="1:14" outlineLevel="1" x14ac:dyDescent="0.2">
      <c r="A269" s="20">
        <f t="shared" si="82"/>
        <v>3661</v>
      </c>
      <c r="B269" s="19" t="str">
        <f t="shared" si="82"/>
        <v>UTEP</v>
      </c>
      <c r="C269" s="18"/>
      <c r="D269" s="15">
        <v>3008</v>
      </c>
      <c r="E269" s="21">
        <v>0.38400000000000001</v>
      </c>
      <c r="F269" s="14">
        <v>13376</v>
      </c>
      <c r="G269" s="13">
        <v>6142.7200000000885</v>
      </c>
      <c r="H269" s="15">
        <v>613</v>
      </c>
      <c r="I269" s="13">
        <v>91</v>
      </c>
      <c r="J269" s="16">
        <v>2409</v>
      </c>
      <c r="K269" s="15">
        <v>4488</v>
      </c>
      <c r="L269" s="14">
        <v>3404</v>
      </c>
      <c r="M269" s="13">
        <v>1910</v>
      </c>
    </row>
    <row r="270" spans="1:14" outlineLevel="1" x14ac:dyDescent="0.2">
      <c r="A270" s="20">
        <f t="shared" si="82"/>
        <v>3599</v>
      </c>
      <c r="B270" s="19" t="str">
        <f t="shared" si="82"/>
        <v>UTPA</v>
      </c>
      <c r="C270" s="18"/>
      <c r="D270" s="15">
        <v>2658</v>
      </c>
      <c r="E270" s="21">
        <v>0.46399999999999997</v>
      </c>
      <c r="F270" s="14">
        <v>12499.266666666666</v>
      </c>
      <c r="G270" s="13">
        <v>5231.3300000001427</v>
      </c>
      <c r="H270" s="15">
        <v>534</v>
      </c>
      <c r="I270" s="13">
        <v>34</v>
      </c>
      <c r="J270" s="16">
        <v>2427</v>
      </c>
      <c r="K270" s="15">
        <v>4142</v>
      </c>
      <c r="L270" s="14">
        <v>3290</v>
      </c>
      <c r="M270" s="13">
        <v>1998</v>
      </c>
    </row>
    <row r="271" spans="1:14" outlineLevel="1" x14ac:dyDescent="0.2">
      <c r="A271" s="20">
        <f t="shared" si="82"/>
        <v>30646</v>
      </c>
      <c r="B271" s="19" t="str">
        <f t="shared" si="82"/>
        <v>UTB</v>
      </c>
      <c r="C271" s="18"/>
      <c r="D271" s="15">
        <v>1075</v>
      </c>
      <c r="E271" s="17">
        <v>0.55124653739612184</v>
      </c>
      <c r="F271" s="14">
        <v>3116.2</v>
      </c>
      <c r="G271" s="13">
        <v>2052.0600000000218</v>
      </c>
      <c r="H271" s="15">
        <v>132</v>
      </c>
      <c r="I271" s="13">
        <v>15</v>
      </c>
      <c r="J271" s="16">
        <v>916</v>
      </c>
      <c r="K271" s="15">
        <v>1359</v>
      </c>
      <c r="L271" s="14">
        <v>600</v>
      </c>
      <c r="M271" s="13">
        <v>131</v>
      </c>
    </row>
    <row r="272" spans="1:14" outlineLevel="1" x14ac:dyDescent="0.2">
      <c r="A272" s="20">
        <f t="shared" si="82"/>
        <v>9930</v>
      </c>
      <c r="B272" s="19" t="str">
        <f t="shared" si="82"/>
        <v>UTPB</v>
      </c>
      <c r="C272" s="18"/>
      <c r="D272" s="15">
        <v>541</v>
      </c>
      <c r="E272" s="21">
        <v>0.40700000000000003</v>
      </c>
      <c r="F272" s="14">
        <v>2416</v>
      </c>
      <c r="G272" s="13">
        <v>1005.1500000000051</v>
      </c>
      <c r="H272" s="15">
        <v>40</v>
      </c>
      <c r="I272" s="13">
        <v>10</v>
      </c>
      <c r="J272" s="16">
        <v>407</v>
      </c>
      <c r="K272" s="15">
        <v>908</v>
      </c>
      <c r="L272" s="14">
        <v>490</v>
      </c>
      <c r="M272" s="13">
        <v>191</v>
      </c>
    </row>
    <row r="273" spans="1:13" outlineLevel="1" x14ac:dyDescent="0.2">
      <c r="A273" s="20">
        <f t="shared" si="82"/>
        <v>10115</v>
      </c>
      <c r="B273" s="19" t="str">
        <f t="shared" si="82"/>
        <v>UTSA</v>
      </c>
      <c r="C273" s="18"/>
      <c r="D273" s="15">
        <v>4148</v>
      </c>
      <c r="E273" s="21">
        <v>0.39400000000000002</v>
      </c>
      <c r="F273" s="14">
        <v>20284.733333333334</v>
      </c>
      <c r="G273" s="13">
        <v>8398.8499999997166</v>
      </c>
      <c r="H273" s="15">
        <v>394</v>
      </c>
      <c r="I273" s="13">
        <v>47</v>
      </c>
      <c r="J273" s="16">
        <v>3211</v>
      </c>
      <c r="K273" s="15">
        <v>6802</v>
      </c>
      <c r="L273" s="14">
        <v>4390</v>
      </c>
      <c r="M273" s="13">
        <v>2699</v>
      </c>
    </row>
    <row r="274" spans="1:13" outlineLevel="1" x14ac:dyDescent="0.2">
      <c r="A274" s="20">
        <f t="shared" si="82"/>
        <v>11163</v>
      </c>
      <c r="B274" s="19" t="str">
        <f t="shared" si="82"/>
        <v>UTT</v>
      </c>
      <c r="C274" s="18"/>
      <c r="D274" s="15">
        <v>1188</v>
      </c>
      <c r="E274" s="21">
        <v>0.53300000000000003</v>
      </c>
      <c r="F274" s="14">
        <v>4030.7333333333331</v>
      </c>
      <c r="G274" s="13">
        <v>2364.9800000000037</v>
      </c>
      <c r="H274" s="15">
        <v>366</v>
      </c>
      <c r="I274" s="13">
        <v>9</v>
      </c>
      <c r="J274" s="16">
        <v>939</v>
      </c>
      <c r="K274" s="15">
        <v>1496</v>
      </c>
      <c r="L274" s="14">
        <v>905</v>
      </c>
      <c r="M274" s="13">
        <v>401</v>
      </c>
    </row>
    <row r="275" spans="1:13" outlineLevel="1" x14ac:dyDescent="0.2">
      <c r="A275" s="20">
        <f t="shared" si="82"/>
        <v>3632</v>
      </c>
      <c r="B275" s="19" t="str">
        <f t="shared" si="82"/>
        <v>TAMU</v>
      </c>
      <c r="C275" s="18"/>
      <c r="D275" s="15">
        <v>8748</v>
      </c>
      <c r="E275" s="21">
        <v>0.84399999999999997</v>
      </c>
      <c r="F275" s="14">
        <v>34425.133333333331</v>
      </c>
      <c r="G275" s="13">
        <v>20060.050000001262</v>
      </c>
      <c r="H275" s="15">
        <v>1775</v>
      </c>
      <c r="I275" s="13">
        <v>133</v>
      </c>
      <c r="J275" s="16">
        <v>3727</v>
      </c>
      <c r="K275" s="15">
        <v>9623</v>
      </c>
      <c r="L275" s="14">
        <v>8962</v>
      </c>
      <c r="M275" s="13">
        <v>6823</v>
      </c>
    </row>
    <row r="276" spans="1:13" outlineLevel="1" x14ac:dyDescent="0.2">
      <c r="A276" s="20">
        <f t="shared" si="82"/>
        <v>10298</v>
      </c>
      <c r="B276" s="19" t="str">
        <f t="shared" si="82"/>
        <v>TAMUG</v>
      </c>
      <c r="C276" s="18"/>
      <c r="D276" s="15">
        <v>250</v>
      </c>
      <c r="E276" s="21">
        <v>0.66400000000000003</v>
      </c>
      <c r="F276" s="14">
        <v>1668.1333333333334</v>
      </c>
      <c r="G276" s="13">
        <v>648.89999999999895</v>
      </c>
      <c r="H276" s="15">
        <v>35</v>
      </c>
      <c r="I276" s="13">
        <v>0</v>
      </c>
      <c r="J276" s="16">
        <v>151</v>
      </c>
      <c r="K276" s="15">
        <v>600</v>
      </c>
      <c r="L276" s="14">
        <v>336</v>
      </c>
      <c r="M276" s="13">
        <v>234</v>
      </c>
    </row>
    <row r="277" spans="1:13" outlineLevel="1" x14ac:dyDescent="0.2">
      <c r="A277" s="20">
        <f t="shared" si="82"/>
        <v>3630</v>
      </c>
      <c r="B277" s="19" t="str">
        <f t="shared" si="82"/>
        <v>Prairie View</v>
      </c>
      <c r="C277" s="18"/>
      <c r="D277" s="15">
        <v>904</v>
      </c>
      <c r="E277" s="21">
        <v>0.37</v>
      </c>
      <c r="F277" s="49">
        <v>6088.2666666666664</v>
      </c>
      <c r="G277" s="13">
        <v>1934.240000000003</v>
      </c>
      <c r="H277" s="15">
        <v>279</v>
      </c>
      <c r="I277" s="13">
        <v>10</v>
      </c>
      <c r="J277" s="16">
        <v>775</v>
      </c>
      <c r="K277" s="15">
        <v>1660</v>
      </c>
      <c r="L277" s="14">
        <v>1237</v>
      </c>
      <c r="M277" s="13">
        <v>905</v>
      </c>
    </row>
    <row r="278" spans="1:13" outlineLevel="1" x14ac:dyDescent="0.2">
      <c r="A278" s="20">
        <f t="shared" si="82"/>
        <v>3631</v>
      </c>
      <c r="B278" s="19" t="str">
        <f t="shared" si="82"/>
        <v>Tarleton</v>
      </c>
      <c r="C278" s="18"/>
      <c r="D278" s="15">
        <v>1552</v>
      </c>
      <c r="E278" s="21">
        <v>0.48299999999999998</v>
      </c>
      <c r="F278" s="49">
        <v>6264.4666666666662</v>
      </c>
      <c r="G278" s="13">
        <v>3063.9600000000341</v>
      </c>
      <c r="H278" s="15">
        <v>197</v>
      </c>
      <c r="I278" s="48">
        <v>56</v>
      </c>
      <c r="J278" s="16">
        <v>1196</v>
      </c>
      <c r="K278" s="50">
        <v>2096</v>
      </c>
      <c r="L278" s="49">
        <v>1464</v>
      </c>
      <c r="M278" s="48">
        <v>840</v>
      </c>
    </row>
    <row r="279" spans="1:13" outlineLevel="1" x14ac:dyDescent="0.2">
      <c r="A279" s="27">
        <f t="shared" si="82"/>
        <v>103631</v>
      </c>
      <c r="B279" s="19" t="str">
        <f t="shared" si="82"/>
        <v>TAMUCT</v>
      </c>
      <c r="C279" s="18"/>
      <c r="D279" s="15">
        <v>462</v>
      </c>
      <c r="E279" s="21">
        <v>0.48299999999999998</v>
      </c>
      <c r="F279" s="49">
        <v>700.66666666666663</v>
      </c>
      <c r="G279" s="13">
        <v>846.68000000000006</v>
      </c>
      <c r="H279" s="15">
        <v>36</v>
      </c>
      <c r="I279" s="48">
        <v>0</v>
      </c>
      <c r="J279" s="16">
        <v>330</v>
      </c>
      <c r="K279" s="50">
        <v>555</v>
      </c>
      <c r="L279" s="49">
        <v>143</v>
      </c>
      <c r="M279" s="48">
        <v>66</v>
      </c>
    </row>
    <row r="280" spans="1:13" outlineLevel="1" x14ac:dyDescent="0.2">
      <c r="A280" s="20">
        <f t="shared" si="82"/>
        <v>11161</v>
      </c>
      <c r="B280" s="19" t="str">
        <f t="shared" si="82"/>
        <v>TAMUCC</v>
      </c>
      <c r="C280" s="18"/>
      <c r="D280" s="15">
        <v>1315</v>
      </c>
      <c r="E280" s="21">
        <v>0.51100000000000001</v>
      </c>
      <c r="F280" s="49">
        <v>6609.8666666666668</v>
      </c>
      <c r="G280" s="13">
        <v>2639.1300000000101</v>
      </c>
      <c r="H280" s="15">
        <v>252</v>
      </c>
      <c r="I280" s="48">
        <v>25</v>
      </c>
      <c r="J280" s="16">
        <v>1034</v>
      </c>
      <c r="K280" s="15">
        <v>2126</v>
      </c>
      <c r="L280" s="14">
        <v>1577</v>
      </c>
      <c r="M280" s="13">
        <v>864</v>
      </c>
    </row>
    <row r="281" spans="1:13" outlineLevel="1" x14ac:dyDescent="0.2">
      <c r="A281" s="20">
        <f t="shared" si="82"/>
        <v>3639</v>
      </c>
      <c r="B281" s="19" t="str">
        <f t="shared" si="82"/>
        <v>TAMUK</v>
      </c>
      <c r="C281" s="18"/>
      <c r="D281" s="15">
        <v>738</v>
      </c>
      <c r="E281" s="21">
        <v>0.39799999999999996</v>
      </c>
      <c r="F281" s="49">
        <v>4394.2</v>
      </c>
      <c r="G281" s="13">
        <v>1735.8600000000065</v>
      </c>
      <c r="H281" s="15">
        <v>246</v>
      </c>
      <c r="I281" s="48">
        <v>16</v>
      </c>
      <c r="J281" s="16">
        <v>613</v>
      </c>
      <c r="K281" s="50">
        <v>1180</v>
      </c>
      <c r="L281" s="49">
        <v>879</v>
      </c>
      <c r="M281" s="48">
        <v>555</v>
      </c>
    </row>
    <row r="282" spans="1:13" outlineLevel="1" x14ac:dyDescent="0.2">
      <c r="A282" s="27">
        <f t="shared" ref="A282:B297" si="83">A240</f>
        <v>103639</v>
      </c>
      <c r="B282" s="19" t="str">
        <f t="shared" si="83"/>
        <v>TAMUSA</v>
      </c>
      <c r="C282" s="18"/>
      <c r="D282" s="15">
        <v>620</v>
      </c>
      <c r="E282" s="21">
        <v>0.39799999999999996</v>
      </c>
      <c r="F282" s="49">
        <v>1492.4</v>
      </c>
      <c r="G282" s="13">
        <v>1078.0000000000073</v>
      </c>
      <c r="H282" s="15">
        <v>1</v>
      </c>
      <c r="I282" s="48">
        <v>0</v>
      </c>
      <c r="J282" s="16">
        <v>520</v>
      </c>
      <c r="K282" s="50">
        <v>995</v>
      </c>
      <c r="L282" s="49">
        <v>37</v>
      </c>
      <c r="M282" s="48">
        <v>2</v>
      </c>
    </row>
    <row r="283" spans="1:13" outlineLevel="1" x14ac:dyDescent="0.2">
      <c r="A283" s="20">
        <f t="shared" si="83"/>
        <v>9651</v>
      </c>
      <c r="B283" s="19" t="str">
        <f t="shared" si="83"/>
        <v>TAMI</v>
      </c>
      <c r="C283" s="18"/>
      <c r="D283" s="15">
        <v>766</v>
      </c>
      <c r="E283" s="21">
        <v>0.503</v>
      </c>
      <c r="F283" s="14">
        <v>4126.8</v>
      </c>
      <c r="G283" s="13">
        <v>1400.4200000000046</v>
      </c>
      <c r="H283" s="15">
        <v>120</v>
      </c>
      <c r="I283" s="13">
        <v>18</v>
      </c>
      <c r="J283" s="16">
        <v>688</v>
      </c>
      <c r="K283" s="15">
        <v>1515</v>
      </c>
      <c r="L283" s="14">
        <v>1027</v>
      </c>
      <c r="M283" s="13">
        <v>486</v>
      </c>
    </row>
    <row r="284" spans="1:13" outlineLevel="1" x14ac:dyDescent="0.2">
      <c r="A284" s="20">
        <f t="shared" si="83"/>
        <v>3665</v>
      </c>
      <c r="B284" s="19" t="str">
        <f t="shared" si="83"/>
        <v>WTAMU</v>
      </c>
      <c r="C284" s="18"/>
      <c r="D284" s="15">
        <v>1294</v>
      </c>
      <c r="E284" s="21">
        <v>0.47399999999999998</v>
      </c>
      <c r="F284" s="14">
        <v>5457.666666666667</v>
      </c>
      <c r="G284" s="13">
        <v>2570.7800000000157</v>
      </c>
      <c r="H284" s="15">
        <v>184</v>
      </c>
      <c r="I284" s="13">
        <v>58</v>
      </c>
      <c r="J284" s="16">
        <v>913</v>
      </c>
      <c r="K284" s="15">
        <v>1871</v>
      </c>
      <c r="L284" s="14">
        <v>1264</v>
      </c>
      <c r="M284" s="13">
        <v>664</v>
      </c>
    </row>
    <row r="285" spans="1:13" outlineLevel="1" x14ac:dyDescent="0.2">
      <c r="A285" s="20">
        <f t="shared" si="83"/>
        <v>3565</v>
      </c>
      <c r="B285" s="19" t="str">
        <f t="shared" si="83"/>
        <v>TAMUC</v>
      </c>
      <c r="C285" s="18"/>
      <c r="D285" s="15">
        <v>1313</v>
      </c>
      <c r="E285" s="21">
        <v>0.42600000000000005</v>
      </c>
      <c r="F285" s="14">
        <v>4783.5333333333338</v>
      </c>
      <c r="G285" s="13">
        <v>2463.6900000000296</v>
      </c>
      <c r="H285" s="15">
        <v>71</v>
      </c>
      <c r="I285" s="13">
        <v>77</v>
      </c>
      <c r="J285" s="16">
        <v>1002</v>
      </c>
      <c r="K285" s="15">
        <v>1911</v>
      </c>
      <c r="L285" s="14">
        <v>1200</v>
      </c>
      <c r="M285" s="13">
        <v>477</v>
      </c>
    </row>
    <row r="286" spans="1:13" outlineLevel="1" x14ac:dyDescent="0.2">
      <c r="A286" s="20">
        <f t="shared" si="83"/>
        <v>29269</v>
      </c>
      <c r="B286" s="19" t="str">
        <f t="shared" si="83"/>
        <v>TAMUT</v>
      </c>
      <c r="C286" s="18"/>
      <c r="D286" s="15">
        <v>335</v>
      </c>
      <c r="E286" s="17">
        <v>0.56028368794326244</v>
      </c>
      <c r="F286" s="14">
        <v>879.13333333333333</v>
      </c>
      <c r="G286" s="13">
        <v>609.83000000000015</v>
      </c>
      <c r="H286" s="15">
        <v>48</v>
      </c>
      <c r="I286" s="13">
        <v>18</v>
      </c>
      <c r="J286" s="16">
        <v>230</v>
      </c>
      <c r="K286" s="15">
        <v>411</v>
      </c>
      <c r="L286" s="14">
        <v>186</v>
      </c>
      <c r="M286" s="13">
        <v>1</v>
      </c>
    </row>
    <row r="287" spans="1:13" outlineLevel="1" x14ac:dyDescent="0.2">
      <c r="A287" s="20">
        <f t="shared" si="83"/>
        <v>3652</v>
      </c>
      <c r="B287" s="19" t="str">
        <f t="shared" si="83"/>
        <v>UH</v>
      </c>
      <c r="C287" s="18"/>
      <c r="D287" s="15">
        <v>5092</v>
      </c>
      <c r="E287" s="21">
        <v>0.54200000000000004</v>
      </c>
      <c r="F287" s="14">
        <v>23853.933333333334</v>
      </c>
      <c r="G287" s="13">
        <v>10569.339999999527</v>
      </c>
      <c r="H287" s="15">
        <v>720</v>
      </c>
      <c r="I287" s="13">
        <v>74</v>
      </c>
      <c r="J287" s="16">
        <v>3340</v>
      </c>
      <c r="K287" s="15">
        <v>7467</v>
      </c>
      <c r="L287" s="14">
        <v>5804</v>
      </c>
      <c r="M287" s="13">
        <v>3314</v>
      </c>
    </row>
    <row r="288" spans="1:13" outlineLevel="1" x14ac:dyDescent="0.2">
      <c r="A288" s="20">
        <f t="shared" si="83"/>
        <v>11711</v>
      </c>
      <c r="B288" s="19" t="str">
        <f t="shared" si="83"/>
        <v>UHCL</v>
      </c>
      <c r="C288" s="18"/>
      <c r="D288" s="15">
        <v>1197</v>
      </c>
      <c r="E288" s="17">
        <v>0.53820033955857383</v>
      </c>
      <c r="F288" s="14">
        <v>3046.8</v>
      </c>
      <c r="G288" s="13">
        <v>2293.9500000000248</v>
      </c>
      <c r="H288" s="15">
        <v>113</v>
      </c>
      <c r="I288" s="13">
        <v>8</v>
      </c>
      <c r="J288" s="16">
        <v>777</v>
      </c>
      <c r="K288" s="15">
        <v>1434</v>
      </c>
      <c r="L288" s="14">
        <v>959</v>
      </c>
      <c r="M288" s="13">
        <v>53</v>
      </c>
    </row>
    <row r="289" spans="1:14" outlineLevel="1" x14ac:dyDescent="0.2">
      <c r="A289" s="20">
        <f t="shared" si="83"/>
        <v>12826</v>
      </c>
      <c r="B289" s="19" t="str">
        <f t="shared" si="83"/>
        <v>UHD</v>
      </c>
      <c r="C289" s="18"/>
      <c r="D289" s="15">
        <v>2437</v>
      </c>
      <c r="E289" s="21">
        <v>0.215</v>
      </c>
      <c r="F289" s="14">
        <v>7949.2666666666664</v>
      </c>
      <c r="G289" s="13">
        <v>4368.2100000000464</v>
      </c>
      <c r="H289" s="15">
        <v>143</v>
      </c>
      <c r="I289" s="13">
        <v>0</v>
      </c>
      <c r="J289" s="16">
        <v>1730</v>
      </c>
      <c r="K289" s="15">
        <v>3223</v>
      </c>
      <c r="L289" s="14">
        <v>1896</v>
      </c>
      <c r="M289" s="13">
        <v>618</v>
      </c>
    </row>
    <row r="290" spans="1:14" outlineLevel="1" x14ac:dyDescent="0.2">
      <c r="A290" s="20">
        <f t="shared" si="83"/>
        <v>13231</v>
      </c>
      <c r="B290" s="19" t="str">
        <f t="shared" si="83"/>
        <v>UHV</v>
      </c>
      <c r="C290" s="18"/>
      <c r="D290" s="15">
        <v>596</v>
      </c>
      <c r="E290" s="17">
        <v>0.5339366515837104</v>
      </c>
      <c r="F290" s="14">
        <v>1494.2</v>
      </c>
      <c r="G290" s="13">
        <v>1103.6999999999998</v>
      </c>
      <c r="H290" s="15">
        <v>118</v>
      </c>
      <c r="I290" s="13">
        <v>11</v>
      </c>
      <c r="J290" s="16">
        <v>397</v>
      </c>
      <c r="K290" s="15">
        <v>718</v>
      </c>
      <c r="L290" s="14">
        <v>286</v>
      </c>
      <c r="M290" s="13">
        <v>6</v>
      </c>
    </row>
    <row r="291" spans="1:14" outlineLevel="1" x14ac:dyDescent="0.2">
      <c r="A291" s="20">
        <f t="shared" si="83"/>
        <v>3592</v>
      </c>
      <c r="B291" s="19" t="str">
        <f t="shared" si="83"/>
        <v>Midwestern</v>
      </c>
      <c r="C291" s="18"/>
      <c r="D291" s="15">
        <v>1027</v>
      </c>
      <c r="E291" s="21">
        <v>0.443</v>
      </c>
      <c r="F291" s="14">
        <v>4387.7333333333336</v>
      </c>
      <c r="G291" s="13">
        <v>1924.84</v>
      </c>
      <c r="H291" s="15">
        <v>340</v>
      </c>
      <c r="I291" s="13">
        <v>11</v>
      </c>
      <c r="J291" s="16">
        <v>675</v>
      </c>
      <c r="K291" s="15">
        <v>1507</v>
      </c>
      <c r="L291" s="14">
        <v>1079</v>
      </c>
      <c r="M291" s="13">
        <v>734</v>
      </c>
    </row>
    <row r="292" spans="1:14" outlineLevel="1" x14ac:dyDescent="0.2">
      <c r="A292" s="20">
        <f t="shared" si="83"/>
        <v>3594</v>
      </c>
      <c r="B292" s="19" t="str">
        <f t="shared" si="83"/>
        <v>UNT</v>
      </c>
      <c r="C292" s="18"/>
      <c r="D292" s="15">
        <v>6183</v>
      </c>
      <c r="E292" s="21">
        <v>0.58700000000000008</v>
      </c>
      <c r="F292" s="14">
        <v>23168.733333333334</v>
      </c>
      <c r="G292" s="13">
        <v>11731.089999999795</v>
      </c>
      <c r="H292" s="15">
        <v>345</v>
      </c>
      <c r="I292" s="13">
        <v>47</v>
      </c>
      <c r="J292" s="16">
        <v>3942</v>
      </c>
      <c r="K292" s="15">
        <v>7957</v>
      </c>
      <c r="L292" s="14">
        <v>5891</v>
      </c>
      <c r="M292" s="13">
        <v>3310</v>
      </c>
    </row>
    <row r="293" spans="1:14" outlineLevel="1" x14ac:dyDescent="0.2">
      <c r="A293" s="27">
        <f t="shared" si="83"/>
        <v>113594</v>
      </c>
      <c r="B293" s="19" t="str">
        <f t="shared" si="83"/>
        <v>UNTD</v>
      </c>
      <c r="C293" s="18"/>
      <c r="D293" s="30">
        <v>388</v>
      </c>
      <c r="E293" s="47">
        <v>0.58700000000000008</v>
      </c>
      <c r="F293" s="29">
        <v>908.8</v>
      </c>
      <c r="G293" s="28">
        <v>669.60000000000036</v>
      </c>
      <c r="H293" s="30">
        <v>10</v>
      </c>
      <c r="I293" s="28"/>
      <c r="J293" s="46">
        <v>304</v>
      </c>
      <c r="K293" s="30">
        <v>487</v>
      </c>
      <c r="L293" s="29">
        <v>63</v>
      </c>
      <c r="M293" s="28">
        <v>18</v>
      </c>
    </row>
    <row r="294" spans="1:14" outlineLevel="1" x14ac:dyDescent="0.2">
      <c r="A294" s="20">
        <f t="shared" si="83"/>
        <v>3624</v>
      </c>
      <c r="B294" s="19" t="str">
        <f t="shared" si="83"/>
        <v>SFA</v>
      </c>
      <c r="C294" s="18"/>
      <c r="D294" s="15">
        <v>1880</v>
      </c>
      <c r="E294" s="21">
        <v>0.53900000000000003</v>
      </c>
      <c r="F294" s="14">
        <v>9440.9333333333325</v>
      </c>
      <c r="G294" s="13">
        <v>3606.8600000000297</v>
      </c>
      <c r="H294" s="15">
        <v>241</v>
      </c>
      <c r="I294" s="13">
        <v>49</v>
      </c>
      <c r="J294" s="16">
        <v>1446</v>
      </c>
      <c r="K294" s="15">
        <v>3040</v>
      </c>
      <c r="L294" s="14">
        <v>2166</v>
      </c>
      <c r="M294" s="13">
        <v>1402</v>
      </c>
    </row>
    <row r="295" spans="1:14" outlineLevel="1" x14ac:dyDescent="0.2">
      <c r="A295" s="20">
        <f t="shared" si="83"/>
        <v>3642</v>
      </c>
      <c r="B295" s="19" t="str">
        <f t="shared" si="83"/>
        <v>TSU</v>
      </c>
      <c r="C295" s="18"/>
      <c r="D295" s="15">
        <v>721</v>
      </c>
      <c r="E295" s="21">
        <v>0.14099999999999999</v>
      </c>
      <c r="F295" s="14">
        <v>5912.8</v>
      </c>
      <c r="G295" s="13">
        <v>1385.6100000000063</v>
      </c>
      <c r="H295" s="15">
        <v>122</v>
      </c>
      <c r="I295" s="13">
        <v>2</v>
      </c>
      <c r="J295" s="16">
        <v>635</v>
      </c>
      <c r="K295" s="15">
        <v>1692</v>
      </c>
      <c r="L295" s="14">
        <v>1274</v>
      </c>
      <c r="M295" s="13">
        <v>870</v>
      </c>
    </row>
    <row r="296" spans="1:14" outlineLevel="1" x14ac:dyDescent="0.2">
      <c r="A296" s="20">
        <f t="shared" si="83"/>
        <v>3644</v>
      </c>
      <c r="B296" s="19" t="str">
        <f t="shared" si="83"/>
        <v>TTU</v>
      </c>
      <c r="C296" s="18"/>
      <c r="D296" s="15">
        <v>4605</v>
      </c>
      <c r="E296" s="21">
        <v>0.7320000000000001</v>
      </c>
      <c r="F296" s="14">
        <v>22527.466666666667</v>
      </c>
      <c r="G296" s="13">
        <v>9815.7899999997753</v>
      </c>
      <c r="H296" s="15">
        <v>687</v>
      </c>
      <c r="I296" s="13">
        <v>62</v>
      </c>
      <c r="J296" s="16">
        <v>2724</v>
      </c>
      <c r="K296" s="15">
        <v>6577</v>
      </c>
      <c r="L296" s="14">
        <v>5355</v>
      </c>
      <c r="M296" s="13">
        <v>3957</v>
      </c>
    </row>
    <row r="297" spans="1:14" outlineLevel="1" x14ac:dyDescent="0.2">
      <c r="A297" s="20">
        <f t="shared" si="83"/>
        <v>3541</v>
      </c>
      <c r="B297" s="19" t="str">
        <f t="shared" si="83"/>
        <v>Angelo</v>
      </c>
      <c r="C297" s="18"/>
      <c r="D297" s="15">
        <v>960</v>
      </c>
      <c r="E297" s="21">
        <v>0.441</v>
      </c>
      <c r="F297" s="14">
        <v>4895.666666666667</v>
      </c>
      <c r="G297" s="13">
        <v>1856.9499999999953</v>
      </c>
      <c r="H297" s="15">
        <v>242</v>
      </c>
      <c r="I297" s="13">
        <v>21</v>
      </c>
      <c r="J297" s="16">
        <v>720</v>
      </c>
      <c r="K297" s="15">
        <v>1444</v>
      </c>
      <c r="L297" s="14">
        <v>1071</v>
      </c>
      <c r="M297" s="13">
        <v>708</v>
      </c>
    </row>
    <row r="298" spans="1:14" outlineLevel="1" x14ac:dyDescent="0.2">
      <c r="A298" s="20">
        <f t="shared" ref="A298:B303" si="84">A256</f>
        <v>3646</v>
      </c>
      <c r="B298" s="19" t="str">
        <f t="shared" si="84"/>
        <v>TWU</v>
      </c>
      <c r="C298" s="18"/>
      <c r="D298" s="15">
        <v>1725</v>
      </c>
      <c r="E298" s="21">
        <v>0.48399999999999999</v>
      </c>
      <c r="F298" s="14">
        <v>6598.2</v>
      </c>
      <c r="G298" s="13">
        <v>3227.0100000000139</v>
      </c>
      <c r="H298" s="15">
        <v>523</v>
      </c>
      <c r="I298" s="13">
        <v>34</v>
      </c>
      <c r="J298" s="16">
        <v>1201</v>
      </c>
      <c r="K298" s="15">
        <v>2121</v>
      </c>
      <c r="L298" s="14">
        <v>1259</v>
      </c>
      <c r="M298" s="13">
        <v>608</v>
      </c>
    </row>
    <row r="299" spans="1:14" outlineLevel="1" x14ac:dyDescent="0.2">
      <c r="A299" s="20">
        <f t="shared" si="84"/>
        <v>3581</v>
      </c>
      <c r="B299" s="19" t="str">
        <f t="shared" si="84"/>
        <v>Lamar</v>
      </c>
      <c r="C299" s="18"/>
      <c r="D299" s="15">
        <v>1340</v>
      </c>
      <c r="E299" s="21">
        <v>0.35399999999999998</v>
      </c>
      <c r="F299" s="14">
        <v>7247.8</v>
      </c>
      <c r="G299" s="13">
        <v>2695.0800000000122</v>
      </c>
      <c r="H299" s="15">
        <v>358</v>
      </c>
      <c r="I299" s="13">
        <v>16</v>
      </c>
      <c r="J299" s="16">
        <v>943</v>
      </c>
      <c r="K299" s="15">
        <v>2317</v>
      </c>
      <c r="L299" s="14">
        <v>1577</v>
      </c>
      <c r="M299" s="13">
        <v>1000</v>
      </c>
    </row>
    <row r="300" spans="1:14" outlineLevel="1" x14ac:dyDescent="0.2">
      <c r="A300" s="20">
        <f t="shared" si="84"/>
        <v>3606</v>
      </c>
      <c r="B300" s="19" t="str">
        <f t="shared" si="84"/>
        <v>SHSU</v>
      </c>
      <c r="C300" s="18"/>
      <c r="D300" s="15">
        <v>3013</v>
      </c>
      <c r="E300" s="21">
        <v>0.60299999999999998</v>
      </c>
      <c r="F300" s="14">
        <v>12631.666666666666</v>
      </c>
      <c r="G300" s="13">
        <v>5628.5800000000427</v>
      </c>
      <c r="H300" s="15">
        <v>166</v>
      </c>
      <c r="I300" s="13">
        <v>63</v>
      </c>
      <c r="J300" s="16">
        <v>2160</v>
      </c>
      <c r="K300" s="15">
        <v>3940</v>
      </c>
      <c r="L300" s="14">
        <v>2970</v>
      </c>
      <c r="M300" s="13">
        <v>1716</v>
      </c>
    </row>
    <row r="301" spans="1:14" outlineLevel="1" x14ac:dyDescent="0.2">
      <c r="A301" s="20">
        <f t="shared" si="84"/>
        <v>3615</v>
      </c>
      <c r="B301" s="19" t="str">
        <f t="shared" si="84"/>
        <v>TXST</v>
      </c>
      <c r="C301" s="18"/>
      <c r="D301" s="15">
        <v>5349</v>
      </c>
      <c r="E301" s="21">
        <v>0.6409999999999999</v>
      </c>
      <c r="F301" s="14">
        <v>22917.933333333334</v>
      </c>
      <c r="G301" s="13">
        <v>10250.389999999717</v>
      </c>
      <c r="H301" s="15">
        <v>445</v>
      </c>
      <c r="I301" s="13">
        <v>65</v>
      </c>
      <c r="J301" s="16">
        <v>3665</v>
      </c>
      <c r="K301" s="15">
        <v>7685</v>
      </c>
      <c r="L301" s="14">
        <v>5748</v>
      </c>
      <c r="M301" s="13">
        <v>3317</v>
      </c>
    </row>
    <row r="302" spans="1:14" outlineLevel="1" x14ac:dyDescent="0.2">
      <c r="A302" s="20">
        <f t="shared" si="84"/>
        <v>3625</v>
      </c>
      <c r="B302" s="19" t="str">
        <f t="shared" si="84"/>
        <v>SRSU</v>
      </c>
      <c r="C302" s="18"/>
      <c r="D302" s="15">
        <v>196</v>
      </c>
      <c r="E302" s="21">
        <v>0.29199999999999998</v>
      </c>
      <c r="F302" s="14">
        <v>1200.1333333333334</v>
      </c>
      <c r="G302" s="13">
        <v>405.49999999999949</v>
      </c>
      <c r="H302" s="15">
        <v>18</v>
      </c>
      <c r="I302" s="13">
        <v>4</v>
      </c>
      <c r="J302" s="16">
        <v>166</v>
      </c>
      <c r="K302" s="15">
        <v>298</v>
      </c>
      <c r="L302" s="14">
        <v>217</v>
      </c>
      <c r="M302" s="13">
        <v>136</v>
      </c>
      <c r="N302" s="41"/>
    </row>
    <row r="303" spans="1:14" outlineLevel="1" x14ac:dyDescent="0.2">
      <c r="A303" s="20">
        <f t="shared" si="84"/>
        <v>20</v>
      </c>
      <c r="B303" s="19" t="str">
        <f t="shared" si="84"/>
        <v>SRRG</v>
      </c>
      <c r="C303" s="18"/>
      <c r="D303" s="15">
        <v>163</v>
      </c>
      <c r="E303" s="17">
        <v>0.33750000000000002</v>
      </c>
      <c r="F303" s="14">
        <v>472.13333333333333</v>
      </c>
      <c r="G303" s="13">
        <v>281.52999999999975</v>
      </c>
      <c r="H303" s="15">
        <v>5</v>
      </c>
      <c r="I303" s="13">
        <v>7</v>
      </c>
      <c r="J303" s="16">
        <v>145</v>
      </c>
      <c r="K303" s="15">
        <v>224</v>
      </c>
      <c r="L303" s="14">
        <v>97</v>
      </c>
      <c r="M303" s="13">
        <v>2</v>
      </c>
    </row>
    <row r="304" spans="1:14" ht="13.5" outlineLevel="1" thickBot="1" x14ac:dyDescent="0.25">
      <c r="A304" s="12"/>
      <c r="B304" s="11" t="s">
        <v>11</v>
      </c>
      <c r="C304" s="10"/>
      <c r="D304" s="9">
        <f>SUM(D266:D303)</f>
        <v>84231</v>
      </c>
      <c r="E304" s="8">
        <v>0.58399999999999996</v>
      </c>
      <c r="F304" s="7">
        <f t="shared" ref="F304:M304" si="85">SUM(F266:F303)</f>
        <v>351171.46666666673</v>
      </c>
      <c r="G304" s="3">
        <f t="shared" si="85"/>
        <v>170914.74000000223</v>
      </c>
      <c r="H304" s="5">
        <f t="shared" si="85"/>
        <v>13857</v>
      </c>
      <c r="I304" s="3">
        <f t="shared" si="85"/>
        <v>1204</v>
      </c>
      <c r="J304" s="6">
        <f t="shared" si="85"/>
        <v>54385</v>
      </c>
      <c r="K304" s="5">
        <f t="shared" si="85"/>
        <v>116139</v>
      </c>
      <c r="L304" s="4">
        <f t="shared" si="85"/>
        <v>84006</v>
      </c>
      <c r="M304" s="3">
        <f t="shared" si="85"/>
        <v>51310</v>
      </c>
    </row>
    <row r="305" spans="1:15" ht="13.5" thickBot="1" x14ac:dyDescent="0.25">
      <c r="A305" s="45" t="s">
        <v>25</v>
      </c>
      <c r="B305" s="45"/>
      <c r="C305" s="45"/>
      <c r="D305" s="45"/>
      <c r="F305" s="45"/>
      <c r="J305" s="45"/>
    </row>
    <row r="306" spans="1:15" ht="12.75" customHeight="1" outlineLevel="1" x14ac:dyDescent="0.2">
      <c r="A306" s="273" t="s">
        <v>24</v>
      </c>
      <c r="B306" s="275" t="s">
        <v>23</v>
      </c>
      <c r="C306" s="277"/>
      <c r="D306" s="306" t="s">
        <v>22</v>
      </c>
      <c r="E306" s="301" t="s">
        <v>21</v>
      </c>
      <c r="F306" s="275" t="s">
        <v>20</v>
      </c>
      <c r="G306" s="297" t="s">
        <v>19</v>
      </c>
      <c r="H306" s="299" t="s">
        <v>18</v>
      </c>
      <c r="I306" s="291" t="s">
        <v>17</v>
      </c>
      <c r="J306" s="293" t="s">
        <v>16</v>
      </c>
      <c r="K306" s="295" t="s">
        <v>15</v>
      </c>
      <c r="L306" s="296"/>
      <c r="M306" s="296"/>
    </row>
    <row r="307" spans="1:15" s="41" customFormat="1" ht="39.75" customHeight="1" outlineLevel="1" thickBot="1" x14ac:dyDescent="0.25">
      <c r="A307" s="274"/>
      <c r="B307" s="276"/>
      <c r="C307" s="278"/>
      <c r="D307" s="307"/>
      <c r="E307" s="302"/>
      <c r="F307" s="276"/>
      <c r="G307" s="298"/>
      <c r="H307" s="300"/>
      <c r="I307" s="292"/>
      <c r="J307" s="294"/>
      <c r="K307" s="44" t="s">
        <v>14</v>
      </c>
      <c r="L307" s="43" t="s">
        <v>13</v>
      </c>
      <c r="M307" s="42" t="s">
        <v>12</v>
      </c>
      <c r="N307" s="1"/>
    </row>
    <row r="308" spans="1:15" outlineLevel="1" x14ac:dyDescent="0.2">
      <c r="A308" s="40">
        <f t="shared" ref="A308:B323" si="86">A266</f>
        <v>3656</v>
      </c>
      <c r="B308" s="39" t="str">
        <f t="shared" si="86"/>
        <v>UTA</v>
      </c>
      <c r="C308" s="38"/>
      <c r="D308" s="33">
        <v>4178</v>
      </c>
      <c r="E308" s="37">
        <v>0.50700000000000001</v>
      </c>
      <c r="F308" s="32">
        <v>15698.133333333333</v>
      </c>
      <c r="G308" s="31">
        <v>8640.2399999998797</v>
      </c>
      <c r="H308" s="36">
        <v>834</v>
      </c>
      <c r="I308" s="35">
        <v>36</v>
      </c>
      <c r="J308" s="34">
        <v>2662</v>
      </c>
      <c r="K308" s="33">
        <v>6630</v>
      </c>
      <c r="L308" s="32">
        <v>3636</v>
      </c>
      <c r="M308" s="31">
        <v>1724</v>
      </c>
    </row>
    <row r="309" spans="1:15" outlineLevel="1" x14ac:dyDescent="0.2">
      <c r="A309" s="20">
        <f t="shared" si="86"/>
        <v>3658</v>
      </c>
      <c r="B309" s="19" t="str">
        <f t="shared" si="86"/>
        <v>UT</v>
      </c>
      <c r="C309" s="18"/>
      <c r="D309" s="15">
        <v>8952</v>
      </c>
      <c r="E309" s="21">
        <v>0.82899999999999996</v>
      </c>
      <c r="F309" s="14">
        <v>33736.73333333333</v>
      </c>
      <c r="G309" s="13">
        <v>19230.319999999745</v>
      </c>
      <c r="H309" s="15">
        <v>1754</v>
      </c>
      <c r="I309" s="13">
        <v>55</v>
      </c>
      <c r="J309" s="16">
        <v>3435</v>
      </c>
      <c r="K309" s="15">
        <v>9596</v>
      </c>
      <c r="L309" s="14">
        <v>9749</v>
      </c>
      <c r="M309" s="13">
        <v>7288</v>
      </c>
      <c r="O309" s="2"/>
    </row>
    <row r="310" spans="1:15" outlineLevel="1" x14ac:dyDescent="0.2">
      <c r="A310" s="20">
        <f t="shared" si="86"/>
        <v>9741</v>
      </c>
      <c r="B310" s="19" t="str">
        <f t="shared" si="86"/>
        <v>UTD</v>
      </c>
      <c r="C310" s="18"/>
      <c r="D310" s="15">
        <v>2355</v>
      </c>
      <c r="E310" s="21">
        <v>0.70699999999999996</v>
      </c>
      <c r="F310" s="14">
        <v>8108.8666666666668</v>
      </c>
      <c r="G310" s="13">
        <v>4955.5700000000443</v>
      </c>
      <c r="H310" s="15">
        <v>392</v>
      </c>
      <c r="I310" s="13">
        <v>36</v>
      </c>
      <c r="J310" s="16">
        <v>1255</v>
      </c>
      <c r="K310" s="15">
        <v>3078</v>
      </c>
      <c r="L310" s="14">
        <v>1950</v>
      </c>
      <c r="M310" s="13">
        <v>923</v>
      </c>
      <c r="O310" s="2"/>
    </row>
    <row r="311" spans="1:15" outlineLevel="1" x14ac:dyDescent="0.2">
      <c r="A311" s="20">
        <f t="shared" si="86"/>
        <v>3661</v>
      </c>
      <c r="B311" s="19" t="str">
        <f t="shared" si="86"/>
        <v>UTEP</v>
      </c>
      <c r="C311" s="18"/>
      <c r="D311" s="15">
        <v>3031</v>
      </c>
      <c r="E311" s="21">
        <v>0.374</v>
      </c>
      <c r="F311" s="14">
        <v>12791.933333333332</v>
      </c>
      <c r="G311" s="13">
        <v>6295.4500000000389</v>
      </c>
      <c r="H311" s="15">
        <v>709</v>
      </c>
      <c r="I311" s="13">
        <v>93</v>
      </c>
      <c r="J311" s="16">
        <v>2394</v>
      </c>
      <c r="K311" s="15">
        <v>4200</v>
      </c>
      <c r="L311" s="14">
        <v>3366</v>
      </c>
      <c r="M311" s="13">
        <v>1972</v>
      </c>
      <c r="O311" s="2"/>
    </row>
    <row r="312" spans="1:15" outlineLevel="1" x14ac:dyDescent="0.2">
      <c r="A312" s="20">
        <f t="shared" si="86"/>
        <v>3599</v>
      </c>
      <c r="B312" s="19" t="str">
        <f t="shared" si="86"/>
        <v>UTPA</v>
      </c>
      <c r="C312" s="18"/>
      <c r="D312" s="15">
        <v>2620</v>
      </c>
      <c r="E312" s="21">
        <v>0.38900000000000001</v>
      </c>
      <c r="F312" s="14">
        <v>12572.333333333334</v>
      </c>
      <c r="G312" s="13">
        <v>5170.8900000000631</v>
      </c>
      <c r="H312" s="15">
        <v>480</v>
      </c>
      <c r="I312" s="13">
        <v>31</v>
      </c>
      <c r="J312" s="16">
        <v>2341</v>
      </c>
      <c r="K312" s="15">
        <v>4354</v>
      </c>
      <c r="L312" s="14">
        <v>3136</v>
      </c>
      <c r="M312" s="13">
        <v>1924</v>
      </c>
      <c r="O312" s="2"/>
    </row>
    <row r="313" spans="1:15" outlineLevel="1" x14ac:dyDescent="0.2">
      <c r="A313" s="20">
        <f t="shared" si="86"/>
        <v>30646</v>
      </c>
      <c r="B313" s="19" t="str">
        <f t="shared" si="86"/>
        <v>UTB</v>
      </c>
      <c r="C313" s="18"/>
      <c r="D313" s="15">
        <v>1052</v>
      </c>
      <c r="E313" s="17">
        <v>0.64666666666666661</v>
      </c>
      <c r="F313" s="14">
        <v>2989.6</v>
      </c>
      <c r="G313" s="13">
        <v>2005.0100000000309</v>
      </c>
      <c r="H313" s="15">
        <v>108</v>
      </c>
      <c r="I313" s="13">
        <v>19</v>
      </c>
      <c r="J313" s="16">
        <v>916</v>
      </c>
      <c r="K313" s="15">
        <v>1377</v>
      </c>
      <c r="L313" s="14">
        <v>583</v>
      </c>
      <c r="M313" s="13">
        <v>72</v>
      </c>
      <c r="O313" s="2"/>
    </row>
    <row r="314" spans="1:15" outlineLevel="1" x14ac:dyDescent="0.2">
      <c r="A314" s="20">
        <f t="shared" si="86"/>
        <v>9930</v>
      </c>
      <c r="B314" s="19" t="str">
        <f t="shared" si="86"/>
        <v>UTPB</v>
      </c>
      <c r="C314" s="18"/>
      <c r="D314" s="15">
        <v>513</v>
      </c>
      <c r="E314" s="21">
        <v>0.44600000000000001</v>
      </c>
      <c r="F314" s="14">
        <v>2159.6</v>
      </c>
      <c r="G314" s="13">
        <v>944.74000000001092</v>
      </c>
      <c r="H314" s="15">
        <v>33</v>
      </c>
      <c r="I314" s="13">
        <v>13</v>
      </c>
      <c r="J314" s="16">
        <v>379</v>
      </c>
      <c r="K314" s="15">
        <v>707</v>
      </c>
      <c r="L314" s="14">
        <v>450</v>
      </c>
      <c r="M314" s="13">
        <v>182</v>
      </c>
      <c r="O314" s="2"/>
    </row>
    <row r="315" spans="1:15" outlineLevel="1" x14ac:dyDescent="0.2">
      <c r="A315" s="20">
        <f t="shared" si="86"/>
        <v>10115</v>
      </c>
      <c r="B315" s="19" t="str">
        <f t="shared" si="86"/>
        <v>UTSA</v>
      </c>
      <c r="C315" s="18"/>
      <c r="D315" s="15">
        <v>3968</v>
      </c>
      <c r="E315" s="21">
        <v>0.44</v>
      </c>
      <c r="F315" s="14">
        <v>19707.533333333333</v>
      </c>
      <c r="G315" s="13">
        <v>8107.0899999997582</v>
      </c>
      <c r="H315" s="15">
        <v>375</v>
      </c>
      <c r="I315" s="13">
        <v>39</v>
      </c>
      <c r="J315" s="16">
        <v>2956</v>
      </c>
      <c r="K315" s="15">
        <v>6812</v>
      </c>
      <c r="L315" s="14">
        <v>4615</v>
      </c>
      <c r="M315" s="13">
        <v>2588</v>
      </c>
      <c r="O315" s="2"/>
    </row>
    <row r="316" spans="1:15" outlineLevel="1" x14ac:dyDescent="0.2">
      <c r="A316" s="20">
        <f t="shared" si="86"/>
        <v>11163</v>
      </c>
      <c r="B316" s="19" t="str">
        <f t="shared" si="86"/>
        <v>UTT</v>
      </c>
      <c r="C316" s="18"/>
      <c r="D316" s="15">
        <v>1238</v>
      </c>
      <c r="E316" s="21">
        <v>0.496</v>
      </c>
      <c r="F316" s="14">
        <v>4085.2666666666669</v>
      </c>
      <c r="G316" s="13">
        <v>2459.1300000000315</v>
      </c>
      <c r="H316" s="15">
        <v>372</v>
      </c>
      <c r="I316" s="13">
        <v>10</v>
      </c>
      <c r="J316" s="16">
        <v>1002</v>
      </c>
      <c r="K316" s="15">
        <v>1404</v>
      </c>
      <c r="L316" s="14">
        <v>921</v>
      </c>
      <c r="M316" s="13">
        <v>378</v>
      </c>
      <c r="O316" s="2"/>
    </row>
    <row r="317" spans="1:15" outlineLevel="1" x14ac:dyDescent="0.2">
      <c r="A317" s="20">
        <f t="shared" si="86"/>
        <v>3632</v>
      </c>
      <c r="B317" s="19" t="str">
        <f t="shared" si="86"/>
        <v>TAMU</v>
      </c>
      <c r="C317" s="18"/>
      <c r="D317" s="15">
        <v>8451</v>
      </c>
      <c r="E317" s="21">
        <v>0.83599999999999997</v>
      </c>
      <c r="F317" s="14">
        <v>34329.199999999997</v>
      </c>
      <c r="G317" s="13">
        <v>19146.209999999159</v>
      </c>
      <c r="H317" s="15">
        <v>1580</v>
      </c>
      <c r="I317" s="13">
        <v>108</v>
      </c>
      <c r="J317" s="16">
        <v>3530</v>
      </c>
      <c r="K317" s="15">
        <v>10012</v>
      </c>
      <c r="L317" s="14">
        <v>8836</v>
      </c>
      <c r="M317" s="13">
        <v>6932</v>
      </c>
      <c r="O317" s="2"/>
    </row>
    <row r="318" spans="1:15" outlineLevel="1" x14ac:dyDescent="0.2">
      <c r="A318" s="20">
        <f t="shared" si="86"/>
        <v>10298</v>
      </c>
      <c r="B318" s="19" t="str">
        <f t="shared" si="86"/>
        <v>TAMUG</v>
      </c>
      <c r="C318" s="18"/>
      <c r="D318" s="15">
        <v>262</v>
      </c>
      <c r="E318" s="21">
        <v>0.59199999999999997</v>
      </c>
      <c r="F318" s="14">
        <v>1599.2</v>
      </c>
      <c r="G318" s="13">
        <v>636.84000000000231</v>
      </c>
      <c r="H318" s="15">
        <v>31</v>
      </c>
      <c r="I318" s="13">
        <v>0</v>
      </c>
      <c r="J318" s="16">
        <v>137</v>
      </c>
      <c r="K318" s="15">
        <v>570</v>
      </c>
      <c r="L318" s="14">
        <v>322</v>
      </c>
      <c r="M318" s="13">
        <v>241</v>
      </c>
      <c r="O318" s="2"/>
    </row>
    <row r="319" spans="1:15" outlineLevel="1" x14ac:dyDescent="0.2">
      <c r="A319" s="20">
        <f t="shared" si="86"/>
        <v>3630</v>
      </c>
      <c r="B319" s="19" t="str">
        <f t="shared" si="86"/>
        <v>Prairie View</v>
      </c>
      <c r="C319" s="18"/>
      <c r="D319" s="15">
        <v>879</v>
      </c>
      <c r="E319" s="21">
        <v>0.34200000000000003</v>
      </c>
      <c r="F319" s="14">
        <v>5840.8</v>
      </c>
      <c r="G319" s="13">
        <v>1995.4900000000189</v>
      </c>
      <c r="H319" s="15">
        <v>295</v>
      </c>
      <c r="I319" s="13">
        <v>8</v>
      </c>
      <c r="J319" s="16">
        <v>756</v>
      </c>
      <c r="K319" s="15">
        <v>1643</v>
      </c>
      <c r="L319" s="14">
        <v>1174</v>
      </c>
      <c r="M319" s="13">
        <v>940</v>
      </c>
      <c r="O319" s="2"/>
    </row>
    <row r="320" spans="1:15" outlineLevel="1" x14ac:dyDescent="0.2">
      <c r="A320" s="20">
        <f t="shared" si="86"/>
        <v>3631</v>
      </c>
      <c r="B320" s="19" t="str">
        <f t="shared" si="86"/>
        <v>Tarleton</v>
      </c>
      <c r="C320" s="18"/>
      <c r="D320" s="15">
        <v>1422</v>
      </c>
      <c r="E320" s="21">
        <v>0.47499999999999998</v>
      </c>
      <c r="F320" s="14">
        <v>5845.5333333333338</v>
      </c>
      <c r="G320" s="13">
        <v>2966.430000000048</v>
      </c>
      <c r="H320" s="15">
        <v>183</v>
      </c>
      <c r="I320" s="13">
        <v>38</v>
      </c>
      <c r="J320" s="16">
        <v>1093</v>
      </c>
      <c r="K320" s="15">
        <v>2140</v>
      </c>
      <c r="L320" s="14">
        <v>1306</v>
      </c>
      <c r="M320" s="13">
        <v>903</v>
      </c>
      <c r="O320" s="2"/>
    </row>
    <row r="321" spans="1:15" outlineLevel="1" x14ac:dyDescent="0.2">
      <c r="A321" s="27">
        <f t="shared" si="86"/>
        <v>103631</v>
      </c>
      <c r="B321" s="19" t="str">
        <f t="shared" si="86"/>
        <v>TAMUCT</v>
      </c>
      <c r="C321" s="18"/>
      <c r="D321" s="15">
        <v>450</v>
      </c>
      <c r="E321" s="21">
        <v>0.47499999999999998</v>
      </c>
      <c r="F321" s="14">
        <v>658.4666666666667</v>
      </c>
      <c r="G321" s="13">
        <v>831.96000000000549</v>
      </c>
      <c r="H321" s="15">
        <v>44</v>
      </c>
      <c r="I321" s="13"/>
      <c r="J321" s="16">
        <v>322</v>
      </c>
      <c r="K321" s="15">
        <v>380</v>
      </c>
      <c r="L321" s="14">
        <v>137</v>
      </c>
      <c r="M321" s="13">
        <v>31</v>
      </c>
      <c r="O321" s="2"/>
    </row>
    <row r="322" spans="1:15" outlineLevel="1" x14ac:dyDescent="0.2">
      <c r="A322" s="20">
        <f t="shared" si="86"/>
        <v>11161</v>
      </c>
      <c r="B322" s="19" t="str">
        <f t="shared" si="86"/>
        <v>TAMUCC</v>
      </c>
      <c r="C322" s="18"/>
      <c r="D322" s="15">
        <v>1335</v>
      </c>
      <c r="E322" s="21">
        <v>0.503</v>
      </c>
      <c r="F322" s="14">
        <v>6131.9333333333334</v>
      </c>
      <c r="G322" s="13">
        <v>2744.5700000000347</v>
      </c>
      <c r="H322" s="15">
        <v>237</v>
      </c>
      <c r="I322" s="13">
        <v>29</v>
      </c>
      <c r="J322" s="16">
        <v>1024</v>
      </c>
      <c r="K322" s="15">
        <v>2079</v>
      </c>
      <c r="L322" s="14">
        <v>1357</v>
      </c>
      <c r="M322" s="13">
        <v>812</v>
      </c>
      <c r="O322" s="2"/>
    </row>
    <row r="323" spans="1:15" outlineLevel="1" x14ac:dyDescent="0.2">
      <c r="A323" s="20">
        <f t="shared" si="86"/>
        <v>3639</v>
      </c>
      <c r="B323" s="19" t="str">
        <f t="shared" si="86"/>
        <v>TAMUK</v>
      </c>
      <c r="C323" s="18"/>
      <c r="D323" s="15">
        <v>692</v>
      </c>
      <c r="E323" s="21">
        <v>0.41699999999999998</v>
      </c>
      <c r="F323" s="14">
        <v>3808.2666666666669</v>
      </c>
      <c r="G323" s="13">
        <v>1601.8800000000022</v>
      </c>
      <c r="H323" s="15">
        <v>236</v>
      </c>
      <c r="I323" s="13">
        <v>15</v>
      </c>
      <c r="J323" s="16">
        <v>590</v>
      </c>
      <c r="K323" s="15">
        <v>1159</v>
      </c>
      <c r="L323" s="14">
        <v>790</v>
      </c>
      <c r="M323" s="13">
        <v>550</v>
      </c>
      <c r="O323" s="2"/>
    </row>
    <row r="324" spans="1:15" outlineLevel="1" x14ac:dyDescent="0.2">
      <c r="A324" s="27">
        <f t="shared" ref="A324:B339" si="87">A282</f>
        <v>103639</v>
      </c>
      <c r="B324" s="19" t="str">
        <f t="shared" si="87"/>
        <v>TAMUSA</v>
      </c>
      <c r="C324" s="18"/>
      <c r="D324" s="15">
        <v>496</v>
      </c>
      <c r="E324" s="21">
        <v>0.41699999999999998</v>
      </c>
      <c r="F324" s="14">
        <v>1072.6666666666667</v>
      </c>
      <c r="G324" s="13">
        <v>844.50000000000807</v>
      </c>
      <c r="H324" s="15">
        <v>4</v>
      </c>
      <c r="I324" s="13"/>
      <c r="J324" s="16">
        <v>402</v>
      </c>
      <c r="K324" s="15">
        <v>307</v>
      </c>
      <c r="L324" s="14">
        <v>5</v>
      </c>
      <c r="M324" s="13">
        <v>5</v>
      </c>
      <c r="O324" s="2"/>
    </row>
    <row r="325" spans="1:15" outlineLevel="1" x14ac:dyDescent="0.2">
      <c r="A325" s="20">
        <f t="shared" si="87"/>
        <v>9651</v>
      </c>
      <c r="B325" s="19" t="str">
        <f t="shared" si="87"/>
        <v>TAMI</v>
      </c>
      <c r="C325" s="18"/>
      <c r="D325" s="15">
        <v>798</v>
      </c>
      <c r="E325" s="21">
        <v>0.46</v>
      </c>
      <c r="F325" s="14">
        <v>3819.0666666666666</v>
      </c>
      <c r="G325" s="13">
        <v>1476.3000000000168</v>
      </c>
      <c r="H325" s="15">
        <v>85</v>
      </c>
      <c r="I325" s="13">
        <v>26</v>
      </c>
      <c r="J325" s="16">
        <v>713</v>
      </c>
      <c r="K325" s="15">
        <v>1413</v>
      </c>
      <c r="L325" s="14">
        <v>981</v>
      </c>
      <c r="M325" s="13">
        <v>447</v>
      </c>
      <c r="O325" s="2"/>
    </row>
    <row r="326" spans="1:15" outlineLevel="1" x14ac:dyDescent="0.2">
      <c r="A326" s="20">
        <f t="shared" si="87"/>
        <v>3665</v>
      </c>
      <c r="B326" s="19" t="str">
        <f t="shared" si="87"/>
        <v>WTAMU</v>
      </c>
      <c r="C326" s="18"/>
      <c r="D326" s="15">
        <v>1220</v>
      </c>
      <c r="E326" s="21">
        <v>0.45600000000000002</v>
      </c>
      <c r="F326" s="14">
        <v>5264.8</v>
      </c>
      <c r="G326" s="13">
        <v>2415.9700000000216</v>
      </c>
      <c r="H326" s="15">
        <v>216</v>
      </c>
      <c r="I326" s="13">
        <v>64</v>
      </c>
      <c r="J326" s="16">
        <v>853</v>
      </c>
      <c r="K326" s="15">
        <v>1873</v>
      </c>
      <c r="L326" s="14">
        <v>1161</v>
      </c>
      <c r="M326" s="13">
        <v>631</v>
      </c>
      <c r="O326" s="2"/>
    </row>
    <row r="327" spans="1:15" outlineLevel="1" x14ac:dyDescent="0.2">
      <c r="A327" s="20">
        <f t="shared" si="87"/>
        <v>3565</v>
      </c>
      <c r="B327" s="19" t="str">
        <f t="shared" si="87"/>
        <v>TAMUC</v>
      </c>
      <c r="C327" s="18"/>
      <c r="D327" s="15">
        <v>1153</v>
      </c>
      <c r="E327" s="21">
        <v>0.44800000000000001</v>
      </c>
      <c r="F327" s="14">
        <v>4172.1333333333332</v>
      </c>
      <c r="G327" s="13">
        <v>2179.8400000000324</v>
      </c>
      <c r="H327" s="15">
        <v>59</v>
      </c>
      <c r="I327" s="13">
        <v>65</v>
      </c>
      <c r="J327" s="16">
        <v>884</v>
      </c>
      <c r="K327" s="15">
        <v>1712</v>
      </c>
      <c r="L327" s="14">
        <v>1038</v>
      </c>
      <c r="M327" s="13">
        <v>423</v>
      </c>
      <c r="O327" s="2"/>
    </row>
    <row r="328" spans="1:15" outlineLevel="1" x14ac:dyDescent="0.2">
      <c r="A328" s="20">
        <f t="shared" si="87"/>
        <v>29269</v>
      </c>
      <c r="B328" s="19" t="str">
        <f t="shared" si="87"/>
        <v>TAMUT</v>
      </c>
      <c r="C328" s="18"/>
      <c r="D328" s="15">
        <v>326</v>
      </c>
      <c r="E328" s="17">
        <v>0.57336956521739135</v>
      </c>
      <c r="F328" s="14">
        <v>694.6</v>
      </c>
      <c r="G328" s="13">
        <v>569.46</v>
      </c>
      <c r="H328" s="15">
        <v>30</v>
      </c>
      <c r="I328" s="13">
        <v>15</v>
      </c>
      <c r="J328" s="16">
        <v>210</v>
      </c>
      <c r="K328" s="15">
        <v>403</v>
      </c>
      <c r="L328" s="14">
        <v>138</v>
      </c>
      <c r="M328" s="13">
        <v>0</v>
      </c>
      <c r="O328" s="2"/>
    </row>
    <row r="329" spans="1:15" outlineLevel="1" x14ac:dyDescent="0.2">
      <c r="A329" s="20">
        <f t="shared" si="87"/>
        <v>3652</v>
      </c>
      <c r="B329" s="19" t="str">
        <f t="shared" si="87"/>
        <v>UH</v>
      </c>
      <c r="C329" s="18"/>
      <c r="D329" s="15">
        <v>4778</v>
      </c>
      <c r="E329" s="21">
        <v>0.53100000000000003</v>
      </c>
      <c r="F329" s="14">
        <v>22778.733333333334</v>
      </c>
      <c r="G329" s="13">
        <v>9792.4499999989821</v>
      </c>
      <c r="H329" s="15">
        <v>656</v>
      </c>
      <c r="I329" s="13">
        <v>54</v>
      </c>
      <c r="J329" s="16">
        <v>3091</v>
      </c>
      <c r="K329" s="15">
        <v>7517</v>
      </c>
      <c r="L329" s="14">
        <v>5600</v>
      </c>
      <c r="M329" s="13">
        <v>3376</v>
      </c>
      <c r="O329" s="2"/>
    </row>
    <row r="330" spans="1:15" outlineLevel="1" x14ac:dyDescent="0.2">
      <c r="A330" s="20">
        <f t="shared" si="87"/>
        <v>11711</v>
      </c>
      <c r="B330" s="19" t="str">
        <f t="shared" si="87"/>
        <v>UHCL</v>
      </c>
      <c r="C330" s="18"/>
      <c r="D330" s="15">
        <v>1124</v>
      </c>
      <c r="E330" s="17">
        <v>0.50557620817843862</v>
      </c>
      <c r="F330" s="14">
        <v>2872.8666666666668</v>
      </c>
      <c r="G330" s="13">
        <v>2131.2100000000323</v>
      </c>
      <c r="H330" s="15">
        <v>88</v>
      </c>
      <c r="I330" s="13">
        <v>8</v>
      </c>
      <c r="J330" s="16">
        <v>707</v>
      </c>
      <c r="K330" s="15">
        <v>1349</v>
      </c>
      <c r="L330" s="14">
        <v>888</v>
      </c>
      <c r="M330" s="13">
        <v>81</v>
      </c>
      <c r="O330" s="2"/>
    </row>
    <row r="331" spans="1:15" outlineLevel="1" x14ac:dyDescent="0.2">
      <c r="A331" s="20">
        <f t="shared" si="87"/>
        <v>12826</v>
      </c>
      <c r="B331" s="19" t="str">
        <f t="shared" si="87"/>
        <v>UHD</v>
      </c>
      <c r="C331" s="18"/>
      <c r="D331" s="15">
        <v>2359</v>
      </c>
      <c r="E331" s="21">
        <v>0.18099999999999999</v>
      </c>
      <c r="F331" s="14">
        <v>7963.6</v>
      </c>
      <c r="G331" s="13">
        <v>4153.3100000000841</v>
      </c>
      <c r="H331" s="15">
        <v>112</v>
      </c>
      <c r="I331" s="13">
        <v>2</v>
      </c>
      <c r="J331" s="16">
        <v>1619</v>
      </c>
      <c r="K331" s="15">
        <v>3082</v>
      </c>
      <c r="L331" s="14">
        <v>1889</v>
      </c>
      <c r="M331" s="13">
        <v>606</v>
      </c>
      <c r="O331" s="2"/>
    </row>
    <row r="332" spans="1:15" outlineLevel="1" x14ac:dyDescent="0.2">
      <c r="A332" s="20">
        <f t="shared" si="87"/>
        <v>13231</v>
      </c>
      <c r="B332" s="19" t="str">
        <f t="shared" si="87"/>
        <v>UHV</v>
      </c>
      <c r="C332" s="18"/>
      <c r="D332" s="15">
        <v>515</v>
      </c>
      <c r="E332" s="17">
        <v>0.55256723716381417</v>
      </c>
      <c r="F332" s="14">
        <v>1135.8</v>
      </c>
      <c r="G332" s="13">
        <v>962.15000000001089</v>
      </c>
      <c r="H332" s="15">
        <v>72</v>
      </c>
      <c r="I332" s="13">
        <v>2</v>
      </c>
      <c r="J332" s="16">
        <v>337</v>
      </c>
      <c r="K332" s="15">
        <v>654</v>
      </c>
      <c r="L332" s="14">
        <v>269</v>
      </c>
      <c r="M332" s="13">
        <v>8</v>
      </c>
      <c r="O332" s="2"/>
    </row>
    <row r="333" spans="1:15" outlineLevel="1" x14ac:dyDescent="0.2">
      <c r="A333" s="20">
        <f t="shared" si="87"/>
        <v>3592</v>
      </c>
      <c r="B333" s="19" t="str">
        <f t="shared" si="87"/>
        <v>Midwestern</v>
      </c>
      <c r="C333" s="18"/>
      <c r="D333" s="15">
        <v>1002</v>
      </c>
      <c r="E333" s="21">
        <v>0.41199999999999998</v>
      </c>
      <c r="F333" s="14">
        <v>4294.8666666666668</v>
      </c>
      <c r="G333" s="13">
        <v>1899.0200000000148</v>
      </c>
      <c r="H333" s="15">
        <v>302</v>
      </c>
      <c r="I333" s="13">
        <v>19</v>
      </c>
      <c r="J333" s="16">
        <v>673</v>
      </c>
      <c r="K333" s="15">
        <v>1497</v>
      </c>
      <c r="L333" s="14">
        <v>1080</v>
      </c>
      <c r="M333" s="13">
        <v>622</v>
      </c>
      <c r="O333" s="2"/>
    </row>
    <row r="334" spans="1:15" outlineLevel="1" x14ac:dyDescent="0.2">
      <c r="A334" s="20">
        <f t="shared" si="87"/>
        <v>3594</v>
      </c>
      <c r="B334" s="19" t="str">
        <f t="shared" si="87"/>
        <v>UNT</v>
      </c>
      <c r="C334" s="18"/>
      <c r="D334" s="15">
        <v>6024</v>
      </c>
      <c r="E334" s="21">
        <v>0.57399999999999995</v>
      </c>
      <c r="F334" s="14">
        <f>22506.0666666667+838</f>
        <v>23344.066666666698</v>
      </c>
      <c r="G334" s="13">
        <v>11164.699999998398</v>
      </c>
      <c r="H334" s="15">
        <v>297</v>
      </c>
      <c r="I334" s="13">
        <v>27</v>
      </c>
      <c r="J334" s="16">
        <v>3747</v>
      </c>
      <c r="K334" s="30">
        <v>8327</v>
      </c>
      <c r="L334" s="29">
        <v>5604</v>
      </c>
      <c r="M334" s="28">
        <v>3585</v>
      </c>
      <c r="O334" s="2"/>
    </row>
    <row r="335" spans="1:15" outlineLevel="1" x14ac:dyDescent="0.2">
      <c r="A335" s="27">
        <f t="shared" si="87"/>
        <v>113594</v>
      </c>
      <c r="B335" s="19" t="str">
        <f t="shared" si="87"/>
        <v>UNTD</v>
      </c>
      <c r="C335" s="18"/>
      <c r="D335" s="24"/>
      <c r="E335" s="26"/>
      <c r="F335" s="23"/>
      <c r="G335" s="22"/>
      <c r="H335" s="24"/>
      <c r="I335" s="22"/>
      <c r="J335" s="25"/>
      <c r="K335" s="24"/>
      <c r="L335" s="23"/>
      <c r="M335" s="22"/>
      <c r="O335" s="2"/>
    </row>
    <row r="336" spans="1:15" outlineLevel="1" x14ac:dyDescent="0.2">
      <c r="A336" s="20">
        <f t="shared" si="87"/>
        <v>3624</v>
      </c>
      <c r="B336" s="19" t="str">
        <f t="shared" si="87"/>
        <v>SFA</v>
      </c>
      <c r="C336" s="18"/>
      <c r="D336" s="15">
        <v>1874</v>
      </c>
      <c r="E336" s="21">
        <v>0.56999999999999995</v>
      </c>
      <c r="F336" s="14">
        <v>9510.2666666666664</v>
      </c>
      <c r="G336" s="13">
        <v>3625.4100000000203</v>
      </c>
      <c r="H336" s="15">
        <v>230</v>
      </c>
      <c r="I336" s="13">
        <v>43</v>
      </c>
      <c r="J336" s="16">
        <v>1422</v>
      </c>
      <c r="K336" s="15">
        <v>2663</v>
      </c>
      <c r="L336" s="14">
        <v>1934</v>
      </c>
      <c r="M336" s="13">
        <v>1317</v>
      </c>
      <c r="O336" s="2"/>
    </row>
    <row r="337" spans="1:15" outlineLevel="1" x14ac:dyDescent="0.2">
      <c r="A337" s="20">
        <f t="shared" si="87"/>
        <v>3642</v>
      </c>
      <c r="B337" s="19" t="str">
        <f t="shared" si="87"/>
        <v>TSU</v>
      </c>
      <c r="C337" s="18"/>
      <c r="D337" s="15">
        <v>817</v>
      </c>
      <c r="E337" s="21">
        <v>0.14899999999999999</v>
      </c>
      <c r="F337" s="14">
        <v>5909.8</v>
      </c>
      <c r="G337" s="13">
        <v>1601.5200000000066</v>
      </c>
      <c r="H337" s="15">
        <v>127</v>
      </c>
      <c r="I337" s="13">
        <v>2</v>
      </c>
      <c r="J337" s="16">
        <v>723</v>
      </c>
      <c r="K337" s="15">
        <v>1871</v>
      </c>
      <c r="L337" s="14">
        <v>1137</v>
      </c>
      <c r="M337" s="13">
        <v>916</v>
      </c>
      <c r="O337" s="2"/>
    </row>
    <row r="338" spans="1:15" outlineLevel="1" x14ac:dyDescent="0.2">
      <c r="A338" s="20">
        <f t="shared" si="87"/>
        <v>3644</v>
      </c>
      <c r="B338" s="19" t="str">
        <f t="shared" si="87"/>
        <v>TTU</v>
      </c>
      <c r="C338" s="18"/>
      <c r="D338" s="15">
        <v>4476</v>
      </c>
      <c r="E338" s="21">
        <v>0.72799999999999998</v>
      </c>
      <c r="F338" s="14">
        <v>21422.2</v>
      </c>
      <c r="G338" s="13">
        <v>9827.5299999990111</v>
      </c>
      <c r="H338" s="15">
        <v>656</v>
      </c>
      <c r="I338" s="13">
        <v>43</v>
      </c>
      <c r="J338" s="16">
        <v>2539</v>
      </c>
      <c r="K338" s="15">
        <v>6430</v>
      </c>
      <c r="L338" s="14">
        <v>5148</v>
      </c>
      <c r="M338" s="13">
        <v>3832</v>
      </c>
      <c r="O338" s="2"/>
    </row>
    <row r="339" spans="1:15" outlineLevel="1" x14ac:dyDescent="0.2">
      <c r="A339" s="20">
        <f t="shared" si="87"/>
        <v>3541</v>
      </c>
      <c r="B339" s="19" t="str">
        <f t="shared" si="87"/>
        <v>Angelo</v>
      </c>
      <c r="C339" s="18"/>
      <c r="D339" s="15">
        <v>941</v>
      </c>
      <c r="E339" s="21">
        <v>0.44</v>
      </c>
      <c r="F339" s="14">
        <v>4829.1333333333332</v>
      </c>
      <c r="G339" s="13">
        <v>1933.5900000000179</v>
      </c>
      <c r="H339" s="15">
        <v>217</v>
      </c>
      <c r="I339" s="13">
        <v>18</v>
      </c>
      <c r="J339" s="16">
        <v>676</v>
      </c>
      <c r="K339" s="15">
        <v>1474</v>
      </c>
      <c r="L339" s="14">
        <v>1008</v>
      </c>
      <c r="M339" s="13">
        <v>708</v>
      </c>
      <c r="O339" s="2"/>
    </row>
    <row r="340" spans="1:15" outlineLevel="1" x14ac:dyDescent="0.2">
      <c r="A340" s="20">
        <f t="shared" ref="A340:B345" si="88">A298</f>
        <v>3646</v>
      </c>
      <c r="B340" s="19" t="str">
        <f t="shared" si="88"/>
        <v>TWU</v>
      </c>
      <c r="C340" s="18"/>
      <c r="D340" s="15">
        <v>1774</v>
      </c>
      <c r="E340" s="21">
        <v>0.54500000000000004</v>
      </c>
      <c r="F340" s="14">
        <v>6071.4666666666662</v>
      </c>
      <c r="G340" s="13">
        <v>3425.2000000000221</v>
      </c>
      <c r="H340" s="15">
        <v>614</v>
      </c>
      <c r="I340" s="13">
        <v>31</v>
      </c>
      <c r="J340" s="16">
        <v>1214</v>
      </c>
      <c r="K340" s="15">
        <v>2042</v>
      </c>
      <c r="L340" s="14">
        <v>1371</v>
      </c>
      <c r="M340" s="13">
        <v>668</v>
      </c>
      <c r="O340" s="2"/>
    </row>
    <row r="341" spans="1:15" outlineLevel="1" x14ac:dyDescent="0.2">
      <c r="A341" s="20">
        <f t="shared" si="88"/>
        <v>3581</v>
      </c>
      <c r="B341" s="19" t="str">
        <f t="shared" si="88"/>
        <v>Lamar</v>
      </c>
      <c r="C341" s="18"/>
      <c r="D341" s="15">
        <v>1286</v>
      </c>
      <c r="E341" s="21">
        <v>0.33800000000000002</v>
      </c>
      <c r="F341" s="14">
        <v>7172.9333333333334</v>
      </c>
      <c r="G341" s="13">
        <v>2638.0900000000311</v>
      </c>
      <c r="H341" s="15">
        <v>314</v>
      </c>
      <c r="I341" s="13">
        <v>17</v>
      </c>
      <c r="J341" s="16">
        <v>908</v>
      </c>
      <c r="K341" s="15">
        <v>2043</v>
      </c>
      <c r="L341" s="14">
        <v>1404</v>
      </c>
      <c r="M341" s="13">
        <v>1031</v>
      </c>
      <c r="O341" s="2"/>
    </row>
    <row r="342" spans="1:15" outlineLevel="1" x14ac:dyDescent="0.2">
      <c r="A342" s="20">
        <f t="shared" si="88"/>
        <v>3606</v>
      </c>
      <c r="B342" s="19" t="str">
        <f t="shared" si="88"/>
        <v>SHSU</v>
      </c>
      <c r="C342" s="18"/>
      <c r="D342" s="15">
        <v>3242</v>
      </c>
      <c r="E342" s="21">
        <v>0.57899999999999996</v>
      </c>
      <c r="F342" s="14">
        <v>12517.066666666668</v>
      </c>
      <c r="G342" s="13">
        <v>6188.6300000000374</v>
      </c>
      <c r="H342" s="15">
        <v>163</v>
      </c>
      <c r="I342" s="13">
        <v>69</v>
      </c>
      <c r="J342" s="16">
        <v>2318</v>
      </c>
      <c r="K342" s="15">
        <v>3849</v>
      </c>
      <c r="L342" s="14">
        <v>3011</v>
      </c>
      <c r="M342" s="13">
        <v>1870</v>
      </c>
      <c r="O342" s="2"/>
    </row>
    <row r="343" spans="1:15" outlineLevel="1" x14ac:dyDescent="0.2">
      <c r="A343" s="20">
        <f t="shared" si="88"/>
        <v>3615</v>
      </c>
      <c r="B343" s="19" t="str">
        <f t="shared" si="88"/>
        <v>TXST</v>
      </c>
      <c r="C343" s="18"/>
      <c r="D343" s="15">
        <v>5299</v>
      </c>
      <c r="E343" s="21">
        <v>0.64400000000000002</v>
      </c>
      <c r="F343" s="14">
        <v>21764.6</v>
      </c>
      <c r="G343" s="13">
        <v>10384.469999998846</v>
      </c>
      <c r="H343" s="15">
        <v>439</v>
      </c>
      <c r="I343" s="13">
        <v>68</v>
      </c>
      <c r="J343" s="16">
        <v>3545</v>
      </c>
      <c r="K343" s="15">
        <v>7301</v>
      </c>
      <c r="L343" s="14">
        <v>5428</v>
      </c>
      <c r="M343" s="13">
        <v>3302</v>
      </c>
      <c r="O343" s="2"/>
    </row>
    <row r="344" spans="1:15" outlineLevel="1" x14ac:dyDescent="0.2">
      <c r="A344" s="20">
        <f t="shared" si="88"/>
        <v>3625</v>
      </c>
      <c r="B344" s="19" t="str">
        <f t="shared" si="88"/>
        <v>SRSU</v>
      </c>
      <c r="C344" s="18"/>
      <c r="D344" s="15">
        <v>181</v>
      </c>
      <c r="E344" s="21">
        <v>0.28499999999999998</v>
      </c>
      <c r="F344" s="14">
        <v>1230.9333333333334</v>
      </c>
      <c r="G344" s="13">
        <v>368.43999999999954</v>
      </c>
      <c r="H344" s="15">
        <v>10</v>
      </c>
      <c r="I344" s="13">
        <v>10</v>
      </c>
      <c r="J344" s="16">
        <v>156</v>
      </c>
      <c r="K344" s="15">
        <v>318</v>
      </c>
      <c r="L344" s="14">
        <v>176</v>
      </c>
      <c r="M344" s="13">
        <v>115</v>
      </c>
      <c r="O344" s="2"/>
    </row>
    <row r="345" spans="1:15" outlineLevel="1" x14ac:dyDescent="0.2">
      <c r="A345" s="20">
        <f t="shared" si="88"/>
        <v>20</v>
      </c>
      <c r="B345" s="19" t="str">
        <f t="shared" si="88"/>
        <v>SRRG</v>
      </c>
      <c r="C345" s="18"/>
      <c r="D345" s="15">
        <v>168</v>
      </c>
      <c r="E345" s="17">
        <v>0.36144578313253012</v>
      </c>
      <c r="F345" s="14">
        <v>416.33333333333331</v>
      </c>
      <c r="G345" s="13">
        <v>287.9199999999995</v>
      </c>
      <c r="H345" s="15">
        <v>8</v>
      </c>
      <c r="I345" s="13">
        <v>9</v>
      </c>
      <c r="J345" s="16">
        <v>149</v>
      </c>
      <c r="K345" s="15">
        <v>251</v>
      </c>
      <c r="L345" s="14">
        <v>90</v>
      </c>
      <c r="M345" s="13">
        <v>5</v>
      </c>
      <c r="O345" s="2"/>
    </row>
    <row r="346" spans="1:15" ht="13.5" outlineLevel="1" thickBot="1" x14ac:dyDescent="0.25">
      <c r="A346" s="12"/>
      <c r="B346" s="11" t="s">
        <v>11</v>
      </c>
      <c r="C346" s="10"/>
      <c r="D346" s="9">
        <f>SUM(D308:D345)</f>
        <v>81251</v>
      </c>
      <c r="E346" s="8">
        <v>0.56799999999999995</v>
      </c>
      <c r="F346" s="7">
        <f t="shared" ref="F346:M346" si="89">SUM(F308:F345)</f>
        <v>338321.33333333337</v>
      </c>
      <c r="G346" s="3">
        <f t="shared" si="89"/>
        <v>165601.52999999447</v>
      </c>
      <c r="H346" s="5">
        <f t="shared" si="89"/>
        <v>12362</v>
      </c>
      <c r="I346" s="3">
        <f t="shared" si="89"/>
        <v>1122</v>
      </c>
      <c r="J346" s="6">
        <f t="shared" si="89"/>
        <v>51678</v>
      </c>
      <c r="K346" s="5">
        <f t="shared" si="89"/>
        <v>112517</v>
      </c>
      <c r="L346" s="4">
        <f t="shared" si="89"/>
        <v>81688</v>
      </c>
      <c r="M346" s="3">
        <f t="shared" si="89"/>
        <v>51008</v>
      </c>
      <c r="O346" s="2"/>
    </row>
    <row r="347" spans="1:15" x14ac:dyDescent="0.2">
      <c r="O347" s="2"/>
    </row>
    <row r="349" spans="1:15" x14ac:dyDescent="0.2">
      <c r="A349" s="1" t="s">
        <v>10</v>
      </c>
    </row>
    <row r="350" spans="1:15" x14ac:dyDescent="0.2">
      <c r="A350" s="1" t="s">
        <v>9</v>
      </c>
    </row>
    <row r="351" spans="1:15" x14ac:dyDescent="0.2">
      <c r="A351" s="1" t="s">
        <v>8</v>
      </c>
    </row>
    <row r="352" spans="1:15" x14ac:dyDescent="0.2">
      <c r="A352" s="1" t="s">
        <v>7</v>
      </c>
    </row>
    <row r="353" spans="1:1" x14ac:dyDescent="0.2">
      <c r="A353" s="1" t="s">
        <v>6</v>
      </c>
    </row>
    <row r="354" spans="1:1" x14ac:dyDescent="0.2">
      <c r="A354" s="1" t="s">
        <v>5</v>
      </c>
    </row>
    <row r="355" spans="1:1" x14ac:dyDescent="0.2">
      <c r="A355" s="1" t="s">
        <v>4</v>
      </c>
    </row>
    <row r="356" spans="1:1" x14ac:dyDescent="0.2">
      <c r="A356" s="1" t="s">
        <v>3</v>
      </c>
    </row>
    <row r="357" spans="1:1" x14ac:dyDescent="0.2">
      <c r="A357" s="1" t="s">
        <v>2</v>
      </c>
    </row>
    <row r="358" spans="1:1" x14ac:dyDescent="0.2">
      <c r="A358" s="1" t="s">
        <v>1</v>
      </c>
    </row>
    <row r="359" spans="1:1" x14ac:dyDescent="0.2">
      <c r="A359" s="1" t="s">
        <v>0</v>
      </c>
    </row>
  </sheetData>
  <autoFilter ref="A88:N346">
    <filterColumn colId="3" showButton="0"/>
    <filterColumn colId="4" showButton="0"/>
    <filterColumn colId="5" showButton="0"/>
    <filterColumn colId="10" showButton="0"/>
    <filterColumn colId="11" showButton="0"/>
  </autoFilter>
  <mergeCells count="89">
    <mergeCell ref="K129:M129"/>
    <mergeCell ref="N129:N130"/>
    <mergeCell ref="C129:C130"/>
    <mergeCell ref="D129:G129"/>
    <mergeCell ref="H129:H130"/>
    <mergeCell ref="I129:I130"/>
    <mergeCell ref="J129:J130"/>
    <mergeCell ref="B46:B47"/>
    <mergeCell ref="C46:C47"/>
    <mergeCell ref="D46:G46"/>
    <mergeCell ref="H46:H47"/>
    <mergeCell ref="A1:M1"/>
    <mergeCell ref="A3:A4"/>
    <mergeCell ref="B3:B4"/>
    <mergeCell ref="C3:C4"/>
    <mergeCell ref="D3:G3"/>
    <mergeCell ref="H3:H4"/>
    <mergeCell ref="I3:I4"/>
    <mergeCell ref="J3:J4"/>
    <mergeCell ref="K3:M3"/>
    <mergeCell ref="P46:P47"/>
    <mergeCell ref="A88:A89"/>
    <mergeCell ref="B88:B89"/>
    <mergeCell ref="C88:C89"/>
    <mergeCell ref="D88:G88"/>
    <mergeCell ref="H88:H89"/>
    <mergeCell ref="I88:I89"/>
    <mergeCell ref="J88:J89"/>
    <mergeCell ref="K88:M88"/>
    <mergeCell ref="N88:N89"/>
    <mergeCell ref="I46:I47"/>
    <mergeCell ref="J46:J47"/>
    <mergeCell ref="K46:M46"/>
    <mergeCell ref="N46:N47"/>
    <mergeCell ref="O46:O47"/>
    <mergeCell ref="A46:A47"/>
    <mergeCell ref="A137:A138"/>
    <mergeCell ref="B137:B138"/>
    <mergeCell ref="C137:C138"/>
    <mergeCell ref="D137:G137"/>
    <mergeCell ref="H137:H138"/>
    <mergeCell ref="I137:I138"/>
    <mergeCell ref="J137:J138"/>
    <mergeCell ref="K137:M137"/>
    <mergeCell ref="J180:J181"/>
    <mergeCell ref="K180:M180"/>
    <mergeCell ref="I180:I181"/>
    <mergeCell ref="A139:C139"/>
    <mergeCell ref="A180:A181"/>
    <mergeCell ref="B180:B181"/>
    <mergeCell ref="C180:C181"/>
    <mergeCell ref="D180:D181"/>
    <mergeCell ref="E180:E181"/>
    <mergeCell ref="F222:F223"/>
    <mergeCell ref="F180:F181"/>
    <mergeCell ref="G180:G181"/>
    <mergeCell ref="H180:H181"/>
    <mergeCell ref="A222:A223"/>
    <mergeCell ref="B222:B223"/>
    <mergeCell ref="C222:C223"/>
    <mergeCell ref="D222:D223"/>
    <mergeCell ref="E222:E223"/>
    <mergeCell ref="A264:A265"/>
    <mergeCell ref="B264:B265"/>
    <mergeCell ref="C264:C265"/>
    <mergeCell ref="D264:D265"/>
    <mergeCell ref="E264:E265"/>
    <mergeCell ref="J264:J265"/>
    <mergeCell ref="K264:M264"/>
    <mergeCell ref="G222:G223"/>
    <mergeCell ref="H222:H223"/>
    <mergeCell ref="I222:I223"/>
    <mergeCell ref="J222:J223"/>
    <mergeCell ref="K222:M222"/>
    <mergeCell ref="F264:F265"/>
    <mergeCell ref="G264:G265"/>
    <mergeCell ref="H264:H265"/>
    <mergeCell ref="I264:I265"/>
    <mergeCell ref="G306:G307"/>
    <mergeCell ref="H306:H307"/>
    <mergeCell ref="I306:I307"/>
    <mergeCell ref="J306:J307"/>
    <mergeCell ref="K306:M306"/>
    <mergeCell ref="A306:A307"/>
    <mergeCell ref="B306:B307"/>
    <mergeCell ref="C306:C307"/>
    <mergeCell ref="D306:D307"/>
    <mergeCell ref="E306:E307"/>
    <mergeCell ref="F306:F307"/>
  </mergeCells>
  <conditionalFormatting sqref="Q5:Q42">
    <cfRule type="cellIs" dxfId="36" priority="1" operator="notBetween">
      <formula>$Q$3</formula>
      <formula>-$Q$3</formula>
    </cfRule>
  </conditionalFormatting>
  <pageMargins left="0.25" right="0.25" top="0.5" bottom="0.2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Below="0" summaryRight="0"/>
  </sheetPr>
  <dimension ref="A1:V359"/>
  <sheetViews>
    <sheetView showGridLines="0" zoomScale="70" zoomScaleNormal="7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outlineLevelRow="1" x14ac:dyDescent="0.2"/>
  <cols>
    <col min="1" max="1" width="7.28515625" style="1" customWidth="1"/>
    <col min="2" max="2" width="10.85546875" style="1" bestFit="1" customWidth="1"/>
    <col min="3" max="3" width="13.7109375" style="1" bestFit="1" customWidth="1"/>
    <col min="4" max="4" width="13.140625" style="1" customWidth="1"/>
    <col min="5" max="5" width="12.5703125" style="1" customWidth="1"/>
    <col min="6" max="6" width="13" style="1" customWidth="1"/>
    <col min="7" max="7" width="12.42578125" style="1" customWidth="1"/>
    <col min="8" max="8" width="12.85546875" style="1" customWidth="1"/>
    <col min="9" max="9" width="12.28515625" style="1" customWidth="1"/>
    <col min="10" max="10" width="12.42578125" style="1" customWidth="1"/>
    <col min="11" max="13" width="12.5703125" style="1" bestFit="1" customWidth="1"/>
    <col min="14" max="14" width="14.28515625" style="1" customWidth="1"/>
    <col min="15" max="15" width="16.42578125" style="1" customWidth="1"/>
    <col min="16" max="16" width="16" style="1" customWidth="1"/>
    <col min="17" max="18" width="13.7109375" style="1" bestFit="1" customWidth="1"/>
    <col min="19" max="19" width="9.140625" style="1"/>
    <col min="20" max="20" width="13.42578125" style="1" bestFit="1" customWidth="1"/>
    <col min="21" max="16384" width="9.140625" style="1"/>
  </cols>
  <sheetData>
    <row r="1" spans="1:22" ht="41.25" customHeight="1" x14ac:dyDescent="0.2">
      <c r="A1" s="284" t="s">
        <v>105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O1" s="149"/>
      <c r="P1" s="149"/>
      <c r="Q1" s="149"/>
      <c r="R1" s="149"/>
      <c r="S1" s="149"/>
      <c r="T1" s="149"/>
      <c r="U1" s="149"/>
      <c r="V1" s="149"/>
    </row>
    <row r="2" spans="1:22" ht="13.5" thickBot="1" x14ac:dyDescent="0.25">
      <c r="A2" s="86"/>
      <c r="B2" s="85"/>
      <c r="C2" s="85"/>
      <c r="D2" s="85"/>
      <c r="E2" s="85"/>
      <c r="F2" s="85"/>
      <c r="G2" s="85"/>
      <c r="H2" s="85"/>
    </row>
    <row r="3" spans="1:22" ht="12.75" customHeight="1" x14ac:dyDescent="0.2">
      <c r="A3" s="315" t="s">
        <v>24</v>
      </c>
      <c r="B3" s="317" t="s">
        <v>23</v>
      </c>
      <c r="C3" s="319" t="s">
        <v>74</v>
      </c>
      <c r="D3" s="321" t="s">
        <v>35</v>
      </c>
      <c r="E3" s="321"/>
      <c r="F3" s="321"/>
      <c r="G3" s="321"/>
      <c r="H3" s="322" t="s">
        <v>18</v>
      </c>
      <c r="I3" s="324" t="s">
        <v>17</v>
      </c>
      <c r="J3" s="326" t="s">
        <v>16</v>
      </c>
      <c r="K3" s="328" t="s">
        <v>34</v>
      </c>
      <c r="L3" s="329"/>
      <c r="M3" s="329"/>
      <c r="O3" s="312" t="s">
        <v>150</v>
      </c>
      <c r="P3" s="313"/>
      <c r="Q3" s="314"/>
    </row>
    <row r="4" spans="1:22" ht="54" customHeight="1" thickBot="1" x14ac:dyDescent="0.25">
      <c r="A4" s="316"/>
      <c r="B4" s="318"/>
      <c r="C4" s="320"/>
      <c r="D4" s="264"/>
      <c r="E4" s="265" t="s">
        <v>33</v>
      </c>
      <c r="F4" s="265" t="s">
        <v>32</v>
      </c>
      <c r="G4" s="266" t="s">
        <v>31</v>
      </c>
      <c r="H4" s="323"/>
      <c r="I4" s="325"/>
      <c r="J4" s="327"/>
      <c r="K4" s="267" t="s">
        <v>14</v>
      </c>
      <c r="L4" s="268" t="s">
        <v>13</v>
      </c>
      <c r="M4" s="266" t="s">
        <v>12</v>
      </c>
      <c r="O4" s="261" t="s">
        <v>103</v>
      </c>
      <c r="P4" s="262" t="s">
        <v>148</v>
      </c>
      <c r="Q4" s="263" t="s">
        <v>149</v>
      </c>
    </row>
    <row r="5" spans="1:22" x14ac:dyDescent="0.2">
      <c r="A5" s="40">
        <v>3656</v>
      </c>
      <c r="B5" s="39" t="s">
        <v>73</v>
      </c>
      <c r="C5" s="83">
        <f>SUM(D5:M5)</f>
        <v>13517159.897597879</v>
      </c>
      <c r="D5" s="103">
        <f>D48/$C$86*$C$43</f>
        <v>2763155.385058417</v>
      </c>
      <c r="E5" s="80">
        <f t="shared" ref="E5:M5" si="0">E48/$C$86*$C$43</f>
        <v>954823.69417018653</v>
      </c>
      <c r="F5" s="80">
        <f t="shared" si="0"/>
        <v>543376.29200623336</v>
      </c>
      <c r="G5" s="79">
        <f t="shared" si="0"/>
        <v>5736963.2816896066</v>
      </c>
      <c r="H5" s="81">
        <f t="shared" si="0"/>
        <v>843226.77288151777</v>
      </c>
      <c r="I5" s="79">
        <f t="shared" si="0"/>
        <v>19272.705953974615</v>
      </c>
      <c r="J5" s="82">
        <f t="shared" si="0"/>
        <v>686328.59145811293</v>
      </c>
      <c r="K5" s="81">
        <f t="shared" si="0"/>
        <v>878364.28091125633</v>
      </c>
      <c r="L5" s="80">
        <f t="shared" si="0"/>
        <v>633301.11764760572</v>
      </c>
      <c r="M5" s="79">
        <f t="shared" si="0"/>
        <v>458347.7758209696</v>
      </c>
      <c r="N5" s="151"/>
      <c r="O5" s="92">
        <v>5.3941374102444546E-2</v>
      </c>
      <c r="P5" s="257">
        <f>MIN(0,C48/$C$86-O5+$P$44)*-1*$Q$43</f>
        <v>0</v>
      </c>
      <c r="Q5" s="257">
        <f t="shared" ref="Q5:Q42" si="1">C5+P5</f>
        <v>13517159.897597879</v>
      </c>
      <c r="S5" s="151"/>
      <c r="T5" s="256"/>
    </row>
    <row r="6" spans="1:22" x14ac:dyDescent="0.2">
      <c r="A6" s="20">
        <v>3658</v>
      </c>
      <c r="B6" s="19" t="s">
        <v>72</v>
      </c>
      <c r="C6" s="58">
        <f t="shared" ref="C6:C42" si="2">SUM(D6:M6)</f>
        <v>20169196.491562568</v>
      </c>
      <c r="D6" s="15">
        <f t="shared" ref="D6:M6" si="3">D49/$C$86*$C$43</f>
        <v>3284191.4609442838</v>
      </c>
      <c r="E6" s="14">
        <f t="shared" si="3"/>
        <v>3403243.4014035142</v>
      </c>
      <c r="F6" s="14">
        <f t="shared" si="3"/>
        <v>607955.03280121833</v>
      </c>
      <c r="G6" s="13">
        <f t="shared" si="3"/>
        <v>7121118.0103293983</v>
      </c>
      <c r="H6" s="15">
        <f t="shared" si="3"/>
        <v>688800.3924757021</v>
      </c>
      <c r="I6" s="13">
        <f t="shared" si="3"/>
        <v>24228.5446278538</v>
      </c>
      <c r="J6" s="16">
        <f t="shared" si="3"/>
        <v>509582.58206178976</v>
      </c>
      <c r="K6" s="15">
        <f t="shared" si="3"/>
        <v>1233239.039877109</v>
      </c>
      <c r="L6" s="14">
        <f t="shared" si="3"/>
        <v>1487687.7050243772</v>
      </c>
      <c r="M6" s="13">
        <f t="shared" si="3"/>
        <v>1809150.3220173239</v>
      </c>
      <c r="N6" s="151"/>
      <c r="O6" s="92">
        <v>9.7535367886092073E-2</v>
      </c>
      <c r="P6" s="258">
        <f>MIN(0,C49/$C$86-O6+$P$44)*-1*$Q$43</f>
        <v>1199145.2504279362</v>
      </c>
      <c r="Q6" s="258">
        <f t="shared" si="1"/>
        <v>21368341.741990503</v>
      </c>
      <c r="S6" s="151"/>
      <c r="T6" s="256"/>
    </row>
    <row r="7" spans="1:22" x14ac:dyDescent="0.2">
      <c r="A7" s="20">
        <v>9741</v>
      </c>
      <c r="B7" s="19" t="s">
        <v>71</v>
      </c>
      <c r="C7" s="58">
        <f t="shared" si="2"/>
        <v>6818134.6851198003</v>
      </c>
      <c r="D7" s="15">
        <f t="shared" ref="D7:M7" si="4">D50/$C$86*$C$43</f>
        <v>1317702.4385103213</v>
      </c>
      <c r="E7" s="14">
        <f t="shared" si="4"/>
        <v>617563.20951517066</v>
      </c>
      <c r="F7" s="14">
        <f t="shared" si="4"/>
        <v>492459.12881212123</v>
      </c>
      <c r="G7" s="13">
        <f t="shared" si="4"/>
        <v>2808971.1958505861</v>
      </c>
      <c r="H7" s="15">
        <f t="shared" si="4"/>
        <v>232190.21935026557</v>
      </c>
      <c r="I7" s="13">
        <f t="shared" si="4"/>
        <v>17620.759729348218</v>
      </c>
      <c r="J7" s="16">
        <f t="shared" si="4"/>
        <v>290669.11570203997</v>
      </c>
      <c r="K7" s="15">
        <f t="shared" si="4"/>
        <v>425926.80158283893</v>
      </c>
      <c r="L7" s="14">
        <f t="shared" si="4"/>
        <v>352580.389209427</v>
      </c>
      <c r="M7" s="13">
        <f t="shared" si="4"/>
        <v>262451.42685768101</v>
      </c>
      <c r="N7" s="151"/>
      <c r="O7" s="92">
        <v>3.0845130992374833E-2</v>
      </c>
      <c r="P7" s="258">
        <f t="shared" ref="P7:P42" si="5">MIN(0,C50/$C$86-O7+$P$44)*-1*$Q$43</f>
        <v>0</v>
      </c>
      <c r="Q7" s="258">
        <f t="shared" si="1"/>
        <v>6818134.6851198003</v>
      </c>
      <c r="S7" s="151"/>
      <c r="T7" s="256"/>
    </row>
    <row r="8" spans="1:22" x14ac:dyDescent="0.2">
      <c r="A8" s="20">
        <v>3661</v>
      </c>
      <c r="B8" s="19" t="s">
        <v>70</v>
      </c>
      <c r="C8" s="58">
        <f t="shared" si="2"/>
        <v>8579739.9271562696</v>
      </c>
      <c r="D8" s="15">
        <f t="shared" ref="D8:M8" si="6">D51/$C$86*$C$43</f>
        <v>1683333.202894297</v>
      </c>
      <c r="E8" s="14">
        <f t="shared" si="6"/>
        <v>437666.63275251712</v>
      </c>
      <c r="F8" s="14">
        <f t="shared" si="6"/>
        <v>419794.30980680243</v>
      </c>
      <c r="G8" s="13">
        <f t="shared" si="6"/>
        <v>3468027.990635945</v>
      </c>
      <c r="H8" s="15">
        <f t="shared" si="6"/>
        <v>360674.92571009632</v>
      </c>
      <c r="I8" s="13">
        <f t="shared" si="6"/>
        <v>49558.386738791865</v>
      </c>
      <c r="J8" s="16">
        <f t="shared" si="6"/>
        <v>542792.8194961308</v>
      </c>
      <c r="K8" s="15">
        <f t="shared" si="6"/>
        <v>560535.94561248843</v>
      </c>
      <c r="L8" s="14">
        <f t="shared" si="6"/>
        <v>554723.54222954356</v>
      </c>
      <c r="M8" s="13">
        <f t="shared" si="6"/>
        <v>502632.17127965792</v>
      </c>
      <c r="N8" s="151"/>
      <c r="O8" s="92">
        <v>3.8067899960727944E-2</v>
      </c>
      <c r="P8" s="258">
        <f t="shared" si="5"/>
        <v>0</v>
      </c>
      <c r="Q8" s="258">
        <f t="shared" si="1"/>
        <v>8579739.9271562696</v>
      </c>
      <c r="S8" s="151"/>
      <c r="T8" s="256"/>
    </row>
    <row r="9" spans="1:22" x14ac:dyDescent="0.2">
      <c r="A9" s="20">
        <v>3599</v>
      </c>
      <c r="B9" s="19" t="s">
        <v>69</v>
      </c>
      <c r="C9" s="58">
        <f t="shared" si="2"/>
        <v>7744949.2154582152</v>
      </c>
      <c r="D9" s="15">
        <f t="shared" ref="D9:M9" si="7">D52/$C$86*$C$43</f>
        <v>1420673.7531787001</v>
      </c>
      <c r="E9" s="14">
        <f t="shared" si="7"/>
        <v>306155.19381000986</v>
      </c>
      <c r="F9" s="14">
        <f t="shared" si="7"/>
        <v>282104.10261531436</v>
      </c>
      <c r="G9" s="13">
        <f t="shared" si="7"/>
        <v>2827122.4138676235</v>
      </c>
      <c r="H9" s="15">
        <f t="shared" si="7"/>
        <v>286520.89518242254</v>
      </c>
      <c r="I9" s="13">
        <f t="shared" si="7"/>
        <v>15418.164763179691</v>
      </c>
      <c r="J9" s="16">
        <f t="shared" si="7"/>
        <v>515040.12292240735</v>
      </c>
      <c r="K9" s="15">
        <f t="shared" si="7"/>
        <v>748025.72378823371</v>
      </c>
      <c r="L9" s="14">
        <f t="shared" si="7"/>
        <v>738750.35165292409</v>
      </c>
      <c r="M9" s="13">
        <f t="shared" si="7"/>
        <v>605138.49367740098</v>
      </c>
      <c r="N9" s="151"/>
      <c r="O9" s="92">
        <v>3.6041180893975448E-2</v>
      </c>
      <c r="P9" s="258">
        <f t="shared" si="5"/>
        <v>0</v>
      </c>
      <c r="Q9" s="258">
        <f t="shared" si="1"/>
        <v>7744949.2154582152</v>
      </c>
      <c r="S9" s="151"/>
      <c r="T9" s="256"/>
    </row>
    <row r="10" spans="1:22" x14ac:dyDescent="0.2">
      <c r="A10" s="20">
        <v>30646</v>
      </c>
      <c r="B10" s="19" t="s">
        <v>68</v>
      </c>
      <c r="C10" s="58">
        <f t="shared" si="2"/>
        <v>3096284.8626738219</v>
      </c>
      <c r="D10" s="15">
        <f t="shared" ref="D10:M10" si="8">D53/$C$86*$C$43</f>
        <v>601308.42576400784</v>
      </c>
      <c r="E10" s="14">
        <f t="shared" si="8"/>
        <v>172950.76452822599</v>
      </c>
      <c r="F10" s="14">
        <f t="shared" si="8"/>
        <v>474400.91096076916</v>
      </c>
      <c r="G10" s="13">
        <f t="shared" si="8"/>
        <v>1155147.2590154859</v>
      </c>
      <c r="H10" s="15">
        <f t="shared" si="8"/>
        <v>68463.993531738379</v>
      </c>
      <c r="I10" s="13">
        <f t="shared" si="8"/>
        <v>10095.226928272416</v>
      </c>
      <c r="J10" s="16">
        <f t="shared" si="8"/>
        <v>206309.72849778534</v>
      </c>
      <c r="K10" s="15">
        <f t="shared" si="8"/>
        <v>243447.9269551269</v>
      </c>
      <c r="L10" s="14">
        <f t="shared" si="8"/>
        <v>132749.17494710704</v>
      </c>
      <c r="M10" s="13">
        <f t="shared" si="8"/>
        <v>31411.451545303393</v>
      </c>
      <c r="N10" s="151"/>
      <c r="O10" s="92">
        <v>1.3127311227878089E-2</v>
      </c>
      <c r="P10" s="258">
        <f t="shared" si="5"/>
        <v>0</v>
      </c>
      <c r="Q10" s="258">
        <f t="shared" si="1"/>
        <v>3096284.8626738219</v>
      </c>
      <c r="S10" s="151"/>
      <c r="T10" s="256"/>
    </row>
    <row r="11" spans="1:22" x14ac:dyDescent="0.2">
      <c r="A11" s="20">
        <v>9930</v>
      </c>
      <c r="B11" s="19" t="s">
        <v>67</v>
      </c>
      <c r="C11" s="58">
        <f t="shared" si="2"/>
        <v>1667022.6381032043</v>
      </c>
      <c r="D11" s="15">
        <f t="shared" ref="D11:M11" si="9">D54/$C$86*$C$43</f>
        <v>293679.32882247033</v>
      </c>
      <c r="E11" s="14">
        <f t="shared" si="9"/>
        <v>65196.810998588408</v>
      </c>
      <c r="F11" s="14">
        <f t="shared" si="9"/>
        <v>318346.20788113581</v>
      </c>
      <c r="G11" s="13">
        <f t="shared" si="9"/>
        <v>551483.89213347272</v>
      </c>
      <c r="H11" s="15">
        <f t="shared" si="9"/>
        <v>22760.147983741448</v>
      </c>
      <c r="I11" s="13">
        <f t="shared" si="9"/>
        <v>5506.4874154213176</v>
      </c>
      <c r="J11" s="16">
        <f t="shared" si="9"/>
        <v>87883.539150124227</v>
      </c>
      <c r="K11" s="15">
        <f t="shared" si="9"/>
        <v>144208.78709053382</v>
      </c>
      <c r="L11" s="14">
        <f t="shared" si="9"/>
        <v>117318.77354522643</v>
      </c>
      <c r="M11" s="13">
        <f t="shared" si="9"/>
        <v>60638.663082489642</v>
      </c>
      <c r="N11" s="151"/>
      <c r="O11" s="92">
        <v>6.658597974462911E-3</v>
      </c>
      <c r="P11" s="258">
        <f t="shared" si="5"/>
        <v>0</v>
      </c>
      <c r="Q11" s="258">
        <f t="shared" si="1"/>
        <v>1667022.6381032043</v>
      </c>
      <c r="S11" s="151"/>
      <c r="T11" s="256"/>
    </row>
    <row r="12" spans="1:22" x14ac:dyDescent="0.2">
      <c r="A12" s="20">
        <v>10115</v>
      </c>
      <c r="B12" s="19" t="s">
        <v>66</v>
      </c>
      <c r="C12" s="58">
        <f t="shared" si="2"/>
        <v>11125838.666221999</v>
      </c>
      <c r="D12" s="15">
        <f t="shared" ref="D12:M12" si="10">D55/$C$86*$C$43</f>
        <v>2268489.2655730695</v>
      </c>
      <c r="E12" s="14">
        <f t="shared" si="10"/>
        <v>637697.5379888739</v>
      </c>
      <c r="F12" s="14">
        <f t="shared" si="10"/>
        <v>371523.33184766286</v>
      </c>
      <c r="G12" s="13">
        <f t="shared" si="10"/>
        <v>4633275.9830669649</v>
      </c>
      <c r="H12" s="15">
        <f t="shared" si="10"/>
        <v>215854.30668451564</v>
      </c>
      <c r="I12" s="13">
        <f t="shared" si="10"/>
        <v>27348.887496592542</v>
      </c>
      <c r="J12" s="16">
        <f t="shared" si="10"/>
        <v>688017.24759884225</v>
      </c>
      <c r="K12" s="15">
        <f t="shared" si="10"/>
        <v>874938.02207499417</v>
      </c>
      <c r="L12" s="14">
        <f t="shared" si="10"/>
        <v>736547.75668675546</v>
      </c>
      <c r="M12" s="13">
        <f t="shared" si="10"/>
        <v>672146.32720372791</v>
      </c>
      <c r="N12" s="151"/>
      <c r="O12" s="92">
        <v>5.1993931386758195E-2</v>
      </c>
      <c r="P12" s="258">
        <f t="shared" si="5"/>
        <v>0</v>
      </c>
      <c r="Q12" s="258">
        <f t="shared" si="1"/>
        <v>11125838.666221999</v>
      </c>
      <c r="S12" s="151"/>
      <c r="T12" s="256"/>
    </row>
    <row r="13" spans="1:22" x14ac:dyDescent="0.2">
      <c r="A13" s="20">
        <v>11163</v>
      </c>
      <c r="B13" s="19" t="s">
        <v>65</v>
      </c>
      <c r="C13" s="58">
        <f t="shared" si="2"/>
        <v>3547504.1401445642</v>
      </c>
      <c r="D13" s="15">
        <f t="shared" ref="D13:M13" si="11">D56/$C$86*$C$43</f>
        <v>655272.00243513682</v>
      </c>
      <c r="E13" s="14">
        <f t="shared" si="11"/>
        <v>168950.96462785947</v>
      </c>
      <c r="F13" s="14">
        <f t="shared" si="11"/>
        <v>402740.91746632115</v>
      </c>
      <c r="G13" s="13">
        <f t="shared" si="11"/>
        <v>1300995.7556919386</v>
      </c>
      <c r="H13" s="15">
        <f t="shared" si="11"/>
        <v>207411.02598086963</v>
      </c>
      <c r="I13" s="13">
        <f t="shared" si="11"/>
        <v>7709.0823815898457</v>
      </c>
      <c r="J13" s="16">
        <f t="shared" si="11"/>
        <v>207557.86564528086</v>
      </c>
      <c r="K13" s="15">
        <f t="shared" si="11"/>
        <v>263638.38081167173</v>
      </c>
      <c r="L13" s="14">
        <f t="shared" si="11"/>
        <v>212366.86465474882</v>
      </c>
      <c r="M13" s="13">
        <f t="shared" si="11"/>
        <v>120861.28044914745</v>
      </c>
      <c r="N13" s="151"/>
      <c r="O13" s="92">
        <v>1.2069401585431769E-2</v>
      </c>
      <c r="P13" s="258">
        <f t="shared" si="5"/>
        <v>0</v>
      </c>
      <c r="Q13" s="258">
        <f t="shared" si="1"/>
        <v>3547504.1401445642</v>
      </c>
      <c r="S13" s="151"/>
      <c r="T13" s="256"/>
    </row>
    <row r="14" spans="1:22" x14ac:dyDescent="0.2">
      <c r="A14" s="20">
        <v>3632</v>
      </c>
      <c r="B14" s="19" t="s">
        <v>64</v>
      </c>
      <c r="C14" s="58">
        <f t="shared" si="2"/>
        <v>20316197.910539109</v>
      </c>
      <c r="D14" s="15">
        <f t="shared" ref="D14:M14" si="12">D57/$C$86*$C$43</f>
        <v>3208324.3009984787</v>
      </c>
      <c r="E14" s="14">
        <f t="shared" si="12"/>
        <v>3371414.1196325668</v>
      </c>
      <c r="F14" s="14">
        <f t="shared" si="12"/>
        <v>579142.21143265662</v>
      </c>
      <c r="G14" s="13">
        <f t="shared" si="12"/>
        <v>7380461.3309569014</v>
      </c>
      <c r="H14" s="15">
        <f t="shared" si="12"/>
        <v>647195.82089251897</v>
      </c>
      <c r="I14" s="13">
        <f t="shared" si="12"/>
        <v>46254.494289539078</v>
      </c>
      <c r="J14" s="16">
        <f t="shared" si="12"/>
        <v>546830.91026743979</v>
      </c>
      <c r="K14" s="15">
        <f t="shared" si="12"/>
        <v>1292641.802450804</v>
      </c>
      <c r="L14" s="14">
        <f t="shared" si="12"/>
        <v>1471443.5671488845</v>
      </c>
      <c r="M14" s="13">
        <f t="shared" si="12"/>
        <v>1772489.352469319</v>
      </c>
      <c r="N14" s="151"/>
      <c r="O14" s="92">
        <v>0.10514316433214833</v>
      </c>
      <c r="P14" s="258">
        <f t="shared" si="5"/>
        <v>2837224.8414035649</v>
      </c>
      <c r="Q14" s="258">
        <f t="shared" si="1"/>
        <v>23153422.751942676</v>
      </c>
      <c r="S14" s="151"/>
      <c r="T14" s="256"/>
    </row>
    <row r="15" spans="1:22" x14ac:dyDescent="0.2">
      <c r="A15" s="20">
        <v>10298</v>
      </c>
      <c r="B15" s="19" t="s">
        <v>63</v>
      </c>
      <c r="C15" s="58">
        <f t="shared" si="2"/>
        <v>1693974.3757766359</v>
      </c>
      <c r="D15" s="15">
        <f t="shared" ref="D15:M15" si="13">D58/$C$86*$C$43</f>
        <v>227417.93025690038</v>
      </c>
      <c r="E15" s="14">
        <f t="shared" si="13"/>
        <v>71333.424123914432</v>
      </c>
      <c r="F15" s="14">
        <f t="shared" si="13"/>
        <v>338634.5451331705</v>
      </c>
      <c r="G15" s="13">
        <f t="shared" si="13"/>
        <v>581507.09701815096</v>
      </c>
      <c r="H15" s="15">
        <f t="shared" si="13"/>
        <v>30836.329526359383</v>
      </c>
      <c r="I15" s="13">
        <f t="shared" si="13"/>
        <v>0</v>
      </c>
      <c r="J15" s="16">
        <f t="shared" si="13"/>
        <v>52201.50069819409</v>
      </c>
      <c r="K15" s="15">
        <f t="shared" si="13"/>
        <v>163083.80228672805</v>
      </c>
      <c r="L15" s="14">
        <f t="shared" si="13"/>
        <v>113819.09487675864</v>
      </c>
      <c r="M15" s="13">
        <f t="shared" si="13"/>
        <v>115140.65185645976</v>
      </c>
      <c r="N15" s="151"/>
      <c r="O15" s="92">
        <v>7.0859752523080169E-3</v>
      </c>
      <c r="P15" s="258">
        <f t="shared" si="5"/>
        <v>0</v>
      </c>
      <c r="Q15" s="258">
        <f t="shared" si="1"/>
        <v>1693974.3757766359</v>
      </c>
      <c r="S15" s="151"/>
      <c r="T15" s="256"/>
    </row>
    <row r="16" spans="1:22" x14ac:dyDescent="0.2">
      <c r="A16" s="20">
        <v>3630</v>
      </c>
      <c r="B16" s="19" t="s">
        <v>62</v>
      </c>
      <c r="C16" s="58">
        <f t="shared" si="2"/>
        <v>3197075.6060262681</v>
      </c>
      <c r="D16" s="15">
        <f t="shared" ref="D16:M16" si="14">D59/$C$86*$C$43</f>
        <v>515590.77166394942</v>
      </c>
      <c r="E16" s="14">
        <f t="shared" si="14"/>
        <v>95813.951734217248</v>
      </c>
      <c r="F16" s="14">
        <f t="shared" si="14"/>
        <v>217832.34744212558</v>
      </c>
      <c r="G16" s="13">
        <f t="shared" si="14"/>
        <v>1141439.77634269</v>
      </c>
      <c r="H16" s="15">
        <f t="shared" si="14"/>
        <v>173821.45274679959</v>
      </c>
      <c r="I16" s="13">
        <f t="shared" si="14"/>
        <v>5322.937834907274</v>
      </c>
      <c r="J16" s="16">
        <f t="shared" si="14"/>
        <v>176794.95595112711</v>
      </c>
      <c r="K16" s="15">
        <f t="shared" si="14"/>
        <v>306160.70029742527</v>
      </c>
      <c r="L16" s="14">
        <f t="shared" si="14"/>
        <v>281803.67096321163</v>
      </c>
      <c r="M16" s="13">
        <f t="shared" si="14"/>
        <v>282495.04104981461</v>
      </c>
      <c r="N16" s="151"/>
      <c r="O16" s="92">
        <v>1.5279410782616385E-2</v>
      </c>
      <c r="P16" s="258">
        <f t="shared" si="5"/>
        <v>0</v>
      </c>
      <c r="Q16" s="258">
        <f t="shared" si="1"/>
        <v>3197075.6060262681</v>
      </c>
      <c r="S16" s="151"/>
      <c r="T16" s="256"/>
    </row>
    <row r="17" spans="1:20" x14ac:dyDescent="0.2">
      <c r="A17" s="20">
        <v>3631</v>
      </c>
      <c r="B17" s="19" t="s">
        <v>61</v>
      </c>
      <c r="C17" s="58">
        <f t="shared" si="2"/>
        <v>4494716.2245866163</v>
      </c>
      <c r="D17" s="15">
        <f t="shared" ref="D17:M17" si="15">D60/$C$86*$C$43</f>
        <v>850935.85526310757</v>
      </c>
      <c r="E17" s="14">
        <f t="shared" si="15"/>
        <v>203373.66940788276</v>
      </c>
      <c r="F17" s="14">
        <f t="shared" si="15"/>
        <v>338095.13013462885</v>
      </c>
      <c r="G17" s="13">
        <f t="shared" si="15"/>
        <v>1719424.5569107879</v>
      </c>
      <c r="H17" s="15">
        <f t="shared" si="15"/>
        <v>111781.69453305275</v>
      </c>
      <c r="I17" s="13">
        <f t="shared" si="15"/>
        <v>26247.590013508281</v>
      </c>
      <c r="J17" s="16">
        <f t="shared" si="15"/>
        <v>263210.09845713899</v>
      </c>
      <c r="K17" s="15">
        <f t="shared" si="15"/>
        <v>395426.97962075536</v>
      </c>
      <c r="L17" s="14">
        <f t="shared" si="15"/>
        <v>317039.07210255763</v>
      </c>
      <c r="M17" s="13">
        <f t="shared" si="15"/>
        <v>269181.57814319595</v>
      </c>
      <c r="N17" s="151"/>
      <c r="O17" s="92">
        <v>1.9985241623354359E-2</v>
      </c>
      <c r="P17" s="258">
        <f t="shared" si="5"/>
        <v>0</v>
      </c>
      <c r="Q17" s="258">
        <f t="shared" si="1"/>
        <v>4494716.2245866163</v>
      </c>
      <c r="S17" s="151"/>
      <c r="T17" s="256"/>
    </row>
    <row r="18" spans="1:20" x14ac:dyDescent="0.2">
      <c r="A18" s="78">
        <v>103631</v>
      </c>
      <c r="B18" s="19" t="s">
        <v>60</v>
      </c>
      <c r="C18" s="58">
        <f t="shared" si="2"/>
        <v>1942156.0468104405</v>
      </c>
      <c r="D18" s="15">
        <f t="shared" ref="D18:M18" si="16">D61/$C$86*$C$43</f>
        <v>253481.97068989463</v>
      </c>
      <c r="E18" s="14">
        <f t="shared" si="16"/>
        <v>60582.190994884819</v>
      </c>
      <c r="F18" s="14">
        <f t="shared" si="16"/>
        <v>930429.10707080655</v>
      </c>
      <c r="G18" s="13">
        <f t="shared" si="16"/>
        <v>470042.94325938897</v>
      </c>
      <c r="H18" s="15">
        <f t="shared" si="16"/>
        <v>22393.048822713357</v>
      </c>
      <c r="I18" s="13">
        <f t="shared" si="16"/>
        <v>0</v>
      </c>
      <c r="J18" s="16">
        <f t="shared" si="16"/>
        <v>72024.855393710837</v>
      </c>
      <c r="K18" s="15">
        <f t="shared" si="16"/>
        <v>90857.042354451754</v>
      </c>
      <c r="L18" s="14">
        <f t="shared" si="16"/>
        <v>31735.722470878191</v>
      </c>
      <c r="M18" s="13">
        <f t="shared" si="16"/>
        <v>10609.165753711741</v>
      </c>
      <c r="N18" s="151"/>
      <c r="O18" s="92">
        <v>3.4527219750504121E-3</v>
      </c>
      <c r="P18" s="258">
        <f t="shared" si="5"/>
        <v>0</v>
      </c>
      <c r="Q18" s="258">
        <f t="shared" si="1"/>
        <v>1942156.0468104405</v>
      </c>
      <c r="S18" s="151"/>
      <c r="T18" s="256"/>
    </row>
    <row r="19" spans="1:20" x14ac:dyDescent="0.2">
      <c r="A19" s="20">
        <v>11161</v>
      </c>
      <c r="B19" s="19" t="s">
        <v>59</v>
      </c>
      <c r="C19" s="58">
        <f t="shared" si="2"/>
        <v>4197102.5667858785</v>
      </c>
      <c r="D19" s="15">
        <f t="shared" ref="D19:M19" si="17">D62/$C$86*$C$43</f>
        <v>764484.00284099288</v>
      </c>
      <c r="E19" s="14">
        <f t="shared" si="17"/>
        <v>194178.9367216122</v>
      </c>
      <c r="F19" s="14">
        <f t="shared" si="17"/>
        <v>294273.76418124855</v>
      </c>
      <c r="G19" s="13">
        <f t="shared" si="17"/>
        <v>1544129.2010324537</v>
      </c>
      <c r="H19" s="15">
        <f t="shared" si="17"/>
        <v>146656.11483072108</v>
      </c>
      <c r="I19" s="13">
        <f t="shared" si="17"/>
        <v>14133.317699581383</v>
      </c>
      <c r="J19" s="16">
        <f t="shared" si="17"/>
        <v>237880.25634620094</v>
      </c>
      <c r="K19" s="15">
        <f t="shared" si="17"/>
        <v>377010.83837584627</v>
      </c>
      <c r="L19" s="14">
        <f t="shared" si="17"/>
        <v>350286.01945300144</v>
      </c>
      <c r="M19" s="13">
        <f t="shared" si="17"/>
        <v>274070.11530421994</v>
      </c>
      <c r="N19" s="151"/>
      <c r="O19" s="92">
        <v>1.9224284187157891E-2</v>
      </c>
      <c r="P19" s="258">
        <f t="shared" si="5"/>
        <v>0</v>
      </c>
      <c r="Q19" s="258">
        <f t="shared" si="1"/>
        <v>4197102.5667858785</v>
      </c>
      <c r="S19" s="151"/>
      <c r="T19" s="256"/>
    </row>
    <row r="20" spans="1:20" x14ac:dyDescent="0.2">
      <c r="A20" s="20">
        <v>3639</v>
      </c>
      <c r="B20" s="19" t="s">
        <v>58</v>
      </c>
      <c r="C20" s="58">
        <f t="shared" si="2"/>
        <v>2620835.0064637195</v>
      </c>
      <c r="D20" s="15">
        <f t="shared" ref="D20:M20" si="18">D63/$C$86*$C$43</f>
        <v>419410.79147459031</v>
      </c>
      <c r="E20" s="14">
        <f t="shared" si="18"/>
        <v>84371.470884971772</v>
      </c>
      <c r="F20" s="14">
        <f t="shared" si="18"/>
        <v>246133.09358837464</v>
      </c>
      <c r="G20" s="13">
        <f t="shared" si="18"/>
        <v>971043.35876828083</v>
      </c>
      <c r="H20" s="15">
        <f t="shared" si="18"/>
        <v>143168.67280095429</v>
      </c>
      <c r="I20" s="13">
        <f t="shared" si="18"/>
        <v>9177.4790257021978</v>
      </c>
      <c r="J20" s="16">
        <f t="shared" si="18"/>
        <v>142801.57363992618</v>
      </c>
      <c r="K20" s="15">
        <f t="shared" si="18"/>
        <v>225276.51848423659</v>
      </c>
      <c r="L20" s="14">
        <f t="shared" si="18"/>
        <v>205128.89286314504</v>
      </c>
      <c r="M20" s="13">
        <f t="shared" si="18"/>
        <v>174323.15493353797</v>
      </c>
      <c r="N20" s="151"/>
      <c r="O20" s="92">
        <v>1.296528221607569E-2</v>
      </c>
      <c r="P20" s="258">
        <f t="shared" si="5"/>
        <v>0</v>
      </c>
      <c r="Q20" s="258">
        <f t="shared" si="1"/>
        <v>2620835.0064637195</v>
      </c>
      <c r="S20" s="151"/>
      <c r="T20" s="256"/>
    </row>
    <row r="21" spans="1:20" x14ac:dyDescent="0.2">
      <c r="A21" s="78">
        <v>103639</v>
      </c>
      <c r="B21" s="19" t="s">
        <v>57</v>
      </c>
      <c r="C21" s="58">
        <f t="shared" si="2"/>
        <v>1791392.1178663317</v>
      </c>
      <c r="D21" s="15">
        <f t="shared" ref="D21:M21" si="19">D64/$C$86*$C$43</f>
        <v>323597.91044625943</v>
      </c>
      <c r="E21" s="14">
        <f t="shared" si="19"/>
        <v>65097.112984772524</v>
      </c>
      <c r="F21" s="14">
        <f t="shared" si="19"/>
        <v>572654.07609016844</v>
      </c>
      <c r="G21" s="13">
        <f t="shared" si="19"/>
        <v>564972.95080545021</v>
      </c>
      <c r="H21" s="15">
        <f t="shared" si="19"/>
        <v>2753.2437077106588</v>
      </c>
      <c r="I21" s="13">
        <f t="shared" si="19"/>
        <v>1101.2974830842636</v>
      </c>
      <c r="J21" s="16">
        <f t="shared" si="19"/>
        <v>108000.57317446344</v>
      </c>
      <c r="K21" s="15">
        <f t="shared" si="19"/>
        <v>133930.0105817474</v>
      </c>
      <c r="L21" s="14">
        <f t="shared" si="19"/>
        <v>18452.851161011884</v>
      </c>
      <c r="M21" s="13">
        <f t="shared" si="19"/>
        <v>832.09143166366584</v>
      </c>
      <c r="N21" s="151"/>
      <c r="O21" s="92">
        <v>5.939285915308113E-3</v>
      </c>
      <c r="P21" s="258">
        <f t="shared" si="5"/>
        <v>0</v>
      </c>
      <c r="Q21" s="258">
        <f t="shared" si="1"/>
        <v>1791392.1178663317</v>
      </c>
      <c r="S21" s="151"/>
      <c r="T21" s="256"/>
    </row>
    <row r="22" spans="1:20" x14ac:dyDescent="0.2">
      <c r="A22" s="20">
        <v>9651</v>
      </c>
      <c r="B22" s="19" t="s">
        <v>56</v>
      </c>
      <c r="C22" s="58">
        <f t="shared" si="2"/>
        <v>2488213.0867098058</v>
      </c>
      <c r="D22" s="15">
        <f t="shared" ref="D22:M22" si="20">D65/$C$86*$C$43</f>
        <v>434828.95623777003</v>
      </c>
      <c r="E22" s="14">
        <f t="shared" si="20"/>
        <v>102909.5196429389</v>
      </c>
      <c r="F22" s="14">
        <f t="shared" si="20"/>
        <v>266048.06426686863</v>
      </c>
      <c r="G22" s="13">
        <f t="shared" si="20"/>
        <v>803119.35404339677</v>
      </c>
      <c r="H22" s="15">
        <f t="shared" si="20"/>
        <v>63691.704438373257</v>
      </c>
      <c r="I22" s="13">
        <f t="shared" si="20"/>
        <v>12297.821894440942</v>
      </c>
      <c r="J22" s="16">
        <f t="shared" si="20"/>
        <v>156971.60125561035</v>
      </c>
      <c r="K22" s="15">
        <f t="shared" si="20"/>
        <v>258193.07658975519</v>
      </c>
      <c r="L22" s="14">
        <f t="shared" si="20"/>
        <v>242352.74779139314</v>
      </c>
      <c r="M22" s="13">
        <f t="shared" si="20"/>
        <v>147800.24054925865</v>
      </c>
      <c r="N22" s="151"/>
      <c r="O22" s="92">
        <v>1.0886031395541047E-2</v>
      </c>
      <c r="P22" s="258">
        <f t="shared" si="5"/>
        <v>0</v>
      </c>
      <c r="Q22" s="258">
        <f t="shared" si="1"/>
        <v>2488213.0867098058</v>
      </c>
      <c r="S22" s="151"/>
      <c r="T22" s="256"/>
    </row>
    <row r="23" spans="1:20" x14ac:dyDescent="0.2">
      <c r="A23" s="20">
        <v>3665</v>
      </c>
      <c r="B23" s="19" t="s">
        <v>55</v>
      </c>
      <c r="C23" s="58">
        <f t="shared" si="2"/>
        <v>3711355.9628715594</v>
      </c>
      <c r="D23" s="15">
        <f t="shared" ref="D23:M23" si="21">D66/$C$86*$C$43</f>
        <v>691431.26979640347</v>
      </c>
      <c r="E23" s="14">
        <f t="shared" si="21"/>
        <v>162716.82549208694</v>
      </c>
      <c r="F23" s="14">
        <f t="shared" si="21"/>
        <v>319207.24645380466</v>
      </c>
      <c r="G23" s="13">
        <f t="shared" si="21"/>
        <v>1378591.3408542546</v>
      </c>
      <c r="H23" s="15">
        <f t="shared" si="21"/>
        <v>105541.00879557524</v>
      </c>
      <c r="I23" s="13">
        <f t="shared" si="21"/>
        <v>33406.023653555996</v>
      </c>
      <c r="J23" s="16">
        <f t="shared" si="21"/>
        <v>195884.11232458768</v>
      </c>
      <c r="K23" s="15">
        <f t="shared" si="21"/>
        <v>328859.66508766206</v>
      </c>
      <c r="L23" s="14">
        <f t="shared" si="21"/>
        <v>289359.79536103981</v>
      </c>
      <c r="M23" s="13">
        <f t="shared" si="21"/>
        <v>206358.67505258915</v>
      </c>
      <c r="N23" s="151"/>
      <c r="O23" s="92">
        <v>1.5183466872892367E-2</v>
      </c>
      <c r="P23" s="258">
        <f t="shared" si="5"/>
        <v>0</v>
      </c>
      <c r="Q23" s="258">
        <f t="shared" si="1"/>
        <v>3711355.9628715594</v>
      </c>
      <c r="S23" s="151"/>
      <c r="T23" s="256"/>
    </row>
    <row r="24" spans="1:20" x14ac:dyDescent="0.2">
      <c r="A24" s="20">
        <v>3565</v>
      </c>
      <c r="B24" s="19" t="s">
        <v>54</v>
      </c>
      <c r="C24" s="58">
        <f t="shared" si="2"/>
        <v>3721081.8598658163</v>
      </c>
      <c r="D24" s="15">
        <f t="shared" ref="D24:M24" si="22">D67/$C$86*$C$43</f>
        <v>729242.4833822964</v>
      </c>
      <c r="E24" s="14">
        <f t="shared" si="22"/>
        <v>160433.34634410523</v>
      </c>
      <c r="F24" s="14">
        <f t="shared" si="22"/>
        <v>388144.52499246964</v>
      </c>
      <c r="G24" s="13">
        <f t="shared" si="22"/>
        <v>1377627.7055565601</v>
      </c>
      <c r="H24" s="15">
        <f t="shared" si="22"/>
        <v>40197.358132575617</v>
      </c>
      <c r="I24" s="13">
        <f t="shared" si="22"/>
        <v>40931.556454631791</v>
      </c>
      <c r="J24" s="16">
        <f t="shared" si="22"/>
        <v>224517.84688477853</v>
      </c>
      <c r="K24" s="15">
        <f t="shared" si="22"/>
        <v>347459.35591308522</v>
      </c>
      <c r="L24" s="14">
        <f t="shared" si="22"/>
        <v>271384.1731093644</v>
      </c>
      <c r="M24" s="13">
        <f t="shared" si="22"/>
        <v>141143.50909594932</v>
      </c>
      <c r="N24" s="151"/>
      <c r="O24" s="92">
        <v>1.411122580581306E-2</v>
      </c>
      <c r="P24" s="258">
        <f t="shared" si="5"/>
        <v>0</v>
      </c>
      <c r="Q24" s="258">
        <f t="shared" si="1"/>
        <v>3721081.8598658163</v>
      </c>
      <c r="S24" s="151"/>
      <c r="T24" s="256"/>
    </row>
    <row r="25" spans="1:20" x14ac:dyDescent="0.2">
      <c r="A25" s="20">
        <v>29269</v>
      </c>
      <c r="B25" s="19" t="s">
        <v>53</v>
      </c>
      <c r="C25" s="58">
        <f t="shared" si="2"/>
        <v>1325989.1568060818</v>
      </c>
      <c r="D25" s="15">
        <f t="shared" ref="D25:M25" si="23">D68/$C$86*$C$43</f>
        <v>190340.91499306355</v>
      </c>
      <c r="E25" s="14">
        <f t="shared" si="23"/>
        <v>51584.846393209737</v>
      </c>
      <c r="F25" s="14">
        <f t="shared" si="23"/>
        <v>533666.11680298194</v>
      </c>
      <c r="G25" s="13">
        <f t="shared" si="23"/>
        <v>341352.66136938194</v>
      </c>
      <c r="H25" s="15">
        <f t="shared" si="23"/>
        <v>22943.697564255486</v>
      </c>
      <c r="I25" s="13">
        <f t="shared" si="23"/>
        <v>10645.875669814548</v>
      </c>
      <c r="J25" s="16">
        <f t="shared" si="23"/>
        <v>52642.019691427799</v>
      </c>
      <c r="K25" s="15">
        <f t="shared" si="23"/>
        <v>79415.785169076349</v>
      </c>
      <c r="L25" s="14">
        <f t="shared" si="23"/>
        <v>43189.216294954538</v>
      </c>
      <c r="M25" s="13">
        <f t="shared" si="23"/>
        <v>208.02285791591646</v>
      </c>
      <c r="N25" s="151"/>
      <c r="O25" s="92">
        <v>2.885126155730112E-3</v>
      </c>
      <c r="P25" s="258">
        <f t="shared" si="5"/>
        <v>0</v>
      </c>
      <c r="Q25" s="258">
        <f t="shared" si="1"/>
        <v>1325989.1568060818</v>
      </c>
      <c r="S25" s="151"/>
      <c r="T25" s="256"/>
    </row>
    <row r="26" spans="1:20" x14ac:dyDescent="0.2">
      <c r="A26" s="20">
        <v>3652</v>
      </c>
      <c r="B26" s="19" t="s">
        <v>52</v>
      </c>
      <c r="C26" s="58">
        <f t="shared" si="2"/>
        <v>13980643.865054511</v>
      </c>
      <c r="D26" s="15">
        <f t="shared" ref="D26:M26" si="24">D69/$C$86*$C$43</f>
        <v>2807574.3835428162</v>
      </c>
      <c r="E26" s="14">
        <f t="shared" si="24"/>
        <v>1003863.8184711979</v>
      </c>
      <c r="F26" s="14">
        <f t="shared" si="24"/>
        <v>393255.88808943395</v>
      </c>
      <c r="G26" s="13">
        <f t="shared" si="24"/>
        <v>5825999.5122049367</v>
      </c>
      <c r="H26" s="15">
        <f t="shared" si="24"/>
        <v>405828.12251655111</v>
      </c>
      <c r="I26" s="13">
        <f t="shared" si="24"/>
        <v>34507.321136640254</v>
      </c>
      <c r="J26" s="16">
        <f t="shared" si="24"/>
        <v>742935.2820886441</v>
      </c>
      <c r="K26" s="15">
        <f t="shared" si="24"/>
        <v>976783.56598288682</v>
      </c>
      <c r="L26" s="14">
        <f t="shared" si="24"/>
        <v>940012.46668657323</v>
      </c>
      <c r="M26" s="13">
        <f t="shared" si="24"/>
        <v>849883.5043348273</v>
      </c>
      <c r="N26" s="151"/>
      <c r="O26" s="92">
        <v>6.680079885949769E-2</v>
      </c>
      <c r="P26" s="258">
        <f t="shared" si="5"/>
        <v>280893.89961641841</v>
      </c>
      <c r="Q26" s="258">
        <f t="shared" si="1"/>
        <v>14261537.764670929</v>
      </c>
      <c r="S26" s="151"/>
      <c r="T26" s="256"/>
    </row>
    <row r="27" spans="1:20" x14ac:dyDescent="0.2">
      <c r="A27" s="20">
        <v>11711</v>
      </c>
      <c r="B27" s="19" t="s">
        <v>51</v>
      </c>
      <c r="C27" s="58">
        <f t="shared" si="2"/>
        <v>3364297.4263665653</v>
      </c>
      <c r="D27" s="15">
        <f t="shared" ref="D27:M27" si="25">D70/$C$86*$C$43</f>
        <v>655639.10159616487</v>
      </c>
      <c r="E27" s="14">
        <f t="shared" si="25"/>
        <v>170520.13348617949</v>
      </c>
      <c r="F27" s="14">
        <f t="shared" si="25"/>
        <v>546430.68015148875</v>
      </c>
      <c r="G27" s="13">
        <f t="shared" si="25"/>
        <v>1257105.3799994257</v>
      </c>
      <c r="H27" s="15">
        <f t="shared" si="25"/>
        <v>58735.865764494054</v>
      </c>
      <c r="I27" s="13">
        <f t="shared" si="25"/>
        <v>4588.7395128510989</v>
      </c>
      <c r="J27" s="16">
        <f t="shared" si="25"/>
        <v>170554.27021364964</v>
      </c>
      <c r="K27" s="15">
        <f t="shared" si="25"/>
        <v>255378.64968853979</v>
      </c>
      <c r="L27" s="14">
        <f t="shared" si="25"/>
        <v>227558.6516019612</v>
      </c>
      <c r="M27" s="13">
        <f t="shared" si="25"/>
        <v>17785.954351810858</v>
      </c>
      <c r="N27" s="151"/>
      <c r="O27" s="92">
        <v>1.0972897764284933E-2</v>
      </c>
      <c r="P27" s="258">
        <f t="shared" si="5"/>
        <v>0</v>
      </c>
      <c r="Q27" s="258">
        <f t="shared" si="1"/>
        <v>3364297.4263665653</v>
      </c>
      <c r="S27" s="151"/>
      <c r="T27" s="256"/>
    </row>
    <row r="28" spans="1:20" x14ac:dyDescent="0.2">
      <c r="A28" s="20">
        <v>12826</v>
      </c>
      <c r="B28" s="19" t="s">
        <v>50</v>
      </c>
      <c r="C28" s="58">
        <f t="shared" si="2"/>
        <v>5846181.2272170903</v>
      </c>
      <c r="D28" s="15">
        <f t="shared" ref="D28:M28" si="26">D71/$C$86*$C$43</f>
        <v>1311828.8519338719</v>
      </c>
      <c r="E28" s="14">
        <f t="shared" si="26"/>
        <v>124623.74093371787</v>
      </c>
      <c r="F28" s="14">
        <f t="shared" si="26"/>
        <v>410688.03629486746</v>
      </c>
      <c r="G28" s="13">
        <f t="shared" si="26"/>
        <v>2351995.1472279634</v>
      </c>
      <c r="H28" s="15">
        <f t="shared" si="26"/>
        <v>71400.78681996309</v>
      </c>
      <c r="I28" s="13">
        <f t="shared" si="26"/>
        <v>917.74790257021959</v>
      </c>
      <c r="J28" s="16">
        <f t="shared" si="26"/>
        <v>370256.2138129294</v>
      </c>
      <c r="K28" s="15">
        <f t="shared" si="26"/>
        <v>569982.63068961119</v>
      </c>
      <c r="L28" s="14">
        <f t="shared" si="26"/>
        <v>445811.33947186038</v>
      </c>
      <c r="M28" s="13">
        <f t="shared" si="26"/>
        <v>188676.73212973622</v>
      </c>
      <c r="N28" s="151"/>
      <c r="O28" s="92">
        <v>2.262163232206927E-2</v>
      </c>
      <c r="P28" s="258">
        <f t="shared" si="5"/>
        <v>0</v>
      </c>
      <c r="Q28" s="258">
        <f t="shared" si="1"/>
        <v>5846181.2272170903</v>
      </c>
      <c r="S28" s="151"/>
      <c r="T28" s="256"/>
    </row>
    <row r="29" spans="1:20" x14ac:dyDescent="0.2">
      <c r="A29" s="20">
        <v>13231</v>
      </c>
      <c r="B29" s="19" t="s">
        <v>49</v>
      </c>
      <c r="C29" s="58">
        <f t="shared" si="2"/>
        <v>1901472.4316454174</v>
      </c>
      <c r="D29" s="15">
        <f t="shared" ref="D29:M29" si="27">D72/$C$86*$C$43</f>
        <v>317540.77428929595</v>
      </c>
      <c r="E29" s="14">
        <f t="shared" si="27"/>
        <v>82651.126914438209</v>
      </c>
      <c r="F29" s="14">
        <f t="shared" si="27"/>
        <v>551814.03669476649</v>
      </c>
      <c r="G29" s="13">
        <f t="shared" si="27"/>
        <v>597167.54722761165</v>
      </c>
      <c r="H29" s="15">
        <f t="shared" si="27"/>
        <v>59470.064086550236</v>
      </c>
      <c r="I29" s="13">
        <f t="shared" si="27"/>
        <v>4038.0907713089659</v>
      </c>
      <c r="J29" s="16">
        <f t="shared" si="27"/>
        <v>84579.646700871439</v>
      </c>
      <c r="K29" s="15">
        <f t="shared" si="27"/>
        <v>131421.49964805547</v>
      </c>
      <c r="L29" s="14">
        <f t="shared" si="27"/>
        <v>70709.416733360194</v>
      </c>
      <c r="M29" s="13">
        <f t="shared" si="27"/>
        <v>2080.2285791591648</v>
      </c>
      <c r="N29" s="151"/>
      <c r="O29" s="92">
        <v>5.6229417841748381E-3</v>
      </c>
      <c r="P29" s="258">
        <f t="shared" si="5"/>
        <v>0</v>
      </c>
      <c r="Q29" s="258">
        <f t="shared" si="1"/>
        <v>1901472.4316454174</v>
      </c>
      <c r="S29" s="151"/>
      <c r="T29" s="256"/>
    </row>
    <row r="30" spans="1:20" x14ac:dyDescent="0.2">
      <c r="A30" s="20">
        <v>3592</v>
      </c>
      <c r="B30" s="19" t="s">
        <v>48</v>
      </c>
      <c r="C30" s="58">
        <f t="shared" si="2"/>
        <v>3174800.3457181617</v>
      </c>
      <c r="D30" s="15">
        <f t="shared" ref="D30:M30" si="28">D73/$C$86*$C$43</f>
        <v>568085.95169096591</v>
      </c>
      <c r="E30" s="14">
        <f t="shared" si="28"/>
        <v>124789.5473881155</v>
      </c>
      <c r="F30" s="14">
        <f t="shared" si="28"/>
        <v>332075.9115909363</v>
      </c>
      <c r="G30" s="13">
        <f t="shared" si="28"/>
        <v>1080372.8309056645</v>
      </c>
      <c r="H30" s="15">
        <f t="shared" si="28"/>
        <v>183549.58051404389</v>
      </c>
      <c r="I30" s="13">
        <f t="shared" si="28"/>
        <v>8259.7311231319763</v>
      </c>
      <c r="J30" s="16">
        <f t="shared" si="28"/>
        <v>152052.47249783401</v>
      </c>
      <c r="K30" s="15">
        <f t="shared" si="28"/>
        <v>263944.2967791952</v>
      </c>
      <c r="L30" s="14">
        <f t="shared" si="28"/>
        <v>249590.71958299697</v>
      </c>
      <c r="M30" s="13">
        <f t="shared" si="28"/>
        <v>212079.30364527684</v>
      </c>
      <c r="N30" s="151"/>
      <c r="O30" s="92">
        <v>1.0364568727977754E-2</v>
      </c>
      <c r="P30" s="258">
        <f t="shared" si="5"/>
        <v>0</v>
      </c>
      <c r="Q30" s="258">
        <f t="shared" si="1"/>
        <v>3174800.3457181617</v>
      </c>
      <c r="S30" s="151"/>
      <c r="T30" s="256"/>
    </row>
    <row r="31" spans="1:20" x14ac:dyDescent="0.2">
      <c r="A31" s="20">
        <v>3594</v>
      </c>
      <c r="B31" s="19" t="s">
        <v>47</v>
      </c>
      <c r="C31" s="58">
        <f t="shared" si="2"/>
        <v>15195653.523330133</v>
      </c>
      <c r="D31" s="15">
        <f t="shared" ref="D31:M31" si="29">D74/$C$86*$C$43</f>
        <v>3313069.9282784928</v>
      </c>
      <c r="E31" s="14">
        <f t="shared" si="29"/>
        <v>1272955.090220781</v>
      </c>
      <c r="F31" s="14">
        <f t="shared" si="29"/>
        <v>475153.78158950503</v>
      </c>
      <c r="G31" s="13">
        <f t="shared" si="29"/>
        <v>6283757.4820404761</v>
      </c>
      <c r="H31" s="15">
        <f t="shared" si="29"/>
        <v>185385.07631918439</v>
      </c>
      <c r="I31" s="13">
        <f t="shared" si="29"/>
        <v>23861.445466825709</v>
      </c>
      <c r="J31" s="16">
        <f t="shared" si="29"/>
        <v>841391.2770763773</v>
      </c>
      <c r="K31" s="15">
        <f t="shared" si="29"/>
        <v>1010489.3872846158</v>
      </c>
      <c r="L31" s="14">
        <f t="shared" si="29"/>
        <v>932083.12480836641</v>
      </c>
      <c r="M31" s="13">
        <f t="shared" si="29"/>
        <v>857506.93024551054</v>
      </c>
      <c r="N31" s="151"/>
      <c r="O31" s="92">
        <v>5.9972196847224775E-2</v>
      </c>
      <c r="P31" s="258">
        <f t="shared" si="5"/>
        <v>0</v>
      </c>
      <c r="Q31" s="258">
        <f t="shared" si="1"/>
        <v>15195653.523330133</v>
      </c>
      <c r="S31" s="151"/>
      <c r="T31" s="256"/>
    </row>
    <row r="32" spans="1:20" x14ac:dyDescent="0.2">
      <c r="A32" s="78">
        <v>113594</v>
      </c>
      <c r="B32" s="19" t="s">
        <v>46</v>
      </c>
      <c r="C32" s="58">
        <f t="shared" si="2"/>
        <v>1444903.5514325975</v>
      </c>
      <c r="D32" s="15">
        <f t="shared" ref="D32:M32" si="30">D75/$C$86*$C$43</f>
        <v>222186.76721225015</v>
      </c>
      <c r="E32" s="14">
        <f t="shared" si="30"/>
        <v>64156.429032537235</v>
      </c>
      <c r="F32" s="14">
        <f t="shared" si="30"/>
        <v>587091.58472797216</v>
      </c>
      <c r="G32" s="13">
        <f t="shared" si="30"/>
        <v>388680.92070492759</v>
      </c>
      <c r="H32" s="15">
        <f t="shared" si="30"/>
        <v>6607.7848985055807</v>
      </c>
      <c r="I32" s="13">
        <f t="shared" si="30"/>
        <v>0</v>
      </c>
      <c r="J32" s="16">
        <f t="shared" si="30"/>
        <v>67950.054706299052</v>
      </c>
      <c r="K32" s="15">
        <f t="shared" si="30"/>
        <v>87736.699485713005</v>
      </c>
      <c r="L32" s="14">
        <f t="shared" si="30"/>
        <v>17060.933508780385</v>
      </c>
      <c r="M32" s="13">
        <f t="shared" si="30"/>
        <v>3432.3771556126217</v>
      </c>
      <c r="N32" s="151"/>
      <c r="O32" s="92">
        <v>2.8602942419239919E-3</v>
      </c>
      <c r="P32" s="258">
        <f t="shared" si="5"/>
        <v>0</v>
      </c>
      <c r="Q32" s="258">
        <f t="shared" si="1"/>
        <v>1444903.5514325975</v>
      </c>
      <c r="S32" s="151"/>
      <c r="T32" s="256"/>
    </row>
    <row r="33" spans="1:20" x14ac:dyDescent="0.2">
      <c r="A33" s="20">
        <v>3624</v>
      </c>
      <c r="B33" s="19" t="s">
        <v>45</v>
      </c>
      <c r="C33" s="58">
        <f t="shared" si="2"/>
        <v>5601773.6602619225</v>
      </c>
      <c r="D33" s="15">
        <f t="shared" ref="D33:M33" si="31">D76/$C$86*$C$43</f>
        <v>1058163.3316634633</v>
      </c>
      <c r="E33" s="14">
        <f t="shared" si="31"/>
        <v>293111.2428707793</v>
      </c>
      <c r="F33" s="14">
        <f t="shared" si="31"/>
        <v>278869.78202704201</v>
      </c>
      <c r="G33" s="13">
        <f t="shared" si="31"/>
        <v>2049369.6118512095</v>
      </c>
      <c r="H33" s="15">
        <f t="shared" si="31"/>
        <v>136560.88790244865</v>
      </c>
      <c r="I33" s="13">
        <f t="shared" si="31"/>
        <v>24595.643788881884</v>
      </c>
      <c r="J33" s="16">
        <f t="shared" si="31"/>
        <v>321652.28489281057</v>
      </c>
      <c r="K33" s="15">
        <f t="shared" si="31"/>
        <v>508309.9716368923</v>
      </c>
      <c r="L33" s="14">
        <f t="shared" si="31"/>
        <v>495124.99343663349</v>
      </c>
      <c r="M33" s="13">
        <f t="shared" si="31"/>
        <v>436015.91019176092</v>
      </c>
      <c r="N33" s="151"/>
      <c r="O33" s="92">
        <v>2.3435865298122357E-2</v>
      </c>
      <c r="P33" s="258">
        <f t="shared" si="5"/>
        <v>0</v>
      </c>
      <c r="Q33" s="258">
        <f t="shared" si="1"/>
        <v>5601773.6602619225</v>
      </c>
      <c r="S33" s="151"/>
      <c r="T33" s="256"/>
    </row>
    <row r="34" spans="1:20" x14ac:dyDescent="0.2">
      <c r="A34" s="20">
        <v>3642</v>
      </c>
      <c r="B34" s="19" t="s">
        <v>44</v>
      </c>
      <c r="C34" s="58">
        <f t="shared" si="2"/>
        <v>2503427.8784833327</v>
      </c>
      <c r="D34" s="15">
        <f t="shared" ref="D34:M34" si="32">D77/$C$86*$C$43</f>
        <v>417575.29566944996</v>
      </c>
      <c r="E34" s="14">
        <f t="shared" si="32"/>
        <v>29995.825405588821</v>
      </c>
      <c r="F34" s="14">
        <f t="shared" si="32"/>
        <v>178047.87930388603</v>
      </c>
      <c r="G34" s="13">
        <f t="shared" si="32"/>
        <v>819725.0845925007</v>
      </c>
      <c r="H34" s="15">
        <f t="shared" si="32"/>
        <v>73970.480947159711</v>
      </c>
      <c r="I34" s="13">
        <f t="shared" si="32"/>
        <v>1651.9462246263952</v>
      </c>
      <c r="J34" s="16">
        <f t="shared" si="32"/>
        <v>146766.24457902953</v>
      </c>
      <c r="K34" s="15">
        <f t="shared" si="32"/>
        <v>300531.84649499459</v>
      </c>
      <c r="L34" s="14">
        <f t="shared" si="32"/>
        <v>270350.17713913531</v>
      </c>
      <c r="M34" s="13">
        <f t="shared" si="32"/>
        <v>264813.09812696162</v>
      </c>
      <c r="N34" s="151"/>
      <c r="O34" s="92">
        <v>1.3524899052819646E-2</v>
      </c>
      <c r="P34" s="258">
        <f t="shared" si="5"/>
        <v>0</v>
      </c>
      <c r="Q34" s="258">
        <f t="shared" si="1"/>
        <v>2503427.8784833327</v>
      </c>
      <c r="S34" s="151"/>
      <c r="T34" s="256"/>
    </row>
    <row r="35" spans="1:20" x14ac:dyDescent="0.2">
      <c r="A35" s="20">
        <v>3644</v>
      </c>
      <c r="B35" s="19" t="s">
        <v>43</v>
      </c>
      <c r="C35" s="58">
        <f t="shared" si="2"/>
        <v>13556415.3071026</v>
      </c>
      <c r="D35" s="15">
        <f t="shared" ref="D35:M35" si="33">D78/$C$86*$C$43</f>
        <v>2573732.2179679242</v>
      </c>
      <c r="E35" s="14">
        <f t="shared" si="33"/>
        <v>1255981.3223683471</v>
      </c>
      <c r="F35" s="14">
        <f t="shared" si="33"/>
        <v>386578.23410712631</v>
      </c>
      <c r="G35" s="13">
        <f t="shared" si="33"/>
        <v>5577032.8611957263</v>
      </c>
      <c r="H35" s="15">
        <f t="shared" si="33"/>
        <v>400505.18468164391</v>
      </c>
      <c r="I35" s="13">
        <f t="shared" si="33"/>
        <v>31570.527848415557</v>
      </c>
      <c r="J35" s="16">
        <f t="shared" si="33"/>
        <v>611880.88160161686</v>
      </c>
      <c r="K35" s="15">
        <f t="shared" si="33"/>
        <v>833266.14897895569</v>
      </c>
      <c r="L35" s="14">
        <f t="shared" si="33"/>
        <v>871952.28223196557</v>
      </c>
      <c r="M35" s="13">
        <f t="shared" si="33"/>
        <v>1013915.6461208778</v>
      </c>
      <c r="N35" s="151"/>
      <c r="O35" s="92">
        <v>6.3345925146063756E-2</v>
      </c>
      <c r="P35" s="258">
        <f t="shared" si="5"/>
        <v>0</v>
      </c>
      <c r="Q35" s="258">
        <f t="shared" si="1"/>
        <v>13556415.3071026</v>
      </c>
      <c r="S35" s="151"/>
      <c r="T35" s="256"/>
    </row>
    <row r="36" spans="1:20" x14ac:dyDescent="0.2">
      <c r="A36" s="20">
        <v>3541</v>
      </c>
      <c r="B36" s="19" t="s">
        <v>42</v>
      </c>
      <c r="C36" s="58">
        <f t="shared" si="2"/>
        <v>3072979.4694086555</v>
      </c>
      <c r="D36" s="15">
        <f t="shared" ref="D36:M36" si="34">D79/$C$86*$C$43</f>
        <v>545876.45244876668</v>
      </c>
      <c r="E36" s="14">
        <f t="shared" si="34"/>
        <v>117272.45786774336</v>
      </c>
      <c r="F36" s="14">
        <f t="shared" si="34"/>
        <v>279532.71352842264</v>
      </c>
      <c r="G36" s="13">
        <f t="shared" si="34"/>
        <v>1088825.289088337</v>
      </c>
      <c r="H36" s="15">
        <f t="shared" si="34"/>
        <v>140048.32993221551</v>
      </c>
      <c r="I36" s="13">
        <f t="shared" si="34"/>
        <v>10645.875669814548</v>
      </c>
      <c r="J36" s="16">
        <f t="shared" si="34"/>
        <v>159247.6160539845</v>
      </c>
      <c r="K36" s="15">
        <f t="shared" si="34"/>
        <v>264066.66316620458</v>
      </c>
      <c r="L36" s="14">
        <f t="shared" si="34"/>
        <v>246647.80797542181</v>
      </c>
      <c r="M36" s="13">
        <f t="shared" si="34"/>
        <v>220816.26367774533</v>
      </c>
      <c r="N36" s="151"/>
      <c r="O36" s="92">
        <v>1.2561069385453944E-2</v>
      </c>
      <c r="P36" s="258">
        <f t="shared" si="5"/>
        <v>0</v>
      </c>
      <c r="Q36" s="258">
        <f t="shared" si="1"/>
        <v>3072979.4694086555</v>
      </c>
      <c r="S36" s="151"/>
      <c r="T36" s="256"/>
    </row>
    <row r="37" spans="1:20" x14ac:dyDescent="0.2">
      <c r="A37" s="20">
        <v>3646</v>
      </c>
      <c r="B37" s="19" t="s">
        <v>41</v>
      </c>
      <c r="C37" s="58">
        <f t="shared" si="2"/>
        <v>5057879.3901176229</v>
      </c>
      <c r="D37" s="15">
        <f t="shared" ref="D37:M37" si="35">D80/$C$86*$C$43</f>
        <v>994471.62722508993</v>
      </c>
      <c r="E37" s="14">
        <f t="shared" si="35"/>
        <v>260385.82106176938</v>
      </c>
      <c r="F37" s="14">
        <f t="shared" si="35"/>
        <v>379198.80850203236</v>
      </c>
      <c r="G37" s="13">
        <f t="shared" si="35"/>
        <v>1900936.7370811112</v>
      </c>
      <c r="H37" s="15">
        <f t="shared" si="35"/>
        <v>313502.68351798702</v>
      </c>
      <c r="I37" s="13">
        <f t="shared" si="35"/>
        <v>17437.210148834176</v>
      </c>
      <c r="J37" s="16">
        <f t="shared" si="35"/>
        <v>274663.5922812153</v>
      </c>
      <c r="K37" s="15">
        <f t="shared" si="35"/>
        <v>403074.87880884053</v>
      </c>
      <c r="L37" s="14">
        <f t="shared" si="35"/>
        <v>308369.41358294425</v>
      </c>
      <c r="M37" s="13">
        <f t="shared" si="35"/>
        <v>205838.61790779931</v>
      </c>
      <c r="N37" s="151"/>
      <c r="O37" s="92">
        <v>1.8983457031793705E-2</v>
      </c>
      <c r="P37" s="258">
        <f t="shared" si="5"/>
        <v>0</v>
      </c>
      <c r="Q37" s="258">
        <f t="shared" si="1"/>
        <v>5057879.3901176229</v>
      </c>
      <c r="S37" s="151"/>
      <c r="T37" s="256"/>
    </row>
    <row r="38" spans="1:20" x14ac:dyDescent="0.2">
      <c r="A38" s="20">
        <v>3581</v>
      </c>
      <c r="B38" s="19" t="s">
        <v>40</v>
      </c>
      <c r="C38" s="58">
        <f t="shared" si="2"/>
        <v>4059658.5850111609</v>
      </c>
      <c r="D38" s="15">
        <f t="shared" ref="D38:M38" si="36">D81/$C$86*$C$43</f>
        <v>735299.61953925982</v>
      </c>
      <c r="E38" s="14">
        <f t="shared" si="36"/>
        <v>128799.98335596036</v>
      </c>
      <c r="F38" s="14">
        <f t="shared" si="36"/>
        <v>252677.96613751299</v>
      </c>
      <c r="G38" s="13">
        <f t="shared" si="36"/>
        <v>1478436.8061664787</v>
      </c>
      <c r="H38" s="15">
        <f t="shared" si="36"/>
        <v>181714.08470890351</v>
      </c>
      <c r="I38" s="13">
        <f t="shared" si="36"/>
        <v>9361.0286062162395</v>
      </c>
      <c r="J38" s="16">
        <f t="shared" si="36"/>
        <v>208952.84245718759</v>
      </c>
      <c r="K38" s="15">
        <f t="shared" si="36"/>
        <v>393652.66700911958</v>
      </c>
      <c r="L38" s="14">
        <f t="shared" si="36"/>
        <v>355296.92300103483</v>
      </c>
      <c r="M38" s="13">
        <f t="shared" si="36"/>
        <v>315466.66402948729</v>
      </c>
      <c r="N38" s="151"/>
      <c r="O38" s="92">
        <v>1.8519296567582645E-2</v>
      </c>
      <c r="P38" s="258">
        <f t="shared" si="5"/>
        <v>0</v>
      </c>
      <c r="Q38" s="258">
        <f t="shared" si="1"/>
        <v>4059658.5850111609</v>
      </c>
      <c r="S38" s="151"/>
      <c r="T38" s="256"/>
    </row>
    <row r="39" spans="1:20" x14ac:dyDescent="0.2">
      <c r="A39" s="20">
        <v>3606</v>
      </c>
      <c r="B39" s="19" t="s">
        <v>39</v>
      </c>
      <c r="C39" s="58">
        <f t="shared" si="2"/>
        <v>8328669.4212515801</v>
      </c>
      <c r="D39" s="15">
        <f t="shared" ref="D39:M39" si="37">D82/$C$86*$C$43</f>
        <v>1694713.2768861675</v>
      </c>
      <c r="E39" s="14">
        <f t="shared" si="37"/>
        <v>497115.89455327572</v>
      </c>
      <c r="F39" s="14">
        <f t="shared" si="37"/>
        <v>336937.20513228612</v>
      </c>
      <c r="G39" s="13">
        <f t="shared" si="37"/>
        <v>3214178.9207850089</v>
      </c>
      <c r="H39" s="15">
        <f t="shared" si="37"/>
        <v>91958.339837536012</v>
      </c>
      <c r="I39" s="13">
        <f t="shared" si="37"/>
        <v>33589.573234070042</v>
      </c>
      <c r="J39" s="16">
        <f t="shared" si="37"/>
        <v>487581.10567750625</v>
      </c>
      <c r="K39" s="15">
        <f t="shared" si="37"/>
        <v>714803.24971519178</v>
      </c>
      <c r="L39" s="14">
        <f t="shared" si="37"/>
        <v>707571.39624293847</v>
      </c>
      <c r="M39" s="13">
        <f t="shared" si="37"/>
        <v>550220.45918759902</v>
      </c>
      <c r="N39" s="151"/>
      <c r="O39" s="92">
        <v>3.2554270941238916E-2</v>
      </c>
      <c r="P39" s="258">
        <f t="shared" si="5"/>
        <v>0</v>
      </c>
      <c r="Q39" s="258">
        <f t="shared" si="1"/>
        <v>8328669.4212515801</v>
      </c>
      <c r="S39" s="151"/>
      <c r="T39" s="256"/>
    </row>
    <row r="40" spans="1:20" x14ac:dyDescent="0.2">
      <c r="A40" s="20">
        <v>3615</v>
      </c>
      <c r="B40" s="19" t="s">
        <v>95</v>
      </c>
      <c r="C40" s="58">
        <f t="shared" si="2"/>
        <v>14223926.060149498</v>
      </c>
      <c r="D40" s="15">
        <f t="shared" ref="D40:M40" si="38">D83/$C$86*$C$43</f>
        <v>2952027.9034073683</v>
      </c>
      <c r="E40" s="14">
        <f t="shared" si="38"/>
        <v>1245755.7752379095</v>
      </c>
      <c r="F40" s="14">
        <f t="shared" si="38"/>
        <v>429632.51195945247</v>
      </c>
      <c r="G40" s="13">
        <f t="shared" si="38"/>
        <v>5747291.6165847527</v>
      </c>
      <c r="H40" s="15">
        <f t="shared" si="38"/>
        <v>269083.68503358838</v>
      </c>
      <c r="I40" s="13">
        <f t="shared" si="38"/>
        <v>36709.916102808791</v>
      </c>
      <c r="J40" s="16">
        <f t="shared" si="38"/>
        <v>809527.06989913946</v>
      </c>
      <c r="K40" s="15">
        <f t="shared" si="38"/>
        <v>959823.58474338904</v>
      </c>
      <c r="L40" s="14">
        <f t="shared" si="38"/>
        <v>921620.79871906585</v>
      </c>
      <c r="M40" s="13">
        <f t="shared" si="38"/>
        <v>852453.19846202387</v>
      </c>
      <c r="N40" s="151"/>
      <c r="O40" s="92">
        <v>6.1387457427191858E-2</v>
      </c>
      <c r="P40" s="258">
        <f t="shared" si="5"/>
        <v>0</v>
      </c>
      <c r="Q40" s="258">
        <f t="shared" si="1"/>
        <v>14223926.060149498</v>
      </c>
      <c r="S40" s="151"/>
      <c r="T40" s="256"/>
    </row>
    <row r="41" spans="1:20" x14ac:dyDescent="0.2">
      <c r="A41" s="20">
        <v>3625</v>
      </c>
      <c r="B41" s="19" t="s">
        <v>38</v>
      </c>
      <c r="C41" s="58">
        <f t="shared" si="2"/>
        <v>739445.49532757723</v>
      </c>
      <c r="D41" s="15">
        <f t="shared" ref="D41:M41" si="39">D84/$C$86*$C$43</f>
        <v>104256.16173197696</v>
      </c>
      <c r="E41" s="14">
        <f t="shared" si="39"/>
        <v>15690.552340662529</v>
      </c>
      <c r="F41" s="14">
        <f t="shared" si="39"/>
        <v>213635.78431808911</v>
      </c>
      <c r="G41" s="13">
        <f t="shared" si="39"/>
        <v>217137.31825230864</v>
      </c>
      <c r="H41" s="15">
        <f t="shared" si="39"/>
        <v>6974.8840595336687</v>
      </c>
      <c r="I41" s="13">
        <f t="shared" si="39"/>
        <v>3487.4420297668344</v>
      </c>
      <c r="J41" s="16">
        <f t="shared" si="39"/>
        <v>35902.297948546991</v>
      </c>
      <c r="K41" s="15">
        <f t="shared" si="39"/>
        <v>55064.874154213176</v>
      </c>
      <c r="L41" s="14">
        <f t="shared" si="39"/>
        <v>46211.666054085792</v>
      </c>
      <c r="M41" s="13">
        <f t="shared" si="39"/>
        <v>41084.514438393504</v>
      </c>
      <c r="N41" s="151"/>
      <c r="O41" s="92">
        <v>2.5717361648878246E-3</v>
      </c>
      <c r="P41" s="258">
        <f t="shared" si="5"/>
        <v>0</v>
      </c>
      <c r="Q41" s="258">
        <f t="shared" si="1"/>
        <v>739445.49532757723</v>
      </c>
      <c r="S41" s="151"/>
      <c r="T41" s="256"/>
    </row>
    <row r="42" spans="1:20" x14ac:dyDescent="0.2">
      <c r="A42" s="20">
        <v>20</v>
      </c>
      <c r="B42" s="19" t="s">
        <v>37</v>
      </c>
      <c r="C42" s="77">
        <f t="shared" si="2"/>
        <v>864687.92552712397</v>
      </c>
      <c r="D42" s="15">
        <f t="shared" ref="D42:M42" si="40">D85/$C$86*$C$43</f>
        <v>89021.546549311301</v>
      </c>
      <c r="E42" s="14">
        <f t="shared" si="40"/>
        <v>14142.305191485124</v>
      </c>
      <c r="F42" s="14">
        <f t="shared" si="40"/>
        <v>503794.15397140308</v>
      </c>
      <c r="G42" s="13">
        <f t="shared" si="40"/>
        <v>153724.60917631682</v>
      </c>
      <c r="H42" s="15">
        <f t="shared" si="40"/>
        <v>3487.4420297668344</v>
      </c>
      <c r="I42" s="13">
        <f t="shared" si="40"/>
        <v>3120.3428687387468</v>
      </c>
      <c r="J42" s="16">
        <f t="shared" si="40"/>
        <v>31717.367512826793</v>
      </c>
      <c r="K42" s="15">
        <f t="shared" si="40"/>
        <v>42216.403518230101</v>
      </c>
      <c r="L42" s="14">
        <f t="shared" si="40"/>
        <v>22111.606132591827</v>
      </c>
      <c r="M42" s="13">
        <f t="shared" si="40"/>
        <v>1352.1485764534571</v>
      </c>
      <c r="N42" s="151"/>
      <c r="O42" s="92">
        <v>1.4792799135503695E-3</v>
      </c>
      <c r="P42" s="258">
        <f t="shared" si="5"/>
        <v>0</v>
      </c>
      <c r="Q42" s="258">
        <f t="shared" si="1"/>
        <v>864687.92552712397</v>
      </c>
      <c r="S42" s="151"/>
      <c r="T42" s="256"/>
    </row>
    <row r="43" spans="1:20" ht="13.5" thickBot="1" x14ac:dyDescent="0.25">
      <c r="A43" s="12"/>
      <c r="B43" s="11" t="s">
        <v>11</v>
      </c>
      <c r="C43" s="75">
        <f>Q43-P43</f>
        <v>230682736.00855207</v>
      </c>
      <c r="D43" s="75">
        <f t="shared" ref="D43:M43" si="41">SUM(D5:D42)</f>
        <v>43257955.612857044</v>
      </c>
      <c r="E43" s="74">
        <f t="shared" si="41"/>
        <v>18089868.690852601</v>
      </c>
      <c r="F43" s="74">
        <f t="shared" si="41"/>
        <v>15472375.419913106</v>
      </c>
      <c r="G43" s="73">
        <f t="shared" si="41"/>
        <v>87908555.734283507</v>
      </c>
      <c r="H43" s="75">
        <f t="shared" si="41"/>
        <v>7025666.1101425551</v>
      </c>
      <c r="I43" s="73">
        <f t="shared" si="41"/>
        <v>624619.22248929145</v>
      </c>
      <c r="J43" s="76">
        <f t="shared" si="41"/>
        <v>11481552.436617589</v>
      </c>
      <c r="K43" s="75">
        <f t="shared" si="41"/>
        <v>17141187.503700476</v>
      </c>
      <c r="L43" s="74">
        <f t="shared" si="41"/>
        <v>15730104.216103628</v>
      </c>
      <c r="M43" s="73">
        <f t="shared" si="41"/>
        <v>13950851.061592374</v>
      </c>
      <c r="N43" s="151"/>
      <c r="O43" s="248">
        <f>SUM(O5:O42)</f>
        <v>1.0000000000000002</v>
      </c>
      <c r="P43" s="257">
        <f>SUM(P5:P42)</f>
        <v>4317263.99144792</v>
      </c>
      <c r="Q43" s="259">
        <v>235000000</v>
      </c>
      <c r="S43" s="151"/>
      <c r="T43" s="256"/>
    </row>
    <row r="44" spans="1:20" x14ac:dyDescent="0.2">
      <c r="A44" s="72"/>
      <c r="C44" s="154"/>
      <c r="D44" s="155"/>
      <c r="E44" s="70"/>
      <c r="F44" s="70"/>
      <c r="G44" s="70"/>
      <c r="H44" s="70"/>
      <c r="I44" s="70"/>
      <c r="J44" s="70"/>
      <c r="K44" s="70"/>
      <c r="L44" s="70"/>
      <c r="M44" s="70"/>
      <c r="O44" s="249" t="s">
        <v>147</v>
      </c>
      <c r="P44" s="260">
        <v>5.0000000000000001E-3</v>
      </c>
    </row>
    <row r="45" spans="1:20" ht="13.5" thickBot="1" x14ac:dyDescent="0.25">
      <c r="A45" s="69" t="s">
        <v>76</v>
      </c>
      <c r="Q45" s="251"/>
      <c r="R45" s="251"/>
    </row>
    <row r="46" spans="1:20" ht="12.75" customHeight="1" outlineLevel="1" x14ac:dyDescent="0.2">
      <c r="A46" s="273" t="s">
        <v>24</v>
      </c>
      <c r="B46" s="275" t="s">
        <v>23</v>
      </c>
      <c r="C46" s="277" t="s">
        <v>36</v>
      </c>
      <c r="D46" s="279" t="s">
        <v>35</v>
      </c>
      <c r="E46" s="280"/>
      <c r="F46" s="280"/>
      <c r="G46" s="281"/>
      <c r="H46" s="282" t="s">
        <v>18</v>
      </c>
      <c r="I46" s="291" t="s">
        <v>17</v>
      </c>
      <c r="J46" s="293" t="s">
        <v>16</v>
      </c>
      <c r="K46" s="295" t="s">
        <v>34</v>
      </c>
      <c r="L46" s="296"/>
      <c r="M46" s="296"/>
    </row>
    <row r="47" spans="1:20" ht="51.75" outlineLevel="1" thickBot="1" x14ac:dyDescent="0.25">
      <c r="A47" s="274"/>
      <c r="B47" s="276"/>
      <c r="C47" s="278"/>
      <c r="D47" s="68"/>
      <c r="E47" s="67" t="s">
        <v>33</v>
      </c>
      <c r="F47" s="67" t="s">
        <v>32</v>
      </c>
      <c r="G47" s="152" t="s">
        <v>31</v>
      </c>
      <c r="H47" s="283"/>
      <c r="I47" s="292"/>
      <c r="J47" s="294"/>
      <c r="K47" s="44" t="s">
        <v>14</v>
      </c>
      <c r="L47" s="43" t="s">
        <v>13</v>
      </c>
      <c r="M47" s="42" t="s">
        <v>12</v>
      </c>
    </row>
    <row r="48" spans="1:20" outlineLevel="1" x14ac:dyDescent="0.2">
      <c r="A48" s="20">
        <f t="shared" ref="A48:B63" si="42">A5</f>
        <v>3656</v>
      </c>
      <c r="B48" s="19" t="str">
        <f t="shared" si="42"/>
        <v>UTA</v>
      </c>
      <c r="C48" s="58">
        <f t="shared" ref="C48:C85" si="43">SUM(D48:M48)</f>
        <v>7364.3098827804952</v>
      </c>
      <c r="D48" s="15">
        <f t="shared" ref="D48:M63" si="44">D90*D140</f>
        <v>1505.3999999999999</v>
      </c>
      <c r="E48" s="14">
        <f t="shared" si="44"/>
        <v>520.19933333333336</v>
      </c>
      <c r="F48" s="14">
        <f t="shared" si="44"/>
        <v>296.03788278048285</v>
      </c>
      <c r="G48" s="13">
        <f t="shared" si="44"/>
        <v>3125.5660000000134</v>
      </c>
      <c r="H48" s="36">
        <f t="shared" si="44"/>
        <v>459.4</v>
      </c>
      <c r="I48" s="35">
        <f t="shared" si="44"/>
        <v>10.5</v>
      </c>
      <c r="J48" s="34">
        <f t="shared" si="44"/>
        <v>373.91999999999996</v>
      </c>
      <c r="K48" s="36">
        <f t="shared" si="44"/>
        <v>478.54333333333335</v>
      </c>
      <c r="L48" s="59">
        <f t="shared" si="44"/>
        <v>345.03</v>
      </c>
      <c r="M48" s="35">
        <f t="shared" si="44"/>
        <v>249.71333333333337</v>
      </c>
    </row>
    <row r="49" spans="1:13" outlineLevel="1" x14ac:dyDescent="0.2">
      <c r="A49" s="20">
        <f t="shared" si="42"/>
        <v>3658</v>
      </c>
      <c r="B49" s="19" t="str">
        <f t="shared" si="42"/>
        <v>UT</v>
      </c>
      <c r="C49" s="58">
        <f t="shared" si="43"/>
        <v>10988.418734097499</v>
      </c>
      <c r="D49" s="15">
        <f t="shared" si="44"/>
        <v>1789.2666666666669</v>
      </c>
      <c r="E49" s="14">
        <f t="shared" si="44"/>
        <v>1854.1275833333336</v>
      </c>
      <c r="F49" s="14">
        <f t="shared" si="44"/>
        <v>331.22115076405845</v>
      </c>
      <c r="G49" s="13">
        <f t="shared" si="44"/>
        <v>3879.6700000001038</v>
      </c>
      <c r="H49" s="15">
        <f t="shared" si="44"/>
        <v>375.26666666666665</v>
      </c>
      <c r="I49" s="13">
        <f t="shared" si="44"/>
        <v>13.200000000000001</v>
      </c>
      <c r="J49" s="16">
        <f t="shared" si="44"/>
        <v>277.62666666666672</v>
      </c>
      <c r="K49" s="15">
        <f t="shared" si="44"/>
        <v>671.88333333333344</v>
      </c>
      <c r="L49" s="14">
        <f t="shared" si="44"/>
        <v>810.50999999999988</v>
      </c>
      <c r="M49" s="13">
        <f t="shared" si="44"/>
        <v>985.64666666666676</v>
      </c>
    </row>
    <row r="50" spans="1:13" outlineLevel="1" x14ac:dyDescent="0.2">
      <c r="A50" s="20">
        <f t="shared" si="42"/>
        <v>9741</v>
      </c>
      <c r="B50" s="19" t="str">
        <f t="shared" si="42"/>
        <v>UTD</v>
      </c>
      <c r="C50" s="58">
        <f t="shared" si="43"/>
        <v>3714.6010718330817</v>
      </c>
      <c r="D50" s="15">
        <f t="shared" si="44"/>
        <v>717.9</v>
      </c>
      <c r="E50" s="14">
        <f t="shared" si="44"/>
        <v>336.45580000000001</v>
      </c>
      <c r="F50" s="14">
        <f t="shared" si="44"/>
        <v>268.29760516638265</v>
      </c>
      <c r="G50" s="13">
        <f t="shared" si="44"/>
        <v>1530.3610000000317</v>
      </c>
      <c r="H50" s="15">
        <f t="shared" si="44"/>
        <v>126.5</v>
      </c>
      <c r="I50" s="13">
        <f t="shared" si="44"/>
        <v>9.6</v>
      </c>
      <c r="J50" s="16">
        <f t="shared" si="44"/>
        <v>158.36000000000001</v>
      </c>
      <c r="K50" s="15">
        <f t="shared" si="44"/>
        <v>232.05</v>
      </c>
      <c r="L50" s="14">
        <f t="shared" si="44"/>
        <v>192.09</v>
      </c>
      <c r="M50" s="13">
        <f t="shared" si="44"/>
        <v>142.98666666666668</v>
      </c>
    </row>
    <row r="51" spans="1:13" outlineLevel="1" x14ac:dyDescent="0.2">
      <c r="A51" s="20">
        <f t="shared" si="42"/>
        <v>3661</v>
      </c>
      <c r="B51" s="19" t="str">
        <f t="shared" si="42"/>
        <v>UTEP</v>
      </c>
      <c r="C51" s="58">
        <f t="shared" si="43"/>
        <v>4674.3446120269446</v>
      </c>
      <c r="D51" s="15">
        <f t="shared" si="44"/>
        <v>917.1</v>
      </c>
      <c r="E51" s="14">
        <f t="shared" si="44"/>
        <v>238.44599999999997</v>
      </c>
      <c r="F51" s="14">
        <f t="shared" si="44"/>
        <v>228.70894536023343</v>
      </c>
      <c r="G51" s="13">
        <f t="shared" si="44"/>
        <v>1889.4230000000439</v>
      </c>
      <c r="H51" s="15">
        <f t="shared" si="44"/>
        <v>196.5</v>
      </c>
      <c r="I51" s="13">
        <f t="shared" si="44"/>
        <v>27</v>
      </c>
      <c r="J51" s="16">
        <f t="shared" si="44"/>
        <v>295.72000000000003</v>
      </c>
      <c r="K51" s="15">
        <f t="shared" si="44"/>
        <v>305.38666666666671</v>
      </c>
      <c r="L51" s="14">
        <f t="shared" si="44"/>
        <v>302.21999999999997</v>
      </c>
      <c r="M51" s="13">
        <f t="shared" si="44"/>
        <v>273.84000000000003</v>
      </c>
    </row>
    <row r="52" spans="1:13" outlineLevel="1" x14ac:dyDescent="0.2">
      <c r="A52" s="20">
        <f t="shared" si="42"/>
        <v>3599</v>
      </c>
      <c r="B52" s="19" t="str">
        <f t="shared" si="42"/>
        <v>UTPA</v>
      </c>
      <c r="C52" s="58">
        <f t="shared" si="43"/>
        <v>4219.540678746268</v>
      </c>
      <c r="D52" s="15">
        <f t="shared" si="44"/>
        <v>774</v>
      </c>
      <c r="E52" s="14">
        <f t="shared" si="44"/>
        <v>166.797</v>
      </c>
      <c r="F52" s="14">
        <f t="shared" si="44"/>
        <v>153.69367874623376</v>
      </c>
      <c r="G52" s="13">
        <f t="shared" si="44"/>
        <v>1540.2500000000339</v>
      </c>
      <c r="H52" s="15">
        <f t="shared" si="44"/>
        <v>156.1</v>
      </c>
      <c r="I52" s="13">
        <f t="shared" si="44"/>
        <v>8.4</v>
      </c>
      <c r="J52" s="16">
        <f t="shared" si="44"/>
        <v>280.60000000000002</v>
      </c>
      <c r="K52" s="15">
        <f t="shared" si="44"/>
        <v>407.53333333333336</v>
      </c>
      <c r="L52" s="14">
        <f t="shared" si="44"/>
        <v>402.48</v>
      </c>
      <c r="M52" s="13">
        <f t="shared" si="44"/>
        <v>329.68666666666667</v>
      </c>
    </row>
    <row r="53" spans="1:13" outlineLevel="1" x14ac:dyDescent="0.2">
      <c r="A53" s="20">
        <f t="shared" si="42"/>
        <v>30646</v>
      </c>
      <c r="B53" s="19" t="str">
        <f t="shared" si="42"/>
        <v>UTB</v>
      </c>
      <c r="C53" s="58">
        <f t="shared" si="43"/>
        <v>1686.8929114424841</v>
      </c>
      <c r="D53" s="15">
        <f t="shared" si="44"/>
        <v>327.59999999999997</v>
      </c>
      <c r="E53" s="14">
        <f t="shared" si="44"/>
        <v>94.225638676953011</v>
      </c>
      <c r="F53" s="14">
        <f t="shared" si="44"/>
        <v>258.4592727655247</v>
      </c>
      <c r="G53" s="13">
        <f t="shared" si="44"/>
        <v>629.33800000000656</v>
      </c>
      <c r="H53" s="15">
        <f t="shared" si="44"/>
        <v>37.299999999999997</v>
      </c>
      <c r="I53" s="13">
        <f t="shared" si="44"/>
        <v>5.4999999999999991</v>
      </c>
      <c r="J53" s="16">
        <f t="shared" si="44"/>
        <v>112.39999999999999</v>
      </c>
      <c r="K53" s="15">
        <f t="shared" si="44"/>
        <v>132.63333333333333</v>
      </c>
      <c r="L53" s="14">
        <f t="shared" si="44"/>
        <v>72.323333333333338</v>
      </c>
      <c r="M53" s="13">
        <f t="shared" si="44"/>
        <v>17.113333333333337</v>
      </c>
    </row>
    <row r="54" spans="1:13" outlineLevel="1" x14ac:dyDescent="0.2">
      <c r="A54" s="20">
        <f t="shared" si="42"/>
        <v>9930</v>
      </c>
      <c r="B54" s="19" t="str">
        <f t="shared" si="42"/>
        <v>UTPB</v>
      </c>
      <c r="C54" s="58">
        <f t="shared" si="43"/>
        <v>908.21380982434596</v>
      </c>
      <c r="D54" s="15">
        <f t="shared" si="44"/>
        <v>160</v>
      </c>
      <c r="E54" s="14">
        <f t="shared" si="44"/>
        <v>35.520000000000003</v>
      </c>
      <c r="F54" s="14">
        <f t="shared" si="44"/>
        <v>173.43880982434507</v>
      </c>
      <c r="G54" s="13">
        <f t="shared" si="44"/>
        <v>300.45500000000112</v>
      </c>
      <c r="H54" s="15">
        <f t="shared" si="44"/>
        <v>12.4</v>
      </c>
      <c r="I54" s="13">
        <f t="shared" si="44"/>
        <v>3</v>
      </c>
      <c r="J54" s="16">
        <f t="shared" si="44"/>
        <v>47.879999999999995</v>
      </c>
      <c r="K54" s="15">
        <f t="shared" si="44"/>
        <v>78.566666666666663</v>
      </c>
      <c r="L54" s="14">
        <f t="shared" si="44"/>
        <v>63.916666666666671</v>
      </c>
      <c r="M54" s="13">
        <f t="shared" si="44"/>
        <v>33.036666666666669</v>
      </c>
    </row>
    <row r="55" spans="1:13" outlineLevel="1" x14ac:dyDescent="0.2">
      <c r="A55" s="20">
        <f t="shared" si="42"/>
        <v>10115</v>
      </c>
      <c r="B55" s="19" t="str">
        <f t="shared" si="42"/>
        <v>UTSA</v>
      </c>
      <c r="C55" s="58">
        <f t="shared" si="43"/>
        <v>6061.489563235873</v>
      </c>
      <c r="D55" s="15">
        <f t="shared" si="44"/>
        <v>1235.9000000000001</v>
      </c>
      <c r="E55" s="14">
        <f t="shared" si="44"/>
        <v>347.42522222222226</v>
      </c>
      <c r="F55" s="14">
        <f t="shared" si="44"/>
        <v>202.41034101368405</v>
      </c>
      <c r="G55" s="13">
        <f t="shared" si="44"/>
        <v>2524.2639999999669</v>
      </c>
      <c r="H55" s="15">
        <f t="shared" si="44"/>
        <v>117.6</v>
      </c>
      <c r="I55" s="13">
        <f t="shared" si="44"/>
        <v>14.899999999999999</v>
      </c>
      <c r="J55" s="16">
        <f t="shared" si="44"/>
        <v>374.84</v>
      </c>
      <c r="K55" s="15">
        <f t="shared" si="44"/>
        <v>476.67666666666673</v>
      </c>
      <c r="L55" s="14">
        <f t="shared" si="44"/>
        <v>401.28000000000003</v>
      </c>
      <c r="M55" s="13">
        <f t="shared" si="44"/>
        <v>366.19333333333333</v>
      </c>
    </row>
    <row r="56" spans="1:13" outlineLevel="1" x14ac:dyDescent="0.2">
      <c r="A56" s="20">
        <f t="shared" si="42"/>
        <v>11163</v>
      </c>
      <c r="B56" s="19" t="str">
        <f t="shared" si="42"/>
        <v>UTT</v>
      </c>
      <c r="C56" s="58">
        <f t="shared" si="43"/>
        <v>1932.7225538786424</v>
      </c>
      <c r="D56" s="15">
        <f t="shared" si="44"/>
        <v>357</v>
      </c>
      <c r="E56" s="14">
        <f t="shared" si="44"/>
        <v>92.046500000000009</v>
      </c>
      <c r="F56" s="14">
        <f t="shared" si="44"/>
        <v>219.4180538786392</v>
      </c>
      <c r="G56" s="13">
        <f t="shared" si="44"/>
        <v>708.79800000000307</v>
      </c>
      <c r="H56" s="15">
        <f t="shared" si="44"/>
        <v>113</v>
      </c>
      <c r="I56" s="13">
        <f t="shared" si="44"/>
        <v>4.2</v>
      </c>
      <c r="J56" s="16">
        <f t="shared" si="44"/>
        <v>113.08</v>
      </c>
      <c r="K56" s="15">
        <f t="shared" si="44"/>
        <v>143.63333333333333</v>
      </c>
      <c r="L56" s="14">
        <f t="shared" si="44"/>
        <v>115.7</v>
      </c>
      <c r="M56" s="13">
        <f t="shared" si="44"/>
        <v>65.846666666666664</v>
      </c>
    </row>
    <row r="57" spans="1:13" outlineLevel="1" x14ac:dyDescent="0.2">
      <c r="A57" s="20">
        <f t="shared" si="42"/>
        <v>3632</v>
      </c>
      <c r="B57" s="19" t="str">
        <f t="shared" si="42"/>
        <v>TAMU</v>
      </c>
      <c r="C57" s="58">
        <f t="shared" si="43"/>
        <v>11068.506859913339</v>
      </c>
      <c r="D57" s="15">
        <f t="shared" si="44"/>
        <v>1747.9333333333334</v>
      </c>
      <c r="E57" s="14">
        <f t="shared" si="44"/>
        <v>1836.7866111111107</v>
      </c>
      <c r="F57" s="14">
        <f t="shared" si="44"/>
        <v>315.5235821355335</v>
      </c>
      <c r="G57" s="13">
        <f t="shared" si="44"/>
        <v>4020.9633333333604</v>
      </c>
      <c r="H57" s="15">
        <f t="shared" si="44"/>
        <v>352.6</v>
      </c>
      <c r="I57" s="13">
        <f t="shared" si="44"/>
        <v>25.200000000000003</v>
      </c>
      <c r="J57" s="16">
        <f t="shared" si="44"/>
        <v>297.92000000000007</v>
      </c>
      <c r="K57" s="15">
        <f t="shared" si="44"/>
        <v>704.24666666666667</v>
      </c>
      <c r="L57" s="14">
        <f t="shared" si="44"/>
        <v>801.66</v>
      </c>
      <c r="M57" s="13">
        <f t="shared" si="44"/>
        <v>965.67333333333352</v>
      </c>
    </row>
    <row r="58" spans="1:13" outlineLevel="1" x14ac:dyDescent="0.2">
      <c r="A58" s="20">
        <f t="shared" si="42"/>
        <v>10298</v>
      </c>
      <c r="B58" s="19" t="str">
        <f t="shared" si="42"/>
        <v>TAMUG</v>
      </c>
      <c r="C58" s="58">
        <f t="shared" si="43"/>
        <v>922.89743786531028</v>
      </c>
      <c r="D58" s="15">
        <f t="shared" si="44"/>
        <v>123.89999999999998</v>
      </c>
      <c r="E58" s="14">
        <f t="shared" si="44"/>
        <v>38.863299999999995</v>
      </c>
      <c r="F58" s="14">
        <f t="shared" si="44"/>
        <v>184.49213786531129</v>
      </c>
      <c r="G58" s="13">
        <f t="shared" si="44"/>
        <v>316.81199999999899</v>
      </c>
      <c r="H58" s="15">
        <f t="shared" si="44"/>
        <v>16.8</v>
      </c>
      <c r="I58" s="13">
        <f t="shared" si="44"/>
        <v>0</v>
      </c>
      <c r="J58" s="16">
        <f t="shared" si="44"/>
        <v>28.439999999999998</v>
      </c>
      <c r="K58" s="15">
        <f t="shared" si="44"/>
        <v>88.850000000000023</v>
      </c>
      <c r="L58" s="14">
        <f t="shared" si="44"/>
        <v>62.010000000000005</v>
      </c>
      <c r="M58" s="13">
        <f t="shared" si="44"/>
        <v>62.730000000000004</v>
      </c>
    </row>
    <row r="59" spans="1:13" outlineLevel="1" x14ac:dyDescent="0.2">
      <c r="A59" s="20">
        <f t="shared" si="42"/>
        <v>3630</v>
      </c>
      <c r="B59" s="19" t="str">
        <f t="shared" si="42"/>
        <v>Prairie View</v>
      </c>
      <c r="C59" s="58">
        <f t="shared" si="43"/>
        <v>1741.8049101897293</v>
      </c>
      <c r="D59" s="15">
        <f t="shared" si="44"/>
        <v>280.89999999999998</v>
      </c>
      <c r="E59" s="14">
        <f t="shared" si="44"/>
        <v>52.200583333333327</v>
      </c>
      <c r="F59" s="14">
        <f t="shared" si="44"/>
        <v>118.67766018972654</v>
      </c>
      <c r="G59" s="13">
        <f t="shared" si="44"/>
        <v>621.87000000000273</v>
      </c>
      <c r="H59" s="15">
        <f t="shared" si="44"/>
        <v>94.7</v>
      </c>
      <c r="I59" s="13">
        <f t="shared" si="44"/>
        <v>2.9</v>
      </c>
      <c r="J59" s="16">
        <f t="shared" si="44"/>
        <v>96.32</v>
      </c>
      <c r="K59" s="15">
        <f t="shared" si="44"/>
        <v>166.8</v>
      </c>
      <c r="L59" s="14">
        <f t="shared" si="44"/>
        <v>153.53</v>
      </c>
      <c r="M59" s="13">
        <f t="shared" si="44"/>
        <v>153.90666666666669</v>
      </c>
    </row>
    <row r="60" spans="1:13" outlineLevel="1" x14ac:dyDescent="0.2">
      <c r="A60" s="20">
        <f t="shared" si="42"/>
        <v>3631</v>
      </c>
      <c r="B60" s="19" t="str">
        <f t="shared" si="42"/>
        <v>Tarleton</v>
      </c>
      <c r="C60" s="58">
        <f t="shared" si="43"/>
        <v>2448.7749914757837</v>
      </c>
      <c r="D60" s="15">
        <f t="shared" si="44"/>
        <v>463.59999999999997</v>
      </c>
      <c r="E60" s="14">
        <f t="shared" si="44"/>
        <v>110.80040000000001</v>
      </c>
      <c r="F60" s="14">
        <f t="shared" si="44"/>
        <v>184.19825814244246</v>
      </c>
      <c r="G60" s="13">
        <f t="shared" si="44"/>
        <v>936.76300000000788</v>
      </c>
      <c r="H60" s="15">
        <f t="shared" si="44"/>
        <v>60.9</v>
      </c>
      <c r="I60" s="13">
        <f t="shared" si="44"/>
        <v>14.299999999999999</v>
      </c>
      <c r="J60" s="16">
        <f t="shared" si="44"/>
        <v>143.4</v>
      </c>
      <c r="K60" s="15">
        <f t="shared" si="44"/>
        <v>215.43333333333337</v>
      </c>
      <c r="L60" s="14">
        <f t="shared" si="44"/>
        <v>172.72666666666669</v>
      </c>
      <c r="M60" s="13">
        <f t="shared" si="44"/>
        <v>146.65333333333334</v>
      </c>
    </row>
    <row r="61" spans="1:13" outlineLevel="1" x14ac:dyDescent="0.2">
      <c r="A61" s="27">
        <f t="shared" si="42"/>
        <v>103631</v>
      </c>
      <c r="B61" s="19" t="str">
        <f t="shared" si="42"/>
        <v>TAMUCT</v>
      </c>
      <c r="C61" s="58">
        <f t="shared" si="43"/>
        <v>1058.109771415054</v>
      </c>
      <c r="D61" s="15">
        <f t="shared" si="44"/>
        <v>138.1</v>
      </c>
      <c r="E61" s="14">
        <f t="shared" si="44"/>
        <v>33.005899999999997</v>
      </c>
      <c r="F61" s="14">
        <f t="shared" si="44"/>
        <v>506.90887141505431</v>
      </c>
      <c r="G61" s="13">
        <f t="shared" si="44"/>
        <v>256.08499999999975</v>
      </c>
      <c r="H61" s="15">
        <f t="shared" si="44"/>
        <v>12.2</v>
      </c>
      <c r="I61" s="13">
        <f t="shared" si="44"/>
        <v>0</v>
      </c>
      <c r="J61" s="16">
        <f t="shared" si="44"/>
        <v>39.24</v>
      </c>
      <c r="K61" s="15">
        <f t="shared" si="44"/>
        <v>49.5</v>
      </c>
      <c r="L61" s="14">
        <f t="shared" si="44"/>
        <v>17.29</v>
      </c>
      <c r="M61" s="13">
        <f t="shared" si="44"/>
        <v>5.78</v>
      </c>
    </row>
    <row r="62" spans="1:13" outlineLevel="1" x14ac:dyDescent="0.2">
      <c r="A62" s="20">
        <f t="shared" si="42"/>
        <v>11161</v>
      </c>
      <c r="B62" s="19" t="str">
        <f t="shared" si="42"/>
        <v>TAMUCC</v>
      </c>
      <c r="C62" s="58">
        <f t="shared" si="43"/>
        <v>2286.6315221378268</v>
      </c>
      <c r="D62" s="15">
        <f t="shared" si="44"/>
        <v>416.49999999999994</v>
      </c>
      <c r="E62" s="14">
        <f t="shared" si="44"/>
        <v>105.791</v>
      </c>
      <c r="F62" s="14">
        <f t="shared" si="44"/>
        <v>160.32385547115581</v>
      </c>
      <c r="G62" s="13">
        <f t="shared" si="44"/>
        <v>841.2600000000042</v>
      </c>
      <c r="H62" s="15">
        <f t="shared" si="44"/>
        <v>79.899999999999991</v>
      </c>
      <c r="I62" s="13">
        <f t="shared" si="44"/>
        <v>7.7</v>
      </c>
      <c r="J62" s="16">
        <f t="shared" si="44"/>
        <v>129.6</v>
      </c>
      <c r="K62" s="15">
        <f t="shared" si="44"/>
        <v>205.4</v>
      </c>
      <c r="L62" s="14">
        <f t="shared" si="44"/>
        <v>190.84</v>
      </c>
      <c r="M62" s="13">
        <f t="shared" si="44"/>
        <v>149.31666666666669</v>
      </c>
    </row>
    <row r="63" spans="1:13" outlineLevel="1" x14ac:dyDescent="0.2">
      <c r="A63" s="20">
        <f t="shared" si="42"/>
        <v>3639</v>
      </c>
      <c r="B63" s="19" t="str">
        <f t="shared" si="42"/>
        <v>TAMUK</v>
      </c>
      <c r="C63" s="58">
        <f t="shared" si="43"/>
        <v>1427.862160798124</v>
      </c>
      <c r="D63" s="15">
        <f t="shared" si="44"/>
        <v>228.49999999999997</v>
      </c>
      <c r="E63" s="14">
        <f t="shared" si="44"/>
        <v>45.96658333333334</v>
      </c>
      <c r="F63" s="14">
        <f t="shared" si="44"/>
        <v>134.09624413145539</v>
      </c>
      <c r="G63" s="13">
        <f t="shared" si="44"/>
        <v>529.03600000000188</v>
      </c>
      <c r="H63" s="15">
        <f t="shared" si="44"/>
        <v>78</v>
      </c>
      <c r="I63" s="13">
        <f t="shared" si="44"/>
        <v>5</v>
      </c>
      <c r="J63" s="16">
        <f t="shared" si="44"/>
        <v>77.8</v>
      </c>
      <c r="K63" s="15">
        <f t="shared" si="44"/>
        <v>122.73333333333333</v>
      </c>
      <c r="L63" s="14">
        <f t="shared" si="44"/>
        <v>111.75666666666666</v>
      </c>
      <c r="M63" s="13">
        <f t="shared" si="44"/>
        <v>94.973333333333329</v>
      </c>
    </row>
    <row r="64" spans="1:13" outlineLevel="1" x14ac:dyDescent="0.2">
      <c r="A64" s="27">
        <f t="shared" ref="A64:B79" si="45">A21</f>
        <v>103639</v>
      </c>
      <c r="B64" s="19" t="str">
        <f t="shared" si="45"/>
        <v>TAMUSA</v>
      </c>
      <c r="C64" s="58">
        <f t="shared" si="43"/>
        <v>975.97178530694998</v>
      </c>
      <c r="D64" s="15">
        <f t="shared" ref="D64:M79" si="46">D106*D156</f>
        <v>176.29999999999998</v>
      </c>
      <c r="E64" s="14">
        <f t="shared" si="46"/>
        <v>35.465683333333331</v>
      </c>
      <c r="F64" s="14">
        <f t="shared" si="46"/>
        <v>311.98876864028188</v>
      </c>
      <c r="G64" s="13">
        <f t="shared" si="46"/>
        <v>307.80400000000134</v>
      </c>
      <c r="H64" s="15">
        <f t="shared" si="46"/>
        <v>1.5</v>
      </c>
      <c r="I64" s="13">
        <f t="shared" si="46"/>
        <v>0.6</v>
      </c>
      <c r="J64" s="16">
        <f t="shared" si="46"/>
        <v>58.839999999999996</v>
      </c>
      <c r="K64" s="15">
        <f t="shared" si="46"/>
        <v>72.966666666666669</v>
      </c>
      <c r="L64" s="14">
        <f t="shared" si="46"/>
        <v>10.053333333333333</v>
      </c>
      <c r="M64" s="13">
        <f t="shared" si="46"/>
        <v>0.45333333333333337</v>
      </c>
    </row>
    <row r="65" spans="1:13" outlineLevel="1" x14ac:dyDescent="0.2">
      <c r="A65" s="20">
        <f t="shared" si="45"/>
        <v>9651</v>
      </c>
      <c r="B65" s="19" t="str">
        <f t="shared" si="45"/>
        <v>TAMI</v>
      </c>
      <c r="C65" s="58">
        <f t="shared" si="43"/>
        <v>1355.6081576113575</v>
      </c>
      <c r="D65" s="15">
        <f t="shared" si="46"/>
        <v>236.89999999999998</v>
      </c>
      <c r="E65" s="14">
        <f t="shared" si="46"/>
        <v>56.066333333333326</v>
      </c>
      <c r="F65" s="14">
        <f t="shared" si="46"/>
        <v>144.94615761135586</v>
      </c>
      <c r="G65" s="13">
        <f t="shared" si="46"/>
        <v>437.54900000000151</v>
      </c>
      <c r="H65" s="15">
        <f t="shared" si="46"/>
        <v>34.700000000000003</v>
      </c>
      <c r="I65" s="13">
        <f t="shared" si="46"/>
        <v>6.6999999999999993</v>
      </c>
      <c r="J65" s="16">
        <f t="shared" si="46"/>
        <v>85.52</v>
      </c>
      <c r="K65" s="15">
        <f t="shared" si="46"/>
        <v>140.66666666666669</v>
      </c>
      <c r="L65" s="14">
        <f t="shared" si="46"/>
        <v>132.03666666666666</v>
      </c>
      <c r="M65" s="13">
        <f t="shared" si="46"/>
        <v>80.523333333333341</v>
      </c>
    </row>
    <row r="66" spans="1:13" outlineLevel="1" x14ac:dyDescent="0.2">
      <c r="A66" s="20">
        <f t="shared" si="45"/>
        <v>3665</v>
      </c>
      <c r="B66" s="19" t="str">
        <f t="shared" si="45"/>
        <v>WTAMU</v>
      </c>
      <c r="C66" s="58">
        <f t="shared" si="43"/>
        <v>2021.9909805719185</v>
      </c>
      <c r="D66" s="15">
        <f t="shared" si="46"/>
        <v>376.7</v>
      </c>
      <c r="E66" s="14">
        <f t="shared" si="46"/>
        <v>88.65006666666666</v>
      </c>
      <c r="F66" s="14">
        <f t="shared" si="46"/>
        <v>173.90791390524652</v>
      </c>
      <c r="G66" s="13">
        <f t="shared" si="46"/>
        <v>751.07300000000509</v>
      </c>
      <c r="H66" s="15">
        <f t="shared" si="46"/>
        <v>57.499999999999993</v>
      </c>
      <c r="I66" s="13">
        <f t="shared" si="46"/>
        <v>18.2</v>
      </c>
      <c r="J66" s="16">
        <f t="shared" si="46"/>
        <v>106.72</v>
      </c>
      <c r="K66" s="15">
        <f t="shared" si="46"/>
        <v>179.16666666666669</v>
      </c>
      <c r="L66" s="14">
        <f t="shared" si="46"/>
        <v>157.64666666666668</v>
      </c>
      <c r="M66" s="13">
        <f t="shared" si="46"/>
        <v>112.42666666666668</v>
      </c>
    </row>
    <row r="67" spans="1:13" outlineLevel="1" x14ac:dyDescent="0.2">
      <c r="A67" s="20">
        <f t="shared" si="45"/>
        <v>3565</v>
      </c>
      <c r="B67" s="19" t="str">
        <f t="shared" si="45"/>
        <v>TAMUC</v>
      </c>
      <c r="C67" s="58">
        <f t="shared" si="43"/>
        <v>2027.2897652201962</v>
      </c>
      <c r="D67" s="15">
        <f t="shared" si="46"/>
        <v>397.29999999999995</v>
      </c>
      <c r="E67" s="14">
        <f t="shared" si="46"/>
        <v>87.405999999999992</v>
      </c>
      <c r="F67" s="14">
        <f t="shared" si="46"/>
        <v>211.46576522018887</v>
      </c>
      <c r="G67" s="13">
        <f t="shared" si="46"/>
        <v>750.54800000000739</v>
      </c>
      <c r="H67" s="15">
        <f t="shared" si="46"/>
        <v>21.9</v>
      </c>
      <c r="I67" s="13">
        <f t="shared" si="46"/>
        <v>22.299999999999997</v>
      </c>
      <c r="J67" s="16">
        <f t="shared" si="46"/>
        <v>122.32</v>
      </c>
      <c r="K67" s="15">
        <f t="shared" si="46"/>
        <v>189.3</v>
      </c>
      <c r="L67" s="14">
        <f t="shared" si="46"/>
        <v>147.85333333333332</v>
      </c>
      <c r="M67" s="13">
        <f t="shared" si="46"/>
        <v>76.896666666666675</v>
      </c>
    </row>
    <row r="68" spans="1:13" outlineLevel="1" x14ac:dyDescent="0.2">
      <c r="A68" s="20">
        <f t="shared" si="45"/>
        <v>29269</v>
      </c>
      <c r="B68" s="19" t="str">
        <f t="shared" si="45"/>
        <v>TAMUT</v>
      </c>
      <c r="C68" s="58">
        <f t="shared" si="43"/>
        <v>722.41470293342684</v>
      </c>
      <c r="D68" s="15">
        <f t="shared" si="46"/>
        <v>103.7</v>
      </c>
      <c r="E68" s="14">
        <f t="shared" si="46"/>
        <v>28.104039382025626</v>
      </c>
      <c r="F68" s="14">
        <f t="shared" si="46"/>
        <v>290.74766355140184</v>
      </c>
      <c r="G68" s="13">
        <f t="shared" si="46"/>
        <v>185.97299999999947</v>
      </c>
      <c r="H68" s="15">
        <f t="shared" si="46"/>
        <v>12.499999999999998</v>
      </c>
      <c r="I68" s="13">
        <f t="shared" si="46"/>
        <v>5.8</v>
      </c>
      <c r="J68" s="16">
        <f t="shared" si="46"/>
        <v>28.68</v>
      </c>
      <c r="K68" s="15">
        <f t="shared" si="46"/>
        <v>43.266666666666673</v>
      </c>
      <c r="L68" s="14">
        <f t="shared" si="46"/>
        <v>23.53</v>
      </c>
      <c r="M68" s="13">
        <f t="shared" si="46"/>
        <v>0.11333333333333334</v>
      </c>
    </row>
    <row r="69" spans="1:13" outlineLevel="1" x14ac:dyDescent="0.2">
      <c r="A69" s="20">
        <f t="shared" si="45"/>
        <v>3652</v>
      </c>
      <c r="B69" s="19" t="str">
        <f t="shared" si="45"/>
        <v>UH</v>
      </c>
      <c r="C69" s="58">
        <f t="shared" si="43"/>
        <v>7616.8214745578271</v>
      </c>
      <c r="D69" s="15">
        <f t="shared" si="46"/>
        <v>1529.6000000000001</v>
      </c>
      <c r="E69" s="14">
        <f t="shared" si="46"/>
        <v>546.91697777777779</v>
      </c>
      <c r="F69" s="14">
        <f t="shared" si="46"/>
        <v>214.25049678026627</v>
      </c>
      <c r="G69" s="13">
        <f t="shared" si="46"/>
        <v>3174.0739999997832</v>
      </c>
      <c r="H69" s="15">
        <f t="shared" si="46"/>
        <v>221.1</v>
      </c>
      <c r="I69" s="13">
        <f t="shared" si="46"/>
        <v>18.799999999999997</v>
      </c>
      <c r="J69" s="16">
        <f t="shared" si="46"/>
        <v>404.76</v>
      </c>
      <c r="K69" s="15">
        <f t="shared" si="46"/>
        <v>532.16333333333341</v>
      </c>
      <c r="L69" s="14">
        <f t="shared" si="46"/>
        <v>512.13</v>
      </c>
      <c r="M69" s="13">
        <f t="shared" si="46"/>
        <v>463.02666666666676</v>
      </c>
    </row>
    <row r="70" spans="1:13" outlineLevel="1" x14ac:dyDescent="0.2">
      <c r="A70" s="20">
        <f t="shared" si="45"/>
        <v>11711</v>
      </c>
      <c r="B70" s="19" t="str">
        <f t="shared" si="45"/>
        <v>UHCL</v>
      </c>
      <c r="C70" s="58">
        <f t="shared" si="43"/>
        <v>1832.9093517645786</v>
      </c>
      <c r="D70" s="15">
        <f t="shared" si="46"/>
        <v>357.2</v>
      </c>
      <c r="E70" s="14">
        <f t="shared" si="46"/>
        <v>92.901401903848253</v>
      </c>
      <c r="F70" s="14">
        <f t="shared" si="46"/>
        <v>297.70194986072426</v>
      </c>
      <c r="G70" s="13">
        <f t="shared" si="46"/>
        <v>684.88600000000588</v>
      </c>
      <c r="H70" s="15">
        <f t="shared" si="46"/>
        <v>32</v>
      </c>
      <c r="I70" s="13">
        <f t="shared" si="46"/>
        <v>2.5</v>
      </c>
      <c r="J70" s="16">
        <f t="shared" si="46"/>
        <v>92.92</v>
      </c>
      <c r="K70" s="15">
        <f t="shared" si="46"/>
        <v>139.13333333333333</v>
      </c>
      <c r="L70" s="14">
        <f t="shared" si="46"/>
        <v>123.97666666666666</v>
      </c>
      <c r="M70" s="13">
        <f t="shared" si="46"/>
        <v>9.6900000000000013</v>
      </c>
    </row>
    <row r="71" spans="1:13" outlineLevel="1" x14ac:dyDescent="0.2">
      <c r="A71" s="20">
        <f t="shared" si="45"/>
        <v>12826</v>
      </c>
      <c r="B71" s="19" t="str">
        <f t="shared" si="45"/>
        <v>UHD</v>
      </c>
      <c r="C71" s="58">
        <f t="shared" si="43"/>
        <v>3185.0692389731621</v>
      </c>
      <c r="D71" s="15">
        <f t="shared" si="46"/>
        <v>714.7</v>
      </c>
      <c r="E71" s="14">
        <f t="shared" si="46"/>
        <v>67.896500000000017</v>
      </c>
      <c r="F71" s="14">
        <f t="shared" si="46"/>
        <v>223.747738973146</v>
      </c>
      <c r="G71" s="13">
        <f t="shared" si="46"/>
        <v>1281.3950000000164</v>
      </c>
      <c r="H71" s="15">
        <f t="shared" si="46"/>
        <v>38.9</v>
      </c>
      <c r="I71" s="13">
        <f t="shared" si="46"/>
        <v>0.5</v>
      </c>
      <c r="J71" s="16">
        <f t="shared" si="46"/>
        <v>201.72</v>
      </c>
      <c r="K71" s="15">
        <f t="shared" si="46"/>
        <v>310.53333333333336</v>
      </c>
      <c r="L71" s="14">
        <f t="shared" si="46"/>
        <v>242.88333333333333</v>
      </c>
      <c r="M71" s="13">
        <f t="shared" si="46"/>
        <v>102.79333333333334</v>
      </c>
    </row>
    <row r="72" spans="1:13" outlineLevel="1" x14ac:dyDescent="0.2">
      <c r="A72" s="20">
        <f t="shared" si="45"/>
        <v>13231</v>
      </c>
      <c r="B72" s="19" t="str">
        <f t="shared" si="45"/>
        <v>UHV</v>
      </c>
      <c r="C72" s="58">
        <f t="shared" si="43"/>
        <v>1035.9448527859377</v>
      </c>
      <c r="D72" s="15">
        <f t="shared" si="46"/>
        <v>172.99999999999997</v>
      </c>
      <c r="E72" s="14">
        <f t="shared" si="46"/>
        <v>45.029319425829101</v>
      </c>
      <c r="F72" s="14">
        <f t="shared" si="46"/>
        <v>300.63486669344121</v>
      </c>
      <c r="G72" s="13">
        <f t="shared" si="46"/>
        <v>325.34400000000034</v>
      </c>
      <c r="H72" s="15">
        <f t="shared" si="46"/>
        <v>32.4</v>
      </c>
      <c r="I72" s="13">
        <f t="shared" si="46"/>
        <v>2.1999999999999997</v>
      </c>
      <c r="J72" s="16">
        <f t="shared" si="46"/>
        <v>46.08</v>
      </c>
      <c r="K72" s="15">
        <f t="shared" si="46"/>
        <v>71.600000000000009</v>
      </c>
      <c r="L72" s="14">
        <f t="shared" si="46"/>
        <v>38.523333333333333</v>
      </c>
      <c r="M72" s="13">
        <f t="shared" si="46"/>
        <v>1.1333333333333335</v>
      </c>
    </row>
    <row r="73" spans="1:13" outlineLevel="1" x14ac:dyDescent="0.2">
      <c r="A73" s="20">
        <f t="shared" si="45"/>
        <v>3592</v>
      </c>
      <c r="B73" s="19" t="str">
        <f t="shared" si="45"/>
        <v>Midwestern</v>
      </c>
      <c r="C73" s="58">
        <f t="shared" si="43"/>
        <v>1729.6690827769271</v>
      </c>
      <c r="D73" s="15">
        <f t="shared" si="46"/>
        <v>309.5</v>
      </c>
      <c r="E73" s="14">
        <f t="shared" si="46"/>
        <v>67.986833333333323</v>
      </c>
      <c r="F73" s="14">
        <f t="shared" si="46"/>
        <v>180.91891611025949</v>
      </c>
      <c r="G73" s="13">
        <f t="shared" si="46"/>
        <v>588.60000000000105</v>
      </c>
      <c r="H73" s="15">
        <f t="shared" si="46"/>
        <v>99.999999999999986</v>
      </c>
      <c r="I73" s="13">
        <f t="shared" si="46"/>
        <v>4.5</v>
      </c>
      <c r="J73" s="16">
        <f t="shared" si="46"/>
        <v>82.84</v>
      </c>
      <c r="K73" s="15">
        <f t="shared" si="46"/>
        <v>143.80000000000001</v>
      </c>
      <c r="L73" s="14">
        <f t="shared" si="46"/>
        <v>135.98000000000002</v>
      </c>
      <c r="M73" s="13">
        <f t="shared" si="46"/>
        <v>115.54333333333334</v>
      </c>
    </row>
    <row r="74" spans="1:13" outlineLevel="1" x14ac:dyDescent="0.2">
      <c r="A74" s="20">
        <f t="shared" si="45"/>
        <v>3594</v>
      </c>
      <c r="B74" s="19" t="str">
        <f t="shared" si="45"/>
        <v>UNT</v>
      </c>
      <c r="C74" s="58">
        <f t="shared" si="43"/>
        <v>8278.7732234383784</v>
      </c>
      <c r="D74" s="15">
        <f t="shared" si="46"/>
        <v>1805</v>
      </c>
      <c r="E74" s="14">
        <f t="shared" si="46"/>
        <v>693.52111111111117</v>
      </c>
      <c r="F74" s="14">
        <f t="shared" si="46"/>
        <v>258.86944566084128</v>
      </c>
      <c r="G74" s="13">
        <f t="shared" si="46"/>
        <v>3423.4659999997589</v>
      </c>
      <c r="H74" s="15">
        <f t="shared" si="46"/>
        <v>101</v>
      </c>
      <c r="I74" s="13">
        <f t="shared" si="46"/>
        <v>13</v>
      </c>
      <c r="J74" s="16">
        <f t="shared" si="46"/>
        <v>458.4</v>
      </c>
      <c r="K74" s="15">
        <f t="shared" si="46"/>
        <v>550.52666666666676</v>
      </c>
      <c r="L74" s="14">
        <f t="shared" si="46"/>
        <v>507.80999999999995</v>
      </c>
      <c r="M74" s="13">
        <f t="shared" si="46"/>
        <v>467.18000000000006</v>
      </c>
    </row>
    <row r="75" spans="1:13" outlineLevel="1" x14ac:dyDescent="0.2">
      <c r="A75" s="27">
        <f t="shared" si="45"/>
        <v>113594</v>
      </c>
      <c r="B75" s="19" t="str">
        <f t="shared" si="45"/>
        <v>UNTD</v>
      </c>
      <c r="C75" s="58">
        <f t="shared" si="43"/>
        <v>787.20068299041611</v>
      </c>
      <c r="D75" s="15">
        <f t="shared" si="46"/>
        <v>121.05</v>
      </c>
      <c r="E75" s="14">
        <f t="shared" si="46"/>
        <v>34.953187499999999</v>
      </c>
      <c r="F75" s="14">
        <f t="shared" si="46"/>
        <v>319.85449549041709</v>
      </c>
      <c r="G75" s="13">
        <f t="shared" si="46"/>
        <v>211.75799999999916</v>
      </c>
      <c r="H75" s="15">
        <f t="shared" si="46"/>
        <v>3.5999999999999996</v>
      </c>
      <c r="I75" s="13">
        <f t="shared" si="46"/>
        <v>0</v>
      </c>
      <c r="J75" s="16">
        <f t="shared" si="46"/>
        <v>37.019999999999996</v>
      </c>
      <c r="K75" s="15">
        <f t="shared" si="46"/>
        <v>47.800000000000004</v>
      </c>
      <c r="L75" s="14">
        <f t="shared" si="46"/>
        <v>9.2949999999999999</v>
      </c>
      <c r="M75" s="13">
        <f t="shared" si="46"/>
        <v>1.87</v>
      </c>
    </row>
    <row r="76" spans="1:13" outlineLevel="1" x14ac:dyDescent="0.2">
      <c r="A76" s="20">
        <f t="shared" si="45"/>
        <v>3624</v>
      </c>
      <c r="B76" s="19" t="str">
        <f t="shared" si="45"/>
        <v>SFA</v>
      </c>
      <c r="C76" s="58">
        <f t="shared" si="43"/>
        <v>3051.9130823256301</v>
      </c>
      <c r="D76" s="15">
        <f t="shared" si="46"/>
        <v>576.5</v>
      </c>
      <c r="E76" s="14">
        <f t="shared" si="46"/>
        <v>159.69049999999999</v>
      </c>
      <c r="F76" s="14">
        <f t="shared" si="46"/>
        <v>151.93158232562936</v>
      </c>
      <c r="G76" s="13">
        <f t="shared" si="46"/>
        <v>1116.5210000000006</v>
      </c>
      <c r="H76" s="15">
        <f t="shared" si="46"/>
        <v>74.399999999999991</v>
      </c>
      <c r="I76" s="13">
        <f t="shared" si="46"/>
        <v>13.399999999999999</v>
      </c>
      <c r="J76" s="16">
        <f t="shared" si="46"/>
        <v>175.23999999999998</v>
      </c>
      <c r="K76" s="15">
        <f t="shared" si="46"/>
        <v>276.93333333333334</v>
      </c>
      <c r="L76" s="14">
        <f t="shared" si="46"/>
        <v>269.75</v>
      </c>
      <c r="M76" s="13">
        <f t="shared" si="46"/>
        <v>237.54666666666668</v>
      </c>
    </row>
    <row r="77" spans="1:13" outlineLevel="1" x14ac:dyDescent="0.2">
      <c r="A77" s="20">
        <f t="shared" si="45"/>
        <v>3642</v>
      </c>
      <c r="B77" s="19" t="str">
        <f t="shared" si="45"/>
        <v>TSU</v>
      </c>
      <c r="C77" s="58">
        <f t="shared" si="43"/>
        <v>1363.897357581696</v>
      </c>
      <c r="D77" s="15">
        <f t="shared" si="46"/>
        <v>227.5</v>
      </c>
      <c r="E77" s="14">
        <f t="shared" si="46"/>
        <v>16.342083333333331</v>
      </c>
      <c r="F77" s="14">
        <f t="shared" si="46"/>
        <v>97.002607581695372</v>
      </c>
      <c r="G77" s="13">
        <f t="shared" si="46"/>
        <v>446.59600000000057</v>
      </c>
      <c r="H77" s="15">
        <f t="shared" si="46"/>
        <v>40.300000000000004</v>
      </c>
      <c r="I77" s="13">
        <f t="shared" si="46"/>
        <v>0.89999999999999991</v>
      </c>
      <c r="J77" s="16">
        <f t="shared" si="46"/>
        <v>79.960000000000008</v>
      </c>
      <c r="K77" s="15">
        <f t="shared" si="46"/>
        <v>163.73333333333335</v>
      </c>
      <c r="L77" s="14">
        <f t="shared" si="46"/>
        <v>147.29</v>
      </c>
      <c r="M77" s="13">
        <f t="shared" si="46"/>
        <v>144.27333333333334</v>
      </c>
    </row>
    <row r="78" spans="1:13" outlineLevel="1" x14ac:dyDescent="0.2">
      <c r="A78" s="20">
        <f t="shared" si="45"/>
        <v>3644</v>
      </c>
      <c r="B78" s="19" t="str">
        <f t="shared" si="45"/>
        <v>TTU</v>
      </c>
      <c r="C78" s="58">
        <f t="shared" si="43"/>
        <v>7385.6966979368044</v>
      </c>
      <c r="D78" s="15">
        <f t="shared" si="46"/>
        <v>1402.2</v>
      </c>
      <c r="E78" s="14">
        <f t="shared" si="46"/>
        <v>684.27359999999999</v>
      </c>
      <c r="F78" s="14">
        <f t="shared" si="46"/>
        <v>210.61243127033356</v>
      </c>
      <c r="G78" s="13">
        <f t="shared" si="46"/>
        <v>3038.4339999998042</v>
      </c>
      <c r="H78" s="15">
        <f t="shared" si="46"/>
        <v>218.20000000000002</v>
      </c>
      <c r="I78" s="13">
        <f t="shared" si="46"/>
        <v>17.2</v>
      </c>
      <c r="J78" s="16">
        <f t="shared" si="46"/>
        <v>333.36</v>
      </c>
      <c r="K78" s="15">
        <f t="shared" si="46"/>
        <v>453.97333333333336</v>
      </c>
      <c r="L78" s="14">
        <f t="shared" si="46"/>
        <v>475.04999999999995</v>
      </c>
      <c r="M78" s="13">
        <f t="shared" si="46"/>
        <v>552.39333333333332</v>
      </c>
    </row>
    <row r="79" spans="1:13" outlineLevel="1" x14ac:dyDescent="0.2">
      <c r="A79" s="20">
        <f t="shared" si="45"/>
        <v>3541</v>
      </c>
      <c r="B79" s="19" t="str">
        <f t="shared" si="45"/>
        <v>Angelo</v>
      </c>
      <c r="C79" s="58">
        <f t="shared" si="43"/>
        <v>1674.1958553119837</v>
      </c>
      <c r="D79" s="15">
        <f t="shared" si="46"/>
        <v>297.39999999999998</v>
      </c>
      <c r="E79" s="14">
        <f t="shared" si="46"/>
        <v>63.891433333333332</v>
      </c>
      <c r="F79" s="14">
        <f t="shared" si="46"/>
        <v>152.29275531198221</v>
      </c>
      <c r="G79" s="13">
        <f t="shared" si="46"/>
        <v>593.20500000000152</v>
      </c>
      <c r="H79" s="15">
        <f t="shared" si="46"/>
        <v>76.3</v>
      </c>
      <c r="I79" s="13">
        <f t="shared" si="46"/>
        <v>5.8</v>
      </c>
      <c r="J79" s="16">
        <f t="shared" si="46"/>
        <v>86.759999999999991</v>
      </c>
      <c r="K79" s="15">
        <f t="shared" si="46"/>
        <v>143.86666666666667</v>
      </c>
      <c r="L79" s="14">
        <f t="shared" si="46"/>
        <v>134.37666666666669</v>
      </c>
      <c r="M79" s="13">
        <f t="shared" si="46"/>
        <v>120.30333333333334</v>
      </c>
    </row>
    <row r="80" spans="1:13" outlineLevel="1" x14ac:dyDescent="0.2">
      <c r="A80" s="20">
        <f t="shared" ref="A80:B85" si="47">A37</f>
        <v>3646</v>
      </c>
      <c r="B80" s="19" t="str">
        <f t="shared" si="47"/>
        <v>TWU</v>
      </c>
      <c r="C80" s="58">
        <f t="shared" si="43"/>
        <v>2755.592998879466</v>
      </c>
      <c r="D80" s="15">
        <f t="shared" ref="D80:M85" si="48">D122*D172</f>
        <v>541.79999999999995</v>
      </c>
      <c r="E80" s="14">
        <f t="shared" si="48"/>
        <v>141.8613</v>
      </c>
      <c r="F80" s="14">
        <f t="shared" si="48"/>
        <v>206.59203221279969</v>
      </c>
      <c r="G80" s="13">
        <f t="shared" si="48"/>
        <v>1035.6529999999998</v>
      </c>
      <c r="H80" s="15">
        <f t="shared" si="48"/>
        <v>170.8</v>
      </c>
      <c r="I80" s="13">
        <f t="shared" si="48"/>
        <v>9.5</v>
      </c>
      <c r="J80" s="16">
        <f t="shared" si="48"/>
        <v>149.63999999999999</v>
      </c>
      <c r="K80" s="15">
        <f t="shared" si="48"/>
        <v>219.60000000000002</v>
      </c>
      <c r="L80" s="14">
        <f t="shared" si="48"/>
        <v>168.00333333333333</v>
      </c>
      <c r="M80" s="13">
        <f t="shared" si="48"/>
        <v>112.14333333333333</v>
      </c>
    </row>
    <row r="81" spans="1:14" outlineLevel="1" x14ac:dyDescent="0.2">
      <c r="A81" s="20">
        <f t="shared" si="47"/>
        <v>3581</v>
      </c>
      <c r="B81" s="19" t="str">
        <f t="shared" si="47"/>
        <v>Lamar</v>
      </c>
      <c r="C81" s="58">
        <f t="shared" si="43"/>
        <v>2211.7504020667288</v>
      </c>
      <c r="D81" s="15">
        <f t="shared" si="48"/>
        <v>400.59999999999997</v>
      </c>
      <c r="E81" s="14">
        <f t="shared" si="48"/>
        <v>70.171766666666656</v>
      </c>
      <c r="F81" s="14">
        <f t="shared" si="48"/>
        <v>137.66196873339072</v>
      </c>
      <c r="G81" s="13">
        <f t="shared" si="48"/>
        <v>805.47000000000492</v>
      </c>
      <c r="H81" s="15">
        <f t="shared" si="48"/>
        <v>99</v>
      </c>
      <c r="I81" s="13">
        <f t="shared" si="48"/>
        <v>5.0999999999999996</v>
      </c>
      <c r="J81" s="16">
        <f t="shared" si="48"/>
        <v>113.83999999999999</v>
      </c>
      <c r="K81" s="15">
        <f t="shared" si="48"/>
        <v>214.46666666666667</v>
      </c>
      <c r="L81" s="14">
        <f t="shared" si="48"/>
        <v>193.57</v>
      </c>
      <c r="M81" s="13">
        <f t="shared" si="48"/>
        <v>171.87</v>
      </c>
    </row>
    <row r="82" spans="1:14" outlineLevel="1" x14ac:dyDescent="0.2">
      <c r="A82" s="20">
        <f t="shared" si="47"/>
        <v>3606</v>
      </c>
      <c r="B82" s="19" t="str">
        <f t="shared" si="47"/>
        <v>SHSU</v>
      </c>
      <c r="C82" s="58">
        <f t="shared" si="43"/>
        <v>4537.5584067947939</v>
      </c>
      <c r="D82" s="15">
        <f t="shared" si="48"/>
        <v>923.3</v>
      </c>
      <c r="E82" s="14">
        <f t="shared" si="48"/>
        <v>270.83466666666664</v>
      </c>
      <c r="F82" s="14">
        <f t="shared" si="48"/>
        <v>183.5674067947576</v>
      </c>
      <c r="G82" s="13">
        <f t="shared" si="48"/>
        <v>1751.1230000000367</v>
      </c>
      <c r="H82" s="15">
        <f t="shared" si="48"/>
        <v>50.1</v>
      </c>
      <c r="I82" s="13">
        <f t="shared" si="48"/>
        <v>18.3</v>
      </c>
      <c r="J82" s="16">
        <f t="shared" si="48"/>
        <v>265.64</v>
      </c>
      <c r="K82" s="15">
        <f t="shared" si="48"/>
        <v>389.43333333333339</v>
      </c>
      <c r="L82" s="14">
        <f t="shared" si="48"/>
        <v>385.49333333333334</v>
      </c>
      <c r="M82" s="13">
        <f t="shared" si="48"/>
        <v>299.76666666666665</v>
      </c>
    </row>
    <row r="83" spans="1:14" outlineLevel="1" x14ac:dyDescent="0.2">
      <c r="A83" s="20">
        <f t="shared" si="47"/>
        <v>3615</v>
      </c>
      <c r="B83" s="19" t="str">
        <f t="shared" si="47"/>
        <v>TXST</v>
      </c>
      <c r="C83" s="58">
        <f t="shared" si="43"/>
        <v>7749.3645151976707</v>
      </c>
      <c r="D83" s="15">
        <f t="shared" si="48"/>
        <v>1608.3</v>
      </c>
      <c r="E83" s="14">
        <f t="shared" si="48"/>
        <v>678.70260000000007</v>
      </c>
      <c r="F83" s="14">
        <f t="shared" si="48"/>
        <v>234.06891519786396</v>
      </c>
      <c r="G83" s="13">
        <f t="shared" si="48"/>
        <v>3131.1929999998069</v>
      </c>
      <c r="H83" s="15">
        <f t="shared" si="48"/>
        <v>146.6</v>
      </c>
      <c r="I83" s="13">
        <f t="shared" si="48"/>
        <v>20</v>
      </c>
      <c r="J83" s="16">
        <f t="shared" si="48"/>
        <v>441.04</v>
      </c>
      <c r="K83" s="15">
        <f t="shared" si="48"/>
        <v>522.9233333333334</v>
      </c>
      <c r="L83" s="14">
        <f t="shared" si="48"/>
        <v>502.10999999999996</v>
      </c>
      <c r="M83" s="13">
        <f t="shared" si="48"/>
        <v>464.42666666666673</v>
      </c>
    </row>
    <row r="84" spans="1:14" outlineLevel="1" x14ac:dyDescent="0.2">
      <c r="A84" s="20">
        <f t="shared" si="47"/>
        <v>3625</v>
      </c>
      <c r="B84" s="19" t="str">
        <f t="shared" si="47"/>
        <v>SRSU</v>
      </c>
      <c r="C84" s="58">
        <f t="shared" si="43"/>
        <v>402.8587225624305</v>
      </c>
      <c r="D84" s="15">
        <f t="shared" si="48"/>
        <v>56.800000000000004</v>
      </c>
      <c r="E84" s="14">
        <f t="shared" si="48"/>
        <v>8.5483999999999991</v>
      </c>
      <c r="F84" s="14">
        <f t="shared" si="48"/>
        <v>116.39132256243057</v>
      </c>
      <c r="G84" s="13">
        <f t="shared" si="48"/>
        <v>118.29899999999989</v>
      </c>
      <c r="H84" s="15">
        <f t="shared" si="48"/>
        <v>3.8</v>
      </c>
      <c r="I84" s="13">
        <f t="shared" si="48"/>
        <v>1.9</v>
      </c>
      <c r="J84" s="16">
        <f t="shared" si="48"/>
        <v>19.559999999999999</v>
      </c>
      <c r="K84" s="15">
        <f t="shared" si="48"/>
        <v>30</v>
      </c>
      <c r="L84" s="14">
        <f t="shared" si="48"/>
        <v>25.176666666666666</v>
      </c>
      <c r="M84" s="13">
        <f t="shared" si="48"/>
        <v>22.383333333333333</v>
      </c>
    </row>
    <row r="85" spans="1:14" outlineLevel="1" x14ac:dyDescent="0.2">
      <c r="A85" s="20">
        <f t="shared" si="47"/>
        <v>20</v>
      </c>
      <c r="B85" s="19" t="str">
        <f t="shared" si="47"/>
        <v>SRRG</v>
      </c>
      <c r="C85" s="58">
        <f t="shared" si="43"/>
        <v>471.09229185133671</v>
      </c>
      <c r="D85" s="15">
        <f t="shared" si="48"/>
        <v>48.499999999999993</v>
      </c>
      <c r="E85" s="14">
        <f t="shared" si="48"/>
        <v>7.7048964927506631</v>
      </c>
      <c r="F85" s="14">
        <f t="shared" si="48"/>
        <v>274.47306202525277</v>
      </c>
      <c r="G85" s="13">
        <f t="shared" si="48"/>
        <v>83.750999999999934</v>
      </c>
      <c r="H85" s="15">
        <f t="shared" si="48"/>
        <v>1.9</v>
      </c>
      <c r="I85" s="13">
        <f t="shared" si="48"/>
        <v>1.7</v>
      </c>
      <c r="J85" s="16">
        <f t="shared" si="48"/>
        <v>17.28</v>
      </c>
      <c r="K85" s="15">
        <f t="shared" si="48"/>
        <v>23</v>
      </c>
      <c r="L85" s="14">
        <f t="shared" si="48"/>
        <v>12.046666666666667</v>
      </c>
      <c r="M85" s="13">
        <f t="shared" si="48"/>
        <v>0.73666666666666669</v>
      </c>
    </row>
    <row r="86" spans="1:14" ht="13.5" outlineLevel="1" thickBot="1" x14ac:dyDescent="0.25">
      <c r="A86" s="12"/>
      <c r="B86" s="11" t="s">
        <v>11</v>
      </c>
      <c r="C86" s="57">
        <f t="shared" ref="C86:M86" si="49">SUM(C48:C85)</f>
        <v>125678.70510110038</v>
      </c>
      <c r="D86" s="9">
        <f t="shared" si="49"/>
        <v>23567.45</v>
      </c>
      <c r="E86" s="7">
        <f t="shared" si="49"/>
        <v>9855.5761556036286</v>
      </c>
      <c r="F86" s="7">
        <f t="shared" si="49"/>
        <v>8429.5346121639686</v>
      </c>
      <c r="G86" s="3">
        <f t="shared" si="49"/>
        <v>47893.629333332814</v>
      </c>
      <c r="H86" s="5">
        <f t="shared" si="49"/>
        <v>3827.666666666667</v>
      </c>
      <c r="I86" s="3">
        <f t="shared" si="49"/>
        <v>340.29999999999995</v>
      </c>
      <c r="J86" s="6">
        <f t="shared" si="49"/>
        <v>6255.2866666666678</v>
      </c>
      <c r="K86" s="5">
        <f t="shared" si="49"/>
        <v>9338.723333333337</v>
      </c>
      <c r="L86" s="4">
        <f t="shared" si="49"/>
        <v>8569.9483333333319</v>
      </c>
      <c r="M86" s="3">
        <f t="shared" si="49"/>
        <v>7600.5899999999992</v>
      </c>
    </row>
    <row r="87" spans="1:14" ht="13.5" thickBot="1" x14ac:dyDescent="0.25">
      <c r="A87" s="69" t="s">
        <v>30</v>
      </c>
    </row>
    <row r="88" spans="1:14" ht="12.75" customHeight="1" outlineLevel="1" x14ac:dyDescent="0.2">
      <c r="A88" s="273" t="s">
        <v>24</v>
      </c>
      <c r="B88" s="275" t="s">
        <v>23</v>
      </c>
      <c r="C88" s="277" t="s">
        <v>77</v>
      </c>
      <c r="D88" s="279" t="s">
        <v>35</v>
      </c>
      <c r="E88" s="280"/>
      <c r="F88" s="280"/>
      <c r="G88" s="281"/>
      <c r="H88" s="282" t="s">
        <v>18</v>
      </c>
      <c r="I88" s="291" t="s">
        <v>17</v>
      </c>
      <c r="J88" s="293" t="s">
        <v>16</v>
      </c>
      <c r="K88" s="295" t="s">
        <v>34</v>
      </c>
      <c r="L88" s="296"/>
      <c r="M88" s="296"/>
      <c r="N88" s="308" t="s">
        <v>99</v>
      </c>
    </row>
    <row r="89" spans="1:14" ht="51.75" outlineLevel="1" thickBot="1" x14ac:dyDescent="0.25">
      <c r="A89" s="274"/>
      <c r="B89" s="276"/>
      <c r="C89" s="278"/>
      <c r="D89" s="68"/>
      <c r="E89" s="67" t="s">
        <v>33</v>
      </c>
      <c r="F89" s="67" t="s">
        <v>32</v>
      </c>
      <c r="G89" s="152" t="s">
        <v>31</v>
      </c>
      <c r="H89" s="283"/>
      <c r="I89" s="292"/>
      <c r="J89" s="294"/>
      <c r="K89" s="44" t="s">
        <v>14</v>
      </c>
      <c r="L89" s="43" t="s">
        <v>13</v>
      </c>
      <c r="M89" s="42" t="s">
        <v>12</v>
      </c>
      <c r="N89" s="309"/>
    </row>
    <row r="90" spans="1:14" outlineLevel="1" x14ac:dyDescent="0.2">
      <c r="A90" s="20">
        <f t="shared" ref="A90:B105" si="50">A5</f>
        <v>3656</v>
      </c>
      <c r="B90" s="19" t="str">
        <f t="shared" si="50"/>
        <v>UTA</v>
      </c>
      <c r="C90" s="90">
        <f>D90+E90+F90+K90+L90+M90</f>
        <v>1</v>
      </c>
      <c r="D90" s="91">
        <f>SUMIF($N$131:$N$135,$N90,D$131:D$135)</f>
        <v>0.3</v>
      </c>
      <c r="E90" s="92">
        <f t="shared" ref="E90:M105" si="51">SUMIF($N$131:$N$135,$N90,E$131:E$135)</f>
        <v>0.2</v>
      </c>
      <c r="F90" s="92">
        <f t="shared" si="51"/>
        <v>0.2</v>
      </c>
      <c r="G90" s="93">
        <f t="shared" si="51"/>
        <v>0.3</v>
      </c>
      <c r="H90" s="91">
        <f t="shared" si="51"/>
        <v>0.3</v>
      </c>
      <c r="I90" s="93">
        <f t="shared" si="51"/>
        <v>0.3</v>
      </c>
      <c r="J90" s="98">
        <f t="shared" si="51"/>
        <v>0.12</v>
      </c>
      <c r="K90" s="91">
        <f t="shared" si="51"/>
        <v>7.0000000000000007E-2</v>
      </c>
      <c r="L90" s="92">
        <f t="shared" si="51"/>
        <v>0.09</v>
      </c>
      <c r="M90" s="93">
        <f t="shared" si="51"/>
        <v>0.14000000000000001</v>
      </c>
      <c r="N90" s="88" t="s">
        <v>83</v>
      </c>
    </row>
    <row r="91" spans="1:14" outlineLevel="1" x14ac:dyDescent="0.2">
      <c r="A91" s="20">
        <f t="shared" si="50"/>
        <v>3658</v>
      </c>
      <c r="B91" s="19" t="str">
        <f t="shared" si="50"/>
        <v>UT</v>
      </c>
      <c r="C91" s="90">
        <f t="shared" ref="C91:C127" si="52">D91+E91+F91+K91+L91+M91</f>
        <v>1</v>
      </c>
      <c r="D91" s="91">
        <f t="shared" ref="D91:M106" si="53">SUMIF($N$131:$N$135,$N91,D$131:D$135)</f>
        <v>0.2</v>
      </c>
      <c r="E91" s="92">
        <f t="shared" si="51"/>
        <v>0.25</v>
      </c>
      <c r="F91" s="92">
        <f t="shared" si="51"/>
        <v>0.25</v>
      </c>
      <c r="G91" s="93">
        <f t="shared" si="51"/>
        <v>0.2</v>
      </c>
      <c r="H91" s="94">
        <f t="shared" si="51"/>
        <v>0.2</v>
      </c>
      <c r="I91" s="95">
        <f t="shared" si="51"/>
        <v>0.2</v>
      </c>
      <c r="J91" s="96">
        <f t="shared" si="51"/>
        <v>8.0000000000000016E-2</v>
      </c>
      <c r="K91" s="94">
        <f t="shared" si="51"/>
        <v>7.0000000000000007E-2</v>
      </c>
      <c r="L91" s="97">
        <f t="shared" si="51"/>
        <v>0.09</v>
      </c>
      <c r="M91" s="95">
        <f t="shared" si="51"/>
        <v>0.14000000000000001</v>
      </c>
      <c r="N91" s="89" t="s">
        <v>82</v>
      </c>
    </row>
    <row r="92" spans="1:14" outlineLevel="1" x14ac:dyDescent="0.2">
      <c r="A92" s="20">
        <f t="shared" si="50"/>
        <v>9741</v>
      </c>
      <c r="B92" s="19" t="str">
        <f t="shared" si="50"/>
        <v>UTD</v>
      </c>
      <c r="C92" s="90">
        <f t="shared" si="52"/>
        <v>1</v>
      </c>
      <c r="D92" s="91">
        <f t="shared" si="53"/>
        <v>0.3</v>
      </c>
      <c r="E92" s="92">
        <f t="shared" si="51"/>
        <v>0.2</v>
      </c>
      <c r="F92" s="92">
        <f t="shared" si="51"/>
        <v>0.2</v>
      </c>
      <c r="G92" s="93">
        <f t="shared" si="51"/>
        <v>0.3</v>
      </c>
      <c r="H92" s="91">
        <f t="shared" si="51"/>
        <v>0.3</v>
      </c>
      <c r="I92" s="93">
        <f t="shared" si="51"/>
        <v>0.3</v>
      </c>
      <c r="J92" s="98">
        <f t="shared" si="51"/>
        <v>0.12</v>
      </c>
      <c r="K92" s="91">
        <f t="shared" si="51"/>
        <v>7.0000000000000007E-2</v>
      </c>
      <c r="L92" s="92">
        <f t="shared" si="51"/>
        <v>0.09</v>
      </c>
      <c r="M92" s="93">
        <f t="shared" si="51"/>
        <v>0.14000000000000001</v>
      </c>
      <c r="N92" s="89" t="s">
        <v>83</v>
      </c>
    </row>
    <row r="93" spans="1:14" outlineLevel="1" x14ac:dyDescent="0.2">
      <c r="A93" s="20">
        <f t="shared" si="50"/>
        <v>3661</v>
      </c>
      <c r="B93" s="19" t="str">
        <f t="shared" si="50"/>
        <v>UTEP</v>
      </c>
      <c r="C93" s="90">
        <f t="shared" si="52"/>
        <v>1</v>
      </c>
      <c r="D93" s="91">
        <f t="shared" si="53"/>
        <v>0.3</v>
      </c>
      <c r="E93" s="92">
        <f t="shared" si="51"/>
        <v>0.2</v>
      </c>
      <c r="F93" s="92">
        <f t="shared" si="51"/>
        <v>0.2</v>
      </c>
      <c r="G93" s="93">
        <f t="shared" si="51"/>
        <v>0.3</v>
      </c>
      <c r="H93" s="91">
        <f t="shared" si="51"/>
        <v>0.3</v>
      </c>
      <c r="I93" s="93">
        <f t="shared" si="51"/>
        <v>0.3</v>
      </c>
      <c r="J93" s="98">
        <f t="shared" si="51"/>
        <v>0.12</v>
      </c>
      <c r="K93" s="91">
        <f t="shared" si="51"/>
        <v>7.0000000000000007E-2</v>
      </c>
      <c r="L93" s="92">
        <f t="shared" si="51"/>
        <v>0.09</v>
      </c>
      <c r="M93" s="93">
        <f t="shared" si="51"/>
        <v>0.14000000000000001</v>
      </c>
      <c r="N93" s="89" t="s">
        <v>83</v>
      </c>
    </row>
    <row r="94" spans="1:14" outlineLevel="1" x14ac:dyDescent="0.2">
      <c r="A94" s="20">
        <f t="shared" si="50"/>
        <v>3599</v>
      </c>
      <c r="B94" s="19" t="str">
        <f t="shared" si="50"/>
        <v>UTPA</v>
      </c>
      <c r="C94" s="90">
        <f t="shared" si="52"/>
        <v>1</v>
      </c>
      <c r="D94" s="91">
        <f t="shared" si="53"/>
        <v>0.3</v>
      </c>
      <c r="E94" s="92">
        <f t="shared" si="51"/>
        <v>0.15</v>
      </c>
      <c r="F94" s="92">
        <f t="shared" si="51"/>
        <v>0.15</v>
      </c>
      <c r="G94" s="93">
        <f t="shared" si="51"/>
        <v>0.3</v>
      </c>
      <c r="H94" s="91">
        <f t="shared" si="51"/>
        <v>0.3</v>
      </c>
      <c r="I94" s="93">
        <f t="shared" si="51"/>
        <v>0.3</v>
      </c>
      <c r="J94" s="98">
        <f t="shared" si="51"/>
        <v>0.12</v>
      </c>
      <c r="K94" s="91">
        <f t="shared" si="51"/>
        <v>0.1</v>
      </c>
      <c r="L94" s="92">
        <f t="shared" si="51"/>
        <v>0.13</v>
      </c>
      <c r="M94" s="93">
        <f t="shared" si="51"/>
        <v>0.17</v>
      </c>
      <c r="N94" s="89" t="s">
        <v>84</v>
      </c>
    </row>
    <row r="95" spans="1:14" outlineLevel="1" x14ac:dyDescent="0.2">
      <c r="A95" s="20">
        <f t="shared" si="50"/>
        <v>30646</v>
      </c>
      <c r="B95" s="19" t="str">
        <f t="shared" si="50"/>
        <v>UTB</v>
      </c>
      <c r="C95" s="90">
        <f t="shared" si="52"/>
        <v>1</v>
      </c>
      <c r="D95" s="91">
        <f t="shared" si="53"/>
        <v>0.3</v>
      </c>
      <c r="E95" s="92">
        <f t="shared" si="51"/>
        <v>0.15</v>
      </c>
      <c r="F95" s="92">
        <f t="shared" si="51"/>
        <v>0.15</v>
      </c>
      <c r="G95" s="93">
        <f t="shared" si="51"/>
        <v>0.3</v>
      </c>
      <c r="H95" s="91">
        <f t="shared" si="51"/>
        <v>0.3</v>
      </c>
      <c r="I95" s="93">
        <f t="shared" si="51"/>
        <v>0.3</v>
      </c>
      <c r="J95" s="98">
        <f t="shared" si="51"/>
        <v>0.12</v>
      </c>
      <c r="K95" s="91">
        <f t="shared" si="51"/>
        <v>0.1</v>
      </c>
      <c r="L95" s="92">
        <f t="shared" si="51"/>
        <v>0.13</v>
      </c>
      <c r="M95" s="93">
        <f t="shared" si="51"/>
        <v>0.17</v>
      </c>
      <c r="N95" s="89" t="s">
        <v>85</v>
      </c>
    </row>
    <row r="96" spans="1:14" outlineLevel="1" x14ac:dyDescent="0.2">
      <c r="A96" s="20">
        <f t="shared" si="50"/>
        <v>9930</v>
      </c>
      <c r="B96" s="19" t="str">
        <f t="shared" si="50"/>
        <v>UTPB</v>
      </c>
      <c r="C96" s="90">
        <f t="shared" si="52"/>
        <v>1</v>
      </c>
      <c r="D96" s="91">
        <f t="shared" si="53"/>
        <v>0.3</v>
      </c>
      <c r="E96" s="92">
        <f t="shared" si="51"/>
        <v>0.15</v>
      </c>
      <c r="F96" s="92">
        <f t="shared" si="51"/>
        <v>0.15</v>
      </c>
      <c r="G96" s="93">
        <f t="shared" si="51"/>
        <v>0.3</v>
      </c>
      <c r="H96" s="91">
        <f t="shared" si="51"/>
        <v>0.3</v>
      </c>
      <c r="I96" s="93">
        <f t="shared" si="51"/>
        <v>0.3</v>
      </c>
      <c r="J96" s="98">
        <f t="shared" si="51"/>
        <v>0.12</v>
      </c>
      <c r="K96" s="91">
        <f t="shared" si="51"/>
        <v>0.1</v>
      </c>
      <c r="L96" s="92">
        <f t="shared" si="51"/>
        <v>0.13</v>
      </c>
      <c r="M96" s="93">
        <f t="shared" si="51"/>
        <v>0.17</v>
      </c>
      <c r="N96" s="89" t="s">
        <v>85</v>
      </c>
    </row>
    <row r="97" spans="1:14" outlineLevel="1" x14ac:dyDescent="0.2">
      <c r="A97" s="20">
        <f t="shared" si="50"/>
        <v>10115</v>
      </c>
      <c r="B97" s="19" t="str">
        <f t="shared" si="50"/>
        <v>UTSA</v>
      </c>
      <c r="C97" s="90">
        <f t="shared" si="52"/>
        <v>1</v>
      </c>
      <c r="D97" s="91">
        <f t="shared" si="53"/>
        <v>0.3</v>
      </c>
      <c r="E97" s="92">
        <f t="shared" si="51"/>
        <v>0.2</v>
      </c>
      <c r="F97" s="92">
        <f t="shared" si="51"/>
        <v>0.2</v>
      </c>
      <c r="G97" s="93">
        <f t="shared" si="51"/>
        <v>0.3</v>
      </c>
      <c r="H97" s="91">
        <f t="shared" si="51"/>
        <v>0.3</v>
      </c>
      <c r="I97" s="93">
        <f t="shared" si="51"/>
        <v>0.3</v>
      </c>
      <c r="J97" s="98">
        <f t="shared" si="51"/>
        <v>0.12</v>
      </c>
      <c r="K97" s="91">
        <f t="shared" si="51"/>
        <v>7.0000000000000007E-2</v>
      </c>
      <c r="L97" s="92">
        <f t="shared" si="51"/>
        <v>0.09</v>
      </c>
      <c r="M97" s="93">
        <f t="shared" si="51"/>
        <v>0.14000000000000001</v>
      </c>
      <c r="N97" s="89" t="s">
        <v>83</v>
      </c>
    </row>
    <row r="98" spans="1:14" outlineLevel="1" x14ac:dyDescent="0.2">
      <c r="A98" s="20">
        <f t="shared" si="50"/>
        <v>11163</v>
      </c>
      <c r="B98" s="19" t="str">
        <f t="shared" si="50"/>
        <v>UTT</v>
      </c>
      <c r="C98" s="90">
        <f t="shared" si="52"/>
        <v>1</v>
      </c>
      <c r="D98" s="91">
        <f t="shared" si="53"/>
        <v>0.3</v>
      </c>
      <c r="E98" s="92">
        <f t="shared" si="51"/>
        <v>0.15</v>
      </c>
      <c r="F98" s="92">
        <f t="shared" si="51"/>
        <v>0.15</v>
      </c>
      <c r="G98" s="93">
        <f t="shared" si="51"/>
        <v>0.3</v>
      </c>
      <c r="H98" s="91">
        <f t="shared" si="51"/>
        <v>0.3</v>
      </c>
      <c r="I98" s="93">
        <f t="shared" si="51"/>
        <v>0.3</v>
      </c>
      <c r="J98" s="98">
        <f t="shared" si="51"/>
        <v>0.12</v>
      </c>
      <c r="K98" s="91">
        <f t="shared" si="51"/>
        <v>0.1</v>
      </c>
      <c r="L98" s="92">
        <f t="shared" si="51"/>
        <v>0.13</v>
      </c>
      <c r="M98" s="93">
        <f t="shared" si="51"/>
        <v>0.17</v>
      </c>
      <c r="N98" s="89" t="s">
        <v>85</v>
      </c>
    </row>
    <row r="99" spans="1:14" outlineLevel="1" x14ac:dyDescent="0.2">
      <c r="A99" s="20">
        <f t="shared" si="50"/>
        <v>3632</v>
      </c>
      <c r="B99" s="19" t="str">
        <f t="shared" si="50"/>
        <v>TAMU</v>
      </c>
      <c r="C99" s="90">
        <f t="shared" si="52"/>
        <v>1</v>
      </c>
      <c r="D99" s="91">
        <f t="shared" si="53"/>
        <v>0.2</v>
      </c>
      <c r="E99" s="92">
        <f t="shared" si="51"/>
        <v>0.25</v>
      </c>
      <c r="F99" s="92">
        <f t="shared" si="51"/>
        <v>0.25</v>
      </c>
      <c r="G99" s="93">
        <f t="shared" si="51"/>
        <v>0.2</v>
      </c>
      <c r="H99" s="94">
        <f t="shared" si="51"/>
        <v>0.2</v>
      </c>
      <c r="I99" s="95">
        <f t="shared" si="51"/>
        <v>0.2</v>
      </c>
      <c r="J99" s="96">
        <f t="shared" si="51"/>
        <v>8.0000000000000016E-2</v>
      </c>
      <c r="K99" s="94">
        <f t="shared" si="51"/>
        <v>7.0000000000000007E-2</v>
      </c>
      <c r="L99" s="97">
        <f t="shared" si="51"/>
        <v>0.09</v>
      </c>
      <c r="M99" s="95">
        <f t="shared" si="51"/>
        <v>0.14000000000000001</v>
      </c>
      <c r="N99" s="89" t="s">
        <v>82</v>
      </c>
    </row>
    <row r="100" spans="1:14" outlineLevel="1" x14ac:dyDescent="0.2">
      <c r="A100" s="20">
        <f t="shared" si="50"/>
        <v>10298</v>
      </c>
      <c r="B100" s="19" t="str">
        <f t="shared" si="50"/>
        <v>TAMUG</v>
      </c>
      <c r="C100" s="90">
        <f t="shared" si="52"/>
        <v>1.5</v>
      </c>
      <c r="D100" s="91">
        <f>SUMIF($N$131:$N$135,$N100,D$131:D$135)*1.5</f>
        <v>0.44999999999999996</v>
      </c>
      <c r="E100" s="92">
        <f t="shared" ref="E100:M100" si="54">SUMIF($N$131:$N$135,$N100,E$131:E$135)*1.5</f>
        <v>0.22499999999999998</v>
      </c>
      <c r="F100" s="92">
        <f t="shared" si="54"/>
        <v>0.22499999999999998</v>
      </c>
      <c r="G100" s="93">
        <f t="shared" si="54"/>
        <v>0.44999999999999996</v>
      </c>
      <c r="H100" s="91">
        <f t="shared" si="54"/>
        <v>0.44999999999999996</v>
      </c>
      <c r="I100" s="93">
        <f t="shared" si="54"/>
        <v>0.44999999999999996</v>
      </c>
      <c r="J100" s="98">
        <f t="shared" si="54"/>
        <v>0.18</v>
      </c>
      <c r="K100" s="91">
        <f t="shared" si="54"/>
        <v>0.15000000000000002</v>
      </c>
      <c r="L100" s="92">
        <f t="shared" si="54"/>
        <v>0.19500000000000001</v>
      </c>
      <c r="M100" s="93">
        <f t="shared" si="54"/>
        <v>0.255</v>
      </c>
      <c r="N100" s="89" t="s">
        <v>85</v>
      </c>
    </row>
    <row r="101" spans="1:14" outlineLevel="1" x14ac:dyDescent="0.2">
      <c r="A101" s="20">
        <f t="shared" si="50"/>
        <v>3630</v>
      </c>
      <c r="B101" s="19" t="str">
        <f t="shared" si="50"/>
        <v>Prairie View</v>
      </c>
      <c r="C101" s="90">
        <f t="shared" si="52"/>
        <v>1</v>
      </c>
      <c r="D101" s="91">
        <f t="shared" si="53"/>
        <v>0.3</v>
      </c>
      <c r="E101" s="92">
        <f t="shared" si="51"/>
        <v>0.15</v>
      </c>
      <c r="F101" s="92">
        <f t="shared" si="51"/>
        <v>0.15</v>
      </c>
      <c r="G101" s="93">
        <f t="shared" si="51"/>
        <v>0.3</v>
      </c>
      <c r="H101" s="91">
        <f t="shared" si="51"/>
        <v>0.3</v>
      </c>
      <c r="I101" s="93">
        <f t="shared" si="51"/>
        <v>0.3</v>
      </c>
      <c r="J101" s="98">
        <f t="shared" si="51"/>
        <v>0.12</v>
      </c>
      <c r="K101" s="91">
        <f t="shared" si="51"/>
        <v>0.1</v>
      </c>
      <c r="L101" s="92">
        <f t="shared" si="51"/>
        <v>0.13</v>
      </c>
      <c r="M101" s="93">
        <f t="shared" si="51"/>
        <v>0.17</v>
      </c>
      <c r="N101" s="89" t="s">
        <v>86</v>
      </c>
    </row>
    <row r="102" spans="1:14" outlineLevel="1" x14ac:dyDescent="0.2">
      <c r="A102" s="20">
        <f t="shared" si="50"/>
        <v>3631</v>
      </c>
      <c r="B102" s="19" t="str">
        <f t="shared" si="50"/>
        <v>Tarleton</v>
      </c>
      <c r="C102" s="90">
        <f t="shared" si="52"/>
        <v>1</v>
      </c>
      <c r="D102" s="91">
        <f t="shared" si="53"/>
        <v>0.3</v>
      </c>
      <c r="E102" s="92">
        <f t="shared" si="51"/>
        <v>0.15</v>
      </c>
      <c r="F102" s="92">
        <f t="shared" si="51"/>
        <v>0.15</v>
      </c>
      <c r="G102" s="93">
        <f t="shared" si="51"/>
        <v>0.3</v>
      </c>
      <c r="H102" s="91">
        <f t="shared" si="51"/>
        <v>0.3</v>
      </c>
      <c r="I102" s="93">
        <f t="shared" si="51"/>
        <v>0.3</v>
      </c>
      <c r="J102" s="98">
        <f t="shared" si="51"/>
        <v>0.12</v>
      </c>
      <c r="K102" s="91">
        <f t="shared" si="51"/>
        <v>0.1</v>
      </c>
      <c r="L102" s="92">
        <f t="shared" si="51"/>
        <v>0.13</v>
      </c>
      <c r="M102" s="93">
        <f t="shared" si="51"/>
        <v>0.17</v>
      </c>
      <c r="N102" s="89" t="s">
        <v>86</v>
      </c>
    </row>
    <row r="103" spans="1:14" outlineLevel="1" x14ac:dyDescent="0.2">
      <c r="A103" s="27">
        <f t="shared" si="50"/>
        <v>103631</v>
      </c>
      <c r="B103" s="19" t="str">
        <f t="shared" si="50"/>
        <v>TAMUCT</v>
      </c>
      <c r="C103" s="90">
        <f t="shared" si="52"/>
        <v>1</v>
      </c>
      <c r="D103" s="91">
        <f t="shared" si="53"/>
        <v>0.3</v>
      </c>
      <c r="E103" s="92">
        <f t="shared" si="51"/>
        <v>0.15</v>
      </c>
      <c r="F103" s="92">
        <f t="shared" si="51"/>
        <v>0.15</v>
      </c>
      <c r="G103" s="93">
        <f t="shared" si="51"/>
        <v>0.3</v>
      </c>
      <c r="H103" s="91">
        <f t="shared" si="51"/>
        <v>0.3</v>
      </c>
      <c r="I103" s="93">
        <f t="shared" si="51"/>
        <v>0.3</v>
      </c>
      <c r="J103" s="98">
        <f t="shared" si="51"/>
        <v>0.12</v>
      </c>
      <c r="K103" s="91">
        <f t="shared" si="51"/>
        <v>0.1</v>
      </c>
      <c r="L103" s="92">
        <f t="shared" si="51"/>
        <v>0.13</v>
      </c>
      <c r="M103" s="93">
        <f t="shared" si="51"/>
        <v>0.17</v>
      </c>
      <c r="N103" s="89" t="s">
        <v>85</v>
      </c>
    </row>
    <row r="104" spans="1:14" outlineLevel="1" x14ac:dyDescent="0.2">
      <c r="A104" s="20">
        <f t="shared" si="50"/>
        <v>11161</v>
      </c>
      <c r="B104" s="19" t="str">
        <f t="shared" si="50"/>
        <v>TAMUCC</v>
      </c>
      <c r="C104" s="90">
        <f t="shared" si="52"/>
        <v>1</v>
      </c>
      <c r="D104" s="91">
        <f t="shared" si="53"/>
        <v>0.3</v>
      </c>
      <c r="E104" s="92">
        <f t="shared" si="51"/>
        <v>0.15</v>
      </c>
      <c r="F104" s="92">
        <f t="shared" si="51"/>
        <v>0.15</v>
      </c>
      <c r="G104" s="93">
        <f t="shared" si="51"/>
        <v>0.3</v>
      </c>
      <c r="H104" s="91">
        <f t="shared" si="51"/>
        <v>0.3</v>
      </c>
      <c r="I104" s="93">
        <f t="shared" si="51"/>
        <v>0.3</v>
      </c>
      <c r="J104" s="98">
        <f t="shared" si="51"/>
        <v>0.12</v>
      </c>
      <c r="K104" s="91">
        <f t="shared" si="51"/>
        <v>0.1</v>
      </c>
      <c r="L104" s="92">
        <f t="shared" si="51"/>
        <v>0.13</v>
      </c>
      <c r="M104" s="93">
        <f t="shared" si="51"/>
        <v>0.17</v>
      </c>
      <c r="N104" s="89" t="s">
        <v>84</v>
      </c>
    </row>
    <row r="105" spans="1:14" outlineLevel="1" x14ac:dyDescent="0.2">
      <c r="A105" s="20">
        <f t="shared" si="50"/>
        <v>3639</v>
      </c>
      <c r="B105" s="19" t="str">
        <f t="shared" si="50"/>
        <v>TAMUK</v>
      </c>
      <c r="C105" s="90">
        <f t="shared" si="52"/>
        <v>1</v>
      </c>
      <c r="D105" s="91">
        <f t="shared" si="53"/>
        <v>0.3</v>
      </c>
      <c r="E105" s="92">
        <f t="shared" si="51"/>
        <v>0.15</v>
      </c>
      <c r="F105" s="92">
        <f t="shared" si="51"/>
        <v>0.15</v>
      </c>
      <c r="G105" s="93">
        <f t="shared" si="51"/>
        <v>0.3</v>
      </c>
      <c r="H105" s="91">
        <f t="shared" si="51"/>
        <v>0.3</v>
      </c>
      <c r="I105" s="93">
        <f t="shared" si="51"/>
        <v>0.3</v>
      </c>
      <c r="J105" s="98">
        <f t="shared" si="51"/>
        <v>0.12</v>
      </c>
      <c r="K105" s="91">
        <f t="shared" si="51"/>
        <v>0.1</v>
      </c>
      <c r="L105" s="92">
        <f t="shared" si="51"/>
        <v>0.13</v>
      </c>
      <c r="M105" s="93">
        <f t="shared" si="51"/>
        <v>0.17</v>
      </c>
      <c r="N105" s="89" t="s">
        <v>84</v>
      </c>
    </row>
    <row r="106" spans="1:14" outlineLevel="1" x14ac:dyDescent="0.2">
      <c r="A106" s="27">
        <f t="shared" ref="A106:B121" si="55">A21</f>
        <v>103639</v>
      </c>
      <c r="B106" s="19" t="str">
        <f t="shared" si="55"/>
        <v>TAMUSA</v>
      </c>
      <c r="C106" s="90">
        <f t="shared" si="52"/>
        <v>1</v>
      </c>
      <c r="D106" s="91">
        <f t="shared" si="53"/>
        <v>0.3</v>
      </c>
      <c r="E106" s="92">
        <f t="shared" si="53"/>
        <v>0.15</v>
      </c>
      <c r="F106" s="92">
        <f t="shared" si="53"/>
        <v>0.15</v>
      </c>
      <c r="G106" s="93">
        <f t="shared" si="53"/>
        <v>0.3</v>
      </c>
      <c r="H106" s="91">
        <f t="shared" si="53"/>
        <v>0.3</v>
      </c>
      <c r="I106" s="93">
        <f t="shared" si="53"/>
        <v>0.3</v>
      </c>
      <c r="J106" s="98">
        <f t="shared" si="53"/>
        <v>0.12</v>
      </c>
      <c r="K106" s="91">
        <f t="shared" si="53"/>
        <v>0.1</v>
      </c>
      <c r="L106" s="92">
        <f t="shared" si="53"/>
        <v>0.13</v>
      </c>
      <c r="M106" s="93">
        <f t="shared" si="53"/>
        <v>0.17</v>
      </c>
      <c r="N106" s="89" t="s">
        <v>85</v>
      </c>
    </row>
    <row r="107" spans="1:14" outlineLevel="1" x14ac:dyDescent="0.2">
      <c r="A107" s="20">
        <f t="shared" si="55"/>
        <v>9651</v>
      </c>
      <c r="B107" s="19" t="str">
        <f t="shared" si="55"/>
        <v>TAMI</v>
      </c>
      <c r="C107" s="90">
        <f t="shared" si="52"/>
        <v>1</v>
      </c>
      <c r="D107" s="91">
        <f t="shared" ref="D107:M122" si="56">SUMIF($N$131:$N$135,$N107,D$131:D$135)</f>
        <v>0.3</v>
      </c>
      <c r="E107" s="92">
        <f t="shared" si="56"/>
        <v>0.15</v>
      </c>
      <c r="F107" s="92">
        <f t="shared" si="56"/>
        <v>0.15</v>
      </c>
      <c r="G107" s="93">
        <f t="shared" si="56"/>
        <v>0.3</v>
      </c>
      <c r="H107" s="91">
        <f t="shared" si="56"/>
        <v>0.3</v>
      </c>
      <c r="I107" s="93">
        <f t="shared" si="56"/>
        <v>0.3</v>
      </c>
      <c r="J107" s="98">
        <f t="shared" si="56"/>
        <v>0.12</v>
      </c>
      <c r="K107" s="91">
        <f t="shared" si="56"/>
        <v>0.1</v>
      </c>
      <c r="L107" s="92">
        <f t="shared" si="56"/>
        <v>0.13</v>
      </c>
      <c r="M107" s="93">
        <f t="shared" si="56"/>
        <v>0.17</v>
      </c>
      <c r="N107" s="89" t="s">
        <v>86</v>
      </c>
    </row>
    <row r="108" spans="1:14" outlineLevel="1" x14ac:dyDescent="0.2">
      <c r="A108" s="20">
        <f t="shared" si="55"/>
        <v>3665</v>
      </c>
      <c r="B108" s="19" t="str">
        <f t="shared" si="55"/>
        <v>WTAMU</v>
      </c>
      <c r="C108" s="90">
        <f t="shared" si="52"/>
        <v>1</v>
      </c>
      <c r="D108" s="91">
        <f t="shared" si="56"/>
        <v>0.3</v>
      </c>
      <c r="E108" s="92">
        <f t="shared" si="56"/>
        <v>0.15</v>
      </c>
      <c r="F108" s="92">
        <f t="shared" si="56"/>
        <v>0.15</v>
      </c>
      <c r="G108" s="93">
        <f t="shared" si="56"/>
        <v>0.3</v>
      </c>
      <c r="H108" s="91">
        <f t="shared" si="56"/>
        <v>0.3</v>
      </c>
      <c r="I108" s="93">
        <f t="shared" si="56"/>
        <v>0.3</v>
      </c>
      <c r="J108" s="98">
        <f t="shared" si="56"/>
        <v>0.12</v>
      </c>
      <c r="K108" s="91">
        <f t="shared" si="56"/>
        <v>0.1</v>
      </c>
      <c r="L108" s="92">
        <f t="shared" si="56"/>
        <v>0.13</v>
      </c>
      <c r="M108" s="93">
        <f t="shared" si="56"/>
        <v>0.17</v>
      </c>
      <c r="N108" s="89" t="s">
        <v>86</v>
      </c>
    </row>
    <row r="109" spans="1:14" outlineLevel="1" x14ac:dyDescent="0.2">
      <c r="A109" s="20">
        <f t="shared" si="55"/>
        <v>3565</v>
      </c>
      <c r="B109" s="19" t="str">
        <f t="shared" si="55"/>
        <v>TAMUC</v>
      </c>
      <c r="C109" s="90">
        <f t="shared" si="52"/>
        <v>1</v>
      </c>
      <c r="D109" s="91">
        <f t="shared" si="56"/>
        <v>0.3</v>
      </c>
      <c r="E109" s="92">
        <f t="shared" si="56"/>
        <v>0.15</v>
      </c>
      <c r="F109" s="92">
        <f t="shared" si="56"/>
        <v>0.15</v>
      </c>
      <c r="G109" s="93">
        <f t="shared" si="56"/>
        <v>0.3</v>
      </c>
      <c r="H109" s="91">
        <f t="shared" si="56"/>
        <v>0.3</v>
      </c>
      <c r="I109" s="93">
        <f t="shared" si="56"/>
        <v>0.3</v>
      </c>
      <c r="J109" s="98">
        <f t="shared" si="56"/>
        <v>0.12</v>
      </c>
      <c r="K109" s="91">
        <f t="shared" si="56"/>
        <v>0.1</v>
      </c>
      <c r="L109" s="92">
        <f t="shared" si="56"/>
        <v>0.13</v>
      </c>
      <c r="M109" s="93">
        <f t="shared" si="56"/>
        <v>0.17</v>
      </c>
      <c r="N109" s="89" t="s">
        <v>84</v>
      </c>
    </row>
    <row r="110" spans="1:14" outlineLevel="1" x14ac:dyDescent="0.2">
      <c r="A110" s="20">
        <f t="shared" si="55"/>
        <v>29269</v>
      </c>
      <c r="B110" s="19" t="str">
        <f t="shared" si="55"/>
        <v>TAMUT</v>
      </c>
      <c r="C110" s="90">
        <f t="shared" si="52"/>
        <v>1</v>
      </c>
      <c r="D110" s="91">
        <f t="shared" si="56"/>
        <v>0.3</v>
      </c>
      <c r="E110" s="92">
        <f t="shared" si="56"/>
        <v>0.15</v>
      </c>
      <c r="F110" s="92">
        <f t="shared" si="56"/>
        <v>0.15</v>
      </c>
      <c r="G110" s="93">
        <f t="shared" si="56"/>
        <v>0.3</v>
      </c>
      <c r="H110" s="91">
        <f t="shared" si="56"/>
        <v>0.3</v>
      </c>
      <c r="I110" s="93">
        <f t="shared" si="56"/>
        <v>0.3</v>
      </c>
      <c r="J110" s="98">
        <f t="shared" si="56"/>
        <v>0.12</v>
      </c>
      <c r="K110" s="91">
        <f t="shared" si="56"/>
        <v>0.1</v>
      </c>
      <c r="L110" s="92">
        <f t="shared" si="56"/>
        <v>0.13</v>
      </c>
      <c r="M110" s="93">
        <f t="shared" si="56"/>
        <v>0.17</v>
      </c>
      <c r="N110" s="89" t="s">
        <v>85</v>
      </c>
    </row>
    <row r="111" spans="1:14" outlineLevel="1" x14ac:dyDescent="0.2">
      <c r="A111" s="20">
        <f t="shared" si="55"/>
        <v>3652</v>
      </c>
      <c r="B111" s="19" t="str">
        <f t="shared" si="55"/>
        <v>UH</v>
      </c>
      <c r="C111" s="90">
        <f t="shared" si="52"/>
        <v>1</v>
      </c>
      <c r="D111" s="91">
        <f t="shared" si="56"/>
        <v>0.3</v>
      </c>
      <c r="E111" s="92">
        <f t="shared" si="56"/>
        <v>0.2</v>
      </c>
      <c r="F111" s="92">
        <f t="shared" si="56"/>
        <v>0.2</v>
      </c>
      <c r="G111" s="93">
        <f t="shared" si="56"/>
        <v>0.3</v>
      </c>
      <c r="H111" s="91">
        <f t="shared" si="56"/>
        <v>0.3</v>
      </c>
      <c r="I111" s="93">
        <f t="shared" si="56"/>
        <v>0.3</v>
      </c>
      <c r="J111" s="98">
        <f t="shared" si="56"/>
        <v>0.12</v>
      </c>
      <c r="K111" s="91">
        <f t="shared" si="56"/>
        <v>7.0000000000000007E-2</v>
      </c>
      <c r="L111" s="92">
        <f t="shared" si="56"/>
        <v>0.09</v>
      </c>
      <c r="M111" s="93">
        <f t="shared" si="56"/>
        <v>0.14000000000000001</v>
      </c>
      <c r="N111" s="89" t="s">
        <v>83</v>
      </c>
    </row>
    <row r="112" spans="1:14" outlineLevel="1" x14ac:dyDescent="0.2">
      <c r="A112" s="20">
        <f t="shared" si="55"/>
        <v>11711</v>
      </c>
      <c r="B112" s="19" t="str">
        <f t="shared" si="55"/>
        <v>UHCL</v>
      </c>
      <c r="C112" s="90">
        <f t="shared" si="52"/>
        <v>1</v>
      </c>
      <c r="D112" s="91">
        <f t="shared" si="56"/>
        <v>0.3</v>
      </c>
      <c r="E112" s="92">
        <f t="shared" si="56"/>
        <v>0.15</v>
      </c>
      <c r="F112" s="92">
        <f t="shared" si="56"/>
        <v>0.15</v>
      </c>
      <c r="G112" s="93">
        <f t="shared" si="56"/>
        <v>0.3</v>
      </c>
      <c r="H112" s="91">
        <f t="shared" si="56"/>
        <v>0.3</v>
      </c>
      <c r="I112" s="93">
        <f t="shared" si="56"/>
        <v>0.3</v>
      </c>
      <c r="J112" s="98">
        <f t="shared" si="56"/>
        <v>0.12</v>
      </c>
      <c r="K112" s="91">
        <f t="shared" si="56"/>
        <v>0.1</v>
      </c>
      <c r="L112" s="92">
        <f t="shared" si="56"/>
        <v>0.13</v>
      </c>
      <c r="M112" s="93">
        <f t="shared" si="56"/>
        <v>0.17</v>
      </c>
      <c r="N112" s="89" t="s">
        <v>85</v>
      </c>
    </row>
    <row r="113" spans="1:16" outlineLevel="1" x14ac:dyDescent="0.2">
      <c r="A113" s="20">
        <f t="shared" si="55"/>
        <v>12826</v>
      </c>
      <c r="B113" s="19" t="str">
        <f t="shared" si="55"/>
        <v>UHD</v>
      </c>
      <c r="C113" s="90">
        <f t="shared" si="52"/>
        <v>1</v>
      </c>
      <c r="D113" s="91">
        <f t="shared" si="56"/>
        <v>0.3</v>
      </c>
      <c r="E113" s="92">
        <f t="shared" si="56"/>
        <v>0.15</v>
      </c>
      <c r="F113" s="92">
        <f t="shared" si="56"/>
        <v>0.15</v>
      </c>
      <c r="G113" s="93">
        <f t="shared" si="56"/>
        <v>0.3</v>
      </c>
      <c r="H113" s="91">
        <f t="shared" si="56"/>
        <v>0.3</v>
      </c>
      <c r="I113" s="93">
        <f t="shared" si="56"/>
        <v>0.3</v>
      </c>
      <c r="J113" s="98">
        <f t="shared" si="56"/>
        <v>0.12</v>
      </c>
      <c r="K113" s="91">
        <f t="shared" si="56"/>
        <v>0.1</v>
      </c>
      <c r="L113" s="92">
        <f t="shared" si="56"/>
        <v>0.13</v>
      </c>
      <c r="M113" s="93">
        <f t="shared" si="56"/>
        <v>0.17</v>
      </c>
      <c r="N113" s="89" t="s">
        <v>85</v>
      </c>
    </row>
    <row r="114" spans="1:16" outlineLevel="1" x14ac:dyDescent="0.2">
      <c r="A114" s="20">
        <f t="shared" si="55"/>
        <v>13231</v>
      </c>
      <c r="B114" s="19" t="str">
        <f t="shared" si="55"/>
        <v>UHV</v>
      </c>
      <c r="C114" s="90">
        <f t="shared" si="52"/>
        <v>1</v>
      </c>
      <c r="D114" s="91">
        <f t="shared" si="56"/>
        <v>0.3</v>
      </c>
      <c r="E114" s="92">
        <f t="shared" si="56"/>
        <v>0.15</v>
      </c>
      <c r="F114" s="92">
        <f t="shared" si="56"/>
        <v>0.15</v>
      </c>
      <c r="G114" s="93">
        <f t="shared" si="56"/>
        <v>0.3</v>
      </c>
      <c r="H114" s="91">
        <f t="shared" si="56"/>
        <v>0.3</v>
      </c>
      <c r="I114" s="93">
        <f t="shared" si="56"/>
        <v>0.3</v>
      </c>
      <c r="J114" s="98">
        <f t="shared" si="56"/>
        <v>0.12</v>
      </c>
      <c r="K114" s="91">
        <f t="shared" si="56"/>
        <v>0.1</v>
      </c>
      <c r="L114" s="92">
        <f t="shared" si="56"/>
        <v>0.13</v>
      </c>
      <c r="M114" s="93">
        <f t="shared" si="56"/>
        <v>0.17</v>
      </c>
      <c r="N114" s="89" t="s">
        <v>85</v>
      </c>
    </row>
    <row r="115" spans="1:16" outlineLevel="1" x14ac:dyDescent="0.2">
      <c r="A115" s="20">
        <f t="shared" si="55"/>
        <v>3592</v>
      </c>
      <c r="B115" s="19" t="str">
        <f t="shared" si="55"/>
        <v>Midwestern</v>
      </c>
      <c r="C115" s="90">
        <f t="shared" si="52"/>
        <v>1</v>
      </c>
      <c r="D115" s="91">
        <f t="shared" si="56"/>
        <v>0.3</v>
      </c>
      <c r="E115" s="92">
        <f t="shared" si="56"/>
        <v>0.15</v>
      </c>
      <c r="F115" s="92">
        <f t="shared" si="56"/>
        <v>0.15</v>
      </c>
      <c r="G115" s="93">
        <f t="shared" si="56"/>
        <v>0.3</v>
      </c>
      <c r="H115" s="91">
        <f t="shared" si="56"/>
        <v>0.3</v>
      </c>
      <c r="I115" s="93">
        <f t="shared" si="56"/>
        <v>0.3</v>
      </c>
      <c r="J115" s="98">
        <f t="shared" si="56"/>
        <v>0.12</v>
      </c>
      <c r="K115" s="91">
        <f t="shared" si="56"/>
        <v>0.1</v>
      </c>
      <c r="L115" s="92">
        <f t="shared" si="56"/>
        <v>0.13</v>
      </c>
      <c r="M115" s="93">
        <f t="shared" si="56"/>
        <v>0.17</v>
      </c>
      <c r="N115" s="89" t="s">
        <v>85</v>
      </c>
    </row>
    <row r="116" spans="1:16" outlineLevel="1" x14ac:dyDescent="0.2">
      <c r="A116" s="20">
        <f t="shared" si="55"/>
        <v>3594</v>
      </c>
      <c r="B116" s="19" t="str">
        <f t="shared" si="55"/>
        <v>UNT</v>
      </c>
      <c r="C116" s="90">
        <f t="shared" si="52"/>
        <v>1</v>
      </c>
      <c r="D116" s="91">
        <f t="shared" si="56"/>
        <v>0.3</v>
      </c>
      <c r="E116" s="92">
        <f t="shared" si="56"/>
        <v>0.2</v>
      </c>
      <c r="F116" s="92">
        <f t="shared" si="56"/>
        <v>0.2</v>
      </c>
      <c r="G116" s="93">
        <f t="shared" si="56"/>
        <v>0.3</v>
      </c>
      <c r="H116" s="91">
        <f t="shared" si="56"/>
        <v>0.3</v>
      </c>
      <c r="I116" s="93">
        <f t="shared" si="56"/>
        <v>0.3</v>
      </c>
      <c r="J116" s="98">
        <f t="shared" si="56"/>
        <v>0.12</v>
      </c>
      <c r="K116" s="91">
        <f t="shared" si="56"/>
        <v>7.0000000000000007E-2</v>
      </c>
      <c r="L116" s="92">
        <f t="shared" si="56"/>
        <v>0.09</v>
      </c>
      <c r="M116" s="93">
        <f t="shared" si="56"/>
        <v>0.14000000000000001</v>
      </c>
      <c r="N116" s="89" t="s">
        <v>83</v>
      </c>
      <c r="P116" s="151"/>
    </row>
    <row r="117" spans="1:16" outlineLevel="1" x14ac:dyDescent="0.2">
      <c r="A117" s="27">
        <f t="shared" si="55"/>
        <v>113594</v>
      </c>
      <c r="B117" s="19" t="str">
        <f t="shared" si="55"/>
        <v>UNTD</v>
      </c>
      <c r="C117" s="90">
        <f t="shared" si="52"/>
        <v>1</v>
      </c>
      <c r="D117" s="91">
        <f t="shared" si="56"/>
        <v>0.3</v>
      </c>
      <c r="E117" s="92">
        <f t="shared" si="56"/>
        <v>0.15</v>
      </c>
      <c r="F117" s="92">
        <f t="shared" si="56"/>
        <v>0.15</v>
      </c>
      <c r="G117" s="93">
        <f t="shared" si="56"/>
        <v>0.3</v>
      </c>
      <c r="H117" s="91">
        <f t="shared" si="56"/>
        <v>0.3</v>
      </c>
      <c r="I117" s="93">
        <f t="shared" si="56"/>
        <v>0.3</v>
      </c>
      <c r="J117" s="98">
        <f t="shared" si="56"/>
        <v>0.12</v>
      </c>
      <c r="K117" s="91">
        <f t="shared" si="56"/>
        <v>0.1</v>
      </c>
      <c r="L117" s="92">
        <f t="shared" si="56"/>
        <v>0.13</v>
      </c>
      <c r="M117" s="93">
        <f t="shared" si="56"/>
        <v>0.17</v>
      </c>
      <c r="N117" s="89" t="s">
        <v>85</v>
      </c>
    </row>
    <row r="118" spans="1:16" outlineLevel="1" x14ac:dyDescent="0.2">
      <c r="A118" s="20">
        <f t="shared" si="55"/>
        <v>3624</v>
      </c>
      <c r="B118" s="19" t="str">
        <f t="shared" si="55"/>
        <v>SFA</v>
      </c>
      <c r="C118" s="90">
        <f t="shared" si="52"/>
        <v>1</v>
      </c>
      <c r="D118" s="91">
        <f t="shared" si="56"/>
        <v>0.3</v>
      </c>
      <c r="E118" s="92">
        <f t="shared" si="56"/>
        <v>0.15</v>
      </c>
      <c r="F118" s="92">
        <f t="shared" si="56"/>
        <v>0.15</v>
      </c>
      <c r="G118" s="93">
        <f t="shared" si="56"/>
        <v>0.3</v>
      </c>
      <c r="H118" s="91">
        <f t="shared" si="56"/>
        <v>0.3</v>
      </c>
      <c r="I118" s="93">
        <f t="shared" si="56"/>
        <v>0.3</v>
      </c>
      <c r="J118" s="98">
        <f t="shared" si="56"/>
        <v>0.12</v>
      </c>
      <c r="K118" s="91">
        <f t="shared" si="56"/>
        <v>0.1</v>
      </c>
      <c r="L118" s="92">
        <f t="shared" si="56"/>
        <v>0.13</v>
      </c>
      <c r="M118" s="93">
        <f t="shared" si="56"/>
        <v>0.17</v>
      </c>
      <c r="N118" s="89" t="s">
        <v>86</v>
      </c>
    </row>
    <row r="119" spans="1:16" outlineLevel="1" x14ac:dyDescent="0.2">
      <c r="A119" s="20">
        <f t="shared" si="55"/>
        <v>3642</v>
      </c>
      <c r="B119" s="19" t="str">
        <f t="shared" si="55"/>
        <v>TSU</v>
      </c>
      <c r="C119" s="90">
        <f t="shared" si="52"/>
        <v>1</v>
      </c>
      <c r="D119" s="91">
        <f t="shared" si="56"/>
        <v>0.3</v>
      </c>
      <c r="E119" s="92">
        <f t="shared" si="56"/>
        <v>0.15</v>
      </c>
      <c r="F119" s="92">
        <f t="shared" si="56"/>
        <v>0.15</v>
      </c>
      <c r="G119" s="93">
        <f t="shared" si="56"/>
        <v>0.3</v>
      </c>
      <c r="H119" s="91">
        <f t="shared" si="56"/>
        <v>0.3</v>
      </c>
      <c r="I119" s="93">
        <f t="shared" si="56"/>
        <v>0.3</v>
      </c>
      <c r="J119" s="98">
        <f t="shared" si="56"/>
        <v>0.12</v>
      </c>
      <c r="K119" s="91">
        <f t="shared" si="56"/>
        <v>0.1</v>
      </c>
      <c r="L119" s="92">
        <f t="shared" si="56"/>
        <v>0.13</v>
      </c>
      <c r="M119" s="93">
        <f t="shared" si="56"/>
        <v>0.17</v>
      </c>
      <c r="N119" s="89" t="s">
        <v>84</v>
      </c>
    </row>
    <row r="120" spans="1:16" outlineLevel="1" x14ac:dyDescent="0.2">
      <c r="A120" s="20">
        <f t="shared" si="55"/>
        <v>3644</v>
      </c>
      <c r="B120" s="19" t="str">
        <f t="shared" si="55"/>
        <v>TTU</v>
      </c>
      <c r="C120" s="90">
        <f t="shared" si="52"/>
        <v>1</v>
      </c>
      <c r="D120" s="91">
        <f t="shared" si="56"/>
        <v>0.3</v>
      </c>
      <c r="E120" s="92">
        <f t="shared" si="56"/>
        <v>0.2</v>
      </c>
      <c r="F120" s="92">
        <f t="shared" si="56"/>
        <v>0.2</v>
      </c>
      <c r="G120" s="93">
        <f t="shared" si="56"/>
        <v>0.3</v>
      </c>
      <c r="H120" s="91">
        <f t="shared" si="56"/>
        <v>0.3</v>
      </c>
      <c r="I120" s="93">
        <f t="shared" si="56"/>
        <v>0.3</v>
      </c>
      <c r="J120" s="98">
        <f t="shared" si="56"/>
        <v>0.12</v>
      </c>
      <c r="K120" s="91">
        <f t="shared" si="56"/>
        <v>7.0000000000000007E-2</v>
      </c>
      <c r="L120" s="92">
        <f t="shared" si="56"/>
        <v>0.09</v>
      </c>
      <c r="M120" s="93">
        <f t="shared" si="56"/>
        <v>0.14000000000000001</v>
      </c>
      <c r="N120" s="89" t="s">
        <v>83</v>
      </c>
    </row>
    <row r="121" spans="1:16" outlineLevel="1" x14ac:dyDescent="0.2">
      <c r="A121" s="20">
        <f t="shared" si="55"/>
        <v>3541</v>
      </c>
      <c r="B121" s="19" t="str">
        <f t="shared" si="55"/>
        <v>Angelo</v>
      </c>
      <c r="C121" s="90">
        <f t="shared" si="52"/>
        <v>1</v>
      </c>
      <c r="D121" s="91">
        <f t="shared" si="56"/>
        <v>0.3</v>
      </c>
      <c r="E121" s="92">
        <f t="shared" si="56"/>
        <v>0.15</v>
      </c>
      <c r="F121" s="92">
        <f t="shared" si="56"/>
        <v>0.15</v>
      </c>
      <c r="G121" s="93">
        <f t="shared" si="56"/>
        <v>0.3</v>
      </c>
      <c r="H121" s="91">
        <f t="shared" si="56"/>
        <v>0.3</v>
      </c>
      <c r="I121" s="93">
        <f t="shared" si="56"/>
        <v>0.3</v>
      </c>
      <c r="J121" s="98">
        <f t="shared" si="56"/>
        <v>0.12</v>
      </c>
      <c r="K121" s="91">
        <f t="shared" si="56"/>
        <v>0.1</v>
      </c>
      <c r="L121" s="92">
        <f t="shared" si="56"/>
        <v>0.13</v>
      </c>
      <c r="M121" s="93">
        <f t="shared" si="56"/>
        <v>0.17</v>
      </c>
      <c r="N121" s="89" t="s">
        <v>85</v>
      </c>
    </row>
    <row r="122" spans="1:16" outlineLevel="1" x14ac:dyDescent="0.2">
      <c r="A122" s="20">
        <f t="shared" ref="A122:B127" si="57">A37</f>
        <v>3646</v>
      </c>
      <c r="B122" s="19" t="str">
        <f t="shared" si="57"/>
        <v>TWU</v>
      </c>
      <c r="C122" s="90">
        <f t="shared" si="52"/>
        <v>1</v>
      </c>
      <c r="D122" s="91">
        <f t="shared" si="56"/>
        <v>0.3</v>
      </c>
      <c r="E122" s="92">
        <f t="shared" si="56"/>
        <v>0.15</v>
      </c>
      <c r="F122" s="92">
        <f t="shared" si="56"/>
        <v>0.15</v>
      </c>
      <c r="G122" s="93">
        <f t="shared" si="56"/>
        <v>0.3</v>
      </c>
      <c r="H122" s="91">
        <f t="shared" si="56"/>
        <v>0.3</v>
      </c>
      <c r="I122" s="93">
        <f t="shared" si="56"/>
        <v>0.3</v>
      </c>
      <c r="J122" s="98">
        <f t="shared" si="56"/>
        <v>0.12</v>
      </c>
      <c r="K122" s="91">
        <f t="shared" si="56"/>
        <v>0.1</v>
      </c>
      <c r="L122" s="92">
        <f t="shared" si="56"/>
        <v>0.13</v>
      </c>
      <c r="M122" s="93">
        <f t="shared" si="56"/>
        <v>0.17</v>
      </c>
      <c r="N122" s="89" t="s">
        <v>84</v>
      </c>
    </row>
    <row r="123" spans="1:16" outlineLevel="1" x14ac:dyDescent="0.2">
      <c r="A123" s="20">
        <f t="shared" si="57"/>
        <v>3581</v>
      </c>
      <c r="B123" s="19" t="str">
        <f t="shared" si="57"/>
        <v>Lamar</v>
      </c>
      <c r="C123" s="90">
        <f t="shared" si="52"/>
        <v>1</v>
      </c>
      <c r="D123" s="91">
        <f t="shared" ref="D123:M127" si="58">SUMIF($N$131:$N$135,$N123,D$131:D$135)</f>
        <v>0.3</v>
      </c>
      <c r="E123" s="92">
        <f t="shared" si="58"/>
        <v>0.15</v>
      </c>
      <c r="F123" s="92">
        <f t="shared" si="58"/>
        <v>0.15</v>
      </c>
      <c r="G123" s="93">
        <f t="shared" si="58"/>
        <v>0.3</v>
      </c>
      <c r="H123" s="91">
        <f t="shared" si="58"/>
        <v>0.3</v>
      </c>
      <c r="I123" s="93">
        <f t="shared" si="58"/>
        <v>0.3</v>
      </c>
      <c r="J123" s="98">
        <f t="shared" si="58"/>
        <v>0.12</v>
      </c>
      <c r="K123" s="91">
        <f t="shared" si="58"/>
        <v>0.1</v>
      </c>
      <c r="L123" s="92">
        <f t="shared" si="58"/>
        <v>0.13</v>
      </c>
      <c r="M123" s="93">
        <f t="shared" si="58"/>
        <v>0.17</v>
      </c>
      <c r="N123" s="89" t="s">
        <v>86</v>
      </c>
    </row>
    <row r="124" spans="1:16" outlineLevel="1" x14ac:dyDescent="0.2">
      <c r="A124" s="20">
        <f t="shared" si="57"/>
        <v>3606</v>
      </c>
      <c r="B124" s="19" t="str">
        <f t="shared" si="57"/>
        <v>SHSU</v>
      </c>
      <c r="C124" s="90">
        <f t="shared" si="52"/>
        <v>1</v>
      </c>
      <c r="D124" s="91">
        <f t="shared" si="58"/>
        <v>0.3</v>
      </c>
      <c r="E124" s="92">
        <f t="shared" si="58"/>
        <v>0.15</v>
      </c>
      <c r="F124" s="92">
        <f t="shared" si="58"/>
        <v>0.15</v>
      </c>
      <c r="G124" s="93">
        <f t="shared" si="58"/>
        <v>0.3</v>
      </c>
      <c r="H124" s="91">
        <f t="shared" si="58"/>
        <v>0.3</v>
      </c>
      <c r="I124" s="93">
        <f t="shared" si="58"/>
        <v>0.3</v>
      </c>
      <c r="J124" s="98">
        <f t="shared" si="58"/>
        <v>0.12</v>
      </c>
      <c r="K124" s="91">
        <f t="shared" si="58"/>
        <v>0.1</v>
      </c>
      <c r="L124" s="92">
        <f t="shared" si="58"/>
        <v>0.13</v>
      </c>
      <c r="M124" s="93">
        <f t="shared" si="58"/>
        <v>0.17</v>
      </c>
      <c r="N124" s="89" t="s">
        <v>84</v>
      </c>
    </row>
    <row r="125" spans="1:16" outlineLevel="1" x14ac:dyDescent="0.2">
      <c r="A125" s="20">
        <f t="shared" si="57"/>
        <v>3615</v>
      </c>
      <c r="B125" s="19" t="str">
        <f t="shared" si="57"/>
        <v>TXST</v>
      </c>
      <c r="C125" s="90">
        <f t="shared" si="52"/>
        <v>1</v>
      </c>
      <c r="D125" s="91">
        <f t="shared" si="58"/>
        <v>0.3</v>
      </c>
      <c r="E125" s="92">
        <f t="shared" si="58"/>
        <v>0.2</v>
      </c>
      <c r="F125" s="92">
        <f t="shared" si="58"/>
        <v>0.2</v>
      </c>
      <c r="G125" s="93">
        <f t="shared" si="58"/>
        <v>0.3</v>
      </c>
      <c r="H125" s="91">
        <f t="shared" si="58"/>
        <v>0.3</v>
      </c>
      <c r="I125" s="93">
        <f t="shared" si="58"/>
        <v>0.3</v>
      </c>
      <c r="J125" s="98">
        <f t="shared" si="58"/>
        <v>0.12</v>
      </c>
      <c r="K125" s="91">
        <f t="shared" si="58"/>
        <v>7.0000000000000007E-2</v>
      </c>
      <c r="L125" s="92">
        <f t="shared" si="58"/>
        <v>0.09</v>
      </c>
      <c r="M125" s="93">
        <f t="shared" si="58"/>
        <v>0.14000000000000001</v>
      </c>
      <c r="N125" s="89" t="s">
        <v>83</v>
      </c>
    </row>
    <row r="126" spans="1:16" outlineLevel="1" x14ac:dyDescent="0.2">
      <c r="A126" s="20">
        <f t="shared" si="57"/>
        <v>3625</v>
      </c>
      <c r="B126" s="19" t="str">
        <f t="shared" si="57"/>
        <v>SRSU</v>
      </c>
      <c r="C126" s="90">
        <f t="shared" si="52"/>
        <v>1</v>
      </c>
      <c r="D126" s="91">
        <f t="shared" si="58"/>
        <v>0.3</v>
      </c>
      <c r="E126" s="92">
        <f t="shared" si="58"/>
        <v>0.15</v>
      </c>
      <c r="F126" s="92">
        <f t="shared" si="58"/>
        <v>0.15</v>
      </c>
      <c r="G126" s="93">
        <f t="shared" si="58"/>
        <v>0.3</v>
      </c>
      <c r="H126" s="91">
        <f t="shared" si="58"/>
        <v>0.3</v>
      </c>
      <c r="I126" s="93">
        <f t="shared" si="58"/>
        <v>0.3</v>
      </c>
      <c r="J126" s="98">
        <f t="shared" si="58"/>
        <v>0.12</v>
      </c>
      <c r="K126" s="91">
        <f t="shared" si="58"/>
        <v>0.1</v>
      </c>
      <c r="L126" s="92">
        <f t="shared" si="58"/>
        <v>0.13</v>
      </c>
      <c r="M126" s="93">
        <f t="shared" si="58"/>
        <v>0.17</v>
      </c>
      <c r="N126" s="89" t="s">
        <v>85</v>
      </c>
    </row>
    <row r="127" spans="1:16" outlineLevel="1" x14ac:dyDescent="0.2">
      <c r="A127" s="20">
        <f t="shared" si="57"/>
        <v>20</v>
      </c>
      <c r="B127" s="19" t="str">
        <f t="shared" si="57"/>
        <v>SRRG</v>
      </c>
      <c r="C127" s="90">
        <f t="shared" si="52"/>
        <v>1</v>
      </c>
      <c r="D127" s="91">
        <f t="shared" si="58"/>
        <v>0.3</v>
      </c>
      <c r="E127" s="92">
        <f t="shared" si="58"/>
        <v>0.15</v>
      </c>
      <c r="F127" s="92">
        <f t="shared" si="58"/>
        <v>0.15</v>
      </c>
      <c r="G127" s="93">
        <f t="shared" si="58"/>
        <v>0.3</v>
      </c>
      <c r="H127" s="91">
        <f t="shared" si="58"/>
        <v>0.3</v>
      </c>
      <c r="I127" s="93">
        <f t="shared" si="58"/>
        <v>0.3</v>
      </c>
      <c r="J127" s="98">
        <f t="shared" si="58"/>
        <v>0.12</v>
      </c>
      <c r="K127" s="91">
        <f t="shared" si="58"/>
        <v>0.1</v>
      </c>
      <c r="L127" s="92">
        <f t="shared" si="58"/>
        <v>0.13</v>
      </c>
      <c r="M127" s="93">
        <f t="shared" si="58"/>
        <v>0.17</v>
      </c>
      <c r="N127" s="89" t="s">
        <v>85</v>
      </c>
    </row>
    <row r="128" spans="1:16" ht="13.5" thickBot="1" x14ac:dyDescent="0.25">
      <c r="A128" s="121" t="s">
        <v>89</v>
      </c>
      <c r="B128" s="72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20"/>
    </row>
    <row r="129" spans="1:14" ht="12.75" customHeight="1" x14ac:dyDescent="0.2">
      <c r="A129" s="118"/>
      <c r="B129" s="72"/>
      <c r="C129" s="277" t="s">
        <v>77</v>
      </c>
      <c r="D129" s="279" t="s">
        <v>35</v>
      </c>
      <c r="E129" s="280"/>
      <c r="F129" s="280"/>
      <c r="G129" s="281"/>
      <c r="H129" s="282" t="s">
        <v>18</v>
      </c>
      <c r="I129" s="291" t="s">
        <v>17</v>
      </c>
      <c r="J129" s="293" t="s">
        <v>16</v>
      </c>
      <c r="K129" s="295" t="s">
        <v>34</v>
      </c>
      <c r="L129" s="296"/>
      <c r="M129" s="296"/>
      <c r="N129" s="308" t="s">
        <v>99</v>
      </c>
    </row>
    <row r="130" spans="1:14" ht="51.75" thickBot="1" x14ac:dyDescent="0.25">
      <c r="A130" s="118"/>
      <c r="B130" s="72"/>
      <c r="C130" s="278"/>
      <c r="D130" s="68"/>
      <c r="E130" s="67" t="s">
        <v>33</v>
      </c>
      <c r="F130" s="67" t="s">
        <v>32</v>
      </c>
      <c r="G130" s="152" t="s">
        <v>31</v>
      </c>
      <c r="H130" s="283"/>
      <c r="I130" s="292"/>
      <c r="J130" s="294"/>
      <c r="K130" s="44" t="s">
        <v>14</v>
      </c>
      <c r="L130" s="43" t="s">
        <v>13</v>
      </c>
      <c r="M130" s="42" t="s">
        <v>12</v>
      </c>
      <c r="N130" s="309"/>
    </row>
    <row r="131" spans="1:14" x14ac:dyDescent="0.2">
      <c r="A131" s="118"/>
      <c r="B131" s="72"/>
      <c r="C131" s="122">
        <v>1</v>
      </c>
      <c r="D131" s="123">
        <v>0.2</v>
      </c>
      <c r="E131" s="124">
        <v>0.25</v>
      </c>
      <c r="F131" s="124">
        <v>0.25</v>
      </c>
      <c r="G131" s="125">
        <v>0.2</v>
      </c>
      <c r="H131" s="126">
        <v>0.2</v>
      </c>
      <c r="I131" s="127">
        <v>0.2</v>
      </c>
      <c r="J131" s="128">
        <v>8.0000000000000016E-2</v>
      </c>
      <c r="K131" s="126">
        <v>7.0000000000000007E-2</v>
      </c>
      <c r="L131" s="129">
        <v>0.09</v>
      </c>
      <c r="M131" s="127">
        <v>0.14000000000000001</v>
      </c>
      <c r="N131" s="88" t="s">
        <v>82</v>
      </c>
    </row>
    <row r="132" spans="1:14" x14ac:dyDescent="0.2">
      <c r="A132" s="118"/>
      <c r="B132" s="72"/>
      <c r="C132" s="122">
        <v>1</v>
      </c>
      <c r="D132" s="130">
        <v>0.3</v>
      </c>
      <c r="E132" s="131">
        <v>0.2</v>
      </c>
      <c r="F132" s="131">
        <v>0.2</v>
      </c>
      <c r="G132" s="132">
        <v>0.3</v>
      </c>
      <c r="H132" s="130">
        <v>0.3</v>
      </c>
      <c r="I132" s="132">
        <v>0.3</v>
      </c>
      <c r="J132" s="133">
        <v>0.12</v>
      </c>
      <c r="K132" s="123">
        <v>7.0000000000000007E-2</v>
      </c>
      <c r="L132" s="134">
        <v>0.09</v>
      </c>
      <c r="M132" s="125">
        <v>0.14000000000000001</v>
      </c>
      <c r="N132" s="89" t="s">
        <v>83</v>
      </c>
    </row>
    <row r="133" spans="1:14" x14ac:dyDescent="0.2">
      <c r="A133" s="118"/>
      <c r="B133" s="72"/>
      <c r="C133" s="122">
        <v>1</v>
      </c>
      <c r="D133" s="130">
        <v>0.3</v>
      </c>
      <c r="E133" s="135">
        <v>0.15</v>
      </c>
      <c r="F133" s="135">
        <v>0.15</v>
      </c>
      <c r="G133" s="132">
        <v>0.3</v>
      </c>
      <c r="H133" s="130">
        <v>0.3</v>
      </c>
      <c r="I133" s="132">
        <v>0.3</v>
      </c>
      <c r="J133" s="133">
        <v>0.12</v>
      </c>
      <c r="K133" s="130">
        <v>0.1</v>
      </c>
      <c r="L133" s="135">
        <v>0.13</v>
      </c>
      <c r="M133" s="132">
        <v>0.17</v>
      </c>
      <c r="N133" s="89" t="s">
        <v>84</v>
      </c>
    </row>
    <row r="134" spans="1:14" x14ac:dyDescent="0.2">
      <c r="A134" s="118"/>
      <c r="B134" s="72"/>
      <c r="C134" s="122">
        <v>1</v>
      </c>
      <c r="D134" s="130">
        <v>0.3</v>
      </c>
      <c r="E134" s="135">
        <v>0.15</v>
      </c>
      <c r="F134" s="135">
        <v>0.15</v>
      </c>
      <c r="G134" s="132">
        <v>0.3</v>
      </c>
      <c r="H134" s="130">
        <v>0.3</v>
      </c>
      <c r="I134" s="132">
        <v>0.3</v>
      </c>
      <c r="J134" s="133">
        <v>0.12</v>
      </c>
      <c r="K134" s="130">
        <v>0.1</v>
      </c>
      <c r="L134" s="135">
        <v>0.13</v>
      </c>
      <c r="M134" s="132">
        <v>0.17</v>
      </c>
      <c r="N134" s="89" t="s">
        <v>86</v>
      </c>
    </row>
    <row r="135" spans="1:14" x14ac:dyDescent="0.2">
      <c r="A135" s="118"/>
      <c r="B135" s="72"/>
      <c r="C135" s="122">
        <v>1</v>
      </c>
      <c r="D135" s="130">
        <v>0.3</v>
      </c>
      <c r="E135" s="135">
        <v>0.15</v>
      </c>
      <c r="F135" s="135">
        <v>0.15</v>
      </c>
      <c r="G135" s="132">
        <v>0.3</v>
      </c>
      <c r="H135" s="130">
        <v>0.3</v>
      </c>
      <c r="I135" s="132">
        <v>0.3</v>
      </c>
      <c r="J135" s="133">
        <v>0.12</v>
      </c>
      <c r="K135" s="130">
        <v>0.1</v>
      </c>
      <c r="L135" s="135">
        <v>0.13</v>
      </c>
      <c r="M135" s="132">
        <v>0.17</v>
      </c>
      <c r="N135" s="89" t="s">
        <v>85</v>
      </c>
    </row>
    <row r="136" spans="1:14" ht="13.5" thickBot="1" x14ac:dyDescent="0.25">
      <c r="A136" s="69" t="s">
        <v>75</v>
      </c>
    </row>
    <row r="137" spans="1:14" ht="12.75" customHeight="1" outlineLevel="1" x14ac:dyDescent="0.2">
      <c r="A137" s="273" t="s">
        <v>24</v>
      </c>
      <c r="B137" s="275" t="s">
        <v>23</v>
      </c>
      <c r="C137" s="277" t="s">
        <v>36</v>
      </c>
      <c r="D137" s="279" t="s">
        <v>35</v>
      </c>
      <c r="E137" s="280"/>
      <c r="F137" s="280"/>
      <c r="G137" s="281"/>
      <c r="H137" s="282" t="s">
        <v>18</v>
      </c>
      <c r="I137" s="291" t="s">
        <v>17</v>
      </c>
      <c r="J137" s="293" t="s">
        <v>16</v>
      </c>
      <c r="K137" s="295" t="s">
        <v>34</v>
      </c>
      <c r="L137" s="296"/>
      <c r="M137" s="296"/>
    </row>
    <row r="138" spans="1:14" ht="51.75" outlineLevel="1" thickBot="1" x14ac:dyDescent="0.25">
      <c r="A138" s="274"/>
      <c r="B138" s="276"/>
      <c r="C138" s="278"/>
      <c r="D138" s="68"/>
      <c r="E138" s="67" t="s">
        <v>33</v>
      </c>
      <c r="F138" s="67" t="s">
        <v>32</v>
      </c>
      <c r="G138" s="152" t="s">
        <v>31</v>
      </c>
      <c r="H138" s="283"/>
      <c r="I138" s="292"/>
      <c r="J138" s="294"/>
      <c r="K138" s="44" t="s">
        <v>14</v>
      </c>
      <c r="L138" s="43" t="s">
        <v>13</v>
      </c>
      <c r="M138" s="42" t="s">
        <v>12</v>
      </c>
    </row>
    <row r="139" spans="1:14" outlineLevel="1" x14ac:dyDescent="0.2">
      <c r="A139" s="303" t="s">
        <v>79</v>
      </c>
      <c r="B139" s="304"/>
      <c r="C139" s="305"/>
      <c r="D139" s="62">
        <v>1</v>
      </c>
      <c r="E139" s="61">
        <v>1</v>
      </c>
      <c r="F139" s="61">
        <v>50</v>
      </c>
      <c r="G139" s="60">
        <v>1</v>
      </c>
      <c r="H139" s="65">
        <v>1</v>
      </c>
      <c r="I139" s="64">
        <v>1</v>
      </c>
      <c r="J139" s="63">
        <v>1</v>
      </c>
      <c r="K139" s="62">
        <v>1</v>
      </c>
      <c r="L139" s="61">
        <v>1</v>
      </c>
      <c r="M139" s="60">
        <v>1</v>
      </c>
    </row>
    <row r="140" spans="1:14" outlineLevel="1" x14ac:dyDescent="0.2">
      <c r="A140" s="20">
        <f t="shared" ref="A140:B155" si="59">A5</f>
        <v>3656</v>
      </c>
      <c r="B140" s="19" t="str">
        <f t="shared" si="59"/>
        <v>UTA</v>
      </c>
      <c r="C140" s="58">
        <f t="shared" ref="C140:C177" si="60">SUM(D140:M140)</f>
        <v>36653.739413902455</v>
      </c>
      <c r="D140" s="15">
        <f t="shared" ref="D140:D149" si="61">D182*D$139</f>
        <v>5018</v>
      </c>
      <c r="E140" s="14">
        <f t="shared" ref="E140:E149" si="62">D182*E182*E$139</f>
        <v>2600.9966666666669</v>
      </c>
      <c r="F140" s="14">
        <f t="shared" ref="F140:F149" si="63">IFERROR(D182/F182*100*F$139,0)</f>
        <v>1480.1894139024141</v>
      </c>
      <c r="G140" s="13">
        <f t="shared" ref="G140:M149" si="64">G182*G$139</f>
        <v>10418.553333333379</v>
      </c>
      <c r="H140" s="36">
        <f t="shared" si="64"/>
        <v>1531.3333333333333</v>
      </c>
      <c r="I140" s="35">
        <f t="shared" si="64"/>
        <v>35</v>
      </c>
      <c r="J140" s="34">
        <f t="shared" si="64"/>
        <v>3116</v>
      </c>
      <c r="K140" s="36">
        <f t="shared" si="64"/>
        <v>6836.333333333333</v>
      </c>
      <c r="L140" s="59">
        <f t="shared" si="64"/>
        <v>3833.6666666666665</v>
      </c>
      <c r="M140" s="35">
        <f t="shared" si="64"/>
        <v>1783.6666666666667</v>
      </c>
    </row>
    <row r="141" spans="1:14" outlineLevel="1" x14ac:dyDescent="0.2">
      <c r="A141" s="20">
        <f t="shared" si="59"/>
        <v>3658</v>
      </c>
      <c r="B141" s="19" t="str">
        <f t="shared" si="59"/>
        <v>UT</v>
      </c>
      <c r="C141" s="58">
        <f t="shared" si="60"/>
        <v>68143.078269723424</v>
      </c>
      <c r="D141" s="15">
        <f t="shared" si="61"/>
        <v>8946.3333333333339</v>
      </c>
      <c r="E141" s="14">
        <f t="shared" si="62"/>
        <v>7416.5103333333345</v>
      </c>
      <c r="F141" s="14">
        <f t="shared" si="63"/>
        <v>1324.8846030562338</v>
      </c>
      <c r="G141" s="13">
        <f t="shared" si="64"/>
        <v>19398.350000000519</v>
      </c>
      <c r="H141" s="15">
        <f t="shared" si="64"/>
        <v>1876.3333333333333</v>
      </c>
      <c r="I141" s="13">
        <f t="shared" si="64"/>
        <v>66</v>
      </c>
      <c r="J141" s="16">
        <f t="shared" si="64"/>
        <v>3470.3333333333335</v>
      </c>
      <c r="K141" s="15">
        <f t="shared" si="64"/>
        <v>9598.3333333333339</v>
      </c>
      <c r="L141" s="14">
        <f t="shared" si="64"/>
        <v>9005.6666666666661</v>
      </c>
      <c r="M141" s="13">
        <f t="shared" si="64"/>
        <v>7040.333333333333</v>
      </c>
    </row>
    <row r="142" spans="1:14" outlineLevel="1" x14ac:dyDescent="0.2">
      <c r="A142" s="20">
        <f t="shared" si="59"/>
        <v>9741</v>
      </c>
      <c r="B142" s="19" t="str">
        <f t="shared" si="59"/>
        <v>UTD</v>
      </c>
      <c r="C142" s="58">
        <f t="shared" si="60"/>
        <v>18761.970359165349</v>
      </c>
      <c r="D142" s="15">
        <f t="shared" si="61"/>
        <v>2393</v>
      </c>
      <c r="E142" s="14">
        <f t="shared" si="62"/>
        <v>1682.279</v>
      </c>
      <c r="F142" s="14">
        <f t="shared" si="63"/>
        <v>1341.4880258319133</v>
      </c>
      <c r="G142" s="13">
        <f t="shared" si="64"/>
        <v>5101.2033333334393</v>
      </c>
      <c r="H142" s="15">
        <f t="shared" si="64"/>
        <v>421.66666666666669</v>
      </c>
      <c r="I142" s="13">
        <f t="shared" si="64"/>
        <v>32</v>
      </c>
      <c r="J142" s="16">
        <f t="shared" si="64"/>
        <v>1319.6666666666667</v>
      </c>
      <c r="K142" s="15">
        <f t="shared" si="64"/>
        <v>3315</v>
      </c>
      <c r="L142" s="14">
        <f t="shared" si="64"/>
        <v>2134.3333333333335</v>
      </c>
      <c r="M142" s="13">
        <f t="shared" si="64"/>
        <v>1021.3333333333334</v>
      </c>
    </row>
    <row r="143" spans="1:14" outlineLevel="1" x14ac:dyDescent="0.2">
      <c r="A143" s="20">
        <f t="shared" si="59"/>
        <v>3661</v>
      </c>
      <c r="B143" s="19" t="str">
        <f t="shared" si="59"/>
        <v>UTEP</v>
      </c>
      <c r="C143" s="58">
        <f t="shared" si="60"/>
        <v>24576.85139346798</v>
      </c>
      <c r="D143" s="15">
        <f t="shared" si="61"/>
        <v>3057</v>
      </c>
      <c r="E143" s="14">
        <f t="shared" si="62"/>
        <v>1192.2299999999998</v>
      </c>
      <c r="F143" s="14">
        <f t="shared" si="63"/>
        <v>1143.5447268011671</v>
      </c>
      <c r="G143" s="13">
        <f t="shared" si="64"/>
        <v>6298.0766666668133</v>
      </c>
      <c r="H143" s="15">
        <f t="shared" si="64"/>
        <v>655</v>
      </c>
      <c r="I143" s="13">
        <f t="shared" si="64"/>
        <v>90</v>
      </c>
      <c r="J143" s="16">
        <f t="shared" si="64"/>
        <v>2464.3333333333335</v>
      </c>
      <c r="K143" s="15">
        <f t="shared" si="64"/>
        <v>4362.666666666667</v>
      </c>
      <c r="L143" s="14">
        <f t="shared" si="64"/>
        <v>3358</v>
      </c>
      <c r="M143" s="13">
        <f t="shared" si="64"/>
        <v>1956</v>
      </c>
    </row>
    <row r="144" spans="1:14" outlineLevel="1" x14ac:dyDescent="0.2">
      <c r="A144" s="20">
        <f t="shared" si="59"/>
        <v>3599</v>
      </c>
      <c r="B144" s="19" t="str">
        <f t="shared" si="59"/>
        <v>UTPA</v>
      </c>
      <c r="C144" s="58">
        <f t="shared" si="60"/>
        <v>21848.104524975002</v>
      </c>
      <c r="D144" s="15">
        <f t="shared" si="61"/>
        <v>2580</v>
      </c>
      <c r="E144" s="14">
        <f t="shared" si="62"/>
        <v>1111.98</v>
      </c>
      <c r="F144" s="14">
        <f t="shared" si="63"/>
        <v>1024.6245249748918</v>
      </c>
      <c r="G144" s="13">
        <f t="shared" si="64"/>
        <v>5134.1666666667797</v>
      </c>
      <c r="H144" s="15">
        <f t="shared" si="64"/>
        <v>520.33333333333337</v>
      </c>
      <c r="I144" s="13">
        <f t="shared" si="64"/>
        <v>28</v>
      </c>
      <c r="J144" s="16">
        <f t="shared" si="64"/>
        <v>2338.3333333333335</v>
      </c>
      <c r="K144" s="15">
        <f t="shared" si="64"/>
        <v>4075.3333333333335</v>
      </c>
      <c r="L144" s="14">
        <f t="shared" si="64"/>
        <v>3096</v>
      </c>
      <c r="M144" s="13">
        <f t="shared" si="64"/>
        <v>1939.3333333333333</v>
      </c>
    </row>
    <row r="145" spans="1:13" outlineLevel="1" x14ac:dyDescent="0.2">
      <c r="A145" s="20">
        <f t="shared" si="59"/>
        <v>30646</v>
      </c>
      <c r="B145" s="19" t="str">
        <f t="shared" si="59"/>
        <v>UTB</v>
      </c>
      <c r="C145" s="58">
        <f t="shared" si="60"/>
        <v>8603.6927429498719</v>
      </c>
      <c r="D145" s="15">
        <f t="shared" si="61"/>
        <v>1092</v>
      </c>
      <c r="E145" s="14">
        <f t="shared" si="62"/>
        <v>628.17092451302005</v>
      </c>
      <c r="F145" s="14">
        <f t="shared" si="63"/>
        <v>1723.0618184368313</v>
      </c>
      <c r="G145" s="13">
        <f t="shared" si="64"/>
        <v>2097.7933333333553</v>
      </c>
      <c r="H145" s="15">
        <f t="shared" si="64"/>
        <v>124.33333333333333</v>
      </c>
      <c r="I145" s="13">
        <f t="shared" si="64"/>
        <v>18.333333333333332</v>
      </c>
      <c r="J145" s="16">
        <f t="shared" si="64"/>
        <v>936.66666666666663</v>
      </c>
      <c r="K145" s="15">
        <f t="shared" si="64"/>
        <v>1326.3333333333333</v>
      </c>
      <c r="L145" s="14">
        <f t="shared" si="64"/>
        <v>556.33333333333337</v>
      </c>
      <c r="M145" s="13">
        <f t="shared" si="64"/>
        <v>100.66666666666667</v>
      </c>
    </row>
    <row r="146" spans="1:13" outlineLevel="1" x14ac:dyDescent="0.2">
      <c r="A146" s="20">
        <f t="shared" si="59"/>
        <v>9930</v>
      </c>
      <c r="B146" s="19" t="str">
        <f t="shared" si="59"/>
        <v>UTPB</v>
      </c>
      <c r="C146" s="58">
        <f t="shared" si="60"/>
        <v>4849.9087321623047</v>
      </c>
      <c r="D146" s="15">
        <f t="shared" si="61"/>
        <v>533.33333333333337</v>
      </c>
      <c r="E146" s="14">
        <f t="shared" si="62"/>
        <v>236.8</v>
      </c>
      <c r="F146" s="14">
        <f t="shared" si="63"/>
        <v>1156.2587321623005</v>
      </c>
      <c r="G146" s="13">
        <f t="shared" si="64"/>
        <v>1001.5166666666704</v>
      </c>
      <c r="H146" s="15">
        <f t="shared" si="64"/>
        <v>41.333333333333336</v>
      </c>
      <c r="I146" s="13">
        <f t="shared" si="64"/>
        <v>10</v>
      </c>
      <c r="J146" s="16">
        <f t="shared" si="64"/>
        <v>399</v>
      </c>
      <c r="K146" s="15">
        <f t="shared" si="64"/>
        <v>785.66666666666663</v>
      </c>
      <c r="L146" s="14">
        <f t="shared" si="64"/>
        <v>491.66666666666669</v>
      </c>
      <c r="M146" s="13">
        <f t="shared" si="64"/>
        <v>194.33333333333334</v>
      </c>
    </row>
    <row r="147" spans="1:13" outlineLevel="1" x14ac:dyDescent="0.2">
      <c r="A147" s="20">
        <f t="shared" si="59"/>
        <v>10115</v>
      </c>
      <c r="B147" s="19" t="str">
        <f t="shared" si="59"/>
        <v>UTSA</v>
      </c>
      <c r="C147" s="58">
        <f t="shared" si="60"/>
        <v>32732.391149512758</v>
      </c>
      <c r="D147" s="15">
        <f t="shared" si="61"/>
        <v>4119.666666666667</v>
      </c>
      <c r="E147" s="14">
        <f t="shared" si="62"/>
        <v>1737.1261111111112</v>
      </c>
      <c r="F147" s="14">
        <f t="shared" si="63"/>
        <v>1012.0517050684201</v>
      </c>
      <c r="G147" s="13">
        <f t="shared" si="64"/>
        <v>8414.213333333224</v>
      </c>
      <c r="H147" s="15">
        <f t="shared" si="64"/>
        <v>392</v>
      </c>
      <c r="I147" s="13">
        <f t="shared" si="64"/>
        <v>49.666666666666664</v>
      </c>
      <c r="J147" s="16">
        <f t="shared" si="64"/>
        <v>3123.6666666666665</v>
      </c>
      <c r="K147" s="15">
        <f t="shared" si="64"/>
        <v>6809.666666666667</v>
      </c>
      <c r="L147" s="14">
        <f t="shared" si="64"/>
        <v>4458.666666666667</v>
      </c>
      <c r="M147" s="13">
        <f t="shared" si="64"/>
        <v>2615.6666666666665</v>
      </c>
    </row>
    <row r="148" spans="1:13" outlineLevel="1" x14ac:dyDescent="0.2">
      <c r="A148" s="20">
        <f t="shared" si="59"/>
        <v>11163</v>
      </c>
      <c r="B148" s="19" t="str">
        <f t="shared" si="59"/>
        <v>UTT</v>
      </c>
      <c r="C148" s="58">
        <f t="shared" si="60"/>
        <v>9675.757025857607</v>
      </c>
      <c r="D148" s="15">
        <f t="shared" si="61"/>
        <v>1190</v>
      </c>
      <c r="E148" s="14">
        <f t="shared" si="62"/>
        <v>613.64333333333343</v>
      </c>
      <c r="F148" s="14">
        <f t="shared" si="63"/>
        <v>1462.7870258575947</v>
      </c>
      <c r="G148" s="13">
        <f t="shared" si="64"/>
        <v>2362.6600000000103</v>
      </c>
      <c r="H148" s="15">
        <f t="shared" si="64"/>
        <v>376.66666666666669</v>
      </c>
      <c r="I148" s="13">
        <f t="shared" si="64"/>
        <v>14</v>
      </c>
      <c r="J148" s="16">
        <f t="shared" si="64"/>
        <v>942.33333333333337</v>
      </c>
      <c r="K148" s="15">
        <f t="shared" si="64"/>
        <v>1436.3333333333333</v>
      </c>
      <c r="L148" s="14">
        <f t="shared" si="64"/>
        <v>890</v>
      </c>
      <c r="M148" s="13">
        <f t="shared" si="64"/>
        <v>387.33333333333331</v>
      </c>
    </row>
    <row r="149" spans="1:13" outlineLevel="1" x14ac:dyDescent="0.2">
      <c r="A149" s="20">
        <f t="shared" si="59"/>
        <v>3632</v>
      </c>
      <c r="B149" s="19" t="str">
        <f t="shared" si="59"/>
        <v>TAMU</v>
      </c>
      <c r="C149" s="58">
        <f t="shared" si="60"/>
        <v>68932.390772986706</v>
      </c>
      <c r="D149" s="15">
        <f t="shared" si="61"/>
        <v>8739.6666666666661</v>
      </c>
      <c r="E149" s="14">
        <f t="shared" si="62"/>
        <v>7347.1464444444427</v>
      </c>
      <c r="F149" s="14">
        <f t="shared" si="63"/>
        <v>1262.094328542134</v>
      </c>
      <c r="G149" s="13">
        <f t="shared" si="64"/>
        <v>20104.8166666668</v>
      </c>
      <c r="H149" s="15">
        <f t="shared" si="64"/>
        <v>1763</v>
      </c>
      <c r="I149" s="13">
        <f t="shared" si="64"/>
        <v>126</v>
      </c>
      <c r="J149" s="16">
        <f t="shared" si="64"/>
        <v>3724</v>
      </c>
      <c r="K149" s="15">
        <f t="shared" si="64"/>
        <v>10060.666666666666</v>
      </c>
      <c r="L149" s="14">
        <f t="shared" si="64"/>
        <v>8907.3333333333339</v>
      </c>
      <c r="M149" s="13">
        <f t="shared" si="64"/>
        <v>6897.666666666667</v>
      </c>
    </row>
    <row r="150" spans="1:13" outlineLevel="1" x14ac:dyDescent="0.2">
      <c r="A150" s="20">
        <f t="shared" si="59"/>
        <v>10298</v>
      </c>
      <c r="B150" s="19" t="str">
        <f t="shared" si="59"/>
        <v>TAMUG</v>
      </c>
      <c r="C150" s="58">
        <f t="shared" si="60"/>
        <v>3323.7175016236038</v>
      </c>
      <c r="D150" s="15">
        <f>D192*D$139</f>
        <v>275.33333333333331</v>
      </c>
      <c r="E150" s="14">
        <f>D192*E192*E$139</f>
        <v>172.72577777777778</v>
      </c>
      <c r="F150" s="14">
        <f>IFERROR(D192/F192*100*F$139,0)</f>
        <v>819.96505717916136</v>
      </c>
      <c r="G150" s="13">
        <f t="shared" ref="G150:M150" si="65">G192*G$139</f>
        <v>704.02666666666448</v>
      </c>
      <c r="H150" s="15">
        <f t="shared" si="65"/>
        <v>37.333333333333336</v>
      </c>
      <c r="I150" s="13">
        <f t="shared" si="65"/>
        <v>0</v>
      </c>
      <c r="J150" s="16">
        <f t="shared" si="65"/>
        <v>158</v>
      </c>
      <c r="K150" s="15">
        <f t="shared" si="65"/>
        <v>592.33333333333337</v>
      </c>
      <c r="L150" s="14">
        <f t="shared" si="65"/>
        <v>318</v>
      </c>
      <c r="M150" s="13">
        <f t="shared" si="65"/>
        <v>246</v>
      </c>
    </row>
    <row r="151" spans="1:13" outlineLevel="1" x14ac:dyDescent="0.2">
      <c r="A151" s="20">
        <f t="shared" si="59"/>
        <v>3630</v>
      </c>
      <c r="B151" s="19" t="str">
        <f t="shared" si="59"/>
        <v>Prairie View</v>
      </c>
      <c r="C151" s="58">
        <f t="shared" si="60"/>
        <v>9030.7549568204086</v>
      </c>
      <c r="D151" s="15">
        <f t="shared" ref="D151:D177" si="66">D193*D$139</f>
        <v>936.33333333333337</v>
      </c>
      <c r="E151" s="14">
        <f t="shared" ref="E151:E177" si="67">D193*E193*E$139</f>
        <v>348.00388888888887</v>
      </c>
      <c r="F151" s="14">
        <f t="shared" ref="F151:F177" si="68">IFERROR(D193/F193*100*F$139,0)</f>
        <v>791.18440126484359</v>
      </c>
      <c r="G151" s="13">
        <f t="shared" ref="G151:M166" si="69">G193*G$139</f>
        <v>2072.9000000000092</v>
      </c>
      <c r="H151" s="15">
        <f t="shared" si="69"/>
        <v>315.66666666666669</v>
      </c>
      <c r="I151" s="13">
        <f t="shared" si="69"/>
        <v>9.6666666666666661</v>
      </c>
      <c r="J151" s="16">
        <f t="shared" si="69"/>
        <v>802.66666666666663</v>
      </c>
      <c r="K151" s="15">
        <f t="shared" si="69"/>
        <v>1668</v>
      </c>
      <c r="L151" s="14">
        <f t="shared" si="69"/>
        <v>1181</v>
      </c>
      <c r="M151" s="13">
        <f t="shared" si="69"/>
        <v>905.33333333333337</v>
      </c>
    </row>
    <row r="152" spans="1:13" outlineLevel="1" x14ac:dyDescent="0.2">
      <c r="A152" s="20">
        <f t="shared" si="59"/>
        <v>3631</v>
      </c>
      <c r="B152" s="19" t="str">
        <f t="shared" si="59"/>
        <v>Tarleton</v>
      </c>
      <c r="C152" s="58">
        <f t="shared" si="60"/>
        <v>12425.867720949642</v>
      </c>
      <c r="D152" s="15">
        <f t="shared" si="66"/>
        <v>1545.3333333333333</v>
      </c>
      <c r="E152" s="14">
        <f t="shared" si="67"/>
        <v>738.66933333333338</v>
      </c>
      <c r="F152" s="14">
        <f t="shared" si="68"/>
        <v>1227.988387616283</v>
      </c>
      <c r="G152" s="13">
        <f t="shared" si="69"/>
        <v>3122.5433333333599</v>
      </c>
      <c r="H152" s="15">
        <f t="shared" si="69"/>
        <v>203</v>
      </c>
      <c r="I152" s="13">
        <f t="shared" si="69"/>
        <v>47.666666666666664</v>
      </c>
      <c r="J152" s="16">
        <f t="shared" si="69"/>
        <v>1195</v>
      </c>
      <c r="K152" s="15">
        <f t="shared" si="69"/>
        <v>2154.3333333333335</v>
      </c>
      <c r="L152" s="14">
        <f t="shared" si="69"/>
        <v>1328.6666666666667</v>
      </c>
      <c r="M152" s="13">
        <f t="shared" si="69"/>
        <v>862.66666666666663</v>
      </c>
    </row>
    <row r="153" spans="1:13" outlineLevel="1" x14ac:dyDescent="0.2">
      <c r="A153" s="27">
        <f t="shared" si="59"/>
        <v>103631</v>
      </c>
      <c r="B153" s="19" t="str">
        <f t="shared" si="59"/>
        <v>TAMUCT</v>
      </c>
      <c r="C153" s="58">
        <f t="shared" si="60"/>
        <v>5943.0484761003618</v>
      </c>
      <c r="D153" s="15">
        <f t="shared" si="66"/>
        <v>460.33333333333331</v>
      </c>
      <c r="E153" s="14">
        <f t="shared" si="67"/>
        <v>220.03933333333333</v>
      </c>
      <c r="F153" s="14">
        <f t="shared" si="68"/>
        <v>3379.3924761003623</v>
      </c>
      <c r="G153" s="13">
        <f t="shared" si="69"/>
        <v>853.61666666666588</v>
      </c>
      <c r="H153" s="15">
        <f t="shared" si="69"/>
        <v>40.666666666666664</v>
      </c>
      <c r="I153" s="13">
        <f t="shared" si="69"/>
        <v>0</v>
      </c>
      <c r="J153" s="16">
        <f t="shared" si="69"/>
        <v>327</v>
      </c>
      <c r="K153" s="15">
        <f t="shared" si="69"/>
        <v>495</v>
      </c>
      <c r="L153" s="14">
        <f t="shared" si="69"/>
        <v>133</v>
      </c>
      <c r="M153" s="13">
        <f t="shared" si="69"/>
        <v>34</v>
      </c>
    </row>
    <row r="154" spans="1:13" outlineLevel="1" x14ac:dyDescent="0.2">
      <c r="A154" s="20">
        <f t="shared" si="59"/>
        <v>11161</v>
      </c>
      <c r="B154" s="19" t="str">
        <f t="shared" si="59"/>
        <v>TAMUCC</v>
      </c>
      <c r="C154" s="58">
        <f t="shared" si="60"/>
        <v>11738.965703141053</v>
      </c>
      <c r="D154" s="15">
        <f t="shared" si="66"/>
        <v>1388.3333333333333</v>
      </c>
      <c r="E154" s="14">
        <f t="shared" si="67"/>
        <v>705.27333333333331</v>
      </c>
      <c r="F154" s="14">
        <f t="shared" si="68"/>
        <v>1068.8257031410387</v>
      </c>
      <c r="G154" s="13">
        <f t="shared" si="69"/>
        <v>2804.2000000000139</v>
      </c>
      <c r="H154" s="15">
        <f t="shared" si="69"/>
        <v>266.33333333333331</v>
      </c>
      <c r="I154" s="13">
        <f t="shared" si="69"/>
        <v>25.666666666666668</v>
      </c>
      <c r="J154" s="16">
        <f t="shared" si="69"/>
        <v>1080</v>
      </c>
      <c r="K154" s="15">
        <f t="shared" si="69"/>
        <v>2054</v>
      </c>
      <c r="L154" s="14">
        <f t="shared" si="69"/>
        <v>1468</v>
      </c>
      <c r="M154" s="13">
        <f t="shared" si="69"/>
        <v>878.33333333333337</v>
      </c>
    </row>
    <row r="155" spans="1:13" outlineLevel="1" x14ac:dyDescent="0.2">
      <c r="A155" s="20">
        <f t="shared" si="59"/>
        <v>3639</v>
      </c>
      <c r="B155" s="19" t="str">
        <f t="shared" si="59"/>
        <v>TAMUK</v>
      </c>
      <c r="C155" s="58">
        <f t="shared" si="60"/>
        <v>7296.2055164319308</v>
      </c>
      <c r="D155" s="15">
        <f t="shared" si="66"/>
        <v>761.66666666666663</v>
      </c>
      <c r="E155" s="14">
        <f t="shared" si="67"/>
        <v>306.44388888888892</v>
      </c>
      <c r="F155" s="14">
        <f t="shared" si="68"/>
        <v>893.97496087636932</v>
      </c>
      <c r="G155" s="13">
        <f t="shared" si="69"/>
        <v>1763.4533333333395</v>
      </c>
      <c r="H155" s="15">
        <f t="shared" si="69"/>
        <v>260</v>
      </c>
      <c r="I155" s="13">
        <f t="shared" si="69"/>
        <v>16.666666666666668</v>
      </c>
      <c r="J155" s="16">
        <f t="shared" si="69"/>
        <v>648.33333333333337</v>
      </c>
      <c r="K155" s="15">
        <f t="shared" si="69"/>
        <v>1227.3333333333333</v>
      </c>
      <c r="L155" s="14">
        <f t="shared" si="69"/>
        <v>859.66666666666663</v>
      </c>
      <c r="M155" s="13">
        <f t="shared" si="69"/>
        <v>558.66666666666663</v>
      </c>
    </row>
    <row r="156" spans="1:13" outlineLevel="1" x14ac:dyDescent="0.2">
      <c r="A156" s="27">
        <f t="shared" ref="A156:B171" si="70">A21</f>
        <v>103639</v>
      </c>
      <c r="B156" s="19" t="str">
        <f t="shared" si="70"/>
        <v>TAMUSA</v>
      </c>
      <c r="C156" s="58">
        <f t="shared" si="60"/>
        <v>5237.0430131574394</v>
      </c>
      <c r="D156" s="15">
        <f t="shared" si="66"/>
        <v>587.66666666666663</v>
      </c>
      <c r="E156" s="14">
        <f t="shared" si="67"/>
        <v>236.43788888888889</v>
      </c>
      <c r="F156" s="14">
        <f t="shared" si="68"/>
        <v>2079.9251242685459</v>
      </c>
      <c r="G156" s="13">
        <f t="shared" si="69"/>
        <v>1026.0133333333379</v>
      </c>
      <c r="H156" s="15">
        <f t="shared" si="69"/>
        <v>5</v>
      </c>
      <c r="I156" s="13">
        <f t="shared" si="69"/>
        <v>2</v>
      </c>
      <c r="J156" s="16">
        <f t="shared" si="69"/>
        <v>490.33333333333331</v>
      </c>
      <c r="K156" s="15">
        <f t="shared" si="69"/>
        <v>729.66666666666663</v>
      </c>
      <c r="L156" s="14">
        <f t="shared" si="69"/>
        <v>77.333333333333329</v>
      </c>
      <c r="M156" s="13">
        <f t="shared" si="69"/>
        <v>2.6666666666666665</v>
      </c>
    </row>
    <row r="157" spans="1:13" outlineLevel="1" x14ac:dyDescent="0.2">
      <c r="A157" s="20">
        <f t="shared" si="70"/>
        <v>9651</v>
      </c>
      <c r="B157" s="19" t="str">
        <f t="shared" si="70"/>
        <v>TAMI</v>
      </c>
      <c r="C157" s="58">
        <f t="shared" si="60"/>
        <v>7334.9132729646008</v>
      </c>
      <c r="D157" s="15">
        <f t="shared" si="66"/>
        <v>789.66666666666663</v>
      </c>
      <c r="E157" s="14">
        <f t="shared" si="67"/>
        <v>373.77555555555551</v>
      </c>
      <c r="F157" s="14">
        <f t="shared" si="68"/>
        <v>966.30771740903901</v>
      </c>
      <c r="G157" s="13">
        <f t="shared" si="69"/>
        <v>1458.4966666666717</v>
      </c>
      <c r="H157" s="15">
        <f t="shared" si="69"/>
        <v>115.66666666666667</v>
      </c>
      <c r="I157" s="13">
        <f t="shared" si="69"/>
        <v>22.333333333333332</v>
      </c>
      <c r="J157" s="16">
        <f t="shared" si="69"/>
        <v>712.66666666666663</v>
      </c>
      <c r="K157" s="15">
        <f t="shared" si="69"/>
        <v>1406.6666666666667</v>
      </c>
      <c r="L157" s="14">
        <f t="shared" si="69"/>
        <v>1015.6666666666666</v>
      </c>
      <c r="M157" s="13">
        <f t="shared" si="69"/>
        <v>473.66666666666669</v>
      </c>
    </row>
    <row r="158" spans="1:13" outlineLevel="1" x14ac:dyDescent="0.2">
      <c r="A158" s="20">
        <f t="shared" si="70"/>
        <v>3665</v>
      </c>
      <c r="B158" s="19" t="str">
        <f t="shared" si="70"/>
        <v>WTAMU</v>
      </c>
      <c r="C158" s="58">
        <f t="shared" si="60"/>
        <v>10316.963203812773</v>
      </c>
      <c r="D158" s="15">
        <f t="shared" si="66"/>
        <v>1255.6666666666667</v>
      </c>
      <c r="E158" s="14">
        <f t="shared" si="67"/>
        <v>591.00044444444438</v>
      </c>
      <c r="F158" s="14">
        <f t="shared" si="68"/>
        <v>1159.3860927016435</v>
      </c>
      <c r="G158" s="13">
        <f t="shared" si="69"/>
        <v>2503.5766666666836</v>
      </c>
      <c r="H158" s="15">
        <f t="shared" si="69"/>
        <v>191.66666666666666</v>
      </c>
      <c r="I158" s="13">
        <f t="shared" si="69"/>
        <v>60.666666666666664</v>
      </c>
      <c r="J158" s="16">
        <f t="shared" si="69"/>
        <v>889.33333333333337</v>
      </c>
      <c r="K158" s="15">
        <f t="shared" si="69"/>
        <v>1791.6666666666667</v>
      </c>
      <c r="L158" s="14">
        <f t="shared" si="69"/>
        <v>1212.6666666666667</v>
      </c>
      <c r="M158" s="13">
        <f t="shared" si="69"/>
        <v>661.33333333333337</v>
      </c>
    </row>
    <row r="159" spans="1:13" outlineLevel="1" x14ac:dyDescent="0.2">
      <c r="A159" s="20">
        <f t="shared" si="70"/>
        <v>3565</v>
      </c>
      <c r="B159" s="19" t="str">
        <f t="shared" si="70"/>
        <v>TAMUC</v>
      </c>
      <c r="C159" s="58">
        <f t="shared" si="60"/>
        <v>10467.971768134617</v>
      </c>
      <c r="D159" s="15">
        <f t="shared" si="66"/>
        <v>1324.3333333333333</v>
      </c>
      <c r="E159" s="14">
        <f t="shared" si="67"/>
        <v>582.70666666666659</v>
      </c>
      <c r="F159" s="14">
        <f t="shared" si="68"/>
        <v>1409.7717681345925</v>
      </c>
      <c r="G159" s="13">
        <f t="shared" si="69"/>
        <v>2501.8266666666914</v>
      </c>
      <c r="H159" s="15">
        <f t="shared" si="69"/>
        <v>73</v>
      </c>
      <c r="I159" s="13">
        <f t="shared" si="69"/>
        <v>74.333333333333329</v>
      </c>
      <c r="J159" s="16">
        <f t="shared" si="69"/>
        <v>1019.3333333333334</v>
      </c>
      <c r="K159" s="15">
        <f t="shared" si="69"/>
        <v>1893</v>
      </c>
      <c r="L159" s="14">
        <f t="shared" si="69"/>
        <v>1137.3333333333333</v>
      </c>
      <c r="M159" s="13">
        <f t="shared" si="69"/>
        <v>452.33333333333331</v>
      </c>
    </row>
    <row r="160" spans="1:13" outlineLevel="1" x14ac:dyDescent="0.2">
      <c r="A160" s="20">
        <f t="shared" si="70"/>
        <v>29269</v>
      </c>
      <c r="B160" s="19" t="str">
        <f t="shared" si="70"/>
        <v>TAMUT</v>
      </c>
      <c r="C160" s="58">
        <f t="shared" si="60"/>
        <v>4005.5880195561813</v>
      </c>
      <c r="D160" s="15">
        <f t="shared" si="66"/>
        <v>345.66666666666669</v>
      </c>
      <c r="E160" s="14">
        <f t="shared" si="67"/>
        <v>187.3602625468375</v>
      </c>
      <c r="F160" s="14">
        <f t="shared" si="68"/>
        <v>1938.3177570093458</v>
      </c>
      <c r="G160" s="13">
        <f t="shared" si="69"/>
        <v>619.90999999999826</v>
      </c>
      <c r="H160" s="15">
        <f t="shared" si="69"/>
        <v>41.666666666666664</v>
      </c>
      <c r="I160" s="13">
        <f t="shared" si="69"/>
        <v>19.333333333333332</v>
      </c>
      <c r="J160" s="16">
        <f t="shared" si="69"/>
        <v>239</v>
      </c>
      <c r="K160" s="15">
        <f t="shared" si="69"/>
        <v>432.66666666666669</v>
      </c>
      <c r="L160" s="14">
        <f t="shared" si="69"/>
        <v>181</v>
      </c>
      <c r="M160" s="13">
        <f t="shared" si="69"/>
        <v>0.66666666666666663</v>
      </c>
    </row>
    <row r="161" spans="1:14" outlineLevel="1" x14ac:dyDescent="0.2">
      <c r="A161" s="20">
        <f t="shared" si="70"/>
        <v>3652</v>
      </c>
      <c r="B161" s="19" t="str">
        <f t="shared" si="70"/>
        <v>UH</v>
      </c>
      <c r="C161" s="58">
        <f t="shared" si="60"/>
        <v>40257.417372789503</v>
      </c>
      <c r="D161" s="15">
        <f t="shared" si="66"/>
        <v>5098.666666666667</v>
      </c>
      <c r="E161" s="14">
        <f t="shared" si="67"/>
        <v>2734.5848888888891</v>
      </c>
      <c r="F161" s="14">
        <f t="shared" si="68"/>
        <v>1071.2524839013313</v>
      </c>
      <c r="G161" s="13">
        <f t="shared" si="69"/>
        <v>10580.246666665944</v>
      </c>
      <c r="H161" s="15">
        <f t="shared" si="69"/>
        <v>737</v>
      </c>
      <c r="I161" s="13">
        <f t="shared" si="69"/>
        <v>62.666666666666664</v>
      </c>
      <c r="J161" s="16">
        <f t="shared" si="69"/>
        <v>3373</v>
      </c>
      <c r="K161" s="15">
        <f t="shared" si="69"/>
        <v>7602.333333333333</v>
      </c>
      <c r="L161" s="14">
        <f t="shared" si="69"/>
        <v>5690.333333333333</v>
      </c>
      <c r="M161" s="13">
        <f t="shared" si="69"/>
        <v>3307.3333333333335</v>
      </c>
    </row>
    <row r="162" spans="1:14" outlineLevel="1" x14ac:dyDescent="0.2">
      <c r="A162" s="20">
        <f t="shared" si="70"/>
        <v>11711</v>
      </c>
      <c r="B162" s="19" t="str">
        <f t="shared" si="70"/>
        <v>UHCL</v>
      </c>
      <c r="C162" s="58">
        <f t="shared" si="60"/>
        <v>9368.9756784305027</v>
      </c>
      <c r="D162" s="15">
        <f t="shared" si="66"/>
        <v>1190.6666666666667</v>
      </c>
      <c r="E162" s="14">
        <f t="shared" si="67"/>
        <v>619.34267935898833</v>
      </c>
      <c r="F162" s="14">
        <f t="shared" si="68"/>
        <v>1984.6796657381617</v>
      </c>
      <c r="G162" s="13">
        <f t="shared" si="69"/>
        <v>2282.9533333333529</v>
      </c>
      <c r="H162" s="15">
        <f t="shared" si="69"/>
        <v>106.66666666666667</v>
      </c>
      <c r="I162" s="13">
        <f t="shared" si="69"/>
        <v>8.3333333333333339</v>
      </c>
      <c r="J162" s="16">
        <f t="shared" si="69"/>
        <v>774.33333333333337</v>
      </c>
      <c r="K162" s="15">
        <f t="shared" si="69"/>
        <v>1391.3333333333333</v>
      </c>
      <c r="L162" s="14">
        <f t="shared" si="69"/>
        <v>953.66666666666663</v>
      </c>
      <c r="M162" s="13">
        <f t="shared" si="69"/>
        <v>57</v>
      </c>
    </row>
    <row r="163" spans="1:14" outlineLevel="1" x14ac:dyDescent="0.2">
      <c r="A163" s="20">
        <f t="shared" si="70"/>
        <v>12826</v>
      </c>
      <c r="B163" s="19" t="str">
        <f t="shared" si="70"/>
        <v>UHD</v>
      </c>
      <c r="C163" s="58">
        <f t="shared" si="60"/>
        <v>15988.611593154361</v>
      </c>
      <c r="D163" s="15">
        <f t="shared" si="66"/>
        <v>2382.3333333333335</v>
      </c>
      <c r="E163" s="14">
        <f t="shared" si="67"/>
        <v>452.64333333333343</v>
      </c>
      <c r="F163" s="14">
        <f t="shared" si="68"/>
        <v>1491.6515931543067</v>
      </c>
      <c r="G163" s="13">
        <f t="shared" si="69"/>
        <v>4271.3166666667212</v>
      </c>
      <c r="H163" s="15">
        <f t="shared" si="69"/>
        <v>129.66666666666666</v>
      </c>
      <c r="I163" s="13">
        <f t="shared" si="69"/>
        <v>1.6666666666666667</v>
      </c>
      <c r="J163" s="16">
        <f t="shared" si="69"/>
        <v>1681</v>
      </c>
      <c r="K163" s="15">
        <f t="shared" si="69"/>
        <v>3105.3333333333335</v>
      </c>
      <c r="L163" s="14">
        <f t="shared" si="69"/>
        <v>1868.3333333333333</v>
      </c>
      <c r="M163" s="13">
        <f t="shared" si="69"/>
        <v>604.66666666666663</v>
      </c>
    </row>
    <row r="164" spans="1:14" outlineLevel="1" x14ac:dyDescent="0.2">
      <c r="A164" s="20">
        <f t="shared" si="70"/>
        <v>13231</v>
      </c>
      <c r="B164" s="19" t="str">
        <f t="shared" si="70"/>
        <v>UHV</v>
      </c>
      <c r="C164" s="58">
        <f t="shared" si="60"/>
        <v>5483.9079074618039</v>
      </c>
      <c r="D164" s="15">
        <f t="shared" si="66"/>
        <v>576.66666666666663</v>
      </c>
      <c r="E164" s="14">
        <f t="shared" si="67"/>
        <v>300.19546283886069</v>
      </c>
      <c r="F164" s="14">
        <f t="shared" si="68"/>
        <v>2004.2324446229416</v>
      </c>
      <c r="G164" s="13">
        <f t="shared" si="69"/>
        <v>1084.4800000000012</v>
      </c>
      <c r="H164" s="15">
        <f t="shared" si="69"/>
        <v>108</v>
      </c>
      <c r="I164" s="13">
        <f t="shared" si="69"/>
        <v>7.333333333333333</v>
      </c>
      <c r="J164" s="16">
        <f t="shared" si="69"/>
        <v>384</v>
      </c>
      <c r="K164" s="15">
        <f t="shared" si="69"/>
        <v>716</v>
      </c>
      <c r="L164" s="14">
        <f t="shared" si="69"/>
        <v>296.33333333333331</v>
      </c>
      <c r="M164" s="13">
        <f t="shared" si="69"/>
        <v>6.666666666666667</v>
      </c>
    </row>
    <row r="165" spans="1:14" outlineLevel="1" x14ac:dyDescent="0.2">
      <c r="A165" s="20">
        <f t="shared" si="70"/>
        <v>3592</v>
      </c>
      <c r="B165" s="19" t="str">
        <f t="shared" si="70"/>
        <v>Midwestern</v>
      </c>
      <c r="C165" s="58">
        <f t="shared" si="60"/>
        <v>8855.3716629572882</v>
      </c>
      <c r="D165" s="15">
        <f t="shared" si="66"/>
        <v>1031.6666666666667</v>
      </c>
      <c r="E165" s="14">
        <f t="shared" si="67"/>
        <v>453.24555555555554</v>
      </c>
      <c r="F165" s="14">
        <f t="shared" si="68"/>
        <v>1206.12610740173</v>
      </c>
      <c r="G165" s="13">
        <f t="shared" si="69"/>
        <v>1962.0000000000034</v>
      </c>
      <c r="H165" s="15">
        <f t="shared" si="69"/>
        <v>333.33333333333331</v>
      </c>
      <c r="I165" s="13">
        <f t="shared" si="69"/>
        <v>15</v>
      </c>
      <c r="J165" s="16">
        <f t="shared" si="69"/>
        <v>690.33333333333337</v>
      </c>
      <c r="K165" s="15">
        <f t="shared" si="69"/>
        <v>1438</v>
      </c>
      <c r="L165" s="14">
        <f t="shared" si="69"/>
        <v>1046</v>
      </c>
      <c r="M165" s="13">
        <f t="shared" si="69"/>
        <v>679.66666666666663</v>
      </c>
    </row>
    <row r="166" spans="1:14" outlineLevel="1" x14ac:dyDescent="0.2">
      <c r="A166" s="20">
        <f t="shared" si="70"/>
        <v>3594</v>
      </c>
      <c r="B166" s="19" t="str">
        <f t="shared" si="70"/>
        <v>UNT</v>
      </c>
      <c r="C166" s="58">
        <f t="shared" si="60"/>
        <v>43234.172783858958</v>
      </c>
      <c r="D166" s="15">
        <f t="shared" si="66"/>
        <v>6016.666666666667</v>
      </c>
      <c r="E166" s="14">
        <f t="shared" si="67"/>
        <v>3467.6055555555558</v>
      </c>
      <c r="F166" s="14">
        <f t="shared" si="68"/>
        <v>1294.3472283042063</v>
      </c>
      <c r="G166" s="13">
        <f t="shared" si="69"/>
        <v>11411.553333332529</v>
      </c>
      <c r="H166" s="15">
        <f t="shared" si="69"/>
        <v>336.66666666666669</v>
      </c>
      <c r="I166" s="13">
        <f t="shared" si="69"/>
        <v>43.333333333333336</v>
      </c>
      <c r="J166" s="16">
        <f t="shared" si="69"/>
        <v>3820</v>
      </c>
      <c r="K166" s="15">
        <f t="shared" si="69"/>
        <v>7864.666666666667</v>
      </c>
      <c r="L166" s="14">
        <f t="shared" si="69"/>
        <v>5642.333333333333</v>
      </c>
      <c r="M166" s="13">
        <f t="shared" si="69"/>
        <v>3337</v>
      </c>
    </row>
    <row r="167" spans="1:14" outlineLevel="1" x14ac:dyDescent="0.2">
      <c r="A167" s="27">
        <f t="shared" si="70"/>
        <v>113594</v>
      </c>
      <c r="B167" s="19" t="str">
        <f t="shared" si="70"/>
        <v>UNTD</v>
      </c>
      <c r="C167" s="58">
        <f t="shared" si="60"/>
        <v>4355.7445532694446</v>
      </c>
      <c r="D167" s="15">
        <f t="shared" si="66"/>
        <v>403.5</v>
      </c>
      <c r="E167" s="14">
        <f t="shared" si="67"/>
        <v>233.02125000000001</v>
      </c>
      <c r="F167" s="14">
        <f t="shared" si="68"/>
        <v>2132.3633032694474</v>
      </c>
      <c r="G167" s="13">
        <f t="shared" ref="G167:M177" si="71">G209*G$139</f>
        <v>705.85999999999717</v>
      </c>
      <c r="H167" s="15">
        <f t="shared" si="71"/>
        <v>12</v>
      </c>
      <c r="I167" s="13">
        <f t="shared" si="71"/>
        <v>0</v>
      </c>
      <c r="J167" s="16">
        <f t="shared" si="71"/>
        <v>308.5</v>
      </c>
      <c r="K167" s="15">
        <f t="shared" si="71"/>
        <v>478</v>
      </c>
      <c r="L167" s="14">
        <f t="shared" si="71"/>
        <v>71.5</v>
      </c>
      <c r="M167" s="13">
        <f t="shared" si="71"/>
        <v>11</v>
      </c>
    </row>
    <row r="168" spans="1:14" outlineLevel="1" x14ac:dyDescent="0.2">
      <c r="A168" s="20">
        <f t="shared" si="70"/>
        <v>3624</v>
      </c>
      <c r="B168" s="19" t="str">
        <f t="shared" si="70"/>
        <v>SFA</v>
      </c>
      <c r="C168" s="58">
        <f t="shared" si="60"/>
        <v>15715.550548837533</v>
      </c>
      <c r="D168" s="15">
        <f t="shared" si="66"/>
        <v>1921.6666666666667</v>
      </c>
      <c r="E168" s="14">
        <f t="shared" si="67"/>
        <v>1064.6033333333332</v>
      </c>
      <c r="F168" s="14">
        <f t="shared" si="68"/>
        <v>1012.8772155041958</v>
      </c>
      <c r="G168" s="13">
        <f t="shared" si="71"/>
        <v>3721.736666666669</v>
      </c>
      <c r="H168" s="15">
        <f t="shared" si="71"/>
        <v>248</v>
      </c>
      <c r="I168" s="13">
        <f t="shared" si="71"/>
        <v>44.666666666666664</v>
      </c>
      <c r="J168" s="16">
        <f t="shared" si="71"/>
        <v>1460.3333333333333</v>
      </c>
      <c r="K168" s="15">
        <f t="shared" si="71"/>
        <v>2769.3333333333335</v>
      </c>
      <c r="L168" s="14">
        <f t="shared" si="71"/>
        <v>2075</v>
      </c>
      <c r="M168" s="13">
        <f t="shared" si="71"/>
        <v>1397.3333333333333</v>
      </c>
    </row>
    <row r="169" spans="1:14" outlineLevel="1" x14ac:dyDescent="0.2">
      <c r="A169" s="20">
        <f t="shared" si="70"/>
        <v>3642</v>
      </c>
      <c r="B169" s="19" t="str">
        <f t="shared" si="70"/>
        <v>TSU</v>
      </c>
      <c r="C169" s="58">
        <f t="shared" si="60"/>
        <v>7425.2846061001937</v>
      </c>
      <c r="D169" s="15">
        <f t="shared" si="66"/>
        <v>758.33333333333337</v>
      </c>
      <c r="E169" s="14">
        <f t="shared" si="67"/>
        <v>108.94722222222221</v>
      </c>
      <c r="F169" s="14">
        <f t="shared" si="68"/>
        <v>646.68405054463585</v>
      </c>
      <c r="G169" s="13">
        <f t="shared" si="71"/>
        <v>1488.6533333333352</v>
      </c>
      <c r="H169" s="15">
        <f t="shared" si="71"/>
        <v>134.33333333333334</v>
      </c>
      <c r="I169" s="13">
        <f t="shared" si="71"/>
        <v>3</v>
      </c>
      <c r="J169" s="16">
        <f t="shared" si="71"/>
        <v>666.33333333333337</v>
      </c>
      <c r="K169" s="15">
        <f t="shared" si="71"/>
        <v>1637.3333333333333</v>
      </c>
      <c r="L169" s="14">
        <f t="shared" si="71"/>
        <v>1133</v>
      </c>
      <c r="M169" s="13">
        <f t="shared" si="71"/>
        <v>848.66666666666663</v>
      </c>
    </row>
    <row r="170" spans="1:14" outlineLevel="1" x14ac:dyDescent="0.2">
      <c r="A170" s="20">
        <f t="shared" si="70"/>
        <v>3644</v>
      </c>
      <c r="B170" s="19" t="str">
        <f t="shared" si="70"/>
        <v>TTU</v>
      </c>
      <c r="C170" s="58">
        <f t="shared" si="60"/>
        <v>38548.543489684344</v>
      </c>
      <c r="D170" s="15">
        <f t="shared" si="66"/>
        <v>4674</v>
      </c>
      <c r="E170" s="14">
        <f t="shared" si="67"/>
        <v>3421.3679999999995</v>
      </c>
      <c r="F170" s="14">
        <f t="shared" si="68"/>
        <v>1053.0621563516677</v>
      </c>
      <c r="G170" s="13">
        <f t="shared" si="71"/>
        <v>10128.113333332682</v>
      </c>
      <c r="H170" s="15">
        <f t="shared" si="71"/>
        <v>727.33333333333337</v>
      </c>
      <c r="I170" s="13">
        <f t="shared" si="71"/>
        <v>57.333333333333336</v>
      </c>
      <c r="J170" s="16">
        <f t="shared" si="71"/>
        <v>2778</v>
      </c>
      <c r="K170" s="15">
        <f t="shared" si="71"/>
        <v>6485.333333333333</v>
      </c>
      <c r="L170" s="14">
        <f t="shared" si="71"/>
        <v>5278.333333333333</v>
      </c>
      <c r="M170" s="13">
        <f t="shared" si="71"/>
        <v>3945.6666666666665</v>
      </c>
    </row>
    <row r="171" spans="1:14" outlineLevel="1" x14ac:dyDescent="0.2">
      <c r="A171" s="20">
        <f t="shared" si="70"/>
        <v>3541</v>
      </c>
      <c r="B171" s="19" t="str">
        <f t="shared" si="70"/>
        <v>Angelo</v>
      </c>
      <c r="C171" s="58">
        <f t="shared" si="60"/>
        <v>8586.5779243021079</v>
      </c>
      <c r="D171" s="15">
        <f t="shared" si="66"/>
        <v>991.33333333333337</v>
      </c>
      <c r="E171" s="14">
        <f t="shared" si="67"/>
        <v>425.94288888888889</v>
      </c>
      <c r="F171" s="14">
        <f t="shared" si="68"/>
        <v>1015.2850354132148</v>
      </c>
      <c r="G171" s="13">
        <f t="shared" si="71"/>
        <v>1977.3500000000051</v>
      </c>
      <c r="H171" s="15">
        <f t="shared" si="71"/>
        <v>254.33333333333334</v>
      </c>
      <c r="I171" s="13">
        <f t="shared" si="71"/>
        <v>19.333333333333332</v>
      </c>
      <c r="J171" s="16">
        <f t="shared" si="71"/>
        <v>723</v>
      </c>
      <c r="K171" s="15">
        <f t="shared" si="71"/>
        <v>1438.6666666666667</v>
      </c>
      <c r="L171" s="14">
        <f t="shared" si="71"/>
        <v>1033.6666666666667</v>
      </c>
      <c r="M171" s="13">
        <f t="shared" si="71"/>
        <v>707.66666666666663</v>
      </c>
    </row>
    <row r="172" spans="1:14" outlineLevel="1" x14ac:dyDescent="0.2">
      <c r="A172" s="20">
        <f t="shared" ref="A172:B177" si="72">A37</f>
        <v>3646</v>
      </c>
      <c r="B172" s="19" t="str">
        <f t="shared" si="72"/>
        <v>TWU</v>
      </c>
      <c r="C172" s="58">
        <f t="shared" si="60"/>
        <v>13577.198881418664</v>
      </c>
      <c r="D172" s="15">
        <f t="shared" si="66"/>
        <v>1806</v>
      </c>
      <c r="E172" s="14">
        <f t="shared" si="67"/>
        <v>945.74200000000008</v>
      </c>
      <c r="F172" s="14">
        <f t="shared" si="68"/>
        <v>1377.2802147519981</v>
      </c>
      <c r="G172" s="13">
        <f t="shared" si="71"/>
        <v>3452.1766666666658</v>
      </c>
      <c r="H172" s="15">
        <f t="shared" si="71"/>
        <v>569.33333333333337</v>
      </c>
      <c r="I172" s="13">
        <f t="shared" si="71"/>
        <v>31.666666666666668</v>
      </c>
      <c r="J172" s="16">
        <f t="shared" si="71"/>
        <v>1247</v>
      </c>
      <c r="K172" s="15">
        <f t="shared" si="71"/>
        <v>2196</v>
      </c>
      <c r="L172" s="14">
        <f t="shared" si="71"/>
        <v>1292.3333333333333</v>
      </c>
      <c r="M172" s="13">
        <f t="shared" si="71"/>
        <v>659.66666666666663</v>
      </c>
    </row>
    <row r="173" spans="1:14" outlineLevel="1" x14ac:dyDescent="0.2">
      <c r="A173" s="20">
        <f t="shared" si="72"/>
        <v>3581</v>
      </c>
      <c r="B173" s="19" t="str">
        <f t="shared" si="72"/>
        <v>Lamar</v>
      </c>
      <c r="C173" s="58">
        <f t="shared" si="60"/>
        <v>11346.124902667067</v>
      </c>
      <c r="D173" s="15">
        <f t="shared" si="66"/>
        <v>1335.3333333333333</v>
      </c>
      <c r="E173" s="14">
        <f t="shared" si="67"/>
        <v>467.81177777777776</v>
      </c>
      <c r="F173" s="14">
        <f t="shared" si="68"/>
        <v>917.74645822260493</v>
      </c>
      <c r="G173" s="13">
        <f t="shared" si="71"/>
        <v>2684.9000000000165</v>
      </c>
      <c r="H173" s="15">
        <f t="shared" si="71"/>
        <v>330</v>
      </c>
      <c r="I173" s="13">
        <f t="shared" si="71"/>
        <v>17</v>
      </c>
      <c r="J173" s="16">
        <f t="shared" si="71"/>
        <v>948.66666666666663</v>
      </c>
      <c r="K173" s="15">
        <f t="shared" si="71"/>
        <v>2144.6666666666665</v>
      </c>
      <c r="L173" s="14">
        <f t="shared" si="71"/>
        <v>1489</v>
      </c>
      <c r="M173" s="13">
        <f t="shared" si="71"/>
        <v>1011</v>
      </c>
    </row>
    <row r="174" spans="1:14" outlineLevel="1" x14ac:dyDescent="0.2">
      <c r="A174" s="20">
        <f t="shared" si="72"/>
        <v>3606</v>
      </c>
      <c r="B174" s="19" t="str">
        <f t="shared" si="72"/>
        <v>SHSU</v>
      </c>
      <c r="C174" s="58">
        <f t="shared" si="60"/>
        <v>23008.757156409614</v>
      </c>
      <c r="D174" s="15">
        <f t="shared" si="66"/>
        <v>3077.6666666666665</v>
      </c>
      <c r="E174" s="14">
        <f t="shared" si="67"/>
        <v>1805.5644444444445</v>
      </c>
      <c r="F174" s="14">
        <f t="shared" si="68"/>
        <v>1223.7827119650508</v>
      </c>
      <c r="G174" s="13">
        <f t="shared" si="71"/>
        <v>5837.0766666667887</v>
      </c>
      <c r="H174" s="15">
        <f t="shared" si="71"/>
        <v>167</v>
      </c>
      <c r="I174" s="13">
        <f t="shared" si="71"/>
        <v>61</v>
      </c>
      <c r="J174" s="16">
        <f t="shared" si="71"/>
        <v>2213.6666666666665</v>
      </c>
      <c r="K174" s="15">
        <f t="shared" si="71"/>
        <v>3894.3333333333335</v>
      </c>
      <c r="L174" s="14">
        <f t="shared" si="71"/>
        <v>2965.3333333333335</v>
      </c>
      <c r="M174" s="13">
        <f t="shared" si="71"/>
        <v>1763.3333333333333</v>
      </c>
    </row>
    <row r="175" spans="1:14" outlineLevel="1" x14ac:dyDescent="0.2">
      <c r="A175" s="20">
        <f t="shared" si="72"/>
        <v>3615</v>
      </c>
      <c r="B175" s="19" t="str">
        <f t="shared" si="72"/>
        <v>TXST</v>
      </c>
      <c r="C175" s="58">
        <f t="shared" si="60"/>
        <v>40959.500909322014</v>
      </c>
      <c r="D175" s="15">
        <f t="shared" si="66"/>
        <v>5361</v>
      </c>
      <c r="E175" s="14">
        <f t="shared" si="67"/>
        <v>3393.5129999999999</v>
      </c>
      <c r="F175" s="14">
        <f t="shared" si="68"/>
        <v>1170.3445759893198</v>
      </c>
      <c r="G175" s="13">
        <f t="shared" si="71"/>
        <v>10437.309999999357</v>
      </c>
      <c r="H175" s="15">
        <f t="shared" si="71"/>
        <v>488.66666666666669</v>
      </c>
      <c r="I175" s="13">
        <f t="shared" si="71"/>
        <v>66.666666666666671</v>
      </c>
      <c r="J175" s="16">
        <f t="shared" si="71"/>
        <v>3675.3333333333335</v>
      </c>
      <c r="K175" s="15">
        <f t="shared" si="71"/>
        <v>7470.333333333333</v>
      </c>
      <c r="L175" s="14">
        <f t="shared" si="71"/>
        <v>5579</v>
      </c>
      <c r="M175" s="13">
        <f t="shared" si="71"/>
        <v>3317.3333333333335</v>
      </c>
    </row>
    <row r="176" spans="1:14" outlineLevel="1" x14ac:dyDescent="0.2">
      <c r="A176" s="20">
        <f t="shared" si="72"/>
        <v>3625</v>
      </c>
      <c r="B176" s="19" t="str">
        <f t="shared" si="72"/>
        <v>SRSU</v>
      </c>
      <c r="C176" s="58">
        <f t="shared" si="60"/>
        <v>2223.9281504162032</v>
      </c>
      <c r="D176" s="15">
        <f t="shared" si="66"/>
        <v>189.33333333333334</v>
      </c>
      <c r="E176" s="14">
        <f t="shared" si="67"/>
        <v>56.989333333333335</v>
      </c>
      <c r="F176" s="14">
        <f t="shared" si="68"/>
        <v>775.94215041620384</v>
      </c>
      <c r="G176" s="13">
        <f t="shared" si="71"/>
        <v>394.32999999999964</v>
      </c>
      <c r="H176" s="15">
        <f t="shared" si="71"/>
        <v>12.666666666666666</v>
      </c>
      <c r="I176" s="13">
        <f t="shared" si="71"/>
        <v>6.333333333333333</v>
      </c>
      <c r="J176" s="16">
        <f t="shared" si="71"/>
        <v>163</v>
      </c>
      <c r="K176" s="15">
        <f t="shared" si="71"/>
        <v>300</v>
      </c>
      <c r="L176" s="14">
        <f t="shared" si="71"/>
        <v>193.66666666666666</v>
      </c>
      <c r="M176" s="13">
        <f t="shared" si="71"/>
        <v>131.66666666666666</v>
      </c>
      <c r="N176" s="41"/>
    </row>
    <row r="177" spans="1:14" outlineLevel="1" x14ac:dyDescent="0.2">
      <c r="A177" s="20">
        <f t="shared" si="72"/>
        <v>20</v>
      </c>
      <c r="B177" s="19" t="str">
        <f t="shared" si="72"/>
        <v>SRRG</v>
      </c>
      <c r="C177" s="58">
        <f t="shared" si="60"/>
        <v>2805.0230567866897</v>
      </c>
      <c r="D177" s="15">
        <f t="shared" si="66"/>
        <v>161.66666666666666</v>
      </c>
      <c r="E177" s="14">
        <f t="shared" si="67"/>
        <v>51.365976618337754</v>
      </c>
      <c r="F177" s="14">
        <f t="shared" si="68"/>
        <v>1829.8204135016854</v>
      </c>
      <c r="G177" s="13">
        <f t="shared" si="71"/>
        <v>279.16999999999979</v>
      </c>
      <c r="H177" s="15">
        <f t="shared" si="71"/>
        <v>6.333333333333333</v>
      </c>
      <c r="I177" s="13">
        <f t="shared" si="71"/>
        <v>5.666666666666667</v>
      </c>
      <c r="J177" s="16">
        <f t="shared" si="71"/>
        <v>144</v>
      </c>
      <c r="K177" s="15">
        <f t="shared" si="71"/>
        <v>230</v>
      </c>
      <c r="L177" s="14">
        <f t="shared" si="71"/>
        <v>92.666666666666671</v>
      </c>
      <c r="M177" s="13">
        <f t="shared" si="71"/>
        <v>4.333333333333333</v>
      </c>
      <c r="N177" s="55"/>
    </row>
    <row r="178" spans="1:14" ht="13.5" outlineLevel="1" thickBot="1" x14ac:dyDescent="0.25">
      <c r="A178" s="12"/>
      <c r="B178" s="11" t="s">
        <v>11</v>
      </c>
      <c r="C178" s="57">
        <f t="shared" ref="C178:M178" si="73">SUM(C140:C177)</f>
        <v>673639.61471526255</v>
      </c>
      <c r="D178" s="9">
        <f t="shared" si="73"/>
        <v>84315.833333333314</v>
      </c>
      <c r="E178" s="7">
        <f t="shared" si="73"/>
        <v>49031.80588920939</v>
      </c>
      <c r="F178" s="7">
        <f t="shared" si="73"/>
        <v>50873.502159387834</v>
      </c>
      <c r="G178" s="3">
        <f t="shared" si="73"/>
        <v>172461.13999999844</v>
      </c>
      <c r="H178" s="5">
        <f t="shared" si="73"/>
        <v>13953.333333333332</v>
      </c>
      <c r="I178" s="3">
        <f t="shared" si="73"/>
        <v>1198.3333333333335</v>
      </c>
      <c r="J178" s="6">
        <f t="shared" si="73"/>
        <v>54446.500000000007</v>
      </c>
      <c r="K178" s="5">
        <f t="shared" si="73"/>
        <v>114212.66666666664</v>
      </c>
      <c r="L178" s="4">
        <f t="shared" si="73"/>
        <v>82344.5</v>
      </c>
      <c r="M178" s="3">
        <f t="shared" si="73"/>
        <v>50801.999999999993</v>
      </c>
      <c r="N178" s="55"/>
    </row>
    <row r="179" spans="1:14" ht="13.5" thickBot="1" x14ac:dyDescent="0.25">
      <c r="A179" s="45" t="s">
        <v>29</v>
      </c>
      <c r="B179" s="45"/>
      <c r="C179" s="54"/>
      <c r="D179" s="54"/>
      <c r="E179" s="54"/>
      <c r="F179" s="56"/>
      <c r="H179" s="56"/>
      <c r="N179" s="55"/>
    </row>
    <row r="180" spans="1:14" ht="12.75" customHeight="1" outlineLevel="1" x14ac:dyDescent="0.2">
      <c r="A180" s="273" t="s">
        <v>24</v>
      </c>
      <c r="B180" s="275" t="s">
        <v>23</v>
      </c>
      <c r="C180" s="277"/>
      <c r="D180" s="306" t="s">
        <v>28</v>
      </c>
      <c r="E180" s="301" t="s">
        <v>21</v>
      </c>
      <c r="F180" s="275" t="s">
        <v>20</v>
      </c>
      <c r="G180" s="297" t="s">
        <v>19</v>
      </c>
      <c r="H180" s="299" t="s">
        <v>18</v>
      </c>
      <c r="I180" s="291" t="s">
        <v>17</v>
      </c>
      <c r="J180" s="293" t="s">
        <v>16</v>
      </c>
      <c r="K180" s="295" t="s">
        <v>15</v>
      </c>
      <c r="L180" s="296"/>
      <c r="M180" s="296"/>
      <c r="N180" s="55"/>
    </row>
    <row r="181" spans="1:14" s="41" customFormat="1" ht="41.25" customHeight="1" outlineLevel="1" thickBot="1" x14ac:dyDescent="0.25">
      <c r="A181" s="274"/>
      <c r="B181" s="276"/>
      <c r="C181" s="278"/>
      <c r="D181" s="307"/>
      <c r="E181" s="302"/>
      <c r="F181" s="276"/>
      <c r="G181" s="298"/>
      <c r="H181" s="300"/>
      <c r="I181" s="292"/>
      <c r="J181" s="294"/>
      <c r="K181" s="44" t="s">
        <v>14</v>
      </c>
      <c r="L181" s="43" t="s">
        <v>13</v>
      </c>
      <c r="M181" s="42" t="s">
        <v>12</v>
      </c>
      <c r="N181" s="55"/>
    </row>
    <row r="182" spans="1:14" outlineLevel="1" x14ac:dyDescent="0.2">
      <c r="A182" s="20">
        <f t="shared" ref="A182:B197" si="74">A140</f>
        <v>3656</v>
      </c>
      <c r="B182" s="19" t="str">
        <f t="shared" si="74"/>
        <v>UTA</v>
      </c>
      <c r="C182" s="38"/>
      <c r="D182" s="33">
        <f t="shared" ref="D182:M197" si="75">AVERAGE(D224,D266,D308)</f>
        <v>5018</v>
      </c>
      <c r="E182" s="37">
        <f t="shared" si="75"/>
        <v>0.51833333333333342</v>
      </c>
      <c r="F182" s="32">
        <f t="shared" si="75"/>
        <v>16950.533333333333</v>
      </c>
      <c r="G182" s="31">
        <f t="shared" si="75"/>
        <v>10418.553333333379</v>
      </c>
      <c r="H182" s="36">
        <f t="shared" si="75"/>
        <v>1531.3333333333333</v>
      </c>
      <c r="I182" s="35">
        <f t="shared" si="75"/>
        <v>35</v>
      </c>
      <c r="J182" s="34">
        <f t="shared" si="75"/>
        <v>3116</v>
      </c>
      <c r="K182" s="33">
        <f t="shared" si="75"/>
        <v>6836.333333333333</v>
      </c>
      <c r="L182" s="32">
        <f t="shared" si="75"/>
        <v>3833.6666666666665</v>
      </c>
      <c r="M182" s="31">
        <f t="shared" si="75"/>
        <v>1783.6666666666667</v>
      </c>
      <c r="N182" s="55"/>
    </row>
    <row r="183" spans="1:14" outlineLevel="1" x14ac:dyDescent="0.2">
      <c r="A183" s="20">
        <f t="shared" si="74"/>
        <v>3658</v>
      </c>
      <c r="B183" s="19" t="str">
        <f t="shared" si="74"/>
        <v>UT</v>
      </c>
      <c r="C183" s="18"/>
      <c r="D183" s="15">
        <f t="shared" si="75"/>
        <v>8946.3333333333339</v>
      </c>
      <c r="E183" s="21">
        <f t="shared" si="75"/>
        <v>0.82900000000000007</v>
      </c>
      <c r="F183" s="14">
        <f t="shared" si="75"/>
        <v>33762.688888888893</v>
      </c>
      <c r="G183" s="13">
        <f t="shared" si="75"/>
        <v>19398.350000000519</v>
      </c>
      <c r="H183" s="15">
        <f t="shared" si="75"/>
        <v>1876.3333333333333</v>
      </c>
      <c r="I183" s="13">
        <f t="shared" si="75"/>
        <v>66</v>
      </c>
      <c r="J183" s="16">
        <f t="shared" si="75"/>
        <v>3470.3333333333335</v>
      </c>
      <c r="K183" s="15">
        <f t="shared" si="75"/>
        <v>9598.3333333333339</v>
      </c>
      <c r="L183" s="14">
        <f t="shared" si="75"/>
        <v>9005.6666666666661</v>
      </c>
      <c r="M183" s="13">
        <f t="shared" si="75"/>
        <v>7040.333333333333</v>
      </c>
      <c r="N183" s="55"/>
    </row>
    <row r="184" spans="1:14" outlineLevel="1" x14ac:dyDescent="0.2">
      <c r="A184" s="20">
        <f t="shared" si="74"/>
        <v>9741</v>
      </c>
      <c r="B184" s="19" t="str">
        <f t="shared" si="74"/>
        <v>UTD</v>
      </c>
      <c r="C184" s="18"/>
      <c r="D184" s="15">
        <f t="shared" si="75"/>
        <v>2393</v>
      </c>
      <c r="E184" s="21">
        <f t="shared" si="75"/>
        <v>0.70299999999999996</v>
      </c>
      <c r="F184" s="14">
        <f t="shared" si="75"/>
        <v>8919.1999999999989</v>
      </c>
      <c r="G184" s="13">
        <f t="shared" si="75"/>
        <v>5101.2033333334393</v>
      </c>
      <c r="H184" s="15">
        <f t="shared" si="75"/>
        <v>421.66666666666669</v>
      </c>
      <c r="I184" s="13">
        <f t="shared" si="75"/>
        <v>32</v>
      </c>
      <c r="J184" s="16">
        <f t="shared" si="75"/>
        <v>1319.6666666666667</v>
      </c>
      <c r="K184" s="15">
        <f t="shared" si="75"/>
        <v>3315</v>
      </c>
      <c r="L184" s="14">
        <f t="shared" si="75"/>
        <v>2134.3333333333335</v>
      </c>
      <c r="M184" s="13">
        <f t="shared" si="75"/>
        <v>1021.3333333333334</v>
      </c>
      <c r="N184" s="55"/>
    </row>
    <row r="185" spans="1:14" outlineLevel="1" x14ac:dyDescent="0.2">
      <c r="A185" s="20">
        <f t="shared" si="74"/>
        <v>3661</v>
      </c>
      <c r="B185" s="19" t="str">
        <f t="shared" si="74"/>
        <v>UTEP</v>
      </c>
      <c r="C185" s="18"/>
      <c r="D185" s="15">
        <f t="shared" si="75"/>
        <v>3057</v>
      </c>
      <c r="E185" s="21">
        <f t="shared" si="75"/>
        <v>0.38999999999999996</v>
      </c>
      <c r="F185" s="14">
        <f t="shared" si="75"/>
        <v>13366.333333333334</v>
      </c>
      <c r="G185" s="13">
        <f t="shared" si="75"/>
        <v>6298.0766666668133</v>
      </c>
      <c r="H185" s="15">
        <f t="shared" si="75"/>
        <v>655</v>
      </c>
      <c r="I185" s="13">
        <f t="shared" si="75"/>
        <v>90</v>
      </c>
      <c r="J185" s="16">
        <f t="shared" si="75"/>
        <v>2464.3333333333335</v>
      </c>
      <c r="K185" s="15">
        <f t="shared" si="75"/>
        <v>4362.666666666667</v>
      </c>
      <c r="L185" s="14">
        <f t="shared" si="75"/>
        <v>3358</v>
      </c>
      <c r="M185" s="13">
        <f t="shared" si="75"/>
        <v>1956</v>
      </c>
      <c r="N185" s="55"/>
    </row>
    <row r="186" spans="1:14" outlineLevel="1" x14ac:dyDescent="0.2">
      <c r="A186" s="20">
        <f t="shared" si="74"/>
        <v>3599</v>
      </c>
      <c r="B186" s="19" t="str">
        <f t="shared" si="74"/>
        <v>UTPA</v>
      </c>
      <c r="C186" s="18"/>
      <c r="D186" s="15">
        <f t="shared" si="75"/>
        <v>2580</v>
      </c>
      <c r="E186" s="21">
        <f t="shared" si="75"/>
        <v>0.43099999999999999</v>
      </c>
      <c r="F186" s="14">
        <f t="shared" si="75"/>
        <v>12589.977777777778</v>
      </c>
      <c r="G186" s="13">
        <f t="shared" si="75"/>
        <v>5134.1666666667797</v>
      </c>
      <c r="H186" s="15">
        <f t="shared" si="75"/>
        <v>520.33333333333337</v>
      </c>
      <c r="I186" s="13">
        <f t="shared" si="75"/>
        <v>28</v>
      </c>
      <c r="J186" s="16">
        <f t="shared" si="75"/>
        <v>2338.3333333333335</v>
      </c>
      <c r="K186" s="15">
        <f t="shared" si="75"/>
        <v>4075.3333333333335</v>
      </c>
      <c r="L186" s="14">
        <f t="shared" si="75"/>
        <v>3096</v>
      </c>
      <c r="M186" s="13">
        <f t="shared" si="75"/>
        <v>1939.3333333333333</v>
      </c>
      <c r="N186" s="55"/>
    </row>
    <row r="187" spans="1:14" outlineLevel="1" x14ac:dyDescent="0.2">
      <c r="A187" s="20">
        <f t="shared" si="74"/>
        <v>30646</v>
      </c>
      <c r="B187" s="19" t="str">
        <f t="shared" si="74"/>
        <v>UTB</v>
      </c>
      <c r="C187" s="18"/>
      <c r="D187" s="15">
        <f t="shared" si="75"/>
        <v>1092</v>
      </c>
      <c r="E187" s="21">
        <f t="shared" si="75"/>
        <v>0.57524809937089749</v>
      </c>
      <c r="F187" s="14">
        <f t="shared" si="75"/>
        <v>3168.7777777777778</v>
      </c>
      <c r="G187" s="13">
        <f t="shared" si="75"/>
        <v>2097.7933333333553</v>
      </c>
      <c r="H187" s="15">
        <f t="shared" si="75"/>
        <v>124.33333333333333</v>
      </c>
      <c r="I187" s="13">
        <f t="shared" si="75"/>
        <v>18.333333333333332</v>
      </c>
      <c r="J187" s="16">
        <f t="shared" si="75"/>
        <v>936.66666666666663</v>
      </c>
      <c r="K187" s="15">
        <f t="shared" si="75"/>
        <v>1326.3333333333333</v>
      </c>
      <c r="L187" s="14">
        <f t="shared" si="75"/>
        <v>556.33333333333337</v>
      </c>
      <c r="M187" s="13">
        <f t="shared" si="75"/>
        <v>100.66666666666667</v>
      </c>
      <c r="N187" s="55"/>
    </row>
    <row r="188" spans="1:14" outlineLevel="1" x14ac:dyDescent="0.2">
      <c r="A188" s="20">
        <f t="shared" si="74"/>
        <v>9930</v>
      </c>
      <c r="B188" s="19" t="str">
        <f t="shared" si="74"/>
        <v>UTPB</v>
      </c>
      <c r="C188" s="18"/>
      <c r="D188" s="15">
        <f t="shared" si="75"/>
        <v>533.33333333333337</v>
      </c>
      <c r="E188" s="21">
        <f t="shared" si="75"/>
        <v>0.44400000000000001</v>
      </c>
      <c r="F188" s="14">
        <f t="shared" si="75"/>
        <v>2306.2888888888888</v>
      </c>
      <c r="G188" s="13">
        <f t="shared" si="75"/>
        <v>1001.5166666666704</v>
      </c>
      <c r="H188" s="15">
        <f t="shared" si="75"/>
        <v>41.333333333333336</v>
      </c>
      <c r="I188" s="13">
        <f t="shared" si="75"/>
        <v>10</v>
      </c>
      <c r="J188" s="16">
        <f t="shared" si="75"/>
        <v>399</v>
      </c>
      <c r="K188" s="15">
        <f t="shared" si="75"/>
        <v>785.66666666666663</v>
      </c>
      <c r="L188" s="14">
        <f t="shared" si="75"/>
        <v>491.66666666666669</v>
      </c>
      <c r="M188" s="13">
        <f t="shared" si="75"/>
        <v>194.33333333333334</v>
      </c>
      <c r="N188" s="55"/>
    </row>
    <row r="189" spans="1:14" outlineLevel="1" x14ac:dyDescent="0.2">
      <c r="A189" s="20">
        <f t="shared" si="74"/>
        <v>10115</v>
      </c>
      <c r="B189" s="19" t="str">
        <f t="shared" si="74"/>
        <v>UTSA</v>
      </c>
      <c r="C189" s="18"/>
      <c r="D189" s="15">
        <f t="shared" si="75"/>
        <v>4119.666666666667</v>
      </c>
      <c r="E189" s="21">
        <f t="shared" si="75"/>
        <v>0.42166666666666663</v>
      </c>
      <c r="F189" s="14">
        <f t="shared" si="75"/>
        <v>20353.044444444444</v>
      </c>
      <c r="G189" s="13">
        <f t="shared" si="75"/>
        <v>8414.213333333224</v>
      </c>
      <c r="H189" s="15">
        <f t="shared" si="75"/>
        <v>392</v>
      </c>
      <c r="I189" s="13">
        <f t="shared" si="75"/>
        <v>49.666666666666664</v>
      </c>
      <c r="J189" s="16">
        <f t="shared" si="75"/>
        <v>3123.6666666666665</v>
      </c>
      <c r="K189" s="15">
        <f t="shared" si="75"/>
        <v>6809.666666666667</v>
      </c>
      <c r="L189" s="14">
        <f t="shared" si="75"/>
        <v>4458.666666666667</v>
      </c>
      <c r="M189" s="13">
        <f t="shared" si="75"/>
        <v>2615.6666666666665</v>
      </c>
      <c r="N189" s="55"/>
    </row>
    <row r="190" spans="1:14" outlineLevel="1" x14ac:dyDescent="0.2">
      <c r="A190" s="20">
        <f t="shared" si="74"/>
        <v>11163</v>
      </c>
      <c r="B190" s="19" t="str">
        <f t="shared" si="74"/>
        <v>UTT</v>
      </c>
      <c r="C190" s="18"/>
      <c r="D190" s="15">
        <f t="shared" si="75"/>
        <v>1190</v>
      </c>
      <c r="E190" s="21">
        <f t="shared" si="75"/>
        <v>0.51566666666666672</v>
      </c>
      <c r="F190" s="14">
        <f t="shared" si="75"/>
        <v>4067.577777777778</v>
      </c>
      <c r="G190" s="13">
        <f t="shared" si="75"/>
        <v>2362.6600000000103</v>
      </c>
      <c r="H190" s="15">
        <f t="shared" si="75"/>
        <v>376.66666666666669</v>
      </c>
      <c r="I190" s="13">
        <f t="shared" si="75"/>
        <v>14</v>
      </c>
      <c r="J190" s="16">
        <f t="shared" si="75"/>
        <v>942.33333333333337</v>
      </c>
      <c r="K190" s="15">
        <f t="shared" si="75"/>
        <v>1436.3333333333333</v>
      </c>
      <c r="L190" s="14">
        <f t="shared" si="75"/>
        <v>890</v>
      </c>
      <c r="M190" s="13">
        <f t="shared" si="75"/>
        <v>387.33333333333331</v>
      </c>
      <c r="N190" s="55"/>
    </row>
    <row r="191" spans="1:14" outlineLevel="1" x14ac:dyDescent="0.2">
      <c r="A191" s="20">
        <f t="shared" si="74"/>
        <v>3632</v>
      </c>
      <c r="B191" s="19" t="str">
        <f t="shared" si="74"/>
        <v>TAMU</v>
      </c>
      <c r="C191" s="18"/>
      <c r="D191" s="15">
        <f t="shared" si="75"/>
        <v>8739.6666666666661</v>
      </c>
      <c r="E191" s="21">
        <f t="shared" si="75"/>
        <v>0.84066666666666656</v>
      </c>
      <c r="F191" s="14">
        <f t="shared" si="75"/>
        <v>34623.666666666664</v>
      </c>
      <c r="G191" s="13">
        <f t="shared" si="75"/>
        <v>20104.8166666668</v>
      </c>
      <c r="H191" s="15">
        <f t="shared" si="75"/>
        <v>1763</v>
      </c>
      <c r="I191" s="13">
        <f t="shared" si="75"/>
        <v>126</v>
      </c>
      <c r="J191" s="16">
        <f t="shared" si="75"/>
        <v>3724</v>
      </c>
      <c r="K191" s="15">
        <f t="shared" si="75"/>
        <v>10060.666666666666</v>
      </c>
      <c r="L191" s="14">
        <f t="shared" si="75"/>
        <v>8907.3333333333339</v>
      </c>
      <c r="M191" s="13">
        <f t="shared" si="75"/>
        <v>6897.666666666667</v>
      </c>
      <c r="N191" s="55"/>
    </row>
    <row r="192" spans="1:14" outlineLevel="1" x14ac:dyDescent="0.2">
      <c r="A192" s="20">
        <f t="shared" si="74"/>
        <v>10298</v>
      </c>
      <c r="B192" s="19" t="str">
        <f t="shared" si="74"/>
        <v>TAMUG</v>
      </c>
      <c r="C192" s="18"/>
      <c r="D192" s="15">
        <f t="shared" si="75"/>
        <v>275.33333333333331</v>
      </c>
      <c r="E192" s="21">
        <f t="shared" si="75"/>
        <v>0.62733333333333341</v>
      </c>
      <c r="F192" s="14">
        <f t="shared" si="75"/>
        <v>1678.9333333333334</v>
      </c>
      <c r="G192" s="13">
        <f t="shared" si="75"/>
        <v>704.02666666666448</v>
      </c>
      <c r="H192" s="15">
        <f t="shared" si="75"/>
        <v>37.333333333333336</v>
      </c>
      <c r="I192" s="13">
        <f t="shared" si="75"/>
        <v>0</v>
      </c>
      <c r="J192" s="16">
        <f t="shared" si="75"/>
        <v>158</v>
      </c>
      <c r="K192" s="15">
        <f t="shared" si="75"/>
        <v>592.33333333333337</v>
      </c>
      <c r="L192" s="14">
        <f t="shared" si="75"/>
        <v>318</v>
      </c>
      <c r="M192" s="13">
        <f t="shared" si="75"/>
        <v>246</v>
      </c>
      <c r="N192" s="55"/>
    </row>
    <row r="193" spans="1:14" outlineLevel="1" x14ac:dyDescent="0.2">
      <c r="A193" s="20">
        <f t="shared" si="74"/>
        <v>3630</v>
      </c>
      <c r="B193" s="19" t="str">
        <f t="shared" si="74"/>
        <v>Prairie View</v>
      </c>
      <c r="C193" s="18"/>
      <c r="D193" s="15">
        <f t="shared" si="75"/>
        <v>936.33333333333337</v>
      </c>
      <c r="E193" s="21">
        <f t="shared" si="75"/>
        <v>0.37166666666666665</v>
      </c>
      <c r="F193" s="14">
        <f t="shared" si="75"/>
        <v>5917.2888888888883</v>
      </c>
      <c r="G193" s="13">
        <f t="shared" si="75"/>
        <v>2072.9000000000092</v>
      </c>
      <c r="H193" s="15">
        <f t="shared" si="75"/>
        <v>315.66666666666669</v>
      </c>
      <c r="I193" s="13">
        <f t="shared" si="75"/>
        <v>9.6666666666666661</v>
      </c>
      <c r="J193" s="16">
        <f t="shared" si="75"/>
        <v>802.66666666666663</v>
      </c>
      <c r="K193" s="15">
        <f t="shared" si="75"/>
        <v>1668</v>
      </c>
      <c r="L193" s="14">
        <f t="shared" si="75"/>
        <v>1181</v>
      </c>
      <c r="M193" s="13">
        <f t="shared" si="75"/>
        <v>905.33333333333337</v>
      </c>
      <c r="N193" s="55"/>
    </row>
    <row r="194" spans="1:14" outlineLevel="1" x14ac:dyDescent="0.2">
      <c r="A194" s="20">
        <f t="shared" si="74"/>
        <v>3631</v>
      </c>
      <c r="B194" s="19" t="str">
        <f t="shared" si="74"/>
        <v>Tarleton</v>
      </c>
      <c r="C194" s="18"/>
      <c r="D194" s="15">
        <f t="shared" si="75"/>
        <v>1545.3333333333333</v>
      </c>
      <c r="E194" s="21">
        <f t="shared" si="75"/>
        <v>0.47800000000000004</v>
      </c>
      <c r="F194" s="14">
        <f t="shared" si="75"/>
        <v>6292.1333333333323</v>
      </c>
      <c r="G194" s="13">
        <f t="shared" si="75"/>
        <v>3122.5433333333599</v>
      </c>
      <c r="H194" s="15">
        <f t="shared" si="75"/>
        <v>203</v>
      </c>
      <c r="I194" s="13">
        <f t="shared" si="75"/>
        <v>47.666666666666664</v>
      </c>
      <c r="J194" s="16">
        <f t="shared" si="75"/>
        <v>1195</v>
      </c>
      <c r="K194" s="15">
        <f t="shared" si="75"/>
        <v>2154.3333333333335</v>
      </c>
      <c r="L194" s="14">
        <f t="shared" si="75"/>
        <v>1328.6666666666667</v>
      </c>
      <c r="M194" s="13">
        <f t="shared" si="75"/>
        <v>862.66666666666663</v>
      </c>
      <c r="N194" s="55"/>
    </row>
    <row r="195" spans="1:14" outlineLevel="1" x14ac:dyDescent="0.2">
      <c r="A195" s="27">
        <f t="shared" si="74"/>
        <v>103631</v>
      </c>
      <c r="B195" s="19" t="str">
        <f t="shared" si="74"/>
        <v>TAMUCT</v>
      </c>
      <c r="C195" s="18"/>
      <c r="D195" s="15">
        <f t="shared" si="75"/>
        <v>460.33333333333331</v>
      </c>
      <c r="E195" s="21">
        <f t="shared" si="75"/>
        <v>0.47800000000000004</v>
      </c>
      <c r="F195" s="14">
        <f t="shared" si="75"/>
        <v>681.08888888888885</v>
      </c>
      <c r="G195" s="13">
        <f t="shared" si="75"/>
        <v>853.61666666666588</v>
      </c>
      <c r="H195" s="15">
        <f t="shared" si="75"/>
        <v>40.666666666666664</v>
      </c>
      <c r="I195" s="13">
        <f t="shared" si="75"/>
        <v>0</v>
      </c>
      <c r="J195" s="16">
        <f t="shared" si="75"/>
        <v>327</v>
      </c>
      <c r="K195" s="15">
        <f t="shared" si="75"/>
        <v>495</v>
      </c>
      <c r="L195" s="14">
        <f t="shared" si="75"/>
        <v>133</v>
      </c>
      <c r="M195" s="13">
        <f t="shared" si="75"/>
        <v>34</v>
      </c>
      <c r="N195" s="55"/>
    </row>
    <row r="196" spans="1:14" outlineLevel="1" x14ac:dyDescent="0.2">
      <c r="A196" s="20">
        <f t="shared" si="74"/>
        <v>11161</v>
      </c>
      <c r="B196" s="19" t="str">
        <f t="shared" si="74"/>
        <v>TAMUCC</v>
      </c>
      <c r="C196" s="18"/>
      <c r="D196" s="15">
        <f t="shared" si="75"/>
        <v>1388.3333333333333</v>
      </c>
      <c r="E196" s="21">
        <f t="shared" si="75"/>
        <v>0.50800000000000001</v>
      </c>
      <c r="F196" s="14">
        <f t="shared" si="75"/>
        <v>6494.666666666667</v>
      </c>
      <c r="G196" s="13">
        <f t="shared" si="75"/>
        <v>2804.2000000000139</v>
      </c>
      <c r="H196" s="15">
        <f t="shared" si="75"/>
        <v>266.33333333333331</v>
      </c>
      <c r="I196" s="13">
        <f t="shared" si="75"/>
        <v>25.666666666666668</v>
      </c>
      <c r="J196" s="16">
        <f t="shared" si="75"/>
        <v>1080</v>
      </c>
      <c r="K196" s="15">
        <f t="shared" si="75"/>
        <v>2054</v>
      </c>
      <c r="L196" s="14">
        <f t="shared" si="75"/>
        <v>1468</v>
      </c>
      <c r="M196" s="13">
        <f t="shared" si="75"/>
        <v>878.33333333333337</v>
      </c>
      <c r="N196" s="55"/>
    </row>
    <row r="197" spans="1:14" outlineLevel="1" x14ac:dyDescent="0.2">
      <c r="A197" s="20">
        <f t="shared" si="74"/>
        <v>3639</v>
      </c>
      <c r="B197" s="19" t="str">
        <f t="shared" si="74"/>
        <v>TAMUK</v>
      </c>
      <c r="C197" s="18"/>
      <c r="D197" s="15">
        <f t="shared" si="75"/>
        <v>761.66666666666663</v>
      </c>
      <c r="E197" s="21">
        <f t="shared" si="75"/>
        <v>0.40233333333333338</v>
      </c>
      <c r="F197" s="14">
        <f t="shared" si="75"/>
        <v>4260</v>
      </c>
      <c r="G197" s="13">
        <f t="shared" si="75"/>
        <v>1763.4533333333395</v>
      </c>
      <c r="H197" s="15">
        <f t="shared" si="75"/>
        <v>260</v>
      </c>
      <c r="I197" s="13">
        <f t="shared" si="75"/>
        <v>16.666666666666668</v>
      </c>
      <c r="J197" s="16">
        <f t="shared" si="75"/>
        <v>648.33333333333337</v>
      </c>
      <c r="K197" s="15">
        <f t="shared" si="75"/>
        <v>1227.3333333333333</v>
      </c>
      <c r="L197" s="14">
        <f t="shared" si="75"/>
        <v>859.66666666666663</v>
      </c>
      <c r="M197" s="13">
        <f t="shared" si="75"/>
        <v>558.66666666666663</v>
      </c>
      <c r="N197" s="55"/>
    </row>
    <row r="198" spans="1:14" outlineLevel="1" x14ac:dyDescent="0.2">
      <c r="A198" s="27">
        <f t="shared" ref="A198:B213" si="76">A156</f>
        <v>103639</v>
      </c>
      <c r="B198" s="19" t="str">
        <f t="shared" si="76"/>
        <v>TAMUSA</v>
      </c>
      <c r="C198" s="18"/>
      <c r="D198" s="15">
        <f t="shared" ref="D198:M213" si="77">AVERAGE(D240,D282,D324)</f>
        <v>587.66666666666663</v>
      </c>
      <c r="E198" s="21">
        <f t="shared" si="77"/>
        <v>0.40233333333333338</v>
      </c>
      <c r="F198" s="14">
        <f t="shared" si="77"/>
        <v>1412.711111111111</v>
      </c>
      <c r="G198" s="13">
        <f t="shared" si="77"/>
        <v>1026.0133333333379</v>
      </c>
      <c r="H198" s="15">
        <f t="shared" si="77"/>
        <v>5</v>
      </c>
      <c r="I198" s="13">
        <f t="shared" si="77"/>
        <v>2</v>
      </c>
      <c r="J198" s="16">
        <f t="shared" si="77"/>
        <v>490.33333333333331</v>
      </c>
      <c r="K198" s="15">
        <f t="shared" si="77"/>
        <v>729.66666666666663</v>
      </c>
      <c r="L198" s="14">
        <f t="shared" si="77"/>
        <v>77.333333333333329</v>
      </c>
      <c r="M198" s="13">
        <f t="shared" si="77"/>
        <v>2.6666666666666665</v>
      </c>
      <c r="N198" s="55"/>
    </row>
    <row r="199" spans="1:14" outlineLevel="1" x14ac:dyDescent="0.2">
      <c r="A199" s="20">
        <f t="shared" si="76"/>
        <v>9651</v>
      </c>
      <c r="B199" s="19" t="str">
        <f t="shared" si="76"/>
        <v>TAMI</v>
      </c>
      <c r="C199" s="18"/>
      <c r="D199" s="15">
        <f t="shared" si="77"/>
        <v>789.66666666666663</v>
      </c>
      <c r="E199" s="21">
        <f t="shared" si="77"/>
        <v>0.47333333333333333</v>
      </c>
      <c r="F199" s="14">
        <f t="shared" si="77"/>
        <v>4086</v>
      </c>
      <c r="G199" s="13">
        <f t="shared" si="77"/>
        <v>1458.4966666666717</v>
      </c>
      <c r="H199" s="15">
        <f t="shared" si="77"/>
        <v>115.66666666666667</v>
      </c>
      <c r="I199" s="13">
        <f t="shared" si="77"/>
        <v>22.333333333333332</v>
      </c>
      <c r="J199" s="16">
        <f t="shared" si="77"/>
        <v>712.66666666666663</v>
      </c>
      <c r="K199" s="15">
        <f t="shared" si="77"/>
        <v>1406.6666666666667</v>
      </c>
      <c r="L199" s="14">
        <f t="shared" si="77"/>
        <v>1015.6666666666666</v>
      </c>
      <c r="M199" s="13">
        <f t="shared" si="77"/>
        <v>473.66666666666669</v>
      </c>
      <c r="N199" s="55"/>
    </row>
    <row r="200" spans="1:14" outlineLevel="1" x14ac:dyDescent="0.2">
      <c r="A200" s="20">
        <f t="shared" si="76"/>
        <v>3665</v>
      </c>
      <c r="B200" s="19" t="str">
        <f t="shared" si="76"/>
        <v>WTAMU</v>
      </c>
      <c r="C200" s="18"/>
      <c r="D200" s="15">
        <f t="shared" si="77"/>
        <v>1255.6666666666667</v>
      </c>
      <c r="E200" s="21">
        <f t="shared" si="77"/>
        <v>0.47066666666666662</v>
      </c>
      <c r="F200" s="14">
        <f t="shared" si="77"/>
        <v>5415.2222222222226</v>
      </c>
      <c r="G200" s="13">
        <f t="shared" si="77"/>
        <v>2503.5766666666836</v>
      </c>
      <c r="H200" s="15">
        <f t="shared" si="77"/>
        <v>191.66666666666666</v>
      </c>
      <c r="I200" s="13">
        <f t="shared" si="77"/>
        <v>60.666666666666664</v>
      </c>
      <c r="J200" s="16">
        <f t="shared" si="77"/>
        <v>889.33333333333337</v>
      </c>
      <c r="K200" s="15">
        <f t="shared" si="77"/>
        <v>1791.6666666666667</v>
      </c>
      <c r="L200" s="14">
        <f t="shared" si="77"/>
        <v>1212.6666666666667</v>
      </c>
      <c r="M200" s="13">
        <f t="shared" si="77"/>
        <v>661.33333333333337</v>
      </c>
      <c r="N200" s="55"/>
    </row>
    <row r="201" spans="1:14" outlineLevel="1" x14ac:dyDescent="0.2">
      <c r="A201" s="20">
        <f t="shared" si="76"/>
        <v>3565</v>
      </c>
      <c r="B201" s="19" t="str">
        <f t="shared" si="76"/>
        <v>TAMUC</v>
      </c>
      <c r="C201" s="18"/>
      <c r="D201" s="15">
        <f t="shared" si="77"/>
        <v>1324.3333333333333</v>
      </c>
      <c r="E201" s="21">
        <f t="shared" si="77"/>
        <v>0.44</v>
      </c>
      <c r="F201" s="14">
        <f t="shared" si="77"/>
        <v>4696.9777777777772</v>
      </c>
      <c r="G201" s="13">
        <f t="shared" si="77"/>
        <v>2501.8266666666914</v>
      </c>
      <c r="H201" s="15">
        <f t="shared" si="77"/>
        <v>73</v>
      </c>
      <c r="I201" s="13">
        <f t="shared" si="77"/>
        <v>74.333333333333329</v>
      </c>
      <c r="J201" s="16">
        <f t="shared" si="77"/>
        <v>1019.3333333333334</v>
      </c>
      <c r="K201" s="15">
        <f t="shared" si="77"/>
        <v>1893</v>
      </c>
      <c r="L201" s="14">
        <f t="shared" si="77"/>
        <v>1137.3333333333333</v>
      </c>
      <c r="M201" s="13">
        <f t="shared" si="77"/>
        <v>452.33333333333331</v>
      </c>
      <c r="N201" s="55"/>
    </row>
    <row r="202" spans="1:14" outlineLevel="1" x14ac:dyDescent="0.2">
      <c r="A202" s="20">
        <f t="shared" si="76"/>
        <v>29269</v>
      </c>
      <c r="B202" s="19" t="str">
        <f t="shared" si="76"/>
        <v>TAMUT</v>
      </c>
      <c r="C202" s="18"/>
      <c r="D202" s="15">
        <f t="shared" si="77"/>
        <v>345.66666666666669</v>
      </c>
      <c r="E202" s="21">
        <f t="shared" si="77"/>
        <v>0.54202583186163211</v>
      </c>
      <c r="F202" s="14">
        <f t="shared" si="77"/>
        <v>891.66666666666663</v>
      </c>
      <c r="G202" s="13">
        <f t="shared" si="77"/>
        <v>619.90999999999826</v>
      </c>
      <c r="H202" s="15">
        <f t="shared" si="77"/>
        <v>41.666666666666664</v>
      </c>
      <c r="I202" s="13">
        <f t="shared" si="77"/>
        <v>19.333333333333332</v>
      </c>
      <c r="J202" s="16">
        <f t="shared" si="77"/>
        <v>239</v>
      </c>
      <c r="K202" s="15">
        <f t="shared" si="77"/>
        <v>432.66666666666669</v>
      </c>
      <c r="L202" s="14">
        <f t="shared" si="77"/>
        <v>181</v>
      </c>
      <c r="M202" s="13">
        <f t="shared" si="77"/>
        <v>0.66666666666666663</v>
      </c>
      <c r="N202" s="55"/>
    </row>
    <row r="203" spans="1:14" outlineLevel="1" x14ac:dyDescent="0.2">
      <c r="A203" s="20">
        <f t="shared" si="76"/>
        <v>3652</v>
      </c>
      <c r="B203" s="19" t="str">
        <f t="shared" si="76"/>
        <v>UH</v>
      </c>
      <c r="C203" s="18"/>
      <c r="D203" s="15">
        <f t="shared" si="77"/>
        <v>5098.666666666667</v>
      </c>
      <c r="E203" s="21">
        <f t="shared" si="77"/>
        <v>0.53633333333333333</v>
      </c>
      <c r="F203" s="14">
        <f t="shared" si="77"/>
        <v>23797.68888888889</v>
      </c>
      <c r="G203" s="13">
        <f t="shared" si="77"/>
        <v>10580.246666665944</v>
      </c>
      <c r="H203" s="15">
        <f t="shared" si="77"/>
        <v>737</v>
      </c>
      <c r="I203" s="13">
        <f t="shared" si="77"/>
        <v>62.666666666666664</v>
      </c>
      <c r="J203" s="16">
        <f t="shared" si="77"/>
        <v>3373</v>
      </c>
      <c r="K203" s="15">
        <f t="shared" si="77"/>
        <v>7602.333333333333</v>
      </c>
      <c r="L203" s="14">
        <f t="shared" si="77"/>
        <v>5690.333333333333</v>
      </c>
      <c r="M203" s="13">
        <f t="shared" si="77"/>
        <v>3307.3333333333335</v>
      </c>
      <c r="N203" s="55"/>
    </row>
    <row r="204" spans="1:14" outlineLevel="1" x14ac:dyDescent="0.2">
      <c r="A204" s="20">
        <f t="shared" si="76"/>
        <v>11711</v>
      </c>
      <c r="B204" s="19" t="str">
        <f t="shared" si="76"/>
        <v>UHCL</v>
      </c>
      <c r="C204" s="18"/>
      <c r="D204" s="15">
        <f t="shared" si="77"/>
        <v>1190.6666666666667</v>
      </c>
      <c r="E204" s="21">
        <f t="shared" si="77"/>
        <v>0.52016462432165866</v>
      </c>
      <c r="F204" s="14">
        <f t="shared" si="77"/>
        <v>2999.6444444444446</v>
      </c>
      <c r="G204" s="13">
        <f t="shared" si="77"/>
        <v>2282.9533333333529</v>
      </c>
      <c r="H204" s="15">
        <f t="shared" si="77"/>
        <v>106.66666666666667</v>
      </c>
      <c r="I204" s="13">
        <f t="shared" si="77"/>
        <v>8.3333333333333339</v>
      </c>
      <c r="J204" s="16">
        <f t="shared" si="77"/>
        <v>774.33333333333337</v>
      </c>
      <c r="K204" s="15">
        <f t="shared" si="77"/>
        <v>1391.3333333333333</v>
      </c>
      <c r="L204" s="14">
        <f t="shared" si="77"/>
        <v>953.66666666666663</v>
      </c>
      <c r="M204" s="13">
        <f t="shared" si="77"/>
        <v>57</v>
      </c>
      <c r="N204" s="55"/>
    </row>
    <row r="205" spans="1:14" outlineLevel="1" x14ac:dyDescent="0.2">
      <c r="A205" s="20">
        <f t="shared" si="76"/>
        <v>12826</v>
      </c>
      <c r="B205" s="19" t="str">
        <f t="shared" si="76"/>
        <v>UHD</v>
      </c>
      <c r="C205" s="18"/>
      <c r="D205" s="15">
        <f t="shared" si="77"/>
        <v>2382.3333333333335</v>
      </c>
      <c r="E205" s="21">
        <f t="shared" si="77"/>
        <v>0.19000000000000003</v>
      </c>
      <c r="F205" s="14">
        <f t="shared" si="77"/>
        <v>7985.5555555555547</v>
      </c>
      <c r="G205" s="13">
        <f t="shared" si="77"/>
        <v>4271.3166666667212</v>
      </c>
      <c r="H205" s="15">
        <f t="shared" si="77"/>
        <v>129.66666666666666</v>
      </c>
      <c r="I205" s="13">
        <f t="shared" si="77"/>
        <v>1.6666666666666667</v>
      </c>
      <c r="J205" s="16">
        <f t="shared" si="77"/>
        <v>1681</v>
      </c>
      <c r="K205" s="15">
        <f t="shared" si="77"/>
        <v>3105.3333333333335</v>
      </c>
      <c r="L205" s="14">
        <f t="shared" si="77"/>
        <v>1868.3333333333333</v>
      </c>
      <c r="M205" s="13">
        <f t="shared" si="77"/>
        <v>604.66666666666663</v>
      </c>
      <c r="N205" s="55"/>
    </row>
    <row r="206" spans="1:14" outlineLevel="1" x14ac:dyDescent="0.2">
      <c r="A206" s="20">
        <f t="shared" si="76"/>
        <v>13231</v>
      </c>
      <c r="B206" s="19" t="str">
        <f t="shared" si="76"/>
        <v>UHV</v>
      </c>
      <c r="C206" s="18"/>
      <c r="D206" s="15">
        <f t="shared" si="77"/>
        <v>576.66666666666663</v>
      </c>
      <c r="E206" s="21">
        <f t="shared" si="77"/>
        <v>0.52057016677259083</v>
      </c>
      <c r="F206" s="14">
        <f t="shared" si="77"/>
        <v>1438.6222222222223</v>
      </c>
      <c r="G206" s="13">
        <f t="shared" si="77"/>
        <v>1084.4800000000012</v>
      </c>
      <c r="H206" s="15">
        <f t="shared" si="77"/>
        <v>108</v>
      </c>
      <c r="I206" s="13">
        <f t="shared" si="77"/>
        <v>7.333333333333333</v>
      </c>
      <c r="J206" s="16">
        <f t="shared" si="77"/>
        <v>384</v>
      </c>
      <c r="K206" s="15">
        <f t="shared" si="77"/>
        <v>716</v>
      </c>
      <c r="L206" s="14">
        <f t="shared" si="77"/>
        <v>296.33333333333331</v>
      </c>
      <c r="M206" s="13">
        <f t="shared" si="77"/>
        <v>6.666666666666667</v>
      </c>
      <c r="N206" s="55"/>
    </row>
    <row r="207" spans="1:14" outlineLevel="1" x14ac:dyDescent="0.2">
      <c r="A207" s="20">
        <f t="shared" si="76"/>
        <v>3592</v>
      </c>
      <c r="B207" s="19" t="str">
        <f t="shared" si="76"/>
        <v>Midwestern</v>
      </c>
      <c r="C207" s="18"/>
      <c r="D207" s="15">
        <f t="shared" si="77"/>
        <v>1031.6666666666667</v>
      </c>
      <c r="E207" s="21">
        <f t="shared" si="77"/>
        <v>0.4393333333333333</v>
      </c>
      <c r="F207" s="14">
        <f t="shared" si="77"/>
        <v>4276.7777777777783</v>
      </c>
      <c r="G207" s="13">
        <f t="shared" si="77"/>
        <v>1962.0000000000034</v>
      </c>
      <c r="H207" s="15">
        <f t="shared" si="77"/>
        <v>333.33333333333331</v>
      </c>
      <c r="I207" s="13">
        <f t="shared" si="77"/>
        <v>15</v>
      </c>
      <c r="J207" s="16">
        <f t="shared" si="77"/>
        <v>690.33333333333337</v>
      </c>
      <c r="K207" s="15">
        <f t="shared" si="77"/>
        <v>1438</v>
      </c>
      <c r="L207" s="14">
        <f t="shared" si="77"/>
        <v>1046</v>
      </c>
      <c r="M207" s="13">
        <f t="shared" si="77"/>
        <v>679.66666666666663</v>
      </c>
      <c r="N207" s="55"/>
    </row>
    <row r="208" spans="1:14" outlineLevel="1" x14ac:dyDescent="0.2">
      <c r="A208" s="20">
        <f t="shared" si="76"/>
        <v>3594</v>
      </c>
      <c r="B208" s="19" t="str">
        <f t="shared" si="76"/>
        <v>UNT</v>
      </c>
      <c r="C208" s="18"/>
      <c r="D208" s="15">
        <f t="shared" si="77"/>
        <v>6016.666666666667</v>
      </c>
      <c r="E208" s="21">
        <f t="shared" si="77"/>
        <v>0.57633333333333336</v>
      </c>
      <c r="F208" s="14">
        <f t="shared" si="77"/>
        <v>23242.088888888899</v>
      </c>
      <c r="G208" s="13">
        <f t="shared" si="77"/>
        <v>11411.553333332529</v>
      </c>
      <c r="H208" s="15">
        <f t="shared" si="77"/>
        <v>336.66666666666669</v>
      </c>
      <c r="I208" s="13">
        <f t="shared" si="77"/>
        <v>43.333333333333336</v>
      </c>
      <c r="J208" s="16">
        <f t="shared" si="77"/>
        <v>3820</v>
      </c>
      <c r="K208" s="15">
        <f t="shared" si="77"/>
        <v>7864.666666666667</v>
      </c>
      <c r="L208" s="14">
        <f t="shared" si="77"/>
        <v>5642.333333333333</v>
      </c>
      <c r="M208" s="13">
        <f t="shared" si="77"/>
        <v>3337</v>
      </c>
      <c r="N208" s="55"/>
    </row>
    <row r="209" spans="1:14" outlineLevel="1" x14ac:dyDescent="0.2">
      <c r="A209" s="27">
        <f t="shared" si="76"/>
        <v>113594</v>
      </c>
      <c r="B209" s="19" t="str">
        <f t="shared" si="76"/>
        <v>UNTD</v>
      </c>
      <c r="C209" s="18"/>
      <c r="D209" s="15">
        <f t="shared" si="77"/>
        <v>403.5</v>
      </c>
      <c r="E209" s="21">
        <f t="shared" si="77"/>
        <v>0.57750000000000001</v>
      </c>
      <c r="F209" s="14">
        <f t="shared" si="77"/>
        <v>946.13333333333333</v>
      </c>
      <c r="G209" s="13">
        <f t="shared" si="77"/>
        <v>705.85999999999717</v>
      </c>
      <c r="H209" s="15">
        <f t="shared" si="77"/>
        <v>12</v>
      </c>
      <c r="I209" s="13">
        <f t="shared" si="77"/>
        <v>0</v>
      </c>
      <c r="J209" s="16">
        <f t="shared" si="77"/>
        <v>308.5</v>
      </c>
      <c r="K209" s="15">
        <f t="shared" si="77"/>
        <v>478</v>
      </c>
      <c r="L209" s="14">
        <f t="shared" si="77"/>
        <v>71.5</v>
      </c>
      <c r="M209" s="13">
        <f t="shared" si="77"/>
        <v>11</v>
      </c>
      <c r="N209" s="55"/>
    </row>
    <row r="210" spans="1:14" outlineLevel="1" x14ac:dyDescent="0.2">
      <c r="A210" s="20">
        <f t="shared" si="76"/>
        <v>3624</v>
      </c>
      <c r="B210" s="19" t="str">
        <f t="shared" si="76"/>
        <v>SFA</v>
      </c>
      <c r="C210" s="18"/>
      <c r="D210" s="15">
        <f t="shared" si="77"/>
        <v>1921.6666666666667</v>
      </c>
      <c r="E210" s="21">
        <f t="shared" si="77"/>
        <v>0.55399999999999994</v>
      </c>
      <c r="F210" s="14">
        <f t="shared" si="77"/>
        <v>9486.177777777777</v>
      </c>
      <c r="G210" s="13">
        <f t="shared" si="77"/>
        <v>3721.736666666669</v>
      </c>
      <c r="H210" s="15">
        <f t="shared" si="77"/>
        <v>248</v>
      </c>
      <c r="I210" s="13">
        <f t="shared" si="77"/>
        <v>44.666666666666664</v>
      </c>
      <c r="J210" s="16">
        <f t="shared" si="77"/>
        <v>1460.3333333333333</v>
      </c>
      <c r="K210" s="15">
        <f t="shared" si="77"/>
        <v>2769.3333333333335</v>
      </c>
      <c r="L210" s="14">
        <f t="shared" si="77"/>
        <v>2075</v>
      </c>
      <c r="M210" s="13">
        <f t="shared" si="77"/>
        <v>1397.3333333333333</v>
      </c>
      <c r="N210" s="55"/>
    </row>
    <row r="211" spans="1:14" outlineLevel="1" x14ac:dyDescent="0.2">
      <c r="A211" s="20">
        <f t="shared" si="76"/>
        <v>3642</v>
      </c>
      <c r="B211" s="19" t="str">
        <f t="shared" si="76"/>
        <v>TSU</v>
      </c>
      <c r="C211" s="18"/>
      <c r="D211" s="15">
        <f t="shared" si="77"/>
        <v>758.33333333333337</v>
      </c>
      <c r="E211" s="21">
        <f t="shared" si="77"/>
        <v>0.14366666666666664</v>
      </c>
      <c r="F211" s="14">
        <f t="shared" si="77"/>
        <v>5863.2444444444445</v>
      </c>
      <c r="G211" s="13">
        <f t="shared" si="77"/>
        <v>1488.6533333333352</v>
      </c>
      <c r="H211" s="15">
        <f t="shared" si="77"/>
        <v>134.33333333333334</v>
      </c>
      <c r="I211" s="13">
        <f t="shared" si="77"/>
        <v>3</v>
      </c>
      <c r="J211" s="16">
        <f t="shared" si="77"/>
        <v>666.33333333333337</v>
      </c>
      <c r="K211" s="15">
        <f t="shared" si="77"/>
        <v>1637.3333333333333</v>
      </c>
      <c r="L211" s="14">
        <f t="shared" si="77"/>
        <v>1133</v>
      </c>
      <c r="M211" s="13">
        <f t="shared" si="77"/>
        <v>848.66666666666663</v>
      </c>
      <c r="N211" s="55"/>
    </row>
    <row r="212" spans="1:14" outlineLevel="1" x14ac:dyDescent="0.2">
      <c r="A212" s="20">
        <f t="shared" si="76"/>
        <v>3644</v>
      </c>
      <c r="B212" s="19" t="str">
        <f t="shared" si="76"/>
        <v>TTU</v>
      </c>
      <c r="C212" s="18"/>
      <c r="D212" s="15">
        <f t="shared" si="77"/>
        <v>4674</v>
      </c>
      <c r="E212" s="21">
        <f t="shared" si="77"/>
        <v>0.73199999999999987</v>
      </c>
      <c r="F212" s="14">
        <f t="shared" si="77"/>
        <v>22192.42222222222</v>
      </c>
      <c r="G212" s="13">
        <f t="shared" si="77"/>
        <v>10128.113333332682</v>
      </c>
      <c r="H212" s="15">
        <f t="shared" si="77"/>
        <v>727.33333333333337</v>
      </c>
      <c r="I212" s="13">
        <f t="shared" si="77"/>
        <v>57.333333333333336</v>
      </c>
      <c r="J212" s="16">
        <f t="shared" si="77"/>
        <v>2778</v>
      </c>
      <c r="K212" s="15">
        <f t="shared" si="77"/>
        <v>6485.333333333333</v>
      </c>
      <c r="L212" s="14">
        <f t="shared" si="77"/>
        <v>5278.333333333333</v>
      </c>
      <c r="M212" s="13">
        <f t="shared" si="77"/>
        <v>3945.6666666666665</v>
      </c>
      <c r="N212" s="55"/>
    </row>
    <row r="213" spans="1:14" outlineLevel="1" x14ac:dyDescent="0.2">
      <c r="A213" s="20">
        <f t="shared" si="76"/>
        <v>3541</v>
      </c>
      <c r="B213" s="19" t="str">
        <f t="shared" si="76"/>
        <v>Angelo</v>
      </c>
      <c r="C213" s="18"/>
      <c r="D213" s="15">
        <f t="shared" si="77"/>
        <v>991.33333333333337</v>
      </c>
      <c r="E213" s="21">
        <f t="shared" si="77"/>
        <v>0.42966666666666664</v>
      </c>
      <c r="F213" s="14">
        <f t="shared" si="77"/>
        <v>4882.0444444444447</v>
      </c>
      <c r="G213" s="13">
        <f t="shared" si="77"/>
        <v>1977.3500000000051</v>
      </c>
      <c r="H213" s="15">
        <f t="shared" si="77"/>
        <v>254.33333333333334</v>
      </c>
      <c r="I213" s="13">
        <f t="shared" si="77"/>
        <v>19.333333333333332</v>
      </c>
      <c r="J213" s="16">
        <f t="shared" si="77"/>
        <v>723</v>
      </c>
      <c r="K213" s="15">
        <f t="shared" si="77"/>
        <v>1438.6666666666667</v>
      </c>
      <c r="L213" s="14">
        <f t="shared" si="77"/>
        <v>1033.6666666666667</v>
      </c>
      <c r="M213" s="13">
        <f t="shared" si="77"/>
        <v>707.66666666666663</v>
      </c>
      <c r="N213" s="55"/>
    </row>
    <row r="214" spans="1:14" outlineLevel="1" x14ac:dyDescent="0.2">
      <c r="A214" s="20">
        <f t="shared" ref="A214:B219" si="78">A172</f>
        <v>3646</v>
      </c>
      <c r="B214" s="19" t="str">
        <f t="shared" si="78"/>
        <v>TWU</v>
      </c>
      <c r="C214" s="18"/>
      <c r="D214" s="15">
        <f t="shared" ref="D214:M219" si="79">AVERAGE(D256,D298,D340)</f>
        <v>1806</v>
      </c>
      <c r="E214" s="21">
        <f t="shared" si="79"/>
        <v>0.52366666666666672</v>
      </c>
      <c r="F214" s="14">
        <f t="shared" si="79"/>
        <v>6556.4000000000005</v>
      </c>
      <c r="G214" s="13">
        <f t="shared" si="79"/>
        <v>3452.1766666666658</v>
      </c>
      <c r="H214" s="15">
        <f t="shared" si="79"/>
        <v>569.33333333333337</v>
      </c>
      <c r="I214" s="13">
        <f t="shared" si="79"/>
        <v>31.666666666666668</v>
      </c>
      <c r="J214" s="16">
        <f t="shared" si="79"/>
        <v>1247</v>
      </c>
      <c r="K214" s="15">
        <f t="shared" si="79"/>
        <v>2196</v>
      </c>
      <c r="L214" s="14">
        <f t="shared" si="79"/>
        <v>1292.3333333333333</v>
      </c>
      <c r="M214" s="13">
        <f t="shared" si="79"/>
        <v>659.66666666666663</v>
      </c>
      <c r="N214" s="55"/>
    </row>
    <row r="215" spans="1:14" outlineLevel="1" x14ac:dyDescent="0.2">
      <c r="A215" s="20">
        <f t="shared" si="78"/>
        <v>3581</v>
      </c>
      <c r="B215" s="19" t="str">
        <f t="shared" si="78"/>
        <v>Lamar</v>
      </c>
      <c r="C215" s="18"/>
      <c r="D215" s="15">
        <f t="shared" si="79"/>
        <v>1335.3333333333333</v>
      </c>
      <c r="E215" s="21">
        <f t="shared" si="79"/>
        <v>0.35033333333333333</v>
      </c>
      <c r="F215" s="14">
        <f t="shared" si="79"/>
        <v>7275.0666666666666</v>
      </c>
      <c r="G215" s="13">
        <f t="shared" si="79"/>
        <v>2684.9000000000165</v>
      </c>
      <c r="H215" s="15">
        <f t="shared" si="79"/>
        <v>330</v>
      </c>
      <c r="I215" s="13">
        <f t="shared" si="79"/>
        <v>17</v>
      </c>
      <c r="J215" s="16">
        <f t="shared" si="79"/>
        <v>948.66666666666663</v>
      </c>
      <c r="K215" s="15">
        <f t="shared" si="79"/>
        <v>2144.6666666666665</v>
      </c>
      <c r="L215" s="14">
        <f t="shared" si="79"/>
        <v>1489</v>
      </c>
      <c r="M215" s="13">
        <f t="shared" si="79"/>
        <v>1011</v>
      </c>
      <c r="N215" s="55"/>
    </row>
    <row r="216" spans="1:14" outlineLevel="1" x14ac:dyDescent="0.2">
      <c r="A216" s="20">
        <f t="shared" si="78"/>
        <v>3606</v>
      </c>
      <c r="B216" s="19" t="str">
        <f t="shared" si="78"/>
        <v>SHSU</v>
      </c>
      <c r="C216" s="18"/>
      <c r="D216" s="15">
        <f t="shared" si="79"/>
        <v>3077.6666666666665</v>
      </c>
      <c r="E216" s="21">
        <f t="shared" si="79"/>
        <v>0.58666666666666667</v>
      </c>
      <c r="F216" s="14">
        <f t="shared" si="79"/>
        <v>12574.4</v>
      </c>
      <c r="G216" s="13">
        <f t="shared" si="79"/>
        <v>5837.0766666667887</v>
      </c>
      <c r="H216" s="15">
        <f t="shared" si="79"/>
        <v>167</v>
      </c>
      <c r="I216" s="13">
        <f t="shared" si="79"/>
        <v>61</v>
      </c>
      <c r="J216" s="16">
        <f t="shared" si="79"/>
        <v>2213.6666666666665</v>
      </c>
      <c r="K216" s="15">
        <f t="shared" si="79"/>
        <v>3894.3333333333335</v>
      </c>
      <c r="L216" s="14">
        <f t="shared" si="79"/>
        <v>2965.3333333333335</v>
      </c>
      <c r="M216" s="13">
        <f t="shared" si="79"/>
        <v>1763.3333333333333</v>
      </c>
    </row>
    <row r="217" spans="1:14" outlineLevel="1" x14ac:dyDescent="0.2">
      <c r="A217" s="20">
        <f t="shared" si="78"/>
        <v>3615</v>
      </c>
      <c r="B217" s="19" t="str">
        <f t="shared" si="78"/>
        <v>TXST</v>
      </c>
      <c r="C217" s="18"/>
      <c r="D217" s="15">
        <f t="shared" si="79"/>
        <v>5361</v>
      </c>
      <c r="E217" s="21">
        <f t="shared" si="79"/>
        <v>0.63300000000000001</v>
      </c>
      <c r="F217" s="14">
        <f t="shared" si="79"/>
        <v>22903.511111111107</v>
      </c>
      <c r="G217" s="13">
        <f t="shared" si="79"/>
        <v>10437.309999999357</v>
      </c>
      <c r="H217" s="15">
        <f t="shared" si="79"/>
        <v>488.66666666666669</v>
      </c>
      <c r="I217" s="13">
        <f t="shared" si="79"/>
        <v>66.666666666666671</v>
      </c>
      <c r="J217" s="16">
        <f t="shared" si="79"/>
        <v>3675.3333333333335</v>
      </c>
      <c r="K217" s="15">
        <f t="shared" si="79"/>
        <v>7470.333333333333</v>
      </c>
      <c r="L217" s="14">
        <f t="shared" si="79"/>
        <v>5579</v>
      </c>
      <c r="M217" s="13">
        <f t="shared" si="79"/>
        <v>3317.3333333333335</v>
      </c>
    </row>
    <row r="218" spans="1:14" outlineLevel="1" x14ac:dyDescent="0.2">
      <c r="A218" s="20">
        <f t="shared" si="78"/>
        <v>3625</v>
      </c>
      <c r="B218" s="19" t="str">
        <f t="shared" si="78"/>
        <v>SRSU</v>
      </c>
      <c r="C218" s="18"/>
      <c r="D218" s="15">
        <f t="shared" si="79"/>
        <v>189.33333333333334</v>
      </c>
      <c r="E218" s="21">
        <f t="shared" si="79"/>
        <v>0.30099999999999999</v>
      </c>
      <c r="F218" s="14">
        <f t="shared" si="79"/>
        <v>1220.0222222222221</v>
      </c>
      <c r="G218" s="13">
        <f t="shared" si="79"/>
        <v>394.32999999999964</v>
      </c>
      <c r="H218" s="15">
        <f t="shared" si="79"/>
        <v>12.666666666666666</v>
      </c>
      <c r="I218" s="13">
        <f t="shared" si="79"/>
        <v>6.333333333333333</v>
      </c>
      <c r="J218" s="16">
        <f t="shared" si="79"/>
        <v>163</v>
      </c>
      <c r="K218" s="15">
        <f t="shared" si="79"/>
        <v>300</v>
      </c>
      <c r="L218" s="14">
        <f t="shared" si="79"/>
        <v>193.66666666666666</v>
      </c>
      <c r="M218" s="13">
        <f t="shared" si="79"/>
        <v>131.66666666666666</v>
      </c>
      <c r="N218" s="41"/>
    </row>
    <row r="219" spans="1:14" outlineLevel="1" x14ac:dyDescent="0.2">
      <c r="A219" s="20">
        <f t="shared" si="78"/>
        <v>20</v>
      </c>
      <c r="B219" s="19" t="str">
        <f t="shared" si="78"/>
        <v>SRRG</v>
      </c>
      <c r="C219" s="18"/>
      <c r="D219" s="15">
        <f t="shared" si="79"/>
        <v>161.66666666666666</v>
      </c>
      <c r="E219" s="21">
        <f t="shared" si="79"/>
        <v>0.31772769042270776</v>
      </c>
      <c r="F219" s="14">
        <f t="shared" si="79"/>
        <v>441.75555555555553</v>
      </c>
      <c r="G219" s="13">
        <f t="shared" si="79"/>
        <v>279.16999999999979</v>
      </c>
      <c r="H219" s="15">
        <f t="shared" si="79"/>
        <v>6.333333333333333</v>
      </c>
      <c r="I219" s="13">
        <f t="shared" si="79"/>
        <v>5.666666666666667</v>
      </c>
      <c r="J219" s="16">
        <f t="shared" si="79"/>
        <v>144</v>
      </c>
      <c r="K219" s="15">
        <f t="shared" si="79"/>
        <v>230</v>
      </c>
      <c r="L219" s="14">
        <f t="shared" si="79"/>
        <v>92.666666666666671</v>
      </c>
      <c r="M219" s="13">
        <f t="shared" si="79"/>
        <v>4.333333333333333</v>
      </c>
    </row>
    <row r="220" spans="1:14" ht="13.5" outlineLevel="1" thickBot="1" x14ac:dyDescent="0.25">
      <c r="A220" s="12"/>
      <c r="B220" s="11" t="s">
        <v>11</v>
      </c>
      <c r="C220" s="10"/>
      <c r="D220" s="9">
        <f>SUM(D182:D219)</f>
        <v>84315.833333333314</v>
      </c>
      <c r="E220" s="8">
        <v>0.55900000000000005</v>
      </c>
      <c r="F220" s="7">
        <f t="shared" ref="F220:M220" si="80">SUM(F182:F219)</f>
        <v>350016.33333333331</v>
      </c>
      <c r="G220" s="3">
        <f t="shared" si="80"/>
        <v>172461.13999999844</v>
      </c>
      <c r="H220" s="5">
        <f t="shared" si="80"/>
        <v>13953.333333333332</v>
      </c>
      <c r="I220" s="3">
        <f t="shared" si="80"/>
        <v>1198.3333333333335</v>
      </c>
      <c r="J220" s="6">
        <f t="shared" si="80"/>
        <v>54446.500000000007</v>
      </c>
      <c r="K220" s="5">
        <f t="shared" si="80"/>
        <v>114212.66666666664</v>
      </c>
      <c r="L220" s="4">
        <f t="shared" si="80"/>
        <v>82344.5</v>
      </c>
      <c r="M220" s="3">
        <f t="shared" si="80"/>
        <v>50801.999999999993</v>
      </c>
    </row>
    <row r="221" spans="1:14" ht="13.5" thickBot="1" x14ac:dyDescent="0.25">
      <c r="A221" s="45" t="s">
        <v>27</v>
      </c>
      <c r="B221" s="45"/>
      <c r="C221" s="45"/>
      <c r="D221" s="54"/>
      <c r="F221" s="54"/>
      <c r="J221" s="54"/>
    </row>
    <row r="222" spans="1:14" ht="12.75" customHeight="1" outlineLevel="1" x14ac:dyDescent="0.2">
      <c r="A222" s="273" t="s">
        <v>24</v>
      </c>
      <c r="B222" s="275" t="s">
        <v>23</v>
      </c>
      <c r="C222" s="277"/>
      <c r="D222" s="306" t="s">
        <v>22</v>
      </c>
      <c r="E222" s="301" t="s">
        <v>21</v>
      </c>
      <c r="F222" s="275" t="s">
        <v>20</v>
      </c>
      <c r="G222" s="297" t="s">
        <v>19</v>
      </c>
      <c r="H222" s="299" t="s">
        <v>18</v>
      </c>
      <c r="I222" s="291" t="s">
        <v>17</v>
      </c>
      <c r="J222" s="293" t="s">
        <v>16</v>
      </c>
      <c r="K222" s="295" t="s">
        <v>15</v>
      </c>
      <c r="L222" s="296"/>
      <c r="M222" s="296"/>
    </row>
    <row r="223" spans="1:14" s="41" customFormat="1" ht="36" customHeight="1" outlineLevel="1" thickBot="1" x14ac:dyDescent="0.25">
      <c r="A223" s="274"/>
      <c r="B223" s="276"/>
      <c r="C223" s="278"/>
      <c r="D223" s="307"/>
      <c r="E223" s="302"/>
      <c r="F223" s="276"/>
      <c r="G223" s="298"/>
      <c r="H223" s="300"/>
      <c r="I223" s="292"/>
      <c r="J223" s="294"/>
      <c r="K223" s="44" t="s">
        <v>14</v>
      </c>
      <c r="L223" s="43" t="s">
        <v>13</v>
      </c>
      <c r="M223" s="42" t="s">
        <v>12</v>
      </c>
      <c r="N223" s="1"/>
    </row>
    <row r="224" spans="1:14" outlineLevel="1" x14ac:dyDescent="0.2">
      <c r="A224" s="40">
        <f t="shared" ref="A224:B239" si="81">A182</f>
        <v>3656</v>
      </c>
      <c r="B224" s="39" t="str">
        <f t="shared" si="81"/>
        <v>UTA</v>
      </c>
      <c r="C224" s="38"/>
      <c r="D224" s="33">
        <v>5773</v>
      </c>
      <c r="E224" s="37">
        <v>0.55500000000000005</v>
      </c>
      <c r="F224" s="32">
        <v>17781.466666666667</v>
      </c>
      <c r="G224" s="51">
        <v>12087.560000000249</v>
      </c>
      <c r="H224" s="36">
        <v>2140</v>
      </c>
      <c r="I224" s="35">
        <v>43</v>
      </c>
      <c r="J224" s="34">
        <v>3528</v>
      </c>
      <c r="K224" s="53">
        <v>6893</v>
      </c>
      <c r="L224" s="52">
        <v>3962</v>
      </c>
      <c r="M224" s="51">
        <v>1894</v>
      </c>
    </row>
    <row r="225" spans="1:13" outlineLevel="1" x14ac:dyDescent="0.2">
      <c r="A225" s="20">
        <f t="shared" si="81"/>
        <v>3658</v>
      </c>
      <c r="B225" s="19" t="str">
        <f t="shared" si="81"/>
        <v>UT</v>
      </c>
      <c r="C225" s="18"/>
      <c r="D225" s="15">
        <v>8860</v>
      </c>
      <c r="E225" s="21">
        <v>0.82499999999999996</v>
      </c>
      <c r="F225" s="14">
        <v>33841.466666666667</v>
      </c>
      <c r="G225" s="28">
        <v>19542.67999999996</v>
      </c>
      <c r="H225" s="15">
        <v>1981</v>
      </c>
      <c r="I225" s="13">
        <v>83</v>
      </c>
      <c r="J225" s="16">
        <v>3501</v>
      </c>
      <c r="K225" s="30">
        <v>9260</v>
      </c>
      <c r="L225" s="29">
        <v>8373</v>
      </c>
      <c r="M225" s="28">
        <v>6348</v>
      </c>
    </row>
    <row r="226" spans="1:13" outlineLevel="1" x14ac:dyDescent="0.2">
      <c r="A226" s="20">
        <f t="shared" si="81"/>
        <v>9741</v>
      </c>
      <c r="B226" s="19" t="str">
        <f t="shared" si="81"/>
        <v>UTD</v>
      </c>
      <c r="C226" s="18"/>
      <c r="D226" s="15">
        <v>2510</v>
      </c>
      <c r="E226" s="21">
        <v>0.71900000000000008</v>
      </c>
      <c r="F226" s="14">
        <v>9826.5333333333328</v>
      </c>
      <c r="G226" s="28">
        <v>5443.8700000002518</v>
      </c>
      <c r="H226" s="15">
        <v>449</v>
      </c>
      <c r="I226" s="13">
        <v>33</v>
      </c>
      <c r="J226" s="16">
        <v>1410</v>
      </c>
      <c r="K226" s="30">
        <v>3522</v>
      </c>
      <c r="L226" s="29">
        <v>2348</v>
      </c>
      <c r="M226" s="28">
        <v>1065</v>
      </c>
    </row>
    <row r="227" spans="1:13" outlineLevel="1" x14ac:dyDescent="0.2">
      <c r="A227" s="20">
        <f t="shared" si="81"/>
        <v>3661</v>
      </c>
      <c r="B227" s="19" t="str">
        <f t="shared" si="81"/>
        <v>UTEP</v>
      </c>
      <c r="C227" s="18"/>
      <c r="D227" s="15">
        <v>3132</v>
      </c>
      <c r="E227" s="21">
        <v>0.41200000000000003</v>
      </c>
      <c r="F227" s="14">
        <v>13931.066666666668</v>
      </c>
      <c r="G227" s="28">
        <v>6456.0600000003096</v>
      </c>
      <c r="H227" s="15">
        <v>643</v>
      </c>
      <c r="I227" s="13">
        <v>86</v>
      </c>
      <c r="J227" s="16">
        <v>2590</v>
      </c>
      <c r="K227" s="30">
        <v>4400</v>
      </c>
      <c r="L227" s="29">
        <v>3304</v>
      </c>
      <c r="M227" s="28">
        <v>1986</v>
      </c>
    </row>
    <row r="228" spans="1:13" outlineLevel="1" x14ac:dyDescent="0.2">
      <c r="A228" s="20">
        <f t="shared" si="81"/>
        <v>3599</v>
      </c>
      <c r="B228" s="19" t="str">
        <f t="shared" si="81"/>
        <v>UTPA</v>
      </c>
      <c r="C228" s="18"/>
      <c r="D228" s="15">
        <v>2462</v>
      </c>
      <c r="E228" s="21">
        <v>0.44</v>
      </c>
      <c r="F228" s="14">
        <v>12698.333333333334</v>
      </c>
      <c r="G228" s="28">
        <v>5000.2800000001325</v>
      </c>
      <c r="H228" s="15">
        <v>547</v>
      </c>
      <c r="I228" s="13">
        <v>19</v>
      </c>
      <c r="J228" s="16">
        <v>2247</v>
      </c>
      <c r="K228" s="30">
        <v>3730</v>
      </c>
      <c r="L228" s="29">
        <v>2862</v>
      </c>
      <c r="M228" s="28">
        <v>1896</v>
      </c>
    </row>
    <row r="229" spans="1:13" outlineLevel="1" x14ac:dyDescent="0.2">
      <c r="A229" s="20">
        <f t="shared" si="81"/>
        <v>30646</v>
      </c>
      <c r="B229" s="19" t="str">
        <f t="shared" si="81"/>
        <v>UTB</v>
      </c>
      <c r="C229" s="18"/>
      <c r="D229" s="15">
        <v>1149</v>
      </c>
      <c r="E229" s="17">
        <v>0.52783109404990403</v>
      </c>
      <c r="F229" s="14">
        <v>3400.5333333333333</v>
      </c>
      <c r="G229" s="28">
        <v>2236.3100000000127</v>
      </c>
      <c r="H229" s="15">
        <v>133</v>
      </c>
      <c r="I229" s="13">
        <v>21</v>
      </c>
      <c r="J229" s="16">
        <v>978</v>
      </c>
      <c r="K229" s="30">
        <v>1243</v>
      </c>
      <c r="L229" s="29">
        <v>486</v>
      </c>
      <c r="M229" s="28">
        <v>99</v>
      </c>
    </row>
    <row r="230" spans="1:13" outlineLevel="1" x14ac:dyDescent="0.2">
      <c r="A230" s="20">
        <f t="shared" si="81"/>
        <v>9930</v>
      </c>
      <c r="B230" s="19" t="str">
        <f t="shared" si="81"/>
        <v>UTPB</v>
      </c>
      <c r="C230" s="18"/>
      <c r="D230" s="15">
        <v>546</v>
      </c>
      <c r="E230" s="21">
        <v>0.47899999999999998</v>
      </c>
      <c r="F230" s="14">
        <v>2343.2666666666669</v>
      </c>
      <c r="G230" s="28">
        <v>1054.6599999999951</v>
      </c>
      <c r="H230" s="15">
        <v>51</v>
      </c>
      <c r="I230" s="13">
        <v>7</v>
      </c>
      <c r="J230" s="16">
        <v>411</v>
      </c>
      <c r="K230" s="30">
        <v>742</v>
      </c>
      <c r="L230" s="29">
        <v>535</v>
      </c>
      <c r="M230" s="28">
        <v>210</v>
      </c>
    </row>
    <row r="231" spans="1:13" outlineLevel="1" x14ac:dyDescent="0.2">
      <c r="A231" s="20">
        <f t="shared" si="81"/>
        <v>10115</v>
      </c>
      <c r="B231" s="19" t="str">
        <f t="shared" si="81"/>
        <v>UTSA</v>
      </c>
      <c r="C231" s="18"/>
      <c r="D231" s="15">
        <v>4243</v>
      </c>
      <c r="E231" s="21">
        <v>0.43099999999999999</v>
      </c>
      <c r="F231" s="14">
        <v>21066.866666666665</v>
      </c>
      <c r="G231" s="28">
        <v>8736.7000000001954</v>
      </c>
      <c r="H231" s="15">
        <v>407</v>
      </c>
      <c r="I231" s="13">
        <v>63</v>
      </c>
      <c r="J231" s="16">
        <v>3204</v>
      </c>
      <c r="K231" s="30">
        <v>6815</v>
      </c>
      <c r="L231" s="29">
        <v>4371</v>
      </c>
      <c r="M231" s="28">
        <v>2560</v>
      </c>
    </row>
    <row r="232" spans="1:13" outlineLevel="1" x14ac:dyDescent="0.2">
      <c r="A232" s="20">
        <f t="shared" si="81"/>
        <v>11163</v>
      </c>
      <c r="B232" s="19" t="str">
        <f t="shared" si="81"/>
        <v>UTT</v>
      </c>
      <c r="C232" s="18"/>
      <c r="D232" s="15">
        <v>1144</v>
      </c>
      <c r="E232" s="21">
        <v>0.51800000000000002</v>
      </c>
      <c r="F232" s="14">
        <v>4086.7333333333331</v>
      </c>
      <c r="G232" s="28">
        <v>2263.8699999999944</v>
      </c>
      <c r="H232" s="15">
        <v>392</v>
      </c>
      <c r="I232" s="13">
        <v>23</v>
      </c>
      <c r="J232" s="16">
        <v>886</v>
      </c>
      <c r="K232" s="30">
        <v>1409</v>
      </c>
      <c r="L232" s="29">
        <v>844</v>
      </c>
      <c r="M232" s="28">
        <v>383</v>
      </c>
    </row>
    <row r="233" spans="1:13" outlineLevel="1" x14ac:dyDescent="0.2">
      <c r="A233" s="20">
        <f t="shared" si="81"/>
        <v>3632</v>
      </c>
      <c r="B233" s="19" t="str">
        <f t="shared" si="81"/>
        <v>TAMU</v>
      </c>
      <c r="C233" s="18"/>
      <c r="D233" s="15">
        <v>9020</v>
      </c>
      <c r="E233" s="21">
        <v>0.84200000000000008</v>
      </c>
      <c r="F233" s="14">
        <v>35116.666666666664</v>
      </c>
      <c r="G233" s="28">
        <v>21108.189999999984</v>
      </c>
      <c r="H233" s="15">
        <v>1934</v>
      </c>
      <c r="I233" s="13">
        <v>137</v>
      </c>
      <c r="J233" s="16">
        <v>3915</v>
      </c>
      <c r="K233" s="30">
        <v>10547</v>
      </c>
      <c r="L233" s="29">
        <v>8924</v>
      </c>
      <c r="M233" s="28">
        <v>6938</v>
      </c>
    </row>
    <row r="234" spans="1:13" outlineLevel="1" x14ac:dyDescent="0.2">
      <c r="A234" s="20">
        <f t="shared" si="81"/>
        <v>10298</v>
      </c>
      <c r="B234" s="19" t="str">
        <f t="shared" si="81"/>
        <v>TAMUG</v>
      </c>
      <c r="C234" s="18"/>
      <c r="D234" s="15">
        <v>314</v>
      </c>
      <c r="E234" s="21">
        <v>0.626</v>
      </c>
      <c r="F234" s="14">
        <v>1769.4666666666667</v>
      </c>
      <c r="G234" s="28">
        <v>826.3399999999923</v>
      </c>
      <c r="H234" s="15">
        <v>46</v>
      </c>
      <c r="I234" s="13">
        <v>0</v>
      </c>
      <c r="J234" s="16">
        <v>186</v>
      </c>
      <c r="K234" s="30">
        <v>607</v>
      </c>
      <c r="L234" s="29">
        <v>296</v>
      </c>
      <c r="M234" s="28">
        <v>263</v>
      </c>
    </row>
    <row r="235" spans="1:13" outlineLevel="1" x14ac:dyDescent="0.2">
      <c r="A235" s="20">
        <f t="shared" si="81"/>
        <v>3630</v>
      </c>
      <c r="B235" s="19" t="str">
        <f t="shared" si="81"/>
        <v>Prairie View</v>
      </c>
      <c r="C235" s="18"/>
      <c r="D235" s="15">
        <v>1026</v>
      </c>
      <c r="E235" s="21">
        <v>0.40299999999999997</v>
      </c>
      <c r="F235" s="14">
        <v>5822.8</v>
      </c>
      <c r="G235" s="28">
        <v>2288.9700000000062</v>
      </c>
      <c r="H235" s="15">
        <v>373</v>
      </c>
      <c r="I235" s="13">
        <v>11</v>
      </c>
      <c r="J235" s="16">
        <v>877</v>
      </c>
      <c r="K235" s="30">
        <v>1701</v>
      </c>
      <c r="L235" s="29">
        <v>1132</v>
      </c>
      <c r="M235" s="28">
        <v>871</v>
      </c>
    </row>
    <row r="236" spans="1:13" outlineLevel="1" x14ac:dyDescent="0.2">
      <c r="A236" s="20">
        <f t="shared" si="81"/>
        <v>3631</v>
      </c>
      <c r="B236" s="19" t="str">
        <f t="shared" si="81"/>
        <v>Tarleton</v>
      </c>
      <c r="C236" s="18"/>
      <c r="D236" s="15">
        <v>1662</v>
      </c>
      <c r="E236" s="21">
        <v>0.47600000000000003</v>
      </c>
      <c r="F236" s="14">
        <v>6766.4</v>
      </c>
      <c r="G236" s="28">
        <v>3337.2399999999966</v>
      </c>
      <c r="H236" s="15">
        <v>229</v>
      </c>
      <c r="I236" s="13">
        <v>49</v>
      </c>
      <c r="J236" s="16">
        <v>1296</v>
      </c>
      <c r="K236" s="30">
        <v>2227</v>
      </c>
      <c r="L236" s="29">
        <v>1216</v>
      </c>
      <c r="M236" s="28">
        <v>845</v>
      </c>
    </row>
    <row r="237" spans="1:13" outlineLevel="1" x14ac:dyDescent="0.2">
      <c r="A237" s="27">
        <f t="shared" si="81"/>
        <v>103631</v>
      </c>
      <c r="B237" s="19" t="str">
        <f t="shared" si="81"/>
        <v>TAMUCT</v>
      </c>
      <c r="C237" s="18"/>
      <c r="D237" s="15">
        <v>469</v>
      </c>
      <c r="E237" s="21">
        <f>E236</f>
        <v>0.47600000000000003</v>
      </c>
      <c r="F237" s="14">
        <v>684.13333333333333</v>
      </c>
      <c r="G237" s="28">
        <v>882.20999999999208</v>
      </c>
      <c r="H237" s="15">
        <v>42</v>
      </c>
      <c r="I237" s="13">
        <v>0</v>
      </c>
      <c r="J237" s="16">
        <v>329</v>
      </c>
      <c r="K237" s="30">
        <v>550</v>
      </c>
      <c r="L237" s="29">
        <v>119</v>
      </c>
      <c r="M237" s="28">
        <v>5</v>
      </c>
    </row>
    <row r="238" spans="1:13" outlineLevel="1" x14ac:dyDescent="0.2">
      <c r="A238" s="20">
        <f t="shared" si="81"/>
        <v>11161</v>
      </c>
      <c r="B238" s="19" t="str">
        <f t="shared" si="81"/>
        <v>TAMUCC</v>
      </c>
      <c r="C238" s="18"/>
      <c r="D238" s="15">
        <v>1515</v>
      </c>
      <c r="E238" s="21">
        <v>0.51</v>
      </c>
      <c r="F238" s="14">
        <v>6742.2</v>
      </c>
      <c r="G238" s="28">
        <v>3028.8999999999978</v>
      </c>
      <c r="H238" s="15">
        <v>310</v>
      </c>
      <c r="I238" s="13">
        <v>23</v>
      </c>
      <c r="J238" s="16">
        <v>1182</v>
      </c>
      <c r="K238" s="30">
        <v>1957</v>
      </c>
      <c r="L238" s="29">
        <v>1470</v>
      </c>
      <c r="M238" s="28">
        <v>959</v>
      </c>
    </row>
    <row r="239" spans="1:13" outlineLevel="1" x14ac:dyDescent="0.2">
      <c r="A239" s="20">
        <f t="shared" si="81"/>
        <v>3639</v>
      </c>
      <c r="B239" s="19" t="str">
        <f t="shared" si="81"/>
        <v>TAMUK</v>
      </c>
      <c r="C239" s="18"/>
      <c r="D239" s="15">
        <v>855</v>
      </c>
      <c r="E239" s="21">
        <v>0.39200000000000002</v>
      </c>
      <c r="F239" s="14">
        <v>4577.5333333333338</v>
      </c>
      <c r="G239" s="28">
        <v>1952.6200000000099</v>
      </c>
      <c r="H239" s="15">
        <v>298</v>
      </c>
      <c r="I239" s="13">
        <v>19</v>
      </c>
      <c r="J239" s="16">
        <v>742</v>
      </c>
      <c r="K239" s="30">
        <v>1343</v>
      </c>
      <c r="L239" s="29">
        <v>910</v>
      </c>
      <c r="M239" s="28">
        <v>571</v>
      </c>
    </row>
    <row r="240" spans="1:13" outlineLevel="1" x14ac:dyDescent="0.2">
      <c r="A240" s="27">
        <f t="shared" ref="A240:B255" si="82">A198</f>
        <v>103639</v>
      </c>
      <c r="B240" s="19" t="str">
        <f t="shared" si="82"/>
        <v>TAMUSA</v>
      </c>
      <c r="C240" s="18"/>
      <c r="D240" s="15">
        <v>647</v>
      </c>
      <c r="E240" s="21">
        <f>E239</f>
        <v>0.39200000000000002</v>
      </c>
      <c r="F240" s="14">
        <v>1673.0666666666666</v>
      </c>
      <c r="G240" s="28">
        <v>1155.5399999999984</v>
      </c>
      <c r="H240" s="15">
        <v>10</v>
      </c>
      <c r="I240" s="13">
        <v>4</v>
      </c>
      <c r="J240" s="16">
        <v>549</v>
      </c>
      <c r="K240" s="30">
        <v>887</v>
      </c>
      <c r="L240" s="29">
        <v>190</v>
      </c>
      <c r="M240" s="28">
        <v>1</v>
      </c>
    </row>
    <row r="241" spans="1:13" outlineLevel="1" x14ac:dyDescent="0.2">
      <c r="A241" s="20">
        <f t="shared" si="82"/>
        <v>9651</v>
      </c>
      <c r="B241" s="19" t="str">
        <f t="shared" si="82"/>
        <v>TAMI</v>
      </c>
      <c r="C241" s="18"/>
      <c r="D241" s="15">
        <v>805</v>
      </c>
      <c r="E241" s="21">
        <v>0.45700000000000002</v>
      </c>
      <c r="F241" s="14">
        <v>4312.1333333333332</v>
      </c>
      <c r="G241" s="28">
        <v>1498.7699999999936</v>
      </c>
      <c r="H241" s="15">
        <v>142</v>
      </c>
      <c r="I241" s="13">
        <v>23</v>
      </c>
      <c r="J241" s="16">
        <v>737</v>
      </c>
      <c r="K241" s="30">
        <v>1292</v>
      </c>
      <c r="L241" s="29">
        <v>1039</v>
      </c>
      <c r="M241" s="28">
        <v>488</v>
      </c>
    </row>
    <row r="242" spans="1:13" outlineLevel="1" x14ac:dyDescent="0.2">
      <c r="A242" s="20">
        <f t="shared" si="82"/>
        <v>3665</v>
      </c>
      <c r="B242" s="19" t="str">
        <f t="shared" si="82"/>
        <v>WTAMU</v>
      </c>
      <c r="C242" s="18"/>
      <c r="D242" s="15">
        <v>1253</v>
      </c>
      <c r="E242" s="21">
        <v>0.48200000000000004</v>
      </c>
      <c r="F242" s="14">
        <v>5523.2</v>
      </c>
      <c r="G242" s="28">
        <v>2523.9800000000132</v>
      </c>
      <c r="H242" s="15">
        <v>175</v>
      </c>
      <c r="I242" s="13">
        <v>60</v>
      </c>
      <c r="J242" s="16">
        <v>902</v>
      </c>
      <c r="K242" s="30">
        <v>1631</v>
      </c>
      <c r="L242" s="29">
        <v>1213</v>
      </c>
      <c r="M242" s="28">
        <v>689</v>
      </c>
    </row>
    <row r="243" spans="1:13" outlineLevel="1" x14ac:dyDescent="0.2">
      <c r="A243" s="20">
        <f t="shared" si="82"/>
        <v>3565</v>
      </c>
      <c r="B243" s="19" t="str">
        <f t="shared" si="82"/>
        <v>TAMUC</v>
      </c>
      <c r="C243" s="18"/>
      <c r="D243" s="15">
        <v>1507</v>
      </c>
      <c r="E243" s="21">
        <v>0.44600000000000001</v>
      </c>
      <c r="F243" s="14">
        <v>5135.2666666666664</v>
      </c>
      <c r="G243" s="28">
        <v>2861.9500000000121</v>
      </c>
      <c r="H243" s="15">
        <v>89</v>
      </c>
      <c r="I243" s="13">
        <v>81</v>
      </c>
      <c r="J243" s="16">
        <v>1172</v>
      </c>
      <c r="K243" s="30">
        <v>2056</v>
      </c>
      <c r="L243" s="29">
        <v>1174</v>
      </c>
      <c r="M243" s="28">
        <v>457</v>
      </c>
    </row>
    <row r="244" spans="1:13" outlineLevel="1" x14ac:dyDescent="0.2">
      <c r="A244" s="20">
        <f t="shared" si="82"/>
        <v>29269</v>
      </c>
      <c r="B244" s="19" t="str">
        <f t="shared" si="82"/>
        <v>TAMUT</v>
      </c>
      <c r="C244" s="18"/>
      <c r="D244" s="15">
        <v>376</v>
      </c>
      <c r="E244" s="17">
        <v>0.49242424242424243</v>
      </c>
      <c r="F244" s="14">
        <v>1101.2666666666667</v>
      </c>
      <c r="G244" s="28">
        <v>680.4399999999946</v>
      </c>
      <c r="H244" s="15">
        <v>47</v>
      </c>
      <c r="I244" s="13">
        <v>25</v>
      </c>
      <c r="J244" s="16">
        <v>277</v>
      </c>
      <c r="K244" s="30">
        <v>484</v>
      </c>
      <c r="L244" s="29">
        <v>219</v>
      </c>
      <c r="M244" s="28">
        <v>1</v>
      </c>
    </row>
    <row r="245" spans="1:13" outlineLevel="1" x14ac:dyDescent="0.2">
      <c r="A245" s="20">
        <f t="shared" si="82"/>
        <v>3652</v>
      </c>
      <c r="B245" s="19" t="str">
        <f t="shared" si="82"/>
        <v>UH</v>
      </c>
      <c r="C245" s="18"/>
      <c r="D245" s="15">
        <v>5426</v>
      </c>
      <c r="E245" s="21">
        <v>0.53600000000000003</v>
      </c>
      <c r="F245" s="14">
        <v>24760.400000000001</v>
      </c>
      <c r="G245" s="28">
        <v>11378.949999999324</v>
      </c>
      <c r="H245" s="15">
        <v>835</v>
      </c>
      <c r="I245" s="13">
        <v>60</v>
      </c>
      <c r="J245" s="16">
        <v>3688</v>
      </c>
      <c r="K245" s="30">
        <v>7823</v>
      </c>
      <c r="L245" s="29">
        <v>5667</v>
      </c>
      <c r="M245" s="28">
        <v>3232</v>
      </c>
    </row>
    <row r="246" spans="1:13" outlineLevel="1" x14ac:dyDescent="0.2">
      <c r="A246" s="20">
        <f t="shared" si="82"/>
        <v>11711</v>
      </c>
      <c r="B246" s="19" t="str">
        <f t="shared" si="82"/>
        <v>UHCL</v>
      </c>
      <c r="C246" s="18"/>
      <c r="D246" s="15">
        <v>1251</v>
      </c>
      <c r="E246" s="17">
        <v>0.51671732522796354</v>
      </c>
      <c r="F246" s="14">
        <v>3079.2666666666669</v>
      </c>
      <c r="G246" s="28">
        <v>2423.7000000000025</v>
      </c>
      <c r="H246" s="15">
        <v>119</v>
      </c>
      <c r="I246" s="13">
        <v>9</v>
      </c>
      <c r="J246" s="16">
        <v>839</v>
      </c>
      <c r="K246" s="30">
        <v>1391</v>
      </c>
      <c r="L246" s="29">
        <v>1014</v>
      </c>
      <c r="M246" s="28">
        <v>37</v>
      </c>
    </row>
    <row r="247" spans="1:13" outlineLevel="1" x14ac:dyDescent="0.2">
      <c r="A247" s="20">
        <f t="shared" si="82"/>
        <v>12826</v>
      </c>
      <c r="B247" s="19" t="str">
        <f t="shared" si="82"/>
        <v>UHD</v>
      </c>
      <c r="C247" s="18"/>
      <c r="D247" s="15">
        <v>2351</v>
      </c>
      <c r="E247" s="21">
        <v>0.17399999999999999</v>
      </c>
      <c r="F247" s="14">
        <v>8043.8</v>
      </c>
      <c r="G247" s="28">
        <v>4292.430000000033</v>
      </c>
      <c r="H247" s="15">
        <v>134</v>
      </c>
      <c r="I247" s="13">
        <v>3</v>
      </c>
      <c r="J247" s="16">
        <v>1694</v>
      </c>
      <c r="K247" s="30">
        <v>3011</v>
      </c>
      <c r="L247" s="29">
        <v>1820</v>
      </c>
      <c r="M247" s="28">
        <v>590</v>
      </c>
    </row>
    <row r="248" spans="1:13" outlineLevel="1" x14ac:dyDescent="0.2">
      <c r="A248" s="20">
        <f t="shared" si="82"/>
        <v>13231</v>
      </c>
      <c r="B248" s="19" t="str">
        <f t="shared" si="82"/>
        <v>UHV</v>
      </c>
      <c r="C248" s="18"/>
      <c r="D248" s="15">
        <v>619</v>
      </c>
      <c r="E248" s="17">
        <v>0.47520661157024796</v>
      </c>
      <c r="F248" s="14">
        <v>1685.8666666666666</v>
      </c>
      <c r="G248" s="28">
        <v>1187.5899999999924</v>
      </c>
      <c r="H248" s="15">
        <v>134</v>
      </c>
      <c r="I248" s="13">
        <v>9</v>
      </c>
      <c r="J248" s="16">
        <v>418</v>
      </c>
      <c r="K248" s="30">
        <v>776</v>
      </c>
      <c r="L248" s="29">
        <v>334</v>
      </c>
      <c r="M248" s="28">
        <v>6</v>
      </c>
    </row>
    <row r="249" spans="1:13" outlineLevel="1" x14ac:dyDescent="0.2">
      <c r="A249" s="20">
        <f t="shared" si="82"/>
        <v>3592</v>
      </c>
      <c r="B249" s="19" t="str">
        <f t="shared" si="82"/>
        <v>Midwestern</v>
      </c>
      <c r="C249" s="18"/>
      <c r="D249" s="15">
        <v>1066</v>
      </c>
      <c r="E249" s="21">
        <v>0.46299999999999997</v>
      </c>
      <c r="F249" s="14">
        <v>4147.7333333333336</v>
      </c>
      <c r="G249" s="28">
        <v>2062.1399999999949</v>
      </c>
      <c r="H249" s="15">
        <v>358</v>
      </c>
      <c r="I249" s="13">
        <v>15</v>
      </c>
      <c r="J249" s="16">
        <v>723</v>
      </c>
      <c r="K249" s="30">
        <v>1310</v>
      </c>
      <c r="L249" s="29">
        <v>979</v>
      </c>
      <c r="M249" s="28">
        <v>683</v>
      </c>
    </row>
    <row r="250" spans="1:13" outlineLevel="1" x14ac:dyDescent="0.2">
      <c r="A250" s="20">
        <f t="shared" si="82"/>
        <v>3594</v>
      </c>
      <c r="B250" s="19" t="str">
        <f t="shared" si="82"/>
        <v>UNT</v>
      </c>
      <c r="C250" s="18"/>
      <c r="D250" s="15">
        <v>5843</v>
      </c>
      <c r="E250" s="21">
        <v>0.56799999999999995</v>
      </c>
      <c r="F250" s="14">
        <v>23213.466666666667</v>
      </c>
      <c r="G250" s="28">
        <v>11338.869999999399</v>
      </c>
      <c r="H250" s="15">
        <v>368</v>
      </c>
      <c r="I250" s="13">
        <v>56</v>
      </c>
      <c r="J250" s="16">
        <v>3771</v>
      </c>
      <c r="K250" s="30">
        <v>7310</v>
      </c>
      <c r="L250" s="29">
        <v>5432</v>
      </c>
      <c r="M250" s="28">
        <v>3116</v>
      </c>
    </row>
    <row r="251" spans="1:13" outlineLevel="1" x14ac:dyDescent="0.2">
      <c r="A251" s="27">
        <f t="shared" si="82"/>
        <v>113594</v>
      </c>
      <c r="B251" s="19" t="str">
        <f t="shared" si="82"/>
        <v>UNTD</v>
      </c>
      <c r="C251" s="18"/>
      <c r="D251" s="15">
        <v>419</v>
      </c>
      <c r="E251" s="21">
        <f>E250</f>
        <v>0.56799999999999995</v>
      </c>
      <c r="F251" s="14">
        <v>983.4666666666667</v>
      </c>
      <c r="G251" s="28">
        <v>742.11999999999398</v>
      </c>
      <c r="H251" s="15">
        <v>14</v>
      </c>
      <c r="I251" s="13">
        <v>0</v>
      </c>
      <c r="J251" s="16">
        <v>313</v>
      </c>
      <c r="K251" s="30">
        <v>469</v>
      </c>
      <c r="L251" s="29">
        <v>80</v>
      </c>
      <c r="M251" s="28">
        <v>4</v>
      </c>
    </row>
    <row r="252" spans="1:13" outlineLevel="1" x14ac:dyDescent="0.2">
      <c r="A252" s="20">
        <f t="shared" si="82"/>
        <v>3624</v>
      </c>
      <c r="B252" s="19" t="str">
        <f t="shared" si="82"/>
        <v>SFA</v>
      </c>
      <c r="C252" s="18"/>
      <c r="D252" s="15">
        <v>2011</v>
      </c>
      <c r="E252" s="21">
        <v>0.55299999999999994</v>
      </c>
      <c r="F252" s="14">
        <v>9507.3333333333339</v>
      </c>
      <c r="G252" s="28">
        <v>3932.9399999999569</v>
      </c>
      <c r="H252" s="15">
        <v>273</v>
      </c>
      <c r="I252" s="13">
        <v>42</v>
      </c>
      <c r="J252" s="16">
        <v>1513</v>
      </c>
      <c r="K252" s="30">
        <v>2605</v>
      </c>
      <c r="L252" s="29">
        <v>2125</v>
      </c>
      <c r="M252" s="28">
        <v>1473</v>
      </c>
    </row>
    <row r="253" spans="1:13" outlineLevel="1" x14ac:dyDescent="0.2">
      <c r="A253" s="20">
        <f t="shared" si="82"/>
        <v>3642</v>
      </c>
      <c r="B253" s="19" t="str">
        <f t="shared" si="82"/>
        <v>TSU</v>
      </c>
      <c r="C253" s="18"/>
      <c r="D253" s="15">
        <v>737</v>
      </c>
      <c r="E253" s="21">
        <v>0.14099999999999999</v>
      </c>
      <c r="F253" s="14">
        <v>5767.1333333333332</v>
      </c>
      <c r="G253" s="28">
        <v>1478.8299999999929</v>
      </c>
      <c r="H253" s="15">
        <v>154</v>
      </c>
      <c r="I253" s="13">
        <v>5</v>
      </c>
      <c r="J253" s="16">
        <v>641</v>
      </c>
      <c r="K253" s="30">
        <v>1349</v>
      </c>
      <c r="L253" s="29">
        <v>988</v>
      </c>
      <c r="M253" s="28">
        <v>760</v>
      </c>
    </row>
    <row r="254" spans="1:13" outlineLevel="1" x14ac:dyDescent="0.2">
      <c r="A254" s="20">
        <f t="shared" si="82"/>
        <v>3644</v>
      </c>
      <c r="B254" s="19" t="str">
        <f t="shared" si="82"/>
        <v>TTU</v>
      </c>
      <c r="C254" s="18"/>
      <c r="D254" s="15">
        <v>4941</v>
      </c>
      <c r="E254" s="21">
        <v>0.73599999999999999</v>
      </c>
      <c r="F254" s="14">
        <v>22627.599999999999</v>
      </c>
      <c r="G254" s="28">
        <v>10741.019999999262</v>
      </c>
      <c r="H254" s="15">
        <v>839</v>
      </c>
      <c r="I254" s="13">
        <v>67</v>
      </c>
      <c r="J254" s="16">
        <v>3071</v>
      </c>
      <c r="K254" s="30">
        <v>6449</v>
      </c>
      <c r="L254" s="29">
        <v>5332</v>
      </c>
      <c r="M254" s="28">
        <v>4048</v>
      </c>
    </row>
    <row r="255" spans="1:13" outlineLevel="1" x14ac:dyDescent="0.2">
      <c r="A255" s="20">
        <f t="shared" si="82"/>
        <v>3541</v>
      </c>
      <c r="B255" s="19" t="str">
        <f t="shared" si="82"/>
        <v>Angelo</v>
      </c>
      <c r="C255" s="18"/>
      <c r="D255" s="15">
        <v>1073</v>
      </c>
      <c r="E255" s="21">
        <v>0.40799999999999997</v>
      </c>
      <c r="F255" s="14">
        <v>4921.333333333333</v>
      </c>
      <c r="G255" s="28">
        <v>2141.5100000000025</v>
      </c>
      <c r="H255" s="15">
        <v>304</v>
      </c>
      <c r="I255" s="13">
        <v>19</v>
      </c>
      <c r="J255" s="16">
        <v>773</v>
      </c>
      <c r="K255" s="30">
        <v>1398</v>
      </c>
      <c r="L255" s="29">
        <v>1022</v>
      </c>
      <c r="M255" s="28">
        <v>707</v>
      </c>
    </row>
    <row r="256" spans="1:13" outlineLevel="1" x14ac:dyDescent="0.2">
      <c r="A256" s="20">
        <f t="shared" ref="A256:B261" si="83">A214</f>
        <v>3646</v>
      </c>
      <c r="B256" s="19" t="str">
        <f t="shared" si="83"/>
        <v>TWU</v>
      </c>
      <c r="C256" s="18"/>
      <c r="D256" s="15">
        <v>1919</v>
      </c>
      <c r="E256" s="21">
        <v>0.54200000000000004</v>
      </c>
      <c r="F256" s="14">
        <v>6999.5333333333338</v>
      </c>
      <c r="G256" s="28">
        <v>3704.3199999999606</v>
      </c>
      <c r="H256" s="15">
        <v>571</v>
      </c>
      <c r="I256" s="13">
        <v>30</v>
      </c>
      <c r="J256" s="16">
        <v>1326</v>
      </c>
      <c r="K256" s="30">
        <v>2425</v>
      </c>
      <c r="L256" s="29">
        <v>1247</v>
      </c>
      <c r="M256" s="28">
        <v>703</v>
      </c>
    </row>
    <row r="257" spans="1:14" outlineLevel="1" x14ac:dyDescent="0.2">
      <c r="A257" s="20">
        <f t="shared" si="83"/>
        <v>3581</v>
      </c>
      <c r="B257" s="19" t="str">
        <f t="shared" si="83"/>
        <v>Lamar</v>
      </c>
      <c r="C257" s="18"/>
      <c r="D257" s="15">
        <v>1380</v>
      </c>
      <c r="E257" s="21">
        <v>0.35899999999999999</v>
      </c>
      <c r="F257" s="14">
        <v>7404.4666666666662</v>
      </c>
      <c r="G257" s="28">
        <v>2721.5300000000057</v>
      </c>
      <c r="H257" s="15">
        <v>318</v>
      </c>
      <c r="I257" s="13">
        <v>18</v>
      </c>
      <c r="J257" s="16">
        <v>995</v>
      </c>
      <c r="K257" s="30">
        <v>2074</v>
      </c>
      <c r="L257" s="29">
        <v>1486</v>
      </c>
      <c r="M257" s="28">
        <v>1002</v>
      </c>
    </row>
    <row r="258" spans="1:14" outlineLevel="1" x14ac:dyDescent="0.2">
      <c r="A258" s="20">
        <f t="shared" si="83"/>
        <v>3606</v>
      </c>
      <c r="B258" s="19" t="str">
        <f t="shared" si="83"/>
        <v>SHSU</v>
      </c>
      <c r="C258" s="18"/>
      <c r="D258" s="15">
        <v>2978</v>
      </c>
      <c r="E258" s="21">
        <v>0.57799999999999996</v>
      </c>
      <c r="F258" s="14">
        <v>12574.466666666667</v>
      </c>
      <c r="G258" s="28">
        <v>5694.020000000286</v>
      </c>
      <c r="H258" s="15">
        <v>172</v>
      </c>
      <c r="I258" s="13">
        <v>51</v>
      </c>
      <c r="J258" s="16">
        <v>2163</v>
      </c>
      <c r="K258" s="30">
        <v>3894</v>
      </c>
      <c r="L258" s="29">
        <v>2915</v>
      </c>
      <c r="M258" s="28">
        <v>1704</v>
      </c>
    </row>
    <row r="259" spans="1:14" outlineLevel="1" x14ac:dyDescent="0.2">
      <c r="A259" s="20">
        <f t="shared" si="83"/>
        <v>3615</v>
      </c>
      <c r="B259" s="19" t="str">
        <f t="shared" si="83"/>
        <v>TXST</v>
      </c>
      <c r="C259" s="18"/>
      <c r="D259" s="15">
        <v>5435</v>
      </c>
      <c r="E259" s="21">
        <v>0.61399999999999999</v>
      </c>
      <c r="F259" s="14">
        <v>24028</v>
      </c>
      <c r="G259" s="28">
        <v>10677.06999999951</v>
      </c>
      <c r="H259" s="15">
        <v>582</v>
      </c>
      <c r="I259" s="13">
        <v>67</v>
      </c>
      <c r="J259" s="16">
        <v>3816</v>
      </c>
      <c r="K259" s="30">
        <v>7425</v>
      </c>
      <c r="L259" s="29">
        <v>5561</v>
      </c>
      <c r="M259" s="28">
        <v>3333</v>
      </c>
    </row>
    <row r="260" spans="1:14" outlineLevel="1" x14ac:dyDescent="0.2">
      <c r="A260" s="20">
        <f t="shared" si="83"/>
        <v>3625</v>
      </c>
      <c r="B260" s="19" t="str">
        <f t="shared" si="83"/>
        <v>SRSU</v>
      </c>
      <c r="C260" s="18"/>
      <c r="D260" s="15">
        <v>191</v>
      </c>
      <c r="E260" s="21">
        <v>0.32600000000000001</v>
      </c>
      <c r="F260" s="14">
        <v>1229</v>
      </c>
      <c r="G260" s="28">
        <v>409.0499999999999</v>
      </c>
      <c r="H260" s="15">
        <v>10</v>
      </c>
      <c r="I260" s="13">
        <v>5</v>
      </c>
      <c r="J260" s="16">
        <v>167</v>
      </c>
      <c r="K260" s="30">
        <v>284</v>
      </c>
      <c r="L260" s="29">
        <v>188</v>
      </c>
      <c r="M260" s="28">
        <v>144</v>
      </c>
      <c r="N260" s="41"/>
    </row>
    <row r="261" spans="1:14" outlineLevel="1" x14ac:dyDescent="0.2">
      <c r="A261" s="20">
        <f t="shared" si="83"/>
        <v>20</v>
      </c>
      <c r="B261" s="19" t="str">
        <f t="shared" si="83"/>
        <v>SRRG</v>
      </c>
      <c r="C261" s="18"/>
      <c r="D261" s="15">
        <v>154</v>
      </c>
      <c r="E261" s="17">
        <v>0.25423728813559321</v>
      </c>
      <c r="F261" s="14">
        <v>436.8</v>
      </c>
      <c r="G261" s="28">
        <v>268.06000000000023</v>
      </c>
      <c r="H261" s="15">
        <v>6</v>
      </c>
      <c r="I261" s="13">
        <v>1</v>
      </c>
      <c r="J261" s="16">
        <v>138</v>
      </c>
      <c r="K261" s="30">
        <v>215</v>
      </c>
      <c r="L261" s="29">
        <v>91</v>
      </c>
      <c r="M261" s="28">
        <v>6</v>
      </c>
    </row>
    <row r="262" spans="1:14" ht="13.5" outlineLevel="1" thickBot="1" x14ac:dyDescent="0.25">
      <c r="A262" s="12"/>
      <c r="B262" s="11" t="s">
        <v>11</v>
      </c>
      <c r="C262" s="10"/>
      <c r="D262" s="9">
        <f>SUM(D224:D261)</f>
        <v>87062</v>
      </c>
      <c r="E262" s="8">
        <v>0.58700000000000008</v>
      </c>
      <c r="F262" s="7">
        <f t="shared" ref="F262:M262" si="84">SUM(F224:F261)</f>
        <v>359610.06666666665</v>
      </c>
      <c r="G262" s="3">
        <f t="shared" si="84"/>
        <v>180161.28999999876</v>
      </c>
      <c r="H262" s="5">
        <f t="shared" si="84"/>
        <v>15629</v>
      </c>
      <c r="I262" s="3">
        <f t="shared" si="84"/>
        <v>1267</v>
      </c>
      <c r="J262" s="6">
        <f t="shared" si="84"/>
        <v>56968</v>
      </c>
      <c r="K262" s="5">
        <f t="shared" si="84"/>
        <v>113504</v>
      </c>
      <c r="L262" s="4">
        <f t="shared" si="84"/>
        <v>81268</v>
      </c>
      <c r="M262" s="3">
        <f t="shared" si="84"/>
        <v>50077</v>
      </c>
    </row>
    <row r="263" spans="1:14" ht="13.5" thickBot="1" x14ac:dyDescent="0.25">
      <c r="A263" s="45" t="s">
        <v>26</v>
      </c>
      <c r="B263" s="45"/>
      <c r="C263" s="45"/>
      <c r="D263" s="45"/>
      <c r="F263" s="45"/>
      <c r="J263" s="45"/>
    </row>
    <row r="264" spans="1:14" ht="12.75" customHeight="1" outlineLevel="1" x14ac:dyDescent="0.2">
      <c r="A264" s="273" t="s">
        <v>24</v>
      </c>
      <c r="B264" s="275" t="s">
        <v>23</v>
      </c>
      <c r="C264" s="277"/>
      <c r="D264" s="306" t="s">
        <v>22</v>
      </c>
      <c r="E264" s="301" t="s">
        <v>21</v>
      </c>
      <c r="F264" s="275" t="s">
        <v>20</v>
      </c>
      <c r="G264" s="297" t="s">
        <v>19</v>
      </c>
      <c r="H264" s="299" t="s">
        <v>18</v>
      </c>
      <c r="I264" s="291" t="s">
        <v>17</v>
      </c>
      <c r="J264" s="293" t="s">
        <v>16</v>
      </c>
      <c r="K264" s="295" t="s">
        <v>15</v>
      </c>
      <c r="L264" s="296"/>
      <c r="M264" s="296"/>
    </row>
    <row r="265" spans="1:14" s="41" customFormat="1" ht="40.5" customHeight="1" outlineLevel="1" thickBot="1" x14ac:dyDescent="0.25">
      <c r="A265" s="274"/>
      <c r="B265" s="276"/>
      <c r="C265" s="278"/>
      <c r="D265" s="307"/>
      <c r="E265" s="302"/>
      <c r="F265" s="276"/>
      <c r="G265" s="298"/>
      <c r="H265" s="300"/>
      <c r="I265" s="292"/>
      <c r="J265" s="294"/>
      <c r="K265" s="44" t="s">
        <v>14</v>
      </c>
      <c r="L265" s="43" t="s">
        <v>13</v>
      </c>
      <c r="M265" s="42" t="s">
        <v>12</v>
      </c>
      <c r="N265" s="1"/>
    </row>
    <row r="266" spans="1:14" outlineLevel="1" x14ac:dyDescent="0.2">
      <c r="A266" s="40">
        <f t="shared" ref="A266:B281" si="85">A224</f>
        <v>3656</v>
      </c>
      <c r="B266" s="39" t="str">
        <f t="shared" si="85"/>
        <v>UTA</v>
      </c>
      <c r="C266" s="38"/>
      <c r="D266" s="33">
        <v>5103</v>
      </c>
      <c r="E266" s="37">
        <v>0.49299999999999999</v>
      </c>
      <c r="F266" s="32">
        <v>17372</v>
      </c>
      <c r="G266" s="31">
        <v>10527.860000000002</v>
      </c>
      <c r="H266" s="36">
        <v>1620</v>
      </c>
      <c r="I266" s="35">
        <v>26</v>
      </c>
      <c r="J266" s="34">
        <v>3158</v>
      </c>
      <c r="K266" s="33">
        <v>6986</v>
      </c>
      <c r="L266" s="32">
        <v>3903</v>
      </c>
      <c r="M266" s="31">
        <v>1733</v>
      </c>
    </row>
    <row r="267" spans="1:14" outlineLevel="1" x14ac:dyDescent="0.2">
      <c r="A267" s="20">
        <f t="shared" si="85"/>
        <v>3658</v>
      </c>
      <c r="B267" s="19" t="str">
        <f t="shared" si="85"/>
        <v>UT</v>
      </c>
      <c r="C267" s="18"/>
      <c r="D267" s="15">
        <v>9027</v>
      </c>
      <c r="E267" s="21">
        <v>0.83299999999999996</v>
      </c>
      <c r="F267" s="14">
        <v>33709.866666666669</v>
      </c>
      <c r="G267" s="13">
        <v>19422.050000001858</v>
      </c>
      <c r="H267" s="15">
        <v>1894</v>
      </c>
      <c r="I267" s="13">
        <v>60</v>
      </c>
      <c r="J267" s="16">
        <v>3475</v>
      </c>
      <c r="K267" s="15">
        <v>9939</v>
      </c>
      <c r="L267" s="14">
        <v>8895</v>
      </c>
      <c r="M267" s="13">
        <v>7485</v>
      </c>
    </row>
    <row r="268" spans="1:14" outlineLevel="1" x14ac:dyDescent="0.2">
      <c r="A268" s="20">
        <f t="shared" si="85"/>
        <v>9741</v>
      </c>
      <c r="B268" s="19" t="str">
        <f t="shared" si="85"/>
        <v>UTD</v>
      </c>
      <c r="C268" s="18"/>
      <c r="D268" s="15">
        <v>2314</v>
      </c>
      <c r="E268" s="21">
        <v>0.68299999999999994</v>
      </c>
      <c r="F268" s="14">
        <v>8822.2000000000007</v>
      </c>
      <c r="G268" s="13">
        <v>4904.1700000000228</v>
      </c>
      <c r="H268" s="15">
        <v>424</v>
      </c>
      <c r="I268" s="13">
        <v>27</v>
      </c>
      <c r="J268" s="16">
        <v>1294</v>
      </c>
      <c r="K268" s="15">
        <v>3345</v>
      </c>
      <c r="L268" s="14">
        <v>2105</v>
      </c>
      <c r="M268" s="13">
        <v>1076</v>
      </c>
    </row>
    <row r="269" spans="1:14" outlineLevel="1" x14ac:dyDescent="0.2">
      <c r="A269" s="20">
        <f t="shared" si="85"/>
        <v>3661</v>
      </c>
      <c r="B269" s="19" t="str">
        <f t="shared" si="85"/>
        <v>UTEP</v>
      </c>
      <c r="C269" s="18"/>
      <c r="D269" s="15">
        <v>3008</v>
      </c>
      <c r="E269" s="21">
        <v>0.38400000000000001</v>
      </c>
      <c r="F269" s="14">
        <v>13376</v>
      </c>
      <c r="G269" s="13">
        <v>6142.7200000000885</v>
      </c>
      <c r="H269" s="15">
        <v>613</v>
      </c>
      <c r="I269" s="13">
        <v>91</v>
      </c>
      <c r="J269" s="16">
        <v>2409</v>
      </c>
      <c r="K269" s="15">
        <v>4488</v>
      </c>
      <c r="L269" s="14">
        <v>3404</v>
      </c>
      <c r="M269" s="13">
        <v>1910</v>
      </c>
    </row>
    <row r="270" spans="1:14" outlineLevel="1" x14ac:dyDescent="0.2">
      <c r="A270" s="20">
        <f t="shared" si="85"/>
        <v>3599</v>
      </c>
      <c r="B270" s="19" t="str">
        <f t="shared" si="85"/>
        <v>UTPA</v>
      </c>
      <c r="C270" s="18"/>
      <c r="D270" s="15">
        <v>2658</v>
      </c>
      <c r="E270" s="21">
        <v>0.46399999999999997</v>
      </c>
      <c r="F270" s="14">
        <v>12499.266666666666</v>
      </c>
      <c r="G270" s="13">
        <v>5231.3300000001427</v>
      </c>
      <c r="H270" s="15">
        <v>534</v>
      </c>
      <c r="I270" s="13">
        <v>34</v>
      </c>
      <c r="J270" s="16">
        <v>2427</v>
      </c>
      <c r="K270" s="15">
        <v>4142</v>
      </c>
      <c r="L270" s="14">
        <v>3290</v>
      </c>
      <c r="M270" s="13">
        <v>1998</v>
      </c>
    </row>
    <row r="271" spans="1:14" outlineLevel="1" x14ac:dyDescent="0.2">
      <c r="A271" s="20">
        <f t="shared" si="85"/>
        <v>30646</v>
      </c>
      <c r="B271" s="19" t="str">
        <f t="shared" si="85"/>
        <v>UTB</v>
      </c>
      <c r="C271" s="18"/>
      <c r="D271" s="15">
        <v>1075</v>
      </c>
      <c r="E271" s="17">
        <v>0.55124653739612184</v>
      </c>
      <c r="F271" s="14">
        <v>3116.2</v>
      </c>
      <c r="G271" s="13">
        <v>2052.0600000000218</v>
      </c>
      <c r="H271" s="15">
        <v>132</v>
      </c>
      <c r="I271" s="13">
        <v>15</v>
      </c>
      <c r="J271" s="16">
        <v>916</v>
      </c>
      <c r="K271" s="15">
        <v>1359</v>
      </c>
      <c r="L271" s="14">
        <v>600</v>
      </c>
      <c r="M271" s="13">
        <v>131</v>
      </c>
    </row>
    <row r="272" spans="1:14" outlineLevel="1" x14ac:dyDescent="0.2">
      <c r="A272" s="20">
        <f t="shared" si="85"/>
        <v>9930</v>
      </c>
      <c r="B272" s="19" t="str">
        <f t="shared" si="85"/>
        <v>UTPB</v>
      </c>
      <c r="C272" s="18"/>
      <c r="D272" s="15">
        <v>541</v>
      </c>
      <c r="E272" s="21">
        <v>0.40700000000000003</v>
      </c>
      <c r="F272" s="14">
        <v>2416</v>
      </c>
      <c r="G272" s="13">
        <v>1005.1500000000051</v>
      </c>
      <c r="H272" s="15">
        <v>40</v>
      </c>
      <c r="I272" s="13">
        <v>10</v>
      </c>
      <c r="J272" s="16">
        <v>407</v>
      </c>
      <c r="K272" s="15">
        <v>908</v>
      </c>
      <c r="L272" s="14">
        <v>490</v>
      </c>
      <c r="M272" s="13">
        <v>191</v>
      </c>
    </row>
    <row r="273" spans="1:13" outlineLevel="1" x14ac:dyDescent="0.2">
      <c r="A273" s="20">
        <f t="shared" si="85"/>
        <v>10115</v>
      </c>
      <c r="B273" s="19" t="str">
        <f t="shared" si="85"/>
        <v>UTSA</v>
      </c>
      <c r="C273" s="18"/>
      <c r="D273" s="15">
        <v>4148</v>
      </c>
      <c r="E273" s="21">
        <v>0.39400000000000002</v>
      </c>
      <c r="F273" s="14">
        <v>20284.733333333334</v>
      </c>
      <c r="G273" s="13">
        <v>8398.8499999997166</v>
      </c>
      <c r="H273" s="15">
        <v>394</v>
      </c>
      <c r="I273" s="13">
        <v>47</v>
      </c>
      <c r="J273" s="16">
        <v>3211</v>
      </c>
      <c r="K273" s="15">
        <v>6802</v>
      </c>
      <c r="L273" s="14">
        <v>4390</v>
      </c>
      <c r="M273" s="13">
        <v>2699</v>
      </c>
    </row>
    <row r="274" spans="1:13" outlineLevel="1" x14ac:dyDescent="0.2">
      <c r="A274" s="20">
        <f t="shared" si="85"/>
        <v>11163</v>
      </c>
      <c r="B274" s="19" t="str">
        <f t="shared" si="85"/>
        <v>UTT</v>
      </c>
      <c r="C274" s="18"/>
      <c r="D274" s="15">
        <v>1188</v>
      </c>
      <c r="E274" s="21">
        <v>0.53300000000000003</v>
      </c>
      <c r="F274" s="14">
        <v>4030.7333333333331</v>
      </c>
      <c r="G274" s="13">
        <v>2364.9800000000037</v>
      </c>
      <c r="H274" s="15">
        <v>366</v>
      </c>
      <c r="I274" s="13">
        <v>9</v>
      </c>
      <c r="J274" s="16">
        <v>939</v>
      </c>
      <c r="K274" s="15">
        <v>1496</v>
      </c>
      <c r="L274" s="14">
        <v>905</v>
      </c>
      <c r="M274" s="13">
        <v>401</v>
      </c>
    </row>
    <row r="275" spans="1:13" outlineLevel="1" x14ac:dyDescent="0.2">
      <c r="A275" s="20">
        <f t="shared" si="85"/>
        <v>3632</v>
      </c>
      <c r="B275" s="19" t="str">
        <f t="shared" si="85"/>
        <v>TAMU</v>
      </c>
      <c r="C275" s="18"/>
      <c r="D275" s="15">
        <v>8748</v>
      </c>
      <c r="E275" s="21">
        <v>0.84399999999999997</v>
      </c>
      <c r="F275" s="14">
        <v>34425.133333333331</v>
      </c>
      <c r="G275" s="13">
        <v>20060.050000001262</v>
      </c>
      <c r="H275" s="15">
        <v>1775</v>
      </c>
      <c r="I275" s="13">
        <v>133</v>
      </c>
      <c r="J275" s="16">
        <v>3727</v>
      </c>
      <c r="K275" s="15">
        <v>9623</v>
      </c>
      <c r="L275" s="14">
        <v>8962</v>
      </c>
      <c r="M275" s="13">
        <v>6823</v>
      </c>
    </row>
    <row r="276" spans="1:13" outlineLevel="1" x14ac:dyDescent="0.2">
      <c r="A276" s="20">
        <f t="shared" si="85"/>
        <v>10298</v>
      </c>
      <c r="B276" s="19" t="str">
        <f t="shared" si="85"/>
        <v>TAMUG</v>
      </c>
      <c r="C276" s="18"/>
      <c r="D276" s="15">
        <v>250</v>
      </c>
      <c r="E276" s="21">
        <v>0.66400000000000003</v>
      </c>
      <c r="F276" s="14">
        <v>1668.1333333333334</v>
      </c>
      <c r="G276" s="13">
        <v>648.89999999999895</v>
      </c>
      <c r="H276" s="15">
        <v>35</v>
      </c>
      <c r="I276" s="13">
        <v>0</v>
      </c>
      <c r="J276" s="16">
        <v>151</v>
      </c>
      <c r="K276" s="15">
        <v>600</v>
      </c>
      <c r="L276" s="14">
        <v>336</v>
      </c>
      <c r="M276" s="13">
        <v>234</v>
      </c>
    </row>
    <row r="277" spans="1:13" outlineLevel="1" x14ac:dyDescent="0.2">
      <c r="A277" s="20">
        <f t="shared" si="85"/>
        <v>3630</v>
      </c>
      <c r="B277" s="19" t="str">
        <f t="shared" si="85"/>
        <v>Prairie View</v>
      </c>
      <c r="C277" s="18"/>
      <c r="D277" s="15">
        <v>904</v>
      </c>
      <c r="E277" s="21">
        <v>0.37</v>
      </c>
      <c r="F277" s="49">
        <v>6088.2666666666664</v>
      </c>
      <c r="G277" s="13">
        <v>1934.240000000003</v>
      </c>
      <c r="H277" s="15">
        <v>279</v>
      </c>
      <c r="I277" s="13">
        <v>10</v>
      </c>
      <c r="J277" s="16">
        <v>775</v>
      </c>
      <c r="K277" s="15">
        <v>1660</v>
      </c>
      <c r="L277" s="14">
        <v>1237</v>
      </c>
      <c r="M277" s="13">
        <v>905</v>
      </c>
    </row>
    <row r="278" spans="1:13" outlineLevel="1" x14ac:dyDescent="0.2">
      <c r="A278" s="20">
        <f t="shared" si="85"/>
        <v>3631</v>
      </c>
      <c r="B278" s="19" t="str">
        <f t="shared" si="85"/>
        <v>Tarleton</v>
      </c>
      <c r="C278" s="18"/>
      <c r="D278" s="15">
        <v>1552</v>
      </c>
      <c r="E278" s="21">
        <v>0.48299999999999998</v>
      </c>
      <c r="F278" s="49">
        <v>6264.4666666666662</v>
      </c>
      <c r="G278" s="13">
        <v>3063.9600000000341</v>
      </c>
      <c r="H278" s="15">
        <v>197</v>
      </c>
      <c r="I278" s="48">
        <v>56</v>
      </c>
      <c r="J278" s="16">
        <v>1196</v>
      </c>
      <c r="K278" s="50">
        <v>2096</v>
      </c>
      <c r="L278" s="49">
        <v>1464</v>
      </c>
      <c r="M278" s="48">
        <v>840</v>
      </c>
    </row>
    <row r="279" spans="1:13" outlineLevel="1" x14ac:dyDescent="0.2">
      <c r="A279" s="27">
        <f t="shared" si="85"/>
        <v>103631</v>
      </c>
      <c r="B279" s="19" t="str">
        <f t="shared" si="85"/>
        <v>TAMUCT</v>
      </c>
      <c r="C279" s="18"/>
      <c r="D279" s="15">
        <v>462</v>
      </c>
      <c r="E279" s="21">
        <v>0.48299999999999998</v>
      </c>
      <c r="F279" s="49">
        <v>700.66666666666663</v>
      </c>
      <c r="G279" s="13">
        <v>846.68000000000006</v>
      </c>
      <c r="H279" s="15">
        <v>36</v>
      </c>
      <c r="I279" s="48">
        <v>0</v>
      </c>
      <c r="J279" s="16">
        <v>330</v>
      </c>
      <c r="K279" s="50">
        <v>555</v>
      </c>
      <c r="L279" s="49">
        <v>143</v>
      </c>
      <c r="M279" s="48">
        <v>66</v>
      </c>
    </row>
    <row r="280" spans="1:13" outlineLevel="1" x14ac:dyDescent="0.2">
      <c r="A280" s="20">
        <f t="shared" si="85"/>
        <v>11161</v>
      </c>
      <c r="B280" s="19" t="str">
        <f t="shared" si="85"/>
        <v>TAMUCC</v>
      </c>
      <c r="C280" s="18"/>
      <c r="D280" s="15">
        <v>1315</v>
      </c>
      <c r="E280" s="21">
        <v>0.51100000000000001</v>
      </c>
      <c r="F280" s="49">
        <v>6609.8666666666668</v>
      </c>
      <c r="G280" s="13">
        <v>2639.1300000000101</v>
      </c>
      <c r="H280" s="15">
        <v>252</v>
      </c>
      <c r="I280" s="48">
        <v>25</v>
      </c>
      <c r="J280" s="16">
        <v>1034</v>
      </c>
      <c r="K280" s="15">
        <v>2126</v>
      </c>
      <c r="L280" s="14">
        <v>1577</v>
      </c>
      <c r="M280" s="13">
        <v>864</v>
      </c>
    </row>
    <row r="281" spans="1:13" outlineLevel="1" x14ac:dyDescent="0.2">
      <c r="A281" s="20">
        <f t="shared" si="85"/>
        <v>3639</v>
      </c>
      <c r="B281" s="19" t="str">
        <f t="shared" si="85"/>
        <v>TAMUK</v>
      </c>
      <c r="C281" s="18"/>
      <c r="D281" s="15">
        <v>738</v>
      </c>
      <c r="E281" s="21">
        <v>0.39799999999999996</v>
      </c>
      <c r="F281" s="49">
        <v>4394.2</v>
      </c>
      <c r="G281" s="13">
        <v>1735.8600000000065</v>
      </c>
      <c r="H281" s="15">
        <v>246</v>
      </c>
      <c r="I281" s="48">
        <v>16</v>
      </c>
      <c r="J281" s="16">
        <v>613</v>
      </c>
      <c r="K281" s="50">
        <v>1180</v>
      </c>
      <c r="L281" s="49">
        <v>879</v>
      </c>
      <c r="M281" s="48">
        <v>555</v>
      </c>
    </row>
    <row r="282" spans="1:13" outlineLevel="1" x14ac:dyDescent="0.2">
      <c r="A282" s="27">
        <f t="shared" ref="A282:B297" si="86">A240</f>
        <v>103639</v>
      </c>
      <c r="B282" s="19" t="str">
        <f t="shared" si="86"/>
        <v>TAMUSA</v>
      </c>
      <c r="C282" s="18"/>
      <c r="D282" s="15">
        <v>620</v>
      </c>
      <c r="E282" s="21">
        <v>0.39799999999999996</v>
      </c>
      <c r="F282" s="49">
        <v>1492.4</v>
      </c>
      <c r="G282" s="13">
        <v>1078.0000000000073</v>
      </c>
      <c r="H282" s="15">
        <v>1</v>
      </c>
      <c r="I282" s="48">
        <v>0</v>
      </c>
      <c r="J282" s="16">
        <v>520</v>
      </c>
      <c r="K282" s="50">
        <v>995</v>
      </c>
      <c r="L282" s="49">
        <v>37</v>
      </c>
      <c r="M282" s="48">
        <v>2</v>
      </c>
    </row>
    <row r="283" spans="1:13" outlineLevel="1" x14ac:dyDescent="0.2">
      <c r="A283" s="20">
        <f t="shared" si="86"/>
        <v>9651</v>
      </c>
      <c r="B283" s="19" t="str">
        <f t="shared" si="86"/>
        <v>TAMI</v>
      </c>
      <c r="C283" s="18"/>
      <c r="D283" s="15">
        <v>766</v>
      </c>
      <c r="E283" s="21">
        <v>0.503</v>
      </c>
      <c r="F283" s="14">
        <v>4126.8</v>
      </c>
      <c r="G283" s="13">
        <v>1400.4200000000046</v>
      </c>
      <c r="H283" s="15">
        <v>120</v>
      </c>
      <c r="I283" s="13">
        <v>18</v>
      </c>
      <c r="J283" s="16">
        <v>688</v>
      </c>
      <c r="K283" s="15">
        <v>1515</v>
      </c>
      <c r="L283" s="14">
        <v>1027</v>
      </c>
      <c r="M283" s="13">
        <v>486</v>
      </c>
    </row>
    <row r="284" spans="1:13" outlineLevel="1" x14ac:dyDescent="0.2">
      <c r="A284" s="20">
        <f t="shared" si="86"/>
        <v>3665</v>
      </c>
      <c r="B284" s="19" t="str">
        <f t="shared" si="86"/>
        <v>WTAMU</v>
      </c>
      <c r="C284" s="18"/>
      <c r="D284" s="15">
        <v>1294</v>
      </c>
      <c r="E284" s="21">
        <v>0.47399999999999998</v>
      </c>
      <c r="F284" s="14">
        <v>5457.666666666667</v>
      </c>
      <c r="G284" s="13">
        <v>2570.7800000000157</v>
      </c>
      <c r="H284" s="15">
        <v>184</v>
      </c>
      <c r="I284" s="13">
        <v>58</v>
      </c>
      <c r="J284" s="16">
        <v>913</v>
      </c>
      <c r="K284" s="15">
        <v>1871</v>
      </c>
      <c r="L284" s="14">
        <v>1264</v>
      </c>
      <c r="M284" s="13">
        <v>664</v>
      </c>
    </row>
    <row r="285" spans="1:13" outlineLevel="1" x14ac:dyDescent="0.2">
      <c r="A285" s="20">
        <f t="shared" si="86"/>
        <v>3565</v>
      </c>
      <c r="B285" s="19" t="str">
        <f t="shared" si="86"/>
        <v>TAMUC</v>
      </c>
      <c r="C285" s="18"/>
      <c r="D285" s="15">
        <v>1313</v>
      </c>
      <c r="E285" s="21">
        <v>0.42600000000000005</v>
      </c>
      <c r="F285" s="14">
        <v>4783.5333333333338</v>
      </c>
      <c r="G285" s="13">
        <v>2463.6900000000296</v>
      </c>
      <c r="H285" s="15">
        <v>71</v>
      </c>
      <c r="I285" s="13">
        <v>77</v>
      </c>
      <c r="J285" s="16">
        <v>1002</v>
      </c>
      <c r="K285" s="15">
        <v>1911</v>
      </c>
      <c r="L285" s="14">
        <v>1200</v>
      </c>
      <c r="M285" s="13">
        <v>477</v>
      </c>
    </row>
    <row r="286" spans="1:13" outlineLevel="1" x14ac:dyDescent="0.2">
      <c r="A286" s="20">
        <f t="shared" si="86"/>
        <v>29269</v>
      </c>
      <c r="B286" s="19" t="str">
        <f t="shared" si="86"/>
        <v>TAMUT</v>
      </c>
      <c r="C286" s="18"/>
      <c r="D286" s="15">
        <v>335</v>
      </c>
      <c r="E286" s="17">
        <v>0.56028368794326244</v>
      </c>
      <c r="F286" s="14">
        <v>879.13333333333333</v>
      </c>
      <c r="G286" s="13">
        <v>609.83000000000015</v>
      </c>
      <c r="H286" s="15">
        <v>48</v>
      </c>
      <c r="I286" s="13">
        <v>18</v>
      </c>
      <c r="J286" s="16">
        <v>230</v>
      </c>
      <c r="K286" s="15">
        <v>411</v>
      </c>
      <c r="L286" s="14">
        <v>186</v>
      </c>
      <c r="M286" s="13">
        <v>1</v>
      </c>
    </row>
    <row r="287" spans="1:13" outlineLevel="1" x14ac:dyDescent="0.2">
      <c r="A287" s="20">
        <f t="shared" si="86"/>
        <v>3652</v>
      </c>
      <c r="B287" s="19" t="str">
        <f t="shared" si="86"/>
        <v>UH</v>
      </c>
      <c r="C287" s="18"/>
      <c r="D287" s="15">
        <v>5092</v>
      </c>
      <c r="E287" s="21">
        <v>0.54200000000000004</v>
      </c>
      <c r="F287" s="14">
        <v>23853.933333333334</v>
      </c>
      <c r="G287" s="13">
        <v>10569.339999999527</v>
      </c>
      <c r="H287" s="15">
        <v>720</v>
      </c>
      <c r="I287" s="13">
        <v>74</v>
      </c>
      <c r="J287" s="16">
        <v>3340</v>
      </c>
      <c r="K287" s="15">
        <v>7467</v>
      </c>
      <c r="L287" s="14">
        <v>5804</v>
      </c>
      <c r="M287" s="13">
        <v>3314</v>
      </c>
    </row>
    <row r="288" spans="1:13" outlineLevel="1" x14ac:dyDescent="0.2">
      <c r="A288" s="20">
        <f t="shared" si="86"/>
        <v>11711</v>
      </c>
      <c r="B288" s="19" t="str">
        <f t="shared" si="86"/>
        <v>UHCL</v>
      </c>
      <c r="C288" s="18"/>
      <c r="D288" s="15">
        <v>1197</v>
      </c>
      <c r="E288" s="17">
        <v>0.53820033955857383</v>
      </c>
      <c r="F288" s="14">
        <v>3046.8</v>
      </c>
      <c r="G288" s="13">
        <v>2293.9500000000248</v>
      </c>
      <c r="H288" s="15">
        <v>113</v>
      </c>
      <c r="I288" s="13">
        <v>8</v>
      </c>
      <c r="J288" s="16">
        <v>777</v>
      </c>
      <c r="K288" s="15">
        <v>1434</v>
      </c>
      <c r="L288" s="14">
        <v>959</v>
      </c>
      <c r="M288" s="13">
        <v>53</v>
      </c>
    </row>
    <row r="289" spans="1:14" outlineLevel="1" x14ac:dyDescent="0.2">
      <c r="A289" s="20">
        <f t="shared" si="86"/>
        <v>12826</v>
      </c>
      <c r="B289" s="19" t="str">
        <f t="shared" si="86"/>
        <v>UHD</v>
      </c>
      <c r="C289" s="18"/>
      <c r="D289" s="15">
        <v>2437</v>
      </c>
      <c r="E289" s="21">
        <v>0.215</v>
      </c>
      <c r="F289" s="14">
        <v>7949.2666666666664</v>
      </c>
      <c r="G289" s="13">
        <v>4368.2100000000464</v>
      </c>
      <c r="H289" s="15">
        <v>143</v>
      </c>
      <c r="I289" s="13">
        <v>0</v>
      </c>
      <c r="J289" s="16">
        <v>1730</v>
      </c>
      <c r="K289" s="15">
        <v>3223</v>
      </c>
      <c r="L289" s="14">
        <v>1896</v>
      </c>
      <c r="M289" s="13">
        <v>618</v>
      </c>
    </row>
    <row r="290" spans="1:14" outlineLevel="1" x14ac:dyDescent="0.2">
      <c r="A290" s="20">
        <f t="shared" si="86"/>
        <v>13231</v>
      </c>
      <c r="B290" s="19" t="str">
        <f t="shared" si="86"/>
        <v>UHV</v>
      </c>
      <c r="C290" s="18"/>
      <c r="D290" s="15">
        <v>596</v>
      </c>
      <c r="E290" s="17">
        <v>0.5339366515837104</v>
      </c>
      <c r="F290" s="14">
        <v>1494.2</v>
      </c>
      <c r="G290" s="13">
        <v>1103.6999999999998</v>
      </c>
      <c r="H290" s="15">
        <v>118</v>
      </c>
      <c r="I290" s="13">
        <v>11</v>
      </c>
      <c r="J290" s="16">
        <v>397</v>
      </c>
      <c r="K290" s="15">
        <v>718</v>
      </c>
      <c r="L290" s="14">
        <v>286</v>
      </c>
      <c r="M290" s="13">
        <v>6</v>
      </c>
    </row>
    <row r="291" spans="1:14" outlineLevel="1" x14ac:dyDescent="0.2">
      <c r="A291" s="20">
        <f t="shared" si="86"/>
        <v>3592</v>
      </c>
      <c r="B291" s="19" t="str">
        <f t="shared" si="86"/>
        <v>Midwestern</v>
      </c>
      <c r="C291" s="18"/>
      <c r="D291" s="15">
        <v>1027</v>
      </c>
      <c r="E291" s="21">
        <v>0.443</v>
      </c>
      <c r="F291" s="14">
        <v>4387.7333333333336</v>
      </c>
      <c r="G291" s="13">
        <v>1924.84</v>
      </c>
      <c r="H291" s="15">
        <v>340</v>
      </c>
      <c r="I291" s="13">
        <v>11</v>
      </c>
      <c r="J291" s="16">
        <v>675</v>
      </c>
      <c r="K291" s="15">
        <v>1507</v>
      </c>
      <c r="L291" s="14">
        <v>1079</v>
      </c>
      <c r="M291" s="13">
        <v>734</v>
      </c>
    </row>
    <row r="292" spans="1:14" outlineLevel="1" x14ac:dyDescent="0.2">
      <c r="A292" s="20">
        <f t="shared" si="86"/>
        <v>3594</v>
      </c>
      <c r="B292" s="19" t="str">
        <f t="shared" si="86"/>
        <v>UNT</v>
      </c>
      <c r="C292" s="18"/>
      <c r="D292" s="15">
        <v>6183</v>
      </c>
      <c r="E292" s="21">
        <v>0.58700000000000008</v>
      </c>
      <c r="F292" s="14">
        <v>23168.733333333334</v>
      </c>
      <c r="G292" s="13">
        <v>11731.089999999795</v>
      </c>
      <c r="H292" s="15">
        <v>345</v>
      </c>
      <c r="I292" s="13">
        <v>47</v>
      </c>
      <c r="J292" s="16">
        <v>3942</v>
      </c>
      <c r="K292" s="15">
        <v>7957</v>
      </c>
      <c r="L292" s="14">
        <v>5891</v>
      </c>
      <c r="M292" s="13">
        <v>3310</v>
      </c>
    </row>
    <row r="293" spans="1:14" outlineLevel="1" x14ac:dyDescent="0.2">
      <c r="A293" s="27">
        <f t="shared" si="86"/>
        <v>113594</v>
      </c>
      <c r="B293" s="19" t="str">
        <f t="shared" si="86"/>
        <v>UNTD</v>
      </c>
      <c r="C293" s="18"/>
      <c r="D293" s="30">
        <v>388</v>
      </c>
      <c r="E293" s="47">
        <v>0.58700000000000008</v>
      </c>
      <c r="F293" s="29">
        <v>908.8</v>
      </c>
      <c r="G293" s="28">
        <v>669.60000000000036</v>
      </c>
      <c r="H293" s="30">
        <v>10</v>
      </c>
      <c r="I293" s="28"/>
      <c r="J293" s="46">
        <v>304</v>
      </c>
      <c r="K293" s="30">
        <v>487</v>
      </c>
      <c r="L293" s="29">
        <v>63</v>
      </c>
      <c r="M293" s="28">
        <v>18</v>
      </c>
    </row>
    <row r="294" spans="1:14" outlineLevel="1" x14ac:dyDescent="0.2">
      <c r="A294" s="20">
        <f t="shared" si="86"/>
        <v>3624</v>
      </c>
      <c r="B294" s="19" t="str">
        <f t="shared" si="86"/>
        <v>SFA</v>
      </c>
      <c r="C294" s="18"/>
      <c r="D294" s="15">
        <v>1880</v>
      </c>
      <c r="E294" s="21">
        <v>0.53900000000000003</v>
      </c>
      <c r="F294" s="14">
        <v>9440.9333333333325</v>
      </c>
      <c r="G294" s="13">
        <v>3606.8600000000297</v>
      </c>
      <c r="H294" s="15">
        <v>241</v>
      </c>
      <c r="I294" s="13">
        <v>49</v>
      </c>
      <c r="J294" s="16">
        <v>1446</v>
      </c>
      <c r="K294" s="15">
        <v>3040</v>
      </c>
      <c r="L294" s="14">
        <v>2166</v>
      </c>
      <c r="M294" s="13">
        <v>1402</v>
      </c>
    </row>
    <row r="295" spans="1:14" outlineLevel="1" x14ac:dyDescent="0.2">
      <c r="A295" s="20">
        <f t="shared" si="86"/>
        <v>3642</v>
      </c>
      <c r="B295" s="19" t="str">
        <f t="shared" si="86"/>
        <v>TSU</v>
      </c>
      <c r="C295" s="18"/>
      <c r="D295" s="15">
        <v>721</v>
      </c>
      <c r="E295" s="21">
        <v>0.14099999999999999</v>
      </c>
      <c r="F295" s="14">
        <v>5912.8</v>
      </c>
      <c r="G295" s="13">
        <v>1385.6100000000063</v>
      </c>
      <c r="H295" s="15">
        <v>122</v>
      </c>
      <c r="I295" s="13">
        <v>2</v>
      </c>
      <c r="J295" s="16">
        <v>635</v>
      </c>
      <c r="K295" s="15">
        <v>1692</v>
      </c>
      <c r="L295" s="14">
        <v>1274</v>
      </c>
      <c r="M295" s="13">
        <v>870</v>
      </c>
    </row>
    <row r="296" spans="1:14" outlineLevel="1" x14ac:dyDescent="0.2">
      <c r="A296" s="20">
        <f t="shared" si="86"/>
        <v>3644</v>
      </c>
      <c r="B296" s="19" t="str">
        <f t="shared" si="86"/>
        <v>TTU</v>
      </c>
      <c r="C296" s="18"/>
      <c r="D296" s="15">
        <v>4605</v>
      </c>
      <c r="E296" s="21">
        <v>0.7320000000000001</v>
      </c>
      <c r="F296" s="14">
        <v>22527.466666666667</v>
      </c>
      <c r="G296" s="13">
        <v>9815.7899999997753</v>
      </c>
      <c r="H296" s="15">
        <v>687</v>
      </c>
      <c r="I296" s="13">
        <v>62</v>
      </c>
      <c r="J296" s="16">
        <v>2724</v>
      </c>
      <c r="K296" s="15">
        <v>6577</v>
      </c>
      <c r="L296" s="14">
        <v>5355</v>
      </c>
      <c r="M296" s="13">
        <v>3957</v>
      </c>
    </row>
    <row r="297" spans="1:14" outlineLevel="1" x14ac:dyDescent="0.2">
      <c r="A297" s="20">
        <f t="shared" si="86"/>
        <v>3541</v>
      </c>
      <c r="B297" s="19" t="str">
        <f t="shared" si="86"/>
        <v>Angelo</v>
      </c>
      <c r="C297" s="18"/>
      <c r="D297" s="15">
        <v>960</v>
      </c>
      <c r="E297" s="21">
        <v>0.441</v>
      </c>
      <c r="F297" s="14">
        <v>4895.666666666667</v>
      </c>
      <c r="G297" s="13">
        <v>1856.9499999999953</v>
      </c>
      <c r="H297" s="15">
        <v>242</v>
      </c>
      <c r="I297" s="13">
        <v>21</v>
      </c>
      <c r="J297" s="16">
        <v>720</v>
      </c>
      <c r="K297" s="15">
        <v>1444</v>
      </c>
      <c r="L297" s="14">
        <v>1071</v>
      </c>
      <c r="M297" s="13">
        <v>708</v>
      </c>
    </row>
    <row r="298" spans="1:14" outlineLevel="1" x14ac:dyDescent="0.2">
      <c r="A298" s="20">
        <f t="shared" ref="A298:B303" si="87">A256</f>
        <v>3646</v>
      </c>
      <c r="B298" s="19" t="str">
        <f t="shared" si="87"/>
        <v>TWU</v>
      </c>
      <c r="C298" s="18"/>
      <c r="D298" s="15">
        <v>1725</v>
      </c>
      <c r="E298" s="21">
        <v>0.48399999999999999</v>
      </c>
      <c r="F298" s="14">
        <v>6598.2</v>
      </c>
      <c r="G298" s="13">
        <v>3227.0100000000139</v>
      </c>
      <c r="H298" s="15">
        <v>523</v>
      </c>
      <c r="I298" s="13">
        <v>34</v>
      </c>
      <c r="J298" s="16">
        <v>1201</v>
      </c>
      <c r="K298" s="15">
        <v>2121</v>
      </c>
      <c r="L298" s="14">
        <v>1259</v>
      </c>
      <c r="M298" s="13">
        <v>608</v>
      </c>
    </row>
    <row r="299" spans="1:14" outlineLevel="1" x14ac:dyDescent="0.2">
      <c r="A299" s="20">
        <f t="shared" si="87"/>
        <v>3581</v>
      </c>
      <c r="B299" s="19" t="str">
        <f t="shared" si="87"/>
        <v>Lamar</v>
      </c>
      <c r="C299" s="18"/>
      <c r="D299" s="15">
        <v>1340</v>
      </c>
      <c r="E299" s="21">
        <v>0.35399999999999998</v>
      </c>
      <c r="F299" s="14">
        <v>7247.8</v>
      </c>
      <c r="G299" s="13">
        <v>2695.0800000000122</v>
      </c>
      <c r="H299" s="15">
        <v>358</v>
      </c>
      <c r="I299" s="13">
        <v>16</v>
      </c>
      <c r="J299" s="16">
        <v>943</v>
      </c>
      <c r="K299" s="15">
        <v>2317</v>
      </c>
      <c r="L299" s="14">
        <v>1577</v>
      </c>
      <c r="M299" s="13">
        <v>1000</v>
      </c>
    </row>
    <row r="300" spans="1:14" outlineLevel="1" x14ac:dyDescent="0.2">
      <c r="A300" s="20">
        <f t="shared" si="87"/>
        <v>3606</v>
      </c>
      <c r="B300" s="19" t="str">
        <f t="shared" si="87"/>
        <v>SHSU</v>
      </c>
      <c r="C300" s="18"/>
      <c r="D300" s="15">
        <v>3013</v>
      </c>
      <c r="E300" s="21">
        <v>0.60299999999999998</v>
      </c>
      <c r="F300" s="14">
        <v>12631.666666666666</v>
      </c>
      <c r="G300" s="13">
        <v>5628.5800000000427</v>
      </c>
      <c r="H300" s="15">
        <v>166</v>
      </c>
      <c r="I300" s="13">
        <v>63</v>
      </c>
      <c r="J300" s="16">
        <v>2160</v>
      </c>
      <c r="K300" s="15">
        <v>3940</v>
      </c>
      <c r="L300" s="14">
        <v>2970</v>
      </c>
      <c r="M300" s="13">
        <v>1716</v>
      </c>
    </row>
    <row r="301" spans="1:14" outlineLevel="1" x14ac:dyDescent="0.2">
      <c r="A301" s="20">
        <f t="shared" si="87"/>
        <v>3615</v>
      </c>
      <c r="B301" s="19" t="str">
        <f t="shared" si="87"/>
        <v>TXST</v>
      </c>
      <c r="C301" s="18"/>
      <c r="D301" s="15">
        <v>5349</v>
      </c>
      <c r="E301" s="21">
        <v>0.6409999999999999</v>
      </c>
      <c r="F301" s="14">
        <v>22917.933333333334</v>
      </c>
      <c r="G301" s="13">
        <v>10250.389999999717</v>
      </c>
      <c r="H301" s="15">
        <v>445</v>
      </c>
      <c r="I301" s="13">
        <v>65</v>
      </c>
      <c r="J301" s="16">
        <v>3665</v>
      </c>
      <c r="K301" s="15">
        <v>7685</v>
      </c>
      <c r="L301" s="14">
        <v>5748</v>
      </c>
      <c r="M301" s="13">
        <v>3317</v>
      </c>
    </row>
    <row r="302" spans="1:14" outlineLevel="1" x14ac:dyDescent="0.2">
      <c r="A302" s="20">
        <f t="shared" si="87"/>
        <v>3625</v>
      </c>
      <c r="B302" s="19" t="str">
        <f t="shared" si="87"/>
        <v>SRSU</v>
      </c>
      <c r="C302" s="18"/>
      <c r="D302" s="15">
        <v>196</v>
      </c>
      <c r="E302" s="21">
        <v>0.29199999999999998</v>
      </c>
      <c r="F302" s="14">
        <v>1200.1333333333334</v>
      </c>
      <c r="G302" s="13">
        <v>405.49999999999949</v>
      </c>
      <c r="H302" s="15">
        <v>18</v>
      </c>
      <c r="I302" s="13">
        <v>4</v>
      </c>
      <c r="J302" s="16">
        <v>166</v>
      </c>
      <c r="K302" s="15">
        <v>298</v>
      </c>
      <c r="L302" s="14">
        <v>217</v>
      </c>
      <c r="M302" s="13">
        <v>136</v>
      </c>
      <c r="N302" s="41"/>
    </row>
    <row r="303" spans="1:14" outlineLevel="1" x14ac:dyDescent="0.2">
      <c r="A303" s="20">
        <f t="shared" si="87"/>
        <v>20</v>
      </c>
      <c r="B303" s="19" t="str">
        <f t="shared" si="87"/>
        <v>SRRG</v>
      </c>
      <c r="C303" s="18"/>
      <c r="D303" s="15">
        <v>163</v>
      </c>
      <c r="E303" s="17">
        <v>0.33750000000000002</v>
      </c>
      <c r="F303" s="14">
        <v>472.13333333333333</v>
      </c>
      <c r="G303" s="13">
        <v>281.52999999999975</v>
      </c>
      <c r="H303" s="15">
        <v>5</v>
      </c>
      <c r="I303" s="13">
        <v>7</v>
      </c>
      <c r="J303" s="16">
        <v>145</v>
      </c>
      <c r="K303" s="15">
        <v>224</v>
      </c>
      <c r="L303" s="14">
        <v>97</v>
      </c>
      <c r="M303" s="13">
        <v>2</v>
      </c>
    </row>
    <row r="304" spans="1:14" ht="13.5" outlineLevel="1" thickBot="1" x14ac:dyDescent="0.25">
      <c r="A304" s="12"/>
      <c r="B304" s="11" t="s">
        <v>11</v>
      </c>
      <c r="C304" s="10"/>
      <c r="D304" s="9">
        <f>SUM(D266:D303)</f>
        <v>84231</v>
      </c>
      <c r="E304" s="8">
        <v>0.58399999999999996</v>
      </c>
      <c r="F304" s="7">
        <f t="shared" ref="F304:M304" si="88">SUM(F266:F303)</f>
        <v>351171.46666666673</v>
      </c>
      <c r="G304" s="3">
        <f t="shared" si="88"/>
        <v>170914.74000000223</v>
      </c>
      <c r="H304" s="5">
        <f t="shared" si="88"/>
        <v>13857</v>
      </c>
      <c r="I304" s="3">
        <f t="shared" si="88"/>
        <v>1204</v>
      </c>
      <c r="J304" s="6">
        <f t="shared" si="88"/>
        <v>54385</v>
      </c>
      <c r="K304" s="5">
        <f t="shared" si="88"/>
        <v>116139</v>
      </c>
      <c r="L304" s="4">
        <f t="shared" si="88"/>
        <v>84006</v>
      </c>
      <c r="M304" s="3">
        <f t="shared" si="88"/>
        <v>51310</v>
      </c>
    </row>
    <row r="305" spans="1:15" ht="13.5" thickBot="1" x14ac:dyDescent="0.25">
      <c r="A305" s="45" t="s">
        <v>25</v>
      </c>
      <c r="B305" s="45"/>
      <c r="C305" s="45"/>
      <c r="D305" s="45"/>
      <c r="F305" s="45"/>
      <c r="J305" s="45"/>
    </row>
    <row r="306" spans="1:15" ht="12.75" customHeight="1" outlineLevel="1" x14ac:dyDescent="0.2">
      <c r="A306" s="273" t="s">
        <v>24</v>
      </c>
      <c r="B306" s="275" t="s">
        <v>23</v>
      </c>
      <c r="C306" s="277"/>
      <c r="D306" s="306" t="s">
        <v>22</v>
      </c>
      <c r="E306" s="301" t="s">
        <v>21</v>
      </c>
      <c r="F306" s="275" t="s">
        <v>20</v>
      </c>
      <c r="G306" s="297" t="s">
        <v>19</v>
      </c>
      <c r="H306" s="299" t="s">
        <v>18</v>
      </c>
      <c r="I306" s="291" t="s">
        <v>17</v>
      </c>
      <c r="J306" s="293" t="s">
        <v>16</v>
      </c>
      <c r="K306" s="295" t="s">
        <v>15</v>
      </c>
      <c r="L306" s="296"/>
      <c r="M306" s="296"/>
    </row>
    <row r="307" spans="1:15" s="41" customFormat="1" ht="39.75" customHeight="1" outlineLevel="1" thickBot="1" x14ac:dyDescent="0.25">
      <c r="A307" s="274"/>
      <c r="B307" s="276"/>
      <c r="C307" s="278"/>
      <c r="D307" s="307"/>
      <c r="E307" s="302"/>
      <c r="F307" s="276"/>
      <c r="G307" s="298"/>
      <c r="H307" s="300"/>
      <c r="I307" s="292"/>
      <c r="J307" s="294"/>
      <c r="K307" s="44" t="s">
        <v>14</v>
      </c>
      <c r="L307" s="43" t="s">
        <v>13</v>
      </c>
      <c r="M307" s="42" t="s">
        <v>12</v>
      </c>
      <c r="N307" s="1"/>
    </row>
    <row r="308" spans="1:15" outlineLevel="1" x14ac:dyDescent="0.2">
      <c r="A308" s="40">
        <f t="shared" ref="A308:B323" si="89">A266</f>
        <v>3656</v>
      </c>
      <c r="B308" s="39" t="str">
        <f t="shared" si="89"/>
        <v>UTA</v>
      </c>
      <c r="C308" s="38"/>
      <c r="D308" s="33">
        <v>4178</v>
      </c>
      <c r="E308" s="37">
        <v>0.50700000000000001</v>
      </c>
      <c r="F308" s="32">
        <v>15698.133333333333</v>
      </c>
      <c r="G308" s="31">
        <v>8640.2399999998797</v>
      </c>
      <c r="H308" s="36">
        <v>834</v>
      </c>
      <c r="I308" s="35">
        <v>36</v>
      </c>
      <c r="J308" s="34">
        <v>2662</v>
      </c>
      <c r="K308" s="33">
        <v>6630</v>
      </c>
      <c r="L308" s="32">
        <v>3636</v>
      </c>
      <c r="M308" s="31">
        <v>1724</v>
      </c>
    </row>
    <row r="309" spans="1:15" outlineLevel="1" x14ac:dyDescent="0.2">
      <c r="A309" s="20">
        <f t="shared" si="89"/>
        <v>3658</v>
      </c>
      <c r="B309" s="19" t="str">
        <f t="shared" si="89"/>
        <v>UT</v>
      </c>
      <c r="C309" s="18"/>
      <c r="D309" s="15">
        <v>8952</v>
      </c>
      <c r="E309" s="21">
        <v>0.82899999999999996</v>
      </c>
      <c r="F309" s="14">
        <v>33736.73333333333</v>
      </c>
      <c r="G309" s="13">
        <v>19230.319999999745</v>
      </c>
      <c r="H309" s="15">
        <v>1754</v>
      </c>
      <c r="I309" s="13">
        <v>55</v>
      </c>
      <c r="J309" s="16">
        <v>3435</v>
      </c>
      <c r="K309" s="15">
        <v>9596</v>
      </c>
      <c r="L309" s="14">
        <v>9749</v>
      </c>
      <c r="M309" s="13">
        <v>7288</v>
      </c>
      <c r="O309" s="2"/>
    </row>
    <row r="310" spans="1:15" outlineLevel="1" x14ac:dyDescent="0.2">
      <c r="A310" s="20">
        <f t="shared" si="89"/>
        <v>9741</v>
      </c>
      <c r="B310" s="19" t="str">
        <f t="shared" si="89"/>
        <v>UTD</v>
      </c>
      <c r="C310" s="18"/>
      <c r="D310" s="15">
        <v>2355</v>
      </c>
      <c r="E310" s="21">
        <v>0.70699999999999996</v>
      </c>
      <c r="F310" s="14">
        <v>8108.8666666666668</v>
      </c>
      <c r="G310" s="13">
        <v>4955.5700000000443</v>
      </c>
      <c r="H310" s="15">
        <v>392</v>
      </c>
      <c r="I310" s="13">
        <v>36</v>
      </c>
      <c r="J310" s="16">
        <v>1255</v>
      </c>
      <c r="K310" s="15">
        <v>3078</v>
      </c>
      <c r="L310" s="14">
        <v>1950</v>
      </c>
      <c r="M310" s="13">
        <v>923</v>
      </c>
      <c r="O310" s="2"/>
    </row>
    <row r="311" spans="1:15" outlineLevel="1" x14ac:dyDescent="0.2">
      <c r="A311" s="20">
        <f t="shared" si="89"/>
        <v>3661</v>
      </c>
      <c r="B311" s="19" t="str">
        <f t="shared" si="89"/>
        <v>UTEP</v>
      </c>
      <c r="C311" s="18"/>
      <c r="D311" s="15">
        <v>3031</v>
      </c>
      <c r="E311" s="21">
        <v>0.374</v>
      </c>
      <c r="F311" s="14">
        <v>12791.933333333332</v>
      </c>
      <c r="G311" s="13">
        <v>6295.4500000000389</v>
      </c>
      <c r="H311" s="15">
        <v>709</v>
      </c>
      <c r="I311" s="13">
        <v>93</v>
      </c>
      <c r="J311" s="16">
        <v>2394</v>
      </c>
      <c r="K311" s="15">
        <v>4200</v>
      </c>
      <c r="L311" s="14">
        <v>3366</v>
      </c>
      <c r="M311" s="13">
        <v>1972</v>
      </c>
      <c r="O311" s="2"/>
    </row>
    <row r="312" spans="1:15" outlineLevel="1" x14ac:dyDescent="0.2">
      <c r="A312" s="20">
        <f t="shared" si="89"/>
        <v>3599</v>
      </c>
      <c r="B312" s="19" t="str">
        <f t="shared" si="89"/>
        <v>UTPA</v>
      </c>
      <c r="C312" s="18"/>
      <c r="D312" s="15">
        <v>2620</v>
      </c>
      <c r="E312" s="21">
        <v>0.38900000000000001</v>
      </c>
      <c r="F312" s="14">
        <v>12572.333333333334</v>
      </c>
      <c r="G312" s="13">
        <v>5170.8900000000631</v>
      </c>
      <c r="H312" s="15">
        <v>480</v>
      </c>
      <c r="I312" s="13">
        <v>31</v>
      </c>
      <c r="J312" s="16">
        <v>2341</v>
      </c>
      <c r="K312" s="15">
        <v>4354</v>
      </c>
      <c r="L312" s="14">
        <v>3136</v>
      </c>
      <c r="M312" s="13">
        <v>1924</v>
      </c>
      <c r="O312" s="2"/>
    </row>
    <row r="313" spans="1:15" outlineLevel="1" x14ac:dyDescent="0.2">
      <c r="A313" s="20">
        <f t="shared" si="89"/>
        <v>30646</v>
      </c>
      <c r="B313" s="19" t="str">
        <f t="shared" si="89"/>
        <v>UTB</v>
      </c>
      <c r="C313" s="18"/>
      <c r="D313" s="15">
        <v>1052</v>
      </c>
      <c r="E313" s="17">
        <v>0.64666666666666661</v>
      </c>
      <c r="F313" s="14">
        <v>2989.6</v>
      </c>
      <c r="G313" s="13">
        <v>2005.0100000000309</v>
      </c>
      <c r="H313" s="15">
        <v>108</v>
      </c>
      <c r="I313" s="13">
        <v>19</v>
      </c>
      <c r="J313" s="16">
        <v>916</v>
      </c>
      <c r="K313" s="15">
        <v>1377</v>
      </c>
      <c r="L313" s="14">
        <v>583</v>
      </c>
      <c r="M313" s="13">
        <v>72</v>
      </c>
      <c r="O313" s="2"/>
    </row>
    <row r="314" spans="1:15" outlineLevel="1" x14ac:dyDescent="0.2">
      <c r="A314" s="20">
        <f t="shared" si="89"/>
        <v>9930</v>
      </c>
      <c r="B314" s="19" t="str">
        <f t="shared" si="89"/>
        <v>UTPB</v>
      </c>
      <c r="C314" s="18"/>
      <c r="D314" s="15">
        <v>513</v>
      </c>
      <c r="E314" s="21">
        <v>0.44600000000000001</v>
      </c>
      <c r="F314" s="14">
        <v>2159.6</v>
      </c>
      <c r="G314" s="13">
        <v>944.74000000001092</v>
      </c>
      <c r="H314" s="15">
        <v>33</v>
      </c>
      <c r="I314" s="13">
        <v>13</v>
      </c>
      <c r="J314" s="16">
        <v>379</v>
      </c>
      <c r="K314" s="15">
        <v>707</v>
      </c>
      <c r="L314" s="14">
        <v>450</v>
      </c>
      <c r="M314" s="13">
        <v>182</v>
      </c>
      <c r="O314" s="2"/>
    </row>
    <row r="315" spans="1:15" outlineLevel="1" x14ac:dyDescent="0.2">
      <c r="A315" s="20">
        <f t="shared" si="89"/>
        <v>10115</v>
      </c>
      <c r="B315" s="19" t="str">
        <f t="shared" si="89"/>
        <v>UTSA</v>
      </c>
      <c r="C315" s="18"/>
      <c r="D315" s="15">
        <v>3968</v>
      </c>
      <c r="E315" s="21">
        <v>0.44</v>
      </c>
      <c r="F315" s="14">
        <v>19707.533333333333</v>
      </c>
      <c r="G315" s="13">
        <v>8107.0899999997582</v>
      </c>
      <c r="H315" s="15">
        <v>375</v>
      </c>
      <c r="I315" s="13">
        <v>39</v>
      </c>
      <c r="J315" s="16">
        <v>2956</v>
      </c>
      <c r="K315" s="15">
        <v>6812</v>
      </c>
      <c r="L315" s="14">
        <v>4615</v>
      </c>
      <c r="M315" s="13">
        <v>2588</v>
      </c>
      <c r="O315" s="2"/>
    </row>
    <row r="316" spans="1:15" outlineLevel="1" x14ac:dyDescent="0.2">
      <c r="A316" s="20">
        <f t="shared" si="89"/>
        <v>11163</v>
      </c>
      <c r="B316" s="19" t="str">
        <f t="shared" si="89"/>
        <v>UTT</v>
      </c>
      <c r="C316" s="18"/>
      <c r="D316" s="15">
        <v>1238</v>
      </c>
      <c r="E316" s="21">
        <v>0.496</v>
      </c>
      <c r="F316" s="14">
        <v>4085.2666666666669</v>
      </c>
      <c r="G316" s="13">
        <v>2459.1300000000315</v>
      </c>
      <c r="H316" s="15">
        <v>372</v>
      </c>
      <c r="I316" s="13">
        <v>10</v>
      </c>
      <c r="J316" s="16">
        <v>1002</v>
      </c>
      <c r="K316" s="15">
        <v>1404</v>
      </c>
      <c r="L316" s="14">
        <v>921</v>
      </c>
      <c r="M316" s="13">
        <v>378</v>
      </c>
      <c r="O316" s="2"/>
    </row>
    <row r="317" spans="1:15" outlineLevel="1" x14ac:dyDescent="0.2">
      <c r="A317" s="20">
        <f t="shared" si="89"/>
        <v>3632</v>
      </c>
      <c r="B317" s="19" t="str">
        <f t="shared" si="89"/>
        <v>TAMU</v>
      </c>
      <c r="C317" s="18"/>
      <c r="D317" s="15">
        <v>8451</v>
      </c>
      <c r="E317" s="21">
        <v>0.83599999999999997</v>
      </c>
      <c r="F317" s="14">
        <v>34329.199999999997</v>
      </c>
      <c r="G317" s="13">
        <v>19146.209999999159</v>
      </c>
      <c r="H317" s="15">
        <v>1580</v>
      </c>
      <c r="I317" s="13">
        <v>108</v>
      </c>
      <c r="J317" s="16">
        <v>3530</v>
      </c>
      <c r="K317" s="15">
        <v>10012</v>
      </c>
      <c r="L317" s="14">
        <v>8836</v>
      </c>
      <c r="M317" s="13">
        <v>6932</v>
      </c>
      <c r="O317" s="2"/>
    </row>
    <row r="318" spans="1:15" outlineLevel="1" x14ac:dyDescent="0.2">
      <c r="A318" s="20">
        <f t="shared" si="89"/>
        <v>10298</v>
      </c>
      <c r="B318" s="19" t="str">
        <f t="shared" si="89"/>
        <v>TAMUG</v>
      </c>
      <c r="C318" s="18"/>
      <c r="D318" s="15">
        <v>262</v>
      </c>
      <c r="E318" s="21">
        <v>0.59199999999999997</v>
      </c>
      <c r="F318" s="14">
        <v>1599.2</v>
      </c>
      <c r="G318" s="13">
        <v>636.84000000000231</v>
      </c>
      <c r="H318" s="15">
        <v>31</v>
      </c>
      <c r="I318" s="13">
        <v>0</v>
      </c>
      <c r="J318" s="16">
        <v>137</v>
      </c>
      <c r="K318" s="15">
        <v>570</v>
      </c>
      <c r="L318" s="14">
        <v>322</v>
      </c>
      <c r="M318" s="13">
        <v>241</v>
      </c>
      <c r="O318" s="2"/>
    </row>
    <row r="319" spans="1:15" outlineLevel="1" x14ac:dyDescent="0.2">
      <c r="A319" s="20">
        <f t="shared" si="89"/>
        <v>3630</v>
      </c>
      <c r="B319" s="19" t="str">
        <f t="shared" si="89"/>
        <v>Prairie View</v>
      </c>
      <c r="C319" s="18"/>
      <c r="D319" s="15">
        <v>879</v>
      </c>
      <c r="E319" s="21">
        <v>0.34200000000000003</v>
      </c>
      <c r="F319" s="14">
        <v>5840.8</v>
      </c>
      <c r="G319" s="13">
        <v>1995.4900000000189</v>
      </c>
      <c r="H319" s="15">
        <v>295</v>
      </c>
      <c r="I319" s="13">
        <v>8</v>
      </c>
      <c r="J319" s="16">
        <v>756</v>
      </c>
      <c r="K319" s="15">
        <v>1643</v>
      </c>
      <c r="L319" s="14">
        <v>1174</v>
      </c>
      <c r="M319" s="13">
        <v>940</v>
      </c>
      <c r="O319" s="2"/>
    </row>
    <row r="320" spans="1:15" outlineLevel="1" x14ac:dyDescent="0.2">
      <c r="A320" s="20">
        <f t="shared" si="89"/>
        <v>3631</v>
      </c>
      <c r="B320" s="19" t="str">
        <f t="shared" si="89"/>
        <v>Tarleton</v>
      </c>
      <c r="C320" s="18"/>
      <c r="D320" s="15">
        <v>1422</v>
      </c>
      <c r="E320" s="21">
        <v>0.47499999999999998</v>
      </c>
      <c r="F320" s="14">
        <v>5845.5333333333338</v>
      </c>
      <c r="G320" s="13">
        <v>2966.430000000048</v>
      </c>
      <c r="H320" s="15">
        <v>183</v>
      </c>
      <c r="I320" s="13">
        <v>38</v>
      </c>
      <c r="J320" s="16">
        <v>1093</v>
      </c>
      <c r="K320" s="15">
        <v>2140</v>
      </c>
      <c r="L320" s="14">
        <v>1306</v>
      </c>
      <c r="M320" s="13">
        <v>903</v>
      </c>
      <c r="O320" s="2"/>
    </row>
    <row r="321" spans="1:15" outlineLevel="1" x14ac:dyDescent="0.2">
      <c r="A321" s="27">
        <f t="shared" si="89"/>
        <v>103631</v>
      </c>
      <c r="B321" s="19" t="str">
        <f t="shared" si="89"/>
        <v>TAMUCT</v>
      </c>
      <c r="C321" s="18"/>
      <c r="D321" s="15">
        <v>450</v>
      </c>
      <c r="E321" s="21">
        <v>0.47499999999999998</v>
      </c>
      <c r="F321" s="14">
        <v>658.4666666666667</v>
      </c>
      <c r="G321" s="13">
        <v>831.96000000000549</v>
      </c>
      <c r="H321" s="15">
        <v>44</v>
      </c>
      <c r="I321" s="13"/>
      <c r="J321" s="16">
        <v>322</v>
      </c>
      <c r="K321" s="15">
        <v>380</v>
      </c>
      <c r="L321" s="14">
        <v>137</v>
      </c>
      <c r="M321" s="13">
        <v>31</v>
      </c>
      <c r="O321" s="2"/>
    </row>
    <row r="322" spans="1:15" outlineLevel="1" x14ac:dyDescent="0.2">
      <c r="A322" s="20">
        <f t="shared" si="89"/>
        <v>11161</v>
      </c>
      <c r="B322" s="19" t="str">
        <f t="shared" si="89"/>
        <v>TAMUCC</v>
      </c>
      <c r="C322" s="18"/>
      <c r="D322" s="15">
        <v>1335</v>
      </c>
      <c r="E322" s="21">
        <v>0.503</v>
      </c>
      <c r="F322" s="14">
        <v>6131.9333333333334</v>
      </c>
      <c r="G322" s="13">
        <v>2744.5700000000347</v>
      </c>
      <c r="H322" s="15">
        <v>237</v>
      </c>
      <c r="I322" s="13">
        <v>29</v>
      </c>
      <c r="J322" s="16">
        <v>1024</v>
      </c>
      <c r="K322" s="15">
        <v>2079</v>
      </c>
      <c r="L322" s="14">
        <v>1357</v>
      </c>
      <c r="M322" s="13">
        <v>812</v>
      </c>
      <c r="O322" s="2"/>
    </row>
    <row r="323" spans="1:15" outlineLevel="1" x14ac:dyDescent="0.2">
      <c r="A323" s="20">
        <f t="shared" si="89"/>
        <v>3639</v>
      </c>
      <c r="B323" s="19" t="str">
        <f t="shared" si="89"/>
        <v>TAMUK</v>
      </c>
      <c r="C323" s="18"/>
      <c r="D323" s="15">
        <v>692</v>
      </c>
      <c r="E323" s="21">
        <v>0.41699999999999998</v>
      </c>
      <c r="F323" s="14">
        <v>3808.2666666666669</v>
      </c>
      <c r="G323" s="13">
        <v>1601.8800000000022</v>
      </c>
      <c r="H323" s="15">
        <v>236</v>
      </c>
      <c r="I323" s="13">
        <v>15</v>
      </c>
      <c r="J323" s="16">
        <v>590</v>
      </c>
      <c r="K323" s="15">
        <v>1159</v>
      </c>
      <c r="L323" s="14">
        <v>790</v>
      </c>
      <c r="M323" s="13">
        <v>550</v>
      </c>
      <c r="O323" s="2"/>
    </row>
    <row r="324" spans="1:15" outlineLevel="1" x14ac:dyDescent="0.2">
      <c r="A324" s="27">
        <f t="shared" ref="A324:B339" si="90">A282</f>
        <v>103639</v>
      </c>
      <c r="B324" s="19" t="str">
        <f t="shared" si="90"/>
        <v>TAMUSA</v>
      </c>
      <c r="C324" s="18"/>
      <c r="D324" s="15">
        <v>496</v>
      </c>
      <c r="E324" s="21">
        <v>0.41699999999999998</v>
      </c>
      <c r="F324" s="14">
        <v>1072.6666666666667</v>
      </c>
      <c r="G324" s="13">
        <v>844.50000000000807</v>
      </c>
      <c r="H324" s="15">
        <v>4</v>
      </c>
      <c r="I324" s="13"/>
      <c r="J324" s="16">
        <v>402</v>
      </c>
      <c r="K324" s="15">
        <v>307</v>
      </c>
      <c r="L324" s="14">
        <v>5</v>
      </c>
      <c r="M324" s="13">
        <v>5</v>
      </c>
      <c r="O324" s="2"/>
    </row>
    <row r="325" spans="1:15" outlineLevel="1" x14ac:dyDescent="0.2">
      <c r="A325" s="20">
        <f t="shared" si="90"/>
        <v>9651</v>
      </c>
      <c r="B325" s="19" t="str">
        <f t="shared" si="90"/>
        <v>TAMI</v>
      </c>
      <c r="C325" s="18"/>
      <c r="D325" s="15">
        <v>798</v>
      </c>
      <c r="E325" s="21">
        <v>0.46</v>
      </c>
      <c r="F325" s="14">
        <v>3819.0666666666666</v>
      </c>
      <c r="G325" s="13">
        <v>1476.3000000000168</v>
      </c>
      <c r="H325" s="15">
        <v>85</v>
      </c>
      <c r="I325" s="13">
        <v>26</v>
      </c>
      <c r="J325" s="16">
        <v>713</v>
      </c>
      <c r="K325" s="15">
        <v>1413</v>
      </c>
      <c r="L325" s="14">
        <v>981</v>
      </c>
      <c r="M325" s="13">
        <v>447</v>
      </c>
      <c r="O325" s="2"/>
    </row>
    <row r="326" spans="1:15" outlineLevel="1" x14ac:dyDescent="0.2">
      <c r="A326" s="20">
        <f t="shared" si="90"/>
        <v>3665</v>
      </c>
      <c r="B326" s="19" t="str">
        <f t="shared" si="90"/>
        <v>WTAMU</v>
      </c>
      <c r="C326" s="18"/>
      <c r="D326" s="15">
        <v>1220</v>
      </c>
      <c r="E326" s="21">
        <v>0.45600000000000002</v>
      </c>
      <c r="F326" s="14">
        <v>5264.8</v>
      </c>
      <c r="G326" s="13">
        <v>2415.9700000000216</v>
      </c>
      <c r="H326" s="15">
        <v>216</v>
      </c>
      <c r="I326" s="13">
        <v>64</v>
      </c>
      <c r="J326" s="16">
        <v>853</v>
      </c>
      <c r="K326" s="15">
        <v>1873</v>
      </c>
      <c r="L326" s="14">
        <v>1161</v>
      </c>
      <c r="M326" s="13">
        <v>631</v>
      </c>
      <c r="O326" s="2"/>
    </row>
    <row r="327" spans="1:15" outlineLevel="1" x14ac:dyDescent="0.2">
      <c r="A327" s="20">
        <f t="shared" si="90"/>
        <v>3565</v>
      </c>
      <c r="B327" s="19" t="str">
        <f t="shared" si="90"/>
        <v>TAMUC</v>
      </c>
      <c r="C327" s="18"/>
      <c r="D327" s="15">
        <v>1153</v>
      </c>
      <c r="E327" s="21">
        <v>0.44800000000000001</v>
      </c>
      <c r="F327" s="14">
        <v>4172.1333333333332</v>
      </c>
      <c r="G327" s="13">
        <v>2179.8400000000324</v>
      </c>
      <c r="H327" s="15">
        <v>59</v>
      </c>
      <c r="I327" s="13">
        <v>65</v>
      </c>
      <c r="J327" s="16">
        <v>884</v>
      </c>
      <c r="K327" s="15">
        <v>1712</v>
      </c>
      <c r="L327" s="14">
        <v>1038</v>
      </c>
      <c r="M327" s="13">
        <v>423</v>
      </c>
      <c r="O327" s="2"/>
    </row>
    <row r="328" spans="1:15" outlineLevel="1" x14ac:dyDescent="0.2">
      <c r="A328" s="20">
        <f t="shared" si="90"/>
        <v>29269</v>
      </c>
      <c r="B328" s="19" t="str">
        <f t="shared" si="90"/>
        <v>TAMUT</v>
      </c>
      <c r="C328" s="18"/>
      <c r="D328" s="15">
        <v>326</v>
      </c>
      <c r="E328" s="17">
        <v>0.57336956521739135</v>
      </c>
      <c r="F328" s="14">
        <v>694.6</v>
      </c>
      <c r="G328" s="13">
        <v>569.46</v>
      </c>
      <c r="H328" s="15">
        <v>30</v>
      </c>
      <c r="I328" s="13">
        <v>15</v>
      </c>
      <c r="J328" s="16">
        <v>210</v>
      </c>
      <c r="K328" s="15">
        <v>403</v>
      </c>
      <c r="L328" s="14">
        <v>138</v>
      </c>
      <c r="M328" s="13">
        <v>0</v>
      </c>
      <c r="O328" s="2"/>
    </row>
    <row r="329" spans="1:15" outlineLevel="1" x14ac:dyDescent="0.2">
      <c r="A329" s="20">
        <f t="shared" si="90"/>
        <v>3652</v>
      </c>
      <c r="B329" s="19" t="str">
        <f t="shared" si="90"/>
        <v>UH</v>
      </c>
      <c r="C329" s="18"/>
      <c r="D329" s="15">
        <v>4778</v>
      </c>
      <c r="E329" s="21">
        <v>0.53100000000000003</v>
      </c>
      <c r="F329" s="14">
        <v>22778.733333333334</v>
      </c>
      <c r="G329" s="13">
        <v>9792.4499999989821</v>
      </c>
      <c r="H329" s="15">
        <v>656</v>
      </c>
      <c r="I329" s="13">
        <v>54</v>
      </c>
      <c r="J329" s="16">
        <v>3091</v>
      </c>
      <c r="K329" s="15">
        <v>7517</v>
      </c>
      <c r="L329" s="14">
        <v>5600</v>
      </c>
      <c r="M329" s="13">
        <v>3376</v>
      </c>
      <c r="O329" s="2"/>
    </row>
    <row r="330" spans="1:15" outlineLevel="1" x14ac:dyDescent="0.2">
      <c r="A330" s="20">
        <f t="shared" si="90"/>
        <v>11711</v>
      </c>
      <c r="B330" s="19" t="str">
        <f t="shared" si="90"/>
        <v>UHCL</v>
      </c>
      <c r="C330" s="18"/>
      <c r="D330" s="15">
        <v>1124</v>
      </c>
      <c r="E330" s="17">
        <v>0.50557620817843862</v>
      </c>
      <c r="F330" s="14">
        <v>2872.8666666666668</v>
      </c>
      <c r="G330" s="13">
        <v>2131.2100000000323</v>
      </c>
      <c r="H330" s="15">
        <v>88</v>
      </c>
      <c r="I330" s="13">
        <v>8</v>
      </c>
      <c r="J330" s="16">
        <v>707</v>
      </c>
      <c r="K330" s="15">
        <v>1349</v>
      </c>
      <c r="L330" s="14">
        <v>888</v>
      </c>
      <c r="M330" s="13">
        <v>81</v>
      </c>
      <c r="O330" s="2"/>
    </row>
    <row r="331" spans="1:15" outlineLevel="1" x14ac:dyDescent="0.2">
      <c r="A331" s="20">
        <f t="shared" si="90"/>
        <v>12826</v>
      </c>
      <c r="B331" s="19" t="str">
        <f t="shared" si="90"/>
        <v>UHD</v>
      </c>
      <c r="C331" s="18"/>
      <c r="D331" s="15">
        <v>2359</v>
      </c>
      <c r="E331" s="21">
        <v>0.18099999999999999</v>
      </c>
      <c r="F331" s="14">
        <v>7963.6</v>
      </c>
      <c r="G331" s="13">
        <v>4153.3100000000841</v>
      </c>
      <c r="H331" s="15">
        <v>112</v>
      </c>
      <c r="I331" s="13">
        <v>2</v>
      </c>
      <c r="J331" s="16">
        <v>1619</v>
      </c>
      <c r="K331" s="15">
        <v>3082</v>
      </c>
      <c r="L331" s="14">
        <v>1889</v>
      </c>
      <c r="M331" s="13">
        <v>606</v>
      </c>
      <c r="O331" s="2"/>
    </row>
    <row r="332" spans="1:15" outlineLevel="1" x14ac:dyDescent="0.2">
      <c r="A332" s="20">
        <f t="shared" si="90"/>
        <v>13231</v>
      </c>
      <c r="B332" s="19" t="str">
        <f t="shared" si="90"/>
        <v>UHV</v>
      </c>
      <c r="C332" s="18"/>
      <c r="D332" s="15">
        <v>515</v>
      </c>
      <c r="E332" s="17">
        <v>0.55256723716381417</v>
      </c>
      <c r="F332" s="14">
        <v>1135.8</v>
      </c>
      <c r="G332" s="13">
        <v>962.15000000001089</v>
      </c>
      <c r="H332" s="15">
        <v>72</v>
      </c>
      <c r="I332" s="13">
        <v>2</v>
      </c>
      <c r="J332" s="16">
        <v>337</v>
      </c>
      <c r="K332" s="15">
        <v>654</v>
      </c>
      <c r="L332" s="14">
        <v>269</v>
      </c>
      <c r="M332" s="13">
        <v>8</v>
      </c>
      <c r="O332" s="2"/>
    </row>
    <row r="333" spans="1:15" outlineLevel="1" x14ac:dyDescent="0.2">
      <c r="A333" s="20">
        <f t="shared" si="90"/>
        <v>3592</v>
      </c>
      <c r="B333" s="19" t="str">
        <f t="shared" si="90"/>
        <v>Midwestern</v>
      </c>
      <c r="C333" s="18"/>
      <c r="D333" s="15">
        <v>1002</v>
      </c>
      <c r="E333" s="21">
        <v>0.41199999999999998</v>
      </c>
      <c r="F333" s="14">
        <v>4294.8666666666668</v>
      </c>
      <c r="G333" s="13">
        <v>1899.0200000000148</v>
      </c>
      <c r="H333" s="15">
        <v>302</v>
      </c>
      <c r="I333" s="13">
        <v>19</v>
      </c>
      <c r="J333" s="16">
        <v>673</v>
      </c>
      <c r="K333" s="15">
        <v>1497</v>
      </c>
      <c r="L333" s="14">
        <v>1080</v>
      </c>
      <c r="M333" s="13">
        <v>622</v>
      </c>
      <c r="O333" s="2"/>
    </row>
    <row r="334" spans="1:15" outlineLevel="1" x14ac:dyDescent="0.2">
      <c r="A334" s="20">
        <f t="shared" si="90"/>
        <v>3594</v>
      </c>
      <c r="B334" s="19" t="str">
        <f t="shared" si="90"/>
        <v>UNT</v>
      </c>
      <c r="C334" s="18"/>
      <c r="D334" s="15">
        <v>6024</v>
      </c>
      <c r="E334" s="21">
        <v>0.57399999999999995</v>
      </c>
      <c r="F334" s="14">
        <f>22506.0666666667+838</f>
        <v>23344.066666666698</v>
      </c>
      <c r="G334" s="13">
        <v>11164.699999998398</v>
      </c>
      <c r="H334" s="15">
        <v>297</v>
      </c>
      <c r="I334" s="13">
        <v>27</v>
      </c>
      <c r="J334" s="16">
        <v>3747</v>
      </c>
      <c r="K334" s="30">
        <v>8327</v>
      </c>
      <c r="L334" s="29">
        <v>5604</v>
      </c>
      <c r="M334" s="28">
        <v>3585</v>
      </c>
      <c r="O334" s="2"/>
    </row>
    <row r="335" spans="1:15" outlineLevel="1" x14ac:dyDescent="0.2">
      <c r="A335" s="27">
        <f t="shared" si="90"/>
        <v>113594</v>
      </c>
      <c r="B335" s="19" t="str">
        <f t="shared" si="90"/>
        <v>UNTD</v>
      </c>
      <c r="C335" s="18"/>
      <c r="D335" s="24"/>
      <c r="E335" s="26"/>
      <c r="F335" s="23"/>
      <c r="G335" s="22"/>
      <c r="H335" s="24"/>
      <c r="I335" s="22"/>
      <c r="J335" s="25"/>
      <c r="K335" s="24"/>
      <c r="L335" s="23"/>
      <c r="M335" s="22"/>
      <c r="O335" s="2"/>
    </row>
    <row r="336" spans="1:15" outlineLevel="1" x14ac:dyDescent="0.2">
      <c r="A336" s="20">
        <f t="shared" si="90"/>
        <v>3624</v>
      </c>
      <c r="B336" s="19" t="str">
        <f t="shared" si="90"/>
        <v>SFA</v>
      </c>
      <c r="C336" s="18"/>
      <c r="D336" s="15">
        <v>1874</v>
      </c>
      <c r="E336" s="21">
        <v>0.56999999999999995</v>
      </c>
      <c r="F336" s="14">
        <v>9510.2666666666664</v>
      </c>
      <c r="G336" s="13">
        <v>3625.4100000000203</v>
      </c>
      <c r="H336" s="15">
        <v>230</v>
      </c>
      <c r="I336" s="13">
        <v>43</v>
      </c>
      <c r="J336" s="16">
        <v>1422</v>
      </c>
      <c r="K336" s="15">
        <v>2663</v>
      </c>
      <c r="L336" s="14">
        <v>1934</v>
      </c>
      <c r="M336" s="13">
        <v>1317</v>
      </c>
      <c r="O336" s="2"/>
    </row>
    <row r="337" spans="1:15" outlineLevel="1" x14ac:dyDescent="0.2">
      <c r="A337" s="20">
        <f t="shared" si="90"/>
        <v>3642</v>
      </c>
      <c r="B337" s="19" t="str">
        <f t="shared" si="90"/>
        <v>TSU</v>
      </c>
      <c r="C337" s="18"/>
      <c r="D337" s="15">
        <v>817</v>
      </c>
      <c r="E337" s="21">
        <v>0.14899999999999999</v>
      </c>
      <c r="F337" s="14">
        <v>5909.8</v>
      </c>
      <c r="G337" s="13">
        <v>1601.5200000000066</v>
      </c>
      <c r="H337" s="15">
        <v>127</v>
      </c>
      <c r="I337" s="13">
        <v>2</v>
      </c>
      <c r="J337" s="16">
        <v>723</v>
      </c>
      <c r="K337" s="15">
        <v>1871</v>
      </c>
      <c r="L337" s="14">
        <v>1137</v>
      </c>
      <c r="M337" s="13">
        <v>916</v>
      </c>
      <c r="O337" s="2"/>
    </row>
    <row r="338" spans="1:15" outlineLevel="1" x14ac:dyDescent="0.2">
      <c r="A338" s="20">
        <f t="shared" si="90"/>
        <v>3644</v>
      </c>
      <c r="B338" s="19" t="str">
        <f t="shared" si="90"/>
        <v>TTU</v>
      </c>
      <c r="C338" s="18"/>
      <c r="D338" s="15">
        <v>4476</v>
      </c>
      <c r="E338" s="21">
        <v>0.72799999999999998</v>
      </c>
      <c r="F338" s="14">
        <v>21422.2</v>
      </c>
      <c r="G338" s="13">
        <v>9827.5299999990111</v>
      </c>
      <c r="H338" s="15">
        <v>656</v>
      </c>
      <c r="I338" s="13">
        <v>43</v>
      </c>
      <c r="J338" s="16">
        <v>2539</v>
      </c>
      <c r="K338" s="15">
        <v>6430</v>
      </c>
      <c r="L338" s="14">
        <v>5148</v>
      </c>
      <c r="M338" s="13">
        <v>3832</v>
      </c>
      <c r="O338" s="2"/>
    </row>
    <row r="339" spans="1:15" outlineLevel="1" x14ac:dyDescent="0.2">
      <c r="A339" s="20">
        <f t="shared" si="90"/>
        <v>3541</v>
      </c>
      <c r="B339" s="19" t="str">
        <f t="shared" si="90"/>
        <v>Angelo</v>
      </c>
      <c r="C339" s="18"/>
      <c r="D339" s="15">
        <v>941</v>
      </c>
      <c r="E339" s="21">
        <v>0.44</v>
      </c>
      <c r="F339" s="14">
        <v>4829.1333333333332</v>
      </c>
      <c r="G339" s="13">
        <v>1933.5900000000179</v>
      </c>
      <c r="H339" s="15">
        <v>217</v>
      </c>
      <c r="I339" s="13">
        <v>18</v>
      </c>
      <c r="J339" s="16">
        <v>676</v>
      </c>
      <c r="K339" s="15">
        <v>1474</v>
      </c>
      <c r="L339" s="14">
        <v>1008</v>
      </c>
      <c r="M339" s="13">
        <v>708</v>
      </c>
      <c r="O339" s="2"/>
    </row>
    <row r="340" spans="1:15" outlineLevel="1" x14ac:dyDescent="0.2">
      <c r="A340" s="20">
        <f t="shared" ref="A340:B345" si="91">A298</f>
        <v>3646</v>
      </c>
      <c r="B340" s="19" t="str">
        <f t="shared" si="91"/>
        <v>TWU</v>
      </c>
      <c r="C340" s="18"/>
      <c r="D340" s="15">
        <v>1774</v>
      </c>
      <c r="E340" s="21">
        <v>0.54500000000000004</v>
      </c>
      <c r="F340" s="14">
        <v>6071.4666666666662</v>
      </c>
      <c r="G340" s="13">
        <v>3425.2000000000221</v>
      </c>
      <c r="H340" s="15">
        <v>614</v>
      </c>
      <c r="I340" s="13">
        <v>31</v>
      </c>
      <c r="J340" s="16">
        <v>1214</v>
      </c>
      <c r="K340" s="15">
        <v>2042</v>
      </c>
      <c r="L340" s="14">
        <v>1371</v>
      </c>
      <c r="M340" s="13">
        <v>668</v>
      </c>
      <c r="O340" s="2"/>
    </row>
    <row r="341" spans="1:15" outlineLevel="1" x14ac:dyDescent="0.2">
      <c r="A341" s="20">
        <f t="shared" si="91"/>
        <v>3581</v>
      </c>
      <c r="B341" s="19" t="str">
        <f t="shared" si="91"/>
        <v>Lamar</v>
      </c>
      <c r="C341" s="18"/>
      <c r="D341" s="15">
        <v>1286</v>
      </c>
      <c r="E341" s="21">
        <v>0.33800000000000002</v>
      </c>
      <c r="F341" s="14">
        <v>7172.9333333333334</v>
      </c>
      <c r="G341" s="13">
        <v>2638.0900000000311</v>
      </c>
      <c r="H341" s="15">
        <v>314</v>
      </c>
      <c r="I341" s="13">
        <v>17</v>
      </c>
      <c r="J341" s="16">
        <v>908</v>
      </c>
      <c r="K341" s="15">
        <v>2043</v>
      </c>
      <c r="L341" s="14">
        <v>1404</v>
      </c>
      <c r="M341" s="13">
        <v>1031</v>
      </c>
      <c r="O341" s="2"/>
    </row>
    <row r="342" spans="1:15" outlineLevel="1" x14ac:dyDescent="0.2">
      <c r="A342" s="20">
        <f t="shared" si="91"/>
        <v>3606</v>
      </c>
      <c r="B342" s="19" t="str">
        <f t="shared" si="91"/>
        <v>SHSU</v>
      </c>
      <c r="C342" s="18"/>
      <c r="D342" s="15">
        <v>3242</v>
      </c>
      <c r="E342" s="21">
        <v>0.57899999999999996</v>
      </c>
      <c r="F342" s="14">
        <v>12517.066666666668</v>
      </c>
      <c r="G342" s="13">
        <v>6188.6300000000374</v>
      </c>
      <c r="H342" s="15">
        <v>163</v>
      </c>
      <c r="I342" s="13">
        <v>69</v>
      </c>
      <c r="J342" s="16">
        <v>2318</v>
      </c>
      <c r="K342" s="15">
        <v>3849</v>
      </c>
      <c r="L342" s="14">
        <v>3011</v>
      </c>
      <c r="M342" s="13">
        <v>1870</v>
      </c>
      <c r="O342" s="2"/>
    </row>
    <row r="343" spans="1:15" outlineLevel="1" x14ac:dyDescent="0.2">
      <c r="A343" s="20">
        <f t="shared" si="91"/>
        <v>3615</v>
      </c>
      <c r="B343" s="19" t="str">
        <f t="shared" si="91"/>
        <v>TXST</v>
      </c>
      <c r="C343" s="18"/>
      <c r="D343" s="15">
        <v>5299</v>
      </c>
      <c r="E343" s="21">
        <v>0.64400000000000002</v>
      </c>
      <c r="F343" s="14">
        <v>21764.6</v>
      </c>
      <c r="G343" s="13">
        <v>10384.469999998846</v>
      </c>
      <c r="H343" s="15">
        <v>439</v>
      </c>
      <c r="I343" s="13">
        <v>68</v>
      </c>
      <c r="J343" s="16">
        <v>3545</v>
      </c>
      <c r="K343" s="15">
        <v>7301</v>
      </c>
      <c r="L343" s="14">
        <v>5428</v>
      </c>
      <c r="M343" s="13">
        <v>3302</v>
      </c>
      <c r="O343" s="2"/>
    </row>
    <row r="344" spans="1:15" outlineLevel="1" x14ac:dyDescent="0.2">
      <c r="A344" s="20">
        <f t="shared" si="91"/>
        <v>3625</v>
      </c>
      <c r="B344" s="19" t="str">
        <f t="shared" si="91"/>
        <v>SRSU</v>
      </c>
      <c r="C344" s="18"/>
      <c r="D344" s="15">
        <v>181</v>
      </c>
      <c r="E344" s="21">
        <v>0.28499999999999998</v>
      </c>
      <c r="F344" s="14">
        <v>1230.9333333333334</v>
      </c>
      <c r="G344" s="13">
        <v>368.43999999999954</v>
      </c>
      <c r="H344" s="15">
        <v>10</v>
      </c>
      <c r="I344" s="13">
        <v>10</v>
      </c>
      <c r="J344" s="16">
        <v>156</v>
      </c>
      <c r="K344" s="15">
        <v>318</v>
      </c>
      <c r="L344" s="14">
        <v>176</v>
      </c>
      <c r="M344" s="13">
        <v>115</v>
      </c>
      <c r="O344" s="2"/>
    </row>
    <row r="345" spans="1:15" outlineLevel="1" x14ac:dyDescent="0.2">
      <c r="A345" s="20">
        <f t="shared" si="91"/>
        <v>20</v>
      </c>
      <c r="B345" s="19" t="str">
        <f t="shared" si="91"/>
        <v>SRRG</v>
      </c>
      <c r="C345" s="18"/>
      <c r="D345" s="15">
        <v>168</v>
      </c>
      <c r="E345" s="17">
        <v>0.36144578313253012</v>
      </c>
      <c r="F345" s="14">
        <v>416.33333333333331</v>
      </c>
      <c r="G345" s="13">
        <v>287.9199999999995</v>
      </c>
      <c r="H345" s="15">
        <v>8</v>
      </c>
      <c r="I345" s="13">
        <v>9</v>
      </c>
      <c r="J345" s="16">
        <v>149</v>
      </c>
      <c r="K345" s="15">
        <v>251</v>
      </c>
      <c r="L345" s="14">
        <v>90</v>
      </c>
      <c r="M345" s="13">
        <v>5</v>
      </c>
      <c r="O345" s="2"/>
    </row>
    <row r="346" spans="1:15" ht="13.5" outlineLevel="1" thickBot="1" x14ac:dyDescent="0.25">
      <c r="A346" s="12"/>
      <c r="B346" s="11" t="s">
        <v>11</v>
      </c>
      <c r="C346" s="10"/>
      <c r="D346" s="9">
        <f>SUM(D308:D345)</f>
        <v>81251</v>
      </c>
      <c r="E346" s="8">
        <v>0.56799999999999995</v>
      </c>
      <c r="F346" s="7">
        <f t="shared" ref="F346:M346" si="92">SUM(F308:F345)</f>
        <v>338321.33333333337</v>
      </c>
      <c r="G346" s="3">
        <f t="shared" si="92"/>
        <v>165601.52999999447</v>
      </c>
      <c r="H346" s="5">
        <f t="shared" si="92"/>
        <v>12362</v>
      </c>
      <c r="I346" s="3">
        <f t="shared" si="92"/>
        <v>1122</v>
      </c>
      <c r="J346" s="6">
        <f t="shared" si="92"/>
        <v>51678</v>
      </c>
      <c r="K346" s="5">
        <f t="shared" si="92"/>
        <v>112517</v>
      </c>
      <c r="L346" s="4">
        <f t="shared" si="92"/>
        <v>81688</v>
      </c>
      <c r="M346" s="3">
        <f t="shared" si="92"/>
        <v>51008</v>
      </c>
      <c r="O346" s="2"/>
    </row>
    <row r="347" spans="1:15" x14ac:dyDescent="0.2">
      <c r="O347" s="2"/>
    </row>
    <row r="349" spans="1:15" x14ac:dyDescent="0.2">
      <c r="A349" s="1" t="s">
        <v>10</v>
      </c>
    </row>
    <row r="350" spans="1:15" x14ac:dyDescent="0.2">
      <c r="A350" s="1" t="s">
        <v>9</v>
      </c>
    </row>
    <row r="351" spans="1:15" x14ac:dyDescent="0.2">
      <c r="A351" s="1" t="s">
        <v>8</v>
      </c>
    </row>
    <row r="352" spans="1:15" x14ac:dyDescent="0.2">
      <c r="A352" s="1" t="s">
        <v>7</v>
      </c>
    </row>
    <row r="353" spans="1:1" x14ac:dyDescent="0.2">
      <c r="A353" s="1" t="s">
        <v>6</v>
      </c>
    </row>
    <row r="354" spans="1:1" x14ac:dyDescent="0.2">
      <c r="A354" s="1" t="s">
        <v>5</v>
      </c>
    </row>
    <row r="355" spans="1:1" x14ac:dyDescent="0.2">
      <c r="A355" s="1" t="s">
        <v>4</v>
      </c>
    </row>
    <row r="356" spans="1:1" x14ac:dyDescent="0.2">
      <c r="A356" s="1" t="s">
        <v>3</v>
      </c>
    </row>
    <row r="357" spans="1:1" x14ac:dyDescent="0.2">
      <c r="A357" s="1" t="s">
        <v>2</v>
      </c>
    </row>
    <row r="358" spans="1:1" x14ac:dyDescent="0.2">
      <c r="A358" s="1" t="s">
        <v>1</v>
      </c>
    </row>
    <row r="359" spans="1:1" x14ac:dyDescent="0.2">
      <c r="A359" s="1" t="s">
        <v>0</v>
      </c>
    </row>
  </sheetData>
  <autoFilter ref="A88:N346">
    <filterColumn colId="3" showButton="0"/>
    <filterColumn colId="4" showButton="0"/>
    <filterColumn colId="5" showButton="0"/>
    <filterColumn colId="10" showButton="0"/>
    <filterColumn colId="11" showButton="0"/>
  </autoFilter>
  <mergeCells count="87">
    <mergeCell ref="O3:Q3"/>
    <mergeCell ref="A1:M1"/>
    <mergeCell ref="A3:A4"/>
    <mergeCell ref="B3:B4"/>
    <mergeCell ref="C3:C4"/>
    <mergeCell ref="D3:G3"/>
    <mergeCell ref="H3:H4"/>
    <mergeCell ref="I3:I4"/>
    <mergeCell ref="J3:J4"/>
    <mergeCell ref="K3:M3"/>
    <mergeCell ref="J46:J47"/>
    <mergeCell ref="K46:M46"/>
    <mergeCell ref="A88:A89"/>
    <mergeCell ref="B88:B89"/>
    <mergeCell ref="C88:C89"/>
    <mergeCell ref="D88:G88"/>
    <mergeCell ref="H88:H89"/>
    <mergeCell ref="A46:A47"/>
    <mergeCell ref="B46:B47"/>
    <mergeCell ref="C46:C47"/>
    <mergeCell ref="D46:G46"/>
    <mergeCell ref="H46:H47"/>
    <mergeCell ref="I46:I47"/>
    <mergeCell ref="I88:I89"/>
    <mergeCell ref="J88:J89"/>
    <mergeCell ref="K88:M88"/>
    <mergeCell ref="N88:N89"/>
    <mergeCell ref="C129:C130"/>
    <mergeCell ref="D129:G129"/>
    <mergeCell ref="H129:H130"/>
    <mergeCell ref="I129:I130"/>
    <mergeCell ref="J129:J130"/>
    <mergeCell ref="K129:M129"/>
    <mergeCell ref="N129:N130"/>
    <mergeCell ref="A137:A138"/>
    <mergeCell ref="B137:B138"/>
    <mergeCell ref="C137:C138"/>
    <mergeCell ref="D137:G137"/>
    <mergeCell ref="H137:H138"/>
    <mergeCell ref="I137:I138"/>
    <mergeCell ref="J137:J138"/>
    <mergeCell ref="K137:M137"/>
    <mergeCell ref="J180:J181"/>
    <mergeCell ref="K180:M180"/>
    <mergeCell ref="I180:I181"/>
    <mergeCell ref="A139:C139"/>
    <mergeCell ref="A180:A181"/>
    <mergeCell ref="B180:B181"/>
    <mergeCell ref="C180:C181"/>
    <mergeCell ref="D180:D181"/>
    <mergeCell ref="E180:E181"/>
    <mergeCell ref="F222:F223"/>
    <mergeCell ref="F180:F181"/>
    <mergeCell ref="G180:G181"/>
    <mergeCell ref="H180:H181"/>
    <mergeCell ref="A222:A223"/>
    <mergeCell ref="B222:B223"/>
    <mergeCell ref="C222:C223"/>
    <mergeCell ref="D222:D223"/>
    <mergeCell ref="E222:E223"/>
    <mergeCell ref="A264:A265"/>
    <mergeCell ref="B264:B265"/>
    <mergeCell ref="C264:C265"/>
    <mergeCell ref="D264:D265"/>
    <mergeCell ref="E264:E265"/>
    <mergeCell ref="J264:J265"/>
    <mergeCell ref="K264:M264"/>
    <mergeCell ref="G222:G223"/>
    <mergeCell ref="H222:H223"/>
    <mergeCell ref="I222:I223"/>
    <mergeCell ref="J222:J223"/>
    <mergeCell ref="K222:M222"/>
    <mergeCell ref="F264:F265"/>
    <mergeCell ref="G264:G265"/>
    <mergeCell ref="H264:H265"/>
    <mergeCell ref="I264:I265"/>
    <mergeCell ref="G306:G307"/>
    <mergeCell ref="H306:H307"/>
    <mergeCell ref="I306:I307"/>
    <mergeCell ref="J306:J307"/>
    <mergeCell ref="K306:M306"/>
    <mergeCell ref="A306:A307"/>
    <mergeCell ref="B306:B307"/>
    <mergeCell ref="C306:C307"/>
    <mergeCell ref="D306:D307"/>
    <mergeCell ref="E306:E307"/>
    <mergeCell ref="F306:F307"/>
  </mergeCells>
  <pageMargins left="0.25" right="0.25" top="0.5" bottom="0.2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Below="0" summaryRight="0"/>
  </sheetPr>
  <dimension ref="A1:S375"/>
  <sheetViews>
    <sheetView showGridLines="0" zoomScale="70" zoomScaleNormal="70" workbookViewId="0">
      <pane xSplit="2" ySplit="4" topLeftCell="C146" activePane="bottomRight" state="frozen"/>
      <selection pane="topRight" activeCell="C1" sqref="C1"/>
      <selection pane="bottomLeft" activeCell="A6" sqref="A6"/>
      <selection pane="bottomRight" activeCell="D155" sqref="D155:M155"/>
    </sheetView>
  </sheetViews>
  <sheetFormatPr defaultRowHeight="12.75" outlineLevelRow="1" x14ac:dyDescent="0.2"/>
  <cols>
    <col min="1" max="1" width="7.28515625" style="1" customWidth="1"/>
    <col min="2" max="2" width="10.85546875" style="1" bestFit="1" customWidth="1"/>
    <col min="3" max="3" width="13.7109375" style="1" bestFit="1" customWidth="1"/>
    <col min="4" max="4" width="13.140625" style="1" customWidth="1"/>
    <col min="5" max="5" width="12.5703125" style="1" customWidth="1"/>
    <col min="6" max="6" width="13" style="1" customWidth="1"/>
    <col min="7" max="7" width="12.42578125" style="1" customWidth="1"/>
    <col min="8" max="8" width="12.85546875" style="1" customWidth="1"/>
    <col min="9" max="9" width="12.28515625" style="1" customWidth="1"/>
    <col min="10" max="10" width="12.42578125" style="1" customWidth="1"/>
    <col min="11" max="13" width="12.5703125" style="1" bestFit="1" customWidth="1"/>
    <col min="14" max="14" width="14.28515625" style="1" customWidth="1"/>
    <col min="15" max="15" width="16.42578125" style="1" customWidth="1"/>
    <col min="16" max="16" width="14.85546875" style="1" customWidth="1"/>
    <col min="17" max="17" width="14.42578125" style="1" customWidth="1"/>
    <col min="18" max="18" width="9.140625" style="1"/>
    <col min="19" max="20" width="12.5703125" style="1" customWidth="1"/>
    <col min="21" max="16384" width="9.140625" style="1"/>
  </cols>
  <sheetData>
    <row r="1" spans="1:17" ht="41.25" customHeight="1" x14ac:dyDescent="0.2">
      <c r="A1" s="284" t="s">
        <v>128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</row>
    <row r="2" spans="1:17" ht="13.5" thickBot="1" x14ac:dyDescent="0.25">
      <c r="A2" s="86"/>
      <c r="B2" s="85"/>
      <c r="C2" s="85"/>
      <c r="D2" s="85"/>
      <c r="E2" s="85"/>
      <c r="F2" s="85"/>
      <c r="G2" s="85"/>
      <c r="H2" s="85"/>
    </row>
    <row r="3" spans="1:17" ht="12.75" customHeight="1" x14ac:dyDescent="0.2">
      <c r="A3" s="315" t="s">
        <v>24</v>
      </c>
      <c r="B3" s="317" t="s">
        <v>23</v>
      </c>
      <c r="C3" s="319" t="s">
        <v>74</v>
      </c>
      <c r="D3" s="321" t="s">
        <v>35</v>
      </c>
      <c r="E3" s="321"/>
      <c r="F3" s="321"/>
      <c r="G3" s="321"/>
      <c r="H3" s="322" t="s">
        <v>18</v>
      </c>
      <c r="I3" s="324" t="s">
        <v>17</v>
      </c>
      <c r="J3" s="326" t="s">
        <v>16</v>
      </c>
      <c r="K3" s="328" t="s">
        <v>34</v>
      </c>
      <c r="L3" s="329"/>
      <c r="M3" s="329"/>
      <c r="O3" s="312" t="s">
        <v>150</v>
      </c>
      <c r="P3" s="313"/>
      <c r="Q3" s="314"/>
    </row>
    <row r="4" spans="1:17" ht="54" customHeight="1" thickBot="1" x14ac:dyDescent="0.25">
      <c r="A4" s="316"/>
      <c r="B4" s="318"/>
      <c r="C4" s="320"/>
      <c r="D4" s="264"/>
      <c r="E4" s="265" t="s">
        <v>33</v>
      </c>
      <c r="F4" s="265" t="s">
        <v>32</v>
      </c>
      <c r="G4" s="266" t="s">
        <v>31</v>
      </c>
      <c r="H4" s="323"/>
      <c r="I4" s="325"/>
      <c r="J4" s="327"/>
      <c r="K4" s="267" t="s">
        <v>14</v>
      </c>
      <c r="L4" s="268" t="s">
        <v>13</v>
      </c>
      <c r="M4" s="266" t="s">
        <v>12</v>
      </c>
      <c r="O4" s="261" t="s">
        <v>103</v>
      </c>
      <c r="P4" s="262" t="s">
        <v>148</v>
      </c>
      <c r="Q4" s="263" t="s">
        <v>149</v>
      </c>
    </row>
    <row r="5" spans="1:17" x14ac:dyDescent="0.2">
      <c r="A5" s="40">
        <v>3656</v>
      </c>
      <c r="B5" s="39" t="s">
        <v>73</v>
      </c>
      <c r="C5" s="83">
        <f>SUM(D5:M5)</f>
        <v>10220591.725516563</v>
      </c>
      <c r="D5" s="103">
        <f>D48/$C$86*$C$43</f>
        <v>554192.87049675931</v>
      </c>
      <c r="E5" s="80">
        <f t="shared" ref="E5:M5" si="0">E48/$C$86*$C$43</f>
        <v>98794.16988074292</v>
      </c>
      <c r="F5" s="80">
        <f t="shared" si="0"/>
        <v>54186.99507159413</v>
      </c>
      <c r="G5" s="79">
        <f t="shared" si="0"/>
        <v>112508.56268467444</v>
      </c>
      <c r="H5" s="81">
        <f t="shared" si="0"/>
        <v>188225.62096928997</v>
      </c>
      <c r="I5" s="79">
        <f t="shared" si="0"/>
        <v>4302.0657818405416</v>
      </c>
      <c r="J5" s="82">
        <f t="shared" si="0"/>
        <v>3197555.9061456579</v>
      </c>
      <c r="K5" s="81">
        <f t="shared" si="0"/>
        <v>3344256.8341006623</v>
      </c>
      <c r="L5" s="80">
        <f t="shared" si="0"/>
        <v>2601180.0617048456</v>
      </c>
      <c r="M5" s="79">
        <f t="shared" si="0"/>
        <v>65388.638680496239</v>
      </c>
      <c r="O5" s="92">
        <v>5.3941374102444546E-2</v>
      </c>
      <c r="P5" s="257">
        <f t="shared" ref="P5:P42" si="1">MIN(0,C48/$C$86-O5+$P$44)*-1*$Q$43</f>
        <v>897484.95070988545</v>
      </c>
      <c r="Q5" s="257">
        <f t="shared" ref="Q5:Q42" si="2">C5+P5</f>
        <v>11118076.676226448</v>
      </c>
    </row>
    <row r="6" spans="1:17" x14ac:dyDescent="0.2">
      <c r="A6" s="20">
        <v>3658</v>
      </c>
      <c r="B6" s="19" t="s">
        <v>72</v>
      </c>
      <c r="C6" s="58">
        <f t="shared" ref="C6:C42" si="3">SUM(D6:M6)</f>
        <v>25128708.585688237</v>
      </c>
      <c r="D6" s="15">
        <f t="shared" ref="D6:M21" si="4">D49/$C$86*$C$43</f>
        <v>197608.3758637243</v>
      </c>
      <c r="E6" s="14">
        <f t="shared" si="4"/>
        <v>8451083.2849235591</v>
      </c>
      <c r="F6" s="14">
        <f t="shared" si="4"/>
        <v>48501.573367536708</v>
      </c>
      <c r="G6" s="13">
        <f t="shared" si="4"/>
        <v>1047400.9236827681</v>
      </c>
      <c r="H6" s="15">
        <f t="shared" si="4"/>
        <v>6918950.9388515437</v>
      </c>
      <c r="I6" s="13">
        <f t="shared" si="4"/>
        <v>243374.00708697917</v>
      </c>
      <c r="J6" s="16">
        <f t="shared" si="4"/>
        <v>118705.44337071193</v>
      </c>
      <c r="K6" s="15">
        <f t="shared" si="4"/>
        <v>156513.19833232334</v>
      </c>
      <c r="L6" s="14">
        <f t="shared" si="4"/>
        <v>203681.07621679216</v>
      </c>
      <c r="M6" s="13">
        <f t="shared" si="4"/>
        <v>7742889.7639923031</v>
      </c>
      <c r="O6" s="92">
        <v>9.7535367886092073E-2</v>
      </c>
      <c r="P6" s="258">
        <f t="shared" si="1"/>
        <v>0</v>
      </c>
      <c r="Q6" s="258">
        <f t="shared" si="2"/>
        <v>25128708.585688237</v>
      </c>
    </row>
    <row r="7" spans="1:17" x14ac:dyDescent="0.2">
      <c r="A7" s="20">
        <v>9741</v>
      </c>
      <c r="B7" s="19" t="s">
        <v>71</v>
      </c>
      <c r="C7" s="58">
        <f t="shared" si="3"/>
        <v>4949617.9386122162</v>
      </c>
      <c r="D7" s="15">
        <f t="shared" si="4"/>
        <v>264285.28080883727</v>
      </c>
      <c r="E7" s="14">
        <f t="shared" si="4"/>
        <v>63898.335373801434</v>
      </c>
      <c r="F7" s="14">
        <f t="shared" si="4"/>
        <v>49109.393947570017</v>
      </c>
      <c r="G7" s="13">
        <f t="shared" si="4"/>
        <v>55087.211883762458</v>
      </c>
      <c r="H7" s="15">
        <f t="shared" si="4"/>
        <v>51829.649657412236</v>
      </c>
      <c r="I7" s="13">
        <f t="shared" si="4"/>
        <v>3933.3172862542087</v>
      </c>
      <c r="J7" s="16">
        <f t="shared" si="4"/>
        <v>1354206.6572989579</v>
      </c>
      <c r="K7" s="15">
        <f t="shared" si="4"/>
        <v>1621660.4522468711</v>
      </c>
      <c r="L7" s="14">
        <f t="shared" si="4"/>
        <v>1448165.8929741874</v>
      </c>
      <c r="M7" s="13">
        <f t="shared" si="4"/>
        <v>37441.747134561854</v>
      </c>
      <c r="O7" s="92">
        <v>3.0845130992374833E-2</v>
      </c>
      <c r="P7" s="258">
        <f t="shared" si="1"/>
        <v>938438.16773814429</v>
      </c>
      <c r="Q7" s="258">
        <f t="shared" si="2"/>
        <v>5888056.1063503604</v>
      </c>
    </row>
    <row r="8" spans="1:17" x14ac:dyDescent="0.2">
      <c r="A8" s="20">
        <v>3661</v>
      </c>
      <c r="B8" s="19" t="s">
        <v>70</v>
      </c>
      <c r="C8" s="58">
        <f t="shared" si="3"/>
        <v>7597492.5326057822</v>
      </c>
      <c r="D8" s="15">
        <f t="shared" si="4"/>
        <v>337618.09587656311</v>
      </c>
      <c r="E8" s="14">
        <f t="shared" si="4"/>
        <v>45284.707460954618</v>
      </c>
      <c r="F8" s="14">
        <f t="shared" si="4"/>
        <v>41863.056101688584</v>
      </c>
      <c r="G8" s="13">
        <f t="shared" si="4"/>
        <v>68012.086781520411</v>
      </c>
      <c r="H8" s="15">
        <f t="shared" si="4"/>
        <v>80510.088203015854</v>
      </c>
      <c r="I8" s="13">
        <f t="shared" si="4"/>
        <v>11062.454867589964</v>
      </c>
      <c r="J8" s="16">
        <f t="shared" si="4"/>
        <v>2528832.9925261927</v>
      </c>
      <c r="K8" s="15">
        <f t="shared" si="4"/>
        <v>2134167.1190555105</v>
      </c>
      <c r="L8" s="14">
        <f t="shared" si="4"/>
        <v>2278435.6092178607</v>
      </c>
      <c r="M8" s="13">
        <f t="shared" si="4"/>
        <v>71706.322514885411</v>
      </c>
      <c r="O8" s="92">
        <v>3.8067899960727944E-2</v>
      </c>
      <c r="P8" s="258">
        <f t="shared" si="1"/>
        <v>0</v>
      </c>
      <c r="Q8" s="258">
        <f t="shared" si="2"/>
        <v>7597492.5326057822</v>
      </c>
    </row>
    <row r="9" spans="1:17" x14ac:dyDescent="0.2">
      <c r="A9" s="20">
        <v>3599</v>
      </c>
      <c r="B9" s="19" t="s">
        <v>69</v>
      </c>
      <c r="C9" s="58">
        <f t="shared" si="3"/>
        <v>6151210.2619134551</v>
      </c>
      <c r="D9" s="15">
        <f t="shared" si="4"/>
        <v>56987.549058654418</v>
      </c>
      <c r="E9" s="14">
        <f t="shared" si="4"/>
        <v>42236.555867938514</v>
      </c>
      <c r="F9" s="14">
        <f t="shared" si="4"/>
        <v>1125288.2279168093</v>
      </c>
      <c r="G9" s="13">
        <f t="shared" si="4"/>
        <v>55443.178507532037</v>
      </c>
      <c r="H9" s="15">
        <f t="shared" si="4"/>
        <v>319786.88978348026</v>
      </c>
      <c r="I9" s="13">
        <f t="shared" si="4"/>
        <v>17208.263127362166</v>
      </c>
      <c r="J9" s="16">
        <f t="shared" si="4"/>
        <v>2399535.1606345517</v>
      </c>
      <c r="K9" s="15">
        <f t="shared" si="4"/>
        <v>1993606.9069050027</v>
      </c>
      <c r="L9" s="14">
        <f t="shared" si="4"/>
        <v>70022.202165361276</v>
      </c>
      <c r="M9" s="13">
        <f t="shared" si="4"/>
        <v>71095.327946762671</v>
      </c>
      <c r="O9" s="92">
        <v>3.6041180893975448E-2</v>
      </c>
      <c r="P9" s="258">
        <f t="shared" si="1"/>
        <v>912872.66682375874</v>
      </c>
      <c r="Q9" s="258">
        <f t="shared" si="2"/>
        <v>7064082.9287372138</v>
      </c>
    </row>
    <row r="10" spans="1:17" x14ac:dyDescent="0.2">
      <c r="A10" s="20">
        <v>30646</v>
      </c>
      <c r="B10" s="19" t="s">
        <v>68</v>
      </c>
      <c r="C10" s="58">
        <f t="shared" si="3"/>
        <v>3765595.4047160363</v>
      </c>
      <c r="D10" s="15">
        <f t="shared" si="4"/>
        <v>723609.34386105358</v>
      </c>
      <c r="E10" s="14">
        <f t="shared" si="4"/>
        <v>23859.940239760388</v>
      </c>
      <c r="F10" s="14">
        <f t="shared" si="4"/>
        <v>1892343.1296039009</v>
      </c>
      <c r="G10" s="13">
        <f t="shared" si="4"/>
        <v>22653.789368980873</v>
      </c>
      <c r="H10" s="15">
        <f t="shared" si="4"/>
        <v>15282.576539300208</v>
      </c>
      <c r="I10" s="13">
        <f t="shared" si="4"/>
        <v>2253.4630285831404</v>
      </c>
      <c r="J10" s="16">
        <f t="shared" si="4"/>
        <v>961182.29527912894</v>
      </c>
      <c r="K10" s="15">
        <f t="shared" si="4"/>
        <v>108137.87396497908</v>
      </c>
      <c r="L10" s="14">
        <f t="shared" si="4"/>
        <v>12582.585638887596</v>
      </c>
      <c r="M10" s="13">
        <f t="shared" si="4"/>
        <v>3690.4071914613828</v>
      </c>
      <c r="O10" s="92">
        <v>1.3127311227878089E-2</v>
      </c>
      <c r="P10" s="258">
        <f t="shared" si="1"/>
        <v>0</v>
      </c>
      <c r="Q10" s="258">
        <f t="shared" si="2"/>
        <v>3765595.4047160363</v>
      </c>
    </row>
    <row r="11" spans="1:17" x14ac:dyDescent="0.2">
      <c r="A11" s="20">
        <v>9930</v>
      </c>
      <c r="B11" s="19" t="s">
        <v>67</v>
      </c>
      <c r="C11" s="58">
        <f t="shared" si="3"/>
        <v>2141129.1785518005</v>
      </c>
      <c r="D11" s="15">
        <f t="shared" si="4"/>
        <v>353411.15695289563</v>
      </c>
      <c r="E11" s="14">
        <f t="shared" si="4"/>
        <v>8994.4211492363538</v>
      </c>
      <c r="F11" s="14">
        <f t="shared" si="4"/>
        <v>1269854.7692484087</v>
      </c>
      <c r="G11" s="13">
        <f t="shared" si="4"/>
        <v>10815.244407388562</v>
      </c>
      <c r="H11" s="15">
        <f t="shared" si="4"/>
        <v>5080.5348280783537</v>
      </c>
      <c r="I11" s="13">
        <f t="shared" si="4"/>
        <v>1229.1616519544402</v>
      </c>
      <c r="J11" s="16">
        <f t="shared" si="4"/>
        <v>409443.13432352932</v>
      </c>
      <c r="K11" s="15">
        <f t="shared" si="4"/>
        <v>64056.539063949647</v>
      </c>
      <c r="L11" s="14">
        <f t="shared" si="4"/>
        <v>11120.020262048656</v>
      </c>
      <c r="M11" s="13">
        <f t="shared" si="4"/>
        <v>7124.1966643112137</v>
      </c>
      <c r="O11" s="92">
        <v>6.658597974462911E-3</v>
      </c>
      <c r="P11" s="258">
        <f t="shared" si="1"/>
        <v>0</v>
      </c>
      <c r="Q11" s="258">
        <f t="shared" si="2"/>
        <v>2141129.1785518005</v>
      </c>
    </row>
    <row r="12" spans="1:17" x14ac:dyDescent="0.2">
      <c r="A12" s="20">
        <v>10115</v>
      </c>
      <c r="B12" s="19" t="s">
        <v>66</v>
      </c>
      <c r="C12" s="58">
        <f t="shared" si="3"/>
        <v>10360936.087072633</v>
      </c>
      <c r="D12" s="15">
        <f t="shared" si="4"/>
        <v>454980.05091467046</v>
      </c>
      <c r="E12" s="14">
        <f t="shared" si="4"/>
        <v>65981.604023093227</v>
      </c>
      <c r="F12" s="14">
        <f t="shared" si="4"/>
        <v>37049.339928839945</v>
      </c>
      <c r="G12" s="13">
        <f t="shared" si="4"/>
        <v>90863.963351489656</v>
      </c>
      <c r="H12" s="15">
        <f t="shared" si="4"/>
        <v>48183.136756614062</v>
      </c>
      <c r="I12" s="13">
        <f t="shared" si="4"/>
        <v>6104.8362047070541</v>
      </c>
      <c r="J12" s="16">
        <f t="shared" si="4"/>
        <v>3205423.2345411805</v>
      </c>
      <c r="K12" s="15">
        <f t="shared" si="4"/>
        <v>3331211.8028105921</v>
      </c>
      <c r="L12" s="14">
        <f t="shared" si="4"/>
        <v>3025248.6310202605</v>
      </c>
      <c r="M12" s="13">
        <f t="shared" si="4"/>
        <v>95889.487521183677</v>
      </c>
      <c r="O12" s="92">
        <v>5.1993931386758195E-2</v>
      </c>
      <c r="P12" s="258">
        <f t="shared" si="1"/>
        <v>294230.36692089523</v>
      </c>
      <c r="Q12" s="258">
        <f t="shared" si="2"/>
        <v>10655166.453993529</v>
      </c>
    </row>
    <row r="13" spans="1:17" x14ac:dyDescent="0.2">
      <c r="A13" s="20">
        <v>11163</v>
      </c>
      <c r="B13" s="19" t="s">
        <v>65</v>
      </c>
      <c r="C13" s="58">
        <f t="shared" si="3"/>
        <v>3610320.0982583826</v>
      </c>
      <c r="D13" s="15">
        <f t="shared" si="4"/>
        <v>788548.64395114826</v>
      </c>
      <c r="E13" s="14">
        <f t="shared" si="4"/>
        <v>23308.135875934233</v>
      </c>
      <c r="F13" s="14">
        <f t="shared" si="4"/>
        <v>1606497.7755508332</v>
      </c>
      <c r="G13" s="13">
        <f t="shared" si="4"/>
        <v>25514.049043844178</v>
      </c>
      <c r="H13" s="15">
        <f t="shared" si="4"/>
        <v>46298.422223617257</v>
      </c>
      <c r="I13" s="13">
        <f t="shared" si="4"/>
        <v>1720.8263127362166</v>
      </c>
      <c r="J13" s="16">
        <f t="shared" si="4"/>
        <v>966997.27713668963</v>
      </c>
      <c r="K13" s="15">
        <f t="shared" si="4"/>
        <v>117106.33297690244</v>
      </c>
      <c r="L13" s="14">
        <f t="shared" si="4"/>
        <v>20129.121423505025</v>
      </c>
      <c r="M13" s="13">
        <f t="shared" si="4"/>
        <v>14199.513763172605</v>
      </c>
      <c r="O13" s="92">
        <v>1.2069401585431769E-2</v>
      </c>
      <c r="P13" s="258">
        <f t="shared" si="1"/>
        <v>0</v>
      </c>
      <c r="Q13" s="258">
        <f t="shared" si="2"/>
        <v>3610320.0982583826</v>
      </c>
    </row>
    <row r="14" spans="1:17" x14ac:dyDescent="0.2">
      <c r="A14" s="20">
        <v>3632</v>
      </c>
      <c r="B14" s="19" t="s">
        <v>64</v>
      </c>
      <c r="C14" s="58">
        <f t="shared" si="3"/>
        <v>24741372.914675906</v>
      </c>
      <c r="D14" s="15">
        <f t="shared" si="4"/>
        <v>193043.48175308268</v>
      </c>
      <c r="E14" s="14">
        <f t="shared" si="4"/>
        <v>8372043.4163574018</v>
      </c>
      <c r="F14" s="14">
        <f t="shared" si="4"/>
        <v>46202.937622892823</v>
      </c>
      <c r="G14" s="13">
        <f t="shared" si="4"/>
        <v>1085546.118465692</v>
      </c>
      <c r="H14" s="15">
        <f t="shared" si="4"/>
        <v>6501035.9771870356</v>
      </c>
      <c r="I14" s="13">
        <f t="shared" si="4"/>
        <v>464623.10443877848</v>
      </c>
      <c r="J14" s="16">
        <f t="shared" si="4"/>
        <v>127382.30845620914</v>
      </c>
      <c r="K14" s="15">
        <f t="shared" si="4"/>
        <v>164052.13933204315</v>
      </c>
      <c r="L14" s="14">
        <f t="shared" si="4"/>
        <v>201457.07216438249</v>
      </c>
      <c r="M14" s="13">
        <f t="shared" si="4"/>
        <v>7585986.3588983845</v>
      </c>
      <c r="O14" s="92">
        <v>0.10514316433214833</v>
      </c>
      <c r="P14" s="258">
        <f t="shared" si="1"/>
        <v>0</v>
      </c>
      <c r="Q14" s="258">
        <f t="shared" si="2"/>
        <v>24741372.914675906</v>
      </c>
    </row>
    <row r="15" spans="1:17" x14ac:dyDescent="0.2">
      <c r="A15" s="20">
        <v>10298</v>
      </c>
      <c r="B15" s="19" t="s">
        <v>63</v>
      </c>
      <c r="C15" s="58">
        <f t="shared" si="3"/>
        <v>1992543.7446577258</v>
      </c>
      <c r="D15" s="15">
        <f t="shared" si="4"/>
        <v>273672.76466539851</v>
      </c>
      <c r="E15" s="14">
        <f t="shared" si="4"/>
        <v>9841.0159754818997</v>
      </c>
      <c r="F15" s="14">
        <f t="shared" si="4"/>
        <v>1350783.1459081864</v>
      </c>
      <c r="G15" s="13">
        <f t="shared" si="4"/>
        <v>11404.034584858171</v>
      </c>
      <c r="H15" s="15">
        <f t="shared" si="4"/>
        <v>6883.3052509448653</v>
      </c>
      <c r="I15" s="13">
        <f t="shared" si="4"/>
        <v>0</v>
      </c>
      <c r="J15" s="16">
        <f t="shared" si="4"/>
        <v>243203.06474856252</v>
      </c>
      <c r="K15" s="15">
        <f t="shared" si="4"/>
        <v>72440.689382671961</v>
      </c>
      <c r="L15" s="14">
        <f t="shared" si="4"/>
        <v>10788.304403384151</v>
      </c>
      <c r="M15" s="13">
        <f t="shared" si="4"/>
        <v>13527.419738237586</v>
      </c>
      <c r="O15" s="92">
        <v>7.0859752523080169E-3</v>
      </c>
      <c r="P15" s="258">
        <f t="shared" si="1"/>
        <v>0</v>
      </c>
      <c r="Q15" s="258">
        <f t="shared" si="2"/>
        <v>1992543.7446577258</v>
      </c>
    </row>
    <row r="16" spans="1:17" x14ac:dyDescent="0.2">
      <c r="A16" s="20">
        <v>3630</v>
      </c>
      <c r="B16" s="19" t="s">
        <v>62</v>
      </c>
      <c r="C16" s="58">
        <f t="shared" si="3"/>
        <v>3168391.6163316583</v>
      </c>
      <c r="D16" s="15">
        <f t="shared" si="4"/>
        <v>20681.915414180909</v>
      </c>
      <c r="E16" s="14">
        <f t="shared" si="4"/>
        <v>13218.300414859457</v>
      </c>
      <c r="F16" s="14">
        <f t="shared" si="4"/>
        <v>868913.90080337436</v>
      </c>
      <c r="G16" s="13">
        <f t="shared" si="4"/>
        <v>22384.969594856899</v>
      </c>
      <c r="H16" s="15">
        <f t="shared" si="4"/>
        <v>1164016.084400855</v>
      </c>
      <c r="I16" s="13">
        <f t="shared" si="4"/>
        <v>35645.687906678766</v>
      </c>
      <c r="J16" s="16">
        <f t="shared" si="4"/>
        <v>823675.07723563805</v>
      </c>
      <c r="K16" s="15">
        <f t="shared" si="4"/>
        <v>27198.890239796696</v>
      </c>
      <c r="L16" s="14">
        <f t="shared" si="4"/>
        <v>26710.665619280262</v>
      </c>
      <c r="M16" s="13">
        <f t="shared" si="4"/>
        <v>165946.12470213772</v>
      </c>
      <c r="O16" s="92">
        <v>1.5279410782616385E-2</v>
      </c>
      <c r="P16" s="258">
        <f t="shared" si="1"/>
        <v>0</v>
      </c>
      <c r="Q16" s="258">
        <f t="shared" si="2"/>
        <v>3168391.6163316583</v>
      </c>
    </row>
    <row r="17" spans="1:17" x14ac:dyDescent="0.2">
      <c r="A17" s="20">
        <v>3631</v>
      </c>
      <c r="B17" s="19" t="s">
        <v>61</v>
      </c>
      <c r="C17" s="58">
        <f t="shared" si="3"/>
        <v>3818453.6817855025</v>
      </c>
      <c r="D17" s="15">
        <f t="shared" si="4"/>
        <v>34133.627575700499</v>
      </c>
      <c r="E17" s="14">
        <f t="shared" si="4"/>
        <v>28057.023116662378</v>
      </c>
      <c r="F17" s="14">
        <f t="shared" si="4"/>
        <v>1348631.4673533789</v>
      </c>
      <c r="G17" s="13">
        <f t="shared" si="4"/>
        <v>33719.927432722303</v>
      </c>
      <c r="H17" s="15">
        <f t="shared" si="4"/>
        <v>748559.44604025409</v>
      </c>
      <c r="I17" s="13">
        <f t="shared" si="4"/>
        <v>175770.11622948496</v>
      </c>
      <c r="J17" s="16">
        <f t="shared" si="4"/>
        <v>1226277.0564326253</v>
      </c>
      <c r="K17" s="15">
        <f t="shared" si="4"/>
        <v>35129.182178218638</v>
      </c>
      <c r="L17" s="14">
        <f t="shared" si="4"/>
        <v>30050.441196288775</v>
      </c>
      <c r="M17" s="13">
        <f t="shared" si="4"/>
        <v>158125.39423016651</v>
      </c>
      <c r="O17" s="92">
        <v>1.9985241623354359E-2</v>
      </c>
      <c r="P17" s="258">
        <f t="shared" si="1"/>
        <v>0</v>
      </c>
      <c r="Q17" s="258">
        <f t="shared" si="2"/>
        <v>3818453.6817855025</v>
      </c>
    </row>
    <row r="18" spans="1:17" x14ac:dyDescent="0.2">
      <c r="A18" s="78">
        <v>103631</v>
      </c>
      <c r="B18" s="19" t="s">
        <v>60</v>
      </c>
      <c r="C18" s="58">
        <f t="shared" si="3"/>
        <v>4419182.828547026</v>
      </c>
      <c r="D18" s="15">
        <f t="shared" si="4"/>
        <v>305038.00484496797</v>
      </c>
      <c r="E18" s="14">
        <f t="shared" si="4"/>
        <v>8357.7974383327746</v>
      </c>
      <c r="F18" s="14">
        <f t="shared" si="4"/>
        <v>3711399.1302907388</v>
      </c>
      <c r="G18" s="13">
        <f t="shared" si="4"/>
        <v>9218.0921071910507</v>
      </c>
      <c r="H18" s="15">
        <f t="shared" si="4"/>
        <v>4998.5907179480582</v>
      </c>
      <c r="I18" s="13">
        <f t="shared" si="4"/>
        <v>0</v>
      </c>
      <c r="J18" s="16">
        <f t="shared" si="4"/>
        <v>335558.65895687742</v>
      </c>
      <c r="K18" s="15">
        <f t="shared" si="4"/>
        <v>40358.065553655171</v>
      </c>
      <c r="L18" s="14">
        <f t="shared" si="4"/>
        <v>3008.0597183440091</v>
      </c>
      <c r="M18" s="13">
        <f t="shared" si="4"/>
        <v>1246.4289189704009</v>
      </c>
      <c r="O18" s="92">
        <v>3.4527219750504121E-3</v>
      </c>
      <c r="P18" s="258">
        <f t="shared" si="1"/>
        <v>0</v>
      </c>
      <c r="Q18" s="258">
        <f t="shared" si="2"/>
        <v>4419182.828547026</v>
      </c>
    </row>
    <row r="19" spans="1:17" x14ac:dyDescent="0.2">
      <c r="A19" s="20">
        <v>11161</v>
      </c>
      <c r="B19" s="19" t="s">
        <v>59</v>
      </c>
      <c r="C19" s="58">
        <f t="shared" si="3"/>
        <v>3619487.847460438</v>
      </c>
      <c r="D19" s="15">
        <f t="shared" si="4"/>
        <v>30665.780598100213</v>
      </c>
      <c r="E19" s="14">
        <f t="shared" si="4"/>
        <v>26788.536255598618</v>
      </c>
      <c r="F19" s="14">
        <f t="shared" si="4"/>
        <v>1173831.9278166704</v>
      </c>
      <c r="G19" s="13">
        <f t="shared" si="4"/>
        <v>30282.180393602081</v>
      </c>
      <c r="H19" s="15">
        <f t="shared" si="4"/>
        <v>163683.35998526632</v>
      </c>
      <c r="I19" s="13">
        <f t="shared" si="4"/>
        <v>15774.241200081986</v>
      </c>
      <c r="J19" s="16">
        <f t="shared" si="4"/>
        <v>1108267.1304997788</v>
      </c>
      <c r="K19" s="15">
        <f t="shared" si="4"/>
        <v>1004793.5351176693</v>
      </c>
      <c r="L19" s="14">
        <f t="shared" si="4"/>
        <v>33201.741853601547</v>
      </c>
      <c r="M19" s="13">
        <f t="shared" si="4"/>
        <v>32199.413740068689</v>
      </c>
      <c r="O19" s="92">
        <v>1.9224284187157891E-2</v>
      </c>
      <c r="P19" s="258">
        <f t="shared" si="1"/>
        <v>0</v>
      </c>
      <c r="Q19" s="258">
        <f t="shared" si="2"/>
        <v>3619487.847460438</v>
      </c>
    </row>
    <row r="20" spans="1:17" x14ac:dyDescent="0.2">
      <c r="A20" s="20">
        <v>3639</v>
      </c>
      <c r="B20" s="19" t="s">
        <v>58</v>
      </c>
      <c r="C20" s="58">
        <f t="shared" si="3"/>
        <v>2504967.4645785457</v>
      </c>
      <c r="D20" s="15">
        <f t="shared" si="4"/>
        <v>16823.843617445134</v>
      </c>
      <c r="E20" s="14">
        <f t="shared" si="4"/>
        <v>11639.718730052607</v>
      </c>
      <c r="F20" s="14">
        <f t="shared" si="4"/>
        <v>981803.06542166718</v>
      </c>
      <c r="G20" s="13">
        <f t="shared" si="4"/>
        <v>19043.296468047505</v>
      </c>
      <c r="H20" s="15">
        <f t="shared" si="4"/>
        <v>159791.01475407727</v>
      </c>
      <c r="I20" s="13">
        <f t="shared" si="4"/>
        <v>10243.013766287006</v>
      </c>
      <c r="J20" s="16">
        <f t="shared" si="4"/>
        <v>665302.33605619427</v>
      </c>
      <c r="K20" s="15">
        <f t="shared" si="4"/>
        <v>600397.56512548809</v>
      </c>
      <c r="L20" s="14">
        <f t="shared" si="4"/>
        <v>19443.07271581253</v>
      </c>
      <c r="M20" s="13">
        <f t="shared" si="4"/>
        <v>20480.537923474429</v>
      </c>
      <c r="O20" s="92">
        <v>1.296528221607569E-2</v>
      </c>
      <c r="P20" s="258">
        <f t="shared" si="1"/>
        <v>0</v>
      </c>
      <c r="Q20" s="258">
        <f t="shared" si="2"/>
        <v>2504967.4645785457</v>
      </c>
    </row>
    <row r="21" spans="1:17" x14ac:dyDescent="0.2">
      <c r="A21" s="78">
        <v>103639</v>
      </c>
      <c r="B21" s="19" t="s">
        <v>57</v>
      </c>
      <c r="C21" s="58">
        <f t="shared" si="3"/>
        <v>3259106.608522818</v>
      </c>
      <c r="D21" s="15">
        <f t="shared" si="4"/>
        <v>389414.91856747185</v>
      </c>
      <c r="E21" s="14">
        <f t="shared" si="4"/>
        <v>8980.6670114147673</v>
      </c>
      <c r="F21" s="14">
        <f t="shared" si="4"/>
        <v>2284266.2851010277</v>
      </c>
      <c r="G21" s="13">
        <f t="shared" si="4"/>
        <v>11079.780631281992</v>
      </c>
      <c r="H21" s="15">
        <f t="shared" si="4"/>
        <v>614.58082597722012</v>
      </c>
      <c r="I21" s="13">
        <f t="shared" si="4"/>
        <v>245.83233039088805</v>
      </c>
      <c r="J21" s="16">
        <f t="shared" si="4"/>
        <v>503166.95955715259</v>
      </c>
      <c r="K21" s="15">
        <f t="shared" si="4"/>
        <v>59490.778112425032</v>
      </c>
      <c r="L21" s="14">
        <f t="shared" si="4"/>
        <v>1749.0472547764662</v>
      </c>
      <c r="M21" s="13">
        <f t="shared" si="4"/>
        <v>97.759130899639274</v>
      </c>
      <c r="O21" s="92">
        <v>5.939285915308113E-3</v>
      </c>
      <c r="P21" s="258">
        <f t="shared" si="1"/>
        <v>0</v>
      </c>
      <c r="Q21" s="258">
        <f t="shared" si="2"/>
        <v>3259106.608522818</v>
      </c>
    </row>
    <row r="22" spans="1:17" x14ac:dyDescent="0.2">
      <c r="A22" s="20">
        <v>9651</v>
      </c>
      <c r="B22" s="19" t="s">
        <v>56</v>
      </c>
      <c r="C22" s="58">
        <f t="shared" si="3"/>
        <v>2481555.3016976803</v>
      </c>
      <c r="D22" s="15">
        <f t="shared" ref="D22:M37" si="5">D65/$C$86*$C$43</f>
        <v>17442.3131421127</v>
      </c>
      <c r="E22" s="14">
        <f t="shared" si="5"/>
        <v>14197.190717721518</v>
      </c>
      <c r="F22" s="14">
        <f t="shared" si="5"/>
        <v>1061242.1159567698</v>
      </c>
      <c r="G22" s="13">
        <f t="shared" si="5"/>
        <v>15750.110250148795</v>
      </c>
      <c r="H22" s="15">
        <f t="shared" si="5"/>
        <v>426519.09322819085</v>
      </c>
      <c r="I22" s="13">
        <f t="shared" si="5"/>
        <v>82353.830680947489</v>
      </c>
      <c r="J22" s="16">
        <f t="shared" si="5"/>
        <v>731319.48302732292</v>
      </c>
      <c r="K22" s="15">
        <f t="shared" si="5"/>
        <v>22937.51335170705</v>
      </c>
      <c r="L22" s="14">
        <f t="shared" si="5"/>
        <v>22971.323212516781</v>
      </c>
      <c r="M22" s="13">
        <f t="shared" si="5"/>
        <v>86822.328130242138</v>
      </c>
      <c r="O22" s="92">
        <v>1.0886031395541047E-2</v>
      </c>
      <c r="P22" s="258">
        <f t="shared" si="1"/>
        <v>0</v>
      </c>
      <c r="Q22" s="258">
        <f t="shared" si="2"/>
        <v>2481555.3016976803</v>
      </c>
    </row>
    <row r="23" spans="1:17" x14ac:dyDescent="0.2">
      <c r="A23" s="20">
        <v>3665</v>
      </c>
      <c r="B23" s="19" t="s">
        <v>55</v>
      </c>
      <c r="C23" s="58">
        <f t="shared" si="3"/>
        <v>3371457.7563031809</v>
      </c>
      <c r="D23" s="15">
        <f t="shared" si="5"/>
        <v>27735.413088365789</v>
      </c>
      <c r="E23" s="14">
        <f t="shared" si="5"/>
        <v>22448.086557091196</v>
      </c>
      <c r="F23" s="14">
        <f t="shared" si="5"/>
        <v>1273289.3756955466</v>
      </c>
      <c r="G23" s="13">
        <f t="shared" si="5"/>
        <v>27035.789262254162</v>
      </c>
      <c r="H23" s="15">
        <f t="shared" si="5"/>
        <v>706767.94987380318</v>
      </c>
      <c r="I23" s="13">
        <f t="shared" si="5"/>
        <v>223707.42065570812</v>
      </c>
      <c r="J23" s="16">
        <f t="shared" si="5"/>
        <v>912610.09388068202</v>
      </c>
      <c r="K23" s="15">
        <f t="shared" si="5"/>
        <v>29215.434660053408</v>
      </c>
      <c r="L23" s="14">
        <f t="shared" si="5"/>
        <v>27426.870314124073</v>
      </c>
      <c r="M23" s="13">
        <f t="shared" si="5"/>
        <v>121221.32231555274</v>
      </c>
      <c r="O23" s="92">
        <v>1.5183466872892367E-2</v>
      </c>
      <c r="P23" s="258">
        <f t="shared" si="1"/>
        <v>0</v>
      </c>
      <c r="Q23" s="258">
        <f t="shared" si="2"/>
        <v>3371457.7563031809</v>
      </c>
    </row>
    <row r="24" spans="1:17" x14ac:dyDescent="0.2">
      <c r="A24" s="20">
        <v>3565</v>
      </c>
      <c r="B24" s="19" t="s">
        <v>54</v>
      </c>
      <c r="C24" s="58">
        <f t="shared" si="3"/>
        <v>3731576.6198777133</v>
      </c>
      <c r="D24" s="15">
        <f t="shared" si="5"/>
        <v>29252.135970288629</v>
      </c>
      <c r="E24" s="14">
        <f t="shared" si="5"/>
        <v>22133.062358393934</v>
      </c>
      <c r="F24" s="14">
        <f t="shared" si="5"/>
        <v>1548274.0614374783</v>
      </c>
      <c r="G24" s="13">
        <f t="shared" si="5"/>
        <v>27016.891246531828</v>
      </c>
      <c r="H24" s="15">
        <f t="shared" si="5"/>
        <v>44864.40029633708</v>
      </c>
      <c r="I24" s="13">
        <f t="shared" si="5"/>
        <v>45683.841397640033</v>
      </c>
      <c r="J24" s="16">
        <f t="shared" si="5"/>
        <v>1046012.618848248</v>
      </c>
      <c r="K24" s="15">
        <f t="shared" si="5"/>
        <v>926034.15870386944</v>
      </c>
      <c r="L24" s="14">
        <f t="shared" si="5"/>
        <v>25723.057040074582</v>
      </c>
      <c r="M24" s="13">
        <f t="shared" si="5"/>
        <v>16582.392578851315</v>
      </c>
      <c r="O24" s="92">
        <v>1.411122580581306E-2</v>
      </c>
      <c r="P24" s="258">
        <f t="shared" si="1"/>
        <v>0</v>
      </c>
      <c r="Q24" s="258">
        <f t="shared" si="2"/>
        <v>3731576.6198777133</v>
      </c>
    </row>
    <row r="25" spans="1:17" x14ac:dyDescent="0.2">
      <c r="A25" s="20">
        <v>29269</v>
      </c>
      <c r="B25" s="19" t="s">
        <v>53</v>
      </c>
      <c r="C25" s="58">
        <f t="shared" si="3"/>
        <v>2663759.6000035936</v>
      </c>
      <c r="D25" s="15">
        <f t="shared" si="5"/>
        <v>229054.60610009544</v>
      </c>
      <c r="E25" s="14">
        <f t="shared" si="5"/>
        <v>7116.541841122259</v>
      </c>
      <c r="F25" s="14">
        <f t="shared" si="5"/>
        <v>2128746.775779333</v>
      </c>
      <c r="G25" s="13">
        <f t="shared" si="5"/>
        <v>6694.3251008479137</v>
      </c>
      <c r="H25" s="15">
        <f t="shared" si="5"/>
        <v>5121.5068831435019</v>
      </c>
      <c r="I25" s="13">
        <f t="shared" si="5"/>
        <v>2376.3791937785845</v>
      </c>
      <c r="J25" s="16">
        <f t="shared" si="5"/>
        <v>245255.41128652508</v>
      </c>
      <c r="K25" s="15">
        <f t="shared" si="5"/>
        <v>35275.938780231932</v>
      </c>
      <c r="L25" s="14">
        <f t="shared" si="5"/>
        <v>4093.675255791471</v>
      </c>
      <c r="M25" s="13">
        <f t="shared" si="5"/>
        <v>24.439782724909819</v>
      </c>
      <c r="O25" s="92">
        <v>2.885126155730112E-3</v>
      </c>
      <c r="P25" s="258">
        <f t="shared" si="1"/>
        <v>0</v>
      </c>
      <c r="Q25" s="258">
        <f t="shared" si="2"/>
        <v>2663759.6000035936</v>
      </c>
    </row>
    <row r="26" spans="1:17" x14ac:dyDescent="0.2">
      <c r="A26" s="20">
        <v>3652</v>
      </c>
      <c r="B26" s="19" t="s">
        <v>52</v>
      </c>
      <c r="C26" s="58">
        <f t="shared" si="3"/>
        <v>12081183.234000577</v>
      </c>
      <c r="D26" s="15">
        <f t="shared" si="5"/>
        <v>563101.77674494695</v>
      </c>
      <c r="E26" s="14">
        <f t="shared" si="5"/>
        <v>103868.27769849816</v>
      </c>
      <c r="F26" s="14">
        <f t="shared" si="5"/>
        <v>39216.570879638377</v>
      </c>
      <c r="G26" s="13">
        <f t="shared" si="5"/>
        <v>114254.66734497667</v>
      </c>
      <c r="H26" s="15">
        <f t="shared" si="5"/>
        <v>90589.213749042261</v>
      </c>
      <c r="I26" s="13">
        <f t="shared" si="5"/>
        <v>7702.7463522478256</v>
      </c>
      <c r="J26" s="16">
        <f t="shared" si="5"/>
        <v>3461282.4362738458</v>
      </c>
      <c r="K26" s="15">
        <f t="shared" si="5"/>
        <v>3718975.3579079332</v>
      </c>
      <c r="L26" s="14">
        <f t="shared" si="5"/>
        <v>3860946.4249511715</v>
      </c>
      <c r="M26" s="13">
        <f t="shared" si="5"/>
        <v>121245.76209827764</v>
      </c>
      <c r="O26" s="92">
        <v>6.680079885949769E-2</v>
      </c>
      <c r="P26" s="258">
        <f t="shared" si="1"/>
        <v>1989109.0072727962</v>
      </c>
      <c r="Q26" s="258">
        <f t="shared" si="2"/>
        <v>14070292.241273373</v>
      </c>
    </row>
    <row r="27" spans="1:17" x14ac:dyDescent="0.2">
      <c r="A27" s="20">
        <v>11711</v>
      </c>
      <c r="B27" s="19" t="s">
        <v>51</v>
      </c>
      <c r="C27" s="58">
        <f t="shared" si="3"/>
        <v>3962663.4327753671</v>
      </c>
      <c r="D27" s="15">
        <f t="shared" si="5"/>
        <v>788990.40789733944</v>
      </c>
      <c r="E27" s="14">
        <f t="shared" si="5"/>
        <v>23524.615261195919</v>
      </c>
      <c r="F27" s="14">
        <f t="shared" si="5"/>
        <v>2179663.4860909157</v>
      </c>
      <c r="G27" s="13">
        <f t="shared" si="5"/>
        <v>24653.307421073896</v>
      </c>
      <c r="H27" s="15">
        <f t="shared" si="5"/>
        <v>13111.057620847365</v>
      </c>
      <c r="I27" s="13">
        <f t="shared" si="5"/>
        <v>1024.3013766287004</v>
      </c>
      <c r="J27" s="16">
        <f t="shared" si="5"/>
        <v>794600.16794783506</v>
      </c>
      <c r="K27" s="15">
        <f t="shared" si="5"/>
        <v>113437.41792657015</v>
      </c>
      <c r="L27" s="14">
        <f t="shared" si="5"/>
        <v>21569.069809980476</v>
      </c>
      <c r="M27" s="13">
        <f t="shared" si="5"/>
        <v>2089.6014229797897</v>
      </c>
      <c r="O27" s="92">
        <v>1.0972897764284933E-2</v>
      </c>
      <c r="P27" s="258">
        <f t="shared" si="1"/>
        <v>0</v>
      </c>
      <c r="Q27" s="258">
        <f t="shared" si="2"/>
        <v>3962663.4327753671</v>
      </c>
    </row>
    <row r="28" spans="1:17" x14ac:dyDescent="0.2">
      <c r="A28" s="20">
        <v>12826</v>
      </c>
      <c r="B28" s="19" t="s">
        <v>50</v>
      </c>
      <c r="C28" s="58">
        <f t="shared" si="3"/>
        <v>5338905.3373088948</v>
      </c>
      <c r="D28" s="15">
        <f t="shared" si="5"/>
        <v>1578643.4617139655</v>
      </c>
      <c r="E28" s="14">
        <f t="shared" si="5"/>
        <v>17192.841091191614</v>
      </c>
      <c r="F28" s="14">
        <f t="shared" si="5"/>
        <v>1638198.1272320487</v>
      </c>
      <c r="G28" s="13">
        <f t="shared" si="5"/>
        <v>46125.376869766827</v>
      </c>
      <c r="H28" s="15">
        <f t="shared" si="5"/>
        <v>15938.129420342577</v>
      </c>
      <c r="I28" s="13">
        <f t="shared" si="5"/>
        <v>204.86027532574008</v>
      </c>
      <c r="J28" s="16">
        <f t="shared" si="5"/>
        <v>1724997.2651575261</v>
      </c>
      <c r="K28" s="15">
        <f t="shared" si="5"/>
        <v>253182.31562144894</v>
      </c>
      <c r="L28" s="14">
        <f t="shared" si="5"/>
        <v>42256.076995784882</v>
      </c>
      <c r="M28" s="13">
        <f t="shared" si="5"/>
        <v>22166.882931493205</v>
      </c>
      <c r="O28" s="92">
        <v>2.262163232206927E-2</v>
      </c>
      <c r="P28" s="258">
        <f t="shared" si="1"/>
        <v>0</v>
      </c>
      <c r="Q28" s="258">
        <f t="shared" si="2"/>
        <v>5338905.3373088948</v>
      </c>
    </row>
    <row r="29" spans="1:17" x14ac:dyDescent="0.2">
      <c r="A29" s="20">
        <v>13231</v>
      </c>
      <c r="B29" s="19" t="s">
        <v>49</v>
      </c>
      <c r="C29" s="58">
        <f t="shared" si="3"/>
        <v>3079926.5162149491</v>
      </c>
      <c r="D29" s="15">
        <f t="shared" si="5"/>
        <v>382125.81345531833</v>
      </c>
      <c r="E29" s="14">
        <f t="shared" si="5"/>
        <v>11402.383529825354</v>
      </c>
      <c r="F29" s="14">
        <f t="shared" si="5"/>
        <v>2201137.2175562466</v>
      </c>
      <c r="G29" s="13">
        <f t="shared" si="5"/>
        <v>11711.154337512822</v>
      </c>
      <c r="H29" s="15">
        <f t="shared" si="5"/>
        <v>13274.945841107958</v>
      </c>
      <c r="I29" s="13">
        <f t="shared" si="5"/>
        <v>901.38521143325625</v>
      </c>
      <c r="J29" s="16">
        <f t="shared" si="5"/>
        <v>394050.53528881021</v>
      </c>
      <c r="K29" s="15">
        <f t="shared" si="5"/>
        <v>58376.515023064851</v>
      </c>
      <c r="L29" s="14">
        <f t="shared" si="5"/>
        <v>6702.1681443805119</v>
      </c>
      <c r="M29" s="13">
        <f t="shared" si="5"/>
        <v>244.39782724909819</v>
      </c>
      <c r="O29" s="92">
        <v>5.6229417841748381E-3</v>
      </c>
      <c r="P29" s="258">
        <f t="shared" si="1"/>
        <v>0</v>
      </c>
      <c r="Q29" s="258">
        <f t="shared" si="2"/>
        <v>3079926.5162149491</v>
      </c>
    </row>
    <row r="30" spans="1:17" x14ac:dyDescent="0.2">
      <c r="A30" s="20">
        <v>3592</v>
      </c>
      <c r="B30" s="19" t="s">
        <v>48</v>
      </c>
      <c r="C30" s="58">
        <f t="shared" si="3"/>
        <v>2963687.4963157903</v>
      </c>
      <c r="D30" s="15">
        <f t="shared" si="5"/>
        <v>683629.70673075737</v>
      </c>
      <c r="E30" s="14">
        <f t="shared" si="5"/>
        <v>17215.715416749448</v>
      </c>
      <c r="F30" s="14">
        <f t="shared" si="5"/>
        <v>1324621.3388026713</v>
      </c>
      <c r="G30" s="13">
        <f t="shared" si="5"/>
        <v>21187.375341361912</v>
      </c>
      <c r="H30" s="15">
        <f t="shared" si="5"/>
        <v>40972.055065148015</v>
      </c>
      <c r="I30" s="13">
        <f t="shared" si="5"/>
        <v>1843.7424779316605</v>
      </c>
      <c r="J30" s="16">
        <f t="shared" si="5"/>
        <v>708401.61335340794</v>
      </c>
      <c r="K30" s="15">
        <f t="shared" si="5"/>
        <v>117242.21871950735</v>
      </c>
      <c r="L30" s="14">
        <f t="shared" si="5"/>
        <v>23657.371920209273</v>
      </c>
      <c r="M30" s="13">
        <f t="shared" si="5"/>
        <v>24916.358488045556</v>
      </c>
      <c r="O30" s="92">
        <v>1.0364568727977754E-2</v>
      </c>
      <c r="P30" s="258">
        <f t="shared" si="1"/>
        <v>0</v>
      </c>
      <c r="Q30" s="258">
        <f t="shared" si="2"/>
        <v>2963687.4963157903</v>
      </c>
    </row>
    <row r="31" spans="1:17" x14ac:dyDescent="0.2">
      <c r="A31" s="20">
        <v>3594</v>
      </c>
      <c r="B31" s="19" t="s">
        <v>47</v>
      </c>
      <c r="C31" s="58">
        <f t="shared" si="3"/>
        <v>12731520.016895777</v>
      </c>
      <c r="D31" s="15">
        <f t="shared" si="5"/>
        <v>664486.60239580902</v>
      </c>
      <c r="E31" s="14">
        <f t="shared" si="5"/>
        <v>131710.74639399647</v>
      </c>
      <c r="F31" s="14">
        <f t="shared" si="5"/>
        <v>47383.656593071355</v>
      </c>
      <c r="G31" s="13">
        <f t="shared" si="5"/>
        <v>123231.83674887134</v>
      </c>
      <c r="H31" s="15">
        <f t="shared" si="5"/>
        <v>41381.775615799488</v>
      </c>
      <c r="I31" s="13">
        <f t="shared" si="5"/>
        <v>5326.367158469242</v>
      </c>
      <c r="J31" s="16">
        <f t="shared" si="5"/>
        <v>3919981.8875084766</v>
      </c>
      <c r="K31" s="15">
        <f t="shared" si="5"/>
        <v>3847305.8532240004</v>
      </c>
      <c r="L31" s="14">
        <f t="shared" si="5"/>
        <v>3828377.9588277466</v>
      </c>
      <c r="M31" s="13">
        <f t="shared" si="5"/>
        <v>122333.33242953611</v>
      </c>
      <c r="O31" s="92">
        <v>5.9972196847224775E-2</v>
      </c>
      <c r="P31" s="258">
        <f t="shared" si="1"/>
        <v>0</v>
      </c>
      <c r="Q31" s="258">
        <f t="shared" si="2"/>
        <v>12731520.016895777</v>
      </c>
    </row>
    <row r="32" spans="1:17" x14ac:dyDescent="0.2">
      <c r="A32" s="78">
        <v>113594</v>
      </c>
      <c r="B32" s="19" t="s">
        <v>46</v>
      </c>
      <c r="C32" s="58">
        <f t="shared" si="3"/>
        <v>2984749.0835804436</v>
      </c>
      <c r="D32" s="15">
        <f t="shared" si="5"/>
        <v>267377.62843217503</v>
      </c>
      <c r="E32" s="14">
        <f t="shared" si="5"/>
        <v>8850.8921419826493</v>
      </c>
      <c r="F32" s="14">
        <f t="shared" si="5"/>
        <v>2341856.2256937097</v>
      </c>
      <c r="G32" s="13">
        <f t="shared" si="5"/>
        <v>7622.487644471782</v>
      </c>
      <c r="H32" s="15">
        <f t="shared" si="5"/>
        <v>1474.9939823453285</v>
      </c>
      <c r="I32" s="13">
        <f t="shared" si="5"/>
        <v>0</v>
      </c>
      <c r="J32" s="16">
        <f t="shared" si="5"/>
        <v>316574.45348072384</v>
      </c>
      <c r="K32" s="15">
        <f t="shared" si="5"/>
        <v>38972.030979085204</v>
      </c>
      <c r="L32" s="14">
        <f t="shared" si="5"/>
        <v>1617.1148109894486</v>
      </c>
      <c r="M32" s="13">
        <f t="shared" si="5"/>
        <v>403.25641496101213</v>
      </c>
      <c r="O32" s="92">
        <v>2.8602942419239919E-3</v>
      </c>
      <c r="P32" s="258">
        <f t="shared" si="1"/>
        <v>0</v>
      </c>
      <c r="Q32" s="258">
        <f t="shared" si="2"/>
        <v>2984749.0835804436</v>
      </c>
    </row>
    <row r="33" spans="1:17" x14ac:dyDescent="0.2">
      <c r="A33" s="20">
        <v>3624</v>
      </c>
      <c r="B33" s="19" t="s">
        <v>45</v>
      </c>
      <c r="C33" s="58">
        <f t="shared" si="3"/>
        <v>4161436.2260776111</v>
      </c>
      <c r="D33" s="15">
        <f t="shared" si="5"/>
        <v>42446.152496530063</v>
      </c>
      <c r="E33" s="14">
        <f t="shared" si="5"/>
        <v>40437.038584800895</v>
      </c>
      <c r="F33" s="14">
        <f t="shared" si="5"/>
        <v>1112386.8101438999</v>
      </c>
      <c r="G33" s="13">
        <f t="shared" si="5"/>
        <v>40190.536023636974</v>
      </c>
      <c r="H33" s="15">
        <f t="shared" si="5"/>
        <v>914496.26905410364</v>
      </c>
      <c r="I33" s="13">
        <f t="shared" si="5"/>
        <v>164707.66136189498</v>
      </c>
      <c r="J33" s="16">
        <f t="shared" si="5"/>
        <v>1498555.0304689908</v>
      </c>
      <c r="K33" s="15">
        <f t="shared" si="5"/>
        <v>45157.549982460223</v>
      </c>
      <c r="L33" s="14">
        <f t="shared" si="5"/>
        <v>46930.255004239239</v>
      </c>
      <c r="M33" s="13">
        <f t="shared" si="5"/>
        <v>256128.92295705489</v>
      </c>
      <c r="O33" s="92">
        <v>2.3435865298122357E-2</v>
      </c>
      <c r="P33" s="258">
        <f t="shared" si="1"/>
        <v>14989.543309769488</v>
      </c>
      <c r="Q33" s="258">
        <f t="shared" si="2"/>
        <v>4176425.7693873807</v>
      </c>
    </row>
    <row r="34" spans="1:17" x14ac:dyDescent="0.2">
      <c r="A34" s="20">
        <v>3642</v>
      </c>
      <c r="B34" s="19" t="s">
        <v>44</v>
      </c>
      <c r="C34" s="58">
        <f t="shared" si="3"/>
        <v>2373059.0395994359</v>
      </c>
      <c r="D34" s="15">
        <f t="shared" si="5"/>
        <v>16750.216293079946</v>
      </c>
      <c r="E34" s="14">
        <f t="shared" si="5"/>
        <v>4138.1638501102543</v>
      </c>
      <c r="F34" s="14">
        <f t="shared" si="5"/>
        <v>710217.18836689938</v>
      </c>
      <c r="G34" s="13">
        <f t="shared" si="5"/>
        <v>16075.768056321547</v>
      </c>
      <c r="H34" s="15">
        <f t="shared" si="5"/>
        <v>82558.690956273262</v>
      </c>
      <c r="I34" s="13">
        <f t="shared" si="5"/>
        <v>1843.7424779316609</v>
      </c>
      <c r="J34" s="16">
        <f t="shared" si="5"/>
        <v>683773.45489785727</v>
      </c>
      <c r="K34" s="15">
        <f t="shared" si="5"/>
        <v>800964.92121031997</v>
      </c>
      <c r="L34" s="14">
        <f t="shared" si="5"/>
        <v>25625.050081832796</v>
      </c>
      <c r="M34" s="13">
        <f t="shared" si="5"/>
        <v>31111.8434088102</v>
      </c>
      <c r="O34" s="92">
        <v>1.3524899052819646E-2</v>
      </c>
      <c r="P34" s="258">
        <f t="shared" si="1"/>
        <v>0</v>
      </c>
      <c r="Q34" s="258">
        <f t="shared" si="2"/>
        <v>2373059.0395994359</v>
      </c>
    </row>
    <row r="35" spans="1:17" x14ac:dyDescent="0.2">
      <c r="A35" s="20">
        <v>3644</v>
      </c>
      <c r="B35" s="19" t="s">
        <v>43</v>
      </c>
      <c r="C35" s="58">
        <f t="shared" si="3"/>
        <v>10639834.910691094</v>
      </c>
      <c r="D35" s="15">
        <f t="shared" si="5"/>
        <v>516201.1711243231</v>
      </c>
      <c r="E35" s="14">
        <f t="shared" si="5"/>
        <v>129954.49619307634</v>
      </c>
      <c r="F35" s="14">
        <f t="shared" si="5"/>
        <v>38550.6566526979</v>
      </c>
      <c r="G35" s="13">
        <f t="shared" si="5"/>
        <v>109372.14000671322</v>
      </c>
      <c r="H35" s="15">
        <f t="shared" si="5"/>
        <v>89401.024152152968</v>
      </c>
      <c r="I35" s="13">
        <f t="shared" si="5"/>
        <v>7047.193471205459</v>
      </c>
      <c r="J35" s="16">
        <f t="shared" si="5"/>
        <v>2850709.3412299859</v>
      </c>
      <c r="K35" s="15">
        <f t="shared" si="5"/>
        <v>3172551.6097451109</v>
      </c>
      <c r="L35" s="14">
        <f t="shared" si="5"/>
        <v>3581400.424058449</v>
      </c>
      <c r="M35" s="13">
        <f t="shared" si="5"/>
        <v>144646.85405737875</v>
      </c>
      <c r="O35" s="92">
        <v>6.3345925146063756E-2</v>
      </c>
      <c r="P35" s="258">
        <f t="shared" si="1"/>
        <v>2672594.8078194521</v>
      </c>
      <c r="Q35" s="258">
        <f t="shared" si="2"/>
        <v>13312429.718510546</v>
      </c>
    </row>
    <row r="36" spans="1:17" x14ac:dyDescent="0.2">
      <c r="A36" s="20">
        <v>3541</v>
      </c>
      <c r="B36" s="19" t="s">
        <v>42</v>
      </c>
      <c r="C36" s="58">
        <f t="shared" si="3"/>
        <v>2751645.1459274408</v>
      </c>
      <c r="D36" s="15">
        <f t="shared" si="5"/>
        <v>656902.98798619467</v>
      </c>
      <c r="E36" s="14">
        <f t="shared" si="5"/>
        <v>16178.672838636199</v>
      </c>
      <c r="F36" s="14">
        <f t="shared" si="5"/>
        <v>1115031.185066147</v>
      </c>
      <c r="G36" s="13">
        <f t="shared" si="5"/>
        <v>21353.137936412855</v>
      </c>
      <c r="H36" s="15">
        <f t="shared" si="5"/>
        <v>31261.678014707937</v>
      </c>
      <c r="I36" s="13">
        <f t="shared" si="5"/>
        <v>2376.3791937785845</v>
      </c>
      <c r="J36" s="16">
        <f t="shared" si="5"/>
        <v>741923.2734734629</v>
      </c>
      <c r="K36" s="15">
        <f t="shared" si="5"/>
        <v>117296.57301654932</v>
      </c>
      <c r="L36" s="14">
        <f t="shared" si="5"/>
        <v>23378.429039059582</v>
      </c>
      <c r="M36" s="13">
        <f t="shared" si="5"/>
        <v>25942.829362491775</v>
      </c>
      <c r="O36" s="92">
        <v>1.2561069385453944E-2</v>
      </c>
      <c r="P36" s="258">
        <f t="shared" si="1"/>
        <v>0</v>
      </c>
      <c r="Q36" s="258">
        <f t="shared" si="2"/>
        <v>2751645.1459274408</v>
      </c>
    </row>
    <row r="37" spans="1:17" x14ac:dyDescent="0.2">
      <c r="A37" s="20">
        <v>3646</v>
      </c>
      <c r="B37" s="19" t="s">
        <v>41</v>
      </c>
      <c r="C37" s="58">
        <f t="shared" si="3"/>
        <v>4402354.900539468</v>
      </c>
      <c r="D37" s="15">
        <f t="shared" si="5"/>
        <v>39891.284341058083</v>
      </c>
      <c r="E37" s="14">
        <f t="shared" si="5"/>
        <v>35922.305095105941</v>
      </c>
      <c r="F37" s="14">
        <f t="shared" si="5"/>
        <v>1512590.3923109171</v>
      </c>
      <c r="G37" s="13">
        <f t="shared" si="5"/>
        <v>37279.593670417009</v>
      </c>
      <c r="H37" s="15">
        <f t="shared" si="5"/>
        <v>349901.35025636409</v>
      </c>
      <c r="I37" s="13">
        <f t="shared" si="5"/>
        <v>19461.726155945307</v>
      </c>
      <c r="J37" s="16">
        <f t="shared" si="5"/>
        <v>1279638.0664196517</v>
      </c>
      <c r="K37" s="15">
        <f t="shared" si="5"/>
        <v>1074258.326737294</v>
      </c>
      <c r="L37" s="14">
        <f t="shared" si="5"/>
        <v>29228.690546415346</v>
      </c>
      <c r="M37" s="13">
        <f t="shared" si="5"/>
        <v>24183.165006298266</v>
      </c>
      <c r="O37" s="92">
        <v>1.8983457031793705E-2</v>
      </c>
      <c r="P37" s="258">
        <f t="shared" si="1"/>
        <v>0</v>
      </c>
      <c r="Q37" s="258">
        <f t="shared" si="2"/>
        <v>4402354.900539468</v>
      </c>
    </row>
    <row r="38" spans="1:17" x14ac:dyDescent="0.2">
      <c r="A38" s="20">
        <v>3581</v>
      </c>
      <c r="B38" s="19" t="s">
        <v>40</v>
      </c>
      <c r="C38" s="58">
        <f t="shared" si="3"/>
        <v>3591184.5101346062</v>
      </c>
      <c r="D38" s="15">
        <f t="shared" ref="D38:M42" si="6">D81/$C$86*$C$43</f>
        <v>29495.106140693737</v>
      </c>
      <c r="E38" s="14">
        <f t="shared" si="6"/>
        <v>17768.987111090795</v>
      </c>
      <c r="F38" s="14">
        <f t="shared" si="6"/>
        <v>1007909.981147045</v>
      </c>
      <c r="G38" s="13">
        <f t="shared" si="6"/>
        <v>28993.875664639581</v>
      </c>
      <c r="H38" s="15">
        <f t="shared" si="6"/>
        <v>1216870.0354348961</v>
      </c>
      <c r="I38" s="13">
        <f t="shared" si="6"/>
        <v>62687.244249676463</v>
      </c>
      <c r="J38" s="16">
        <f t="shared" si="6"/>
        <v>973496.37450690439</v>
      </c>
      <c r="K38" s="15">
        <f t="shared" si="6"/>
        <v>34971.554716796949</v>
      </c>
      <c r="L38" s="14">
        <f t="shared" si="6"/>
        <v>33676.698651234808</v>
      </c>
      <c r="M38" s="13">
        <f t="shared" si="6"/>
        <v>185314.65251162872</v>
      </c>
      <c r="O38" s="92">
        <v>1.8519296567582645E-2</v>
      </c>
      <c r="P38" s="258">
        <f t="shared" si="1"/>
        <v>0</v>
      </c>
      <c r="Q38" s="258">
        <f t="shared" si="2"/>
        <v>3591184.5101346062</v>
      </c>
    </row>
    <row r="39" spans="1:17" x14ac:dyDescent="0.2">
      <c r="A39" s="20">
        <v>3606</v>
      </c>
      <c r="B39" s="19" t="s">
        <v>39</v>
      </c>
      <c r="C39" s="58">
        <f t="shared" si="3"/>
        <v>5992111.5219667954</v>
      </c>
      <c r="D39" s="15">
        <f t="shared" si="6"/>
        <v>67980.108586376766</v>
      </c>
      <c r="E39" s="14">
        <f t="shared" si="6"/>
        <v>68581.11074924111</v>
      </c>
      <c r="F39" s="14">
        <f t="shared" si="6"/>
        <v>1344012.6072876549</v>
      </c>
      <c r="G39" s="13">
        <f t="shared" si="6"/>
        <v>63033.80949692901</v>
      </c>
      <c r="H39" s="15">
        <f t="shared" si="6"/>
        <v>102634.99793819578</v>
      </c>
      <c r="I39" s="13">
        <f t="shared" si="6"/>
        <v>37489.43038461043</v>
      </c>
      <c r="J39" s="16">
        <f t="shared" si="6"/>
        <v>2271605.5597682185</v>
      </c>
      <c r="K39" s="15">
        <f t="shared" si="6"/>
        <v>1905063.7570236498</v>
      </c>
      <c r="L39" s="14">
        <f t="shared" si="6"/>
        <v>67066.915424532082</v>
      </c>
      <c r="M39" s="13">
        <f t="shared" si="6"/>
        <v>64643.22530738647</v>
      </c>
      <c r="O39" s="92">
        <v>3.2554270941238916E-2</v>
      </c>
      <c r="P39" s="258">
        <f t="shared" si="1"/>
        <v>258511.80999696979</v>
      </c>
      <c r="Q39" s="258">
        <f t="shared" si="2"/>
        <v>6250623.3319637654</v>
      </c>
    </row>
    <row r="40" spans="1:17" x14ac:dyDescent="0.2">
      <c r="A40" s="20">
        <v>3615</v>
      </c>
      <c r="B40" s="19" t="s">
        <v>95</v>
      </c>
      <c r="C40" s="58">
        <f t="shared" si="3"/>
        <v>12277734.619510228</v>
      </c>
      <c r="D40" s="15">
        <f t="shared" si="6"/>
        <v>592074.12888264784</v>
      </c>
      <c r="E40" s="14">
        <f t="shared" si="6"/>
        <v>128896.47422892103</v>
      </c>
      <c r="F40" s="14">
        <f t="shared" si="6"/>
        <v>42844.148982260711</v>
      </c>
      <c r="G40" s="13">
        <f t="shared" si="6"/>
        <v>112711.11341699091</v>
      </c>
      <c r="H40" s="15">
        <f t="shared" si="6"/>
        <v>60065.032725506986</v>
      </c>
      <c r="I40" s="13">
        <f t="shared" si="6"/>
        <v>8194.4110130296031</v>
      </c>
      <c r="J40" s="16">
        <f t="shared" si="6"/>
        <v>3771528.8212625184</v>
      </c>
      <c r="K40" s="15">
        <f t="shared" si="6"/>
        <v>3654402.4530220847</v>
      </c>
      <c r="L40" s="14">
        <f t="shared" si="6"/>
        <v>3785405.6771371183</v>
      </c>
      <c r="M40" s="13">
        <f t="shared" si="6"/>
        <v>121612.35883915126</v>
      </c>
      <c r="O40" s="92">
        <v>6.1387457427191858E-2</v>
      </c>
      <c r="P40" s="258">
        <f t="shared" si="1"/>
        <v>513054.13038482878</v>
      </c>
      <c r="Q40" s="258">
        <f t="shared" si="2"/>
        <v>12790788.749895057</v>
      </c>
    </row>
    <row r="41" spans="1:17" x14ac:dyDescent="0.2">
      <c r="A41" s="20">
        <v>3625</v>
      </c>
      <c r="B41" s="19" t="s">
        <v>38</v>
      </c>
      <c r="C41" s="58">
        <f t="shared" si="3"/>
        <v>1187326.19552713</v>
      </c>
      <c r="D41" s="15">
        <f t="shared" si="6"/>
        <v>125460.96071827793</v>
      </c>
      <c r="E41" s="14">
        <f t="shared" si="6"/>
        <v>2164.6370988775911</v>
      </c>
      <c r="F41" s="14">
        <f t="shared" si="6"/>
        <v>852174.18295663467</v>
      </c>
      <c r="G41" s="13">
        <f t="shared" si="6"/>
        <v>4258.3168798976676</v>
      </c>
      <c r="H41" s="15">
        <f t="shared" si="6"/>
        <v>1556.9380924756244</v>
      </c>
      <c r="I41" s="13">
        <f t="shared" si="6"/>
        <v>778.46904623781222</v>
      </c>
      <c r="J41" s="16">
        <f t="shared" si="6"/>
        <v>167266.24284394807</v>
      </c>
      <c r="K41" s="15">
        <f t="shared" si="6"/>
        <v>24459.433668881924</v>
      </c>
      <c r="L41" s="14">
        <f t="shared" si="6"/>
        <v>4380.1571337289952</v>
      </c>
      <c r="M41" s="13">
        <f t="shared" si="6"/>
        <v>4826.8570881696896</v>
      </c>
      <c r="O41" s="92">
        <v>2.5717361648878246E-3</v>
      </c>
      <c r="P41" s="258">
        <f t="shared" si="1"/>
        <v>0</v>
      </c>
      <c r="Q41" s="258">
        <f t="shared" si="2"/>
        <v>1187326.19552713</v>
      </c>
    </row>
    <row r="42" spans="1:17" x14ac:dyDescent="0.2">
      <c r="A42" s="20">
        <v>20</v>
      </c>
      <c r="B42" s="19" t="s">
        <v>37</v>
      </c>
      <c r="C42" s="77">
        <f t="shared" si="3"/>
        <v>2291934.5645810151</v>
      </c>
      <c r="D42" s="15">
        <f t="shared" si="6"/>
        <v>107127.75695134644</v>
      </c>
      <c r="E42" s="14">
        <f t="shared" si="6"/>
        <v>1951.0440306045484</v>
      </c>
      <c r="F42" s="14">
        <f t="shared" si="6"/>
        <v>2009590.1672525082</v>
      </c>
      <c r="G42" s="13">
        <f t="shared" si="6"/>
        <v>3014.7194567013207</v>
      </c>
      <c r="H42" s="15">
        <f t="shared" si="6"/>
        <v>778.46904623781222</v>
      </c>
      <c r="I42" s="13">
        <f t="shared" si="6"/>
        <v>696.52493610751617</v>
      </c>
      <c r="J42" s="16">
        <f t="shared" si="6"/>
        <v>147768.95073330382</v>
      </c>
      <c r="K42" s="15">
        <f t="shared" si="6"/>
        <v>18752.232479476141</v>
      </c>
      <c r="L42" s="14">
        <f t="shared" si="6"/>
        <v>2095.8411070166276</v>
      </c>
      <c r="M42" s="13">
        <f t="shared" si="6"/>
        <v>158.85858771191383</v>
      </c>
      <c r="O42" s="92">
        <v>1.4792799135503695E-3</v>
      </c>
      <c r="P42" s="258">
        <f t="shared" si="1"/>
        <v>0</v>
      </c>
      <c r="Q42" s="258">
        <f t="shared" si="2"/>
        <v>2291934.5645810151</v>
      </c>
    </row>
    <row r="43" spans="1:17" ht="13.5" thickBot="1" x14ac:dyDescent="0.25">
      <c r="A43" s="12"/>
      <c r="B43" s="11" t="s">
        <v>11</v>
      </c>
      <c r="C43" s="75">
        <f>Q43-P43</f>
        <v>226508714.54902351</v>
      </c>
      <c r="D43" s="75">
        <f t="shared" ref="D43:M43" si="7">SUM(D5:D42)</f>
        <v>12420885.444012353</v>
      </c>
      <c r="E43" s="74">
        <f t="shared" si="7"/>
        <v>18128020.912883069</v>
      </c>
      <c r="F43" s="74">
        <f t="shared" si="7"/>
        <v>43419462.392939217</v>
      </c>
      <c r="G43" s="73">
        <f t="shared" si="7"/>
        <v>3572543.7415666911</v>
      </c>
      <c r="H43" s="75">
        <f t="shared" si="7"/>
        <v>20673269.824221727</v>
      </c>
      <c r="I43" s="73">
        <f t="shared" si="7"/>
        <v>1669898.0482902373</v>
      </c>
      <c r="J43" s="76">
        <f t="shared" si="7"/>
        <v>48816065.774857894</v>
      </c>
      <c r="K43" s="75">
        <f t="shared" si="7"/>
        <v>34883411.070998855</v>
      </c>
      <c r="L43" s="74">
        <f t="shared" si="7"/>
        <v>25461502.855016023</v>
      </c>
      <c r="M43" s="73">
        <f t="shared" si="7"/>
        <v>17463654.484237473</v>
      </c>
      <c r="O43" s="248">
        <f>SUM(O5:O42)</f>
        <v>1.0000000000000002</v>
      </c>
      <c r="P43" s="257">
        <f>SUM(P5:P42)</f>
        <v>8491285.4509765003</v>
      </c>
      <c r="Q43" s="259">
        <v>235000000</v>
      </c>
    </row>
    <row r="44" spans="1:17" x14ac:dyDescent="0.2">
      <c r="A44" s="72"/>
      <c r="C44" s="154"/>
      <c r="D44" s="155"/>
      <c r="E44" s="70"/>
      <c r="F44" s="70"/>
      <c r="G44" s="70"/>
      <c r="H44" s="70"/>
      <c r="I44" s="70"/>
      <c r="J44" s="70"/>
      <c r="K44" s="70"/>
      <c r="L44" s="70"/>
      <c r="M44" s="70"/>
      <c r="O44" s="249" t="s">
        <v>147</v>
      </c>
      <c r="P44" s="260">
        <v>5.0000000000000001E-3</v>
      </c>
    </row>
    <row r="45" spans="1:17" ht="13.5" thickBot="1" x14ac:dyDescent="0.25">
      <c r="A45" s="69" t="s">
        <v>76</v>
      </c>
    </row>
    <row r="46" spans="1:17" ht="12.75" customHeight="1" outlineLevel="1" x14ac:dyDescent="0.2">
      <c r="A46" s="273" t="s">
        <v>24</v>
      </c>
      <c r="B46" s="275" t="s">
        <v>23</v>
      </c>
      <c r="C46" s="277" t="s">
        <v>36</v>
      </c>
      <c r="D46" s="279" t="s">
        <v>35</v>
      </c>
      <c r="E46" s="280"/>
      <c r="F46" s="280"/>
      <c r="G46" s="281"/>
      <c r="H46" s="282" t="s">
        <v>18</v>
      </c>
      <c r="I46" s="291" t="s">
        <v>17</v>
      </c>
      <c r="J46" s="293" t="s">
        <v>16</v>
      </c>
      <c r="K46" s="295" t="s">
        <v>34</v>
      </c>
      <c r="L46" s="296"/>
      <c r="M46" s="296"/>
      <c r="N46" s="308" t="s">
        <v>99</v>
      </c>
    </row>
    <row r="47" spans="1:17" ht="51.75" outlineLevel="1" thickBot="1" x14ac:dyDescent="0.25">
      <c r="A47" s="274"/>
      <c r="B47" s="276"/>
      <c r="C47" s="278"/>
      <c r="D47" s="68"/>
      <c r="E47" s="67" t="s">
        <v>33</v>
      </c>
      <c r="F47" s="67" t="s">
        <v>32</v>
      </c>
      <c r="G47" s="152" t="s">
        <v>31</v>
      </c>
      <c r="H47" s="283"/>
      <c r="I47" s="292"/>
      <c r="J47" s="294"/>
      <c r="K47" s="44" t="s">
        <v>14</v>
      </c>
      <c r="L47" s="43" t="s">
        <v>13</v>
      </c>
      <c r="M47" s="42" t="s">
        <v>12</v>
      </c>
      <c r="N47" s="309"/>
    </row>
    <row r="48" spans="1:17" outlineLevel="1" x14ac:dyDescent="0.2">
      <c r="A48" s="20">
        <f t="shared" ref="A48:B63" si="8">A5</f>
        <v>3656</v>
      </c>
      <c r="B48" s="19" t="str">
        <f t="shared" si="8"/>
        <v>UTA</v>
      </c>
      <c r="C48" s="58">
        <f t="shared" ref="C48:C85" si="9">SUM(D48:M48)</f>
        <v>9464.5045185547478</v>
      </c>
      <c r="D48" s="15">
        <f t="shared" ref="D48:M48" si="10">D90*D156</f>
        <v>513.19542623666518</v>
      </c>
      <c r="E48" s="14">
        <f t="shared" si="10"/>
        <v>91.485688143550092</v>
      </c>
      <c r="F48" s="14">
        <f t="shared" si="10"/>
        <v>50.178411727534908</v>
      </c>
      <c r="G48" s="13">
        <f t="shared" si="10"/>
        <v>104.18553333333379</v>
      </c>
      <c r="H48" s="36">
        <f t="shared" si="10"/>
        <v>174.30128196237882</v>
      </c>
      <c r="I48" s="35">
        <f t="shared" si="10"/>
        <v>3.9838124958750059</v>
      </c>
      <c r="J48" s="34">
        <f t="shared" si="10"/>
        <v>2961.010784384644</v>
      </c>
      <c r="K48" s="36">
        <f t="shared" si="10"/>
        <v>3096.8592394246716</v>
      </c>
      <c r="L48" s="59">
        <f t="shared" si="10"/>
        <v>2408.7529478471324</v>
      </c>
      <c r="M48" s="35">
        <f t="shared" si="10"/>
        <v>60.551392998962768</v>
      </c>
      <c r="N48" s="88" t="s">
        <v>83</v>
      </c>
    </row>
    <row r="49" spans="1:14" outlineLevel="1" x14ac:dyDescent="0.2">
      <c r="A49" s="20">
        <f t="shared" si="8"/>
        <v>3658</v>
      </c>
      <c r="B49" s="19" t="str">
        <f t="shared" si="8"/>
        <v>UT</v>
      </c>
      <c r="C49" s="58">
        <f t="shared" si="9"/>
        <v>23269.765816095307</v>
      </c>
      <c r="D49" s="15">
        <f t="shared" ref="D49:M49" si="11">D91*D157</f>
        <v>182.98993018155784</v>
      </c>
      <c r="E49" s="14">
        <f t="shared" si="11"/>
        <v>7825.8987429418094</v>
      </c>
      <c r="F49" s="14">
        <f t="shared" si="11"/>
        <v>44.913579626512778</v>
      </c>
      <c r="G49" s="13">
        <f t="shared" si="11"/>
        <v>969.91750000002594</v>
      </c>
      <c r="H49" s="15">
        <f t="shared" si="11"/>
        <v>6407.1087255086868</v>
      </c>
      <c r="I49" s="13">
        <f t="shared" si="11"/>
        <v>225.36996405235746</v>
      </c>
      <c r="J49" s="16">
        <f t="shared" si="11"/>
        <v>109.92398829064518</v>
      </c>
      <c r="K49" s="15">
        <f t="shared" si="11"/>
        <v>144.93484453854964</v>
      </c>
      <c r="L49" s="14">
        <f t="shared" si="11"/>
        <v>188.61339127608025</v>
      </c>
      <c r="M49" s="13">
        <f t="shared" si="11"/>
        <v>7170.0951496790822</v>
      </c>
      <c r="N49" s="89" t="s">
        <v>82</v>
      </c>
    </row>
    <row r="50" spans="1:14" outlineLevel="1" x14ac:dyDescent="0.2">
      <c r="A50" s="20">
        <f t="shared" si="8"/>
        <v>9741</v>
      </c>
      <c r="B50" s="19" t="str">
        <f t="shared" si="8"/>
        <v>UTD</v>
      </c>
      <c r="C50" s="58">
        <f t="shared" si="9"/>
        <v>4583.4607822324797</v>
      </c>
      <c r="D50" s="15">
        <f t="shared" ref="D50:M50" si="12">D92*D158</f>
        <v>244.73428756164606</v>
      </c>
      <c r="E50" s="14">
        <f t="shared" si="12"/>
        <v>59.17133764022892</v>
      </c>
      <c r="F50" s="14">
        <f t="shared" si="12"/>
        <v>45.476435553125491</v>
      </c>
      <c r="G50" s="13">
        <f t="shared" si="12"/>
        <v>51.012033333334394</v>
      </c>
      <c r="H50" s="15">
        <f t="shared" si="12"/>
        <v>47.995455307446498</v>
      </c>
      <c r="I50" s="13">
        <f t="shared" si="12"/>
        <v>3.6423428533714337</v>
      </c>
      <c r="J50" s="16">
        <f t="shared" si="12"/>
        <v>1254.0267111017122</v>
      </c>
      <c r="K50" s="15">
        <f t="shared" si="12"/>
        <v>1501.6951160991932</v>
      </c>
      <c r="L50" s="14">
        <f t="shared" si="12"/>
        <v>1341.0351382545161</v>
      </c>
      <c r="M50" s="13">
        <f t="shared" si="12"/>
        <v>34.671924527905425</v>
      </c>
      <c r="N50" s="89" t="s">
        <v>83</v>
      </c>
    </row>
    <row r="51" spans="1:14" outlineLevel="1" x14ac:dyDescent="0.2">
      <c r="A51" s="20">
        <f t="shared" si="8"/>
        <v>3661</v>
      </c>
      <c r="B51" s="19" t="str">
        <f t="shared" si="8"/>
        <v>UTEP</v>
      </c>
      <c r="C51" s="58">
        <f t="shared" si="9"/>
        <v>7035.4539478387314</v>
      </c>
      <c r="D51" s="15">
        <f t="shared" ref="D51:M51" si="13">D93*D159</f>
        <v>312.6421717826795</v>
      </c>
      <c r="E51" s="14">
        <f t="shared" si="13"/>
        <v>41.934687334746563</v>
      </c>
      <c r="F51" s="14">
        <f t="shared" si="13"/>
        <v>38.766158973532164</v>
      </c>
      <c r="G51" s="13">
        <f t="shared" si="13"/>
        <v>62.980766666668131</v>
      </c>
      <c r="H51" s="15">
        <f t="shared" si="13"/>
        <v>74.554205279946544</v>
      </c>
      <c r="I51" s="13">
        <f t="shared" si="13"/>
        <v>10.244089275107157</v>
      </c>
      <c r="J51" s="16">
        <f t="shared" si="13"/>
        <v>2341.7578871368928</v>
      </c>
      <c r="K51" s="15">
        <f t="shared" si="13"/>
        <v>1976.2881527909749</v>
      </c>
      <c r="L51" s="14">
        <f t="shared" si="13"/>
        <v>2109.8841141302505</v>
      </c>
      <c r="M51" s="13">
        <f t="shared" si="13"/>
        <v>66.401714467933743</v>
      </c>
      <c r="N51" s="89" t="s">
        <v>83</v>
      </c>
    </row>
    <row r="52" spans="1:14" outlineLevel="1" x14ac:dyDescent="0.2">
      <c r="A52" s="20">
        <f t="shared" si="8"/>
        <v>3599</v>
      </c>
      <c r="B52" s="19" t="str">
        <f t="shared" si="8"/>
        <v>UTPA</v>
      </c>
      <c r="C52" s="58">
        <f t="shared" si="9"/>
        <v>5696.1630874182874</v>
      </c>
      <c r="D52" s="15">
        <f t="shared" ref="D52:M52" si="14">D94*D160</f>
        <v>52.771789545260908</v>
      </c>
      <c r="E52" s="14">
        <f t="shared" si="14"/>
        <v>39.112028402650076</v>
      </c>
      <c r="F52" s="14">
        <f t="shared" si="14"/>
        <v>1042.042946613918</v>
      </c>
      <c r="G52" s="13">
        <f t="shared" si="14"/>
        <v>51.341666666667798</v>
      </c>
      <c r="H52" s="15">
        <f t="shared" si="14"/>
        <v>296.13006219337547</v>
      </c>
      <c r="I52" s="13">
        <f t="shared" si="14"/>
        <v>15.935249983500023</v>
      </c>
      <c r="J52" s="16">
        <f t="shared" si="14"/>
        <v>2222.0251018889899</v>
      </c>
      <c r="K52" s="15">
        <f t="shared" si="14"/>
        <v>1846.1261427278773</v>
      </c>
      <c r="L52" s="14">
        <f t="shared" si="14"/>
        <v>64.842180041167907</v>
      </c>
      <c r="M52" s="13">
        <f t="shared" si="14"/>
        <v>65.83591935488046</v>
      </c>
      <c r="N52" s="89" t="s">
        <v>84</v>
      </c>
    </row>
    <row r="53" spans="1:14" outlineLevel="1" x14ac:dyDescent="0.2">
      <c r="A53" s="20">
        <f t="shared" si="8"/>
        <v>30646</v>
      </c>
      <c r="B53" s="19" t="str">
        <f t="shared" si="8"/>
        <v>UTB</v>
      </c>
      <c r="C53" s="58">
        <f t="shared" si="9"/>
        <v>3487.0285087317334</v>
      </c>
      <c r="D53" s="15">
        <f t="shared" ref="D53:M53" si="15">D95*D161</f>
        <v>670.07900213284768</v>
      </c>
      <c r="E53" s="14">
        <f t="shared" si="15"/>
        <v>22.094856959003032</v>
      </c>
      <c r="F53" s="14">
        <f t="shared" si="15"/>
        <v>1752.3535409479389</v>
      </c>
      <c r="G53" s="13">
        <f t="shared" si="15"/>
        <v>20.977933333333553</v>
      </c>
      <c r="H53" s="15">
        <f t="shared" si="15"/>
        <v>14.152019628203591</v>
      </c>
      <c r="I53" s="13">
        <f t="shared" si="15"/>
        <v>2.0867589264107171</v>
      </c>
      <c r="J53" s="16">
        <f t="shared" si="15"/>
        <v>890.07705435610285</v>
      </c>
      <c r="K53" s="15">
        <f t="shared" si="15"/>
        <v>100.13817440855858</v>
      </c>
      <c r="L53" s="14">
        <f t="shared" si="15"/>
        <v>11.651765556493244</v>
      </c>
      <c r="M53" s="13">
        <f t="shared" si="15"/>
        <v>3.4174024828418528</v>
      </c>
      <c r="N53" s="89" t="s">
        <v>85</v>
      </c>
    </row>
    <row r="54" spans="1:14" outlineLevel="1" x14ac:dyDescent="0.2">
      <c r="A54" s="20">
        <f t="shared" si="8"/>
        <v>9930</v>
      </c>
      <c r="B54" s="19" t="str">
        <f t="shared" si="8"/>
        <v>UTPB</v>
      </c>
      <c r="C54" s="58">
        <f t="shared" si="9"/>
        <v>1982.7351810385255</v>
      </c>
      <c r="D54" s="15">
        <f t="shared" ref="D54:M54" si="16">D96*D162</f>
        <v>327.26691190859481</v>
      </c>
      <c r="E54" s="14">
        <f t="shared" si="16"/>
        <v>8.3290421821863134</v>
      </c>
      <c r="F54" s="14">
        <f t="shared" si="16"/>
        <v>1175.9149102350459</v>
      </c>
      <c r="G54" s="13">
        <f t="shared" si="16"/>
        <v>10.015166666666705</v>
      </c>
      <c r="H54" s="15">
        <f t="shared" si="16"/>
        <v>4.7046928522714353</v>
      </c>
      <c r="I54" s="13">
        <f t="shared" si="16"/>
        <v>1.138232141678573</v>
      </c>
      <c r="J54" s="16">
        <f t="shared" si="16"/>
        <v>379.15381995169218</v>
      </c>
      <c r="K54" s="15">
        <f t="shared" si="16"/>
        <v>59.317837919319572</v>
      </c>
      <c r="L54" s="14">
        <f t="shared" si="16"/>
        <v>10.297396162868507</v>
      </c>
      <c r="M54" s="13">
        <f t="shared" si="16"/>
        <v>6.5971710182013252</v>
      </c>
      <c r="N54" s="89" t="s">
        <v>85</v>
      </c>
    </row>
    <row r="55" spans="1:14" outlineLevel="1" x14ac:dyDescent="0.2">
      <c r="A55" s="20">
        <f t="shared" si="8"/>
        <v>10115</v>
      </c>
      <c r="B55" s="19" t="str">
        <f t="shared" si="8"/>
        <v>UTSA</v>
      </c>
      <c r="C55" s="58">
        <f t="shared" si="9"/>
        <v>9594.4666459710024</v>
      </c>
      <c r="D55" s="15">
        <f t="shared" ref="D55:M55" si="17">D97*D163</f>
        <v>421.32205877899196</v>
      </c>
      <c r="E55" s="14">
        <f t="shared" si="17"/>
        <v>61.100492631848446</v>
      </c>
      <c r="F55" s="14">
        <f t="shared" si="17"/>
        <v>34.308546372177297</v>
      </c>
      <c r="G55" s="13">
        <f t="shared" si="17"/>
        <v>84.142133333332239</v>
      </c>
      <c r="H55" s="15">
        <f t="shared" si="17"/>
        <v>44.618699953800061</v>
      </c>
      <c r="I55" s="13">
        <f t="shared" si="17"/>
        <v>5.6532196370035797</v>
      </c>
      <c r="J55" s="16">
        <f t="shared" si="17"/>
        <v>2968.2961125875586</v>
      </c>
      <c r="K55" s="15">
        <f t="shared" si="17"/>
        <v>3084.7792384907416</v>
      </c>
      <c r="L55" s="14">
        <f t="shared" si="17"/>
        <v>2801.4502591429655</v>
      </c>
      <c r="M55" s="13">
        <f t="shared" si="17"/>
        <v>88.795885042582839</v>
      </c>
      <c r="N55" s="89" t="s">
        <v>83</v>
      </c>
    </row>
    <row r="56" spans="1:14" outlineLevel="1" x14ac:dyDescent="0.2">
      <c r="A56" s="20">
        <f t="shared" si="8"/>
        <v>11163</v>
      </c>
      <c r="B56" s="19" t="str">
        <f t="shared" si="8"/>
        <v>UTT</v>
      </c>
      <c r="C56" s="58">
        <f t="shared" si="9"/>
        <v>3343.23998072318</v>
      </c>
      <c r="D56" s="15">
        <f t="shared" ref="D56:M56" si="18">D98*D164</f>
        <v>730.21429719605203</v>
      </c>
      <c r="E56" s="14">
        <f t="shared" si="18"/>
        <v>21.583873345231208</v>
      </c>
      <c r="F56" s="14">
        <f t="shared" si="18"/>
        <v>1487.6541265012272</v>
      </c>
      <c r="G56" s="13">
        <f t="shared" si="18"/>
        <v>23.626600000000103</v>
      </c>
      <c r="H56" s="15">
        <f t="shared" si="18"/>
        <v>42.87341066989292</v>
      </c>
      <c r="I56" s="13">
        <f t="shared" si="18"/>
        <v>1.5935249983500024</v>
      </c>
      <c r="J56" s="16">
        <f t="shared" si="18"/>
        <v>895.4618621582573</v>
      </c>
      <c r="K56" s="15">
        <f t="shared" si="18"/>
        <v>108.44317505063557</v>
      </c>
      <c r="L56" s="14">
        <f t="shared" si="18"/>
        <v>18.640032376175533</v>
      </c>
      <c r="M56" s="13">
        <f t="shared" si="18"/>
        <v>13.149078427358386</v>
      </c>
      <c r="N56" s="89" t="s">
        <v>85</v>
      </c>
    </row>
    <row r="57" spans="1:14" outlineLevel="1" x14ac:dyDescent="0.2">
      <c r="A57" s="20">
        <f t="shared" si="8"/>
        <v>3632</v>
      </c>
      <c r="B57" s="19" t="str">
        <f t="shared" si="8"/>
        <v>TAMU</v>
      </c>
      <c r="C57" s="58">
        <f t="shared" si="9"/>
        <v>22911.084018901376</v>
      </c>
      <c r="D57" s="15">
        <f t="shared" ref="D57:M57" si="19">D99*D165</f>
        <v>178.76273256940513</v>
      </c>
      <c r="E57" s="14">
        <f t="shared" si="19"/>
        <v>7752.7059950774428</v>
      </c>
      <c r="F57" s="14">
        <f t="shared" si="19"/>
        <v>42.784989719396229</v>
      </c>
      <c r="G57" s="13">
        <f t="shared" si="19"/>
        <v>1005.2408333333401</v>
      </c>
      <c r="H57" s="15">
        <f t="shared" si="19"/>
        <v>6020.1097973379729</v>
      </c>
      <c r="I57" s="13">
        <f t="shared" si="19"/>
        <v>430.25174955450058</v>
      </c>
      <c r="J57" s="16">
        <f t="shared" si="19"/>
        <v>117.95896620719314</v>
      </c>
      <c r="K57" s="15">
        <f t="shared" si="19"/>
        <v>151.91607841161675</v>
      </c>
      <c r="L57" s="14">
        <f t="shared" si="19"/>
        <v>186.55391204350659</v>
      </c>
      <c r="M57" s="13">
        <f t="shared" si="19"/>
        <v>7024.7989646469996</v>
      </c>
      <c r="N57" s="89" t="s">
        <v>82</v>
      </c>
    </row>
    <row r="58" spans="1:14" outlineLevel="1" x14ac:dyDescent="0.2">
      <c r="A58" s="20">
        <f t="shared" si="8"/>
        <v>10298</v>
      </c>
      <c r="B58" s="19" t="str">
        <f t="shared" si="8"/>
        <v>TAMUG</v>
      </c>
      <c r="C58" s="58">
        <f t="shared" si="9"/>
        <v>1845.141629877395</v>
      </c>
      <c r="D58" s="15">
        <f t="shared" ref="D58:M58" si="20">D100*D166</f>
        <v>253.42731490921804</v>
      </c>
      <c r="E58" s="14">
        <f t="shared" si="20"/>
        <v>9.1130085878085954</v>
      </c>
      <c r="F58" s="14">
        <f t="shared" si="20"/>
        <v>1250.8564603082687</v>
      </c>
      <c r="G58" s="13">
        <f t="shared" si="20"/>
        <v>10.560399999999968</v>
      </c>
      <c r="H58" s="15">
        <f t="shared" si="20"/>
        <v>6.3740999934000087</v>
      </c>
      <c r="I58" s="13">
        <f t="shared" si="20"/>
        <v>0</v>
      </c>
      <c r="J58" s="16">
        <f t="shared" si="20"/>
        <v>225.21166749010288</v>
      </c>
      <c r="K58" s="15">
        <f t="shared" si="20"/>
        <v>67.08175518623095</v>
      </c>
      <c r="L58" s="14">
        <f t="shared" si="20"/>
        <v>9.9902195993659859</v>
      </c>
      <c r="M58" s="13">
        <f t="shared" si="20"/>
        <v>12.526703802999771</v>
      </c>
      <c r="N58" s="89" t="s">
        <v>85</v>
      </c>
    </row>
    <row r="59" spans="1:14" outlineLevel="1" x14ac:dyDescent="0.2">
      <c r="A59" s="20">
        <f t="shared" si="8"/>
        <v>3630</v>
      </c>
      <c r="B59" s="19" t="str">
        <f t="shared" si="8"/>
        <v>Prairie View</v>
      </c>
      <c r="C59" s="58">
        <f t="shared" si="9"/>
        <v>2934.0039769376822</v>
      </c>
      <c r="D59" s="15">
        <f t="shared" ref="D59:M59" si="21">D101*D167</f>
        <v>19.151932407317556</v>
      </c>
      <c r="E59" s="14">
        <f t="shared" si="21"/>
        <v>12.240452154224807</v>
      </c>
      <c r="F59" s="14">
        <f t="shared" si="21"/>
        <v>804.63438529268956</v>
      </c>
      <c r="G59" s="13">
        <f t="shared" si="21"/>
        <v>20.729000000000092</v>
      </c>
      <c r="H59" s="15">
        <f t="shared" si="21"/>
        <v>1077.9058381696086</v>
      </c>
      <c r="I59" s="13">
        <f t="shared" si="21"/>
        <v>33.008732108678615</v>
      </c>
      <c r="J59" s="16">
        <f t="shared" si="21"/>
        <v>762.74218750515865</v>
      </c>
      <c r="K59" s="15">
        <f t="shared" si="21"/>
        <v>25.18680194724439</v>
      </c>
      <c r="L59" s="14">
        <f t="shared" si="21"/>
        <v>24.734694647486858</v>
      </c>
      <c r="M59" s="13">
        <f t="shared" si="21"/>
        <v>153.66995270527275</v>
      </c>
      <c r="N59" s="89" t="s">
        <v>86</v>
      </c>
    </row>
    <row r="60" spans="1:14" outlineLevel="1" x14ac:dyDescent="0.2">
      <c r="A60" s="20">
        <f t="shared" si="8"/>
        <v>3631</v>
      </c>
      <c r="B60" s="19" t="str">
        <f t="shared" si="8"/>
        <v>Tarleton</v>
      </c>
      <c r="C60" s="58">
        <f t="shared" si="9"/>
        <v>3535.9764968328532</v>
      </c>
      <c r="D60" s="15">
        <f t="shared" ref="D60:M60" si="22">D102*D168</f>
        <v>31.608529241838443</v>
      </c>
      <c r="E60" s="14">
        <f t="shared" si="22"/>
        <v>25.981452854817466</v>
      </c>
      <c r="F60" s="14">
        <f t="shared" si="22"/>
        <v>1248.863956160626</v>
      </c>
      <c r="G60" s="13">
        <f t="shared" si="22"/>
        <v>31.225433333333601</v>
      </c>
      <c r="H60" s="15">
        <f t="shared" si="22"/>
        <v>693.18337428225095</v>
      </c>
      <c r="I60" s="13">
        <f t="shared" si="22"/>
        <v>162.76719626003592</v>
      </c>
      <c r="J60" s="16">
        <f t="shared" si="22"/>
        <v>1135.5609394543162</v>
      </c>
      <c r="K60" s="15">
        <f t="shared" si="22"/>
        <v>32.530435848329439</v>
      </c>
      <c r="L60" s="14">
        <f t="shared" si="22"/>
        <v>27.827404139114485</v>
      </c>
      <c r="M60" s="13">
        <f t="shared" si="22"/>
        <v>146.42777525819062</v>
      </c>
      <c r="N60" s="89" t="s">
        <v>86</v>
      </c>
    </row>
    <row r="61" spans="1:14" outlineLevel="1" x14ac:dyDescent="0.2">
      <c r="A61" s="27">
        <f t="shared" si="8"/>
        <v>103631</v>
      </c>
      <c r="B61" s="19" t="str">
        <f t="shared" si="8"/>
        <v>TAMUCT</v>
      </c>
      <c r="C61" s="58">
        <f t="shared" si="9"/>
        <v>4092.2655920872298</v>
      </c>
      <c r="D61" s="15">
        <f t="shared" ref="D61:M61" si="23">D103*D169</f>
        <v>282.47225334110584</v>
      </c>
      <c r="E61" s="14">
        <f t="shared" si="23"/>
        <v>7.739513889668447</v>
      </c>
      <c r="F61" s="14">
        <f t="shared" si="23"/>
        <v>3436.8415041078765</v>
      </c>
      <c r="G61" s="13">
        <f t="shared" si="23"/>
        <v>8.5361666666666594</v>
      </c>
      <c r="H61" s="15">
        <f t="shared" si="23"/>
        <v>4.6288107094928641</v>
      </c>
      <c r="I61" s="13">
        <f t="shared" si="23"/>
        <v>0</v>
      </c>
      <c r="J61" s="16">
        <f t="shared" si="23"/>
        <v>310.73508552431917</v>
      </c>
      <c r="K61" s="15">
        <f t="shared" si="23"/>
        <v>37.372502889346443</v>
      </c>
      <c r="L61" s="14">
        <f t="shared" si="23"/>
        <v>2.7855329281251073</v>
      </c>
      <c r="M61" s="13">
        <f t="shared" si="23"/>
        <v>1.1542220306287052</v>
      </c>
      <c r="N61" s="89" t="s">
        <v>85</v>
      </c>
    </row>
    <row r="62" spans="1:14" outlineLevel="1" x14ac:dyDescent="0.2">
      <c r="A62" s="20">
        <f t="shared" si="8"/>
        <v>11161</v>
      </c>
      <c r="B62" s="19" t="str">
        <f t="shared" si="8"/>
        <v>TAMUCC</v>
      </c>
      <c r="C62" s="58">
        <f t="shared" si="9"/>
        <v>3351.7295286943804</v>
      </c>
      <c r="D62" s="15">
        <f t="shared" ref="D62:M62" si="24">D104*D170</f>
        <v>28.39722266873536</v>
      </c>
      <c r="E62" s="14">
        <f t="shared" si="24"/>
        <v>24.806804659225005</v>
      </c>
      <c r="F62" s="14">
        <f t="shared" si="24"/>
        <v>1086.9955363844851</v>
      </c>
      <c r="G62" s="13">
        <f t="shared" si="24"/>
        <v>28.04200000000014</v>
      </c>
      <c r="H62" s="15">
        <f t="shared" si="24"/>
        <v>151.57458020019664</v>
      </c>
      <c r="I62" s="13">
        <f t="shared" si="24"/>
        <v>14.607312484875022</v>
      </c>
      <c r="J62" s="16">
        <f t="shared" si="24"/>
        <v>1026.2810164105956</v>
      </c>
      <c r="K62" s="15">
        <f t="shared" si="24"/>
        <v>930.46207193597081</v>
      </c>
      <c r="L62" s="14">
        <f t="shared" si="24"/>
        <v>30.745581492388407</v>
      </c>
      <c r="M62" s="13">
        <f t="shared" si="24"/>
        <v>29.817402457908219</v>
      </c>
      <c r="N62" s="89" t="s">
        <v>84</v>
      </c>
    </row>
    <row r="63" spans="1:14" outlineLevel="1" x14ac:dyDescent="0.2">
      <c r="A63" s="20">
        <f t="shared" si="8"/>
        <v>3639</v>
      </c>
      <c r="B63" s="19" t="str">
        <f t="shared" si="8"/>
        <v>TAMUK</v>
      </c>
      <c r="C63" s="58">
        <f t="shared" si="9"/>
        <v>2319.6578558310462</v>
      </c>
      <c r="D63" s="15">
        <f t="shared" ref="D63:M63" si="25">D105*D171</f>
        <v>15.579268618982063</v>
      </c>
      <c r="E63" s="14">
        <f t="shared" si="25"/>
        <v>10.778648973939069</v>
      </c>
      <c r="F63" s="14">
        <f t="shared" si="25"/>
        <v>909.17236482652163</v>
      </c>
      <c r="G63" s="13">
        <f t="shared" si="25"/>
        <v>17.634533333333394</v>
      </c>
      <c r="H63" s="15">
        <f t="shared" si="25"/>
        <v>147.97017841821452</v>
      </c>
      <c r="I63" s="13">
        <f t="shared" si="25"/>
        <v>9.4852678473214436</v>
      </c>
      <c r="J63" s="16">
        <f t="shared" si="25"/>
        <v>616.08536324648401</v>
      </c>
      <c r="K63" s="15">
        <f t="shared" si="25"/>
        <v>555.98204298413566</v>
      </c>
      <c r="L63" s="14">
        <f t="shared" si="25"/>
        <v>18.004735392568051</v>
      </c>
      <c r="M63" s="13">
        <f t="shared" si="25"/>
        <v>18.965452189546173</v>
      </c>
      <c r="N63" s="89" t="s">
        <v>84</v>
      </c>
    </row>
    <row r="64" spans="1:14" outlineLevel="1" x14ac:dyDescent="0.2">
      <c r="A64" s="27">
        <f t="shared" ref="A64:B79" si="26">A21</f>
        <v>103639</v>
      </c>
      <c r="B64" s="19" t="str">
        <f t="shared" si="26"/>
        <v>TAMUSA</v>
      </c>
      <c r="C64" s="58">
        <f t="shared" si="9"/>
        <v>3018.008159528245</v>
      </c>
      <c r="D64" s="15">
        <f t="shared" ref="D64:M64" si="27">D106*D172</f>
        <v>360.60722855928287</v>
      </c>
      <c r="E64" s="14">
        <f t="shared" si="27"/>
        <v>8.3163055321901869</v>
      </c>
      <c r="F64" s="14">
        <f t="shared" si="27"/>
        <v>2115.2834549633935</v>
      </c>
      <c r="G64" s="13">
        <f t="shared" si="27"/>
        <v>10.260133333333378</v>
      </c>
      <c r="H64" s="15">
        <f t="shared" si="27"/>
        <v>0.5691160708392865</v>
      </c>
      <c r="I64" s="13">
        <f t="shared" si="27"/>
        <v>0.22764642833571461</v>
      </c>
      <c r="J64" s="16">
        <f t="shared" si="27"/>
        <v>465.94425158641542</v>
      </c>
      <c r="K64" s="15">
        <f t="shared" si="27"/>
        <v>55.08983759244402</v>
      </c>
      <c r="L64" s="14">
        <f t="shared" si="27"/>
        <v>1.6196582439223681</v>
      </c>
      <c r="M64" s="13">
        <f t="shared" si="27"/>
        <v>9.0527218088525888E-2</v>
      </c>
      <c r="N64" s="89" t="s">
        <v>85</v>
      </c>
    </row>
    <row r="65" spans="1:14" outlineLevel="1" x14ac:dyDescent="0.2">
      <c r="A65" s="20">
        <f t="shared" si="26"/>
        <v>9651</v>
      </c>
      <c r="B65" s="19" t="str">
        <f t="shared" si="26"/>
        <v>TAMI</v>
      </c>
      <c r="C65" s="58">
        <f t="shared" si="9"/>
        <v>2297.9776510712868</v>
      </c>
      <c r="D65" s="15">
        <f t="shared" ref="D65:M65" si="28">D107*D173</f>
        <v>16.151985714822104</v>
      </c>
      <c r="E65" s="14">
        <f t="shared" si="28"/>
        <v>13.146927233498081</v>
      </c>
      <c r="F65" s="14">
        <f t="shared" si="28"/>
        <v>982.73476443418008</v>
      </c>
      <c r="G65" s="13">
        <f t="shared" si="28"/>
        <v>14.584966666666716</v>
      </c>
      <c r="H65" s="15">
        <f t="shared" si="28"/>
        <v>394.96655316246489</v>
      </c>
      <c r="I65" s="13">
        <f t="shared" si="28"/>
        <v>76.261553492464387</v>
      </c>
      <c r="J65" s="16">
        <f t="shared" si="28"/>
        <v>677.21876947094222</v>
      </c>
      <c r="K65" s="15">
        <f t="shared" si="28"/>
        <v>21.240668308827207</v>
      </c>
      <c r="L65" s="14">
        <f t="shared" si="28"/>
        <v>21.271977022549382</v>
      </c>
      <c r="M65" s="13">
        <f t="shared" si="28"/>
        <v>80.399485564872066</v>
      </c>
      <c r="N65" s="89" t="s">
        <v>86</v>
      </c>
    </row>
    <row r="66" spans="1:14" outlineLevel="1" x14ac:dyDescent="0.2">
      <c r="A66" s="20">
        <f t="shared" si="26"/>
        <v>3665</v>
      </c>
      <c r="B66" s="19" t="str">
        <f t="shared" si="26"/>
        <v>WTAMU</v>
      </c>
      <c r="C66" s="58">
        <f t="shared" si="9"/>
        <v>3122.0479230164315</v>
      </c>
      <c r="D66" s="15">
        <f t="shared" ref="D66:M66" si="29">D108*D174</f>
        <v>25.683634524159931</v>
      </c>
      <c r="E66" s="14">
        <f t="shared" si="29"/>
        <v>20.787447768026336</v>
      </c>
      <c r="F66" s="14">
        <f t="shared" si="29"/>
        <v>1179.0954353075069</v>
      </c>
      <c r="G66" s="13">
        <f t="shared" si="29"/>
        <v>25.035766666666838</v>
      </c>
      <c r="H66" s="15">
        <f t="shared" si="29"/>
        <v>654.48348146517947</v>
      </c>
      <c r="I66" s="13">
        <f t="shared" si="29"/>
        <v>207.15824978550029</v>
      </c>
      <c r="J66" s="16">
        <f t="shared" si="29"/>
        <v>845.09807153810766</v>
      </c>
      <c r="K66" s="15">
        <f t="shared" si="29"/>
        <v>27.054168758281097</v>
      </c>
      <c r="L66" s="14">
        <f t="shared" si="29"/>
        <v>25.397916773230932</v>
      </c>
      <c r="M66" s="13">
        <f t="shared" si="29"/>
        <v>112.25375042977213</v>
      </c>
      <c r="N66" s="89" t="s">
        <v>86</v>
      </c>
    </row>
    <row r="67" spans="1:14" outlineLevel="1" x14ac:dyDescent="0.2">
      <c r="A67" s="20">
        <f t="shared" si="26"/>
        <v>3565</v>
      </c>
      <c r="B67" s="19" t="str">
        <f t="shared" si="26"/>
        <v>TAMUC</v>
      </c>
      <c r="C67" s="58">
        <f t="shared" si="9"/>
        <v>3455.5263265230251</v>
      </c>
      <c r="D67" s="15">
        <f t="shared" ref="D67:M67" si="30">D109*D175</f>
        <v>27.088155021100981</v>
      </c>
      <c r="E67" s="14">
        <f t="shared" si="30"/>
        <v>20.495728068022995</v>
      </c>
      <c r="F67" s="14">
        <f t="shared" si="30"/>
        <v>1433.7376195012339</v>
      </c>
      <c r="G67" s="13">
        <f t="shared" si="30"/>
        <v>25.018266666666914</v>
      </c>
      <c r="H67" s="15">
        <f t="shared" si="30"/>
        <v>41.545473171267922</v>
      </c>
      <c r="I67" s="13">
        <f t="shared" si="30"/>
        <v>42.304294599053634</v>
      </c>
      <c r="J67" s="16">
        <f t="shared" si="30"/>
        <v>968.63189758753128</v>
      </c>
      <c r="K67" s="15">
        <f t="shared" si="30"/>
        <v>857.52906629736742</v>
      </c>
      <c r="L67" s="14">
        <f t="shared" si="30"/>
        <v>23.820146242513449</v>
      </c>
      <c r="M67" s="13">
        <f t="shared" si="30"/>
        <v>15.355679368266205</v>
      </c>
      <c r="N67" s="89" t="s">
        <v>84</v>
      </c>
    </row>
    <row r="68" spans="1:14" outlineLevel="1" x14ac:dyDescent="0.2">
      <c r="A68" s="20">
        <f t="shared" si="26"/>
        <v>29269</v>
      </c>
      <c r="B68" s="19" t="str">
        <f t="shared" si="26"/>
        <v>TAMUT</v>
      </c>
      <c r="C68" s="58">
        <f t="shared" si="9"/>
        <v>2466.7030488690611</v>
      </c>
      <c r="D68" s="15">
        <f t="shared" ref="D68:M68" si="31">D110*D176</f>
        <v>212.10986728075798</v>
      </c>
      <c r="E68" s="14">
        <f t="shared" si="31"/>
        <v>6.5900824747386482</v>
      </c>
      <c r="F68" s="14">
        <f t="shared" si="31"/>
        <v>1971.2687894500611</v>
      </c>
      <c r="G68" s="13">
        <f t="shared" si="31"/>
        <v>6.1990999999999827</v>
      </c>
      <c r="H68" s="15">
        <f t="shared" si="31"/>
        <v>4.7426339236607209</v>
      </c>
      <c r="I68" s="13">
        <f t="shared" si="31"/>
        <v>2.2005821405785744</v>
      </c>
      <c r="J68" s="16">
        <f t="shared" si="31"/>
        <v>227.11218789086325</v>
      </c>
      <c r="K68" s="15">
        <f t="shared" si="31"/>
        <v>32.666335858836156</v>
      </c>
      <c r="L68" s="14">
        <f t="shared" si="31"/>
        <v>3.7908380450424399</v>
      </c>
      <c r="M68" s="13">
        <f t="shared" si="31"/>
        <v>2.2631804522131472E-2</v>
      </c>
      <c r="N68" s="89" t="s">
        <v>85</v>
      </c>
    </row>
    <row r="69" spans="1:14" outlineLevel="1" x14ac:dyDescent="0.2">
      <c r="A69" s="20">
        <f t="shared" si="26"/>
        <v>3652</v>
      </c>
      <c r="B69" s="19" t="str">
        <f t="shared" si="26"/>
        <v>UH</v>
      </c>
      <c r="C69" s="58">
        <f t="shared" si="9"/>
        <v>11187.455323376329</v>
      </c>
      <c r="D69" s="15">
        <f t="shared" ref="D69:M69" si="32">D111*D177</f>
        <v>521.4452796410277</v>
      </c>
      <c r="E69" s="14">
        <f t="shared" si="32"/>
        <v>96.184429435493371</v>
      </c>
      <c r="F69" s="14">
        <f t="shared" si="32"/>
        <v>36.315452398505897</v>
      </c>
      <c r="G69" s="13">
        <f t="shared" si="32"/>
        <v>105.80246666665944</v>
      </c>
      <c r="H69" s="15">
        <f t="shared" si="32"/>
        <v>83.887708841710833</v>
      </c>
      <c r="I69" s="13">
        <f t="shared" si="32"/>
        <v>7.1329214211857241</v>
      </c>
      <c r="J69" s="16">
        <f t="shared" si="32"/>
        <v>3205.2276558823505</v>
      </c>
      <c r="K69" s="15">
        <f t="shared" si="32"/>
        <v>3443.8572662518154</v>
      </c>
      <c r="L69" s="14">
        <f t="shared" si="32"/>
        <v>3575.3257606032862</v>
      </c>
      <c r="M69" s="13">
        <f t="shared" si="32"/>
        <v>112.27638223429426</v>
      </c>
      <c r="N69" s="89" t="s">
        <v>83</v>
      </c>
    </row>
    <row r="70" spans="1:14" outlineLevel="1" x14ac:dyDescent="0.2">
      <c r="A70" s="20">
        <f t="shared" si="26"/>
        <v>11711</v>
      </c>
      <c r="B70" s="19" t="str">
        <f t="shared" si="26"/>
        <v>UHCL</v>
      </c>
      <c r="C70" s="58">
        <f t="shared" si="9"/>
        <v>3669.5180643387439</v>
      </c>
      <c r="D70" s="15">
        <f t="shared" ref="D70:M70" si="33">D112*D178</f>
        <v>730.62338083593784</v>
      </c>
      <c r="E70" s="14">
        <f t="shared" si="33"/>
        <v>21.78433826693119</v>
      </c>
      <c r="F70" s="14">
        <f t="shared" si="33"/>
        <v>2018.4188417910439</v>
      </c>
      <c r="G70" s="13">
        <f t="shared" si="33"/>
        <v>22.829533333333529</v>
      </c>
      <c r="H70" s="15">
        <f t="shared" si="33"/>
        <v>12.141142844571446</v>
      </c>
      <c r="I70" s="13">
        <f t="shared" si="33"/>
        <v>0.94852678473214425</v>
      </c>
      <c r="J70" s="16">
        <f t="shared" si="33"/>
        <v>735.81814849438683</v>
      </c>
      <c r="K70" s="15">
        <f t="shared" si="33"/>
        <v>105.04567478796771</v>
      </c>
      <c r="L70" s="14">
        <f t="shared" si="33"/>
        <v>19.973457913197826</v>
      </c>
      <c r="M70" s="13">
        <f t="shared" si="33"/>
        <v>1.9350192866422411</v>
      </c>
      <c r="N70" s="89" t="s">
        <v>85</v>
      </c>
    </row>
    <row r="71" spans="1:14" outlineLevel="1" x14ac:dyDescent="0.2">
      <c r="A71" s="20">
        <f t="shared" si="26"/>
        <v>12826</v>
      </c>
      <c r="B71" s="19" t="str">
        <f t="shared" si="26"/>
        <v>UHD</v>
      </c>
      <c r="C71" s="58">
        <f t="shared" si="9"/>
        <v>4943.9499244396475</v>
      </c>
      <c r="D71" s="15">
        <f t="shared" ref="D71:M71" si="34">D113*D179</f>
        <v>1461.8603871317043</v>
      </c>
      <c r="E71" s="14">
        <f t="shared" si="34"/>
        <v>15.920968821025145</v>
      </c>
      <c r="F71" s="14">
        <f t="shared" si="34"/>
        <v>1517.0093859406188</v>
      </c>
      <c r="G71" s="13">
        <f t="shared" si="34"/>
        <v>42.713166666667213</v>
      </c>
      <c r="H71" s="15">
        <f t="shared" si="34"/>
        <v>14.759076770432165</v>
      </c>
      <c r="I71" s="13">
        <f t="shared" si="34"/>
        <v>0.18970535694642884</v>
      </c>
      <c r="J71" s="16">
        <f t="shared" si="34"/>
        <v>1597.3873968390844</v>
      </c>
      <c r="K71" s="15">
        <f t="shared" si="34"/>
        <v>234.45268479269464</v>
      </c>
      <c r="L71" s="14">
        <f t="shared" si="34"/>
        <v>39.130105418900314</v>
      </c>
      <c r="M71" s="13">
        <f t="shared" si="34"/>
        <v>20.527046701573244</v>
      </c>
      <c r="N71" s="89" t="s">
        <v>85</v>
      </c>
    </row>
    <row r="72" spans="1:14" outlineLevel="1" x14ac:dyDescent="0.2">
      <c r="A72" s="20">
        <f t="shared" si="26"/>
        <v>13231</v>
      </c>
      <c r="B72" s="19" t="str">
        <f t="shared" si="26"/>
        <v>UHV</v>
      </c>
      <c r="C72" s="58">
        <f t="shared" si="9"/>
        <v>2852.0832464873442</v>
      </c>
      <c r="D72" s="15">
        <f t="shared" ref="D72:M72" si="35">D114*D180</f>
        <v>353.85734850116808</v>
      </c>
      <c r="E72" s="14">
        <f t="shared" si="35"/>
        <v>10.558871084821851</v>
      </c>
      <c r="F72" s="14">
        <f t="shared" si="35"/>
        <v>2038.3040141902557</v>
      </c>
      <c r="G72" s="13">
        <f t="shared" si="35"/>
        <v>10.844800000000012</v>
      </c>
      <c r="H72" s="15">
        <f t="shared" si="35"/>
        <v>12.29290713012859</v>
      </c>
      <c r="I72" s="13">
        <f t="shared" si="35"/>
        <v>0.83470357056428679</v>
      </c>
      <c r="J72" s="16">
        <f t="shared" si="35"/>
        <v>364.8999169459895</v>
      </c>
      <c r="K72" s="15">
        <f t="shared" si="35"/>
        <v>54.05800417933748</v>
      </c>
      <c r="L72" s="14">
        <f t="shared" si="35"/>
        <v>6.2063628398576958</v>
      </c>
      <c r="M72" s="13">
        <f t="shared" si="35"/>
        <v>0.22631804522131474</v>
      </c>
      <c r="N72" s="89" t="s">
        <v>85</v>
      </c>
    </row>
    <row r="73" spans="1:14" outlineLevel="1" x14ac:dyDescent="0.2">
      <c r="A73" s="20">
        <f t="shared" si="26"/>
        <v>3592</v>
      </c>
      <c r="B73" s="19" t="str">
        <f t="shared" si="26"/>
        <v>Midwestern</v>
      </c>
      <c r="C73" s="58">
        <f t="shared" si="9"/>
        <v>2744.4432234227934</v>
      </c>
      <c r="D73" s="15">
        <f t="shared" ref="D73:M73" si="36">D115*D181</f>
        <v>633.05693272318797</v>
      </c>
      <c r="E73" s="14">
        <f t="shared" si="36"/>
        <v>15.942150975974208</v>
      </c>
      <c r="F73" s="14">
        <f t="shared" si="36"/>
        <v>1226.6300213492082</v>
      </c>
      <c r="G73" s="13">
        <f t="shared" si="36"/>
        <v>19.620000000000033</v>
      </c>
      <c r="H73" s="15">
        <f t="shared" si="36"/>
        <v>37.941071389285767</v>
      </c>
      <c r="I73" s="13">
        <f t="shared" si="36"/>
        <v>1.7073482125178594</v>
      </c>
      <c r="J73" s="16">
        <f t="shared" si="36"/>
        <v>655.99629166245165</v>
      </c>
      <c r="K73" s="15">
        <f t="shared" si="36"/>
        <v>108.56900839369735</v>
      </c>
      <c r="L73" s="14">
        <f t="shared" si="36"/>
        <v>21.907274006156857</v>
      </c>
      <c r="M73" s="13">
        <f t="shared" si="36"/>
        <v>23.073124710313035</v>
      </c>
      <c r="N73" s="89" t="s">
        <v>85</v>
      </c>
    </row>
    <row r="74" spans="1:14" outlineLevel="1" x14ac:dyDescent="0.2">
      <c r="A74" s="20">
        <f t="shared" si="26"/>
        <v>3594</v>
      </c>
      <c r="B74" s="19" t="str">
        <f t="shared" si="26"/>
        <v>UNT</v>
      </c>
      <c r="C74" s="58">
        <f t="shared" si="9"/>
        <v>11789.682237981206</v>
      </c>
      <c r="D74" s="15">
        <f t="shared" ref="D74:M74" si="37">D116*D182</f>
        <v>615.32997499480587</v>
      </c>
      <c r="E74" s="14">
        <f t="shared" si="37"/>
        <v>121.96719992992327</v>
      </c>
      <c r="F74" s="14">
        <f t="shared" si="37"/>
        <v>43.878362816425323</v>
      </c>
      <c r="G74" s="13">
        <f t="shared" si="37"/>
        <v>114.11553333332529</v>
      </c>
      <c r="H74" s="15">
        <f t="shared" si="37"/>
        <v>38.320482103178627</v>
      </c>
      <c r="I74" s="13">
        <f t="shared" si="37"/>
        <v>4.9323392806071507</v>
      </c>
      <c r="J74" s="16">
        <f t="shared" si="37"/>
        <v>3629.9939654522914</v>
      </c>
      <c r="K74" s="15">
        <f t="shared" si="37"/>
        <v>3562.6942754393535</v>
      </c>
      <c r="L74" s="14">
        <f t="shared" si="37"/>
        <v>3545.1666070957658</v>
      </c>
      <c r="M74" s="13">
        <f t="shared" si="37"/>
        <v>113.28349753552909</v>
      </c>
      <c r="N74" s="89" t="s">
        <v>83</v>
      </c>
    </row>
    <row r="75" spans="1:14" outlineLevel="1" x14ac:dyDescent="0.2">
      <c r="A75" s="27">
        <f t="shared" si="26"/>
        <v>113594</v>
      </c>
      <c r="B75" s="19" t="str">
        <f t="shared" si="26"/>
        <v>UNTD</v>
      </c>
      <c r="C75" s="58">
        <f t="shared" si="9"/>
        <v>2763.9467407520874</v>
      </c>
      <c r="D75" s="15">
        <f t="shared" ref="D75:M75" si="38">D117*D183</f>
        <v>247.5978730408462</v>
      </c>
      <c r="E75" s="14">
        <f t="shared" si="38"/>
        <v>8.1961309991375941</v>
      </c>
      <c r="F75" s="14">
        <f t="shared" si="38"/>
        <v>2168.6130730129971</v>
      </c>
      <c r="G75" s="13">
        <f t="shared" si="38"/>
        <v>7.0585999999999718</v>
      </c>
      <c r="H75" s="15">
        <f t="shared" si="38"/>
        <v>1.3658785700142877</v>
      </c>
      <c r="I75" s="13">
        <f t="shared" si="38"/>
        <v>0</v>
      </c>
      <c r="J75" s="16">
        <f t="shared" si="38"/>
        <v>293.15527181728584</v>
      </c>
      <c r="K75" s="15">
        <f t="shared" si="38"/>
        <v>36.089002790116368</v>
      </c>
      <c r="L75" s="14">
        <f t="shared" si="38"/>
        <v>1.497485747074776</v>
      </c>
      <c r="M75" s="13">
        <f t="shared" si="38"/>
        <v>0.37342477461516937</v>
      </c>
      <c r="N75" s="89" t="s">
        <v>85</v>
      </c>
    </row>
    <row r="76" spans="1:14" outlineLevel="1" x14ac:dyDescent="0.2">
      <c r="A76" s="20">
        <f t="shared" si="26"/>
        <v>3624</v>
      </c>
      <c r="B76" s="19" t="str">
        <f t="shared" si="26"/>
        <v>SFA</v>
      </c>
      <c r="C76" s="58">
        <f t="shared" si="9"/>
        <v>3853.5862720216774</v>
      </c>
      <c r="D76" s="15">
        <f t="shared" ref="D76:M76" si="39">D118*D184</f>
        <v>39.306119732355185</v>
      </c>
      <c r="E76" s="14">
        <f t="shared" si="39"/>
        <v>37.445633744212373</v>
      </c>
      <c r="F76" s="14">
        <f t="shared" si="39"/>
        <v>1030.0959351211668</v>
      </c>
      <c r="G76" s="13">
        <f t="shared" si="39"/>
        <v>37.217366666666692</v>
      </c>
      <c r="H76" s="15">
        <f t="shared" si="39"/>
        <v>846.84471340885841</v>
      </c>
      <c r="I76" s="13">
        <f t="shared" si="39"/>
        <v>152.52310698492877</v>
      </c>
      <c r="J76" s="16">
        <f t="shared" si="39"/>
        <v>1387.6966459551909</v>
      </c>
      <c r="K76" s="15">
        <f t="shared" si="39"/>
        <v>41.816936566288248</v>
      </c>
      <c r="L76" s="14">
        <f t="shared" si="39"/>
        <v>43.458502450072167</v>
      </c>
      <c r="M76" s="13">
        <f t="shared" si="39"/>
        <v>237.18131139193784</v>
      </c>
      <c r="N76" s="89" t="s">
        <v>86</v>
      </c>
    </row>
    <row r="77" spans="1:14" outlineLevel="1" x14ac:dyDescent="0.2">
      <c r="A77" s="20">
        <f t="shared" si="26"/>
        <v>3642</v>
      </c>
      <c r="B77" s="19" t="str">
        <f t="shared" si="26"/>
        <v>TSU</v>
      </c>
      <c r="C77" s="58">
        <f t="shared" si="9"/>
        <v>2197.5076009555514</v>
      </c>
      <c r="D77" s="15">
        <f t="shared" ref="D77:M77" si="40">D119*D185</f>
        <v>15.51108801233444</v>
      </c>
      <c r="E77" s="14">
        <f t="shared" si="40"/>
        <v>3.8320355131795392</v>
      </c>
      <c r="F77" s="14">
        <f t="shared" si="40"/>
        <v>657.67755615089266</v>
      </c>
      <c r="G77" s="13">
        <f t="shared" si="40"/>
        <v>14.886533333333352</v>
      </c>
      <c r="H77" s="15">
        <f t="shared" si="40"/>
        <v>76.451258849410834</v>
      </c>
      <c r="I77" s="13">
        <f t="shared" si="40"/>
        <v>1.7073482125178598</v>
      </c>
      <c r="J77" s="16">
        <f t="shared" si="40"/>
        <v>633.19004685332732</v>
      </c>
      <c r="K77" s="15">
        <f t="shared" si="40"/>
        <v>741.71205734331204</v>
      </c>
      <c r="L77" s="14">
        <f t="shared" si="40"/>
        <v>23.729389530569524</v>
      </c>
      <c r="M77" s="13">
        <f t="shared" si="40"/>
        <v>28.810287156673368</v>
      </c>
      <c r="N77" s="89" t="s">
        <v>84</v>
      </c>
    </row>
    <row r="78" spans="1:14" outlineLevel="1" x14ac:dyDescent="0.2">
      <c r="A78" s="20">
        <f t="shared" si="26"/>
        <v>3644</v>
      </c>
      <c r="B78" s="19" t="str">
        <f t="shared" si="26"/>
        <v>TTU</v>
      </c>
      <c r="C78" s="58">
        <f t="shared" si="9"/>
        <v>9852.7334124407407</v>
      </c>
      <c r="D78" s="15">
        <f t="shared" ref="D78:M78" si="41">D120*D186</f>
        <v>478.01423320649121</v>
      </c>
      <c r="E78" s="14">
        <f t="shared" si="41"/>
        <v>120.34087159114198</v>
      </c>
      <c r="F78" s="14">
        <f t="shared" si="41"/>
        <v>35.698800410136847</v>
      </c>
      <c r="G78" s="13">
        <f t="shared" si="41"/>
        <v>101.28113333332682</v>
      </c>
      <c r="H78" s="15">
        <f t="shared" si="41"/>
        <v>82.787417771421559</v>
      </c>
      <c r="I78" s="13">
        <f t="shared" si="41"/>
        <v>6.5258642789571528</v>
      </c>
      <c r="J78" s="16">
        <f t="shared" si="41"/>
        <v>2639.8228366561425</v>
      </c>
      <c r="K78" s="15">
        <f t="shared" si="41"/>
        <v>2937.8562271318156</v>
      </c>
      <c r="L78" s="14">
        <f t="shared" si="41"/>
        <v>3316.459692997073</v>
      </c>
      <c r="M78" s="13">
        <f t="shared" si="41"/>
        <v>133.94633506423511</v>
      </c>
      <c r="N78" s="89" t="s">
        <v>83</v>
      </c>
    </row>
    <row r="79" spans="1:14" outlineLevel="1" x14ac:dyDescent="0.2">
      <c r="A79" s="20">
        <f t="shared" si="26"/>
        <v>3541</v>
      </c>
      <c r="B79" s="19" t="str">
        <f t="shared" si="26"/>
        <v>Angelo</v>
      </c>
      <c r="C79" s="58">
        <f t="shared" si="9"/>
        <v>2548.0870987216008</v>
      </c>
      <c r="D79" s="15">
        <f t="shared" ref="D79:M79" si="42">D121*D187</f>
        <v>608.30737251010055</v>
      </c>
      <c r="E79" s="14">
        <f t="shared" si="42"/>
        <v>14.981825543740936</v>
      </c>
      <c r="F79" s="14">
        <f t="shared" si="42"/>
        <v>1032.5446875097273</v>
      </c>
      <c r="G79" s="13">
        <f t="shared" si="42"/>
        <v>19.773500000000052</v>
      </c>
      <c r="H79" s="15">
        <f t="shared" si="42"/>
        <v>28.949037470025043</v>
      </c>
      <c r="I79" s="13">
        <f t="shared" si="42"/>
        <v>2.2005821405785744</v>
      </c>
      <c r="J79" s="16">
        <f t="shared" si="42"/>
        <v>687.03812487487085</v>
      </c>
      <c r="K79" s="15">
        <f t="shared" si="42"/>
        <v>108.61934173092207</v>
      </c>
      <c r="L79" s="14">
        <f t="shared" si="42"/>
        <v>21.64896644139338</v>
      </c>
      <c r="M79" s="13">
        <f t="shared" si="42"/>
        <v>24.02366050024256</v>
      </c>
      <c r="N79" s="89" t="s">
        <v>85</v>
      </c>
    </row>
    <row r="80" spans="1:14" outlineLevel="1" x14ac:dyDescent="0.2">
      <c r="A80" s="20">
        <f t="shared" ref="A80:B85" si="43">A37</f>
        <v>3646</v>
      </c>
      <c r="B80" s="19" t="str">
        <f t="shared" si="43"/>
        <v>TWU</v>
      </c>
      <c r="C80" s="58">
        <f t="shared" si="9"/>
        <v>4076.6825412284597</v>
      </c>
      <c r="D80" s="15">
        <f t="shared" ref="D80:M80" si="44">D122*D188</f>
        <v>36.94025268168263</v>
      </c>
      <c r="E80" s="14">
        <f t="shared" si="44"/>
        <v>33.264886028147167</v>
      </c>
      <c r="F80" s="14">
        <f t="shared" si="44"/>
        <v>1400.6937159037755</v>
      </c>
      <c r="G80" s="13">
        <f t="shared" si="44"/>
        <v>34.521766666666657</v>
      </c>
      <c r="H80" s="15">
        <f t="shared" si="44"/>
        <v>324.01674966450054</v>
      </c>
      <c r="I80" s="13">
        <f t="shared" si="44"/>
        <v>18.022008909910742</v>
      </c>
      <c r="J80" s="16">
        <f t="shared" si="44"/>
        <v>1184.9744698740856</v>
      </c>
      <c r="K80" s="15">
        <f t="shared" si="44"/>
        <v>994.78807690914891</v>
      </c>
      <c r="L80" s="14">
        <f t="shared" si="44"/>
        <v>27.066444015892333</v>
      </c>
      <c r="M80" s="13">
        <f t="shared" si="44"/>
        <v>22.394170574649092</v>
      </c>
      <c r="N80" s="89" t="s">
        <v>84</v>
      </c>
    </row>
    <row r="81" spans="1:14" outlineLevel="1" x14ac:dyDescent="0.2">
      <c r="A81" s="20">
        <f t="shared" si="43"/>
        <v>3581</v>
      </c>
      <c r="B81" s="19" t="str">
        <f t="shared" si="43"/>
        <v>Lamar</v>
      </c>
      <c r="C81" s="58">
        <f t="shared" si="9"/>
        <v>3325.5199831803243</v>
      </c>
      <c r="D81" s="15">
        <f t="shared" ref="D81:M81" si="45">D123*D189</f>
        <v>27.313151023038134</v>
      </c>
      <c r="E81" s="14">
        <f t="shared" si="45"/>
        <v>16.454493371768077</v>
      </c>
      <c r="F81" s="14">
        <f t="shared" si="45"/>
        <v>933.34797309697899</v>
      </c>
      <c r="G81" s="13">
        <f t="shared" si="45"/>
        <v>26.849000000000164</v>
      </c>
      <c r="H81" s="15">
        <f t="shared" si="45"/>
        <v>1126.8498202617873</v>
      </c>
      <c r="I81" s="13">
        <f t="shared" si="45"/>
        <v>58.049839225607229</v>
      </c>
      <c r="J81" s="16">
        <f t="shared" si="45"/>
        <v>901.48017676066502</v>
      </c>
      <c r="K81" s="15">
        <f t="shared" si="45"/>
        <v>32.384469170377777</v>
      </c>
      <c r="L81" s="14">
        <f t="shared" si="45"/>
        <v>31.185402481039738</v>
      </c>
      <c r="M81" s="13">
        <f t="shared" si="45"/>
        <v>171.60565778906192</v>
      </c>
      <c r="N81" s="89" t="s">
        <v>86</v>
      </c>
    </row>
    <row r="82" spans="1:14" outlineLevel="1" x14ac:dyDescent="0.2">
      <c r="A82" s="20">
        <f t="shared" si="43"/>
        <v>3606</v>
      </c>
      <c r="B82" s="19" t="str">
        <f t="shared" si="43"/>
        <v>SHSU</v>
      </c>
      <c r="C82" s="58">
        <f t="shared" si="9"/>
        <v>5548.8339714961439</v>
      </c>
      <c r="D82" s="15">
        <f t="shared" ref="D82:M82" si="46">D124*D190</f>
        <v>62.951154117751152</v>
      </c>
      <c r="E82" s="14">
        <f t="shared" si="46"/>
        <v>63.507696032236375</v>
      </c>
      <c r="F82" s="14">
        <f t="shared" si="46"/>
        <v>1244.5867848248924</v>
      </c>
      <c r="G82" s="13">
        <f t="shared" si="46"/>
        <v>58.37076666666789</v>
      </c>
      <c r="H82" s="15">
        <f t="shared" si="46"/>
        <v>95.042383830160858</v>
      </c>
      <c r="I82" s="13">
        <f t="shared" si="46"/>
        <v>34.716080321196479</v>
      </c>
      <c r="J82" s="16">
        <f t="shared" si="46"/>
        <v>2103.5593302415937</v>
      </c>
      <c r="K82" s="15">
        <f t="shared" si="46"/>
        <v>1764.1331363888262</v>
      </c>
      <c r="L82" s="14">
        <f t="shared" si="46"/>
        <v>62.105516111781846</v>
      </c>
      <c r="M82" s="13">
        <f t="shared" si="46"/>
        <v>59.861122961037744</v>
      </c>
      <c r="N82" s="89" t="s">
        <v>84</v>
      </c>
    </row>
    <row r="83" spans="1:14" outlineLevel="1" x14ac:dyDescent="0.2">
      <c r="A83" s="20">
        <f t="shared" si="43"/>
        <v>3615</v>
      </c>
      <c r="B83" s="19" t="str">
        <f t="shared" si="43"/>
        <v>TXST</v>
      </c>
      <c r="C83" s="58">
        <f t="shared" si="9"/>
        <v>11369.466456023376</v>
      </c>
      <c r="D83" s="15">
        <f t="shared" ref="D83:M83" si="47">D125*D191</f>
        <v>548.27434835686768</v>
      </c>
      <c r="E83" s="14">
        <f t="shared" si="47"/>
        <v>119.36111876181427</v>
      </c>
      <c r="F83" s="14">
        <f t="shared" si="47"/>
        <v>39.674673690749039</v>
      </c>
      <c r="G83" s="13">
        <f t="shared" si="47"/>
        <v>104.37309999999357</v>
      </c>
      <c r="H83" s="15">
        <f t="shared" si="47"/>
        <v>55.621610656692937</v>
      </c>
      <c r="I83" s="13">
        <f t="shared" si="47"/>
        <v>7.588214277857154</v>
      </c>
      <c r="J83" s="16">
        <f t="shared" si="47"/>
        <v>3492.5229897972922</v>
      </c>
      <c r="K83" s="15">
        <f t="shared" si="47"/>
        <v>3384.0612616288608</v>
      </c>
      <c r="L83" s="14">
        <f t="shared" si="47"/>
        <v>3505.3732795511219</v>
      </c>
      <c r="M83" s="13">
        <f t="shared" si="47"/>
        <v>112.61585930212622</v>
      </c>
      <c r="N83" s="89" t="s">
        <v>83</v>
      </c>
    </row>
    <row r="84" spans="1:14" outlineLevel="1" x14ac:dyDescent="0.2">
      <c r="A84" s="20">
        <f t="shared" si="43"/>
        <v>3625</v>
      </c>
      <c r="B84" s="19" t="str">
        <f t="shared" si="43"/>
        <v>SRSU</v>
      </c>
      <c r="C84" s="58">
        <f t="shared" si="9"/>
        <v>1099.4915406423772</v>
      </c>
      <c r="D84" s="15">
        <f t="shared" ref="D84:M84" si="48">D126*D192</f>
        <v>116.17975372755114</v>
      </c>
      <c r="E84" s="14">
        <f t="shared" si="48"/>
        <v>2.0045040594088257</v>
      </c>
      <c r="F84" s="14">
        <f t="shared" si="48"/>
        <v>789.13301908467849</v>
      </c>
      <c r="G84" s="13">
        <f t="shared" si="48"/>
        <v>3.9432999999999967</v>
      </c>
      <c r="H84" s="15">
        <f t="shared" si="48"/>
        <v>1.4417607127928591</v>
      </c>
      <c r="I84" s="13">
        <f t="shared" si="48"/>
        <v>0.72088035639642956</v>
      </c>
      <c r="J84" s="16">
        <f t="shared" si="48"/>
        <v>154.8924126619695</v>
      </c>
      <c r="K84" s="15">
        <f t="shared" si="48"/>
        <v>22.65000175111906</v>
      </c>
      <c r="L84" s="14">
        <f t="shared" si="48"/>
        <v>4.0561268953400686</v>
      </c>
      <c r="M84" s="13">
        <f t="shared" si="48"/>
        <v>4.4697813931209662</v>
      </c>
      <c r="N84" s="89" t="s">
        <v>85</v>
      </c>
    </row>
    <row r="85" spans="1:14" outlineLevel="1" x14ac:dyDescent="0.2">
      <c r="A85" s="20">
        <f t="shared" si="43"/>
        <v>20</v>
      </c>
      <c r="B85" s="19" t="str">
        <f t="shared" si="43"/>
        <v>SRRG</v>
      </c>
      <c r="C85" s="58">
        <f t="shared" si="9"/>
        <v>2122.3844592630444</v>
      </c>
      <c r="D85" s="15">
        <f t="shared" ref="D85:M85" si="49">D127*D193</f>
        <v>99.20278267229277</v>
      </c>
      <c r="E85" s="14">
        <f t="shared" si="49"/>
        <v>1.806711934051229</v>
      </c>
      <c r="F85" s="14">
        <f t="shared" si="49"/>
        <v>1860.9270117815288</v>
      </c>
      <c r="G85" s="13">
        <f t="shared" si="49"/>
        <v>2.7916999999999978</v>
      </c>
      <c r="H85" s="15">
        <f t="shared" si="49"/>
        <v>0.72088035639642956</v>
      </c>
      <c r="I85" s="13">
        <f t="shared" si="49"/>
        <v>0.64499821361785803</v>
      </c>
      <c r="J85" s="16">
        <f t="shared" si="49"/>
        <v>136.83746885474608</v>
      </c>
      <c r="K85" s="15">
        <f t="shared" si="49"/>
        <v>17.365001342524611</v>
      </c>
      <c r="L85" s="14">
        <f t="shared" si="49"/>
        <v>1.9407973784931827</v>
      </c>
      <c r="M85" s="13">
        <f t="shared" si="49"/>
        <v>0.14710672939385458</v>
      </c>
      <c r="N85" s="89" t="s">
        <v>85</v>
      </c>
    </row>
    <row r="86" spans="1:14" ht="13.5" outlineLevel="1" thickBot="1" x14ac:dyDescent="0.25">
      <c r="A86" s="12"/>
      <c r="B86" s="11" t="s">
        <v>11</v>
      </c>
      <c r="C86" s="57">
        <f t="shared" ref="C86:M86" si="50">SUM(C48:C85)</f>
        <v>209752.31277354545</v>
      </c>
      <c r="D86" s="9">
        <f t="shared" si="50"/>
        <v>11502.027433090167</v>
      </c>
      <c r="E86" s="7">
        <f t="shared" si="50"/>
        <v>16786.96698294787</v>
      </c>
      <c r="F86" s="7">
        <f t="shared" si="50"/>
        <v>40207.427226080836</v>
      </c>
      <c r="G86" s="3">
        <f t="shared" si="50"/>
        <v>3308.2582000000107</v>
      </c>
      <c r="H86" s="5">
        <f t="shared" si="50"/>
        <v>19143.926390891927</v>
      </c>
      <c r="I86" s="3">
        <f t="shared" si="50"/>
        <v>1546.3642466131196</v>
      </c>
      <c r="J86" s="6">
        <f t="shared" si="50"/>
        <v>45204.806875392234</v>
      </c>
      <c r="K86" s="5">
        <f t="shared" si="50"/>
        <v>32302.846114067328</v>
      </c>
      <c r="L86" s="4">
        <f t="shared" si="50"/>
        <v>23577.941012834472</v>
      </c>
      <c r="M86" s="3">
        <f t="shared" si="50"/>
        <v>16171.748291627482</v>
      </c>
    </row>
    <row r="87" spans="1:14" ht="13.5" thickBot="1" x14ac:dyDescent="0.25">
      <c r="A87" s="69" t="s">
        <v>30</v>
      </c>
    </row>
    <row r="88" spans="1:14" ht="12.75" customHeight="1" outlineLevel="1" x14ac:dyDescent="0.2">
      <c r="A88" s="273" t="s">
        <v>24</v>
      </c>
      <c r="B88" s="275" t="s">
        <v>23</v>
      </c>
      <c r="C88" s="277" t="s">
        <v>77</v>
      </c>
      <c r="D88" s="279" t="s">
        <v>35</v>
      </c>
      <c r="E88" s="280"/>
      <c r="F88" s="280"/>
      <c r="G88" s="281"/>
      <c r="H88" s="282" t="s">
        <v>18</v>
      </c>
      <c r="I88" s="291" t="s">
        <v>17</v>
      </c>
      <c r="J88" s="293" t="s">
        <v>16</v>
      </c>
      <c r="K88" s="295" t="s">
        <v>34</v>
      </c>
      <c r="L88" s="296"/>
      <c r="M88" s="296"/>
      <c r="N88" s="308" t="s">
        <v>99</v>
      </c>
    </row>
    <row r="89" spans="1:14" ht="51.75" outlineLevel="1" thickBot="1" x14ac:dyDescent="0.25">
      <c r="A89" s="274"/>
      <c r="B89" s="276"/>
      <c r="C89" s="278"/>
      <c r="D89" s="68"/>
      <c r="E89" s="67" t="s">
        <v>33</v>
      </c>
      <c r="F89" s="67" t="s">
        <v>32</v>
      </c>
      <c r="G89" s="152" t="s">
        <v>31</v>
      </c>
      <c r="H89" s="283"/>
      <c r="I89" s="292"/>
      <c r="J89" s="294"/>
      <c r="K89" s="44" t="s">
        <v>14</v>
      </c>
      <c r="L89" s="43" t="s">
        <v>13</v>
      </c>
      <c r="M89" s="42" t="s">
        <v>12</v>
      </c>
      <c r="N89" s="309"/>
    </row>
    <row r="90" spans="1:14" outlineLevel="1" x14ac:dyDescent="0.2">
      <c r="A90" s="20">
        <f t="shared" ref="A90:B105" si="51">A5</f>
        <v>3656</v>
      </c>
      <c r="B90" s="19" t="str">
        <f t="shared" si="51"/>
        <v>UTA</v>
      </c>
      <c r="C90" s="90">
        <f>D90+E90+F90+K90+L90+M90</f>
        <v>0.67999999999999994</v>
      </c>
      <c r="D90" s="91">
        <f>SUMIF($N$131:$N$135,$N90,D$131:D$135)</f>
        <v>0.05</v>
      </c>
      <c r="E90" s="92">
        <f t="shared" ref="E90:M105" si="52">SUMIF($N$131:$N$135,$N90,E$131:E$135)</f>
        <v>0.01</v>
      </c>
      <c r="F90" s="92">
        <f t="shared" si="52"/>
        <v>0.01</v>
      </c>
      <c r="G90" s="93">
        <f t="shared" si="52"/>
        <v>0.01</v>
      </c>
      <c r="H90" s="91">
        <f t="shared" si="52"/>
        <v>0.01</v>
      </c>
      <c r="I90" s="93">
        <f t="shared" si="52"/>
        <v>0.01</v>
      </c>
      <c r="J90" s="98">
        <f t="shared" si="52"/>
        <v>0.3</v>
      </c>
      <c r="K90" s="91">
        <f t="shared" si="52"/>
        <v>0.3</v>
      </c>
      <c r="L90" s="92">
        <f t="shared" si="52"/>
        <v>0.3</v>
      </c>
      <c r="M90" s="93">
        <f t="shared" si="52"/>
        <v>0.01</v>
      </c>
      <c r="N90" s="88" t="s">
        <v>83</v>
      </c>
    </row>
    <row r="91" spans="1:14" outlineLevel="1" x14ac:dyDescent="0.2">
      <c r="A91" s="20">
        <f t="shared" si="51"/>
        <v>3658</v>
      </c>
      <c r="B91" s="19" t="str">
        <f t="shared" si="51"/>
        <v>UT</v>
      </c>
      <c r="C91" s="90">
        <f t="shared" ref="C91:C127" si="53">D91+E91+F91+K91+L91+M91</f>
        <v>0.64</v>
      </c>
      <c r="D91" s="91">
        <f t="shared" ref="D91:M106" si="54">SUMIF($N$131:$N$135,$N91,D$131:D$135)</f>
        <v>0.01</v>
      </c>
      <c r="E91" s="92">
        <f t="shared" si="52"/>
        <v>0.3</v>
      </c>
      <c r="F91" s="92">
        <f t="shared" si="52"/>
        <v>0.01</v>
      </c>
      <c r="G91" s="93">
        <f t="shared" si="52"/>
        <v>0.05</v>
      </c>
      <c r="H91" s="94">
        <f t="shared" si="52"/>
        <v>0.3</v>
      </c>
      <c r="I91" s="95">
        <f t="shared" si="52"/>
        <v>0.3</v>
      </c>
      <c r="J91" s="96">
        <f t="shared" si="52"/>
        <v>0.01</v>
      </c>
      <c r="K91" s="94">
        <f t="shared" si="52"/>
        <v>0.01</v>
      </c>
      <c r="L91" s="97">
        <f t="shared" si="52"/>
        <v>0.01</v>
      </c>
      <c r="M91" s="95">
        <f t="shared" si="52"/>
        <v>0.3</v>
      </c>
      <c r="N91" s="89" t="s">
        <v>82</v>
      </c>
    </row>
    <row r="92" spans="1:14" outlineLevel="1" x14ac:dyDescent="0.2">
      <c r="A92" s="20">
        <f t="shared" si="51"/>
        <v>9741</v>
      </c>
      <c r="B92" s="19" t="str">
        <f t="shared" si="51"/>
        <v>UTD</v>
      </c>
      <c r="C92" s="90">
        <f t="shared" si="53"/>
        <v>0.67999999999999994</v>
      </c>
      <c r="D92" s="91">
        <f t="shared" si="54"/>
        <v>0.05</v>
      </c>
      <c r="E92" s="92">
        <f t="shared" si="52"/>
        <v>0.01</v>
      </c>
      <c r="F92" s="92">
        <f t="shared" si="52"/>
        <v>0.01</v>
      </c>
      <c r="G92" s="93">
        <f t="shared" si="52"/>
        <v>0.01</v>
      </c>
      <c r="H92" s="91">
        <f t="shared" si="52"/>
        <v>0.01</v>
      </c>
      <c r="I92" s="93">
        <f t="shared" si="52"/>
        <v>0.01</v>
      </c>
      <c r="J92" s="98">
        <f t="shared" si="52"/>
        <v>0.3</v>
      </c>
      <c r="K92" s="91">
        <f t="shared" si="52"/>
        <v>0.3</v>
      </c>
      <c r="L92" s="92">
        <f t="shared" si="52"/>
        <v>0.3</v>
      </c>
      <c r="M92" s="93">
        <f t="shared" si="52"/>
        <v>0.01</v>
      </c>
      <c r="N92" s="89" t="s">
        <v>83</v>
      </c>
    </row>
    <row r="93" spans="1:14" outlineLevel="1" x14ac:dyDescent="0.2">
      <c r="A93" s="20">
        <f t="shared" si="51"/>
        <v>3661</v>
      </c>
      <c r="B93" s="19" t="str">
        <f t="shared" si="51"/>
        <v>UTEP</v>
      </c>
      <c r="C93" s="90">
        <f t="shared" si="53"/>
        <v>0.67999999999999994</v>
      </c>
      <c r="D93" s="91">
        <f t="shared" si="54"/>
        <v>0.05</v>
      </c>
      <c r="E93" s="92">
        <f t="shared" si="52"/>
        <v>0.01</v>
      </c>
      <c r="F93" s="92">
        <f t="shared" si="52"/>
        <v>0.01</v>
      </c>
      <c r="G93" s="93">
        <f t="shared" si="52"/>
        <v>0.01</v>
      </c>
      <c r="H93" s="91">
        <f t="shared" si="52"/>
        <v>0.01</v>
      </c>
      <c r="I93" s="93">
        <f t="shared" si="52"/>
        <v>0.01</v>
      </c>
      <c r="J93" s="98">
        <f t="shared" si="52"/>
        <v>0.3</v>
      </c>
      <c r="K93" s="91">
        <f t="shared" si="52"/>
        <v>0.3</v>
      </c>
      <c r="L93" s="92">
        <f t="shared" si="52"/>
        <v>0.3</v>
      </c>
      <c r="M93" s="93">
        <f t="shared" si="52"/>
        <v>0.01</v>
      </c>
      <c r="N93" s="89" t="s">
        <v>83</v>
      </c>
    </row>
    <row r="94" spans="1:14" outlineLevel="1" x14ac:dyDescent="0.2">
      <c r="A94" s="20">
        <f t="shared" si="51"/>
        <v>3599</v>
      </c>
      <c r="B94" s="19" t="str">
        <f t="shared" si="51"/>
        <v>UTPA</v>
      </c>
      <c r="C94" s="90">
        <f t="shared" si="53"/>
        <v>0.64</v>
      </c>
      <c r="D94" s="91">
        <f t="shared" si="54"/>
        <v>0.01</v>
      </c>
      <c r="E94" s="92">
        <f t="shared" si="52"/>
        <v>0.01</v>
      </c>
      <c r="F94" s="92">
        <f t="shared" si="52"/>
        <v>0.3</v>
      </c>
      <c r="G94" s="93">
        <f t="shared" si="52"/>
        <v>0.01</v>
      </c>
      <c r="H94" s="91">
        <f t="shared" si="52"/>
        <v>0.05</v>
      </c>
      <c r="I94" s="93">
        <f t="shared" si="52"/>
        <v>0.05</v>
      </c>
      <c r="J94" s="98">
        <f t="shared" si="52"/>
        <v>0.3</v>
      </c>
      <c r="K94" s="91">
        <f t="shared" si="52"/>
        <v>0.3</v>
      </c>
      <c r="L94" s="92">
        <f t="shared" si="52"/>
        <v>0.01</v>
      </c>
      <c r="M94" s="93">
        <f t="shared" si="52"/>
        <v>0.01</v>
      </c>
      <c r="N94" s="89" t="s">
        <v>84</v>
      </c>
    </row>
    <row r="95" spans="1:14" outlineLevel="1" x14ac:dyDescent="0.2">
      <c r="A95" s="20">
        <f t="shared" si="51"/>
        <v>30646</v>
      </c>
      <c r="B95" s="19" t="str">
        <f t="shared" si="51"/>
        <v>UTB</v>
      </c>
      <c r="C95" s="90">
        <f t="shared" si="53"/>
        <v>0.68</v>
      </c>
      <c r="D95" s="91">
        <f t="shared" si="54"/>
        <v>0.3</v>
      </c>
      <c r="E95" s="92">
        <f t="shared" si="52"/>
        <v>0.01</v>
      </c>
      <c r="F95" s="92">
        <f t="shared" si="52"/>
        <v>0.3</v>
      </c>
      <c r="G95" s="93">
        <f t="shared" si="52"/>
        <v>0.01</v>
      </c>
      <c r="H95" s="91">
        <f t="shared" si="52"/>
        <v>0.01</v>
      </c>
      <c r="I95" s="93">
        <f t="shared" si="52"/>
        <v>0.01</v>
      </c>
      <c r="J95" s="98">
        <f t="shared" si="52"/>
        <v>0.3</v>
      </c>
      <c r="K95" s="91">
        <f t="shared" si="52"/>
        <v>0.05</v>
      </c>
      <c r="L95" s="92">
        <f t="shared" si="52"/>
        <v>0.01</v>
      </c>
      <c r="M95" s="93">
        <f t="shared" si="52"/>
        <v>0.01</v>
      </c>
      <c r="N95" s="89" t="s">
        <v>85</v>
      </c>
    </row>
    <row r="96" spans="1:14" outlineLevel="1" x14ac:dyDescent="0.2">
      <c r="A96" s="20">
        <f t="shared" si="51"/>
        <v>9930</v>
      </c>
      <c r="B96" s="19" t="str">
        <f t="shared" si="51"/>
        <v>UTPB</v>
      </c>
      <c r="C96" s="90">
        <f t="shared" si="53"/>
        <v>0.68</v>
      </c>
      <c r="D96" s="91">
        <f t="shared" si="54"/>
        <v>0.3</v>
      </c>
      <c r="E96" s="92">
        <f t="shared" si="52"/>
        <v>0.01</v>
      </c>
      <c r="F96" s="92">
        <f t="shared" si="52"/>
        <v>0.3</v>
      </c>
      <c r="G96" s="93">
        <f t="shared" si="52"/>
        <v>0.01</v>
      </c>
      <c r="H96" s="91">
        <f t="shared" si="52"/>
        <v>0.01</v>
      </c>
      <c r="I96" s="93">
        <f t="shared" si="52"/>
        <v>0.01</v>
      </c>
      <c r="J96" s="98">
        <f t="shared" si="52"/>
        <v>0.3</v>
      </c>
      <c r="K96" s="91">
        <f t="shared" si="52"/>
        <v>0.05</v>
      </c>
      <c r="L96" s="92">
        <f t="shared" si="52"/>
        <v>0.01</v>
      </c>
      <c r="M96" s="93">
        <f t="shared" si="52"/>
        <v>0.01</v>
      </c>
      <c r="N96" s="89" t="s">
        <v>85</v>
      </c>
    </row>
    <row r="97" spans="1:14" outlineLevel="1" x14ac:dyDescent="0.2">
      <c r="A97" s="20">
        <f t="shared" si="51"/>
        <v>10115</v>
      </c>
      <c r="B97" s="19" t="str">
        <f t="shared" si="51"/>
        <v>UTSA</v>
      </c>
      <c r="C97" s="90">
        <f t="shared" si="53"/>
        <v>0.67999999999999994</v>
      </c>
      <c r="D97" s="91">
        <f t="shared" si="54"/>
        <v>0.05</v>
      </c>
      <c r="E97" s="92">
        <f t="shared" si="52"/>
        <v>0.01</v>
      </c>
      <c r="F97" s="92">
        <f t="shared" si="52"/>
        <v>0.01</v>
      </c>
      <c r="G97" s="93">
        <f t="shared" si="52"/>
        <v>0.01</v>
      </c>
      <c r="H97" s="91">
        <f t="shared" si="52"/>
        <v>0.01</v>
      </c>
      <c r="I97" s="93">
        <f t="shared" si="52"/>
        <v>0.01</v>
      </c>
      <c r="J97" s="98">
        <f t="shared" si="52"/>
        <v>0.3</v>
      </c>
      <c r="K97" s="91">
        <f t="shared" si="52"/>
        <v>0.3</v>
      </c>
      <c r="L97" s="92">
        <f t="shared" si="52"/>
        <v>0.3</v>
      </c>
      <c r="M97" s="93">
        <f t="shared" si="52"/>
        <v>0.01</v>
      </c>
      <c r="N97" s="89" t="s">
        <v>83</v>
      </c>
    </row>
    <row r="98" spans="1:14" outlineLevel="1" x14ac:dyDescent="0.2">
      <c r="A98" s="20">
        <f t="shared" si="51"/>
        <v>11163</v>
      </c>
      <c r="B98" s="19" t="str">
        <f t="shared" si="51"/>
        <v>UTT</v>
      </c>
      <c r="C98" s="90">
        <f t="shared" si="53"/>
        <v>0.68</v>
      </c>
      <c r="D98" s="91">
        <f t="shared" si="54"/>
        <v>0.3</v>
      </c>
      <c r="E98" s="92">
        <f t="shared" si="52"/>
        <v>0.01</v>
      </c>
      <c r="F98" s="92">
        <f t="shared" si="52"/>
        <v>0.3</v>
      </c>
      <c r="G98" s="93">
        <f t="shared" si="52"/>
        <v>0.01</v>
      </c>
      <c r="H98" s="91">
        <f t="shared" si="52"/>
        <v>0.01</v>
      </c>
      <c r="I98" s="93">
        <f t="shared" si="52"/>
        <v>0.01</v>
      </c>
      <c r="J98" s="98">
        <f t="shared" si="52"/>
        <v>0.3</v>
      </c>
      <c r="K98" s="91">
        <f t="shared" si="52"/>
        <v>0.05</v>
      </c>
      <c r="L98" s="92">
        <f t="shared" si="52"/>
        <v>0.01</v>
      </c>
      <c r="M98" s="93">
        <f t="shared" si="52"/>
        <v>0.01</v>
      </c>
      <c r="N98" s="89" t="s">
        <v>85</v>
      </c>
    </row>
    <row r="99" spans="1:14" outlineLevel="1" x14ac:dyDescent="0.2">
      <c r="A99" s="20">
        <f t="shared" si="51"/>
        <v>3632</v>
      </c>
      <c r="B99" s="19" t="str">
        <f t="shared" si="51"/>
        <v>TAMU</v>
      </c>
      <c r="C99" s="90">
        <f t="shared" si="53"/>
        <v>0.64</v>
      </c>
      <c r="D99" s="91">
        <f t="shared" si="54"/>
        <v>0.01</v>
      </c>
      <c r="E99" s="92">
        <f t="shared" si="52"/>
        <v>0.3</v>
      </c>
      <c r="F99" s="92">
        <f t="shared" si="52"/>
        <v>0.01</v>
      </c>
      <c r="G99" s="93">
        <f t="shared" si="52"/>
        <v>0.05</v>
      </c>
      <c r="H99" s="94">
        <f t="shared" si="52"/>
        <v>0.3</v>
      </c>
      <c r="I99" s="95">
        <f t="shared" si="52"/>
        <v>0.3</v>
      </c>
      <c r="J99" s="96">
        <f t="shared" si="52"/>
        <v>0.01</v>
      </c>
      <c r="K99" s="94">
        <f t="shared" si="52"/>
        <v>0.01</v>
      </c>
      <c r="L99" s="97">
        <f t="shared" si="52"/>
        <v>0.01</v>
      </c>
      <c r="M99" s="95">
        <f t="shared" si="52"/>
        <v>0.3</v>
      </c>
      <c r="N99" s="89" t="s">
        <v>82</v>
      </c>
    </row>
    <row r="100" spans="1:14" outlineLevel="1" x14ac:dyDescent="0.2">
      <c r="A100" s="20">
        <f t="shared" si="51"/>
        <v>10298</v>
      </c>
      <c r="B100" s="19" t="str">
        <f t="shared" si="51"/>
        <v>TAMUG</v>
      </c>
      <c r="C100" s="90">
        <f t="shared" si="53"/>
        <v>1.0199999999999998</v>
      </c>
      <c r="D100" s="91">
        <f>SUMIF($N$131:$N$135,$N100,D$131:D$135)*1.5</f>
        <v>0.44999999999999996</v>
      </c>
      <c r="E100" s="92">
        <f t="shared" ref="E100:M100" si="55">SUMIF($N$131:$N$135,$N100,E$131:E$135)*1.5</f>
        <v>1.4999999999999999E-2</v>
      </c>
      <c r="F100" s="92">
        <f t="shared" si="55"/>
        <v>0.44999999999999996</v>
      </c>
      <c r="G100" s="93">
        <f t="shared" si="55"/>
        <v>1.4999999999999999E-2</v>
      </c>
      <c r="H100" s="91">
        <f t="shared" si="55"/>
        <v>1.4999999999999999E-2</v>
      </c>
      <c r="I100" s="93">
        <f t="shared" si="55"/>
        <v>1.4999999999999999E-2</v>
      </c>
      <c r="J100" s="98">
        <f t="shared" si="55"/>
        <v>0.44999999999999996</v>
      </c>
      <c r="K100" s="91">
        <f t="shared" si="55"/>
        <v>7.5000000000000011E-2</v>
      </c>
      <c r="L100" s="92">
        <f t="shared" si="55"/>
        <v>1.4999999999999999E-2</v>
      </c>
      <c r="M100" s="93">
        <f t="shared" si="55"/>
        <v>1.4999999999999999E-2</v>
      </c>
      <c r="N100" s="89" t="s">
        <v>85</v>
      </c>
    </row>
    <row r="101" spans="1:14" outlineLevel="1" x14ac:dyDescent="0.2">
      <c r="A101" s="20">
        <f t="shared" si="51"/>
        <v>3630</v>
      </c>
      <c r="B101" s="19" t="str">
        <f t="shared" si="51"/>
        <v>Prairie View</v>
      </c>
      <c r="C101" s="90">
        <f t="shared" si="53"/>
        <v>0.39</v>
      </c>
      <c r="D101" s="91">
        <f t="shared" si="54"/>
        <v>0.01</v>
      </c>
      <c r="E101" s="92">
        <f t="shared" si="52"/>
        <v>0.01</v>
      </c>
      <c r="F101" s="92">
        <f t="shared" si="52"/>
        <v>0.3</v>
      </c>
      <c r="G101" s="93">
        <f t="shared" si="52"/>
        <v>0.01</v>
      </c>
      <c r="H101" s="91">
        <f t="shared" si="52"/>
        <v>0.3</v>
      </c>
      <c r="I101" s="93">
        <f t="shared" si="52"/>
        <v>0.3</v>
      </c>
      <c r="J101" s="98">
        <f t="shared" si="52"/>
        <v>0.3</v>
      </c>
      <c r="K101" s="91">
        <f t="shared" si="52"/>
        <v>0.01</v>
      </c>
      <c r="L101" s="92">
        <f t="shared" si="52"/>
        <v>0.01</v>
      </c>
      <c r="M101" s="93">
        <f t="shared" si="52"/>
        <v>0.05</v>
      </c>
      <c r="N101" s="89" t="s">
        <v>86</v>
      </c>
    </row>
    <row r="102" spans="1:14" outlineLevel="1" x14ac:dyDescent="0.2">
      <c r="A102" s="20">
        <f t="shared" si="51"/>
        <v>3631</v>
      </c>
      <c r="B102" s="19" t="str">
        <f t="shared" si="51"/>
        <v>Tarleton</v>
      </c>
      <c r="C102" s="90">
        <f t="shared" si="53"/>
        <v>0.39</v>
      </c>
      <c r="D102" s="91">
        <f t="shared" si="54"/>
        <v>0.01</v>
      </c>
      <c r="E102" s="92">
        <f t="shared" si="52"/>
        <v>0.01</v>
      </c>
      <c r="F102" s="92">
        <f t="shared" si="52"/>
        <v>0.3</v>
      </c>
      <c r="G102" s="93">
        <f t="shared" si="52"/>
        <v>0.01</v>
      </c>
      <c r="H102" s="91">
        <f t="shared" si="52"/>
        <v>0.3</v>
      </c>
      <c r="I102" s="93">
        <f t="shared" si="52"/>
        <v>0.3</v>
      </c>
      <c r="J102" s="98">
        <f t="shared" si="52"/>
        <v>0.3</v>
      </c>
      <c r="K102" s="91">
        <f t="shared" si="52"/>
        <v>0.01</v>
      </c>
      <c r="L102" s="92">
        <f t="shared" si="52"/>
        <v>0.01</v>
      </c>
      <c r="M102" s="93">
        <f t="shared" si="52"/>
        <v>0.05</v>
      </c>
      <c r="N102" s="89" t="s">
        <v>86</v>
      </c>
    </row>
    <row r="103" spans="1:14" outlineLevel="1" x14ac:dyDescent="0.2">
      <c r="A103" s="27">
        <f t="shared" si="51"/>
        <v>103631</v>
      </c>
      <c r="B103" s="19" t="str">
        <f t="shared" si="51"/>
        <v>TAMUCT</v>
      </c>
      <c r="C103" s="90">
        <f t="shared" si="53"/>
        <v>0.68</v>
      </c>
      <c r="D103" s="91">
        <f t="shared" si="54"/>
        <v>0.3</v>
      </c>
      <c r="E103" s="92">
        <f t="shared" si="52"/>
        <v>0.01</v>
      </c>
      <c r="F103" s="92">
        <f t="shared" si="52"/>
        <v>0.3</v>
      </c>
      <c r="G103" s="93">
        <f t="shared" si="52"/>
        <v>0.01</v>
      </c>
      <c r="H103" s="91">
        <f t="shared" si="52"/>
        <v>0.01</v>
      </c>
      <c r="I103" s="93">
        <f t="shared" si="52"/>
        <v>0.01</v>
      </c>
      <c r="J103" s="98">
        <f t="shared" si="52"/>
        <v>0.3</v>
      </c>
      <c r="K103" s="91">
        <f t="shared" si="52"/>
        <v>0.05</v>
      </c>
      <c r="L103" s="92">
        <f t="shared" si="52"/>
        <v>0.01</v>
      </c>
      <c r="M103" s="93">
        <f t="shared" si="52"/>
        <v>0.01</v>
      </c>
      <c r="N103" s="89" t="s">
        <v>85</v>
      </c>
    </row>
    <row r="104" spans="1:14" outlineLevel="1" x14ac:dyDescent="0.2">
      <c r="A104" s="20">
        <f t="shared" si="51"/>
        <v>11161</v>
      </c>
      <c r="B104" s="19" t="str">
        <f t="shared" si="51"/>
        <v>TAMUCC</v>
      </c>
      <c r="C104" s="90">
        <f t="shared" si="53"/>
        <v>0.64</v>
      </c>
      <c r="D104" s="91">
        <f t="shared" si="54"/>
        <v>0.01</v>
      </c>
      <c r="E104" s="92">
        <f t="shared" si="52"/>
        <v>0.01</v>
      </c>
      <c r="F104" s="92">
        <f t="shared" si="52"/>
        <v>0.3</v>
      </c>
      <c r="G104" s="93">
        <f t="shared" si="52"/>
        <v>0.01</v>
      </c>
      <c r="H104" s="91">
        <f t="shared" si="52"/>
        <v>0.05</v>
      </c>
      <c r="I104" s="93">
        <f t="shared" si="52"/>
        <v>0.05</v>
      </c>
      <c r="J104" s="98">
        <f t="shared" si="52"/>
        <v>0.3</v>
      </c>
      <c r="K104" s="91">
        <f t="shared" si="52"/>
        <v>0.3</v>
      </c>
      <c r="L104" s="92">
        <f t="shared" si="52"/>
        <v>0.01</v>
      </c>
      <c r="M104" s="93">
        <f t="shared" si="52"/>
        <v>0.01</v>
      </c>
      <c r="N104" s="89" t="s">
        <v>84</v>
      </c>
    </row>
    <row r="105" spans="1:14" outlineLevel="1" x14ac:dyDescent="0.2">
      <c r="A105" s="20">
        <f t="shared" si="51"/>
        <v>3639</v>
      </c>
      <c r="B105" s="19" t="str">
        <f t="shared" si="51"/>
        <v>TAMUK</v>
      </c>
      <c r="C105" s="90">
        <f t="shared" si="53"/>
        <v>0.64</v>
      </c>
      <c r="D105" s="91">
        <f t="shared" si="54"/>
        <v>0.01</v>
      </c>
      <c r="E105" s="92">
        <f t="shared" si="52"/>
        <v>0.01</v>
      </c>
      <c r="F105" s="92">
        <f t="shared" si="52"/>
        <v>0.3</v>
      </c>
      <c r="G105" s="93">
        <f t="shared" si="52"/>
        <v>0.01</v>
      </c>
      <c r="H105" s="91">
        <f t="shared" si="52"/>
        <v>0.05</v>
      </c>
      <c r="I105" s="93">
        <f t="shared" si="52"/>
        <v>0.05</v>
      </c>
      <c r="J105" s="98">
        <f t="shared" si="52"/>
        <v>0.3</v>
      </c>
      <c r="K105" s="91">
        <f t="shared" si="52"/>
        <v>0.3</v>
      </c>
      <c r="L105" s="92">
        <f t="shared" si="52"/>
        <v>0.01</v>
      </c>
      <c r="M105" s="93">
        <f t="shared" si="52"/>
        <v>0.01</v>
      </c>
      <c r="N105" s="89" t="s">
        <v>84</v>
      </c>
    </row>
    <row r="106" spans="1:14" outlineLevel="1" x14ac:dyDescent="0.2">
      <c r="A106" s="27">
        <f t="shared" ref="A106:B121" si="56">A21</f>
        <v>103639</v>
      </c>
      <c r="B106" s="19" t="str">
        <f t="shared" si="56"/>
        <v>TAMUSA</v>
      </c>
      <c r="C106" s="90">
        <f t="shared" si="53"/>
        <v>0.68</v>
      </c>
      <c r="D106" s="91">
        <f t="shared" si="54"/>
        <v>0.3</v>
      </c>
      <c r="E106" s="92">
        <f t="shared" si="54"/>
        <v>0.01</v>
      </c>
      <c r="F106" s="92">
        <f t="shared" si="54"/>
        <v>0.3</v>
      </c>
      <c r="G106" s="93">
        <f t="shared" si="54"/>
        <v>0.01</v>
      </c>
      <c r="H106" s="91">
        <f t="shared" si="54"/>
        <v>0.01</v>
      </c>
      <c r="I106" s="93">
        <f t="shared" si="54"/>
        <v>0.01</v>
      </c>
      <c r="J106" s="98">
        <f t="shared" si="54"/>
        <v>0.3</v>
      </c>
      <c r="K106" s="91">
        <f t="shared" si="54"/>
        <v>0.05</v>
      </c>
      <c r="L106" s="92">
        <f t="shared" si="54"/>
        <v>0.01</v>
      </c>
      <c r="M106" s="93">
        <f t="shared" si="54"/>
        <v>0.01</v>
      </c>
      <c r="N106" s="89" t="s">
        <v>85</v>
      </c>
    </row>
    <row r="107" spans="1:14" outlineLevel="1" x14ac:dyDescent="0.2">
      <c r="A107" s="20">
        <f t="shared" si="56"/>
        <v>9651</v>
      </c>
      <c r="B107" s="19" t="str">
        <f t="shared" si="56"/>
        <v>TAMI</v>
      </c>
      <c r="C107" s="90">
        <f t="shared" si="53"/>
        <v>0.39</v>
      </c>
      <c r="D107" s="91">
        <f t="shared" ref="D107:M122" si="57">SUMIF($N$131:$N$135,$N107,D$131:D$135)</f>
        <v>0.01</v>
      </c>
      <c r="E107" s="92">
        <f t="shared" si="57"/>
        <v>0.01</v>
      </c>
      <c r="F107" s="92">
        <f t="shared" si="57"/>
        <v>0.3</v>
      </c>
      <c r="G107" s="93">
        <f t="shared" si="57"/>
        <v>0.01</v>
      </c>
      <c r="H107" s="91">
        <f t="shared" si="57"/>
        <v>0.3</v>
      </c>
      <c r="I107" s="93">
        <f t="shared" si="57"/>
        <v>0.3</v>
      </c>
      <c r="J107" s="98">
        <f t="shared" si="57"/>
        <v>0.3</v>
      </c>
      <c r="K107" s="91">
        <f t="shared" si="57"/>
        <v>0.01</v>
      </c>
      <c r="L107" s="92">
        <f t="shared" si="57"/>
        <v>0.01</v>
      </c>
      <c r="M107" s="93">
        <f t="shared" si="57"/>
        <v>0.05</v>
      </c>
      <c r="N107" s="89" t="s">
        <v>86</v>
      </c>
    </row>
    <row r="108" spans="1:14" outlineLevel="1" x14ac:dyDescent="0.2">
      <c r="A108" s="20">
        <f t="shared" si="56"/>
        <v>3665</v>
      </c>
      <c r="B108" s="19" t="str">
        <f t="shared" si="56"/>
        <v>WTAMU</v>
      </c>
      <c r="C108" s="90">
        <f t="shared" si="53"/>
        <v>0.39</v>
      </c>
      <c r="D108" s="91">
        <f t="shared" si="57"/>
        <v>0.01</v>
      </c>
      <c r="E108" s="92">
        <f t="shared" si="57"/>
        <v>0.01</v>
      </c>
      <c r="F108" s="92">
        <f t="shared" si="57"/>
        <v>0.3</v>
      </c>
      <c r="G108" s="93">
        <f t="shared" si="57"/>
        <v>0.01</v>
      </c>
      <c r="H108" s="91">
        <f t="shared" si="57"/>
        <v>0.3</v>
      </c>
      <c r="I108" s="93">
        <f t="shared" si="57"/>
        <v>0.3</v>
      </c>
      <c r="J108" s="98">
        <f t="shared" si="57"/>
        <v>0.3</v>
      </c>
      <c r="K108" s="91">
        <f t="shared" si="57"/>
        <v>0.01</v>
      </c>
      <c r="L108" s="92">
        <f t="shared" si="57"/>
        <v>0.01</v>
      </c>
      <c r="M108" s="93">
        <f t="shared" si="57"/>
        <v>0.05</v>
      </c>
      <c r="N108" s="89" t="s">
        <v>86</v>
      </c>
    </row>
    <row r="109" spans="1:14" outlineLevel="1" x14ac:dyDescent="0.2">
      <c r="A109" s="20">
        <f t="shared" si="56"/>
        <v>3565</v>
      </c>
      <c r="B109" s="19" t="str">
        <f t="shared" si="56"/>
        <v>TAMUC</v>
      </c>
      <c r="C109" s="90">
        <f t="shared" si="53"/>
        <v>0.64</v>
      </c>
      <c r="D109" s="91">
        <f t="shared" si="57"/>
        <v>0.01</v>
      </c>
      <c r="E109" s="92">
        <f t="shared" si="57"/>
        <v>0.01</v>
      </c>
      <c r="F109" s="92">
        <f t="shared" si="57"/>
        <v>0.3</v>
      </c>
      <c r="G109" s="93">
        <f t="shared" si="57"/>
        <v>0.01</v>
      </c>
      <c r="H109" s="91">
        <f t="shared" si="57"/>
        <v>0.05</v>
      </c>
      <c r="I109" s="93">
        <f t="shared" si="57"/>
        <v>0.05</v>
      </c>
      <c r="J109" s="98">
        <f t="shared" si="57"/>
        <v>0.3</v>
      </c>
      <c r="K109" s="91">
        <f t="shared" si="57"/>
        <v>0.3</v>
      </c>
      <c r="L109" s="92">
        <f t="shared" si="57"/>
        <v>0.01</v>
      </c>
      <c r="M109" s="93">
        <f t="shared" si="57"/>
        <v>0.01</v>
      </c>
      <c r="N109" s="89" t="s">
        <v>84</v>
      </c>
    </row>
    <row r="110" spans="1:14" outlineLevel="1" x14ac:dyDescent="0.2">
      <c r="A110" s="20">
        <f t="shared" si="56"/>
        <v>29269</v>
      </c>
      <c r="B110" s="19" t="str">
        <f t="shared" si="56"/>
        <v>TAMUT</v>
      </c>
      <c r="C110" s="90">
        <f t="shared" si="53"/>
        <v>0.68</v>
      </c>
      <c r="D110" s="91">
        <f t="shared" si="57"/>
        <v>0.3</v>
      </c>
      <c r="E110" s="92">
        <f t="shared" si="57"/>
        <v>0.01</v>
      </c>
      <c r="F110" s="92">
        <f t="shared" si="57"/>
        <v>0.3</v>
      </c>
      <c r="G110" s="93">
        <f t="shared" si="57"/>
        <v>0.01</v>
      </c>
      <c r="H110" s="91">
        <f t="shared" si="57"/>
        <v>0.01</v>
      </c>
      <c r="I110" s="93">
        <f t="shared" si="57"/>
        <v>0.01</v>
      </c>
      <c r="J110" s="98">
        <f t="shared" si="57"/>
        <v>0.3</v>
      </c>
      <c r="K110" s="91">
        <f t="shared" si="57"/>
        <v>0.05</v>
      </c>
      <c r="L110" s="92">
        <f t="shared" si="57"/>
        <v>0.01</v>
      </c>
      <c r="M110" s="93">
        <f t="shared" si="57"/>
        <v>0.01</v>
      </c>
      <c r="N110" s="89" t="s">
        <v>85</v>
      </c>
    </row>
    <row r="111" spans="1:14" outlineLevel="1" x14ac:dyDescent="0.2">
      <c r="A111" s="20">
        <f t="shared" si="56"/>
        <v>3652</v>
      </c>
      <c r="B111" s="19" t="str">
        <f t="shared" si="56"/>
        <v>UH</v>
      </c>
      <c r="C111" s="90">
        <f t="shared" si="53"/>
        <v>0.67999999999999994</v>
      </c>
      <c r="D111" s="91">
        <f t="shared" si="57"/>
        <v>0.05</v>
      </c>
      <c r="E111" s="92">
        <f t="shared" si="57"/>
        <v>0.01</v>
      </c>
      <c r="F111" s="92">
        <f t="shared" si="57"/>
        <v>0.01</v>
      </c>
      <c r="G111" s="93">
        <f t="shared" si="57"/>
        <v>0.01</v>
      </c>
      <c r="H111" s="91">
        <f t="shared" si="57"/>
        <v>0.01</v>
      </c>
      <c r="I111" s="93">
        <f t="shared" si="57"/>
        <v>0.01</v>
      </c>
      <c r="J111" s="98">
        <f t="shared" si="57"/>
        <v>0.3</v>
      </c>
      <c r="K111" s="91">
        <f t="shared" si="57"/>
        <v>0.3</v>
      </c>
      <c r="L111" s="92">
        <f t="shared" si="57"/>
        <v>0.3</v>
      </c>
      <c r="M111" s="93">
        <f t="shared" si="57"/>
        <v>0.01</v>
      </c>
      <c r="N111" s="89" t="s">
        <v>83</v>
      </c>
    </row>
    <row r="112" spans="1:14" outlineLevel="1" x14ac:dyDescent="0.2">
      <c r="A112" s="20">
        <f t="shared" si="56"/>
        <v>11711</v>
      </c>
      <c r="B112" s="19" t="str">
        <f t="shared" si="56"/>
        <v>UHCL</v>
      </c>
      <c r="C112" s="90">
        <f t="shared" si="53"/>
        <v>0.68</v>
      </c>
      <c r="D112" s="91">
        <f t="shared" si="57"/>
        <v>0.3</v>
      </c>
      <c r="E112" s="92">
        <f t="shared" si="57"/>
        <v>0.01</v>
      </c>
      <c r="F112" s="92">
        <f t="shared" si="57"/>
        <v>0.3</v>
      </c>
      <c r="G112" s="93">
        <f t="shared" si="57"/>
        <v>0.01</v>
      </c>
      <c r="H112" s="91">
        <f t="shared" si="57"/>
        <v>0.01</v>
      </c>
      <c r="I112" s="93">
        <f t="shared" si="57"/>
        <v>0.01</v>
      </c>
      <c r="J112" s="98">
        <f t="shared" si="57"/>
        <v>0.3</v>
      </c>
      <c r="K112" s="91">
        <f t="shared" si="57"/>
        <v>0.05</v>
      </c>
      <c r="L112" s="92">
        <f t="shared" si="57"/>
        <v>0.01</v>
      </c>
      <c r="M112" s="93">
        <f t="shared" si="57"/>
        <v>0.01</v>
      </c>
      <c r="N112" s="89" t="s">
        <v>85</v>
      </c>
    </row>
    <row r="113" spans="1:19" outlineLevel="1" x14ac:dyDescent="0.2">
      <c r="A113" s="20">
        <f t="shared" si="56"/>
        <v>12826</v>
      </c>
      <c r="B113" s="19" t="str">
        <f t="shared" si="56"/>
        <v>UHD</v>
      </c>
      <c r="C113" s="90">
        <f t="shared" si="53"/>
        <v>0.68</v>
      </c>
      <c r="D113" s="91">
        <f t="shared" si="57"/>
        <v>0.3</v>
      </c>
      <c r="E113" s="92">
        <f t="shared" si="57"/>
        <v>0.01</v>
      </c>
      <c r="F113" s="92">
        <f t="shared" si="57"/>
        <v>0.3</v>
      </c>
      <c r="G113" s="93">
        <f t="shared" si="57"/>
        <v>0.01</v>
      </c>
      <c r="H113" s="91">
        <f t="shared" si="57"/>
        <v>0.01</v>
      </c>
      <c r="I113" s="93">
        <f t="shared" si="57"/>
        <v>0.01</v>
      </c>
      <c r="J113" s="98">
        <f t="shared" si="57"/>
        <v>0.3</v>
      </c>
      <c r="K113" s="91">
        <f t="shared" si="57"/>
        <v>0.05</v>
      </c>
      <c r="L113" s="92">
        <f t="shared" si="57"/>
        <v>0.01</v>
      </c>
      <c r="M113" s="93">
        <f t="shared" si="57"/>
        <v>0.01</v>
      </c>
      <c r="N113" s="89" t="s">
        <v>85</v>
      </c>
    </row>
    <row r="114" spans="1:19" outlineLevel="1" x14ac:dyDescent="0.2">
      <c r="A114" s="20">
        <f t="shared" si="56"/>
        <v>13231</v>
      </c>
      <c r="B114" s="19" t="str">
        <f t="shared" si="56"/>
        <v>UHV</v>
      </c>
      <c r="C114" s="90">
        <f t="shared" si="53"/>
        <v>0.68</v>
      </c>
      <c r="D114" s="91">
        <f t="shared" si="57"/>
        <v>0.3</v>
      </c>
      <c r="E114" s="92">
        <f t="shared" si="57"/>
        <v>0.01</v>
      </c>
      <c r="F114" s="92">
        <f t="shared" si="57"/>
        <v>0.3</v>
      </c>
      <c r="G114" s="93">
        <f t="shared" si="57"/>
        <v>0.01</v>
      </c>
      <c r="H114" s="91">
        <f t="shared" si="57"/>
        <v>0.01</v>
      </c>
      <c r="I114" s="93">
        <f t="shared" si="57"/>
        <v>0.01</v>
      </c>
      <c r="J114" s="98">
        <f t="shared" si="57"/>
        <v>0.3</v>
      </c>
      <c r="K114" s="91">
        <f t="shared" si="57"/>
        <v>0.05</v>
      </c>
      <c r="L114" s="92">
        <f t="shared" si="57"/>
        <v>0.01</v>
      </c>
      <c r="M114" s="93">
        <f t="shared" si="57"/>
        <v>0.01</v>
      </c>
      <c r="N114" s="89" t="s">
        <v>85</v>
      </c>
    </row>
    <row r="115" spans="1:19" outlineLevel="1" x14ac:dyDescent="0.2">
      <c r="A115" s="20">
        <f t="shared" si="56"/>
        <v>3592</v>
      </c>
      <c r="B115" s="19" t="str">
        <f t="shared" si="56"/>
        <v>Midwestern</v>
      </c>
      <c r="C115" s="90">
        <f t="shared" si="53"/>
        <v>0.68</v>
      </c>
      <c r="D115" s="91">
        <f t="shared" si="57"/>
        <v>0.3</v>
      </c>
      <c r="E115" s="92">
        <f t="shared" si="57"/>
        <v>0.01</v>
      </c>
      <c r="F115" s="92">
        <f t="shared" si="57"/>
        <v>0.3</v>
      </c>
      <c r="G115" s="93">
        <f t="shared" si="57"/>
        <v>0.01</v>
      </c>
      <c r="H115" s="91">
        <f t="shared" si="57"/>
        <v>0.01</v>
      </c>
      <c r="I115" s="93">
        <f t="shared" si="57"/>
        <v>0.01</v>
      </c>
      <c r="J115" s="98">
        <f t="shared" si="57"/>
        <v>0.3</v>
      </c>
      <c r="K115" s="91">
        <f t="shared" si="57"/>
        <v>0.05</v>
      </c>
      <c r="L115" s="92">
        <f t="shared" si="57"/>
        <v>0.01</v>
      </c>
      <c r="M115" s="93">
        <f t="shared" si="57"/>
        <v>0.01</v>
      </c>
      <c r="N115" s="89" t="s">
        <v>85</v>
      </c>
    </row>
    <row r="116" spans="1:19" outlineLevel="1" x14ac:dyDescent="0.2">
      <c r="A116" s="20">
        <f t="shared" si="56"/>
        <v>3594</v>
      </c>
      <c r="B116" s="19" t="str">
        <f t="shared" si="56"/>
        <v>UNT</v>
      </c>
      <c r="C116" s="90">
        <f t="shared" si="53"/>
        <v>0.67999999999999994</v>
      </c>
      <c r="D116" s="91">
        <f t="shared" si="57"/>
        <v>0.05</v>
      </c>
      <c r="E116" s="92">
        <f t="shared" si="57"/>
        <v>0.01</v>
      </c>
      <c r="F116" s="92">
        <f t="shared" si="57"/>
        <v>0.01</v>
      </c>
      <c r="G116" s="93">
        <f t="shared" si="57"/>
        <v>0.01</v>
      </c>
      <c r="H116" s="91">
        <f t="shared" si="57"/>
        <v>0.01</v>
      </c>
      <c r="I116" s="93">
        <f t="shared" si="57"/>
        <v>0.01</v>
      </c>
      <c r="J116" s="98">
        <f t="shared" si="57"/>
        <v>0.3</v>
      </c>
      <c r="K116" s="91">
        <f t="shared" si="57"/>
        <v>0.3</v>
      </c>
      <c r="L116" s="92">
        <f t="shared" si="57"/>
        <v>0.3</v>
      </c>
      <c r="M116" s="93">
        <f t="shared" si="57"/>
        <v>0.01</v>
      </c>
      <c r="N116" s="89" t="s">
        <v>83</v>
      </c>
      <c r="Q116" s="151"/>
      <c r="S116" s="151"/>
    </row>
    <row r="117" spans="1:19" outlineLevel="1" x14ac:dyDescent="0.2">
      <c r="A117" s="27">
        <f t="shared" si="56"/>
        <v>113594</v>
      </c>
      <c r="B117" s="19" t="str">
        <f t="shared" si="56"/>
        <v>UNTD</v>
      </c>
      <c r="C117" s="90">
        <f t="shared" si="53"/>
        <v>0.68</v>
      </c>
      <c r="D117" s="91">
        <f t="shared" si="57"/>
        <v>0.3</v>
      </c>
      <c r="E117" s="92">
        <f t="shared" si="57"/>
        <v>0.01</v>
      </c>
      <c r="F117" s="92">
        <f t="shared" si="57"/>
        <v>0.3</v>
      </c>
      <c r="G117" s="93">
        <f t="shared" si="57"/>
        <v>0.01</v>
      </c>
      <c r="H117" s="91">
        <f t="shared" si="57"/>
        <v>0.01</v>
      </c>
      <c r="I117" s="93">
        <f t="shared" si="57"/>
        <v>0.01</v>
      </c>
      <c r="J117" s="98">
        <f t="shared" si="57"/>
        <v>0.3</v>
      </c>
      <c r="K117" s="91">
        <f t="shared" si="57"/>
        <v>0.05</v>
      </c>
      <c r="L117" s="92">
        <f t="shared" si="57"/>
        <v>0.01</v>
      </c>
      <c r="M117" s="93">
        <f t="shared" si="57"/>
        <v>0.01</v>
      </c>
      <c r="N117" s="89" t="s">
        <v>85</v>
      </c>
    </row>
    <row r="118" spans="1:19" outlineLevel="1" x14ac:dyDescent="0.2">
      <c r="A118" s="20">
        <f t="shared" si="56"/>
        <v>3624</v>
      </c>
      <c r="B118" s="19" t="str">
        <f t="shared" si="56"/>
        <v>SFA</v>
      </c>
      <c r="C118" s="90">
        <f t="shared" si="53"/>
        <v>0.39</v>
      </c>
      <c r="D118" s="91">
        <f t="shared" si="57"/>
        <v>0.01</v>
      </c>
      <c r="E118" s="92">
        <f t="shared" si="57"/>
        <v>0.01</v>
      </c>
      <c r="F118" s="92">
        <f t="shared" si="57"/>
        <v>0.3</v>
      </c>
      <c r="G118" s="93">
        <f t="shared" si="57"/>
        <v>0.01</v>
      </c>
      <c r="H118" s="91">
        <f t="shared" si="57"/>
        <v>0.3</v>
      </c>
      <c r="I118" s="93">
        <f t="shared" si="57"/>
        <v>0.3</v>
      </c>
      <c r="J118" s="98">
        <f t="shared" si="57"/>
        <v>0.3</v>
      </c>
      <c r="K118" s="91">
        <f t="shared" si="57"/>
        <v>0.01</v>
      </c>
      <c r="L118" s="92">
        <f t="shared" si="57"/>
        <v>0.01</v>
      </c>
      <c r="M118" s="93">
        <f t="shared" si="57"/>
        <v>0.05</v>
      </c>
      <c r="N118" s="89" t="s">
        <v>86</v>
      </c>
    </row>
    <row r="119" spans="1:19" outlineLevel="1" x14ac:dyDescent="0.2">
      <c r="A119" s="20">
        <f t="shared" si="56"/>
        <v>3642</v>
      </c>
      <c r="B119" s="19" t="str">
        <f t="shared" si="56"/>
        <v>TSU</v>
      </c>
      <c r="C119" s="90">
        <f t="shared" si="53"/>
        <v>0.64</v>
      </c>
      <c r="D119" s="91">
        <f t="shared" si="57"/>
        <v>0.01</v>
      </c>
      <c r="E119" s="92">
        <f t="shared" si="57"/>
        <v>0.01</v>
      </c>
      <c r="F119" s="92">
        <f t="shared" si="57"/>
        <v>0.3</v>
      </c>
      <c r="G119" s="93">
        <f t="shared" si="57"/>
        <v>0.01</v>
      </c>
      <c r="H119" s="91">
        <f t="shared" si="57"/>
        <v>0.05</v>
      </c>
      <c r="I119" s="93">
        <f t="shared" si="57"/>
        <v>0.05</v>
      </c>
      <c r="J119" s="98">
        <f t="shared" si="57"/>
        <v>0.3</v>
      </c>
      <c r="K119" s="91">
        <f t="shared" si="57"/>
        <v>0.3</v>
      </c>
      <c r="L119" s="92">
        <f t="shared" si="57"/>
        <v>0.01</v>
      </c>
      <c r="M119" s="93">
        <f t="shared" si="57"/>
        <v>0.01</v>
      </c>
      <c r="N119" s="89" t="s">
        <v>84</v>
      </c>
    </row>
    <row r="120" spans="1:19" outlineLevel="1" x14ac:dyDescent="0.2">
      <c r="A120" s="20">
        <f t="shared" si="56"/>
        <v>3644</v>
      </c>
      <c r="B120" s="19" t="str">
        <f t="shared" si="56"/>
        <v>TTU</v>
      </c>
      <c r="C120" s="90">
        <f t="shared" si="53"/>
        <v>0.67999999999999994</v>
      </c>
      <c r="D120" s="91">
        <f t="shared" si="57"/>
        <v>0.05</v>
      </c>
      <c r="E120" s="92">
        <f t="shared" si="57"/>
        <v>0.01</v>
      </c>
      <c r="F120" s="92">
        <f t="shared" si="57"/>
        <v>0.01</v>
      </c>
      <c r="G120" s="93">
        <f t="shared" si="57"/>
        <v>0.01</v>
      </c>
      <c r="H120" s="91">
        <f t="shared" si="57"/>
        <v>0.01</v>
      </c>
      <c r="I120" s="93">
        <f t="shared" si="57"/>
        <v>0.01</v>
      </c>
      <c r="J120" s="98">
        <f t="shared" si="57"/>
        <v>0.3</v>
      </c>
      <c r="K120" s="91">
        <f t="shared" si="57"/>
        <v>0.3</v>
      </c>
      <c r="L120" s="92">
        <f t="shared" si="57"/>
        <v>0.3</v>
      </c>
      <c r="M120" s="93">
        <f t="shared" si="57"/>
        <v>0.01</v>
      </c>
      <c r="N120" s="89" t="s">
        <v>83</v>
      </c>
    </row>
    <row r="121" spans="1:19" outlineLevel="1" x14ac:dyDescent="0.2">
      <c r="A121" s="20">
        <f t="shared" si="56"/>
        <v>3541</v>
      </c>
      <c r="B121" s="19" t="str">
        <f t="shared" si="56"/>
        <v>Angelo</v>
      </c>
      <c r="C121" s="90">
        <f t="shared" si="53"/>
        <v>0.68</v>
      </c>
      <c r="D121" s="91">
        <f t="shared" si="57"/>
        <v>0.3</v>
      </c>
      <c r="E121" s="92">
        <f t="shared" si="57"/>
        <v>0.01</v>
      </c>
      <c r="F121" s="92">
        <f t="shared" si="57"/>
        <v>0.3</v>
      </c>
      <c r="G121" s="93">
        <f t="shared" si="57"/>
        <v>0.01</v>
      </c>
      <c r="H121" s="91">
        <f t="shared" si="57"/>
        <v>0.01</v>
      </c>
      <c r="I121" s="93">
        <f t="shared" si="57"/>
        <v>0.01</v>
      </c>
      <c r="J121" s="98">
        <f t="shared" si="57"/>
        <v>0.3</v>
      </c>
      <c r="K121" s="91">
        <f t="shared" si="57"/>
        <v>0.05</v>
      </c>
      <c r="L121" s="92">
        <f t="shared" si="57"/>
        <v>0.01</v>
      </c>
      <c r="M121" s="93">
        <f t="shared" si="57"/>
        <v>0.01</v>
      </c>
      <c r="N121" s="89" t="s">
        <v>85</v>
      </c>
    </row>
    <row r="122" spans="1:19" outlineLevel="1" x14ac:dyDescent="0.2">
      <c r="A122" s="20">
        <f t="shared" ref="A122:B127" si="58">A37</f>
        <v>3646</v>
      </c>
      <c r="B122" s="19" t="str">
        <f t="shared" si="58"/>
        <v>TWU</v>
      </c>
      <c r="C122" s="90">
        <f t="shared" si="53"/>
        <v>0.64</v>
      </c>
      <c r="D122" s="91">
        <f t="shared" si="57"/>
        <v>0.01</v>
      </c>
      <c r="E122" s="92">
        <f t="shared" si="57"/>
        <v>0.01</v>
      </c>
      <c r="F122" s="92">
        <f t="shared" si="57"/>
        <v>0.3</v>
      </c>
      <c r="G122" s="93">
        <f t="shared" si="57"/>
        <v>0.01</v>
      </c>
      <c r="H122" s="91">
        <f t="shared" si="57"/>
        <v>0.05</v>
      </c>
      <c r="I122" s="93">
        <f t="shared" si="57"/>
        <v>0.05</v>
      </c>
      <c r="J122" s="98">
        <f t="shared" si="57"/>
        <v>0.3</v>
      </c>
      <c r="K122" s="91">
        <f t="shared" si="57"/>
        <v>0.3</v>
      </c>
      <c r="L122" s="92">
        <f t="shared" si="57"/>
        <v>0.01</v>
      </c>
      <c r="M122" s="93">
        <f t="shared" si="57"/>
        <v>0.01</v>
      </c>
      <c r="N122" s="89" t="s">
        <v>84</v>
      </c>
    </row>
    <row r="123" spans="1:19" outlineLevel="1" x14ac:dyDescent="0.2">
      <c r="A123" s="20">
        <f t="shared" si="58"/>
        <v>3581</v>
      </c>
      <c r="B123" s="19" t="str">
        <f t="shared" si="58"/>
        <v>Lamar</v>
      </c>
      <c r="C123" s="90">
        <f t="shared" si="53"/>
        <v>0.39</v>
      </c>
      <c r="D123" s="91">
        <f t="shared" ref="D123:M127" si="59">SUMIF($N$131:$N$135,$N123,D$131:D$135)</f>
        <v>0.01</v>
      </c>
      <c r="E123" s="92">
        <f t="shared" si="59"/>
        <v>0.01</v>
      </c>
      <c r="F123" s="92">
        <f t="shared" si="59"/>
        <v>0.3</v>
      </c>
      <c r="G123" s="93">
        <f t="shared" si="59"/>
        <v>0.01</v>
      </c>
      <c r="H123" s="91">
        <f t="shared" si="59"/>
        <v>0.3</v>
      </c>
      <c r="I123" s="93">
        <f t="shared" si="59"/>
        <v>0.3</v>
      </c>
      <c r="J123" s="98">
        <f t="shared" si="59"/>
        <v>0.3</v>
      </c>
      <c r="K123" s="91">
        <f t="shared" si="59"/>
        <v>0.01</v>
      </c>
      <c r="L123" s="92">
        <f t="shared" si="59"/>
        <v>0.01</v>
      </c>
      <c r="M123" s="93">
        <f t="shared" si="59"/>
        <v>0.05</v>
      </c>
      <c r="N123" s="89" t="s">
        <v>86</v>
      </c>
    </row>
    <row r="124" spans="1:19" outlineLevel="1" x14ac:dyDescent="0.2">
      <c r="A124" s="20">
        <f t="shared" si="58"/>
        <v>3606</v>
      </c>
      <c r="B124" s="19" t="str">
        <f t="shared" si="58"/>
        <v>SHSU</v>
      </c>
      <c r="C124" s="90">
        <f t="shared" si="53"/>
        <v>0.64</v>
      </c>
      <c r="D124" s="91">
        <f t="shared" si="59"/>
        <v>0.01</v>
      </c>
      <c r="E124" s="92">
        <f t="shared" si="59"/>
        <v>0.01</v>
      </c>
      <c r="F124" s="92">
        <f t="shared" si="59"/>
        <v>0.3</v>
      </c>
      <c r="G124" s="93">
        <f t="shared" si="59"/>
        <v>0.01</v>
      </c>
      <c r="H124" s="91">
        <f t="shared" si="59"/>
        <v>0.05</v>
      </c>
      <c r="I124" s="93">
        <f t="shared" si="59"/>
        <v>0.05</v>
      </c>
      <c r="J124" s="98">
        <f t="shared" si="59"/>
        <v>0.3</v>
      </c>
      <c r="K124" s="91">
        <f t="shared" si="59"/>
        <v>0.3</v>
      </c>
      <c r="L124" s="92">
        <f t="shared" si="59"/>
        <v>0.01</v>
      </c>
      <c r="M124" s="93">
        <f t="shared" si="59"/>
        <v>0.01</v>
      </c>
      <c r="N124" s="89" t="s">
        <v>84</v>
      </c>
    </row>
    <row r="125" spans="1:19" outlineLevel="1" x14ac:dyDescent="0.2">
      <c r="A125" s="20">
        <f t="shared" si="58"/>
        <v>3615</v>
      </c>
      <c r="B125" s="19" t="str">
        <f t="shared" si="58"/>
        <v>TXST</v>
      </c>
      <c r="C125" s="90">
        <f t="shared" si="53"/>
        <v>0.67999999999999994</v>
      </c>
      <c r="D125" s="91">
        <f t="shared" si="59"/>
        <v>0.05</v>
      </c>
      <c r="E125" s="92">
        <f t="shared" si="59"/>
        <v>0.01</v>
      </c>
      <c r="F125" s="92">
        <f t="shared" si="59"/>
        <v>0.01</v>
      </c>
      <c r="G125" s="93">
        <f t="shared" si="59"/>
        <v>0.01</v>
      </c>
      <c r="H125" s="91">
        <f t="shared" si="59"/>
        <v>0.01</v>
      </c>
      <c r="I125" s="93">
        <f t="shared" si="59"/>
        <v>0.01</v>
      </c>
      <c r="J125" s="98">
        <f t="shared" si="59"/>
        <v>0.3</v>
      </c>
      <c r="K125" s="91">
        <f t="shared" si="59"/>
        <v>0.3</v>
      </c>
      <c r="L125" s="92">
        <f t="shared" si="59"/>
        <v>0.3</v>
      </c>
      <c r="M125" s="93">
        <f t="shared" si="59"/>
        <v>0.01</v>
      </c>
      <c r="N125" s="89" t="s">
        <v>83</v>
      </c>
    </row>
    <row r="126" spans="1:19" outlineLevel="1" x14ac:dyDescent="0.2">
      <c r="A126" s="20">
        <f t="shared" si="58"/>
        <v>3625</v>
      </c>
      <c r="B126" s="19" t="str">
        <f t="shared" si="58"/>
        <v>SRSU</v>
      </c>
      <c r="C126" s="90">
        <f t="shared" si="53"/>
        <v>0.68</v>
      </c>
      <c r="D126" s="91">
        <f t="shared" si="59"/>
        <v>0.3</v>
      </c>
      <c r="E126" s="92">
        <f t="shared" si="59"/>
        <v>0.01</v>
      </c>
      <c r="F126" s="92">
        <f t="shared" si="59"/>
        <v>0.3</v>
      </c>
      <c r="G126" s="93">
        <f t="shared" si="59"/>
        <v>0.01</v>
      </c>
      <c r="H126" s="91">
        <f t="shared" si="59"/>
        <v>0.01</v>
      </c>
      <c r="I126" s="93">
        <f t="shared" si="59"/>
        <v>0.01</v>
      </c>
      <c r="J126" s="98">
        <f t="shared" si="59"/>
        <v>0.3</v>
      </c>
      <c r="K126" s="91">
        <f t="shared" si="59"/>
        <v>0.05</v>
      </c>
      <c r="L126" s="92">
        <f t="shared" si="59"/>
        <v>0.01</v>
      </c>
      <c r="M126" s="93">
        <f t="shared" si="59"/>
        <v>0.01</v>
      </c>
      <c r="N126" s="89" t="s">
        <v>85</v>
      </c>
    </row>
    <row r="127" spans="1:19" outlineLevel="1" x14ac:dyDescent="0.2">
      <c r="A127" s="20">
        <f t="shared" si="58"/>
        <v>20</v>
      </c>
      <c r="B127" s="19" t="str">
        <f t="shared" si="58"/>
        <v>SRRG</v>
      </c>
      <c r="C127" s="90">
        <f t="shared" si="53"/>
        <v>0.68</v>
      </c>
      <c r="D127" s="91">
        <f t="shared" si="59"/>
        <v>0.3</v>
      </c>
      <c r="E127" s="92">
        <f t="shared" si="59"/>
        <v>0.01</v>
      </c>
      <c r="F127" s="92">
        <f t="shared" si="59"/>
        <v>0.3</v>
      </c>
      <c r="G127" s="93">
        <f t="shared" si="59"/>
        <v>0.01</v>
      </c>
      <c r="H127" s="91">
        <f t="shared" si="59"/>
        <v>0.01</v>
      </c>
      <c r="I127" s="93">
        <f t="shared" si="59"/>
        <v>0.01</v>
      </c>
      <c r="J127" s="98">
        <f t="shared" si="59"/>
        <v>0.3</v>
      </c>
      <c r="K127" s="91">
        <f t="shared" si="59"/>
        <v>0.05</v>
      </c>
      <c r="L127" s="92">
        <f t="shared" si="59"/>
        <v>0.01</v>
      </c>
      <c r="M127" s="93">
        <f t="shared" si="59"/>
        <v>0.01</v>
      </c>
      <c r="N127" s="89" t="s">
        <v>85</v>
      </c>
    </row>
    <row r="128" spans="1:19" ht="13.5" thickBot="1" x14ac:dyDescent="0.25">
      <c r="A128" s="121" t="s">
        <v>89</v>
      </c>
      <c r="B128" s="72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20"/>
    </row>
    <row r="129" spans="1:14" ht="12.75" customHeight="1" x14ac:dyDescent="0.2">
      <c r="A129" s="118"/>
      <c r="B129" s="72"/>
      <c r="C129" s="277" t="s">
        <v>77</v>
      </c>
      <c r="D129" s="279" t="s">
        <v>35</v>
      </c>
      <c r="E129" s="280"/>
      <c r="F129" s="280"/>
      <c r="G129" s="281"/>
      <c r="H129" s="282" t="s">
        <v>18</v>
      </c>
      <c r="I129" s="291" t="s">
        <v>17</v>
      </c>
      <c r="J129" s="293" t="s">
        <v>16</v>
      </c>
      <c r="K129" s="295" t="s">
        <v>34</v>
      </c>
      <c r="L129" s="296"/>
      <c r="M129" s="296"/>
      <c r="N129" s="308" t="s">
        <v>99</v>
      </c>
    </row>
    <row r="130" spans="1:14" ht="51.75" thickBot="1" x14ac:dyDescent="0.25">
      <c r="A130" s="118"/>
      <c r="B130" s="72"/>
      <c r="C130" s="278"/>
      <c r="D130" s="68"/>
      <c r="E130" s="67" t="s">
        <v>33</v>
      </c>
      <c r="F130" s="67" t="s">
        <v>32</v>
      </c>
      <c r="G130" s="152" t="s">
        <v>31</v>
      </c>
      <c r="H130" s="283"/>
      <c r="I130" s="292"/>
      <c r="J130" s="294"/>
      <c r="K130" s="44" t="s">
        <v>14</v>
      </c>
      <c r="L130" s="43" t="s">
        <v>13</v>
      </c>
      <c r="M130" s="42" t="s">
        <v>12</v>
      </c>
      <c r="N130" s="309"/>
    </row>
    <row r="131" spans="1:14" x14ac:dyDescent="0.2">
      <c r="A131" s="118"/>
      <c r="B131" s="72"/>
      <c r="C131" s="122">
        <f>SUM(D131:M131)-I131</f>
        <v>1</v>
      </c>
      <c r="D131" s="158">
        <f>HLOOKUP(D143,$D$149:$L$150,2,0)</f>
        <v>0.01</v>
      </c>
      <c r="E131" s="159">
        <f t="shared" ref="E131:M131" si="60">HLOOKUP(E143,$D$149:$L$150,2,0)</f>
        <v>0.3</v>
      </c>
      <c r="F131" s="159">
        <f t="shared" si="60"/>
        <v>0.01</v>
      </c>
      <c r="G131" s="160">
        <f t="shared" si="60"/>
        <v>0.05</v>
      </c>
      <c r="H131" s="158">
        <f t="shared" si="60"/>
        <v>0.3</v>
      </c>
      <c r="I131" s="160">
        <f>H131</f>
        <v>0.3</v>
      </c>
      <c r="J131" s="161">
        <f t="shared" si="60"/>
        <v>0.01</v>
      </c>
      <c r="K131" s="158">
        <f t="shared" si="60"/>
        <v>0.01</v>
      </c>
      <c r="L131" s="159">
        <f t="shared" si="60"/>
        <v>0.01</v>
      </c>
      <c r="M131" s="160">
        <f t="shared" si="60"/>
        <v>0.3</v>
      </c>
      <c r="N131" s="88" t="s">
        <v>82</v>
      </c>
    </row>
    <row r="132" spans="1:14" x14ac:dyDescent="0.2">
      <c r="A132" s="118"/>
      <c r="B132" s="72"/>
      <c r="C132" s="122">
        <f t="shared" ref="C132:C135" si="61">SUM(D132:M132)-I132</f>
        <v>1</v>
      </c>
      <c r="D132" s="161">
        <f t="shared" ref="D132:M132" si="62">HLOOKUP(D144,$D$149:$L$150,2,0)</f>
        <v>0.05</v>
      </c>
      <c r="E132" s="162">
        <f t="shared" si="62"/>
        <v>0.01</v>
      </c>
      <c r="F132" s="162">
        <f t="shared" si="62"/>
        <v>0.01</v>
      </c>
      <c r="G132" s="163">
        <f t="shared" si="62"/>
        <v>0.01</v>
      </c>
      <c r="H132" s="161">
        <f t="shared" si="62"/>
        <v>0.01</v>
      </c>
      <c r="I132" s="163">
        <f t="shared" ref="I132:I135" si="63">H132</f>
        <v>0.01</v>
      </c>
      <c r="J132" s="161">
        <f t="shared" si="62"/>
        <v>0.3</v>
      </c>
      <c r="K132" s="161">
        <f t="shared" si="62"/>
        <v>0.3</v>
      </c>
      <c r="L132" s="162">
        <f t="shared" si="62"/>
        <v>0.3</v>
      </c>
      <c r="M132" s="163">
        <f t="shared" si="62"/>
        <v>0.01</v>
      </c>
      <c r="N132" s="89" t="s">
        <v>83</v>
      </c>
    </row>
    <row r="133" spans="1:14" x14ac:dyDescent="0.2">
      <c r="A133" s="118"/>
      <c r="B133" s="72"/>
      <c r="C133" s="122">
        <f t="shared" si="61"/>
        <v>1</v>
      </c>
      <c r="D133" s="161">
        <f t="shared" ref="D133:M133" si="64">HLOOKUP(D145,$D$149:$L$150,2,0)</f>
        <v>0.01</v>
      </c>
      <c r="E133" s="162">
        <f t="shared" si="64"/>
        <v>0.01</v>
      </c>
      <c r="F133" s="162">
        <f t="shared" si="64"/>
        <v>0.3</v>
      </c>
      <c r="G133" s="163">
        <f t="shared" si="64"/>
        <v>0.01</v>
      </c>
      <c r="H133" s="161">
        <f t="shared" si="64"/>
        <v>0.05</v>
      </c>
      <c r="I133" s="163">
        <f t="shared" si="63"/>
        <v>0.05</v>
      </c>
      <c r="J133" s="161">
        <f t="shared" si="64"/>
        <v>0.3</v>
      </c>
      <c r="K133" s="161">
        <f t="shared" si="64"/>
        <v>0.3</v>
      </c>
      <c r="L133" s="162">
        <f t="shared" si="64"/>
        <v>0.01</v>
      </c>
      <c r="M133" s="163">
        <f t="shared" si="64"/>
        <v>0.01</v>
      </c>
      <c r="N133" s="89" t="s">
        <v>84</v>
      </c>
    </row>
    <row r="134" spans="1:14" x14ac:dyDescent="0.2">
      <c r="A134" s="118"/>
      <c r="B134" s="72"/>
      <c r="C134" s="122">
        <f t="shared" si="61"/>
        <v>1</v>
      </c>
      <c r="D134" s="161">
        <f t="shared" ref="D134:M134" si="65">HLOOKUP(D146,$D$149:$L$150,2,0)</f>
        <v>0.01</v>
      </c>
      <c r="E134" s="162">
        <f t="shared" si="65"/>
        <v>0.01</v>
      </c>
      <c r="F134" s="162">
        <f t="shared" si="65"/>
        <v>0.3</v>
      </c>
      <c r="G134" s="163">
        <f t="shared" si="65"/>
        <v>0.01</v>
      </c>
      <c r="H134" s="161">
        <f t="shared" si="65"/>
        <v>0.3</v>
      </c>
      <c r="I134" s="163">
        <f t="shared" si="63"/>
        <v>0.3</v>
      </c>
      <c r="J134" s="161">
        <f t="shared" si="65"/>
        <v>0.3</v>
      </c>
      <c r="K134" s="161">
        <f t="shared" si="65"/>
        <v>0.01</v>
      </c>
      <c r="L134" s="162">
        <f t="shared" si="65"/>
        <v>0.01</v>
      </c>
      <c r="M134" s="163">
        <f t="shared" si="65"/>
        <v>0.05</v>
      </c>
      <c r="N134" s="89" t="s">
        <v>86</v>
      </c>
    </row>
    <row r="135" spans="1:14" x14ac:dyDescent="0.2">
      <c r="A135" s="118"/>
      <c r="B135" s="72"/>
      <c r="C135" s="122">
        <f t="shared" si="61"/>
        <v>1</v>
      </c>
      <c r="D135" s="161">
        <f t="shared" ref="D135:M135" si="66">HLOOKUP(D147,$D$149:$L$150,2,0)</f>
        <v>0.3</v>
      </c>
      <c r="E135" s="162">
        <f t="shared" si="66"/>
        <v>0.01</v>
      </c>
      <c r="F135" s="162">
        <f t="shared" si="66"/>
        <v>0.3</v>
      </c>
      <c r="G135" s="163">
        <f t="shared" si="66"/>
        <v>0.01</v>
      </c>
      <c r="H135" s="161">
        <f t="shared" si="66"/>
        <v>0.01</v>
      </c>
      <c r="I135" s="163">
        <f t="shared" si="63"/>
        <v>0.01</v>
      </c>
      <c r="J135" s="161">
        <f t="shared" si="66"/>
        <v>0.3</v>
      </c>
      <c r="K135" s="161">
        <f t="shared" si="66"/>
        <v>0.05</v>
      </c>
      <c r="L135" s="162">
        <f t="shared" si="66"/>
        <v>0.01</v>
      </c>
      <c r="M135" s="163">
        <f t="shared" si="66"/>
        <v>0.01</v>
      </c>
      <c r="N135" s="89" t="s">
        <v>85</v>
      </c>
    </row>
    <row r="136" spans="1:14" ht="13.5" thickBot="1" x14ac:dyDescent="0.25">
      <c r="A136" s="121" t="s">
        <v>112</v>
      </c>
      <c r="B136" s="72"/>
      <c r="C136" s="156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20"/>
    </row>
    <row r="137" spans="1:14" x14ac:dyDescent="0.2">
      <c r="A137" s="118"/>
      <c r="B137" s="72"/>
      <c r="C137" s="156"/>
      <c r="D137" s="164">
        <f t="shared" ref="D137:G141" si="67">SUMIF($N$156:$N$193,$N137,D$156:D$193)/COUNTIF($N$156:$N$193,$N137)</f>
        <v>18087.633137548146</v>
      </c>
      <c r="E137" s="165">
        <f t="shared" si="67"/>
        <v>25964.341230032089</v>
      </c>
      <c r="F137" s="165">
        <f t="shared" si="67"/>
        <v>4384.92846729545</v>
      </c>
      <c r="G137" s="166">
        <f t="shared" si="67"/>
        <v>19751.58333333366</v>
      </c>
      <c r="H137" s="164">
        <f>(SUMIF($N$156:$N$193,$N137,H$156:H$193)+SUMIF($N$156:$N$193,$N137,I$156:I$193))/COUNTIF($N$156:$N$193,$N137)</f>
        <v>21804.733727422532</v>
      </c>
      <c r="I137" s="166"/>
      <c r="J137" s="167">
        <f t="shared" ref="J137:M141" si="68">SUMIF($N$156:$N$193,$N137,J$156:J$193)/COUNTIF($N$156:$N$193,$N137)</f>
        <v>11394.147724891915</v>
      </c>
      <c r="K137" s="164">
        <f t="shared" si="68"/>
        <v>14842.546147508318</v>
      </c>
      <c r="L137" s="165">
        <f t="shared" si="68"/>
        <v>18758.36516597934</v>
      </c>
      <c r="M137" s="166">
        <f t="shared" si="68"/>
        <v>23658.156857210139</v>
      </c>
      <c r="N137" s="88" t="s">
        <v>82</v>
      </c>
    </row>
    <row r="138" spans="1:14" x14ac:dyDescent="0.2">
      <c r="A138" s="118"/>
      <c r="B138" s="72"/>
      <c r="C138" s="156"/>
      <c r="D138" s="168">
        <f t="shared" si="67"/>
        <v>9137.3944513979368</v>
      </c>
      <c r="E138" s="169">
        <f t="shared" si="67"/>
        <v>8894.3228183593365</v>
      </c>
      <c r="F138" s="169">
        <f t="shared" si="67"/>
        <v>4053.7105242773368</v>
      </c>
      <c r="G138" s="170">
        <f t="shared" si="67"/>
        <v>9098.6587499996713</v>
      </c>
      <c r="H138" s="168">
        <f>(SUMIF($N$156:$N$193,$N138,H$156:H$193)+SUMIF($N$156:$N$193,$N138,I$156:I$193))/COUNTIF($N$156:$N$193,$N138)</f>
        <v>8147.3708174567537</v>
      </c>
      <c r="I138" s="170"/>
      <c r="J138" s="168">
        <f t="shared" si="68"/>
        <v>9371.9412262495352</v>
      </c>
      <c r="K138" s="168">
        <f t="shared" si="68"/>
        <v>9578.3711571905933</v>
      </c>
      <c r="L138" s="169">
        <f t="shared" si="68"/>
        <v>9418.1032498425484</v>
      </c>
      <c r="M138" s="170">
        <f t="shared" si="68"/>
        <v>9031.7873896696183</v>
      </c>
      <c r="N138" s="89" t="s">
        <v>83</v>
      </c>
    </row>
    <row r="139" spans="1:14" x14ac:dyDescent="0.2">
      <c r="A139" s="118"/>
      <c r="B139" s="72"/>
      <c r="C139" s="156"/>
      <c r="D139" s="168">
        <f t="shared" si="67"/>
        <v>3417.6990095121073</v>
      </c>
      <c r="E139" s="169">
        <f t="shared" si="67"/>
        <v>2797.1118239628604</v>
      </c>
      <c r="F139" s="169">
        <f t="shared" si="67"/>
        <v>3702.3364400979617</v>
      </c>
      <c r="G139" s="170">
        <f t="shared" si="67"/>
        <v>3283.0790476190878</v>
      </c>
      <c r="H139" s="168">
        <f>(SUMIF($N$156:$N$193,$N139,H$156:H$193)+SUMIF($N$156:$N$193,$N139,I$156:I$193))/COUNTIF($N$156:$N$193,$N139)</f>
        <v>3627.1664248157199</v>
      </c>
      <c r="I139" s="170"/>
      <c r="J139" s="168">
        <f t="shared" si="68"/>
        <v>4168.927250525051</v>
      </c>
      <c r="K139" s="168">
        <f t="shared" si="68"/>
        <v>3662.2536164698276</v>
      </c>
      <c r="L139" s="169">
        <f t="shared" si="68"/>
        <v>3575.9141832411647</v>
      </c>
      <c r="M139" s="170">
        <f t="shared" si="68"/>
        <v>3443.429058042304</v>
      </c>
      <c r="N139" s="89" t="s">
        <v>84</v>
      </c>
    </row>
    <row r="140" spans="1:14" x14ac:dyDescent="0.2">
      <c r="A140" s="118"/>
      <c r="B140" s="72"/>
      <c r="C140" s="156"/>
      <c r="D140" s="168">
        <f t="shared" si="67"/>
        <v>2653.5892107255227</v>
      </c>
      <c r="E140" s="169">
        <f t="shared" si="67"/>
        <v>2100.9401187757858</v>
      </c>
      <c r="F140" s="169">
        <f t="shared" si="67"/>
        <v>3432.6513607850825</v>
      </c>
      <c r="G140" s="170">
        <f t="shared" si="67"/>
        <v>2594.0255555555682</v>
      </c>
      <c r="H140" s="168">
        <f>(SUMIF($N$156:$N$193,$N140,H$156:H$193)+SUMIF($N$156:$N$193,$N140,I$156:I$193))/COUNTIF($N$156:$N$193,$N140)</f>
        <v>3046.6680325596476</v>
      </c>
      <c r="I140" s="170"/>
      <c r="J140" s="168">
        <f t="shared" si="68"/>
        <v>3172.1093281579892</v>
      </c>
      <c r="K140" s="168">
        <f t="shared" si="68"/>
        <v>3003.5580099891358</v>
      </c>
      <c r="L140" s="169">
        <f t="shared" si="68"/>
        <v>2897.9316252248932</v>
      </c>
      <c r="M140" s="170">
        <f t="shared" si="68"/>
        <v>3005.126443797024</v>
      </c>
      <c r="N140" s="89" t="s">
        <v>86</v>
      </c>
    </row>
    <row r="141" spans="1:14" x14ac:dyDescent="0.2">
      <c r="A141" s="118"/>
      <c r="B141" s="72"/>
      <c r="C141" s="156"/>
      <c r="D141" s="168">
        <f t="shared" si="67"/>
        <v>1556.0859855187207</v>
      </c>
      <c r="E141" s="169">
        <f t="shared" si="67"/>
        <v>1146.1634341776523</v>
      </c>
      <c r="F141" s="169">
        <f t="shared" si="67"/>
        <v>5649.9557083861737</v>
      </c>
      <c r="G141" s="170">
        <f t="shared" si="67"/>
        <v>1441.5331111111186</v>
      </c>
      <c r="H141" s="168">
        <f>(SUMIF($N$156:$N$193,$N141,H$156:H$193)+SUMIF($N$156:$N$193,$N141,I$156:I$193))/COUNTIF($N$156:$N$193,$N141)</f>
        <v>1333.5021890954306</v>
      </c>
      <c r="I141" s="170"/>
      <c r="J141" s="168">
        <f t="shared" si="68"/>
        <v>1765.4778678396676</v>
      </c>
      <c r="K141" s="168">
        <f t="shared" si="68"/>
        <v>1499.4636714822313</v>
      </c>
      <c r="L141" s="169">
        <f t="shared" si="68"/>
        <v>1145.3729756841242</v>
      </c>
      <c r="M141" s="170">
        <f t="shared" si="68"/>
        <v>717.05100660953224</v>
      </c>
      <c r="N141" s="89" t="s">
        <v>85</v>
      </c>
    </row>
    <row r="142" spans="1:14" ht="13.5" thickBot="1" x14ac:dyDescent="0.25">
      <c r="A142" s="121" t="s">
        <v>113</v>
      </c>
      <c r="B142" s="72"/>
      <c r="C142" s="156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20"/>
    </row>
    <row r="143" spans="1:14" x14ac:dyDescent="0.2">
      <c r="A143" s="118"/>
      <c r="B143" s="72"/>
      <c r="C143" s="156"/>
      <c r="D143" s="164">
        <f>RANK(D137,$D137:$M137)</f>
        <v>6</v>
      </c>
      <c r="E143" s="165">
        <f t="shared" ref="E143:M143" si="69">RANK(E137,$D137:$M137)</f>
        <v>1</v>
      </c>
      <c r="F143" s="165">
        <f t="shared" si="69"/>
        <v>9</v>
      </c>
      <c r="G143" s="166">
        <f t="shared" si="69"/>
        <v>4</v>
      </c>
      <c r="H143" s="164">
        <f t="shared" si="69"/>
        <v>3</v>
      </c>
      <c r="I143" s="166"/>
      <c r="J143" s="167">
        <f t="shared" si="69"/>
        <v>8</v>
      </c>
      <c r="K143" s="164">
        <f t="shared" si="69"/>
        <v>7</v>
      </c>
      <c r="L143" s="165">
        <f t="shared" si="69"/>
        <v>5</v>
      </c>
      <c r="M143" s="166">
        <f t="shared" si="69"/>
        <v>2</v>
      </c>
      <c r="N143" s="120"/>
    </row>
    <row r="144" spans="1:14" x14ac:dyDescent="0.2">
      <c r="A144" s="118"/>
      <c r="B144" s="72"/>
      <c r="C144" s="156"/>
      <c r="D144" s="168">
        <f t="shared" ref="D144:M144" si="70">RANK(D138,$D138:$M138)</f>
        <v>4</v>
      </c>
      <c r="E144" s="169">
        <f t="shared" si="70"/>
        <v>7</v>
      </c>
      <c r="F144" s="169">
        <f t="shared" si="70"/>
        <v>9</v>
      </c>
      <c r="G144" s="170">
        <f t="shared" si="70"/>
        <v>5</v>
      </c>
      <c r="H144" s="168">
        <f t="shared" si="70"/>
        <v>8</v>
      </c>
      <c r="I144" s="170"/>
      <c r="J144" s="168">
        <f t="shared" si="70"/>
        <v>3</v>
      </c>
      <c r="K144" s="168">
        <f t="shared" si="70"/>
        <v>1</v>
      </c>
      <c r="L144" s="169">
        <f t="shared" si="70"/>
        <v>2</v>
      </c>
      <c r="M144" s="170">
        <f t="shared" si="70"/>
        <v>6</v>
      </c>
      <c r="N144" s="120"/>
    </row>
    <row r="145" spans="1:14" x14ac:dyDescent="0.2">
      <c r="A145" s="118"/>
      <c r="B145" s="72"/>
      <c r="C145" s="156"/>
      <c r="D145" s="168">
        <f t="shared" ref="D145:M145" si="71">RANK(D139,$D139:$M139)</f>
        <v>7</v>
      </c>
      <c r="E145" s="169">
        <f t="shared" si="71"/>
        <v>9</v>
      </c>
      <c r="F145" s="169">
        <f t="shared" si="71"/>
        <v>2</v>
      </c>
      <c r="G145" s="170">
        <f t="shared" si="71"/>
        <v>8</v>
      </c>
      <c r="H145" s="168">
        <f t="shared" si="71"/>
        <v>4</v>
      </c>
      <c r="I145" s="170"/>
      <c r="J145" s="168">
        <f t="shared" si="71"/>
        <v>1</v>
      </c>
      <c r="K145" s="168">
        <f t="shared" si="71"/>
        <v>3</v>
      </c>
      <c r="L145" s="169">
        <f t="shared" si="71"/>
        <v>5</v>
      </c>
      <c r="M145" s="170">
        <f t="shared" si="71"/>
        <v>6</v>
      </c>
      <c r="N145" s="120"/>
    </row>
    <row r="146" spans="1:14" x14ac:dyDescent="0.2">
      <c r="A146" s="118"/>
      <c r="B146" s="72"/>
      <c r="C146" s="156"/>
      <c r="D146" s="168">
        <f t="shared" ref="D146:M146" si="72">RANK(D140,$D140:$M140)</f>
        <v>7</v>
      </c>
      <c r="E146" s="169">
        <f t="shared" si="72"/>
        <v>9</v>
      </c>
      <c r="F146" s="169">
        <f t="shared" si="72"/>
        <v>1</v>
      </c>
      <c r="G146" s="170">
        <f t="shared" si="72"/>
        <v>8</v>
      </c>
      <c r="H146" s="168">
        <f t="shared" si="72"/>
        <v>3</v>
      </c>
      <c r="I146" s="170"/>
      <c r="J146" s="168">
        <f t="shared" si="72"/>
        <v>2</v>
      </c>
      <c r="K146" s="168">
        <f t="shared" si="72"/>
        <v>5</v>
      </c>
      <c r="L146" s="169">
        <f t="shared" si="72"/>
        <v>6</v>
      </c>
      <c r="M146" s="170">
        <f t="shared" si="72"/>
        <v>4</v>
      </c>
      <c r="N146" s="120"/>
    </row>
    <row r="147" spans="1:14" x14ac:dyDescent="0.2">
      <c r="A147" s="118"/>
      <c r="B147" s="72"/>
      <c r="C147" s="156"/>
      <c r="D147" s="168">
        <f t="shared" ref="D147:M147" si="73">RANK(D141,$D141:$M141)</f>
        <v>3</v>
      </c>
      <c r="E147" s="169">
        <f t="shared" si="73"/>
        <v>7</v>
      </c>
      <c r="F147" s="169">
        <f t="shared" si="73"/>
        <v>1</v>
      </c>
      <c r="G147" s="170">
        <f t="shared" si="73"/>
        <v>5</v>
      </c>
      <c r="H147" s="168">
        <f t="shared" si="73"/>
        <v>6</v>
      </c>
      <c r="I147" s="170"/>
      <c r="J147" s="168">
        <f t="shared" si="73"/>
        <v>2</v>
      </c>
      <c r="K147" s="168">
        <f t="shared" si="73"/>
        <v>4</v>
      </c>
      <c r="L147" s="169">
        <f t="shared" si="73"/>
        <v>8</v>
      </c>
      <c r="M147" s="170">
        <f t="shared" si="73"/>
        <v>9</v>
      </c>
      <c r="N147" s="120"/>
    </row>
    <row r="148" spans="1:14" ht="13.5" thickBot="1" x14ac:dyDescent="0.25">
      <c r="A148" s="121" t="s">
        <v>114</v>
      </c>
      <c r="B148" s="72"/>
      <c r="C148" s="156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20"/>
    </row>
    <row r="149" spans="1:14" x14ac:dyDescent="0.2">
      <c r="A149" s="118"/>
      <c r="B149" s="72"/>
      <c r="D149" s="182">
        <v>1</v>
      </c>
      <c r="E149" s="183">
        <v>2</v>
      </c>
      <c r="F149" s="183">
        <v>3</v>
      </c>
      <c r="G149" s="183">
        <v>4</v>
      </c>
      <c r="H149" s="183">
        <v>5</v>
      </c>
      <c r="I149" s="183">
        <v>6</v>
      </c>
      <c r="J149" s="183">
        <v>7</v>
      </c>
      <c r="K149" s="183">
        <v>8</v>
      </c>
      <c r="L149" s="183">
        <v>9</v>
      </c>
      <c r="M149" s="184" t="s">
        <v>11</v>
      </c>
    </row>
    <row r="150" spans="1:14" ht="13.5" thickBot="1" x14ac:dyDescent="0.25">
      <c r="A150" s="118"/>
      <c r="B150" s="72"/>
      <c r="D150" s="181">
        <v>0.3</v>
      </c>
      <c r="E150" s="180">
        <v>0.3</v>
      </c>
      <c r="F150" s="180">
        <v>0.3</v>
      </c>
      <c r="G150" s="180">
        <v>0.05</v>
      </c>
      <c r="H150" s="180">
        <v>0.01</v>
      </c>
      <c r="I150" s="180">
        <v>0.01</v>
      </c>
      <c r="J150" s="180">
        <v>0.01</v>
      </c>
      <c r="K150" s="180">
        <v>0.01</v>
      </c>
      <c r="L150" s="180">
        <v>0.01</v>
      </c>
      <c r="M150" s="179">
        <f>SUM(D150:L150)</f>
        <v>1</v>
      </c>
    </row>
    <row r="151" spans="1:14" x14ac:dyDescent="0.2">
      <c r="A151" s="118"/>
      <c r="B151" s="72"/>
      <c r="C151" s="156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20"/>
    </row>
    <row r="152" spans="1:14" ht="13.5" thickBot="1" x14ac:dyDescent="0.25">
      <c r="A152" s="69" t="s">
        <v>75</v>
      </c>
    </row>
    <row r="153" spans="1:14" ht="12.75" customHeight="1" outlineLevel="1" x14ac:dyDescent="0.2">
      <c r="A153" s="273" t="s">
        <v>24</v>
      </c>
      <c r="B153" s="275" t="s">
        <v>23</v>
      </c>
      <c r="C153" s="277" t="s">
        <v>36</v>
      </c>
      <c r="D153" s="279" t="s">
        <v>35</v>
      </c>
      <c r="E153" s="280"/>
      <c r="F153" s="280"/>
      <c r="G153" s="281"/>
      <c r="H153" s="282" t="s">
        <v>18</v>
      </c>
      <c r="I153" s="291" t="s">
        <v>17</v>
      </c>
      <c r="J153" s="293" t="s">
        <v>16</v>
      </c>
      <c r="K153" s="295" t="s">
        <v>34</v>
      </c>
      <c r="L153" s="296"/>
      <c r="M153" s="296"/>
      <c r="N153" s="330" t="s">
        <v>99</v>
      </c>
    </row>
    <row r="154" spans="1:14" ht="51.75" outlineLevel="1" thickBot="1" x14ac:dyDescent="0.25">
      <c r="A154" s="274"/>
      <c r="B154" s="276"/>
      <c r="C154" s="278"/>
      <c r="D154" s="68"/>
      <c r="E154" s="67" t="s">
        <v>33</v>
      </c>
      <c r="F154" s="67" t="s">
        <v>32</v>
      </c>
      <c r="G154" s="153" t="s">
        <v>31</v>
      </c>
      <c r="H154" s="283"/>
      <c r="I154" s="292"/>
      <c r="J154" s="294"/>
      <c r="K154" s="44" t="s">
        <v>14</v>
      </c>
      <c r="L154" s="43" t="s">
        <v>13</v>
      </c>
      <c r="M154" s="42" t="s">
        <v>12</v>
      </c>
      <c r="N154" s="331"/>
    </row>
    <row r="155" spans="1:14" outlineLevel="1" x14ac:dyDescent="0.2">
      <c r="A155" s="303" t="s">
        <v>79</v>
      </c>
      <c r="B155" s="304"/>
      <c r="C155" s="305"/>
      <c r="D155" s="220">
        <f>MAX($D$236:$M$236)/D236</f>
        <v>2.0454181994287173</v>
      </c>
      <c r="E155" s="221">
        <f t="shared" ref="E155:G155" si="74">MAX($D$236:$M$236)/E236</f>
        <v>3.5173320026124633</v>
      </c>
      <c r="F155" s="221">
        <f t="shared" si="74"/>
        <v>169.49996823461632</v>
      </c>
      <c r="G155" s="222">
        <f t="shared" si="74"/>
        <v>1</v>
      </c>
      <c r="H155" s="227">
        <f>MAX($D$236:$M$236)/(H236+I236)</f>
        <v>11.382321416785731</v>
      </c>
      <c r="I155" s="223">
        <f>H155</f>
        <v>11.382321416785731</v>
      </c>
      <c r="J155" s="224">
        <f t="shared" ref="J155:M155" si="75">MAX($D$236:$M$236)/J236</f>
        <v>3.1675340012672701</v>
      </c>
      <c r="K155" s="220">
        <f t="shared" si="75"/>
        <v>1.5100001167412704</v>
      </c>
      <c r="L155" s="221">
        <f t="shared" si="75"/>
        <v>2.0943856602444417</v>
      </c>
      <c r="M155" s="225">
        <f t="shared" si="75"/>
        <v>3.3947706783197211</v>
      </c>
      <c r="N155" s="177"/>
    </row>
    <row r="156" spans="1:14" outlineLevel="1" x14ac:dyDescent="0.2">
      <c r="A156" s="20">
        <f t="shared" ref="A156:B171" si="76">A5</f>
        <v>3656</v>
      </c>
      <c r="B156" s="19" t="str">
        <f t="shared" si="76"/>
        <v>UTA</v>
      </c>
      <c r="C156" s="58">
        <f t="shared" ref="C156:C193" si="77">SUM(D156:M156)</f>
        <v>86954.597163084982</v>
      </c>
      <c r="D156" s="15">
        <f t="shared" ref="D156:F171" si="78">D198*D$155</f>
        <v>10263.908524733304</v>
      </c>
      <c r="E156" s="14">
        <f>E198*E$155</f>
        <v>9148.5688143550087</v>
      </c>
      <c r="F156" s="14">
        <f>F198*F$155</f>
        <v>5017.8411727534904</v>
      </c>
      <c r="G156" s="13">
        <f t="shared" ref="G156:M171" si="79">G198*G$155</f>
        <v>10418.553333333379</v>
      </c>
      <c r="H156" s="36">
        <f t="shared" si="79"/>
        <v>17430.128196237882</v>
      </c>
      <c r="I156" s="35">
        <f t="shared" si="79"/>
        <v>398.38124958750058</v>
      </c>
      <c r="J156" s="34">
        <f t="shared" si="79"/>
        <v>9870.0359479488143</v>
      </c>
      <c r="K156" s="36">
        <f t="shared" si="79"/>
        <v>10322.864131415572</v>
      </c>
      <c r="L156" s="59">
        <f t="shared" si="79"/>
        <v>8029.1764928237744</v>
      </c>
      <c r="M156" s="171">
        <f t="shared" si="79"/>
        <v>6055.1392998962765</v>
      </c>
      <c r="N156" s="176" t="s">
        <v>83</v>
      </c>
    </row>
    <row r="157" spans="1:14" outlineLevel="1" x14ac:dyDescent="0.2">
      <c r="A157" s="20">
        <f t="shared" si="76"/>
        <v>3658</v>
      </c>
      <c r="B157" s="19" t="str">
        <f t="shared" si="76"/>
        <v>UT</v>
      </c>
      <c r="C157" s="58">
        <f t="shared" si="77"/>
        <v>158630.83199860822</v>
      </c>
      <c r="D157" s="15">
        <f t="shared" si="78"/>
        <v>18298.993018155783</v>
      </c>
      <c r="E157" s="14">
        <f t="shared" si="78"/>
        <v>26086.329143139366</v>
      </c>
      <c r="F157" s="14">
        <f t="shared" si="78"/>
        <v>4491.3579626512774</v>
      </c>
      <c r="G157" s="13">
        <f t="shared" si="79"/>
        <v>19398.350000000519</v>
      </c>
      <c r="H157" s="15">
        <f t="shared" si="79"/>
        <v>21357.029085028957</v>
      </c>
      <c r="I157" s="13">
        <f t="shared" si="79"/>
        <v>751.23321350785818</v>
      </c>
      <c r="J157" s="16">
        <f t="shared" si="79"/>
        <v>10992.398829064517</v>
      </c>
      <c r="K157" s="15">
        <f t="shared" si="79"/>
        <v>14493.484453854962</v>
      </c>
      <c r="L157" s="14">
        <f t="shared" si="79"/>
        <v>18861.339127608026</v>
      </c>
      <c r="M157" s="172">
        <f t="shared" si="79"/>
        <v>23900.317165596942</v>
      </c>
      <c r="N157" s="174" t="s">
        <v>82</v>
      </c>
    </row>
    <row r="158" spans="1:14" outlineLevel="1" x14ac:dyDescent="0.2">
      <c r="A158" s="20">
        <f t="shared" si="76"/>
        <v>9741</v>
      </c>
      <c r="B158" s="19" t="str">
        <f t="shared" si="76"/>
        <v>UTD</v>
      </c>
      <c r="C158" s="58">
        <f t="shared" si="77"/>
        <v>42747.495224292215</v>
      </c>
      <c r="D158" s="15">
        <f t="shared" si="78"/>
        <v>4894.6857512329207</v>
      </c>
      <c r="E158" s="14">
        <f t="shared" si="78"/>
        <v>5917.1337640228921</v>
      </c>
      <c r="F158" s="14">
        <f t="shared" si="78"/>
        <v>4547.6435553125493</v>
      </c>
      <c r="G158" s="13">
        <f t="shared" si="79"/>
        <v>5101.2033333334393</v>
      </c>
      <c r="H158" s="15">
        <f t="shared" si="79"/>
        <v>4799.54553074465</v>
      </c>
      <c r="I158" s="13">
        <f t="shared" si="79"/>
        <v>364.23428533714338</v>
      </c>
      <c r="J158" s="16">
        <f t="shared" si="79"/>
        <v>4180.0890370057077</v>
      </c>
      <c r="K158" s="15">
        <f t="shared" si="79"/>
        <v>5005.6503869973112</v>
      </c>
      <c r="L158" s="14">
        <f t="shared" si="79"/>
        <v>4470.1171275150537</v>
      </c>
      <c r="M158" s="172">
        <f t="shared" si="79"/>
        <v>3467.1924527905421</v>
      </c>
      <c r="N158" s="174" t="s">
        <v>83</v>
      </c>
    </row>
    <row r="159" spans="1:14" outlineLevel="1" x14ac:dyDescent="0.2">
      <c r="A159" s="20">
        <f t="shared" si="76"/>
        <v>3661</v>
      </c>
      <c r="B159" s="19" t="str">
        <f t="shared" si="76"/>
        <v>UTEP</v>
      </c>
      <c r="C159" s="58">
        <f t="shared" si="77"/>
        <v>57167.439482307411</v>
      </c>
      <c r="D159" s="15">
        <f t="shared" si="78"/>
        <v>6252.843435653589</v>
      </c>
      <c r="E159" s="14">
        <f t="shared" si="78"/>
        <v>4193.4687334746559</v>
      </c>
      <c r="F159" s="14">
        <f t="shared" si="78"/>
        <v>3876.6158973532165</v>
      </c>
      <c r="G159" s="13">
        <f t="shared" si="79"/>
        <v>6298.0766666668133</v>
      </c>
      <c r="H159" s="15">
        <f t="shared" si="79"/>
        <v>7455.4205279946536</v>
      </c>
      <c r="I159" s="13">
        <f t="shared" si="79"/>
        <v>1024.4089275107158</v>
      </c>
      <c r="J159" s="16">
        <f t="shared" si="79"/>
        <v>7805.8596237896436</v>
      </c>
      <c r="K159" s="15">
        <f t="shared" si="79"/>
        <v>6587.6271759699166</v>
      </c>
      <c r="L159" s="14">
        <f t="shared" si="79"/>
        <v>7032.9470471008353</v>
      </c>
      <c r="M159" s="172">
        <f t="shared" si="79"/>
        <v>6640.1714467933743</v>
      </c>
      <c r="N159" s="174" t="s">
        <v>83</v>
      </c>
    </row>
    <row r="160" spans="1:14" outlineLevel="1" x14ac:dyDescent="0.2">
      <c r="A160" s="20">
        <f t="shared" si="76"/>
        <v>3599</v>
      </c>
      <c r="B160" s="19" t="str">
        <f t="shared" si="76"/>
        <v>UTPA</v>
      </c>
      <c r="C160" s="58">
        <f t="shared" si="77"/>
        <v>50665.645282036174</v>
      </c>
      <c r="D160" s="15">
        <f t="shared" si="78"/>
        <v>5277.1789545260908</v>
      </c>
      <c r="E160" s="14">
        <f t="shared" si="78"/>
        <v>3911.2028402650071</v>
      </c>
      <c r="F160" s="14">
        <f t="shared" si="78"/>
        <v>3473.47648871306</v>
      </c>
      <c r="G160" s="13">
        <f t="shared" si="79"/>
        <v>5134.1666666667797</v>
      </c>
      <c r="H160" s="15">
        <f t="shared" si="79"/>
        <v>5922.6012438675089</v>
      </c>
      <c r="I160" s="13">
        <f t="shared" si="79"/>
        <v>318.70499967000046</v>
      </c>
      <c r="J160" s="16">
        <f t="shared" si="79"/>
        <v>7406.7503396299671</v>
      </c>
      <c r="K160" s="15">
        <f t="shared" si="79"/>
        <v>6153.7538090929247</v>
      </c>
      <c r="L160" s="14">
        <f t="shared" si="79"/>
        <v>6484.2180041167912</v>
      </c>
      <c r="M160" s="172">
        <f t="shared" si="79"/>
        <v>6583.5919354880452</v>
      </c>
      <c r="N160" s="174" t="s">
        <v>84</v>
      </c>
    </row>
    <row r="161" spans="1:14" outlineLevel="1" x14ac:dyDescent="0.2">
      <c r="A161" s="20">
        <f t="shared" si="76"/>
        <v>30646</v>
      </c>
      <c r="B161" s="19" t="str">
        <f t="shared" si="76"/>
        <v>UTB</v>
      </c>
      <c r="C161" s="58">
        <f t="shared" si="77"/>
        <v>20482.535834922732</v>
      </c>
      <c r="D161" s="15">
        <f t="shared" si="78"/>
        <v>2233.5966737761592</v>
      </c>
      <c r="E161" s="14">
        <f t="shared" si="78"/>
        <v>2209.4856959003032</v>
      </c>
      <c r="F161" s="14">
        <f t="shared" si="78"/>
        <v>5841.1784698264628</v>
      </c>
      <c r="G161" s="13">
        <f t="shared" si="79"/>
        <v>2097.7933333333553</v>
      </c>
      <c r="H161" s="15">
        <f t="shared" si="79"/>
        <v>1415.2019628203591</v>
      </c>
      <c r="I161" s="13">
        <f t="shared" si="79"/>
        <v>208.67589264107173</v>
      </c>
      <c r="J161" s="16">
        <f t="shared" si="79"/>
        <v>2966.9235145203429</v>
      </c>
      <c r="K161" s="15">
        <f t="shared" si="79"/>
        <v>2002.7634881711715</v>
      </c>
      <c r="L161" s="14">
        <f t="shared" si="79"/>
        <v>1165.1765556493244</v>
      </c>
      <c r="M161" s="172">
        <f t="shared" si="79"/>
        <v>341.74024828418527</v>
      </c>
      <c r="N161" s="174" t="s">
        <v>85</v>
      </c>
    </row>
    <row r="162" spans="1:14" outlineLevel="1" x14ac:dyDescent="0.2">
      <c r="A162" s="20">
        <f t="shared" si="76"/>
        <v>9930</v>
      </c>
      <c r="B162" s="19" t="str">
        <f t="shared" si="76"/>
        <v>UTPB</v>
      </c>
      <c r="C162" s="58">
        <f t="shared" si="77"/>
        <v>11568.979001091451</v>
      </c>
      <c r="D162" s="15">
        <f t="shared" si="78"/>
        <v>1090.8897063619827</v>
      </c>
      <c r="E162" s="14">
        <f t="shared" si="78"/>
        <v>832.90421821863129</v>
      </c>
      <c r="F162" s="14">
        <f t="shared" si="78"/>
        <v>3919.716367450153</v>
      </c>
      <c r="G162" s="13">
        <f t="shared" si="79"/>
        <v>1001.5166666666704</v>
      </c>
      <c r="H162" s="15">
        <f t="shared" si="79"/>
        <v>470.46928522714353</v>
      </c>
      <c r="I162" s="13">
        <f t="shared" si="79"/>
        <v>113.8232141678573</v>
      </c>
      <c r="J162" s="16">
        <f t="shared" si="79"/>
        <v>1263.8460665056407</v>
      </c>
      <c r="K162" s="15">
        <f t="shared" si="79"/>
        <v>1186.3567583863914</v>
      </c>
      <c r="L162" s="14">
        <f t="shared" si="79"/>
        <v>1029.7396162868506</v>
      </c>
      <c r="M162" s="172">
        <f t="shared" si="79"/>
        <v>659.71710182013248</v>
      </c>
      <c r="N162" s="174" t="s">
        <v>85</v>
      </c>
    </row>
    <row r="163" spans="1:14" outlineLevel="1" x14ac:dyDescent="0.2">
      <c r="A163" s="20">
        <f t="shared" si="76"/>
        <v>10115</v>
      </c>
      <c r="B163" s="19" t="str">
        <f t="shared" si="76"/>
        <v>UTSA</v>
      </c>
      <c r="C163" s="58">
        <f t="shared" si="77"/>
        <v>69803.424240058506</v>
      </c>
      <c r="D163" s="15">
        <f t="shared" si="78"/>
        <v>8426.4411755798392</v>
      </c>
      <c r="E163" s="14">
        <f t="shared" si="78"/>
        <v>6110.0492631848447</v>
      </c>
      <c r="F163" s="14">
        <f t="shared" si="78"/>
        <v>3430.8546372177298</v>
      </c>
      <c r="G163" s="13">
        <f t="shared" si="79"/>
        <v>8414.213333333224</v>
      </c>
      <c r="H163" s="15">
        <f t="shared" si="79"/>
        <v>4461.869995380006</v>
      </c>
      <c r="I163" s="13">
        <f t="shared" si="79"/>
        <v>565.32196370035797</v>
      </c>
      <c r="J163" s="16">
        <f t="shared" si="79"/>
        <v>9894.3203752918616</v>
      </c>
      <c r="K163" s="15">
        <f t="shared" si="79"/>
        <v>10282.597461635805</v>
      </c>
      <c r="L163" s="14">
        <f t="shared" si="79"/>
        <v>9338.1675304765522</v>
      </c>
      <c r="M163" s="172">
        <f t="shared" si="79"/>
        <v>8879.5885042582831</v>
      </c>
      <c r="N163" s="174" t="s">
        <v>83</v>
      </c>
    </row>
    <row r="164" spans="1:14" outlineLevel="1" x14ac:dyDescent="0.2">
      <c r="A164" s="20">
        <f t="shared" si="76"/>
        <v>11163</v>
      </c>
      <c r="B164" s="19" t="str">
        <f t="shared" si="76"/>
        <v>UTT</v>
      </c>
      <c r="C164" s="58">
        <f t="shared" si="77"/>
        <v>24693.283102231981</v>
      </c>
      <c r="D164" s="15">
        <f t="shared" si="78"/>
        <v>2434.0476573201736</v>
      </c>
      <c r="E164" s="14">
        <f t="shared" si="78"/>
        <v>2158.3873345231209</v>
      </c>
      <c r="F164" s="14">
        <f t="shared" si="78"/>
        <v>4958.8470883374239</v>
      </c>
      <c r="G164" s="13">
        <f t="shared" si="79"/>
        <v>2362.6600000000103</v>
      </c>
      <c r="H164" s="15">
        <f t="shared" si="79"/>
        <v>4287.3410669892919</v>
      </c>
      <c r="I164" s="13">
        <f t="shared" si="79"/>
        <v>159.35249983500023</v>
      </c>
      <c r="J164" s="16">
        <f t="shared" si="79"/>
        <v>2984.8728738608579</v>
      </c>
      <c r="K164" s="15">
        <f t="shared" si="79"/>
        <v>2168.8635010127114</v>
      </c>
      <c r="L164" s="14">
        <f t="shared" si="79"/>
        <v>1864.0032376175532</v>
      </c>
      <c r="M164" s="172">
        <f t="shared" si="79"/>
        <v>1314.9078427358386</v>
      </c>
      <c r="N164" s="174" t="s">
        <v>85</v>
      </c>
    </row>
    <row r="165" spans="1:14" outlineLevel="1" x14ac:dyDescent="0.2">
      <c r="A165" s="20">
        <f t="shared" si="76"/>
        <v>3632</v>
      </c>
      <c r="B165" s="19" t="str">
        <f t="shared" si="76"/>
        <v>TAMU</v>
      </c>
      <c r="C165" s="58">
        <f t="shared" si="77"/>
        <v>158662.03958383499</v>
      </c>
      <c r="D165" s="15">
        <f t="shared" si="78"/>
        <v>17876.273256940513</v>
      </c>
      <c r="E165" s="14">
        <f t="shared" si="78"/>
        <v>25842.353316924811</v>
      </c>
      <c r="F165" s="14">
        <f t="shared" si="78"/>
        <v>4278.4989719396226</v>
      </c>
      <c r="G165" s="13">
        <f t="shared" si="79"/>
        <v>20104.8166666668</v>
      </c>
      <c r="H165" s="15">
        <f t="shared" si="79"/>
        <v>20067.032657793243</v>
      </c>
      <c r="I165" s="13">
        <f t="shared" si="79"/>
        <v>1434.172498515002</v>
      </c>
      <c r="J165" s="16">
        <f t="shared" si="79"/>
        <v>11795.896620719313</v>
      </c>
      <c r="K165" s="15">
        <f t="shared" si="79"/>
        <v>15191.607841161675</v>
      </c>
      <c r="L165" s="14">
        <f t="shared" si="79"/>
        <v>18655.391204350657</v>
      </c>
      <c r="M165" s="172">
        <f t="shared" si="79"/>
        <v>23415.996548823332</v>
      </c>
      <c r="N165" s="174" t="s">
        <v>82</v>
      </c>
    </row>
    <row r="166" spans="1:14" outlineLevel="1" x14ac:dyDescent="0.2">
      <c r="A166" s="20">
        <f t="shared" si="76"/>
        <v>10298</v>
      </c>
      <c r="B166" s="19" t="str">
        <f t="shared" si="76"/>
        <v>TAMUG</v>
      </c>
      <c r="C166" s="58">
        <f t="shared" si="77"/>
        <v>7975.3754074049011</v>
      </c>
      <c r="D166" s="15">
        <f>D208*D$155</f>
        <v>563.17181090937345</v>
      </c>
      <c r="E166" s="14">
        <f t="shared" si="78"/>
        <v>607.53390585390639</v>
      </c>
      <c r="F166" s="14">
        <f t="shared" si="78"/>
        <v>2779.6810229072639</v>
      </c>
      <c r="G166" s="13">
        <f t="shared" si="79"/>
        <v>704.02666666666448</v>
      </c>
      <c r="H166" s="15">
        <f t="shared" si="79"/>
        <v>424.93999956000062</v>
      </c>
      <c r="I166" s="13">
        <f t="shared" si="79"/>
        <v>0</v>
      </c>
      <c r="J166" s="16">
        <f t="shared" si="79"/>
        <v>500.47037220022867</v>
      </c>
      <c r="K166" s="15">
        <f t="shared" si="79"/>
        <v>894.42340248307926</v>
      </c>
      <c r="L166" s="14">
        <f t="shared" si="79"/>
        <v>666.01463995773247</v>
      </c>
      <c r="M166" s="172">
        <f t="shared" si="79"/>
        <v>835.11358686665142</v>
      </c>
      <c r="N166" s="174" t="s">
        <v>85</v>
      </c>
    </row>
    <row r="167" spans="1:14" outlineLevel="1" x14ac:dyDescent="0.2">
      <c r="A167" s="20">
        <f t="shared" si="76"/>
        <v>3630</v>
      </c>
      <c r="B167" s="19" t="str">
        <f t="shared" si="76"/>
        <v>Prairie View</v>
      </c>
      <c r="C167" s="58">
        <f t="shared" si="77"/>
        <v>22205.324313319947</v>
      </c>
      <c r="D167" s="15">
        <f t="shared" ref="D167:M182" si="80">D209*D$155</f>
        <v>1915.1932407317556</v>
      </c>
      <c r="E167" s="14">
        <f t="shared" si="78"/>
        <v>1224.0452154224806</v>
      </c>
      <c r="F167" s="14">
        <f t="shared" si="78"/>
        <v>2682.1146176422985</v>
      </c>
      <c r="G167" s="13">
        <f t="shared" si="79"/>
        <v>2072.9000000000092</v>
      </c>
      <c r="H167" s="15">
        <f t="shared" si="79"/>
        <v>3593.0194605653624</v>
      </c>
      <c r="I167" s="13">
        <f t="shared" si="79"/>
        <v>110.02910702892872</v>
      </c>
      <c r="J167" s="16">
        <f t="shared" si="79"/>
        <v>2542.4739583505288</v>
      </c>
      <c r="K167" s="15">
        <f t="shared" si="79"/>
        <v>2518.6801947244389</v>
      </c>
      <c r="L167" s="14">
        <f t="shared" si="79"/>
        <v>2473.4694647486858</v>
      </c>
      <c r="M167" s="172">
        <f t="shared" si="79"/>
        <v>3073.3990541054545</v>
      </c>
      <c r="N167" s="174" t="s">
        <v>86</v>
      </c>
    </row>
    <row r="168" spans="1:14" outlineLevel="1" x14ac:dyDescent="0.2">
      <c r="A168" s="20">
        <f t="shared" si="76"/>
        <v>3631</v>
      </c>
      <c r="B168" s="19" t="str">
        <f t="shared" si="76"/>
        <v>Tarleton</v>
      </c>
      <c r="C168" s="58">
        <f t="shared" si="77"/>
        <v>28647.132600764584</v>
      </c>
      <c r="D168" s="15">
        <f t="shared" si="80"/>
        <v>3160.8529241838442</v>
      </c>
      <c r="E168" s="14">
        <f t="shared" si="78"/>
        <v>2598.1452854817467</v>
      </c>
      <c r="F168" s="14">
        <f t="shared" si="78"/>
        <v>4162.8798538687533</v>
      </c>
      <c r="G168" s="13">
        <f t="shared" si="79"/>
        <v>3122.5433333333599</v>
      </c>
      <c r="H168" s="15">
        <f t="shared" si="79"/>
        <v>2310.6112476075032</v>
      </c>
      <c r="I168" s="13">
        <f t="shared" si="79"/>
        <v>542.55732086678643</v>
      </c>
      <c r="J168" s="16">
        <f t="shared" si="79"/>
        <v>3785.2031315143877</v>
      </c>
      <c r="K168" s="15">
        <f t="shared" si="79"/>
        <v>3253.0435848329439</v>
      </c>
      <c r="L168" s="14">
        <f t="shared" si="79"/>
        <v>2782.7404139114483</v>
      </c>
      <c r="M168" s="172">
        <f t="shared" si="79"/>
        <v>2928.5555051638125</v>
      </c>
      <c r="N168" s="174" t="s">
        <v>86</v>
      </c>
    </row>
    <row r="169" spans="1:14" outlineLevel="1" x14ac:dyDescent="0.2">
      <c r="A169" s="27">
        <f t="shared" si="76"/>
        <v>103631</v>
      </c>
      <c r="B169" s="19" t="str">
        <f t="shared" si="76"/>
        <v>TAMUCT</v>
      </c>
      <c r="C169" s="58">
        <f t="shared" si="77"/>
        <v>16665.370823489448</v>
      </c>
      <c r="D169" s="15">
        <f t="shared" si="80"/>
        <v>941.5741778036861</v>
      </c>
      <c r="E169" s="14">
        <f t="shared" si="78"/>
        <v>773.95138896684466</v>
      </c>
      <c r="F169" s="14">
        <f t="shared" si="78"/>
        <v>11456.138347026255</v>
      </c>
      <c r="G169" s="13">
        <f t="shared" si="79"/>
        <v>853.61666666666588</v>
      </c>
      <c r="H169" s="15">
        <f t="shared" si="79"/>
        <v>462.88107094928637</v>
      </c>
      <c r="I169" s="13">
        <f t="shared" si="79"/>
        <v>0</v>
      </c>
      <c r="J169" s="16">
        <f t="shared" si="79"/>
        <v>1035.7836184143973</v>
      </c>
      <c r="K169" s="15">
        <f t="shared" si="79"/>
        <v>747.45005778692882</v>
      </c>
      <c r="L169" s="14">
        <f t="shared" si="79"/>
        <v>278.55329281251073</v>
      </c>
      <c r="M169" s="172">
        <f t="shared" si="79"/>
        <v>115.42220306287052</v>
      </c>
      <c r="N169" s="174" t="s">
        <v>85</v>
      </c>
    </row>
    <row r="170" spans="1:14" outlineLevel="1" x14ac:dyDescent="0.2">
      <c r="A170" s="20">
        <f t="shared" si="76"/>
        <v>11161</v>
      </c>
      <c r="B170" s="19" t="str">
        <f t="shared" si="76"/>
        <v>TAMUCC</v>
      </c>
      <c r="C170" s="58">
        <f t="shared" si="77"/>
        <v>27650.334397297316</v>
      </c>
      <c r="D170" s="15">
        <f t="shared" si="80"/>
        <v>2839.7222668735358</v>
      </c>
      <c r="E170" s="14">
        <f t="shared" si="78"/>
        <v>2480.6804659225004</v>
      </c>
      <c r="F170" s="14">
        <f t="shared" si="78"/>
        <v>3623.3184546149505</v>
      </c>
      <c r="G170" s="13">
        <f t="shared" si="79"/>
        <v>2804.2000000000139</v>
      </c>
      <c r="H170" s="15">
        <f t="shared" si="79"/>
        <v>3031.4916040039325</v>
      </c>
      <c r="I170" s="13">
        <f t="shared" si="79"/>
        <v>292.14624969750042</v>
      </c>
      <c r="J170" s="16">
        <f t="shared" si="79"/>
        <v>3420.9367213686519</v>
      </c>
      <c r="K170" s="15">
        <f t="shared" si="79"/>
        <v>3101.5402397865696</v>
      </c>
      <c r="L170" s="14">
        <f t="shared" si="79"/>
        <v>3074.5581492388405</v>
      </c>
      <c r="M170" s="172">
        <f t="shared" si="79"/>
        <v>2981.740245790822</v>
      </c>
      <c r="N170" s="174" t="s">
        <v>84</v>
      </c>
    </row>
    <row r="171" spans="1:14" outlineLevel="1" x14ac:dyDescent="0.2">
      <c r="A171" s="20">
        <f t="shared" si="76"/>
        <v>3639</v>
      </c>
      <c r="B171" s="19" t="str">
        <f t="shared" si="76"/>
        <v>TAMUK</v>
      </c>
      <c r="C171" s="58">
        <f t="shared" si="77"/>
        <v>18182.838679671397</v>
      </c>
      <c r="D171" s="15">
        <f t="shared" si="80"/>
        <v>1557.9268618982062</v>
      </c>
      <c r="E171" s="14">
        <f t="shared" si="78"/>
        <v>1077.8648973939069</v>
      </c>
      <c r="F171" s="14">
        <f t="shared" si="78"/>
        <v>3030.574549421739</v>
      </c>
      <c r="G171" s="13">
        <f t="shared" si="79"/>
        <v>1763.4533333333395</v>
      </c>
      <c r="H171" s="15">
        <f t="shared" si="79"/>
        <v>2959.4035683642901</v>
      </c>
      <c r="I171" s="13">
        <f t="shared" si="79"/>
        <v>189.70535694642885</v>
      </c>
      <c r="J171" s="16">
        <f t="shared" si="79"/>
        <v>2053.6178774882801</v>
      </c>
      <c r="K171" s="15">
        <f t="shared" si="79"/>
        <v>1853.2734766137858</v>
      </c>
      <c r="L171" s="14">
        <f t="shared" si="79"/>
        <v>1800.473539256805</v>
      </c>
      <c r="M171" s="172">
        <f t="shared" si="79"/>
        <v>1896.5452189546174</v>
      </c>
      <c r="N171" s="174" t="s">
        <v>84</v>
      </c>
    </row>
    <row r="172" spans="1:14" outlineLevel="1" x14ac:dyDescent="0.2">
      <c r="A172" s="27">
        <f t="shared" ref="A172:B187" si="81">A21</f>
        <v>103639</v>
      </c>
      <c r="B172" s="19" t="str">
        <f t="shared" si="81"/>
        <v>TAMUSA</v>
      </c>
      <c r="C172" s="58">
        <f t="shared" si="77"/>
        <v>13016.251884883466</v>
      </c>
      <c r="D172" s="15">
        <f t="shared" si="80"/>
        <v>1202.0240951976095</v>
      </c>
      <c r="E172" s="14">
        <f t="shared" si="80"/>
        <v>831.63055321901868</v>
      </c>
      <c r="F172" s="14">
        <f t="shared" si="80"/>
        <v>7050.9448498779793</v>
      </c>
      <c r="G172" s="13">
        <f t="shared" si="80"/>
        <v>1026.0133333333379</v>
      </c>
      <c r="H172" s="15">
        <f t="shared" si="80"/>
        <v>56.911607083928651</v>
      </c>
      <c r="I172" s="13">
        <f t="shared" si="80"/>
        <v>22.764642833571461</v>
      </c>
      <c r="J172" s="16">
        <f t="shared" si="80"/>
        <v>1553.1475052880514</v>
      </c>
      <c r="K172" s="15">
        <f t="shared" si="80"/>
        <v>1101.7967518488804</v>
      </c>
      <c r="L172" s="14">
        <f t="shared" si="80"/>
        <v>161.96582439223681</v>
      </c>
      <c r="M172" s="172">
        <f t="shared" si="80"/>
        <v>9.0527218088525885</v>
      </c>
      <c r="N172" s="174" t="s">
        <v>85</v>
      </c>
    </row>
    <row r="173" spans="1:14" outlineLevel="1" x14ac:dyDescent="0.2">
      <c r="A173" s="20">
        <f t="shared" si="81"/>
        <v>9651</v>
      </c>
      <c r="B173" s="19" t="str">
        <f t="shared" si="81"/>
        <v>TAMI</v>
      </c>
      <c r="C173" s="58">
        <f t="shared" si="77"/>
        <v>17351.581007800633</v>
      </c>
      <c r="D173" s="15">
        <f t="shared" si="80"/>
        <v>1615.1985714822104</v>
      </c>
      <c r="E173" s="14">
        <f t="shared" si="80"/>
        <v>1314.6927233498081</v>
      </c>
      <c r="F173" s="14">
        <f t="shared" si="80"/>
        <v>3275.7825481139339</v>
      </c>
      <c r="G173" s="13">
        <f t="shared" si="80"/>
        <v>1458.4966666666717</v>
      </c>
      <c r="H173" s="15">
        <f t="shared" si="80"/>
        <v>1316.5551772082163</v>
      </c>
      <c r="I173" s="13">
        <f t="shared" si="80"/>
        <v>254.20517830821464</v>
      </c>
      <c r="J173" s="16">
        <f t="shared" si="80"/>
        <v>2257.3958982364743</v>
      </c>
      <c r="K173" s="15">
        <f t="shared" si="80"/>
        <v>2124.0668308827208</v>
      </c>
      <c r="L173" s="14">
        <f t="shared" si="80"/>
        <v>2127.1977022549381</v>
      </c>
      <c r="M173" s="172">
        <f t="shared" si="80"/>
        <v>1607.9897112974413</v>
      </c>
      <c r="N173" s="174" t="s">
        <v>86</v>
      </c>
    </row>
    <row r="174" spans="1:14" outlineLevel="1" x14ac:dyDescent="0.2">
      <c r="A174" s="20">
        <f t="shared" si="81"/>
        <v>3665</v>
      </c>
      <c r="B174" s="19" t="str">
        <f t="shared" si="81"/>
        <v>WTAMU</v>
      </c>
      <c r="C174" s="58">
        <f t="shared" si="77"/>
        <v>24260.419251286272</v>
      </c>
      <c r="D174" s="15">
        <f t="shared" si="80"/>
        <v>2568.3634524159929</v>
      </c>
      <c r="E174" s="14">
        <f t="shared" si="80"/>
        <v>2078.7447768026336</v>
      </c>
      <c r="F174" s="14">
        <f t="shared" si="80"/>
        <v>3930.3181176916901</v>
      </c>
      <c r="G174" s="13">
        <f t="shared" si="80"/>
        <v>2503.5766666666836</v>
      </c>
      <c r="H174" s="15">
        <f t="shared" si="80"/>
        <v>2181.6116048839317</v>
      </c>
      <c r="I174" s="13">
        <f t="shared" si="80"/>
        <v>690.527499285001</v>
      </c>
      <c r="J174" s="16">
        <f t="shared" si="80"/>
        <v>2816.9935717936924</v>
      </c>
      <c r="K174" s="15">
        <f t="shared" si="80"/>
        <v>2705.4168758281098</v>
      </c>
      <c r="L174" s="14">
        <f t="shared" si="80"/>
        <v>2539.7916773230932</v>
      </c>
      <c r="M174" s="172">
        <f t="shared" si="80"/>
        <v>2245.0750085954423</v>
      </c>
      <c r="N174" s="174" t="s">
        <v>86</v>
      </c>
    </row>
    <row r="175" spans="1:14" outlineLevel="1" x14ac:dyDescent="0.2">
      <c r="A175" s="20">
        <f t="shared" si="81"/>
        <v>3565</v>
      </c>
      <c r="B175" s="19" t="str">
        <f t="shared" si="81"/>
        <v>TAMUC</v>
      </c>
      <c r="C175" s="58">
        <f t="shared" si="77"/>
        <v>23721.121503350591</v>
      </c>
      <c r="D175" s="15">
        <f t="shared" si="80"/>
        <v>2708.8155021100979</v>
      </c>
      <c r="E175" s="14">
        <f t="shared" si="80"/>
        <v>2049.5728068022995</v>
      </c>
      <c r="F175" s="14">
        <f t="shared" si="80"/>
        <v>4779.1253983374463</v>
      </c>
      <c r="G175" s="13">
        <f t="shared" si="80"/>
        <v>2501.8266666666914</v>
      </c>
      <c r="H175" s="15">
        <f t="shared" si="80"/>
        <v>830.90946342535835</v>
      </c>
      <c r="I175" s="13">
        <f t="shared" si="80"/>
        <v>846.08589198107256</v>
      </c>
      <c r="J175" s="16">
        <f t="shared" si="80"/>
        <v>3228.7729919584376</v>
      </c>
      <c r="K175" s="15">
        <f t="shared" si="80"/>
        <v>2858.4302209912248</v>
      </c>
      <c r="L175" s="14">
        <f t="shared" si="80"/>
        <v>2382.0146242513447</v>
      </c>
      <c r="M175" s="172">
        <f t="shared" si="80"/>
        <v>1535.5679368266206</v>
      </c>
      <c r="N175" s="174" t="s">
        <v>84</v>
      </c>
    </row>
    <row r="176" spans="1:14" outlineLevel="1" x14ac:dyDescent="0.2">
      <c r="A176" s="20">
        <f t="shared" si="81"/>
        <v>29269</v>
      </c>
      <c r="B176" s="19" t="str">
        <f t="shared" si="81"/>
        <v>TAMUT</v>
      </c>
      <c r="C176" s="58">
        <f t="shared" si="77"/>
        <v>11042.883038103249</v>
      </c>
      <c r="D176" s="15">
        <f t="shared" si="80"/>
        <v>707.03289093586</v>
      </c>
      <c r="E176" s="14">
        <f t="shared" si="80"/>
        <v>659.0082474738648</v>
      </c>
      <c r="F176" s="14">
        <f t="shared" si="80"/>
        <v>6570.8959648335376</v>
      </c>
      <c r="G176" s="13">
        <f t="shared" si="80"/>
        <v>619.90999999999826</v>
      </c>
      <c r="H176" s="15">
        <f t="shared" si="80"/>
        <v>474.26339236607208</v>
      </c>
      <c r="I176" s="13">
        <f t="shared" si="80"/>
        <v>220.05821405785744</v>
      </c>
      <c r="J176" s="16">
        <f t="shared" si="80"/>
        <v>757.04062630287751</v>
      </c>
      <c r="K176" s="15">
        <f t="shared" si="80"/>
        <v>653.32671717672304</v>
      </c>
      <c r="L176" s="14">
        <f t="shared" si="80"/>
        <v>379.08380450424397</v>
      </c>
      <c r="M176" s="172">
        <f t="shared" si="80"/>
        <v>2.2631804522131471</v>
      </c>
      <c r="N176" s="174" t="s">
        <v>85</v>
      </c>
    </row>
    <row r="177" spans="1:14" outlineLevel="1" x14ac:dyDescent="0.2">
      <c r="A177" s="20">
        <f t="shared" si="81"/>
        <v>3652</v>
      </c>
      <c r="B177" s="19" t="str">
        <f t="shared" si="81"/>
        <v>UH</v>
      </c>
      <c r="C177" s="58">
        <f t="shared" si="77"/>
        <v>88670.21063506369</v>
      </c>
      <c r="D177" s="15">
        <f t="shared" si="80"/>
        <v>10428.905592820554</v>
      </c>
      <c r="E177" s="14">
        <f t="shared" si="80"/>
        <v>9618.4429435493366</v>
      </c>
      <c r="F177" s="14">
        <f t="shared" si="80"/>
        <v>3631.5452398505895</v>
      </c>
      <c r="G177" s="13">
        <f t="shared" si="80"/>
        <v>10580.246666665944</v>
      </c>
      <c r="H177" s="15">
        <f t="shared" si="80"/>
        <v>8388.7708841710828</v>
      </c>
      <c r="I177" s="13">
        <f t="shared" si="80"/>
        <v>713.29214211857243</v>
      </c>
      <c r="J177" s="16">
        <f t="shared" si="80"/>
        <v>10684.092186274502</v>
      </c>
      <c r="K177" s="15">
        <f t="shared" si="80"/>
        <v>11479.524220839385</v>
      </c>
      <c r="L177" s="14">
        <f t="shared" si="80"/>
        <v>11917.752535344287</v>
      </c>
      <c r="M177" s="172">
        <f t="shared" si="80"/>
        <v>11227.638223429425</v>
      </c>
      <c r="N177" s="174" t="s">
        <v>83</v>
      </c>
    </row>
    <row r="178" spans="1:14" outlineLevel="1" x14ac:dyDescent="0.2">
      <c r="A178" s="20">
        <f t="shared" si="81"/>
        <v>11711</v>
      </c>
      <c r="B178" s="19" t="str">
        <f t="shared" si="81"/>
        <v>UHCL</v>
      </c>
      <c r="C178" s="58">
        <f t="shared" si="77"/>
        <v>21678.316575771423</v>
      </c>
      <c r="D178" s="15">
        <f t="shared" si="80"/>
        <v>2435.4112694531264</v>
      </c>
      <c r="E178" s="14">
        <f t="shared" si="80"/>
        <v>2178.433826693119</v>
      </c>
      <c r="F178" s="14">
        <f t="shared" si="80"/>
        <v>6728.0628059701467</v>
      </c>
      <c r="G178" s="13">
        <f t="shared" si="80"/>
        <v>2282.9533333333529</v>
      </c>
      <c r="H178" s="15">
        <f t="shared" si="80"/>
        <v>1214.1142844571445</v>
      </c>
      <c r="I178" s="13">
        <f t="shared" si="80"/>
        <v>94.852678473214425</v>
      </c>
      <c r="J178" s="16">
        <f t="shared" si="80"/>
        <v>2452.7271616479561</v>
      </c>
      <c r="K178" s="15">
        <f t="shared" si="80"/>
        <v>2100.9134957593542</v>
      </c>
      <c r="L178" s="14">
        <f t="shared" si="80"/>
        <v>1997.3457913197826</v>
      </c>
      <c r="M178" s="172">
        <f t="shared" si="80"/>
        <v>193.5019286642241</v>
      </c>
      <c r="N178" s="174" t="s">
        <v>85</v>
      </c>
    </row>
    <row r="179" spans="1:14" outlineLevel="1" x14ac:dyDescent="0.2">
      <c r="A179" s="20">
        <f t="shared" si="81"/>
        <v>12826</v>
      </c>
      <c r="B179" s="19" t="str">
        <f t="shared" si="81"/>
        <v>UHD</v>
      </c>
      <c r="C179" s="58">
        <f t="shared" si="77"/>
        <v>33267.251235779702</v>
      </c>
      <c r="D179" s="15">
        <f t="shared" si="80"/>
        <v>4872.8679571056809</v>
      </c>
      <c r="E179" s="14">
        <f t="shared" si="80"/>
        <v>1592.0968821025144</v>
      </c>
      <c r="F179" s="14">
        <f t="shared" si="80"/>
        <v>5056.6979531353963</v>
      </c>
      <c r="G179" s="13">
        <f t="shared" si="80"/>
        <v>4271.3166666667212</v>
      </c>
      <c r="H179" s="15">
        <f t="shared" si="80"/>
        <v>1475.9076770432164</v>
      </c>
      <c r="I179" s="13">
        <f t="shared" si="80"/>
        <v>18.970535694642884</v>
      </c>
      <c r="J179" s="16">
        <f t="shared" si="80"/>
        <v>5324.6246561302814</v>
      </c>
      <c r="K179" s="15">
        <f t="shared" si="80"/>
        <v>4689.0536958538923</v>
      </c>
      <c r="L179" s="14">
        <f t="shared" si="80"/>
        <v>3913.0105418900316</v>
      </c>
      <c r="M179" s="172">
        <f t="shared" si="80"/>
        <v>2052.7046701573245</v>
      </c>
      <c r="N179" s="174" t="s">
        <v>85</v>
      </c>
    </row>
    <row r="180" spans="1:14" outlineLevel="1" x14ac:dyDescent="0.2">
      <c r="A180" s="20">
        <f t="shared" si="81"/>
        <v>13231</v>
      </c>
      <c r="B180" s="19" t="str">
        <f t="shared" si="81"/>
        <v>UHV</v>
      </c>
      <c r="C180" s="58">
        <f t="shared" si="77"/>
        <v>14367.760616104171</v>
      </c>
      <c r="D180" s="15">
        <f t="shared" si="80"/>
        <v>1179.5244950038937</v>
      </c>
      <c r="E180" s="14">
        <f t="shared" si="80"/>
        <v>1055.8871084821851</v>
      </c>
      <c r="F180" s="14">
        <f t="shared" si="80"/>
        <v>6794.3467139675195</v>
      </c>
      <c r="G180" s="13">
        <f t="shared" si="80"/>
        <v>1084.4800000000012</v>
      </c>
      <c r="H180" s="15">
        <f t="shared" si="80"/>
        <v>1229.290713012859</v>
      </c>
      <c r="I180" s="13">
        <f t="shared" si="80"/>
        <v>83.470357056428682</v>
      </c>
      <c r="J180" s="16">
        <f t="shared" si="80"/>
        <v>1216.3330564866317</v>
      </c>
      <c r="K180" s="15">
        <f t="shared" si="80"/>
        <v>1081.1600835867496</v>
      </c>
      <c r="L180" s="14">
        <f t="shared" si="80"/>
        <v>620.63628398576952</v>
      </c>
      <c r="M180" s="172">
        <f t="shared" si="80"/>
        <v>22.631804522131475</v>
      </c>
      <c r="N180" s="174" t="s">
        <v>85</v>
      </c>
    </row>
    <row r="181" spans="1:14" outlineLevel="1" x14ac:dyDescent="0.2">
      <c r="A181" s="20">
        <f t="shared" si="81"/>
        <v>3592</v>
      </c>
      <c r="B181" s="19" t="str">
        <f t="shared" si="81"/>
        <v>Midwestern</v>
      </c>
      <c r="C181" s="58">
        <f t="shared" si="77"/>
        <v>22576.087916414883</v>
      </c>
      <c r="D181" s="15">
        <f t="shared" si="80"/>
        <v>2110.1897757439601</v>
      </c>
      <c r="E181" s="14">
        <f t="shared" si="80"/>
        <v>1594.2150975974207</v>
      </c>
      <c r="F181" s="14">
        <f t="shared" si="80"/>
        <v>4088.7667378306937</v>
      </c>
      <c r="G181" s="13">
        <f t="shared" si="80"/>
        <v>1962.0000000000034</v>
      </c>
      <c r="H181" s="15">
        <f t="shared" si="80"/>
        <v>3794.1071389285767</v>
      </c>
      <c r="I181" s="13">
        <f t="shared" si="80"/>
        <v>170.73482125178595</v>
      </c>
      <c r="J181" s="16">
        <f t="shared" si="80"/>
        <v>2186.6543055415054</v>
      </c>
      <c r="K181" s="15">
        <f t="shared" si="80"/>
        <v>2171.3801678739469</v>
      </c>
      <c r="L181" s="14">
        <f t="shared" si="80"/>
        <v>2190.7274006156858</v>
      </c>
      <c r="M181" s="172">
        <f t="shared" si="80"/>
        <v>2307.3124710313036</v>
      </c>
      <c r="N181" s="174" t="s">
        <v>85</v>
      </c>
    </row>
    <row r="182" spans="1:14" outlineLevel="1" x14ac:dyDescent="0.2">
      <c r="A182" s="20">
        <f t="shared" si="81"/>
        <v>3594</v>
      </c>
      <c r="B182" s="19" t="str">
        <f t="shared" si="81"/>
        <v>UNT</v>
      </c>
      <c r="C182" s="58">
        <f t="shared" si="77"/>
        <v>91749.190493086353</v>
      </c>
      <c r="D182" s="15">
        <f t="shared" si="80"/>
        <v>12306.599499896116</v>
      </c>
      <c r="E182" s="14">
        <f t="shared" si="80"/>
        <v>12196.719992992326</v>
      </c>
      <c r="F182" s="14">
        <f t="shared" si="80"/>
        <v>4387.8362816425324</v>
      </c>
      <c r="G182" s="13">
        <f t="shared" si="80"/>
        <v>11411.553333332529</v>
      </c>
      <c r="H182" s="15">
        <f t="shared" si="80"/>
        <v>3832.0482103178629</v>
      </c>
      <c r="I182" s="13">
        <f t="shared" si="80"/>
        <v>493.23392806071502</v>
      </c>
      <c r="J182" s="16">
        <f t="shared" si="80"/>
        <v>12099.979884840972</v>
      </c>
      <c r="K182" s="15">
        <f t="shared" si="80"/>
        <v>11875.647584797845</v>
      </c>
      <c r="L182" s="14">
        <f t="shared" si="80"/>
        <v>11817.222023652554</v>
      </c>
      <c r="M182" s="172">
        <f t="shared" si="80"/>
        <v>11328.34975355291</v>
      </c>
      <c r="N182" s="174" t="s">
        <v>83</v>
      </c>
    </row>
    <row r="183" spans="1:14" outlineLevel="1" x14ac:dyDescent="0.2">
      <c r="A183" s="27">
        <f t="shared" si="81"/>
        <v>113594</v>
      </c>
      <c r="B183" s="19" t="str">
        <f t="shared" si="81"/>
        <v>UNTD</v>
      </c>
      <c r="C183" s="58">
        <f t="shared" si="77"/>
        <v>11602.152791123604</v>
      </c>
      <c r="D183" s="15">
        <f t="shared" ref="D183:M193" si="82">D225*D$155</f>
        <v>825.32624346948739</v>
      </c>
      <c r="E183" s="14">
        <f t="shared" si="82"/>
        <v>819.61309991375947</v>
      </c>
      <c r="F183" s="14">
        <f t="shared" si="82"/>
        <v>7228.7102433766568</v>
      </c>
      <c r="G183" s="13">
        <f t="shared" si="82"/>
        <v>705.85999999999717</v>
      </c>
      <c r="H183" s="15">
        <f t="shared" si="82"/>
        <v>136.58785700142877</v>
      </c>
      <c r="I183" s="13">
        <f t="shared" si="82"/>
        <v>0</v>
      </c>
      <c r="J183" s="16">
        <f t="shared" si="82"/>
        <v>977.18423939095283</v>
      </c>
      <c r="K183" s="15">
        <f t="shared" si="82"/>
        <v>721.7800558023273</v>
      </c>
      <c r="L183" s="14">
        <f t="shared" si="82"/>
        <v>149.74857470747759</v>
      </c>
      <c r="M183" s="172">
        <f t="shared" si="82"/>
        <v>37.342477461516935</v>
      </c>
      <c r="N183" s="174" t="s">
        <v>85</v>
      </c>
    </row>
    <row r="184" spans="1:14" outlineLevel="1" x14ac:dyDescent="0.2">
      <c r="A184" s="20">
        <f t="shared" si="81"/>
        <v>3624</v>
      </c>
      <c r="B184" s="19" t="str">
        <f t="shared" si="81"/>
        <v>SFA</v>
      </c>
      <c r="C184" s="58">
        <f t="shared" si="77"/>
        <v>36058.616815365371</v>
      </c>
      <c r="D184" s="15">
        <f t="shared" si="82"/>
        <v>3930.6119732355187</v>
      </c>
      <c r="E184" s="14">
        <f t="shared" si="82"/>
        <v>3744.5633744212369</v>
      </c>
      <c r="F184" s="14">
        <f t="shared" si="82"/>
        <v>3433.6531170705562</v>
      </c>
      <c r="G184" s="13">
        <f t="shared" si="82"/>
        <v>3721.736666666669</v>
      </c>
      <c r="H184" s="15">
        <f t="shared" si="82"/>
        <v>2822.8157113628613</v>
      </c>
      <c r="I184" s="13">
        <f t="shared" si="82"/>
        <v>508.41035661642928</v>
      </c>
      <c r="J184" s="16">
        <f t="shared" si="82"/>
        <v>4625.655486517303</v>
      </c>
      <c r="K184" s="15">
        <f t="shared" si="82"/>
        <v>4181.693656628825</v>
      </c>
      <c r="L184" s="14">
        <f t="shared" si="82"/>
        <v>4345.8502450072165</v>
      </c>
      <c r="M184" s="172">
        <f t="shared" si="82"/>
        <v>4743.6262278387567</v>
      </c>
      <c r="N184" s="174" t="s">
        <v>86</v>
      </c>
    </row>
    <row r="185" spans="1:14" outlineLevel="1" x14ac:dyDescent="0.2">
      <c r="A185" s="20">
        <f t="shared" si="81"/>
        <v>3642</v>
      </c>
      <c r="B185" s="19" t="str">
        <f t="shared" si="81"/>
        <v>TSU</v>
      </c>
      <c r="C185" s="58">
        <f t="shared" si="77"/>
        <v>17015.371030339371</v>
      </c>
      <c r="D185" s="15">
        <f t="shared" si="82"/>
        <v>1551.108801233444</v>
      </c>
      <c r="E185" s="14">
        <f t="shared" si="82"/>
        <v>383.2035513179539</v>
      </c>
      <c r="F185" s="14">
        <f t="shared" si="82"/>
        <v>2192.2585205029754</v>
      </c>
      <c r="G185" s="13">
        <f t="shared" si="82"/>
        <v>1488.6533333333352</v>
      </c>
      <c r="H185" s="15">
        <f t="shared" si="82"/>
        <v>1529.0251769882166</v>
      </c>
      <c r="I185" s="13">
        <f t="shared" si="82"/>
        <v>34.146964250357193</v>
      </c>
      <c r="J185" s="16">
        <f t="shared" si="82"/>
        <v>2110.6334895110913</v>
      </c>
      <c r="K185" s="15">
        <f t="shared" si="82"/>
        <v>2472.3735244777067</v>
      </c>
      <c r="L185" s="14">
        <f t="shared" si="82"/>
        <v>2372.9389530569524</v>
      </c>
      <c r="M185" s="172">
        <f t="shared" si="82"/>
        <v>2881.0287156673367</v>
      </c>
      <c r="N185" s="174" t="s">
        <v>84</v>
      </c>
    </row>
    <row r="186" spans="1:14" outlineLevel="1" x14ac:dyDescent="0.2">
      <c r="A186" s="20">
        <f t="shared" si="81"/>
        <v>3644</v>
      </c>
      <c r="B186" s="19" t="str">
        <f t="shared" si="81"/>
        <v>TTU</v>
      </c>
      <c r="C186" s="58">
        <f t="shared" si="77"/>
        <v>87265.456098335213</v>
      </c>
      <c r="D186" s="15">
        <f t="shared" si="82"/>
        <v>9560.2846641298238</v>
      </c>
      <c r="E186" s="14">
        <f t="shared" si="82"/>
        <v>12034.087159114197</v>
      </c>
      <c r="F186" s="14">
        <f t="shared" si="82"/>
        <v>3569.8800410136846</v>
      </c>
      <c r="G186" s="13">
        <f t="shared" si="82"/>
        <v>10128.113333332682</v>
      </c>
      <c r="H186" s="15">
        <f t="shared" si="82"/>
        <v>8278.7417771421551</v>
      </c>
      <c r="I186" s="13">
        <f t="shared" si="82"/>
        <v>652.58642789571525</v>
      </c>
      <c r="J186" s="16">
        <f t="shared" si="82"/>
        <v>8799.4094555204756</v>
      </c>
      <c r="K186" s="15">
        <f t="shared" si="82"/>
        <v>9792.8540904393849</v>
      </c>
      <c r="L186" s="14">
        <f t="shared" si="82"/>
        <v>11054.865643323577</v>
      </c>
      <c r="M186" s="172">
        <f t="shared" si="82"/>
        <v>13394.633506423512</v>
      </c>
      <c r="N186" s="174" t="s">
        <v>83</v>
      </c>
    </row>
    <row r="187" spans="1:14" outlineLevel="1" x14ac:dyDescent="0.2">
      <c r="A187" s="20">
        <f t="shared" si="81"/>
        <v>3541</v>
      </c>
      <c r="B187" s="19" t="str">
        <f t="shared" si="81"/>
        <v>Angelo</v>
      </c>
      <c r="C187" s="58">
        <f t="shared" si="77"/>
        <v>21089.777993865493</v>
      </c>
      <c r="D187" s="15">
        <f t="shared" si="82"/>
        <v>2027.6912417003352</v>
      </c>
      <c r="E187" s="14">
        <f t="shared" si="82"/>
        <v>1498.1825543740936</v>
      </c>
      <c r="F187" s="14">
        <f t="shared" si="82"/>
        <v>3441.8156250324246</v>
      </c>
      <c r="G187" s="13">
        <f t="shared" si="82"/>
        <v>1977.3500000000051</v>
      </c>
      <c r="H187" s="15">
        <f t="shared" si="82"/>
        <v>2894.9037470025041</v>
      </c>
      <c r="I187" s="13">
        <f t="shared" si="82"/>
        <v>220.05821405785744</v>
      </c>
      <c r="J187" s="16">
        <f t="shared" si="82"/>
        <v>2290.1270829162363</v>
      </c>
      <c r="K187" s="15">
        <f t="shared" si="82"/>
        <v>2172.3868346184413</v>
      </c>
      <c r="L187" s="14">
        <f t="shared" si="82"/>
        <v>2164.8966441393382</v>
      </c>
      <c r="M187" s="172">
        <f t="shared" si="82"/>
        <v>2402.3660500242559</v>
      </c>
      <c r="N187" s="174" t="s">
        <v>85</v>
      </c>
    </row>
    <row r="188" spans="1:14" outlineLevel="1" x14ac:dyDescent="0.2">
      <c r="A188" s="20">
        <f t="shared" ref="A188:B193" si="83">A37</f>
        <v>3646</v>
      </c>
      <c r="B188" s="19" t="str">
        <f t="shared" si="83"/>
        <v>TWU</v>
      </c>
      <c r="C188" s="58">
        <f t="shared" si="77"/>
        <v>34194.381377148711</v>
      </c>
      <c r="D188" s="15">
        <f t="shared" si="82"/>
        <v>3694.0252681682632</v>
      </c>
      <c r="E188" s="14">
        <f t="shared" si="82"/>
        <v>3326.4886028147166</v>
      </c>
      <c r="F188" s="14">
        <f t="shared" si="82"/>
        <v>4668.9790530125847</v>
      </c>
      <c r="G188" s="13">
        <f t="shared" si="82"/>
        <v>3452.1766666666658</v>
      </c>
      <c r="H188" s="15">
        <f t="shared" si="82"/>
        <v>6480.3349932900101</v>
      </c>
      <c r="I188" s="13">
        <f t="shared" si="82"/>
        <v>360.44017819821482</v>
      </c>
      <c r="J188" s="16">
        <f t="shared" si="82"/>
        <v>3949.9148995802857</v>
      </c>
      <c r="K188" s="15">
        <f t="shared" si="82"/>
        <v>3315.96025636383</v>
      </c>
      <c r="L188" s="14">
        <f t="shared" si="82"/>
        <v>2706.6444015892334</v>
      </c>
      <c r="M188" s="172">
        <f t="shared" si="82"/>
        <v>2239.4170574649092</v>
      </c>
      <c r="N188" s="174" t="s">
        <v>84</v>
      </c>
    </row>
    <row r="189" spans="1:14" outlineLevel="1" x14ac:dyDescent="0.2">
      <c r="A189" s="20">
        <f t="shared" si="83"/>
        <v>3581</v>
      </c>
      <c r="B189" s="19" t="str">
        <f t="shared" si="83"/>
        <v>Lamar</v>
      </c>
      <c r="C189" s="58">
        <f t="shared" si="77"/>
        <v>26916.524124887088</v>
      </c>
      <c r="D189" s="15">
        <f t="shared" si="82"/>
        <v>2731.3151023038135</v>
      </c>
      <c r="E189" s="14">
        <f t="shared" si="82"/>
        <v>1645.4493371768076</v>
      </c>
      <c r="F189" s="14">
        <f t="shared" si="82"/>
        <v>3111.1599103232634</v>
      </c>
      <c r="G189" s="13">
        <f t="shared" si="82"/>
        <v>2684.9000000000165</v>
      </c>
      <c r="H189" s="15">
        <f t="shared" si="82"/>
        <v>3756.1660675392909</v>
      </c>
      <c r="I189" s="13">
        <f t="shared" si="82"/>
        <v>193.49946408535743</v>
      </c>
      <c r="J189" s="16">
        <f t="shared" si="82"/>
        <v>3004.9339225355502</v>
      </c>
      <c r="K189" s="15">
        <f t="shared" si="82"/>
        <v>3238.4469170377779</v>
      </c>
      <c r="L189" s="14">
        <f t="shared" si="82"/>
        <v>3118.5402481039737</v>
      </c>
      <c r="M189" s="172">
        <f t="shared" si="82"/>
        <v>3432.1131557812382</v>
      </c>
      <c r="N189" s="174" t="s">
        <v>86</v>
      </c>
    </row>
    <row r="190" spans="1:14" outlineLevel="1" x14ac:dyDescent="0.2">
      <c r="A190" s="20">
        <f t="shared" si="83"/>
        <v>3606</v>
      </c>
      <c r="B190" s="19" t="str">
        <f t="shared" si="83"/>
        <v>SHSU</v>
      </c>
      <c r="C190" s="58">
        <f t="shared" si="77"/>
        <v>50315.725710159022</v>
      </c>
      <c r="D190" s="15">
        <f t="shared" si="82"/>
        <v>6295.1154117751148</v>
      </c>
      <c r="E190" s="14">
        <f t="shared" si="82"/>
        <v>6350.7696032236372</v>
      </c>
      <c r="F190" s="14">
        <f t="shared" si="82"/>
        <v>4148.6226160829747</v>
      </c>
      <c r="G190" s="13">
        <f t="shared" si="82"/>
        <v>5837.0766666667887</v>
      </c>
      <c r="H190" s="15">
        <f t="shared" si="82"/>
        <v>1900.847676603217</v>
      </c>
      <c r="I190" s="13">
        <f t="shared" si="82"/>
        <v>694.32160642392955</v>
      </c>
      <c r="J190" s="16">
        <f t="shared" si="82"/>
        <v>7011.8644341386462</v>
      </c>
      <c r="K190" s="15">
        <f t="shared" si="82"/>
        <v>5880.443787962754</v>
      </c>
      <c r="L190" s="14">
        <f t="shared" si="82"/>
        <v>6210.5516111781844</v>
      </c>
      <c r="M190" s="172">
        <f t="shared" si="82"/>
        <v>5986.1122961037745</v>
      </c>
      <c r="N190" s="174" t="s">
        <v>84</v>
      </c>
    </row>
    <row r="191" spans="1:14" outlineLevel="1" x14ac:dyDescent="0.2">
      <c r="A191" s="20">
        <f t="shared" si="83"/>
        <v>3615</v>
      </c>
      <c r="B191" s="19" t="str">
        <f t="shared" si="83"/>
        <v>TXST</v>
      </c>
      <c r="C191" s="58">
        <f t="shared" si="77"/>
        <v>89495.469739318258</v>
      </c>
      <c r="D191" s="15">
        <f t="shared" si="82"/>
        <v>10965.486967137353</v>
      </c>
      <c r="E191" s="14">
        <f t="shared" si="82"/>
        <v>11936.111876181427</v>
      </c>
      <c r="F191" s="14">
        <f t="shared" si="82"/>
        <v>3967.4673690749041</v>
      </c>
      <c r="G191" s="13">
        <f t="shared" si="82"/>
        <v>10437.309999999357</v>
      </c>
      <c r="H191" s="15">
        <f t="shared" si="82"/>
        <v>5562.1610656692937</v>
      </c>
      <c r="I191" s="13">
        <f t="shared" si="82"/>
        <v>758.8214277857154</v>
      </c>
      <c r="J191" s="16">
        <f t="shared" si="82"/>
        <v>11641.743299324307</v>
      </c>
      <c r="K191" s="15">
        <f t="shared" si="82"/>
        <v>11280.204205429536</v>
      </c>
      <c r="L191" s="14">
        <f t="shared" si="82"/>
        <v>11684.57759850374</v>
      </c>
      <c r="M191" s="172">
        <f t="shared" si="82"/>
        <v>11261.585930212623</v>
      </c>
      <c r="N191" s="174" t="s">
        <v>83</v>
      </c>
    </row>
    <row r="192" spans="1:14" outlineLevel="1" x14ac:dyDescent="0.2">
      <c r="A192" s="20">
        <f t="shared" si="83"/>
        <v>3625</v>
      </c>
      <c r="B192" s="19" t="str">
        <f t="shared" si="83"/>
        <v>SRSU</v>
      </c>
      <c r="C192" s="58">
        <f t="shared" si="77"/>
        <v>5650.6526616422916</v>
      </c>
      <c r="D192" s="15">
        <f t="shared" si="82"/>
        <v>387.26584575850381</v>
      </c>
      <c r="E192" s="14">
        <f t="shared" si="82"/>
        <v>200.45040594088255</v>
      </c>
      <c r="F192" s="14">
        <f t="shared" si="82"/>
        <v>2630.4433969489282</v>
      </c>
      <c r="G192" s="13">
        <f t="shared" si="82"/>
        <v>394.32999999999964</v>
      </c>
      <c r="H192" s="15">
        <f t="shared" si="82"/>
        <v>144.17607127928591</v>
      </c>
      <c r="I192" s="13">
        <f t="shared" si="82"/>
        <v>72.088035639642953</v>
      </c>
      <c r="J192" s="16">
        <f t="shared" si="82"/>
        <v>516.30804220656501</v>
      </c>
      <c r="K192" s="15">
        <f t="shared" si="82"/>
        <v>453.00003502238116</v>
      </c>
      <c r="L192" s="14">
        <f t="shared" si="82"/>
        <v>405.61268953400685</v>
      </c>
      <c r="M192" s="172">
        <f t="shared" si="82"/>
        <v>446.97813931209657</v>
      </c>
      <c r="N192" s="174" t="s">
        <v>85</v>
      </c>
    </row>
    <row r="193" spans="1:14" outlineLevel="1" x14ac:dyDescent="0.2">
      <c r="A193" s="20">
        <f t="shared" si="83"/>
        <v>20</v>
      </c>
      <c r="B193" s="19" t="str">
        <f t="shared" si="83"/>
        <v>SRRG</v>
      </c>
      <c r="C193" s="58">
        <f t="shared" si="77"/>
        <v>8142.4103657409723</v>
      </c>
      <c r="D193" s="15">
        <f t="shared" si="82"/>
        <v>330.67594224097593</v>
      </c>
      <c r="E193" s="14">
        <f t="shared" si="82"/>
        <v>180.67119340512289</v>
      </c>
      <c r="F193" s="14">
        <f t="shared" si="82"/>
        <v>6203.0900392717631</v>
      </c>
      <c r="G193" s="13">
        <f t="shared" si="82"/>
        <v>279.16999999999979</v>
      </c>
      <c r="H193" s="15">
        <f t="shared" si="82"/>
        <v>72.088035639642953</v>
      </c>
      <c r="I193" s="13">
        <f t="shared" si="82"/>
        <v>64.499821361785806</v>
      </c>
      <c r="J193" s="16">
        <f t="shared" si="82"/>
        <v>456.12489618248691</v>
      </c>
      <c r="K193" s="15">
        <f t="shared" si="82"/>
        <v>347.3000268504922</v>
      </c>
      <c r="L193" s="14">
        <f t="shared" si="82"/>
        <v>194.07973784931826</v>
      </c>
      <c r="M193" s="172">
        <f t="shared" si="82"/>
        <v>14.710672939385457</v>
      </c>
      <c r="N193" s="174" t="s">
        <v>85</v>
      </c>
    </row>
    <row r="194" spans="1:14" ht="13.5" outlineLevel="1" thickBot="1" x14ac:dyDescent="0.25">
      <c r="A194" s="12"/>
      <c r="B194" s="11" t="s">
        <v>11</v>
      </c>
      <c r="C194" s="57">
        <f t="shared" ref="C194:M194" si="84">SUM(C156:C193)</f>
        <v>1552150.2599999863</v>
      </c>
      <c r="D194" s="9">
        <f t="shared" si="84"/>
        <v>172461.13999999847</v>
      </c>
      <c r="E194" s="7">
        <f t="shared" si="84"/>
        <v>172461.13999999836</v>
      </c>
      <c r="F194" s="7">
        <f t="shared" si="84"/>
        <v>172461.13999999844</v>
      </c>
      <c r="G194" s="3">
        <f t="shared" si="84"/>
        <v>172461.13999999844</v>
      </c>
      <c r="H194" s="5">
        <f t="shared" si="84"/>
        <v>158821.32483555019</v>
      </c>
      <c r="I194" s="3">
        <f t="shared" si="84"/>
        <v>13639.815164448233</v>
      </c>
      <c r="J194" s="6">
        <f t="shared" si="84"/>
        <v>172461.13999999838</v>
      </c>
      <c r="K194" s="5">
        <f t="shared" si="84"/>
        <v>172461.13999999844</v>
      </c>
      <c r="L194" s="4">
        <f t="shared" si="84"/>
        <v>172461.13999999847</v>
      </c>
      <c r="M194" s="173">
        <f t="shared" si="84"/>
        <v>172461.13999999847</v>
      </c>
      <c r="N194" s="175"/>
    </row>
    <row r="195" spans="1:14" ht="13.5" thickBot="1" x14ac:dyDescent="0.25">
      <c r="A195" s="45" t="s">
        <v>29</v>
      </c>
      <c r="B195" s="45"/>
      <c r="C195" s="54"/>
      <c r="D195" s="54"/>
      <c r="E195" s="54"/>
      <c r="F195" s="56"/>
      <c r="H195" s="56"/>
      <c r="N195" s="55"/>
    </row>
    <row r="196" spans="1:14" ht="12.75" customHeight="1" outlineLevel="1" x14ac:dyDescent="0.2">
      <c r="A196" s="273" t="s">
        <v>24</v>
      </c>
      <c r="B196" s="275" t="s">
        <v>23</v>
      </c>
      <c r="C196" s="277"/>
      <c r="D196" s="306" t="s">
        <v>28</v>
      </c>
      <c r="E196" s="301" t="s">
        <v>21</v>
      </c>
      <c r="F196" s="275" t="s">
        <v>20</v>
      </c>
      <c r="G196" s="297" t="s">
        <v>19</v>
      </c>
      <c r="H196" s="299" t="s">
        <v>18</v>
      </c>
      <c r="I196" s="291" t="s">
        <v>17</v>
      </c>
      <c r="J196" s="293" t="s">
        <v>16</v>
      </c>
      <c r="K196" s="295" t="s">
        <v>15</v>
      </c>
      <c r="L196" s="296"/>
      <c r="M196" s="296"/>
      <c r="N196" s="55"/>
    </row>
    <row r="197" spans="1:14" s="41" customFormat="1" ht="41.25" customHeight="1" outlineLevel="1" thickBot="1" x14ac:dyDescent="0.25">
      <c r="A197" s="274"/>
      <c r="B197" s="276"/>
      <c r="C197" s="278"/>
      <c r="D197" s="307"/>
      <c r="E197" s="302"/>
      <c r="F197" s="276"/>
      <c r="G197" s="298"/>
      <c r="H197" s="300"/>
      <c r="I197" s="292"/>
      <c r="J197" s="294"/>
      <c r="K197" s="44" t="s">
        <v>14</v>
      </c>
      <c r="L197" s="43" t="s">
        <v>13</v>
      </c>
      <c r="M197" s="42" t="s">
        <v>12</v>
      </c>
      <c r="N197" s="55"/>
    </row>
    <row r="198" spans="1:14" outlineLevel="1" x14ac:dyDescent="0.2">
      <c r="A198" s="20">
        <f t="shared" ref="A198:B213" si="85">A156</f>
        <v>3656</v>
      </c>
      <c r="B198" s="19" t="str">
        <f t="shared" si="85"/>
        <v>UTA</v>
      </c>
      <c r="C198" s="38"/>
      <c r="D198" s="33">
        <f t="shared" ref="D198:M213" si="86">AVERAGE(D240,D282,D324)</f>
        <v>5018</v>
      </c>
      <c r="E198" s="226">
        <f>AVERAGE(E240,E282,E324)*D198</f>
        <v>2600.9966666666669</v>
      </c>
      <c r="F198" s="32">
        <f>D198/AVERAGE(F240,F282,F324)*100</f>
        <v>29.603788278048281</v>
      </c>
      <c r="G198" s="31">
        <f t="shared" si="86"/>
        <v>10418.553333333379</v>
      </c>
      <c r="H198" s="36">
        <f t="shared" si="86"/>
        <v>1531.3333333333333</v>
      </c>
      <c r="I198" s="35">
        <f t="shared" si="86"/>
        <v>35</v>
      </c>
      <c r="J198" s="34">
        <f t="shared" si="86"/>
        <v>3116</v>
      </c>
      <c r="K198" s="33">
        <f t="shared" si="86"/>
        <v>6836.333333333333</v>
      </c>
      <c r="L198" s="32">
        <f t="shared" si="86"/>
        <v>3833.6666666666665</v>
      </c>
      <c r="M198" s="31">
        <f t="shared" si="86"/>
        <v>1783.6666666666667</v>
      </c>
      <c r="N198" s="55"/>
    </row>
    <row r="199" spans="1:14" outlineLevel="1" x14ac:dyDescent="0.2">
      <c r="A199" s="20">
        <f t="shared" si="85"/>
        <v>3658</v>
      </c>
      <c r="B199" s="19" t="str">
        <f t="shared" si="85"/>
        <v>UT</v>
      </c>
      <c r="C199" s="18"/>
      <c r="D199" s="15">
        <f t="shared" si="86"/>
        <v>8946.3333333333339</v>
      </c>
      <c r="E199" s="188">
        <f t="shared" ref="E199:E235" si="87">AVERAGE(E241,E283,E325)*D199</f>
        <v>7416.5103333333345</v>
      </c>
      <c r="F199" s="14">
        <f t="shared" ref="F199:F235" si="88">D199/AVERAGE(F241,F283,F325)*100</f>
        <v>26.497692061124674</v>
      </c>
      <c r="G199" s="13">
        <f t="shared" si="86"/>
        <v>19398.350000000519</v>
      </c>
      <c r="H199" s="15">
        <f t="shared" si="86"/>
        <v>1876.3333333333333</v>
      </c>
      <c r="I199" s="13">
        <f t="shared" si="86"/>
        <v>66</v>
      </c>
      <c r="J199" s="16">
        <f t="shared" si="86"/>
        <v>3470.3333333333335</v>
      </c>
      <c r="K199" s="15">
        <f t="shared" si="86"/>
        <v>9598.3333333333339</v>
      </c>
      <c r="L199" s="14">
        <f t="shared" si="86"/>
        <v>9005.6666666666661</v>
      </c>
      <c r="M199" s="13">
        <f t="shared" si="86"/>
        <v>7040.333333333333</v>
      </c>
      <c r="N199" s="55"/>
    </row>
    <row r="200" spans="1:14" outlineLevel="1" x14ac:dyDescent="0.2">
      <c r="A200" s="20">
        <f t="shared" si="85"/>
        <v>9741</v>
      </c>
      <c r="B200" s="19" t="str">
        <f t="shared" si="85"/>
        <v>UTD</v>
      </c>
      <c r="C200" s="18"/>
      <c r="D200" s="15">
        <f t="shared" si="86"/>
        <v>2393</v>
      </c>
      <c r="E200" s="188">
        <f t="shared" si="87"/>
        <v>1682.279</v>
      </c>
      <c r="F200" s="14">
        <f t="shared" si="88"/>
        <v>26.829760516638267</v>
      </c>
      <c r="G200" s="13">
        <f t="shared" si="86"/>
        <v>5101.2033333334393</v>
      </c>
      <c r="H200" s="15">
        <f t="shared" si="86"/>
        <v>421.66666666666669</v>
      </c>
      <c r="I200" s="13">
        <f t="shared" si="86"/>
        <v>32</v>
      </c>
      <c r="J200" s="16">
        <f t="shared" si="86"/>
        <v>1319.6666666666667</v>
      </c>
      <c r="K200" s="15">
        <f t="shared" si="86"/>
        <v>3315</v>
      </c>
      <c r="L200" s="14">
        <f t="shared" si="86"/>
        <v>2134.3333333333335</v>
      </c>
      <c r="M200" s="13">
        <f t="shared" si="86"/>
        <v>1021.3333333333334</v>
      </c>
      <c r="N200" s="55"/>
    </row>
    <row r="201" spans="1:14" outlineLevel="1" x14ac:dyDescent="0.2">
      <c r="A201" s="20">
        <f t="shared" si="85"/>
        <v>3661</v>
      </c>
      <c r="B201" s="19" t="str">
        <f t="shared" si="85"/>
        <v>UTEP</v>
      </c>
      <c r="C201" s="18"/>
      <c r="D201" s="15">
        <f t="shared" si="86"/>
        <v>3057</v>
      </c>
      <c r="E201" s="188">
        <f t="shared" si="87"/>
        <v>1192.2299999999998</v>
      </c>
      <c r="F201" s="14">
        <f t="shared" si="88"/>
        <v>22.870894536023343</v>
      </c>
      <c r="G201" s="13">
        <f t="shared" si="86"/>
        <v>6298.0766666668133</v>
      </c>
      <c r="H201" s="15">
        <f t="shared" si="86"/>
        <v>655</v>
      </c>
      <c r="I201" s="13">
        <f t="shared" si="86"/>
        <v>90</v>
      </c>
      <c r="J201" s="16">
        <f t="shared" si="86"/>
        <v>2464.3333333333335</v>
      </c>
      <c r="K201" s="15">
        <f t="shared" si="86"/>
        <v>4362.666666666667</v>
      </c>
      <c r="L201" s="14">
        <f t="shared" si="86"/>
        <v>3358</v>
      </c>
      <c r="M201" s="13">
        <f t="shared" si="86"/>
        <v>1956</v>
      </c>
      <c r="N201" s="55"/>
    </row>
    <row r="202" spans="1:14" outlineLevel="1" x14ac:dyDescent="0.2">
      <c r="A202" s="20">
        <f t="shared" si="85"/>
        <v>3599</v>
      </c>
      <c r="B202" s="19" t="str">
        <f t="shared" si="85"/>
        <v>UTPA</v>
      </c>
      <c r="C202" s="18"/>
      <c r="D202" s="15">
        <f t="shared" si="86"/>
        <v>2580</v>
      </c>
      <c r="E202" s="188">
        <f t="shared" si="87"/>
        <v>1111.98</v>
      </c>
      <c r="F202" s="14">
        <f t="shared" si="88"/>
        <v>20.492490499497837</v>
      </c>
      <c r="G202" s="13">
        <f t="shared" si="86"/>
        <v>5134.1666666667797</v>
      </c>
      <c r="H202" s="15">
        <f t="shared" si="86"/>
        <v>520.33333333333337</v>
      </c>
      <c r="I202" s="13">
        <f t="shared" si="86"/>
        <v>28</v>
      </c>
      <c r="J202" s="16">
        <f t="shared" si="86"/>
        <v>2338.3333333333335</v>
      </c>
      <c r="K202" s="15">
        <f t="shared" si="86"/>
        <v>4075.3333333333335</v>
      </c>
      <c r="L202" s="14">
        <f t="shared" si="86"/>
        <v>3096</v>
      </c>
      <c r="M202" s="13">
        <f t="shared" si="86"/>
        <v>1939.3333333333333</v>
      </c>
      <c r="N202" s="55"/>
    </row>
    <row r="203" spans="1:14" outlineLevel="1" x14ac:dyDescent="0.2">
      <c r="A203" s="20">
        <f t="shared" si="85"/>
        <v>30646</v>
      </c>
      <c r="B203" s="19" t="str">
        <f t="shared" si="85"/>
        <v>UTB</v>
      </c>
      <c r="C203" s="18"/>
      <c r="D203" s="15">
        <f t="shared" si="86"/>
        <v>1092</v>
      </c>
      <c r="E203" s="188">
        <f t="shared" si="87"/>
        <v>628.17092451302005</v>
      </c>
      <c r="F203" s="14">
        <f t="shared" si="88"/>
        <v>34.461236368736628</v>
      </c>
      <c r="G203" s="13">
        <f t="shared" si="86"/>
        <v>2097.7933333333553</v>
      </c>
      <c r="H203" s="15">
        <f t="shared" si="86"/>
        <v>124.33333333333333</v>
      </c>
      <c r="I203" s="13">
        <f t="shared" si="86"/>
        <v>18.333333333333332</v>
      </c>
      <c r="J203" s="16">
        <f t="shared" si="86"/>
        <v>936.66666666666663</v>
      </c>
      <c r="K203" s="15">
        <f t="shared" si="86"/>
        <v>1326.3333333333333</v>
      </c>
      <c r="L203" s="14">
        <f t="shared" si="86"/>
        <v>556.33333333333337</v>
      </c>
      <c r="M203" s="13">
        <f t="shared" si="86"/>
        <v>100.66666666666667</v>
      </c>
      <c r="N203" s="55"/>
    </row>
    <row r="204" spans="1:14" outlineLevel="1" x14ac:dyDescent="0.2">
      <c r="A204" s="20">
        <f t="shared" si="85"/>
        <v>9930</v>
      </c>
      <c r="B204" s="19" t="str">
        <f t="shared" si="85"/>
        <v>UTPB</v>
      </c>
      <c r="C204" s="18"/>
      <c r="D204" s="15">
        <f t="shared" si="86"/>
        <v>533.33333333333337</v>
      </c>
      <c r="E204" s="188">
        <f t="shared" si="87"/>
        <v>236.8</v>
      </c>
      <c r="F204" s="14">
        <f t="shared" si="88"/>
        <v>23.125174643246009</v>
      </c>
      <c r="G204" s="13">
        <f t="shared" si="86"/>
        <v>1001.5166666666704</v>
      </c>
      <c r="H204" s="15">
        <f t="shared" si="86"/>
        <v>41.333333333333336</v>
      </c>
      <c r="I204" s="13">
        <f t="shared" si="86"/>
        <v>10</v>
      </c>
      <c r="J204" s="16">
        <f t="shared" si="86"/>
        <v>399</v>
      </c>
      <c r="K204" s="15">
        <f t="shared" si="86"/>
        <v>785.66666666666663</v>
      </c>
      <c r="L204" s="14">
        <f t="shared" si="86"/>
        <v>491.66666666666669</v>
      </c>
      <c r="M204" s="13">
        <f t="shared" si="86"/>
        <v>194.33333333333334</v>
      </c>
      <c r="N204" s="55"/>
    </row>
    <row r="205" spans="1:14" outlineLevel="1" x14ac:dyDescent="0.2">
      <c r="A205" s="20">
        <f t="shared" si="85"/>
        <v>10115</v>
      </c>
      <c r="B205" s="19" t="str">
        <f t="shared" si="85"/>
        <v>UTSA</v>
      </c>
      <c r="C205" s="18"/>
      <c r="D205" s="15">
        <f t="shared" si="86"/>
        <v>4119.666666666667</v>
      </c>
      <c r="E205" s="188">
        <f t="shared" si="87"/>
        <v>1737.1261111111112</v>
      </c>
      <c r="F205" s="14">
        <f t="shared" si="88"/>
        <v>20.241034101368403</v>
      </c>
      <c r="G205" s="13">
        <f t="shared" si="86"/>
        <v>8414.213333333224</v>
      </c>
      <c r="H205" s="15">
        <f t="shared" si="86"/>
        <v>392</v>
      </c>
      <c r="I205" s="13">
        <f t="shared" si="86"/>
        <v>49.666666666666664</v>
      </c>
      <c r="J205" s="16">
        <f t="shared" si="86"/>
        <v>3123.6666666666665</v>
      </c>
      <c r="K205" s="15">
        <f t="shared" si="86"/>
        <v>6809.666666666667</v>
      </c>
      <c r="L205" s="14">
        <f t="shared" si="86"/>
        <v>4458.666666666667</v>
      </c>
      <c r="M205" s="13">
        <f t="shared" si="86"/>
        <v>2615.6666666666665</v>
      </c>
      <c r="N205" s="55"/>
    </row>
    <row r="206" spans="1:14" outlineLevel="1" x14ac:dyDescent="0.2">
      <c r="A206" s="20">
        <f t="shared" si="85"/>
        <v>11163</v>
      </c>
      <c r="B206" s="19" t="str">
        <f t="shared" si="85"/>
        <v>UTT</v>
      </c>
      <c r="C206" s="18"/>
      <c r="D206" s="15">
        <f t="shared" si="86"/>
        <v>1190</v>
      </c>
      <c r="E206" s="188">
        <f t="shared" si="87"/>
        <v>613.64333333333343</v>
      </c>
      <c r="F206" s="14">
        <f t="shared" si="88"/>
        <v>29.255740517151896</v>
      </c>
      <c r="G206" s="13">
        <f t="shared" si="86"/>
        <v>2362.6600000000103</v>
      </c>
      <c r="H206" s="15">
        <f t="shared" si="86"/>
        <v>376.66666666666669</v>
      </c>
      <c r="I206" s="13">
        <f t="shared" si="86"/>
        <v>14</v>
      </c>
      <c r="J206" s="16">
        <f t="shared" si="86"/>
        <v>942.33333333333337</v>
      </c>
      <c r="K206" s="15">
        <f t="shared" si="86"/>
        <v>1436.3333333333333</v>
      </c>
      <c r="L206" s="14">
        <f t="shared" si="86"/>
        <v>890</v>
      </c>
      <c r="M206" s="13">
        <f t="shared" si="86"/>
        <v>387.33333333333331</v>
      </c>
      <c r="N206" s="55"/>
    </row>
    <row r="207" spans="1:14" outlineLevel="1" x14ac:dyDescent="0.2">
      <c r="A207" s="20">
        <f t="shared" si="85"/>
        <v>3632</v>
      </c>
      <c r="B207" s="19" t="str">
        <f t="shared" si="85"/>
        <v>TAMU</v>
      </c>
      <c r="C207" s="18"/>
      <c r="D207" s="15">
        <f t="shared" si="86"/>
        <v>8739.6666666666661</v>
      </c>
      <c r="E207" s="188">
        <f t="shared" si="87"/>
        <v>7347.1464444444427</v>
      </c>
      <c r="F207" s="14">
        <f t="shared" si="88"/>
        <v>25.241886570842681</v>
      </c>
      <c r="G207" s="13">
        <f t="shared" si="86"/>
        <v>20104.8166666668</v>
      </c>
      <c r="H207" s="15">
        <f t="shared" si="86"/>
        <v>1763</v>
      </c>
      <c r="I207" s="13">
        <f t="shared" si="86"/>
        <v>126</v>
      </c>
      <c r="J207" s="16">
        <f t="shared" si="86"/>
        <v>3724</v>
      </c>
      <c r="K207" s="15">
        <f t="shared" si="86"/>
        <v>10060.666666666666</v>
      </c>
      <c r="L207" s="14">
        <f t="shared" si="86"/>
        <v>8907.3333333333339</v>
      </c>
      <c r="M207" s="13">
        <f t="shared" si="86"/>
        <v>6897.666666666667</v>
      </c>
      <c r="N207" s="55"/>
    </row>
    <row r="208" spans="1:14" outlineLevel="1" x14ac:dyDescent="0.2">
      <c r="A208" s="20">
        <f t="shared" si="85"/>
        <v>10298</v>
      </c>
      <c r="B208" s="19" t="str">
        <f t="shared" si="85"/>
        <v>TAMUG</v>
      </c>
      <c r="C208" s="18"/>
      <c r="D208" s="15">
        <f t="shared" si="86"/>
        <v>275.33333333333331</v>
      </c>
      <c r="E208" s="188">
        <f t="shared" si="87"/>
        <v>172.72577777777778</v>
      </c>
      <c r="F208" s="14">
        <f t="shared" si="88"/>
        <v>16.399301143583227</v>
      </c>
      <c r="G208" s="13">
        <f t="shared" si="86"/>
        <v>704.02666666666448</v>
      </c>
      <c r="H208" s="15">
        <f t="shared" si="86"/>
        <v>37.333333333333336</v>
      </c>
      <c r="I208" s="13">
        <f t="shared" si="86"/>
        <v>0</v>
      </c>
      <c r="J208" s="16">
        <f t="shared" si="86"/>
        <v>158</v>
      </c>
      <c r="K208" s="15">
        <f t="shared" si="86"/>
        <v>592.33333333333337</v>
      </c>
      <c r="L208" s="14">
        <f t="shared" si="86"/>
        <v>318</v>
      </c>
      <c r="M208" s="13">
        <f t="shared" si="86"/>
        <v>246</v>
      </c>
      <c r="N208" s="55"/>
    </row>
    <row r="209" spans="1:14" outlineLevel="1" x14ac:dyDescent="0.2">
      <c r="A209" s="20">
        <f t="shared" si="85"/>
        <v>3630</v>
      </c>
      <c r="B209" s="19" t="str">
        <f t="shared" si="85"/>
        <v>Prairie View</v>
      </c>
      <c r="C209" s="18"/>
      <c r="D209" s="15">
        <f t="shared" si="86"/>
        <v>936.33333333333337</v>
      </c>
      <c r="E209" s="188">
        <f t="shared" si="87"/>
        <v>348.00388888888887</v>
      </c>
      <c r="F209" s="14">
        <f t="shared" si="88"/>
        <v>15.823688025296873</v>
      </c>
      <c r="G209" s="13">
        <f t="shared" si="86"/>
        <v>2072.9000000000092</v>
      </c>
      <c r="H209" s="15">
        <f t="shared" si="86"/>
        <v>315.66666666666669</v>
      </c>
      <c r="I209" s="13">
        <f t="shared" si="86"/>
        <v>9.6666666666666661</v>
      </c>
      <c r="J209" s="16">
        <f t="shared" si="86"/>
        <v>802.66666666666663</v>
      </c>
      <c r="K209" s="15">
        <f t="shared" si="86"/>
        <v>1668</v>
      </c>
      <c r="L209" s="14">
        <f t="shared" si="86"/>
        <v>1181</v>
      </c>
      <c r="M209" s="13">
        <f t="shared" si="86"/>
        <v>905.33333333333337</v>
      </c>
      <c r="N209" s="55"/>
    </row>
    <row r="210" spans="1:14" outlineLevel="1" x14ac:dyDescent="0.2">
      <c r="A210" s="20">
        <f t="shared" si="85"/>
        <v>3631</v>
      </c>
      <c r="B210" s="19" t="str">
        <f t="shared" si="85"/>
        <v>Tarleton</v>
      </c>
      <c r="C210" s="18"/>
      <c r="D210" s="15">
        <f t="shared" si="86"/>
        <v>1545.3333333333333</v>
      </c>
      <c r="E210" s="188">
        <f t="shared" si="87"/>
        <v>738.66933333333338</v>
      </c>
      <c r="F210" s="14">
        <f t="shared" si="88"/>
        <v>24.559767752325659</v>
      </c>
      <c r="G210" s="13">
        <f t="shared" si="86"/>
        <v>3122.5433333333599</v>
      </c>
      <c r="H210" s="15">
        <f t="shared" si="86"/>
        <v>203</v>
      </c>
      <c r="I210" s="13">
        <f t="shared" si="86"/>
        <v>47.666666666666664</v>
      </c>
      <c r="J210" s="16">
        <f t="shared" si="86"/>
        <v>1195</v>
      </c>
      <c r="K210" s="15">
        <f t="shared" si="86"/>
        <v>2154.3333333333335</v>
      </c>
      <c r="L210" s="14">
        <f t="shared" si="86"/>
        <v>1328.6666666666667</v>
      </c>
      <c r="M210" s="13">
        <f t="shared" si="86"/>
        <v>862.66666666666663</v>
      </c>
      <c r="N210" s="55"/>
    </row>
    <row r="211" spans="1:14" outlineLevel="1" x14ac:dyDescent="0.2">
      <c r="A211" s="27">
        <f t="shared" si="85"/>
        <v>103631</v>
      </c>
      <c r="B211" s="19" t="str">
        <f t="shared" si="85"/>
        <v>TAMUCT</v>
      </c>
      <c r="C211" s="18"/>
      <c r="D211" s="15">
        <f t="shared" si="86"/>
        <v>460.33333333333331</v>
      </c>
      <c r="E211" s="188">
        <f t="shared" si="87"/>
        <v>220.03933333333333</v>
      </c>
      <c r="F211" s="14">
        <f t="shared" si="88"/>
        <v>67.587849522007247</v>
      </c>
      <c r="G211" s="13">
        <f t="shared" si="86"/>
        <v>853.61666666666588</v>
      </c>
      <c r="H211" s="15">
        <f t="shared" si="86"/>
        <v>40.666666666666664</v>
      </c>
      <c r="I211" s="13">
        <f t="shared" si="86"/>
        <v>0</v>
      </c>
      <c r="J211" s="16">
        <f t="shared" si="86"/>
        <v>327</v>
      </c>
      <c r="K211" s="15">
        <f t="shared" si="86"/>
        <v>495</v>
      </c>
      <c r="L211" s="14">
        <f t="shared" si="86"/>
        <v>133</v>
      </c>
      <c r="M211" s="13">
        <f t="shared" si="86"/>
        <v>34</v>
      </c>
      <c r="N211" s="55"/>
    </row>
    <row r="212" spans="1:14" outlineLevel="1" x14ac:dyDescent="0.2">
      <c r="A212" s="20">
        <f t="shared" si="85"/>
        <v>11161</v>
      </c>
      <c r="B212" s="19" t="str">
        <f t="shared" si="85"/>
        <v>TAMUCC</v>
      </c>
      <c r="C212" s="18"/>
      <c r="D212" s="15">
        <f t="shared" si="86"/>
        <v>1388.3333333333333</v>
      </c>
      <c r="E212" s="188">
        <f t="shared" si="87"/>
        <v>705.27333333333331</v>
      </c>
      <c r="F212" s="14">
        <f t="shared" si="88"/>
        <v>21.376514062820775</v>
      </c>
      <c r="G212" s="13">
        <f t="shared" si="86"/>
        <v>2804.2000000000139</v>
      </c>
      <c r="H212" s="15">
        <f t="shared" si="86"/>
        <v>266.33333333333331</v>
      </c>
      <c r="I212" s="13">
        <f t="shared" si="86"/>
        <v>25.666666666666668</v>
      </c>
      <c r="J212" s="16">
        <f t="shared" si="86"/>
        <v>1080</v>
      </c>
      <c r="K212" s="15">
        <f t="shared" si="86"/>
        <v>2054</v>
      </c>
      <c r="L212" s="14">
        <f t="shared" si="86"/>
        <v>1468</v>
      </c>
      <c r="M212" s="13">
        <f t="shared" si="86"/>
        <v>878.33333333333337</v>
      </c>
      <c r="N212" s="55"/>
    </row>
    <row r="213" spans="1:14" outlineLevel="1" x14ac:dyDescent="0.2">
      <c r="A213" s="20">
        <f t="shared" si="85"/>
        <v>3639</v>
      </c>
      <c r="B213" s="19" t="str">
        <f t="shared" si="85"/>
        <v>TAMUK</v>
      </c>
      <c r="C213" s="18"/>
      <c r="D213" s="15">
        <f t="shared" si="86"/>
        <v>761.66666666666663</v>
      </c>
      <c r="E213" s="188">
        <f t="shared" si="87"/>
        <v>306.44388888888892</v>
      </c>
      <c r="F213" s="14">
        <f t="shared" si="88"/>
        <v>17.879499217527385</v>
      </c>
      <c r="G213" s="13">
        <f t="shared" si="86"/>
        <v>1763.4533333333395</v>
      </c>
      <c r="H213" s="15">
        <f t="shared" si="86"/>
        <v>260</v>
      </c>
      <c r="I213" s="13">
        <f t="shared" si="86"/>
        <v>16.666666666666668</v>
      </c>
      <c r="J213" s="16">
        <f t="shared" si="86"/>
        <v>648.33333333333337</v>
      </c>
      <c r="K213" s="15">
        <f t="shared" si="86"/>
        <v>1227.3333333333333</v>
      </c>
      <c r="L213" s="14">
        <f t="shared" si="86"/>
        <v>859.66666666666663</v>
      </c>
      <c r="M213" s="13">
        <f t="shared" si="86"/>
        <v>558.66666666666663</v>
      </c>
      <c r="N213" s="55"/>
    </row>
    <row r="214" spans="1:14" outlineLevel="1" x14ac:dyDescent="0.2">
      <c r="A214" s="27">
        <f t="shared" ref="A214:B229" si="89">A172</f>
        <v>103639</v>
      </c>
      <c r="B214" s="19" t="str">
        <f t="shared" si="89"/>
        <v>TAMUSA</v>
      </c>
      <c r="C214" s="18"/>
      <c r="D214" s="15">
        <f t="shared" ref="D214:M229" si="90">AVERAGE(D256,D298,D340)</f>
        <v>587.66666666666663</v>
      </c>
      <c r="E214" s="188">
        <f t="shared" si="87"/>
        <v>236.43788888888889</v>
      </c>
      <c r="F214" s="14">
        <f t="shared" si="88"/>
        <v>41.598502485370922</v>
      </c>
      <c r="G214" s="13">
        <f t="shared" si="90"/>
        <v>1026.0133333333379</v>
      </c>
      <c r="H214" s="15">
        <f t="shared" si="90"/>
        <v>5</v>
      </c>
      <c r="I214" s="13">
        <f t="shared" si="90"/>
        <v>2</v>
      </c>
      <c r="J214" s="16">
        <f t="shared" si="90"/>
        <v>490.33333333333331</v>
      </c>
      <c r="K214" s="15">
        <f t="shared" si="90"/>
        <v>729.66666666666663</v>
      </c>
      <c r="L214" s="14">
        <f t="shared" si="90"/>
        <v>77.333333333333329</v>
      </c>
      <c r="M214" s="13">
        <f t="shared" si="90"/>
        <v>2.6666666666666665</v>
      </c>
      <c r="N214" s="55"/>
    </row>
    <row r="215" spans="1:14" outlineLevel="1" x14ac:dyDescent="0.2">
      <c r="A215" s="20">
        <f t="shared" si="89"/>
        <v>9651</v>
      </c>
      <c r="B215" s="19" t="str">
        <f t="shared" si="89"/>
        <v>TAMI</v>
      </c>
      <c r="C215" s="18"/>
      <c r="D215" s="15">
        <f t="shared" si="90"/>
        <v>789.66666666666663</v>
      </c>
      <c r="E215" s="188">
        <f t="shared" si="87"/>
        <v>373.77555555555551</v>
      </c>
      <c r="F215" s="14">
        <f t="shared" si="88"/>
        <v>19.326154348180779</v>
      </c>
      <c r="G215" s="13">
        <f t="shared" si="90"/>
        <v>1458.4966666666717</v>
      </c>
      <c r="H215" s="15">
        <f t="shared" si="90"/>
        <v>115.66666666666667</v>
      </c>
      <c r="I215" s="13">
        <f t="shared" si="90"/>
        <v>22.333333333333332</v>
      </c>
      <c r="J215" s="16">
        <f t="shared" si="90"/>
        <v>712.66666666666663</v>
      </c>
      <c r="K215" s="15">
        <f t="shared" si="90"/>
        <v>1406.6666666666667</v>
      </c>
      <c r="L215" s="14">
        <f t="shared" si="90"/>
        <v>1015.6666666666666</v>
      </c>
      <c r="M215" s="13">
        <f t="shared" si="90"/>
        <v>473.66666666666669</v>
      </c>
      <c r="N215" s="55"/>
    </row>
    <row r="216" spans="1:14" outlineLevel="1" x14ac:dyDescent="0.2">
      <c r="A216" s="20">
        <f t="shared" si="89"/>
        <v>3665</v>
      </c>
      <c r="B216" s="19" t="str">
        <f t="shared" si="89"/>
        <v>WTAMU</v>
      </c>
      <c r="C216" s="18"/>
      <c r="D216" s="15">
        <f t="shared" si="90"/>
        <v>1255.6666666666667</v>
      </c>
      <c r="E216" s="188">
        <f t="shared" si="87"/>
        <v>591.00044444444438</v>
      </c>
      <c r="F216" s="14">
        <f t="shared" si="88"/>
        <v>23.187721854032869</v>
      </c>
      <c r="G216" s="13">
        <f t="shared" si="90"/>
        <v>2503.5766666666836</v>
      </c>
      <c r="H216" s="15">
        <f t="shared" si="90"/>
        <v>191.66666666666666</v>
      </c>
      <c r="I216" s="13">
        <f t="shared" si="90"/>
        <v>60.666666666666664</v>
      </c>
      <c r="J216" s="16">
        <f t="shared" si="90"/>
        <v>889.33333333333337</v>
      </c>
      <c r="K216" s="15">
        <f t="shared" si="90"/>
        <v>1791.6666666666667</v>
      </c>
      <c r="L216" s="14">
        <f t="shared" si="90"/>
        <v>1212.6666666666667</v>
      </c>
      <c r="M216" s="13">
        <f t="shared" si="90"/>
        <v>661.33333333333337</v>
      </c>
      <c r="N216" s="55"/>
    </row>
    <row r="217" spans="1:14" outlineLevel="1" x14ac:dyDescent="0.2">
      <c r="A217" s="20">
        <f t="shared" si="89"/>
        <v>3565</v>
      </c>
      <c r="B217" s="19" t="str">
        <f t="shared" si="89"/>
        <v>TAMUC</v>
      </c>
      <c r="C217" s="18"/>
      <c r="D217" s="15">
        <f t="shared" si="90"/>
        <v>1324.3333333333333</v>
      </c>
      <c r="E217" s="188">
        <f t="shared" si="87"/>
        <v>582.70666666666659</v>
      </c>
      <c r="F217" s="14">
        <f t="shared" si="88"/>
        <v>28.19543536269185</v>
      </c>
      <c r="G217" s="13">
        <f t="shared" si="90"/>
        <v>2501.8266666666914</v>
      </c>
      <c r="H217" s="15">
        <f t="shared" si="90"/>
        <v>73</v>
      </c>
      <c r="I217" s="13">
        <f t="shared" si="90"/>
        <v>74.333333333333329</v>
      </c>
      <c r="J217" s="16">
        <f t="shared" si="90"/>
        <v>1019.3333333333334</v>
      </c>
      <c r="K217" s="15">
        <f t="shared" si="90"/>
        <v>1893</v>
      </c>
      <c r="L217" s="14">
        <f t="shared" si="90"/>
        <v>1137.3333333333333</v>
      </c>
      <c r="M217" s="13">
        <f t="shared" si="90"/>
        <v>452.33333333333331</v>
      </c>
      <c r="N217" s="55"/>
    </row>
    <row r="218" spans="1:14" outlineLevel="1" x14ac:dyDescent="0.2">
      <c r="A218" s="20">
        <f t="shared" si="89"/>
        <v>29269</v>
      </c>
      <c r="B218" s="19" t="str">
        <f t="shared" si="89"/>
        <v>TAMUT</v>
      </c>
      <c r="C218" s="18"/>
      <c r="D218" s="15">
        <f t="shared" si="90"/>
        <v>345.66666666666669</v>
      </c>
      <c r="E218" s="188">
        <f t="shared" si="87"/>
        <v>187.3602625468375</v>
      </c>
      <c r="F218" s="14">
        <f t="shared" si="88"/>
        <v>38.766355140186917</v>
      </c>
      <c r="G218" s="13">
        <f t="shared" si="90"/>
        <v>619.90999999999826</v>
      </c>
      <c r="H218" s="15">
        <f t="shared" si="90"/>
        <v>41.666666666666664</v>
      </c>
      <c r="I218" s="13">
        <f t="shared" si="90"/>
        <v>19.333333333333332</v>
      </c>
      <c r="J218" s="16">
        <f t="shared" si="90"/>
        <v>239</v>
      </c>
      <c r="K218" s="15">
        <f t="shared" si="90"/>
        <v>432.66666666666669</v>
      </c>
      <c r="L218" s="14">
        <f t="shared" si="90"/>
        <v>181</v>
      </c>
      <c r="M218" s="13">
        <f t="shared" si="90"/>
        <v>0.66666666666666663</v>
      </c>
      <c r="N218" s="55"/>
    </row>
    <row r="219" spans="1:14" outlineLevel="1" x14ac:dyDescent="0.2">
      <c r="A219" s="20">
        <f t="shared" si="89"/>
        <v>3652</v>
      </c>
      <c r="B219" s="19" t="str">
        <f t="shared" si="89"/>
        <v>UH</v>
      </c>
      <c r="C219" s="18"/>
      <c r="D219" s="15">
        <f t="shared" si="90"/>
        <v>5098.666666666667</v>
      </c>
      <c r="E219" s="188">
        <f t="shared" si="87"/>
        <v>2734.5848888888891</v>
      </c>
      <c r="F219" s="14">
        <f t="shared" si="88"/>
        <v>21.425049678026625</v>
      </c>
      <c r="G219" s="13">
        <f t="shared" si="90"/>
        <v>10580.246666665944</v>
      </c>
      <c r="H219" s="15">
        <f t="shared" si="90"/>
        <v>737</v>
      </c>
      <c r="I219" s="13">
        <f t="shared" si="90"/>
        <v>62.666666666666664</v>
      </c>
      <c r="J219" s="16">
        <f t="shared" si="90"/>
        <v>3373</v>
      </c>
      <c r="K219" s="15">
        <f t="shared" si="90"/>
        <v>7602.333333333333</v>
      </c>
      <c r="L219" s="14">
        <f t="shared" si="90"/>
        <v>5690.333333333333</v>
      </c>
      <c r="M219" s="13">
        <f t="shared" si="90"/>
        <v>3307.3333333333335</v>
      </c>
      <c r="N219" s="55"/>
    </row>
    <row r="220" spans="1:14" outlineLevel="1" x14ac:dyDescent="0.2">
      <c r="A220" s="20">
        <f t="shared" si="89"/>
        <v>11711</v>
      </c>
      <c r="B220" s="19" t="str">
        <f t="shared" si="89"/>
        <v>UHCL</v>
      </c>
      <c r="C220" s="18"/>
      <c r="D220" s="15">
        <f t="shared" si="90"/>
        <v>1190.6666666666667</v>
      </c>
      <c r="E220" s="188">
        <f t="shared" si="87"/>
        <v>619.34267935898833</v>
      </c>
      <c r="F220" s="14">
        <f t="shared" si="88"/>
        <v>39.693593314763234</v>
      </c>
      <c r="G220" s="13">
        <f t="shared" si="90"/>
        <v>2282.9533333333529</v>
      </c>
      <c r="H220" s="15">
        <f t="shared" si="90"/>
        <v>106.66666666666667</v>
      </c>
      <c r="I220" s="13">
        <f t="shared" si="90"/>
        <v>8.3333333333333339</v>
      </c>
      <c r="J220" s="16">
        <f t="shared" si="90"/>
        <v>774.33333333333337</v>
      </c>
      <c r="K220" s="15">
        <f t="shared" si="90"/>
        <v>1391.3333333333333</v>
      </c>
      <c r="L220" s="14">
        <f t="shared" si="90"/>
        <v>953.66666666666663</v>
      </c>
      <c r="M220" s="13">
        <f t="shared" si="90"/>
        <v>57</v>
      </c>
      <c r="N220" s="55"/>
    </row>
    <row r="221" spans="1:14" outlineLevel="1" x14ac:dyDescent="0.2">
      <c r="A221" s="20">
        <f t="shared" si="89"/>
        <v>12826</v>
      </c>
      <c r="B221" s="19" t="str">
        <f t="shared" si="89"/>
        <v>UHD</v>
      </c>
      <c r="C221" s="18"/>
      <c r="D221" s="15">
        <f t="shared" si="90"/>
        <v>2382.3333333333335</v>
      </c>
      <c r="E221" s="188">
        <f t="shared" si="87"/>
        <v>452.64333333333343</v>
      </c>
      <c r="F221" s="14">
        <f t="shared" si="88"/>
        <v>29.833031863086134</v>
      </c>
      <c r="G221" s="13">
        <f t="shared" si="90"/>
        <v>4271.3166666667212</v>
      </c>
      <c r="H221" s="15">
        <f t="shared" si="90"/>
        <v>129.66666666666666</v>
      </c>
      <c r="I221" s="13">
        <f t="shared" si="90"/>
        <v>1.6666666666666667</v>
      </c>
      <c r="J221" s="16">
        <f t="shared" si="90"/>
        <v>1681</v>
      </c>
      <c r="K221" s="15">
        <f t="shared" si="90"/>
        <v>3105.3333333333335</v>
      </c>
      <c r="L221" s="14">
        <f t="shared" si="90"/>
        <v>1868.3333333333333</v>
      </c>
      <c r="M221" s="13">
        <f t="shared" si="90"/>
        <v>604.66666666666663</v>
      </c>
      <c r="N221" s="55"/>
    </row>
    <row r="222" spans="1:14" outlineLevel="1" x14ac:dyDescent="0.2">
      <c r="A222" s="20">
        <f t="shared" si="89"/>
        <v>13231</v>
      </c>
      <c r="B222" s="19" t="str">
        <f t="shared" si="89"/>
        <v>UHV</v>
      </c>
      <c r="C222" s="18"/>
      <c r="D222" s="15">
        <f t="shared" si="90"/>
        <v>576.66666666666663</v>
      </c>
      <c r="E222" s="188">
        <f t="shared" si="87"/>
        <v>300.19546283886069</v>
      </c>
      <c r="F222" s="14">
        <f t="shared" si="88"/>
        <v>40.08464889245883</v>
      </c>
      <c r="G222" s="13">
        <f t="shared" si="90"/>
        <v>1084.4800000000012</v>
      </c>
      <c r="H222" s="15">
        <f t="shared" si="90"/>
        <v>108</v>
      </c>
      <c r="I222" s="13">
        <f t="shared" si="90"/>
        <v>7.333333333333333</v>
      </c>
      <c r="J222" s="16">
        <f t="shared" si="90"/>
        <v>384</v>
      </c>
      <c r="K222" s="15">
        <f t="shared" si="90"/>
        <v>716</v>
      </c>
      <c r="L222" s="14">
        <f t="shared" si="90"/>
        <v>296.33333333333331</v>
      </c>
      <c r="M222" s="13">
        <f t="shared" si="90"/>
        <v>6.666666666666667</v>
      </c>
      <c r="N222" s="55"/>
    </row>
    <row r="223" spans="1:14" outlineLevel="1" x14ac:dyDescent="0.2">
      <c r="A223" s="20">
        <f t="shared" si="89"/>
        <v>3592</v>
      </c>
      <c r="B223" s="19" t="str">
        <f t="shared" si="89"/>
        <v>Midwestern</v>
      </c>
      <c r="C223" s="18"/>
      <c r="D223" s="15">
        <f t="shared" si="90"/>
        <v>1031.6666666666667</v>
      </c>
      <c r="E223" s="188">
        <f t="shared" si="87"/>
        <v>453.24555555555554</v>
      </c>
      <c r="F223" s="14">
        <f t="shared" si="88"/>
        <v>24.122522148034601</v>
      </c>
      <c r="G223" s="13">
        <f t="shared" si="90"/>
        <v>1962.0000000000034</v>
      </c>
      <c r="H223" s="15">
        <f t="shared" si="90"/>
        <v>333.33333333333331</v>
      </c>
      <c r="I223" s="13">
        <f t="shared" si="90"/>
        <v>15</v>
      </c>
      <c r="J223" s="16">
        <f t="shared" si="90"/>
        <v>690.33333333333337</v>
      </c>
      <c r="K223" s="15">
        <f t="shared" si="90"/>
        <v>1438</v>
      </c>
      <c r="L223" s="14">
        <f t="shared" si="90"/>
        <v>1046</v>
      </c>
      <c r="M223" s="13">
        <f t="shared" si="90"/>
        <v>679.66666666666663</v>
      </c>
      <c r="N223" s="55"/>
    </row>
    <row r="224" spans="1:14" outlineLevel="1" x14ac:dyDescent="0.2">
      <c r="A224" s="20">
        <f t="shared" si="89"/>
        <v>3594</v>
      </c>
      <c r="B224" s="19" t="str">
        <f t="shared" si="89"/>
        <v>UNT</v>
      </c>
      <c r="C224" s="18"/>
      <c r="D224" s="15">
        <f t="shared" si="90"/>
        <v>6016.666666666667</v>
      </c>
      <c r="E224" s="188">
        <f t="shared" si="87"/>
        <v>3467.6055555555558</v>
      </c>
      <c r="F224" s="14">
        <f t="shared" si="88"/>
        <v>25.886944566084125</v>
      </c>
      <c r="G224" s="13">
        <f t="shared" si="90"/>
        <v>11411.553333332529</v>
      </c>
      <c r="H224" s="15">
        <f t="shared" si="90"/>
        <v>336.66666666666669</v>
      </c>
      <c r="I224" s="13">
        <f t="shared" si="90"/>
        <v>43.333333333333336</v>
      </c>
      <c r="J224" s="16">
        <f t="shared" si="90"/>
        <v>3820</v>
      </c>
      <c r="K224" s="15">
        <f t="shared" si="90"/>
        <v>7864.666666666667</v>
      </c>
      <c r="L224" s="14">
        <f t="shared" si="90"/>
        <v>5642.333333333333</v>
      </c>
      <c r="M224" s="13">
        <f t="shared" si="90"/>
        <v>3337</v>
      </c>
      <c r="N224" s="55"/>
    </row>
    <row r="225" spans="1:14" outlineLevel="1" x14ac:dyDescent="0.2">
      <c r="A225" s="27">
        <f t="shared" si="89"/>
        <v>113594</v>
      </c>
      <c r="B225" s="19" t="str">
        <f t="shared" si="89"/>
        <v>UNTD</v>
      </c>
      <c r="C225" s="18"/>
      <c r="D225" s="15">
        <f t="shared" si="90"/>
        <v>403.5</v>
      </c>
      <c r="E225" s="188">
        <f t="shared" si="87"/>
        <v>233.02125000000001</v>
      </c>
      <c r="F225" s="14">
        <f t="shared" si="88"/>
        <v>42.647266065388948</v>
      </c>
      <c r="G225" s="13">
        <f t="shared" si="90"/>
        <v>705.85999999999717</v>
      </c>
      <c r="H225" s="15">
        <f t="shared" si="90"/>
        <v>12</v>
      </c>
      <c r="I225" s="13">
        <f t="shared" si="90"/>
        <v>0</v>
      </c>
      <c r="J225" s="16">
        <f t="shared" si="90"/>
        <v>308.5</v>
      </c>
      <c r="K225" s="15">
        <f t="shared" si="90"/>
        <v>478</v>
      </c>
      <c r="L225" s="14">
        <f t="shared" si="90"/>
        <v>71.5</v>
      </c>
      <c r="M225" s="13">
        <f t="shared" si="90"/>
        <v>11</v>
      </c>
      <c r="N225" s="55"/>
    </row>
    <row r="226" spans="1:14" outlineLevel="1" x14ac:dyDescent="0.2">
      <c r="A226" s="20">
        <f t="shared" si="89"/>
        <v>3624</v>
      </c>
      <c r="B226" s="19" t="str">
        <f t="shared" si="89"/>
        <v>SFA</v>
      </c>
      <c r="C226" s="18"/>
      <c r="D226" s="15">
        <f t="shared" si="90"/>
        <v>1921.6666666666667</v>
      </c>
      <c r="E226" s="188">
        <f t="shared" si="87"/>
        <v>1064.6033333333332</v>
      </c>
      <c r="F226" s="14">
        <f t="shared" si="88"/>
        <v>20.257544310083915</v>
      </c>
      <c r="G226" s="13">
        <f t="shared" si="90"/>
        <v>3721.736666666669</v>
      </c>
      <c r="H226" s="15">
        <f t="shared" si="90"/>
        <v>248</v>
      </c>
      <c r="I226" s="13">
        <f t="shared" si="90"/>
        <v>44.666666666666664</v>
      </c>
      <c r="J226" s="16">
        <f t="shared" si="90"/>
        <v>1460.3333333333333</v>
      </c>
      <c r="K226" s="15">
        <f t="shared" si="90"/>
        <v>2769.3333333333335</v>
      </c>
      <c r="L226" s="14">
        <f t="shared" si="90"/>
        <v>2075</v>
      </c>
      <c r="M226" s="13">
        <f t="shared" si="90"/>
        <v>1397.3333333333333</v>
      </c>
      <c r="N226" s="55"/>
    </row>
    <row r="227" spans="1:14" outlineLevel="1" x14ac:dyDescent="0.2">
      <c r="A227" s="20">
        <f t="shared" si="89"/>
        <v>3642</v>
      </c>
      <c r="B227" s="19" t="str">
        <f t="shared" si="89"/>
        <v>TSU</v>
      </c>
      <c r="C227" s="18"/>
      <c r="D227" s="15">
        <f t="shared" si="90"/>
        <v>758.33333333333337</v>
      </c>
      <c r="E227" s="188">
        <f t="shared" si="87"/>
        <v>108.94722222222221</v>
      </c>
      <c r="F227" s="14">
        <f t="shared" si="88"/>
        <v>12.933681010892716</v>
      </c>
      <c r="G227" s="13">
        <f t="shared" si="90"/>
        <v>1488.6533333333352</v>
      </c>
      <c r="H227" s="15">
        <f t="shared" si="90"/>
        <v>134.33333333333334</v>
      </c>
      <c r="I227" s="13">
        <f t="shared" si="90"/>
        <v>3</v>
      </c>
      <c r="J227" s="16">
        <f t="shared" si="90"/>
        <v>666.33333333333337</v>
      </c>
      <c r="K227" s="15">
        <f t="shared" si="90"/>
        <v>1637.3333333333333</v>
      </c>
      <c r="L227" s="14">
        <f t="shared" si="90"/>
        <v>1133</v>
      </c>
      <c r="M227" s="13">
        <f t="shared" si="90"/>
        <v>848.66666666666663</v>
      </c>
      <c r="N227" s="55"/>
    </row>
    <row r="228" spans="1:14" outlineLevel="1" x14ac:dyDescent="0.2">
      <c r="A228" s="20">
        <f t="shared" si="89"/>
        <v>3644</v>
      </c>
      <c r="B228" s="19" t="str">
        <f t="shared" si="89"/>
        <v>TTU</v>
      </c>
      <c r="C228" s="18"/>
      <c r="D228" s="15">
        <f t="shared" si="90"/>
        <v>4674</v>
      </c>
      <c r="E228" s="188">
        <f t="shared" si="87"/>
        <v>3421.3679999999995</v>
      </c>
      <c r="F228" s="14">
        <f t="shared" si="88"/>
        <v>21.061243127033354</v>
      </c>
      <c r="G228" s="13">
        <f t="shared" si="90"/>
        <v>10128.113333332682</v>
      </c>
      <c r="H228" s="15">
        <f t="shared" si="90"/>
        <v>727.33333333333337</v>
      </c>
      <c r="I228" s="13">
        <f t="shared" si="90"/>
        <v>57.333333333333336</v>
      </c>
      <c r="J228" s="16">
        <f t="shared" si="90"/>
        <v>2778</v>
      </c>
      <c r="K228" s="15">
        <f t="shared" si="90"/>
        <v>6485.333333333333</v>
      </c>
      <c r="L228" s="14">
        <f t="shared" si="90"/>
        <v>5278.333333333333</v>
      </c>
      <c r="M228" s="13">
        <f t="shared" si="90"/>
        <v>3945.6666666666665</v>
      </c>
      <c r="N228" s="55"/>
    </row>
    <row r="229" spans="1:14" outlineLevel="1" x14ac:dyDescent="0.2">
      <c r="A229" s="20">
        <f t="shared" si="89"/>
        <v>3541</v>
      </c>
      <c r="B229" s="19" t="str">
        <f t="shared" si="89"/>
        <v>Angelo</v>
      </c>
      <c r="C229" s="18"/>
      <c r="D229" s="15">
        <f t="shared" si="90"/>
        <v>991.33333333333337</v>
      </c>
      <c r="E229" s="188">
        <f t="shared" si="87"/>
        <v>425.94288888888889</v>
      </c>
      <c r="F229" s="14">
        <f t="shared" si="88"/>
        <v>20.305700708264297</v>
      </c>
      <c r="G229" s="13">
        <f t="shared" si="90"/>
        <v>1977.3500000000051</v>
      </c>
      <c r="H229" s="15">
        <f t="shared" si="90"/>
        <v>254.33333333333334</v>
      </c>
      <c r="I229" s="13">
        <f t="shared" si="90"/>
        <v>19.333333333333332</v>
      </c>
      <c r="J229" s="16">
        <f t="shared" si="90"/>
        <v>723</v>
      </c>
      <c r="K229" s="15">
        <f t="shared" si="90"/>
        <v>1438.6666666666667</v>
      </c>
      <c r="L229" s="14">
        <f t="shared" si="90"/>
        <v>1033.6666666666667</v>
      </c>
      <c r="M229" s="13">
        <f t="shared" si="90"/>
        <v>707.66666666666663</v>
      </c>
      <c r="N229" s="55"/>
    </row>
    <row r="230" spans="1:14" outlineLevel="1" x14ac:dyDescent="0.2">
      <c r="A230" s="20">
        <f t="shared" ref="A230:B235" si="91">A188</f>
        <v>3646</v>
      </c>
      <c r="B230" s="19" t="str">
        <f t="shared" si="91"/>
        <v>TWU</v>
      </c>
      <c r="C230" s="18"/>
      <c r="D230" s="15">
        <f t="shared" ref="D230:M235" si="92">AVERAGE(D272,D314,D356)</f>
        <v>1806</v>
      </c>
      <c r="E230" s="188">
        <f t="shared" si="87"/>
        <v>945.74200000000008</v>
      </c>
      <c r="F230" s="14">
        <f t="shared" si="88"/>
        <v>27.545604295039961</v>
      </c>
      <c r="G230" s="13">
        <f t="shared" si="92"/>
        <v>3452.1766666666658</v>
      </c>
      <c r="H230" s="15">
        <f t="shared" si="92"/>
        <v>569.33333333333337</v>
      </c>
      <c r="I230" s="13">
        <f t="shared" si="92"/>
        <v>31.666666666666668</v>
      </c>
      <c r="J230" s="16">
        <f t="shared" si="92"/>
        <v>1247</v>
      </c>
      <c r="K230" s="15">
        <f t="shared" si="92"/>
        <v>2196</v>
      </c>
      <c r="L230" s="14">
        <f t="shared" si="92"/>
        <v>1292.3333333333333</v>
      </c>
      <c r="M230" s="13">
        <f t="shared" si="92"/>
        <v>659.66666666666663</v>
      </c>
      <c r="N230" s="55"/>
    </row>
    <row r="231" spans="1:14" outlineLevel="1" x14ac:dyDescent="0.2">
      <c r="A231" s="20">
        <f t="shared" si="91"/>
        <v>3581</v>
      </c>
      <c r="B231" s="19" t="str">
        <f t="shared" si="91"/>
        <v>Lamar</v>
      </c>
      <c r="C231" s="18"/>
      <c r="D231" s="15">
        <f t="shared" si="92"/>
        <v>1335.3333333333333</v>
      </c>
      <c r="E231" s="188">
        <f t="shared" si="87"/>
        <v>467.81177777777776</v>
      </c>
      <c r="F231" s="14">
        <f t="shared" si="88"/>
        <v>18.354929164452098</v>
      </c>
      <c r="G231" s="13">
        <f t="shared" si="92"/>
        <v>2684.9000000000165</v>
      </c>
      <c r="H231" s="15">
        <f t="shared" si="92"/>
        <v>330</v>
      </c>
      <c r="I231" s="13">
        <f t="shared" si="92"/>
        <v>17</v>
      </c>
      <c r="J231" s="16">
        <f t="shared" si="92"/>
        <v>948.66666666666663</v>
      </c>
      <c r="K231" s="15">
        <f t="shared" si="92"/>
        <v>2144.6666666666665</v>
      </c>
      <c r="L231" s="14">
        <f t="shared" si="92"/>
        <v>1489</v>
      </c>
      <c r="M231" s="13">
        <f t="shared" si="92"/>
        <v>1011</v>
      </c>
      <c r="N231" s="55"/>
    </row>
    <row r="232" spans="1:14" outlineLevel="1" x14ac:dyDescent="0.2">
      <c r="A232" s="20">
        <f t="shared" si="91"/>
        <v>3606</v>
      </c>
      <c r="B232" s="19" t="str">
        <f t="shared" si="91"/>
        <v>SHSU</v>
      </c>
      <c r="C232" s="18"/>
      <c r="D232" s="15">
        <f t="shared" si="92"/>
        <v>3077.6666666666665</v>
      </c>
      <c r="E232" s="188">
        <f t="shared" si="87"/>
        <v>1805.5644444444445</v>
      </c>
      <c r="F232" s="14">
        <f t="shared" si="88"/>
        <v>24.475654239301015</v>
      </c>
      <c r="G232" s="13">
        <f t="shared" si="92"/>
        <v>5837.0766666667887</v>
      </c>
      <c r="H232" s="15">
        <f t="shared" si="92"/>
        <v>167</v>
      </c>
      <c r="I232" s="13">
        <f t="shared" si="92"/>
        <v>61</v>
      </c>
      <c r="J232" s="16">
        <f t="shared" si="92"/>
        <v>2213.6666666666665</v>
      </c>
      <c r="K232" s="15">
        <f t="shared" si="92"/>
        <v>3894.3333333333335</v>
      </c>
      <c r="L232" s="14">
        <f t="shared" si="92"/>
        <v>2965.3333333333335</v>
      </c>
      <c r="M232" s="13">
        <f t="shared" si="92"/>
        <v>1763.3333333333333</v>
      </c>
    </row>
    <row r="233" spans="1:14" outlineLevel="1" x14ac:dyDescent="0.2">
      <c r="A233" s="20">
        <f t="shared" si="91"/>
        <v>3615</v>
      </c>
      <c r="B233" s="19" t="str">
        <f t="shared" si="91"/>
        <v>TXST</v>
      </c>
      <c r="C233" s="18"/>
      <c r="D233" s="15">
        <f t="shared" si="92"/>
        <v>5361</v>
      </c>
      <c r="E233" s="188">
        <f t="shared" si="87"/>
        <v>3393.5129999999999</v>
      </c>
      <c r="F233" s="14">
        <f t="shared" si="88"/>
        <v>23.406891519786395</v>
      </c>
      <c r="G233" s="13">
        <f t="shared" si="92"/>
        <v>10437.309999999357</v>
      </c>
      <c r="H233" s="15">
        <f t="shared" si="92"/>
        <v>488.66666666666669</v>
      </c>
      <c r="I233" s="13">
        <f t="shared" si="92"/>
        <v>66.666666666666671</v>
      </c>
      <c r="J233" s="16">
        <f t="shared" si="92"/>
        <v>3675.3333333333335</v>
      </c>
      <c r="K233" s="15">
        <f t="shared" si="92"/>
        <v>7470.333333333333</v>
      </c>
      <c r="L233" s="14">
        <f t="shared" si="92"/>
        <v>5579</v>
      </c>
      <c r="M233" s="13">
        <f t="shared" si="92"/>
        <v>3317.3333333333335</v>
      </c>
    </row>
    <row r="234" spans="1:14" outlineLevel="1" x14ac:dyDescent="0.2">
      <c r="A234" s="20">
        <f t="shared" si="91"/>
        <v>3625</v>
      </c>
      <c r="B234" s="19" t="str">
        <f t="shared" si="91"/>
        <v>SRSU</v>
      </c>
      <c r="C234" s="18"/>
      <c r="D234" s="15">
        <f t="shared" si="92"/>
        <v>189.33333333333334</v>
      </c>
      <c r="E234" s="188">
        <f t="shared" si="87"/>
        <v>56.989333333333335</v>
      </c>
      <c r="F234" s="14">
        <f t="shared" si="88"/>
        <v>15.518843008324076</v>
      </c>
      <c r="G234" s="13">
        <f t="shared" si="92"/>
        <v>394.32999999999964</v>
      </c>
      <c r="H234" s="15">
        <f t="shared" si="92"/>
        <v>12.666666666666666</v>
      </c>
      <c r="I234" s="13">
        <f t="shared" si="92"/>
        <v>6.333333333333333</v>
      </c>
      <c r="J234" s="16">
        <f t="shared" si="92"/>
        <v>163</v>
      </c>
      <c r="K234" s="15">
        <f t="shared" si="92"/>
        <v>300</v>
      </c>
      <c r="L234" s="14">
        <f t="shared" si="92"/>
        <v>193.66666666666666</v>
      </c>
      <c r="M234" s="13">
        <f t="shared" si="92"/>
        <v>131.66666666666666</v>
      </c>
      <c r="N234" s="41"/>
    </row>
    <row r="235" spans="1:14" outlineLevel="1" x14ac:dyDescent="0.2">
      <c r="A235" s="20">
        <f t="shared" si="91"/>
        <v>20</v>
      </c>
      <c r="B235" s="19" t="str">
        <f t="shared" si="91"/>
        <v>SRRG</v>
      </c>
      <c r="C235" s="18"/>
      <c r="D235" s="15">
        <f t="shared" si="92"/>
        <v>161.66666666666666</v>
      </c>
      <c r="E235" s="188">
        <f t="shared" si="87"/>
        <v>51.365976618337754</v>
      </c>
      <c r="F235" s="14">
        <f t="shared" si="88"/>
        <v>36.596408270033706</v>
      </c>
      <c r="G235" s="13">
        <f t="shared" si="92"/>
        <v>279.16999999999979</v>
      </c>
      <c r="H235" s="15">
        <f t="shared" si="92"/>
        <v>6.333333333333333</v>
      </c>
      <c r="I235" s="13">
        <f t="shared" si="92"/>
        <v>5.666666666666667</v>
      </c>
      <c r="J235" s="16">
        <f t="shared" si="92"/>
        <v>144</v>
      </c>
      <c r="K235" s="15">
        <f t="shared" si="92"/>
        <v>230</v>
      </c>
      <c r="L235" s="14">
        <f t="shared" si="92"/>
        <v>92.666666666666671</v>
      </c>
      <c r="M235" s="13">
        <f t="shared" si="92"/>
        <v>4.333333333333333</v>
      </c>
    </row>
    <row r="236" spans="1:14" ht="13.5" outlineLevel="1" thickBot="1" x14ac:dyDescent="0.25">
      <c r="A236" s="12"/>
      <c r="B236" s="11" t="s">
        <v>11</v>
      </c>
      <c r="C236" s="10"/>
      <c r="D236" s="9">
        <f>SUM(D198:D235)</f>
        <v>84315.833333333314</v>
      </c>
      <c r="E236" s="210">
        <f>SUM(E198:E235)</f>
        <v>49031.80588920939</v>
      </c>
      <c r="F236" s="7">
        <f t="shared" ref="F236:M236" si="93">SUM(F198:F235)</f>
        <v>1017.4700431877567</v>
      </c>
      <c r="G236" s="3">
        <f t="shared" si="93"/>
        <v>172461.13999999844</v>
      </c>
      <c r="H236" s="5">
        <f t="shared" si="93"/>
        <v>13953.333333333332</v>
      </c>
      <c r="I236" s="3">
        <f t="shared" si="93"/>
        <v>1198.3333333333335</v>
      </c>
      <c r="J236" s="6">
        <f t="shared" si="93"/>
        <v>54446.500000000007</v>
      </c>
      <c r="K236" s="5">
        <f t="shared" si="93"/>
        <v>114212.66666666664</v>
      </c>
      <c r="L236" s="4">
        <f t="shared" si="93"/>
        <v>82344.5</v>
      </c>
      <c r="M236" s="3">
        <f t="shared" si="93"/>
        <v>50801.999999999993</v>
      </c>
    </row>
    <row r="237" spans="1:14" ht="13.5" thickBot="1" x14ac:dyDescent="0.25">
      <c r="A237" s="45" t="s">
        <v>27</v>
      </c>
      <c r="B237" s="45"/>
      <c r="C237" s="45"/>
      <c r="D237" s="54"/>
      <c r="F237" s="54"/>
      <c r="J237" s="54"/>
    </row>
    <row r="238" spans="1:14" ht="12.75" customHeight="1" outlineLevel="1" x14ac:dyDescent="0.2">
      <c r="A238" s="273" t="s">
        <v>24</v>
      </c>
      <c r="B238" s="275" t="s">
        <v>23</v>
      </c>
      <c r="C238" s="277"/>
      <c r="D238" s="306" t="s">
        <v>22</v>
      </c>
      <c r="E238" s="301" t="s">
        <v>21</v>
      </c>
      <c r="F238" s="275" t="s">
        <v>20</v>
      </c>
      <c r="G238" s="297" t="s">
        <v>19</v>
      </c>
      <c r="H238" s="299" t="s">
        <v>18</v>
      </c>
      <c r="I238" s="291" t="s">
        <v>17</v>
      </c>
      <c r="J238" s="293" t="s">
        <v>16</v>
      </c>
      <c r="K238" s="295" t="s">
        <v>15</v>
      </c>
      <c r="L238" s="296"/>
      <c r="M238" s="296"/>
    </row>
    <row r="239" spans="1:14" s="41" customFormat="1" ht="36" customHeight="1" outlineLevel="1" thickBot="1" x14ac:dyDescent="0.25">
      <c r="A239" s="274"/>
      <c r="B239" s="276"/>
      <c r="C239" s="278"/>
      <c r="D239" s="307"/>
      <c r="E239" s="302"/>
      <c r="F239" s="276"/>
      <c r="G239" s="298"/>
      <c r="H239" s="300"/>
      <c r="I239" s="292"/>
      <c r="J239" s="294"/>
      <c r="K239" s="44" t="s">
        <v>14</v>
      </c>
      <c r="L239" s="43" t="s">
        <v>13</v>
      </c>
      <c r="M239" s="42" t="s">
        <v>12</v>
      </c>
      <c r="N239" s="1"/>
    </row>
    <row r="240" spans="1:14" outlineLevel="1" x14ac:dyDescent="0.2">
      <c r="A240" s="40">
        <f t="shared" ref="A240:B255" si="94">A198</f>
        <v>3656</v>
      </c>
      <c r="B240" s="39" t="str">
        <f t="shared" si="94"/>
        <v>UTA</v>
      </c>
      <c r="C240" s="38"/>
      <c r="D240" s="33">
        <v>5773</v>
      </c>
      <c r="E240" s="37">
        <v>0.55500000000000005</v>
      </c>
      <c r="F240" s="32">
        <v>17781.466666666667</v>
      </c>
      <c r="G240" s="51">
        <v>12087.560000000249</v>
      </c>
      <c r="H240" s="36">
        <v>2140</v>
      </c>
      <c r="I240" s="35">
        <v>43</v>
      </c>
      <c r="J240" s="34">
        <v>3528</v>
      </c>
      <c r="K240" s="53">
        <v>6893</v>
      </c>
      <c r="L240" s="52">
        <v>3962</v>
      </c>
      <c r="M240" s="51">
        <v>1894</v>
      </c>
    </row>
    <row r="241" spans="1:13" outlineLevel="1" x14ac:dyDescent="0.2">
      <c r="A241" s="20">
        <f t="shared" si="94"/>
        <v>3658</v>
      </c>
      <c r="B241" s="19" t="str">
        <f t="shared" si="94"/>
        <v>UT</v>
      </c>
      <c r="C241" s="18"/>
      <c r="D241" s="15">
        <v>8860</v>
      </c>
      <c r="E241" s="21">
        <v>0.82499999999999996</v>
      </c>
      <c r="F241" s="14">
        <v>33841.466666666667</v>
      </c>
      <c r="G241" s="28">
        <v>19542.67999999996</v>
      </c>
      <c r="H241" s="15">
        <v>1981</v>
      </c>
      <c r="I241" s="13">
        <v>83</v>
      </c>
      <c r="J241" s="16">
        <v>3501</v>
      </c>
      <c r="K241" s="30">
        <v>9260</v>
      </c>
      <c r="L241" s="29">
        <v>8373</v>
      </c>
      <c r="M241" s="28">
        <v>6348</v>
      </c>
    </row>
    <row r="242" spans="1:13" outlineLevel="1" x14ac:dyDescent="0.2">
      <c r="A242" s="20">
        <f t="shared" si="94"/>
        <v>9741</v>
      </c>
      <c r="B242" s="19" t="str">
        <f t="shared" si="94"/>
        <v>UTD</v>
      </c>
      <c r="C242" s="18"/>
      <c r="D242" s="15">
        <v>2510</v>
      </c>
      <c r="E242" s="21">
        <v>0.71900000000000008</v>
      </c>
      <c r="F242" s="14">
        <v>9826.5333333333328</v>
      </c>
      <c r="G242" s="28">
        <v>5443.8700000002518</v>
      </c>
      <c r="H242" s="15">
        <v>449</v>
      </c>
      <c r="I242" s="13">
        <v>33</v>
      </c>
      <c r="J242" s="16">
        <v>1410</v>
      </c>
      <c r="K242" s="30">
        <v>3522</v>
      </c>
      <c r="L242" s="29">
        <v>2348</v>
      </c>
      <c r="M242" s="28">
        <v>1065</v>
      </c>
    </row>
    <row r="243" spans="1:13" outlineLevel="1" x14ac:dyDescent="0.2">
      <c r="A243" s="20">
        <f t="shared" si="94"/>
        <v>3661</v>
      </c>
      <c r="B243" s="19" t="str">
        <f t="shared" si="94"/>
        <v>UTEP</v>
      </c>
      <c r="C243" s="18"/>
      <c r="D243" s="15">
        <v>3132</v>
      </c>
      <c r="E243" s="21">
        <v>0.41200000000000003</v>
      </c>
      <c r="F243" s="14">
        <v>13931.066666666668</v>
      </c>
      <c r="G243" s="28">
        <v>6456.0600000003096</v>
      </c>
      <c r="H243" s="15">
        <v>643</v>
      </c>
      <c r="I243" s="13">
        <v>86</v>
      </c>
      <c r="J243" s="16">
        <v>2590</v>
      </c>
      <c r="K243" s="30">
        <v>4400</v>
      </c>
      <c r="L243" s="29">
        <v>3304</v>
      </c>
      <c r="M243" s="28">
        <v>1986</v>
      </c>
    </row>
    <row r="244" spans="1:13" outlineLevel="1" x14ac:dyDescent="0.2">
      <c r="A244" s="20">
        <f t="shared" si="94"/>
        <v>3599</v>
      </c>
      <c r="B244" s="19" t="str">
        <f t="shared" si="94"/>
        <v>UTPA</v>
      </c>
      <c r="C244" s="18"/>
      <c r="D244" s="15">
        <v>2462</v>
      </c>
      <c r="E244" s="21">
        <v>0.44</v>
      </c>
      <c r="F244" s="14">
        <v>12698.333333333334</v>
      </c>
      <c r="G244" s="28">
        <v>5000.2800000001325</v>
      </c>
      <c r="H244" s="15">
        <v>547</v>
      </c>
      <c r="I244" s="13">
        <v>19</v>
      </c>
      <c r="J244" s="16">
        <v>2247</v>
      </c>
      <c r="K244" s="30">
        <v>3730</v>
      </c>
      <c r="L244" s="29">
        <v>2862</v>
      </c>
      <c r="M244" s="28">
        <v>1896</v>
      </c>
    </row>
    <row r="245" spans="1:13" outlineLevel="1" x14ac:dyDescent="0.2">
      <c r="A245" s="20">
        <f t="shared" si="94"/>
        <v>30646</v>
      </c>
      <c r="B245" s="19" t="str">
        <f t="shared" si="94"/>
        <v>UTB</v>
      </c>
      <c r="C245" s="18"/>
      <c r="D245" s="15">
        <v>1149</v>
      </c>
      <c r="E245" s="17">
        <v>0.52783109404990403</v>
      </c>
      <c r="F245" s="14">
        <v>3400.5333333333333</v>
      </c>
      <c r="G245" s="28">
        <v>2236.3100000000127</v>
      </c>
      <c r="H245" s="15">
        <v>133</v>
      </c>
      <c r="I245" s="13">
        <v>21</v>
      </c>
      <c r="J245" s="16">
        <v>978</v>
      </c>
      <c r="K245" s="30">
        <v>1243</v>
      </c>
      <c r="L245" s="29">
        <v>486</v>
      </c>
      <c r="M245" s="28">
        <v>99</v>
      </c>
    </row>
    <row r="246" spans="1:13" outlineLevel="1" x14ac:dyDescent="0.2">
      <c r="A246" s="20">
        <f t="shared" si="94"/>
        <v>9930</v>
      </c>
      <c r="B246" s="19" t="str">
        <f t="shared" si="94"/>
        <v>UTPB</v>
      </c>
      <c r="C246" s="18"/>
      <c r="D246" s="15">
        <v>546</v>
      </c>
      <c r="E246" s="21">
        <v>0.47899999999999998</v>
      </c>
      <c r="F246" s="14">
        <v>2343.2666666666669</v>
      </c>
      <c r="G246" s="28">
        <v>1054.6599999999951</v>
      </c>
      <c r="H246" s="15">
        <v>51</v>
      </c>
      <c r="I246" s="13">
        <v>7</v>
      </c>
      <c r="J246" s="16">
        <v>411</v>
      </c>
      <c r="K246" s="30">
        <v>742</v>
      </c>
      <c r="L246" s="29">
        <v>535</v>
      </c>
      <c r="M246" s="28">
        <v>210</v>
      </c>
    </row>
    <row r="247" spans="1:13" outlineLevel="1" x14ac:dyDescent="0.2">
      <c r="A247" s="20">
        <f t="shared" si="94"/>
        <v>10115</v>
      </c>
      <c r="B247" s="19" t="str">
        <f t="shared" si="94"/>
        <v>UTSA</v>
      </c>
      <c r="C247" s="18"/>
      <c r="D247" s="15">
        <v>4243</v>
      </c>
      <c r="E247" s="21">
        <v>0.43099999999999999</v>
      </c>
      <c r="F247" s="14">
        <v>21066.866666666665</v>
      </c>
      <c r="G247" s="28">
        <v>8736.7000000001954</v>
      </c>
      <c r="H247" s="15">
        <v>407</v>
      </c>
      <c r="I247" s="13">
        <v>63</v>
      </c>
      <c r="J247" s="16">
        <v>3204</v>
      </c>
      <c r="K247" s="30">
        <v>6815</v>
      </c>
      <c r="L247" s="29">
        <v>4371</v>
      </c>
      <c r="M247" s="28">
        <v>2560</v>
      </c>
    </row>
    <row r="248" spans="1:13" outlineLevel="1" x14ac:dyDescent="0.2">
      <c r="A248" s="20">
        <f t="shared" si="94"/>
        <v>11163</v>
      </c>
      <c r="B248" s="19" t="str">
        <f t="shared" si="94"/>
        <v>UTT</v>
      </c>
      <c r="C248" s="18"/>
      <c r="D248" s="15">
        <v>1144</v>
      </c>
      <c r="E248" s="21">
        <v>0.51800000000000002</v>
      </c>
      <c r="F248" s="14">
        <v>4086.7333333333331</v>
      </c>
      <c r="G248" s="28">
        <v>2263.8699999999944</v>
      </c>
      <c r="H248" s="15">
        <v>392</v>
      </c>
      <c r="I248" s="13">
        <v>23</v>
      </c>
      <c r="J248" s="16">
        <v>886</v>
      </c>
      <c r="K248" s="30">
        <v>1409</v>
      </c>
      <c r="L248" s="29">
        <v>844</v>
      </c>
      <c r="M248" s="28">
        <v>383</v>
      </c>
    </row>
    <row r="249" spans="1:13" outlineLevel="1" x14ac:dyDescent="0.2">
      <c r="A249" s="20">
        <f t="shared" si="94"/>
        <v>3632</v>
      </c>
      <c r="B249" s="19" t="str">
        <f t="shared" si="94"/>
        <v>TAMU</v>
      </c>
      <c r="C249" s="18"/>
      <c r="D249" s="15">
        <v>9020</v>
      </c>
      <c r="E249" s="21">
        <v>0.84200000000000008</v>
      </c>
      <c r="F249" s="14">
        <v>35116.666666666664</v>
      </c>
      <c r="G249" s="28">
        <v>21108.189999999984</v>
      </c>
      <c r="H249" s="15">
        <v>1934</v>
      </c>
      <c r="I249" s="13">
        <v>137</v>
      </c>
      <c r="J249" s="16">
        <v>3915</v>
      </c>
      <c r="K249" s="30">
        <v>10547</v>
      </c>
      <c r="L249" s="29">
        <v>8924</v>
      </c>
      <c r="M249" s="28">
        <v>6938</v>
      </c>
    </row>
    <row r="250" spans="1:13" outlineLevel="1" x14ac:dyDescent="0.2">
      <c r="A250" s="20">
        <f t="shared" si="94"/>
        <v>10298</v>
      </c>
      <c r="B250" s="19" t="str">
        <f t="shared" si="94"/>
        <v>TAMUG</v>
      </c>
      <c r="C250" s="18"/>
      <c r="D250" s="15">
        <v>314</v>
      </c>
      <c r="E250" s="21">
        <v>0.626</v>
      </c>
      <c r="F250" s="14">
        <v>1769.4666666666667</v>
      </c>
      <c r="G250" s="28">
        <v>826.3399999999923</v>
      </c>
      <c r="H250" s="15">
        <v>46</v>
      </c>
      <c r="I250" s="13">
        <v>0</v>
      </c>
      <c r="J250" s="16">
        <v>186</v>
      </c>
      <c r="K250" s="30">
        <v>607</v>
      </c>
      <c r="L250" s="29">
        <v>296</v>
      </c>
      <c r="M250" s="28">
        <v>263</v>
      </c>
    </row>
    <row r="251" spans="1:13" outlineLevel="1" x14ac:dyDescent="0.2">
      <c r="A251" s="20">
        <f t="shared" si="94"/>
        <v>3630</v>
      </c>
      <c r="B251" s="19" t="str">
        <f t="shared" si="94"/>
        <v>Prairie View</v>
      </c>
      <c r="C251" s="18"/>
      <c r="D251" s="15">
        <v>1026</v>
      </c>
      <c r="E251" s="21">
        <v>0.40299999999999997</v>
      </c>
      <c r="F251" s="14">
        <v>5822.8</v>
      </c>
      <c r="G251" s="28">
        <v>2288.9700000000062</v>
      </c>
      <c r="H251" s="15">
        <v>373</v>
      </c>
      <c r="I251" s="13">
        <v>11</v>
      </c>
      <c r="J251" s="16">
        <v>877</v>
      </c>
      <c r="K251" s="30">
        <v>1701</v>
      </c>
      <c r="L251" s="29">
        <v>1132</v>
      </c>
      <c r="M251" s="28">
        <v>871</v>
      </c>
    </row>
    <row r="252" spans="1:13" outlineLevel="1" x14ac:dyDescent="0.2">
      <c r="A252" s="20">
        <f t="shared" si="94"/>
        <v>3631</v>
      </c>
      <c r="B252" s="19" t="str">
        <f t="shared" si="94"/>
        <v>Tarleton</v>
      </c>
      <c r="C252" s="18"/>
      <c r="D252" s="15">
        <v>1662</v>
      </c>
      <c r="E252" s="21">
        <v>0.47600000000000003</v>
      </c>
      <c r="F252" s="14">
        <v>6766.4</v>
      </c>
      <c r="G252" s="28">
        <v>3337.2399999999966</v>
      </c>
      <c r="H252" s="15">
        <v>229</v>
      </c>
      <c r="I252" s="13">
        <v>49</v>
      </c>
      <c r="J252" s="16">
        <v>1296</v>
      </c>
      <c r="K252" s="30">
        <v>2227</v>
      </c>
      <c r="L252" s="29">
        <v>1216</v>
      </c>
      <c r="M252" s="28">
        <v>845</v>
      </c>
    </row>
    <row r="253" spans="1:13" outlineLevel="1" x14ac:dyDescent="0.2">
      <c r="A253" s="27">
        <f t="shared" si="94"/>
        <v>103631</v>
      </c>
      <c r="B253" s="19" t="str">
        <f t="shared" si="94"/>
        <v>TAMUCT</v>
      </c>
      <c r="C253" s="18"/>
      <c r="D253" s="15">
        <v>469</v>
      </c>
      <c r="E253" s="21">
        <f>E252</f>
        <v>0.47600000000000003</v>
      </c>
      <c r="F253" s="14">
        <v>684.13333333333333</v>
      </c>
      <c r="G253" s="28">
        <v>882.20999999999208</v>
      </c>
      <c r="H253" s="15">
        <v>42</v>
      </c>
      <c r="I253" s="13">
        <v>0</v>
      </c>
      <c r="J253" s="16">
        <v>329</v>
      </c>
      <c r="K253" s="30">
        <v>550</v>
      </c>
      <c r="L253" s="29">
        <v>119</v>
      </c>
      <c r="M253" s="28">
        <v>5</v>
      </c>
    </row>
    <row r="254" spans="1:13" outlineLevel="1" x14ac:dyDescent="0.2">
      <c r="A254" s="20">
        <f t="shared" si="94"/>
        <v>11161</v>
      </c>
      <c r="B254" s="19" t="str">
        <f t="shared" si="94"/>
        <v>TAMUCC</v>
      </c>
      <c r="C254" s="18"/>
      <c r="D254" s="15">
        <v>1515</v>
      </c>
      <c r="E254" s="21">
        <v>0.51</v>
      </c>
      <c r="F254" s="14">
        <v>6742.2</v>
      </c>
      <c r="G254" s="28">
        <v>3028.8999999999978</v>
      </c>
      <c r="H254" s="15">
        <v>310</v>
      </c>
      <c r="I254" s="13">
        <v>23</v>
      </c>
      <c r="J254" s="16">
        <v>1182</v>
      </c>
      <c r="K254" s="30">
        <v>1957</v>
      </c>
      <c r="L254" s="29">
        <v>1470</v>
      </c>
      <c r="M254" s="28">
        <v>959</v>
      </c>
    </row>
    <row r="255" spans="1:13" outlineLevel="1" x14ac:dyDescent="0.2">
      <c r="A255" s="20">
        <f t="shared" si="94"/>
        <v>3639</v>
      </c>
      <c r="B255" s="19" t="str">
        <f t="shared" si="94"/>
        <v>TAMUK</v>
      </c>
      <c r="C255" s="18"/>
      <c r="D255" s="15">
        <v>855</v>
      </c>
      <c r="E255" s="21">
        <v>0.39200000000000002</v>
      </c>
      <c r="F255" s="14">
        <v>4577.5333333333338</v>
      </c>
      <c r="G255" s="28">
        <v>1952.6200000000099</v>
      </c>
      <c r="H255" s="15">
        <v>298</v>
      </c>
      <c r="I255" s="13">
        <v>19</v>
      </c>
      <c r="J255" s="16">
        <v>742</v>
      </c>
      <c r="K255" s="30">
        <v>1343</v>
      </c>
      <c r="L255" s="29">
        <v>910</v>
      </c>
      <c r="M255" s="28">
        <v>571</v>
      </c>
    </row>
    <row r="256" spans="1:13" outlineLevel="1" x14ac:dyDescent="0.2">
      <c r="A256" s="27">
        <f t="shared" ref="A256:B271" si="95">A214</f>
        <v>103639</v>
      </c>
      <c r="B256" s="19" t="str">
        <f t="shared" si="95"/>
        <v>TAMUSA</v>
      </c>
      <c r="C256" s="18"/>
      <c r="D256" s="15">
        <v>647</v>
      </c>
      <c r="E256" s="21">
        <f>E255</f>
        <v>0.39200000000000002</v>
      </c>
      <c r="F256" s="14">
        <v>1673.0666666666666</v>
      </c>
      <c r="G256" s="28">
        <v>1155.5399999999984</v>
      </c>
      <c r="H256" s="15">
        <v>10</v>
      </c>
      <c r="I256" s="13">
        <v>4</v>
      </c>
      <c r="J256" s="16">
        <v>549</v>
      </c>
      <c r="K256" s="30">
        <v>887</v>
      </c>
      <c r="L256" s="29">
        <v>190</v>
      </c>
      <c r="M256" s="28">
        <v>1</v>
      </c>
    </row>
    <row r="257" spans="1:13" outlineLevel="1" x14ac:dyDescent="0.2">
      <c r="A257" s="20">
        <f t="shared" si="95"/>
        <v>9651</v>
      </c>
      <c r="B257" s="19" t="str">
        <f t="shared" si="95"/>
        <v>TAMI</v>
      </c>
      <c r="C257" s="18"/>
      <c r="D257" s="15">
        <v>805</v>
      </c>
      <c r="E257" s="21">
        <v>0.45700000000000002</v>
      </c>
      <c r="F257" s="14">
        <v>4312.1333333333332</v>
      </c>
      <c r="G257" s="28">
        <v>1498.7699999999936</v>
      </c>
      <c r="H257" s="15">
        <v>142</v>
      </c>
      <c r="I257" s="13">
        <v>23</v>
      </c>
      <c r="J257" s="16">
        <v>737</v>
      </c>
      <c r="K257" s="30">
        <v>1292</v>
      </c>
      <c r="L257" s="29">
        <v>1039</v>
      </c>
      <c r="M257" s="28">
        <v>488</v>
      </c>
    </row>
    <row r="258" spans="1:13" outlineLevel="1" x14ac:dyDescent="0.2">
      <c r="A258" s="20">
        <f t="shared" si="95"/>
        <v>3665</v>
      </c>
      <c r="B258" s="19" t="str">
        <f t="shared" si="95"/>
        <v>WTAMU</v>
      </c>
      <c r="C258" s="18"/>
      <c r="D258" s="15">
        <v>1253</v>
      </c>
      <c r="E258" s="21">
        <v>0.48200000000000004</v>
      </c>
      <c r="F258" s="14">
        <v>5523.2</v>
      </c>
      <c r="G258" s="28">
        <v>2523.9800000000132</v>
      </c>
      <c r="H258" s="15">
        <v>175</v>
      </c>
      <c r="I258" s="13">
        <v>60</v>
      </c>
      <c r="J258" s="16">
        <v>902</v>
      </c>
      <c r="K258" s="30">
        <v>1631</v>
      </c>
      <c r="L258" s="29">
        <v>1213</v>
      </c>
      <c r="M258" s="28">
        <v>689</v>
      </c>
    </row>
    <row r="259" spans="1:13" outlineLevel="1" x14ac:dyDescent="0.2">
      <c r="A259" s="20">
        <f t="shared" si="95"/>
        <v>3565</v>
      </c>
      <c r="B259" s="19" t="str">
        <f t="shared" si="95"/>
        <v>TAMUC</v>
      </c>
      <c r="C259" s="18"/>
      <c r="D259" s="15">
        <v>1507</v>
      </c>
      <c r="E259" s="21">
        <v>0.44600000000000001</v>
      </c>
      <c r="F259" s="14">
        <v>5135.2666666666664</v>
      </c>
      <c r="G259" s="28">
        <v>2861.9500000000121</v>
      </c>
      <c r="H259" s="15">
        <v>89</v>
      </c>
      <c r="I259" s="13">
        <v>81</v>
      </c>
      <c r="J259" s="16">
        <v>1172</v>
      </c>
      <c r="K259" s="30">
        <v>2056</v>
      </c>
      <c r="L259" s="29">
        <v>1174</v>
      </c>
      <c r="M259" s="28">
        <v>457</v>
      </c>
    </row>
    <row r="260" spans="1:13" outlineLevel="1" x14ac:dyDescent="0.2">
      <c r="A260" s="20">
        <f t="shared" si="95"/>
        <v>29269</v>
      </c>
      <c r="B260" s="19" t="str">
        <f t="shared" si="95"/>
        <v>TAMUT</v>
      </c>
      <c r="C260" s="18"/>
      <c r="D260" s="15">
        <v>376</v>
      </c>
      <c r="E260" s="17">
        <v>0.49242424242424243</v>
      </c>
      <c r="F260" s="14">
        <v>1101.2666666666667</v>
      </c>
      <c r="G260" s="28">
        <v>680.4399999999946</v>
      </c>
      <c r="H260" s="15">
        <v>47</v>
      </c>
      <c r="I260" s="13">
        <v>25</v>
      </c>
      <c r="J260" s="16">
        <v>277</v>
      </c>
      <c r="K260" s="30">
        <v>484</v>
      </c>
      <c r="L260" s="29">
        <v>219</v>
      </c>
      <c r="M260" s="28">
        <v>1</v>
      </c>
    </row>
    <row r="261" spans="1:13" outlineLevel="1" x14ac:dyDescent="0.2">
      <c r="A261" s="20">
        <f t="shared" si="95"/>
        <v>3652</v>
      </c>
      <c r="B261" s="19" t="str">
        <f t="shared" si="95"/>
        <v>UH</v>
      </c>
      <c r="C261" s="18"/>
      <c r="D261" s="15">
        <v>5426</v>
      </c>
      <c r="E261" s="21">
        <v>0.53600000000000003</v>
      </c>
      <c r="F261" s="14">
        <v>24760.400000000001</v>
      </c>
      <c r="G261" s="28">
        <v>11378.949999999324</v>
      </c>
      <c r="H261" s="15">
        <v>835</v>
      </c>
      <c r="I261" s="13">
        <v>60</v>
      </c>
      <c r="J261" s="16">
        <v>3688</v>
      </c>
      <c r="K261" s="30">
        <v>7823</v>
      </c>
      <c r="L261" s="29">
        <v>5667</v>
      </c>
      <c r="M261" s="28">
        <v>3232</v>
      </c>
    </row>
    <row r="262" spans="1:13" outlineLevel="1" x14ac:dyDescent="0.2">
      <c r="A262" s="20">
        <f t="shared" si="95"/>
        <v>11711</v>
      </c>
      <c r="B262" s="19" t="str">
        <f t="shared" si="95"/>
        <v>UHCL</v>
      </c>
      <c r="C262" s="18"/>
      <c r="D262" s="15">
        <v>1251</v>
      </c>
      <c r="E262" s="17">
        <v>0.51671732522796354</v>
      </c>
      <c r="F262" s="14">
        <v>3079.2666666666669</v>
      </c>
      <c r="G262" s="28">
        <v>2423.7000000000025</v>
      </c>
      <c r="H262" s="15">
        <v>119</v>
      </c>
      <c r="I262" s="13">
        <v>9</v>
      </c>
      <c r="J262" s="16">
        <v>839</v>
      </c>
      <c r="K262" s="30">
        <v>1391</v>
      </c>
      <c r="L262" s="29">
        <v>1014</v>
      </c>
      <c r="M262" s="28">
        <v>37</v>
      </c>
    </row>
    <row r="263" spans="1:13" outlineLevel="1" x14ac:dyDescent="0.2">
      <c r="A263" s="20">
        <f t="shared" si="95"/>
        <v>12826</v>
      </c>
      <c r="B263" s="19" t="str">
        <f t="shared" si="95"/>
        <v>UHD</v>
      </c>
      <c r="C263" s="18"/>
      <c r="D263" s="15">
        <v>2351</v>
      </c>
      <c r="E263" s="21">
        <v>0.17399999999999999</v>
      </c>
      <c r="F263" s="14">
        <v>8043.8</v>
      </c>
      <c r="G263" s="28">
        <v>4292.430000000033</v>
      </c>
      <c r="H263" s="15">
        <v>134</v>
      </c>
      <c r="I263" s="13">
        <v>3</v>
      </c>
      <c r="J263" s="16">
        <v>1694</v>
      </c>
      <c r="K263" s="30">
        <v>3011</v>
      </c>
      <c r="L263" s="29">
        <v>1820</v>
      </c>
      <c r="M263" s="28">
        <v>590</v>
      </c>
    </row>
    <row r="264" spans="1:13" outlineLevel="1" x14ac:dyDescent="0.2">
      <c r="A264" s="20">
        <f t="shared" si="95"/>
        <v>13231</v>
      </c>
      <c r="B264" s="19" t="str">
        <f t="shared" si="95"/>
        <v>UHV</v>
      </c>
      <c r="C264" s="18"/>
      <c r="D264" s="15">
        <v>619</v>
      </c>
      <c r="E264" s="17">
        <v>0.47520661157024796</v>
      </c>
      <c r="F264" s="14">
        <v>1685.8666666666666</v>
      </c>
      <c r="G264" s="28">
        <v>1187.5899999999924</v>
      </c>
      <c r="H264" s="15">
        <v>134</v>
      </c>
      <c r="I264" s="13">
        <v>9</v>
      </c>
      <c r="J264" s="16">
        <v>418</v>
      </c>
      <c r="K264" s="30">
        <v>776</v>
      </c>
      <c r="L264" s="29">
        <v>334</v>
      </c>
      <c r="M264" s="28">
        <v>6</v>
      </c>
    </row>
    <row r="265" spans="1:13" outlineLevel="1" x14ac:dyDescent="0.2">
      <c r="A265" s="20">
        <f t="shared" si="95"/>
        <v>3592</v>
      </c>
      <c r="B265" s="19" t="str">
        <f t="shared" si="95"/>
        <v>Midwestern</v>
      </c>
      <c r="C265" s="18"/>
      <c r="D265" s="15">
        <v>1066</v>
      </c>
      <c r="E265" s="21">
        <v>0.46299999999999997</v>
      </c>
      <c r="F265" s="14">
        <v>4147.7333333333336</v>
      </c>
      <c r="G265" s="28">
        <v>2062.1399999999949</v>
      </c>
      <c r="H265" s="15">
        <v>358</v>
      </c>
      <c r="I265" s="13">
        <v>15</v>
      </c>
      <c r="J265" s="16">
        <v>723</v>
      </c>
      <c r="K265" s="30">
        <v>1310</v>
      </c>
      <c r="L265" s="29">
        <v>979</v>
      </c>
      <c r="M265" s="28">
        <v>683</v>
      </c>
    </row>
    <row r="266" spans="1:13" outlineLevel="1" x14ac:dyDescent="0.2">
      <c r="A266" s="20">
        <f t="shared" si="95"/>
        <v>3594</v>
      </c>
      <c r="B266" s="19" t="str">
        <f t="shared" si="95"/>
        <v>UNT</v>
      </c>
      <c r="C266" s="18"/>
      <c r="D266" s="15">
        <v>5843</v>
      </c>
      <c r="E266" s="21">
        <v>0.56799999999999995</v>
      </c>
      <c r="F266" s="14">
        <v>23213.466666666667</v>
      </c>
      <c r="G266" s="28">
        <v>11338.869999999399</v>
      </c>
      <c r="H266" s="15">
        <v>368</v>
      </c>
      <c r="I266" s="13">
        <v>56</v>
      </c>
      <c r="J266" s="16">
        <v>3771</v>
      </c>
      <c r="K266" s="30">
        <v>7310</v>
      </c>
      <c r="L266" s="29">
        <v>5432</v>
      </c>
      <c r="M266" s="28">
        <v>3116</v>
      </c>
    </row>
    <row r="267" spans="1:13" outlineLevel="1" x14ac:dyDescent="0.2">
      <c r="A267" s="27">
        <f t="shared" si="95"/>
        <v>113594</v>
      </c>
      <c r="B267" s="19" t="str">
        <f t="shared" si="95"/>
        <v>UNTD</v>
      </c>
      <c r="C267" s="18"/>
      <c r="D267" s="15">
        <v>419</v>
      </c>
      <c r="E267" s="21">
        <f>E266</f>
        <v>0.56799999999999995</v>
      </c>
      <c r="F267" s="14">
        <v>983.4666666666667</v>
      </c>
      <c r="G267" s="28">
        <v>742.11999999999398</v>
      </c>
      <c r="H267" s="15">
        <v>14</v>
      </c>
      <c r="I267" s="13">
        <v>0</v>
      </c>
      <c r="J267" s="16">
        <v>313</v>
      </c>
      <c r="K267" s="30">
        <v>469</v>
      </c>
      <c r="L267" s="29">
        <v>80</v>
      </c>
      <c r="M267" s="28">
        <v>4</v>
      </c>
    </row>
    <row r="268" spans="1:13" outlineLevel="1" x14ac:dyDescent="0.2">
      <c r="A268" s="20">
        <f t="shared" si="95"/>
        <v>3624</v>
      </c>
      <c r="B268" s="19" t="str">
        <f t="shared" si="95"/>
        <v>SFA</v>
      </c>
      <c r="C268" s="18"/>
      <c r="D268" s="15">
        <v>2011</v>
      </c>
      <c r="E268" s="21">
        <v>0.55299999999999994</v>
      </c>
      <c r="F268" s="14">
        <v>9507.3333333333339</v>
      </c>
      <c r="G268" s="28">
        <v>3932.9399999999569</v>
      </c>
      <c r="H268" s="15">
        <v>273</v>
      </c>
      <c r="I268" s="13">
        <v>42</v>
      </c>
      <c r="J268" s="16">
        <v>1513</v>
      </c>
      <c r="K268" s="30">
        <v>2605</v>
      </c>
      <c r="L268" s="29">
        <v>2125</v>
      </c>
      <c r="M268" s="28">
        <v>1473</v>
      </c>
    </row>
    <row r="269" spans="1:13" outlineLevel="1" x14ac:dyDescent="0.2">
      <c r="A269" s="20">
        <f t="shared" si="95"/>
        <v>3642</v>
      </c>
      <c r="B269" s="19" t="str">
        <f t="shared" si="95"/>
        <v>TSU</v>
      </c>
      <c r="C269" s="18"/>
      <c r="D269" s="15">
        <v>737</v>
      </c>
      <c r="E269" s="21">
        <v>0.14099999999999999</v>
      </c>
      <c r="F269" s="14">
        <v>5767.1333333333332</v>
      </c>
      <c r="G269" s="28">
        <v>1478.8299999999929</v>
      </c>
      <c r="H269" s="15">
        <v>154</v>
      </c>
      <c r="I269" s="13">
        <v>5</v>
      </c>
      <c r="J269" s="16">
        <v>641</v>
      </c>
      <c r="K269" s="30">
        <v>1349</v>
      </c>
      <c r="L269" s="29">
        <v>988</v>
      </c>
      <c r="M269" s="28">
        <v>760</v>
      </c>
    </row>
    <row r="270" spans="1:13" outlineLevel="1" x14ac:dyDescent="0.2">
      <c r="A270" s="20">
        <f t="shared" si="95"/>
        <v>3644</v>
      </c>
      <c r="B270" s="19" t="str">
        <f t="shared" si="95"/>
        <v>TTU</v>
      </c>
      <c r="C270" s="18"/>
      <c r="D270" s="15">
        <v>4941</v>
      </c>
      <c r="E270" s="21">
        <v>0.73599999999999999</v>
      </c>
      <c r="F270" s="14">
        <v>22627.599999999999</v>
      </c>
      <c r="G270" s="28">
        <v>10741.019999999262</v>
      </c>
      <c r="H270" s="15">
        <v>839</v>
      </c>
      <c r="I270" s="13">
        <v>67</v>
      </c>
      <c r="J270" s="16">
        <v>3071</v>
      </c>
      <c r="K270" s="30">
        <v>6449</v>
      </c>
      <c r="L270" s="29">
        <v>5332</v>
      </c>
      <c r="M270" s="28">
        <v>4048</v>
      </c>
    </row>
    <row r="271" spans="1:13" outlineLevel="1" x14ac:dyDescent="0.2">
      <c r="A271" s="20">
        <f t="shared" si="95"/>
        <v>3541</v>
      </c>
      <c r="B271" s="19" t="str">
        <f t="shared" si="95"/>
        <v>Angelo</v>
      </c>
      <c r="C271" s="18"/>
      <c r="D271" s="15">
        <v>1073</v>
      </c>
      <c r="E271" s="21">
        <v>0.40799999999999997</v>
      </c>
      <c r="F271" s="14">
        <v>4921.333333333333</v>
      </c>
      <c r="G271" s="28">
        <v>2141.5100000000025</v>
      </c>
      <c r="H271" s="15">
        <v>304</v>
      </c>
      <c r="I271" s="13">
        <v>19</v>
      </c>
      <c r="J271" s="16">
        <v>773</v>
      </c>
      <c r="K271" s="30">
        <v>1398</v>
      </c>
      <c r="L271" s="29">
        <v>1022</v>
      </c>
      <c r="M271" s="28">
        <v>707</v>
      </c>
    </row>
    <row r="272" spans="1:13" outlineLevel="1" x14ac:dyDescent="0.2">
      <c r="A272" s="20">
        <f t="shared" ref="A272:B277" si="96">A230</f>
        <v>3646</v>
      </c>
      <c r="B272" s="19" t="str">
        <f t="shared" si="96"/>
        <v>TWU</v>
      </c>
      <c r="C272" s="18"/>
      <c r="D272" s="15">
        <v>1919</v>
      </c>
      <c r="E272" s="21">
        <v>0.54200000000000004</v>
      </c>
      <c r="F272" s="14">
        <v>6999.5333333333338</v>
      </c>
      <c r="G272" s="28">
        <v>3704.3199999999606</v>
      </c>
      <c r="H272" s="15">
        <v>571</v>
      </c>
      <c r="I272" s="13">
        <v>30</v>
      </c>
      <c r="J272" s="16">
        <v>1326</v>
      </c>
      <c r="K272" s="30">
        <v>2425</v>
      </c>
      <c r="L272" s="29">
        <v>1247</v>
      </c>
      <c r="M272" s="28">
        <v>703</v>
      </c>
    </row>
    <row r="273" spans="1:14" outlineLevel="1" x14ac:dyDescent="0.2">
      <c r="A273" s="20">
        <f t="shared" si="96"/>
        <v>3581</v>
      </c>
      <c r="B273" s="19" t="str">
        <f t="shared" si="96"/>
        <v>Lamar</v>
      </c>
      <c r="C273" s="18"/>
      <c r="D273" s="15">
        <v>1380</v>
      </c>
      <c r="E273" s="21">
        <v>0.35899999999999999</v>
      </c>
      <c r="F273" s="14">
        <v>7404.4666666666662</v>
      </c>
      <c r="G273" s="28">
        <v>2721.5300000000057</v>
      </c>
      <c r="H273" s="15">
        <v>318</v>
      </c>
      <c r="I273" s="13">
        <v>18</v>
      </c>
      <c r="J273" s="16">
        <v>995</v>
      </c>
      <c r="K273" s="30">
        <v>2074</v>
      </c>
      <c r="L273" s="29">
        <v>1486</v>
      </c>
      <c r="M273" s="28">
        <v>1002</v>
      </c>
    </row>
    <row r="274" spans="1:14" outlineLevel="1" x14ac:dyDescent="0.2">
      <c r="A274" s="20">
        <f t="shared" si="96"/>
        <v>3606</v>
      </c>
      <c r="B274" s="19" t="str">
        <f t="shared" si="96"/>
        <v>SHSU</v>
      </c>
      <c r="C274" s="18"/>
      <c r="D274" s="15">
        <v>2978</v>
      </c>
      <c r="E274" s="21">
        <v>0.57799999999999996</v>
      </c>
      <c r="F274" s="14">
        <v>12574.466666666667</v>
      </c>
      <c r="G274" s="28">
        <v>5694.020000000286</v>
      </c>
      <c r="H274" s="15">
        <v>172</v>
      </c>
      <c r="I274" s="13">
        <v>51</v>
      </c>
      <c r="J274" s="16">
        <v>2163</v>
      </c>
      <c r="K274" s="30">
        <v>3894</v>
      </c>
      <c r="L274" s="29">
        <v>2915</v>
      </c>
      <c r="M274" s="28">
        <v>1704</v>
      </c>
    </row>
    <row r="275" spans="1:14" outlineLevel="1" x14ac:dyDescent="0.2">
      <c r="A275" s="20">
        <f t="shared" si="96"/>
        <v>3615</v>
      </c>
      <c r="B275" s="19" t="str">
        <f t="shared" si="96"/>
        <v>TXST</v>
      </c>
      <c r="C275" s="18"/>
      <c r="D275" s="15">
        <v>5435</v>
      </c>
      <c r="E275" s="21">
        <v>0.61399999999999999</v>
      </c>
      <c r="F275" s="14">
        <v>24028</v>
      </c>
      <c r="G275" s="28">
        <v>10677.06999999951</v>
      </c>
      <c r="H275" s="15">
        <v>582</v>
      </c>
      <c r="I275" s="13">
        <v>67</v>
      </c>
      <c r="J275" s="16">
        <v>3816</v>
      </c>
      <c r="K275" s="30">
        <v>7425</v>
      </c>
      <c r="L275" s="29">
        <v>5561</v>
      </c>
      <c r="M275" s="28">
        <v>3333</v>
      </c>
    </row>
    <row r="276" spans="1:14" outlineLevel="1" x14ac:dyDescent="0.2">
      <c r="A276" s="20">
        <f t="shared" si="96"/>
        <v>3625</v>
      </c>
      <c r="B276" s="19" t="str">
        <f t="shared" si="96"/>
        <v>SRSU</v>
      </c>
      <c r="C276" s="18"/>
      <c r="D276" s="15">
        <v>191</v>
      </c>
      <c r="E276" s="21">
        <v>0.32600000000000001</v>
      </c>
      <c r="F276" s="14">
        <v>1229</v>
      </c>
      <c r="G276" s="28">
        <v>409.0499999999999</v>
      </c>
      <c r="H276" s="15">
        <v>10</v>
      </c>
      <c r="I276" s="13">
        <v>5</v>
      </c>
      <c r="J276" s="16">
        <v>167</v>
      </c>
      <c r="K276" s="30">
        <v>284</v>
      </c>
      <c r="L276" s="29">
        <v>188</v>
      </c>
      <c r="M276" s="28">
        <v>144</v>
      </c>
      <c r="N276" s="41"/>
    </row>
    <row r="277" spans="1:14" outlineLevel="1" x14ac:dyDescent="0.2">
      <c r="A277" s="20">
        <f t="shared" si="96"/>
        <v>20</v>
      </c>
      <c r="B277" s="19" t="str">
        <f t="shared" si="96"/>
        <v>SRRG</v>
      </c>
      <c r="C277" s="18"/>
      <c r="D277" s="15">
        <v>154</v>
      </c>
      <c r="E277" s="17">
        <v>0.25423728813559321</v>
      </c>
      <c r="F277" s="14">
        <v>436.8</v>
      </c>
      <c r="G277" s="28">
        <v>268.06000000000023</v>
      </c>
      <c r="H277" s="15">
        <v>6</v>
      </c>
      <c r="I277" s="13">
        <v>1</v>
      </c>
      <c r="J277" s="16">
        <v>138</v>
      </c>
      <c r="K277" s="30">
        <v>215</v>
      </c>
      <c r="L277" s="29">
        <v>91</v>
      </c>
      <c r="M277" s="28">
        <v>6</v>
      </c>
    </row>
    <row r="278" spans="1:14" ht="13.5" outlineLevel="1" thickBot="1" x14ac:dyDescent="0.25">
      <c r="A278" s="12"/>
      <c r="B278" s="11" t="s">
        <v>11</v>
      </c>
      <c r="C278" s="10"/>
      <c r="D278" s="9">
        <f>SUM(D240:D277)</f>
        <v>87062</v>
      </c>
      <c r="E278" s="8">
        <v>0.58700000000000008</v>
      </c>
      <c r="F278" s="7">
        <f t="shared" ref="F278:M278" si="97">SUM(F240:F277)</f>
        <v>359610.06666666665</v>
      </c>
      <c r="G278" s="3">
        <f t="shared" si="97"/>
        <v>180161.28999999876</v>
      </c>
      <c r="H278" s="5">
        <f t="shared" si="97"/>
        <v>15629</v>
      </c>
      <c r="I278" s="3">
        <f t="shared" si="97"/>
        <v>1267</v>
      </c>
      <c r="J278" s="6">
        <f t="shared" si="97"/>
        <v>56968</v>
      </c>
      <c r="K278" s="5">
        <f t="shared" si="97"/>
        <v>113504</v>
      </c>
      <c r="L278" s="4">
        <f t="shared" si="97"/>
        <v>81268</v>
      </c>
      <c r="M278" s="3">
        <f t="shared" si="97"/>
        <v>50077</v>
      </c>
    </row>
    <row r="279" spans="1:14" ht="13.5" thickBot="1" x14ac:dyDescent="0.25">
      <c r="A279" s="45" t="s">
        <v>26</v>
      </c>
      <c r="B279" s="45"/>
      <c r="C279" s="45"/>
      <c r="D279" s="45"/>
      <c r="F279" s="45"/>
      <c r="J279" s="45"/>
    </row>
    <row r="280" spans="1:14" ht="12.75" customHeight="1" outlineLevel="1" x14ac:dyDescent="0.2">
      <c r="A280" s="273" t="s">
        <v>24</v>
      </c>
      <c r="B280" s="275" t="s">
        <v>23</v>
      </c>
      <c r="C280" s="277"/>
      <c r="D280" s="306" t="s">
        <v>22</v>
      </c>
      <c r="E280" s="301" t="s">
        <v>21</v>
      </c>
      <c r="F280" s="275" t="s">
        <v>20</v>
      </c>
      <c r="G280" s="297" t="s">
        <v>19</v>
      </c>
      <c r="H280" s="299" t="s">
        <v>18</v>
      </c>
      <c r="I280" s="291" t="s">
        <v>17</v>
      </c>
      <c r="J280" s="293" t="s">
        <v>16</v>
      </c>
      <c r="K280" s="295" t="s">
        <v>15</v>
      </c>
      <c r="L280" s="296"/>
      <c r="M280" s="296"/>
    </row>
    <row r="281" spans="1:14" s="41" customFormat="1" ht="40.5" customHeight="1" outlineLevel="1" thickBot="1" x14ac:dyDescent="0.25">
      <c r="A281" s="274"/>
      <c r="B281" s="276"/>
      <c r="C281" s="278"/>
      <c r="D281" s="307"/>
      <c r="E281" s="302"/>
      <c r="F281" s="276"/>
      <c r="G281" s="298"/>
      <c r="H281" s="300"/>
      <c r="I281" s="292"/>
      <c r="J281" s="294"/>
      <c r="K281" s="44" t="s">
        <v>14</v>
      </c>
      <c r="L281" s="43" t="s">
        <v>13</v>
      </c>
      <c r="M281" s="42" t="s">
        <v>12</v>
      </c>
      <c r="N281" s="1"/>
    </row>
    <row r="282" spans="1:14" outlineLevel="1" x14ac:dyDescent="0.2">
      <c r="A282" s="40">
        <f t="shared" ref="A282:B297" si="98">A240</f>
        <v>3656</v>
      </c>
      <c r="B282" s="39" t="str">
        <f t="shared" si="98"/>
        <v>UTA</v>
      </c>
      <c r="C282" s="38"/>
      <c r="D282" s="33">
        <v>5103</v>
      </c>
      <c r="E282" s="37">
        <v>0.49299999999999999</v>
      </c>
      <c r="F282" s="32">
        <v>17372</v>
      </c>
      <c r="G282" s="31">
        <v>10527.860000000002</v>
      </c>
      <c r="H282" s="36">
        <v>1620</v>
      </c>
      <c r="I282" s="35">
        <v>26</v>
      </c>
      <c r="J282" s="34">
        <v>3158</v>
      </c>
      <c r="K282" s="33">
        <v>6986</v>
      </c>
      <c r="L282" s="32">
        <v>3903</v>
      </c>
      <c r="M282" s="31">
        <v>1733</v>
      </c>
    </row>
    <row r="283" spans="1:14" outlineLevel="1" x14ac:dyDescent="0.2">
      <c r="A283" s="20">
        <f t="shared" si="98"/>
        <v>3658</v>
      </c>
      <c r="B283" s="19" t="str">
        <f t="shared" si="98"/>
        <v>UT</v>
      </c>
      <c r="C283" s="18"/>
      <c r="D283" s="15">
        <v>9027</v>
      </c>
      <c r="E283" s="21">
        <v>0.83299999999999996</v>
      </c>
      <c r="F283" s="14">
        <v>33709.866666666669</v>
      </c>
      <c r="G283" s="13">
        <v>19422.050000001858</v>
      </c>
      <c r="H283" s="15">
        <v>1894</v>
      </c>
      <c r="I283" s="13">
        <v>60</v>
      </c>
      <c r="J283" s="16">
        <v>3475</v>
      </c>
      <c r="K283" s="15">
        <v>9939</v>
      </c>
      <c r="L283" s="14">
        <v>8895</v>
      </c>
      <c r="M283" s="13">
        <v>7485</v>
      </c>
    </row>
    <row r="284" spans="1:14" outlineLevel="1" x14ac:dyDescent="0.2">
      <c r="A284" s="20">
        <f t="shared" si="98"/>
        <v>9741</v>
      </c>
      <c r="B284" s="19" t="str">
        <f t="shared" si="98"/>
        <v>UTD</v>
      </c>
      <c r="C284" s="18"/>
      <c r="D284" s="15">
        <v>2314</v>
      </c>
      <c r="E284" s="21">
        <v>0.68299999999999994</v>
      </c>
      <c r="F284" s="14">
        <v>8822.2000000000007</v>
      </c>
      <c r="G284" s="13">
        <v>4904.1700000000228</v>
      </c>
      <c r="H284" s="15">
        <v>424</v>
      </c>
      <c r="I284" s="13">
        <v>27</v>
      </c>
      <c r="J284" s="16">
        <v>1294</v>
      </c>
      <c r="K284" s="15">
        <v>3345</v>
      </c>
      <c r="L284" s="14">
        <v>2105</v>
      </c>
      <c r="M284" s="13">
        <v>1076</v>
      </c>
    </row>
    <row r="285" spans="1:14" outlineLevel="1" x14ac:dyDescent="0.2">
      <c r="A285" s="20">
        <f t="shared" si="98"/>
        <v>3661</v>
      </c>
      <c r="B285" s="19" t="str">
        <f t="shared" si="98"/>
        <v>UTEP</v>
      </c>
      <c r="C285" s="18"/>
      <c r="D285" s="15">
        <v>3008</v>
      </c>
      <c r="E285" s="21">
        <v>0.38400000000000001</v>
      </c>
      <c r="F285" s="14">
        <v>13376</v>
      </c>
      <c r="G285" s="13">
        <v>6142.7200000000885</v>
      </c>
      <c r="H285" s="15">
        <v>613</v>
      </c>
      <c r="I285" s="13">
        <v>91</v>
      </c>
      <c r="J285" s="16">
        <v>2409</v>
      </c>
      <c r="K285" s="15">
        <v>4488</v>
      </c>
      <c r="L285" s="14">
        <v>3404</v>
      </c>
      <c r="M285" s="13">
        <v>1910</v>
      </c>
    </row>
    <row r="286" spans="1:14" outlineLevel="1" x14ac:dyDescent="0.2">
      <c r="A286" s="20">
        <f t="shared" si="98"/>
        <v>3599</v>
      </c>
      <c r="B286" s="19" t="str">
        <f t="shared" si="98"/>
        <v>UTPA</v>
      </c>
      <c r="C286" s="18"/>
      <c r="D286" s="15">
        <v>2658</v>
      </c>
      <c r="E286" s="21">
        <v>0.46399999999999997</v>
      </c>
      <c r="F286" s="14">
        <v>12499.266666666666</v>
      </c>
      <c r="G286" s="13">
        <v>5231.3300000001427</v>
      </c>
      <c r="H286" s="15">
        <v>534</v>
      </c>
      <c r="I286" s="13">
        <v>34</v>
      </c>
      <c r="J286" s="16">
        <v>2427</v>
      </c>
      <c r="K286" s="15">
        <v>4142</v>
      </c>
      <c r="L286" s="14">
        <v>3290</v>
      </c>
      <c r="M286" s="13">
        <v>1998</v>
      </c>
    </row>
    <row r="287" spans="1:14" outlineLevel="1" x14ac:dyDescent="0.2">
      <c r="A287" s="20">
        <f t="shared" si="98"/>
        <v>30646</v>
      </c>
      <c r="B287" s="19" t="str">
        <f t="shared" si="98"/>
        <v>UTB</v>
      </c>
      <c r="C287" s="18"/>
      <c r="D287" s="15">
        <v>1075</v>
      </c>
      <c r="E287" s="17">
        <v>0.55124653739612184</v>
      </c>
      <c r="F287" s="14">
        <v>3116.2</v>
      </c>
      <c r="G287" s="13">
        <v>2052.0600000000218</v>
      </c>
      <c r="H287" s="15">
        <v>132</v>
      </c>
      <c r="I287" s="13">
        <v>15</v>
      </c>
      <c r="J287" s="16">
        <v>916</v>
      </c>
      <c r="K287" s="15">
        <v>1359</v>
      </c>
      <c r="L287" s="14">
        <v>600</v>
      </c>
      <c r="M287" s="13">
        <v>131</v>
      </c>
    </row>
    <row r="288" spans="1:14" outlineLevel="1" x14ac:dyDescent="0.2">
      <c r="A288" s="20">
        <f t="shared" si="98"/>
        <v>9930</v>
      </c>
      <c r="B288" s="19" t="str">
        <f t="shared" si="98"/>
        <v>UTPB</v>
      </c>
      <c r="C288" s="18"/>
      <c r="D288" s="15">
        <v>541</v>
      </c>
      <c r="E288" s="21">
        <v>0.40700000000000003</v>
      </c>
      <c r="F288" s="14">
        <v>2416</v>
      </c>
      <c r="G288" s="13">
        <v>1005.1500000000051</v>
      </c>
      <c r="H288" s="15">
        <v>40</v>
      </c>
      <c r="I288" s="13">
        <v>10</v>
      </c>
      <c r="J288" s="16">
        <v>407</v>
      </c>
      <c r="K288" s="15">
        <v>908</v>
      </c>
      <c r="L288" s="14">
        <v>490</v>
      </c>
      <c r="M288" s="13">
        <v>191</v>
      </c>
    </row>
    <row r="289" spans="1:13" outlineLevel="1" x14ac:dyDescent="0.2">
      <c r="A289" s="20">
        <f t="shared" si="98"/>
        <v>10115</v>
      </c>
      <c r="B289" s="19" t="str">
        <f t="shared" si="98"/>
        <v>UTSA</v>
      </c>
      <c r="C289" s="18"/>
      <c r="D289" s="15">
        <v>4148</v>
      </c>
      <c r="E289" s="21">
        <v>0.39400000000000002</v>
      </c>
      <c r="F289" s="14">
        <v>20284.733333333334</v>
      </c>
      <c r="G289" s="13">
        <v>8398.8499999997166</v>
      </c>
      <c r="H289" s="15">
        <v>394</v>
      </c>
      <c r="I289" s="13">
        <v>47</v>
      </c>
      <c r="J289" s="16">
        <v>3211</v>
      </c>
      <c r="K289" s="15">
        <v>6802</v>
      </c>
      <c r="L289" s="14">
        <v>4390</v>
      </c>
      <c r="M289" s="13">
        <v>2699</v>
      </c>
    </row>
    <row r="290" spans="1:13" outlineLevel="1" x14ac:dyDescent="0.2">
      <c r="A290" s="20">
        <f t="shared" si="98"/>
        <v>11163</v>
      </c>
      <c r="B290" s="19" t="str">
        <f t="shared" si="98"/>
        <v>UTT</v>
      </c>
      <c r="C290" s="18"/>
      <c r="D290" s="15">
        <v>1188</v>
      </c>
      <c r="E290" s="21">
        <v>0.53300000000000003</v>
      </c>
      <c r="F290" s="14">
        <v>4030.7333333333331</v>
      </c>
      <c r="G290" s="13">
        <v>2364.9800000000037</v>
      </c>
      <c r="H290" s="15">
        <v>366</v>
      </c>
      <c r="I290" s="13">
        <v>9</v>
      </c>
      <c r="J290" s="16">
        <v>939</v>
      </c>
      <c r="K290" s="15">
        <v>1496</v>
      </c>
      <c r="L290" s="14">
        <v>905</v>
      </c>
      <c r="M290" s="13">
        <v>401</v>
      </c>
    </row>
    <row r="291" spans="1:13" outlineLevel="1" x14ac:dyDescent="0.2">
      <c r="A291" s="20">
        <f t="shared" si="98"/>
        <v>3632</v>
      </c>
      <c r="B291" s="19" t="str">
        <f t="shared" si="98"/>
        <v>TAMU</v>
      </c>
      <c r="C291" s="18"/>
      <c r="D291" s="15">
        <v>8748</v>
      </c>
      <c r="E291" s="21">
        <v>0.84399999999999997</v>
      </c>
      <c r="F291" s="14">
        <v>34425.133333333331</v>
      </c>
      <c r="G291" s="13">
        <v>20060.050000001262</v>
      </c>
      <c r="H291" s="15">
        <v>1775</v>
      </c>
      <c r="I291" s="13">
        <v>133</v>
      </c>
      <c r="J291" s="16">
        <v>3727</v>
      </c>
      <c r="K291" s="15">
        <v>9623</v>
      </c>
      <c r="L291" s="14">
        <v>8962</v>
      </c>
      <c r="M291" s="13">
        <v>6823</v>
      </c>
    </row>
    <row r="292" spans="1:13" outlineLevel="1" x14ac:dyDescent="0.2">
      <c r="A292" s="20">
        <f t="shared" si="98"/>
        <v>10298</v>
      </c>
      <c r="B292" s="19" t="str">
        <f t="shared" si="98"/>
        <v>TAMUG</v>
      </c>
      <c r="C292" s="18"/>
      <c r="D292" s="15">
        <v>250</v>
      </c>
      <c r="E292" s="21">
        <v>0.66400000000000003</v>
      </c>
      <c r="F292" s="14">
        <v>1668.1333333333334</v>
      </c>
      <c r="G292" s="13">
        <v>648.89999999999895</v>
      </c>
      <c r="H292" s="15">
        <v>35</v>
      </c>
      <c r="I292" s="13">
        <v>0</v>
      </c>
      <c r="J292" s="16">
        <v>151</v>
      </c>
      <c r="K292" s="15">
        <v>600</v>
      </c>
      <c r="L292" s="14">
        <v>336</v>
      </c>
      <c r="M292" s="13">
        <v>234</v>
      </c>
    </row>
    <row r="293" spans="1:13" outlineLevel="1" x14ac:dyDescent="0.2">
      <c r="A293" s="20">
        <f t="shared" si="98"/>
        <v>3630</v>
      </c>
      <c r="B293" s="19" t="str">
        <f t="shared" si="98"/>
        <v>Prairie View</v>
      </c>
      <c r="C293" s="18"/>
      <c r="D293" s="15">
        <v>904</v>
      </c>
      <c r="E293" s="21">
        <v>0.37</v>
      </c>
      <c r="F293" s="49">
        <v>6088.2666666666664</v>
      </c>
      <c r="G293" s="13">
        <v>1934.240000000003</v>
      </c>
      <c r="H293" s="15">
        <v>279</v>
      </c>
      <c r="I293" s="13">
        <v>10</v>
      </c>
      <c r="J293" s="16">
        <v>775</v>
      </c>
      <c r="K293" s="15">
        <v>1660</v>
      </c>
      <c r="L293" s="14">
        <v>1237</v>
      </c>
      <c r="M293" s="13">
        <v>905</v>
      </c>
    </row>
    <row r="294" spans="1:13" outlineLevel="1" x14ac:dyDescent="0.2">
      <c r="A294" s="20">
        <f t="shared" si="98"/>
        <v>3631</v>
      </c>
      <c r="B294" s="19" t="str">
        <f t="shared" si="98"/>
        <v>Tarleton</v>
      </c>
      <c r="C294" s="18"/>
      <c r="D294" s="15">
        <v>1552</v>
      </c>
      <c r="E294" s="21">
        <v>0.48299999999999998</v>
      </c>
      <c r="F294" s="49">
        <v>6264.4666666666662</v>
      </c>
      <c r="G294" s="13">
        <v>3063.9600000000341</v>
      </c>
      <c r="H294" s="15">
        <v>197</v>
      </c>
      <c r="I294" s="48">
        <v>56</v>
      </c>
      <c r="J294" s="16">
        <v>1196</v>
      </c>
      <c r="K294" s="50">
        <v>2096</v>
      </c>
      <c r="L294" s="49">
        <v>1464</v>
      </c>
      <c r="M294" s="48">
        <v>840</v>
      </c>
    </row>
    <row r="295" spans="1:13" outlineLevel="1" x14ac:dyDescent="0.2">
      <c r="A295" s="27">
        <f t="shared" si="98"/>
        <v>103631</v>
      </c>
      <c r="B295" s="19" t="str">
        <f t="shared" si="98"/>
        <v>TAMUCT</v>
      </c>
      <c r="C295" s="18"/>
      <c r="D295" s="15">
        <v>462</v>
      </c>
      <c r="E295" s="21">
        <v>0.48299999999999998</v>
      </c>
      <c r="F295" s="49">
        <v>700.66666666666663</v>
      </c>
      <c r="G295" s="13">
        <v>846.68000000000006</v>
      </c>
      <c r="H295" s="15">
        <v>36</v>
      </c>
      <c r="I295" s="48">
        <v>0</v>
      </c>
      <c r="J295" s="16">
        <v>330</v>
      </c>
      <c r="K295" s="50">
        <v>555</v>
      </c>
      <c r="L295" s="49">
        <v>143</v>
      </c>
      <c r="M295" s="48">
        <v>66</v>
      </c>
    </row>
    <row r="296" spans="1:13" outlineLevel="1" x14ac:dyDescent="0.2">
      <c r="A296" s="20">
        <f t="shared" si="98"/>
        <v>11161</v>
      </c>
      <c r="B296" s="19" t="str">
        <f t="shared" si="98"/>
        <v>TAMUCC</v>
      </c>
      <c r="C296" s="18"/>
      <c r="D296" s="15">
        <v>1315</v>
      </c>
      <c r="E296" s="21">
        <v>0.51100000000000001</v>
      </c>
      <c r="F296" s="49">
        <v>6609.8666666666668</v>
      </c>
      <c r="G296" s="13">
        <v>2639.1300000000101</v>
      </c>
      <c r="H296" s="15">
        <v>252</v>
      </c>
      <c r="I296" s="48">
        <v>25</v>
      </c>
      <c r="J296" s="16">
        <v>1034</v>
      </c>
      <c r="K296" s="15">
        <v>2126</v>
      </c>
      <c r="L296" s="14">
        <v>1577</v>
      </c>
      <c r="M296" s="13">
        <v>864</v>
      </c>
    </row>
    <row r="297" spans="1:13" outlineLevel="1" x14ac:dyDescent="0.2">
      <c r="A297" s="20">
        <f t="shared" si="98"/>
        <v>3639</v>
      </c>
      <c r="B297" s="19" t="str">
        <f t="shared" si="98"/>
        <v>TAMUK</v>
      </c>
      <c r="C297" s="18"/>
      <c r="D297" s="15">
        <v>738</v>
      </c>
      <c r="E297" s="21">
        <v>0.39799999999999996</v>
      </c>
      <c r="F297" s="49">
        <v>4394.2</v>
      </c>
      <c r="G297" s="13">
        <v>1735.8600000000065</v>
      </c>
      <c r="H297" s="15">
        <v>246</v>
      </c>
      <c r="I297" s="48">
        <v>16</v>
      </c>
      <c r="J297" s="16">
        <v>613</v>
      </c>
      <c r="K297" s="50">
        <v>1180</v>
      </c>
      <c r="L297" s="49">
        <v>879</v>
      </c>
      <c r="M297" s="48">
        <v>555</v>
      </c>
    </row>
    <row r="298" spans="1:13" outlineLevel="1" x14ac:dyDescent="0.2">
      <c r="A298" s="27">
        <f t="shared" ref="A298:B313" si="99">A256</f>
        <v>103639</v>
      </c>
      <c r="B298" s="19" t="str">
        <f t="shared" si="99"/>
        <v>TAMUSA</v>
      </c>
      <c r="C298" s="18"/>
      <c r="D298" s="15">
        <v>620</v>
      </c>
      <c r="E298" s="21">
        <v>0.39799999999999996</v>
      </c>
      <c r="F298" s="49">
        <v>1492.4</v>
      </c>
      <c r="G298" s="13">
        <v>1078.0000000000073</v>
      </c>
      <c r="H298" s="15">
        <v>1</v>
      </c>
      <c r="I298" s="48">
        <v>0</v>
      </c>
      <c r="J298" s="16">
        <v>520</v>
      </c>
      <c r="K298" s="50">
        <v>995</v>
      </c>
      <c r="L298" s="49">
        <v>37</v>
      </c>
      <c r="M298" s="48">
        <v>2</v>
      </c>
    </row>
    <row r="299" spans="1:13" outlineLevel="1" x14ac:dyDescent="0.2">
      <c r="A299" s="20">
        <f t="shared" si="99"/>
        <v>9651</v>
      </c>
      <c r="B299" s="19" t="str">
        <f t="shared" si="99"/>
        <v>TAMI</v>
      </c>
      <c r="C299" s="18"/>
      <c r="D299" s="15">
        <v>766</v>
      </c>
      <c r="E299" s="21">
        <v>0.503</v>
      </c>
      <c r="F299" s="14">
        <v>4126.8</v>
      </c>
      <c r="G299" s="13">
        <v>1400.4200000000046</v>
      </c>
      <c r="H299" s="15">
        <v>120</v>
      </c>
      <c r="I299" s="13">
        <v>18</v>
      </c>
      <c r="J299" s="16">
        <v>688</v>
      </c>
      <c r="K299" s="15">
        <v>1515</v>
      </c>
      <c r="L299" s="14">
        <v>1027</v>
      </c>
      <c r="M299" s="13">
        <v>486</v>
      </c>
    </row>
    <row r="300" spans="1:13" outlineLevel="1" x14ac:dyDescent="0.2">
      <c r="A300" s="20">
        <f t="shared" si="99"/>
        <v>3665</v>
      </c>
      <c r="B300" s="19" t="str">
        <f t="shared" si="99"/>
        <v>WTAMU</v>
      </c>
      <c r="C300" s="18"/>
      <c r="D300" s="15">
        <v>1294</v>
      </c>
      <c r="E300" s="21">
        <v>0.47399999999999998</v>
      </c>
      <c r="F300" s="14">
        <v>5457.666666666667</v>
      </c>
      <c r="G300" s="13">
        <v>2570.7800000000157</v>
      </c>
      <c r="H300" s="15">
        <v>184</v>
      </c>
      <c r="I300" s="13">
        <v>58</v>
      </c>
      <c r="J300" s="16">
        <v>913</v>
      </c>
      <c r="K300" s="15">
        <v>1871</v>
      </c>
      <c r="L300" s="14">
        <v>1264</v>
      </c>
      <c r="M300" s="13">
        <v>664</v>
      </c>
    </row>
    <row r="301" spans="1:13" outlineLevel="1" x14ac:dyDescent="0.2">
      <c r="A301" s="20">
        <f t="shared" si="99"/>
        <v>3565</v>
      </c>
      <c r="B301" s="19" t="str">
        <f t="shared" si="99"/>
        <v>TAMUC</v>
      </c>
      <c r="C301" s="18"/>
      <c r="D301" s="15">
        <v>1313</v>
      </c>
      <c r="E301" s="21">
        <v>0.42600000000000005</v>
      </c>
      <c r="F301" s="14">
        <v>4783.5333333333338</v>
      </c>
      <c r="G301" s="13">
        <v>2463.6900000000296</v>
      </c>
      <c r="H301" s="15">
        <v>71</v>
      </c>
      <c r="I301" s="13">
        <v>77</v>
      </c>
      <c r="J301" s="16">
        <v>1002</v>
      </c>
      <c r="K301" s="15">
        <v>1911</v>
      </c>
      <c r="L301" s="14">
        <v>1200</v>
      </c>
      <c r="M301" s="13">
        <v>477</v>
      </c>
    </row>
    <row r="302" spans="1:13" outlineLevel="1" x14ac:dyDescent="0.2">
      <c r="A302" s="20">
        <f t="shared" si="99"/>
        <v>29269</v>
      </c>
      <c r="B302" s="19" t="str">
        <f t="shared" si="99"/>
        <v>TAMUT</v>
      </c>
      <c r="C302" s="18"/>
      <c r="D302" s="15">
        <v>335</v>
      </c>
      <c r="E302" s="17">
        <v>0.56028368794326244</v>
      </c>
      <c r="F302" s="14">
        <v>879.13333333333333</v>
      </c>
      <c r="G302" s="13">
        <v>609.83000000000015</v>
      </c>
      <c r="H302" s="15">
        <v>48</v>
      </c>
      <c r="I302" s="13">
        <v>18</v>
      </c>
      <c r="J302" s="16">
        <v>230</v>
      </c>
      <c r="K302" s="15">
        <v>411</v>
      </c>
      <c r="L302" s="14">
        <v>186</v>
      </c>
      <c r="M302" s="13">
        <v>1</v>
      </c>
    </row>
    <row r="303" spans="1:13" outlineLevel="1" x14ac:dyDescent="0.2">
      <c r="A303" s="20">
        <f t="shared" si="99"/>
        <v>3652</v>
      </c>
      <c r="B303" s="19" t="str">
        <f t="shared" si="99"/>
        <v>UH</v>
      </c>
      <c r="C303" s="18"/>
      <c r="D303" s="15">
        <v>5092</v>
      </c>
      <c r="E303" s="21">
        <v>0.54200000000000004</v>
      </c>
      <c r="F303" s="14">
        <v>23853.933333333334</v>
      </c>
      <c r="G303" s="13">
        <v>10569.339999999527</v>
      </c>
      <c r="H303" s="15">
        <v>720</v>
      </c>
      <c r="I303" s="13">
        <v>74</v>
      </c>
      <c r="J303" s="16">
        <v>3340</v>
      </c>
      <c r="K303" s="15">
        <v>7467</v>
      </c>
      <c r="L303" s="14">
        <v>5804</v>
      </c>
      <c r="M303" s="13">
        <v>3314</v>
      </c>
    </row>
    <row r="304" spans="1:13" outlineLevel="1" x14ac:dyDescent="0.2">
      <c r="A304" s="20">
        <f t="shared" si="99"/>
        <v>11711</v>
      </c>
      <c r="B304" s="19" t="str">
        <f t="shared" si="99"/>
        <v>UHCL</v>
      </c>
      <c r="C304" s="18"/>
      <c r="D304" s="15">
        <v>1197</v>
      </c>
      <c r="E304" s="17">
        <v>0.53820033955857383</v>
      </c>
      <c r="F304" s="14">
        <v>3046.8</v>
      </c>
      <c r="G304" s="13">
        <v>2293.9500000000248</v>
      </c>
      <c r="H304" s="15">
        <v>113</v>
      </c>
      <c r="I304" s="13">
        <v>8</v>
      </c>
      <c r="J304" s="16">
        <v>777</v>
      </c>
      <c r="K304" s="15">
        <v>1434</v>
      </c>
      <c r="L304" s="14">
        <v>959</v>
      </c>
      <c r="M304" s="13">
        <v>53</v>
      </c>
    </row>
    <row r="305" spans="1:14" outlineLevel="1" x14ac:dyDescent="0.2">
      <c r="A305" s="20">
        <f t="shared" si="99"/>
        <v>12826</v>
      </c>
      <c r="B305" s="19" t="str">
        <f t="shared" si="99"/>
        <v>UHD</v>
      </c>
      <c r="C305" s="18"/>
      <c r="D305" s="15">
        <v>2437</v>
      </c>
      <c r="E305" s="21">
        <v>0.215</v>
      </c>
      <c r="F305" s="14">
        <v>7949.2666666666664</v>
      </c>
      <c r="G305" s="13">
        <v>4368.2100000000464</v>
      </c>
      <c r="H305" s="15">
        <v>143</v>
      </c>
      <c r="I305" s="13">
        <v>0</v>
      </c>
      <c r="J305" s="16">
        <v>1730</v>
      </c>
      <c r="K305" s="15">
        <v>3223</v>
      </c>
      <c r="L305" s="14">
        <v>1896</v>
      </c>
      <c r="M305" s="13">
        <v>618</v>
      </c>
    </row>
    <row r="306" spans="1:14" outlineLevel="1" x14ac:dyDescent="0.2">
      <c r="A306" s="20">
        <f t="shared" si="99"/>
        <v>13231</v>
      </c>
      <c r="B306" s="19" t="str">
        <f t="shared" si="99"/>
        <v>UHV</v>
      </c>
      <c r="C306" s="18"/>
      <c r="D306" s="15">
        <v>596</v>
      </c>
      <c r="E306" s="17">
        <v>0.5339366515837104</v>
      </c>
      <c r="F306" s="14">
        <v>1494.2</v>
      </c>
      <c r="G306" s="13">
        <v>1103.6999999999998</v>
      </c>
      <c r="H306" s="15">
        <v>118</v>
      </c>
      <c r="I306" s="13">
        <v>11</v>
      </c>
      <c r="J306" s="16">
        <v>397</v>
      </c>
      <c r="K306" s="15">
        <v>718</v>
      </c>
      <c r="L306" s="14">
        <v>286</v>
      </c>
      <c r="M306" s="13">
        <v>6</v>
      </c>
    </row>
    <row r="307" spans="1:14" outlineLevel="1" x14ac:dyDescent="0.2">
      <c r="A307" s="20">
        <f t="shared" si="99"/>
        <v>3592</v>
      </c>
      <c r="B307" s="19" t="str">
        <f t="shared" si="99"/>
        <v>Midwestern</v>
      </c>
      <c r="C307" s="18"/>
      <c r="D307" s="15">
        <v>1027</v>
      </c>
      <c r="E307" s="21">
        <v>0.443</v>
      </c>
      <c r="F307" s="14">
        <v>4387.7333333333336</v>
      </c>
      <c r="G307" s="13">
        <v>1924.84</v>
      </c>
      <c r="H307" s="15">
        <v>340</v>
      </c>
      <c r="I307" s="13">
        <v>11</v>
      </c>
      <c r="J307" s="16">
        <v>675</v>
      </c>
      <c r="K307" s="15">
        <v>1507</v>
      </c>
      <c r="L307" s="14">
        <v>1079</v>
      </c>
      <c r="M307" s="13">
        <v>734</v>
      </c>
    </row>
    <row r="308" spans="1:14" outlineLevel="1" x14ac:dyDescent="0.2">
      <c r="A308" s="20">
        <f t="shared" si="99"/>
        <v>3594</v>
      </c>
      <c r="B308" s="19" t="str">
        <f t="shared" si="99"/>
        <v>UNT</v>
      </c>
      <c r="C308" s="18"/>
      <c r="D308" s="15">
        <v>6183</v>
      </c>
      <c r="E308" s="21">
        <v>0.58700000000000008</v>
      </c>
      <c r="F308" s="14">
        <v>23168.733333333334</v>
      </c>
      <c r="G308" s="13">
        <v>11731.089999999795</v>
      </c>
      <c r="H308" s="15">
        <v>345</v>
      </c>
      <c r="I308" s="13">
        <v>47</v>
      </c>
      <c r="J308" s="16">
        <v>3942</v>
      </c>
      <c r="K308" s="15">
        <v>7957</v>
      </c>
      <c r="L308" s="14">
        <v>5891</v>
      </c>
      <c r="M308" s="13">
        <v>3310</v>
      </c>
    </row>
    <row r="309" spans="1:14" outlineLevel="1" x14ac:dyDescent="0.2">
      <c r="A309" s="27">
        <f t="shared" si="99"/>
        <v>113594</v>
      </c>
      <c r="B309" s="19" t="str">
        <f t="shared" si="99"/>
        <v>UNTD</v>
      </c>
      <c r="C309" s="18"/>
      <c r="D309" s="30">
        <v>388</v>
      </c>
      <c r="E309" s="47">
        <v>0.58700000000000008</v>
      </c>
      <c r="F309" s="29">
        <v>908.8</v>
      </c>
      <c r="G309" s="28">
        <v>669.60000000000036</v>
      </c>
      <c r="H309" s="30">
        <v>10</v>
      </c>
      <c r="I309" s="28"/>
      <c r="J309" s="46">
        <v>304</v>
      </c>
      <c r="K309" s="30">
        <v>487</v>
      </c>
      <c r="L309" s="29">
        <v>63</v>
      </c>
      <c r="M309" s="28">
        <v>18</v>
      </c>
    </row>
    <row r="310" spans="1:14" outlineLevel="1" x14ac:dyDescent="0.2">
      <c r="A310" s="20">
        <f t="shared" si="99"/>
        <v>3624</v>
      </c>
      <c r="B310" s="19" t="str">
        <f t="shared" si="99"/>
        <v>SFA</v>
      </c>
      <c r="C310" s="18"/>
      <c r="D310" s="15">
        <v>1880</v>
      </c>
      <c r="E310" s="21">
        <v>0.53900000000000003</v>
      </c>
      <c r="F310" s="14">
        <v>9440.9333333333325</v>
      </c>
      <c r="G310" s="13">
        <v>3606.8600000000297</v>
      </c>
      <c r="H310" s="15">
        <v>241</v>
      </c>
      <c r="I310" s="13">
        <v>49</v>
      </c>
      <c r="J310" s="16">
        <v>1446</v>
      </c>
      <c r="K310" s="15">
        <v>3040</v>
      </c>
      <c r="L310" s="14">
        <v>2166</v>
      </c>
      <c r="M310" s="13">
        <v>1402</v>
      </c>
    </row>
    <row r="311" spans="1:14" outlineLevel="1" x14ac:dyDescent="0.2">
      <c r="A311" s="20">
        <f t="shared" si="99"/>
        <v>3642</v>
      </c>
      <c r="B311" s="19" t="str">
        <f t="shared" si="99"/>
        <v>TSU</v>
      </c>
      <c r="C311" s="18"/>
      <c r="D311" s="15">
        <v>721</v>
      </c>
      <c r="E311" s="21">
        <v>0.14099999999999999</v>
      </c>
      <c r="F311" s="14">
        <v>5912.8</v>
      </c>
      <c r="G311" s="13">
        <v>1385.6100000000063</v>
      </c>
      <c r="H311" s="15">
        <v>122</v>
      </c>
      <c r="I311" s="13">
        <v>2</v>
      </c>
      <c r="J311" s="16">
        <v>635</v>
      </c>
      <c r="K311" s="15">
        <v>1692</v>
      </c>
      <c r="L311" s="14">
        <v>1274</v>
      </c>
      <c r="M311" s="13">
        <v>870</v>
      </c>
    </row>
    <row r="312" spans="1:14" outlineLevel="1" x14ac:dyDescent="0.2">
      <c r="A312" s="20">
        <f t="shared" si="99"/>
        <v>3644</v>
      </c>
      <c r="B312" s="19" t="str">
        <f t="shared" si="99"/>
        <v>TTU</v>
      </c>
      <c r="C312" s="18"/>
      <c r="D312" s="15">
        <v>4605</v>
      </c>
      <c r="E312" s="21">
        <v>0.7320000000000001</v>
      </c>
      <c r="F312" s="14">
        <v>22527.466666666667</v>
      </c>
      <c r="G312" s="13">
        <v>9815.7899999997753</v>
      </c>
      <c r="H312" s="15">
        <v>687</v>
      </c>
      <c r="I312" s="13">
        <v>62</v>
      </c>
      <c r="J312" s="16">
        <v>2724</v>
      </c>
      <c r="K312" s="15">
        <v>6577</v>
      </c>
      <c r="L312" s="14">
        <v>5355</v>
      </c>
      <c r="M312" s="13">
        <v>3957</v>
      </c>
    </row>
    <row r="313" spans="1:14" outlineLevel="1" x14ac:dyDescent="0.2">
      <c r="A313" s="20">
        <f t="shared" si="99"/>
        <v>3541</v>
      </c>
      <c r="B313" s="19" t="str">
        <f t="shared" si="99"/>
        <v>Angelo</v>
      </c>
      <c r="C313" s="18"/>
      <c r="D313" s="15">
        <v>960</v>
      </c>
      <c r="E313" s="21">
        <v>0.441</v>
      </c>
      <c r="F313" s="14">
        <v>4895.666666666667</v>
      </c>
      <c r="G313" s="13">
        <v>1856.9499999999953</v>
      </c>
      <c r="H313" s="15">
        <v>242</v>
      </c>
      <c r="I313" s="13">
        <v>21</v>
      </c>
      <c r="J313" s="16">
        <v>720</v>
      </c>
      <c r="K313" s="15">
        <v>1444</v>
      </c>
      <c r="L313" s="14">
        <v>1071</v>
      </c>
      <c r="M313" s="13">
        <v>708</v>
      </c>
    </row>
    <row r="314" spans="1:14" outlineLevel="1" x14ac:dyDescent="0.2">
      <c r="A314" s="20">
        <f t="shared" ref="A314:B319" si="100">A272</f>
        <v>3646</v>
      </c>
      <c r="B314" s="19" t="str">
        <f t="shared" si="100"/>
        <v>TWU</v>
      </c>
      <c r="C314" s="18"/>
      <c r="D314" s="15">
        <v>1725</v>
      </c>
      <c r="E314" s="21">
        <v>0.48399999999999999</v>
      </c>
      <c r="F314" s="14">
        <v>6598.2</v>
      </c>
      <c r="G314" s="13">
        <v>3227.0100000000139</v>
      </c>
      <c r="H314" s="15">
        <v>523</v>
      </c>
      <c r="I314" s="13">
        <v>34</v>
      </c>
      <c r="J314" s="16">
        <v>1201</v>
      </c>
      <c r="K314" s="15">
        <v>2121</v>
      </c>
      <c r="L314" s="14">
        <v>1259</v>
      </c>
      <c r="M314" s="13">
        <v>608</v>
      </c>
    </row>
    <row r="315" spans="1:14" outlineLevel="1" x14ac:dyDescent="0.2">
      <c r="A315" s="20">
        <f t="shared" si="100"/>
        <v>3581</v>
      </c>
      <c r="B315" s="19" t="str">
        <f t="shared" si="100"/>
        <v>Lamar</v>
      </c>
      <c r="C315" s="18"/>
      <c r="D315" s="15">
        <v>1340</v>
      </c>
      <c r="E315" s="21">
        <v>0.35399999999999998</v>
      </c>
      <c r="F315" s="14">
        <v>7247.8</v>
      </c>
      <c r="G315" s="13">
        <v>2695.0800000000122</v>
      </c>
      <c r="H315" s="15">
        <v>358</v>
      </c>
      <c r="I315" s="13">
        <v>16</v>
      </c>
      <c r="J315" s="16">
        <v>943</v>
      </c>
      <c r="K315" s="15">
        <v>2317</v>
      </c>
      <c r="L315" s="14">
        <v>1577</v>
      </c>
      <c r="M315" s="13">
        <v>1000</v>
      </c>
    </row>
    <row r="316" spans="1:14" outlineLevel="1" x14ac:dyDescent="0.2">
      <c r="A316" s="20">
        <f t="shared" si="100"/>
        <v>3606</v>
      </c>
      <c r="B316" s="19" t="str">
        <f t="shared" si="100"/>
        <v>SHSU</v>
      </c>
      <c r="C316" s="18"/>
      <c r="D316" s="15">
        <v>3013</v>
      </c>
      <c r="E316" s="21">
        <v>0.60299999999999998</v>
      </c>
      <c r="F316" s="14">
        <v>12631.666666666666</v>
      </c>
      <c r="G316" s="13">
        <v>5628.5800000000427</v>
      </c>
      <c r="H316" s="15">
        <v>166</v>
      </c>
      <c r="I316" s="13">
        <v>63</v>
      </c>
      <c r="J316" s="16">
        <v>2160</v>
      </c>
      <c r="K316" s="15">
        <v>3940</v>
      </c>
      <c r="L316" s="14">
        <v>2970</v>
      </c>
      <c r="M316" s="13">
        <v>1716</v>
      </c>
    </row>
    <row r="317" spans="1:14" outlineLevel="1" x14ac:dyDescent="0.2">
      <c r="A317" s="20">
        <f t="shared" si="100"/>
        <v>3615</v>
      </c>
      <c r="B317" s="19" t="str">
        <f t="shared" si="100"/>
        <v>TXST</v>
      </c>
      <c r="C317" s="18"/>
      <c r="D317" s="15">
        <v>5349</v>
      </c>
      <c r="E317" s="21">
        <v>0.6409999999999999</v>
      </c>
      <c r="F317" s="14">
        <v>22917.933333333334</v>
      </c>
      <c r="G317" s="13">
        <v>10250.389999999717</v>
      </c>
      <c r="H317" s="15">
        <v>445</v>
      </c>
      <c r="I317" s="13">
        <v>65</v>
      </c>
      <c r="J317" s="16">
        <v>3665</v>
      </c>
      <c r="K317" s="15">
        <v>7685</v>
      </c>
      <c r="L317" s="14">
        <v>5748</v>
      </c>
      <c r="M317" s="13">
        <v>3317</v>
      </c>
    </row>
    <row r="318" spans="1:14" outlineLevel="1" x14ac:dyDescent="0.2">
      <c r="A318" s="20">
        <f t="shared" si="100"/>
        <v>3625</v>
      </c>
      <c r="B318" s="19" t="str">
        <f t="shared" si="100"/>
        <v>SRSU</v>
      </c>
      <c r="C318" s="18"/>
      <c r="D318" s="15">
        <v>196</v>
      </c>
      <c r="E318" s="21">
        <v>0.29199999999999998</v>
      </c>
      <c r="F318" s="14">
        <v>1200.1333333333334</v>
      </c>
      <c r="G318" s="13">
        <v>405.49999999999949</v>
      </c>
      <c r="H318" s="15">
        <v>18</v>
      </c>
      <c r="I318" s="13">
        <v>4</v>
      </c>
      <c r="J318" s="16">
        <v>166</v>
      </c>
      <c r="K318" s="15">
        <v>298</v>
      </c>
      <c r="L318" s="14">
        <v>217</v>
      </c>
      <c r="M318" s="13">
        <v>136</v>
      </c>
      <c r="N318" s="41"/>
    </row>
    <row r="319" spans="1:14" outlineLevel="1" x14ac:dyDescent="0.2">
      <c r="A319" s="20">
        <f t="shared" si="100"/>
        <v>20</v>
      </c>
      <c r="B319" s="19" t="str">
        <f t="shared" si="100"/>
        <v>SRRG</v>
      </c>
      <c r="C319" s="18"/>
      <c r="D319" s="15">
        <v>163</v>
      </c>
      <c r="E319" s="17">
        <v>0.33750000000000002</v>
      </c>
      <c r="F319" s="14">
        <v>472.13333333333333</v>
      </c>
      <c r="G319" s="13">
        <v>281.52999999999975</v>
      </c>
      <c r="H319" s="15">
        <v>5</v>
      </c>
      <c r="I319" s="13">
        <v>7</v>
      </c>
      <c r="J319" s="16">
        <v>145</v>
      </c>
      <c r="K319" s="15">
        <v>224</v>
      </c>
      <c r="L319" s="14">
        <v>97</v>
      </c>
      <c r="M319" s="13">
        <v>2</v>
      </c>
    </row>
    <row r="320" spans="1:14" ht="13.5" outlineLevel="1" thickBot="1" x14ac:dyDescent="0.25">
      <c r="A320" s="12"/>
      <c r="B320" s="11" t="s">
        <v>11</v>
      </c>
      <c r="C320" s="10"/>
      <c r="D320" s="9">
        <f>SUM(D282:D319)</f>
        <v>84231</v>
      </c>
      <c r="E320" s="8">
        <v>0.58399999999999996</v>
      </c>
      <c r="F320" s="7">
        <f t="shared" ref="F320:M320" si="101">SUM(F282:F319)</f>
        <v>351171.46666666673</v>
      </c>
      <c r="G320" s="3">
        <f t="shared" si="101"/>
        <v>170914.74000000223</v>
      </c>
      <c r="H320" s="5">
        <f t="shared" si="101"/>
        <v>13857</v>
      </c>
      <c r="I320" s="3">
        <f t="shared" si="101"/>
        <v>1204</v>
      </c>
      <c r="J320" s="6">
        <f t="shared" si="101"/>
        <v>54385</v>
      </c>
      <c r="K320" s="5">
        <f t="shared" si="101"/>
        <v>116139</v>
      </c>
      <c r="L320" s="4">
        <f t="shared" si="101"/>
        <v>84006</v>
      </c>
      <c r="M320" s="3">
        <f t="shared" si="101"/>
        <v>51310</v>
      </c>
    </row>
    <row r="321" spans="1:15" ht="13.5" thickBot="1" x14ac:dyDescent="0.25">
      <c r="A321" s="45" t="s">
        <v>25</v>
      </c>
      <c r="B321" s="45"/>
      <c r="C321" s="45"/>
      <c r="D321" s="45"/>
      <c r="F321" s="45"/>
      <c r="J321" s="45"/>
    </row>
    <row r="322" spans="1:15" ht="12.75" customHeight="1" outlineLevel="1" x14ac:dyDescent="0.2">
      <c r="A322" s="273" t="s">
        <v>24</v>
      </c>
      <c r="B322" s="275" t="s">
        <v>23</v>
      </c>
      <c r="C322" s="277"/>
      <c r="D322" s="306" t="s">
        <v>22</v>
      </c>
      <c r="E322" s="301" t="s">
        <v>21</v>
      </c>
      <c r="F322" s="275" t="s">
        <v>20</v>
      </c>
      <c r="G322" s="297" t="s">
        <v>19</v>
      </c>
      <c r="H322" s="299" t="s">
        <v>18</v>
      </c>
      <c r="I322" s="291" t="s">
        <v>17</v>
      </c>
      <c r="J322" s="293" t="s">
        <v>16</v>
      </c>
      <c r="K322" s="295" t="s">
        <v>15</v>
      </c>
      <c r="L322" s="296"/>
      <c r="M322" s="296"/>
    </row>
    <row r="323" spans="1:15" s="41" customFormat="1" ht="39.75" customHeight="1" outlineLevel="1" thickBot="1" x14ac:dyDescent="0.25">
      <c r="A323" s="274"/>
      <c r="B323" s="276"/>
      <c r="C323" s="278"/>
      <c r="D323" s="307"/>
      <c r="E323" s="302"/>
      <c r="F323" s="276"/>
      <c r="G323" s="298"/>
      <c r="H323" s="300"/>
      <c r="I323" s="292"/>
      <c r="J323" s="294"/>
      <c r="K323" s="44" t="s">
        <v>14</v>
      </c>
      <c r="L323" s="43" t="s">
        <v>13</v>
      </c>
      <c r="M323" s="42" t="s">
        <v>12</v>
      </c>
      <c r="N323" s="1"/>
    </row>
    <row r="324" spans="1:15" outlineLevel="1" x14ac:dyDescent="0.2">
      <c r="A324" s="40">
        <f t="shared" ref="A324:B339" si="102">A282</f>
        <v>3656</v>
      </c>
      <c r="B324" s="39" t="str">
        <f t="shared" si="102"/>
        <v>UTA</v>
      </c>
      <c r="C324" s="38"/>
      <c r="D324" s="33">
        <v>4178</v>
      </c>
      <c r="E324" s="37">
        <v>0.50700000000000001</v>
      </c>
      <c r="F324" s="32">
        <v>15698.133333333333</v>
      </c>
      <c r="G324" s="31">
        <v>8640.2399999998797</v>
      </c>
      <c r="H324" s="36">
        <v>834</v>
      </c>
      <c r="I324" s="35">
        <v>36</v>
      </c>
      <c r="J324" s="34">
        <v>2662</v>
      </c>
      <c r="K324" s="33">
        <v>6630</v>
      </c>
      <c r="L324" s="32">
        <v>3636</v>
      </c>
      <c r="M324" s="31">
        <v>1724</v>
      </c>
    </row>
    <row r="325" spans="1:15" outlineLevel="1" x14ac:dyDescent="0.2">
      <c r="A325" s="20">
        <f t="shared" si="102"/>
        <v>3658</v>
      </c>
      <c r="B325" s="19" t="str">
        <f t="shared" si="102"/>
        <v>UT</v>
      </c>
      <c r="C325" s="18"/>
      <c r="D325" s="15">
        <v>8952</v>
      </c>
      <c r="E325" s="21">
        <v>0.82899999999999996</v>
      </c>
      <c r="F325" s="14">
        <v>33736.73333333333</v>
      </c>
      <c r="G325" s="13">
        <v>19230.319999999745</v>
      </c>
      <c r="H325" s="15">
        <v>1754</v>
      </c>
      <c r="I325" s="13">
        <v>55</v>
      </c>
      <c r="J325" s="16">
        <v>3435</v>
      </c>
      <c r="K325" s="15">
        <v>9596</v>
      </c>
      <c r="L325" s="14">
        <v>9749</v>
      </c>
      <c r="M325" s="13">
        <v>7288</v>
      </c>
      <c r="O325" s="2"/>
    </row>
    <row r="326" spans="1:15" outlineLevel="1" x14ac:dyDescent="0.2">
      <c r="A326" s="20">
        <f t="shared" si="102"/>
        <v>9741</v>
      </c>
      <c r="B326" s="19" t="str">
        <f t="shared" si="102"/>
        <v>UTD</v>
      </c>
      <c r="C326" s="18"/>
      <c r="D326" s="15">
        <v>2355</v>
      </c>
      <c r="E326" s="21">
        <v>0.70699999999999996</v>
      </c>
      <c r="F326" s="14">
        <v>8108.8666666666668</v>
      </c>
      <c r="G326" s="13">
        <v>4955.5700000000443</v>
      </c>
      <c r="H326" s="15">
        <v>392</v>
      </c>
      <c r="I326" s="13">
        <v>36</v>
      </c>
      <c r="J326" s="16">
        <v>1255</v>
      </c>
      <c r="K326" s="15">
        <v>3078</v>
      </c>
      <c r="L326" s="14">
        <v>1950</v>
      </c>
      <c r="M326" s="13">
        <v>923</v>
      </c>
      <c r="O326" s="2"/>
    </row>
    <row r="327" spans="1:15" outlineLevel="1" x14ac:dyDescent="0.2">
      <c r="A327" s="20">
        <f t="shared" si="102"/>
        <v>3661</v>
      </c>
      <c r="B327" s="19" t="str">
        <f t="shared" si="102"/>
        <v>UTEP</v>
      </c>
      <c r="C327" s="18"/>
      <c r="D327" s="15">
        <v>3031</v>
      </c>
      <c r="E327" s="21">
        <v>0.374</v>
      </c>
      <c r="F327" s="14">
        <v>12791.933333333332</v>
      </c>
      <c r="G327" s="13">
        <v>6295.4500000000389</v>
      </c>
      <c r="H327" s="15">
        <v>709</v>
      </c>
      <c r="I327" s="13">
        <v>93</v>
      </c>
      <c r="J327" s="16">
        <v>2394</v>
      </c>
      <c r="K327" s="15">
        <v>4200</v>
      </c>
      <c r="L327" s="14">
        <v>3366</v>
      </c>
      <c r="M327" s="13">
        <v>1972</v>
      </c>
      <c r="O327" s="2"/>
    </row>
    <row r="328" spans="1:15" outlineLevel="1" x14ac:dyDescent="0.2">
      <c r="A328" s="20">
        <f t="shared" si="102"/>
        <v>3599</v>
      </c>
      <c r="B328" s="19" t="str">
        <f t="shared" si="102"/>
        <v>UTPA</v>
      </c>
      <c r="C328" s="18"/>
      <c r="D328" s="15">
        <v>2620</v>
      </c>
      <c r="E328" s="21">
        <v>0.38900000000000001</v>
      </c>
      <c r="F328" s="14">
        <v>12572.333333333334</v>
      </c>
      <c r="G328" s="13">
        <v>5170.8900000000631</v>
      </c>
      <c r="H328" s="15">
        <v>480</v>
      </c>
      <c r="I328" s="13">
        <v>31</v>
      </c>
      <c r="J328" s="16">
        <v>2341</v>
      </c>
      <c r="K328" s="15">
        <v>4354</v>
      </c>
      <c r="L328" s="14">
        <v>3136</v>
      </c>
      <c r="M328" s="13">
        <v>1924</v>
      </c>
      <c r="O328" s="2"/>
    </row>
    <row r="329" spans="1:15" outlineLevel="1" x14ac:dyDescent="0.2">
      <c r="A329" s="20">
        <f t="shared" si="102"/>
        <v>30646</v>
      </c>
      <c r="B329" s="19" t="str">
        <f t="shared" si="102"/>
        <v>UTB</v>
      </c>
      <c r="C329" s="18"/>
      <c r="D329" s="15">
        <v>1052</v>
      </c>
      <c r="E329" s="17">
        <v>0.64666666666666661</v>
      </c>
      <c r="F329" s="14">
        <v>2989.6</v>
      </c>
      <c r="G329" s="13">
        <v>2005.0100000000309</v>
      </c>
      <c r="H329" s="15">
        <v>108</v>
      </c>
      <c r="I329" s="13">
        <v>19</v>
      </c>
      <c r="J329" s="16">
        <v>916</v>
      </c>
      <c r="K329" s="15">
        <v>1377</v>
      </c>
      <c r="L329" s="14">
        <v>583</v>
      </c>
      <c r="M329" s="13">
        <v>72</v>
      </c>
      <c r="O329" s="2"/>
    </row>
    <row r="330" spans="1:15" outlineLevel="1" x14ac:dyDescent="0.2">
      <c r="A330" s="20">
        <f t="shared" si="102"/>
        <v>9930</v>
      </c>
      <c r="B330" s="19" t="str">
        <f t="shared" si="102"/>
        <v>UTPB</v>
      </c>
      <c r="C330" s="18"/>
      <c r="D330" s="15">
        <v>513</v>
      </c>
      <c r="E330" s="21">
        <v>0.44600000000000001</v>
      </c>
      <c r="F330" s="14">
        <v>2159.6</v>
      </c>
      <c r="G330" s="13">
        <v>944.74000000001092</v>
      </c>
      <c r="H330" s="15">
        <v>33</v>
      </c>
      <c r="I330" s="13">
        <v>13</v>
      </c>
      <c r="J330" s="16">
        <v>379</v>
      </c>
      <c r="K330" s="15">
        <v>707</v>
      </c>
      <c r="L330" s="14">
        <v>450</v>
      </c>
      <c r="M330" s="13">
        <v>182</v>
      </c>
      <c r="O330" s="2"/>
    </row>
    <row r="331" spans="1:15" outlineLevel="1" x14ac:dyDescent="0.2">
      <c r="A331" s="20">
        <f t="shared" si="102"/>
        <v>10115</v>
      </c>
      <c r="B331" s="19" t="str">
        <f t="shared" si="102"/>
        <v>UTSA</v>
      </c>
      <c r="C331" s="18"/>
      <c r="D331" s="15">
        <v>3968</v>
      </c>
      <c r="E331" s="21">
        <v>0.44</v>
      </c>
      <c r="F331" s="14">
        <v>19707.533333333333</v>
      </c>
      <c r="G331" s="13">
        <v>8107.0899999997582</v>
      </c>
      <c r="H331" s="15">
        <v>375</v>
      </c>
      <c r="I331" s="13">
        <v>39</v>
      </c>
      <c r="J331" s="16">
        <v>2956</v>
      </c>
      <c r="K331" s="15">
        <v>6812</v>
      </c>
      <c r="L331" s="14">
        <v>4615</v>
      </c>
      <c r="M331" s="13">
        <v>2588</v>
      </c>
      <c r="O331" s="2"/>
    </row>
    <row r="332" spans="1:15" outlineLevel="1" x14ac:dyDescent="0.2">
      <c r="A332" s="20">
        <f t="shared" si="102"/>
        <v>11163</v>
      </c>
      <c r="B332" s="19" t="str">
        <f t="shared" si="102"/>
        <v>UTT</v>
      </c>
      <c r="C332" s="18"/>
      <c r="D332" s="15">
        <v>1238</v>
      </c>
      <c r="E332" s="21">
        <v>0.496</v>
      </c>
      <c r="F332" s="14">
        <v>4085.2666666666669</v>
      </c>
      <c r="G332" s="13">
        <v>2459.1300000000315</v>
      </c>
      <c r="H332" s="15">
        <v>372</v>
      </c>
      <c r="I332" s="13">
        <v>10</v>
      </c>
      <c r="J332" s="16">
        <v>1002</v>
      </c>
      <c r="K332" s="15">
        <v>1404</v>
      </c>
      <c r="L332" s="14">
        <v>921</v>
      </c>
      <c r="M332" s="13">
        <v>378</v>
      </c>
      <c r="O332" s="2"/>
    </row>
    <row r="333" spans="1:15" outlineLevel="1" x14ac:dyDescent="0.2">
      <c r="A333" s="20">
        <f t="shared" si="102"/>
        <v>3632</v>
      </c>
      <c r="B333" s="19" t="str">
        <f t="shared" si="102"/>
        <v>TAMU</v>
      </c>
      <c r="C333" s="18"/>
      <c r="D333" s="15">
        <v>8451</v>
      </c>
      <c r="E333" s="21">
        <v>0.83599999999999997</v>
      </c>
      <c r="F333" s="14">
        <v>34329.199999999997</v>
      </c>
      <c r="G333" s="13">
        <v>19146.209999999159</v>
      </c>
      <c r="H333" s="15">
        <v>1580</v>
      </c>
      <c r="I333" s="13">
        <v>108</v>
      </c>
      <c r="J333" s="16">
        <v>3530</v>
      </c>
      <c r="K333" s="15">
        <v>10012</v>
      </c>
      <c r="L333" s="14">
        <v>8836</v>
      </c>
      <c r="M333" s="13">
        <v>6932</v>
      </c>
      <c r="O333" s="2"/>
    </row>
    <row r="334" spans="1:15" outlineLevel="1" x14ac:dyDescent="0.2">
      <c r="A334" s="20">
        <f t="shared" si="102"/>
        <v>10298</v>
      </c>
      <c r="B334" s="19" t="str">
        <f t="shared" si="102"/>
        <v>TAMUG</v>
      </c>
      <c r="C334" s="18"/>
      <c r="D334" s="15">
        <v>262</v>
      </c>
      <c r="E334" s="21">
        <v>0.59199999999999997</v>
      </c>
      <c r="F334" s="14">
        <v>1599.2</v>
      </c>
      <c r="G334" s="13">
        <v>636.84000000000231</v>
      </c>
      <c r="H334" s="15">
        <v>31</v>
      </c>
      <c r="I334" s="13">
        <v>0</v>
      </c>
      <c r="J334" s="16">
        <v>137</v>
      </c>
      <c r="K334" s="15">
        <v>570</v>
      </c>
      <c r="L334" s="14">
        <v>322</v>
      </c>
      <c r="M334" s="13">
        <v>241</v>
      </c>
      <c r="O334" s="2"/>
    </row>
    <row r="335" spans="1:15" outlineLevel="1" x14ac:dyDescent="0.2">
      <c r="A335" s="20">
        <f t="shared" si="102"/>
        <v>3630</v>
      </c>
      <c r="B335" s="19" t="str">
        <f t="shared" si="102"/>
        <v>Prairie View</v>
      </c>
      <c r="C335" s="18"/>
      <c r="D335" s="15">
        <v>879</v>
      </c>
      <c r="E335" s="21">
        <v>0.34200000000000003</v>
      </c>
      <c r="F335" s="14">
        <v>5840.8</v>
      </c>
      <c r="G335" s="13">
        <v>1995.4900000000189</v>
      </c>
      <c r="H335" s="15">
        <v>295</v>
      </c>
      <c r="I335" s="13">
        <v>8</v>
      </c>
      <c r="J335" s="16">
        <v>756</v>
      </c>
      <c r="K335" s="15">
        <v>1643</v>
      </c>
      <c r="L335" s="14">
        <v>1174</v>
      </c>
      <c r="M335" s="13">
        <v>940</v>
      </c>
      <c r="O335" s="2"/>
    </row>
    <row r="336" spans="1:15" outlineLevel="1" x14ac:dyDescent="0.2">
      <c r="A336" s="20">
        <f t="shared" si="102"/>
        <v>3631</v>
      </c>
      <c r="B336" s="19" t="str">
        <f t="shared" si="102"/>
        <v>Tarleton</v>
      </c>
      <c r="C336" s="18"/>
      <c r="D336" s="15">
        <v>1422</v>
      </c>
      <c r="E336" s="21">
        <v>0.47499999999999998</v>
      </c>
      <c r="F336" s="14">
        <v>5845.5333333333338</v>
      </c>
      <c r="G336" s="13">
        <v>2966.430000000048</v>
      </c>
      <c r="H336" s="15">
        <v>183</v>
      </c>
      <c r="I336" s="13">
        <v>38</v>
      </c>
      <c r="J336" s="16">
        <v>1093</v>
      </c>
      <c r="K336" s="15">
        <v>2140</v>
      </c>
      <c r="L336" s="14">
        <v>1306</v>
      </c>
      <c r="M336" s="13">
        <v>903</v>
      </c>
      <c r="O336" s="2"/>
    </row>
    <row r="337" spans="1:15" outlineLevel="1" x14ac:dyDescent="0.2">
      <c r="A337" s="27">
        <f t="shared" si="102"/>
        <v>103631</v>
      </c>
      <c r="B337" s="19" t="str">
        <f t="shared" si="102"/>
        <v>TAMUCT</v>
      </c>
      <c r="C337" s="18"/>
      <c r="D337" s="15">
        <v>450</v>
      </c>
      <c r="E337" s="21">
        <v>0.47499999999999998</v>
      </c>
      <c r="F337" s="14">
        <v>658.4666666666667</v>
      </c>
      <c r="G337" s="13">
        <v>831.96000000000549</v>
      </c>
      <c r="H337" s="15">
        <v>44</v>
      </c>
      <c r="I337" s="13"/>
      <c r="J337" s="16">
        <v>322</v>
      </c>
      <c r="K337" s="15">
        <v>380</v>
      </c>
      <c r="L337" s="14">
        <v>137</v>
      </c>
      <c r="M337" s="13">
        <v>31</v>
      </c>
      <c r="O337" s="2"/>
    </row>
    <row r="338" spans="1:15" outlineLevel="1" x14ac:dyDescent="0.2">
      <c r="A338" s="20">
        <f t="shared" si="102"/>
        <v>11161</v>
      </c>
      <c r="B338" s="19" t="str">
        <f t="shared" si="102"/>
        <v>TAMUCC</v>
      </c>
      <c r="C338" s="18"/>
      <c r="D338" s="15">
        <v>1335</v>
      </c>
      <c r="E338" s="21">
        <v>0.503</v>
      </c>
      <c r="F338" s="14">
        <v>6131.9333333333334</v>
      </c>
      <c r="G338" s="13">
        <v>2744.5700000000347</v>
      </c>
      <c r="H338" s="15">
        <v>237</v>
      </c>
      <c r="I338" s="13">
        <v>29</v>
      </c>
      <c r="J338" s="16">
        <v>1024</v>
      </c>
      <c r="K338" s="15">
        <v>2079</v>
      </c>
      <c r="L338" s="14">
        <v>1357</v>
      </c>
      <c r="M338" s="13">
        <v>812</v>
      </c>
      <c r="O338" s="2"/>
    </row>
    <row r="339" spans="1:15" outlineLevel="1" x14ac:dyDescent="0.2">
      <c r="A339" s="20">
        <f t="shared" si="102"/>
        <v>3639</v>
      </c>
      <c r="B339" s="19" t="str">
        <f t="shared" si="102"/>
        <v>TAMUK</v>
      </c>
      <c r="C339" s="18"/>
      <c r="D339" s="15">
        <v>692</v>
      </c>
      <c r="E339" s="21">
        <v>0.41699999999999998</v>
      </c>
      <c r="F339" s="14">
        <v>3808.2666666666669</v>
      </c>
      <c r="G339" s="13">
        <v>1601.8800000000022</v>
      </c>
      <c r="H339" s="15">
        <v>236</v>
      </c>
      <c r="I339" s="13">
        <v>15</v>
      </c>
      <c r="J339" s="16">
        <v>590</v>
      </c>
      <c r="K339" s="15">
        <v>1159</v>
      </c>
      <c r="L339" s="14">
        <v>790</v>
      </c>
      <c r="M339" s="13">
        <v>550</v>
      </c>
      <c r="O339" s="2"/>
    </row>
    <row r="340" spans="1:15" outlineLevel="1" x14ac:dyDescent="0.2">
      <c r="A340" s="27">
        <f t="shared" ref="A340:B355" si="103">A298</f>
        <v>103639</v>
      </c>
      <c r="B340" s="19" t="str">
        <f t="shared" si="103"/>
        <v>TAMUSA</v>
      </c>
      <c r="C340" s="18"/>
      <c r="D340" s="15">
        <v>496</v>
      </c>
      <c r="E340" s="21">
        <v>0.41699999999999998</v>
      </c>
      <c r="F340" s="14">
        <v>1072.6666666666667</v>
      </c>
      <c r="G340" s="13">
        <v>844.50000000000807</v>
      </c>
      <c r="H340" s="15">
        <v>4</v>
      </c>
      <c r="I340" s="13"/>
      <c r="J340" s="16">
        <v>402</v>
      </c>
      <c r="K340" s="15">
        <v>307</v>
      </c>
      <c r="L340" s="14">
        <v>5</v>
      </c>
      <c r="M340" s="13">
        <v>5</v>
      </c>
      <c r="O340" s="2"/>
    </row>
    <row r="341" spans="1:15" outlineLevel="1" x14ac:dyDescent="0.2">
      <c r="A341" s="20">
        <f t="shared" si="103"/>
        <v>9651</v>
      </c>
      <c r="B341" s="19" t="str">
        <f t="shared" si="103"/>
        <v>TAMI</v>
      </c>
      <c r="C341" s="18"/>
      <c r="D341" s="15">
        <v>798</v>
      </c>
      <c r="E341" s="21">
        <v>0.46</v>
      </c>
      <c r="F341" s="14">
        <v>3819.0666666666666</v>
      </c>
      <c r="G341" s="13">
        <v>1476.3000000000168</v>
      </c>
      <c r="H341" s="15">
        <v>85</v>
      </c>
      <c r="I341" s="13">
        <v>26</v>
      </c>
      <c r="J341" s="16">
        <v>713</v>
      </c>
      <c r="K341" s="15">
        <v>1413</v>
      </c>
      <c r="L341" s="14">
        <v>981</v>
      </c>
      <c r="M341" s="13">
        <v>447</v>
      </c>
      <c r="O341" s="2"/>
    </row>
    <row r="342" spans="1:15" outlineLevel="1" x14ac:dyDescent="0.2">
      <c r="A342" s="20">
        <f t="shared" si="103"/>
        <v>3665</v>
      </c>
      <c r="B342" s="19" t="str">
        <f t="shared" si="103"/>
        <v>WTAMU</v>
      </c>
      <c r="C342" s="18"/>
      <c r="D342" s="15">
        <v>1220</v>
      </c>
      <c r="E342" s="21">
        <v>0.45600000000000002</v>
      </c>
      <c r="F342" s="14">
        <v>5264.8</v>
      </c>
      <c r="G342" s="13">
        <v>2415.9700000000216</v>
      </c>
      <c r="H342" s="15">
        <v>216</v>
      </c>
      <c r="I342" s="13">
        <v>64</v>
      </c>
      <c r="J342" s="16">
        <v>853</v>
      </c>
      <c r="K342" s="15">
        <v>1873</v>
      </c>
      <c r="L342" s="14">
        <v>1161</v>
      </c>
      <c r="M342" s="13">
        <v>631</v>
      </c>
      <c r="O342" s="2"/>
    </row>
    <row r="343" spans="1:15" outlineLevel="1" x14ac:dyDescent="0.2">
      <c r="A343" s="20">
        <f t="shared" si="103"/>
        <v>3565</v>
      </c>
      <c r="B343" s="19" t="str">
        <f t="shared" si="103"/>
        <v>TAMUC</v>
      </c>
      <c r="C343" s="18"/>
      <c r="D343" s="15">
        <v>1153</v>
      </c>
      <c r="E343" s="21">
        <v>0.44800000000000001</v>
      </c>
      <c r="F343" s="14">
        <v>4172.1333333333332</v>
      </c>
      <c r="G343" s="13">
        <v>2179.8400000000324</v>
      </c>
      <c r="H343" s="15">
        <v>59</v>
      </c>
      <c r="I343" s="13">
        <v>65</v>
      </c>
      <c r="J343" s="16">
        <v>884</v>
      </c>
      <c r="K343" s="15">
        <v>1712</v>
      </c>
      <c r="L343" s="14">
        <v>1038</v>
      </c>
      <c r="M343" s="13">
        <v>423</v>
      </c>
      <c r="O343" s="2"/>
    </row>
    <row r="344" spans="1:15" outlineLevel="1" x14ac:dyDescent="0.2">
      <c r="A344" s="20">
        <f t="shared" si="103"/>
        <v>29269</v>
      </c>
      <c r="B344" s="19" t="str">
        <f t="shared" si="103"/>
        <v>TAMUT</v>
      </c>
      <c r="C344" s="18"/>
      <c r="D344" s="15">
        <v>326</v>
      </c>
      <c r="E344" s="17">
        <v>0.57336956521739135</v>
      </c>
      <c r="F344" s="14">
        <v>694.6</v>
      </c>
      <c r="G344" s="13">
        <v>569.46</v>
      </c>
      <c r="H344" s="15">
        <v>30</v>
      </c>
      <c r="I344" s="13">
        <v>15</v>
      </c>
      <c r="J344" s="16">
        <v>210</v>
      </c>
      <c r="K344" s="15">
        <v>403</v>
      </c>
      <c r="L344" s="14">
        <v>138</v>
      </c>
      <c r="M344" s="13">
        <v>0</v>
      </c>
      <c r="O344" s="2"/>
    </row>
    <row r="345" spans="1:15" outlineLevel="1" x14ac:dyDescent="0.2">
      <c r="A345" s="20">
        <f t="shared" si="103"/>
        <v>3652</v>
      </c>
      <c r="B345" s="19" t="str">
        <f t="shared" si="103"/>
        <v>UH</v>
      </c>
      <c r="C345" s="18"/>
      <c r="D345" s="15">
        <v>4778</v>
      </c>
      <c r="E345" s="21">
        <v>0.53100000000000003</v>
      </c>
      <c r="F345" s="14">
        <v>22778.733333333334</v>
      </c>
      <c r="G345" s="13">
        <v>9792.4499999989821</v>
      </c>
      <c r="H345" s="15">
        <v>656</v>
      </c>
      <c r="I345" s="13">
        <v>54</v>
      </c>
      <c r="J345" s="16">
        <v>3091</v>
      </c>
      <c r="K345" s="15">
        <v>7517</v>
      </c>
      <c r="L345" s="14">
        <v>5600</v>
      </c>
      <c r="M345" s="13">
        <v>3376</v>
      </c>
      <c r="O345" s="2"/>
    </row>
    <row r="346" spans="1:15" outlineLevel="1" x14ac:dyDescent="0.2">
      <c r="A346" s="20">
        <f t="shared" si="103"/>
        <v>11711</v>
      </c>
      <c r="B346" s="19" t="str">
        <f t="shared" si="103"/>
        <v>UHCL</v>
      </c>
      <c r="C346" s="18"/>
      <c r="D346" s="15">
        <v>1124</v>
      </c>
      <c r="E346" s="17">
        <v>0.50557620817843862</v>
      </c>
      <c r="F346" s="14">
        <v>2872.8666666666668</v>
      </c>
      <c r="G346" s="13">
        <v>2131.2100000000323</v>
      </c>
      <c r="H346" s="15">
        <v>88</v>
      </c>
      <c r="I346" s="13">
        <v>8</v>
      </c>
      <c r="J346" s="16">
        <v>707</v>
      </c>
      <c r="K346" s="15">
        <v>1349</v>
      </c>
      <c r="L346" s="14">
        <v>888</v>
      </c>
      <c r="M346" s="13">
        <v>81</v>
      </c>
      <c r="O346" s="2"/>
    </row>
    <row r="347" spans="1:15" outlineLevel="1" x14ac:dyDescent="0.2">
      <c r="A347" s="20">
        <f t="shared" si="103"/>
        <v>12826</v>
      </c>
      <c r="B347" s="19" t="str">
        <f t="shared" si="103"/>
        <v>UHD</v>
      </c>
      <c r="C347" s="18"/>
      <c r="D347" s="15">
        <v>2359</v>
      </c>
      <c r="E347" s="21">
        <v>0.18099999999999999</v>
      </c>
      <c r="F347" s="14">
        <v>7963.6</v>
      </c>
      <c r="G347" s="13">
        <v>4153.3100000000841</v>
      </c>
      <c r="H347" s="15">
        <v>112</v>
      </c>
      <c r="I347" s="13">
        <v>2</v>
      </c>
      <c r="J347" s="16">
        <v>1619</v>
      </c>
      <c r="K347" s="15">
        <v>3082</v>
      </c>
      <c r="L347" s="14">
        <v>1889</v>
      </c>
      <c r="M347" s="13">
        <v>606</v>
      </c>
      <c r="O347" s="2"/>
    </row>
    <row r="348" spans="1:15" outlineLevel="1" x14ac:dyDescent="0.2">
      <c r="A348" s="20">
        <f t="shared" si="103"/>
        <v>13231</v>
      </c>
      <c r="B348" s="19" t="str">
        <f t="shared" si="103"/>
        <v>UHV</v>
      </c>
      <c r="C348" s="18"/>
      <c r="D348" s="15">
        <v>515</v>
      </c>
      <c r="E348" s="17">
        <v>0.55256723716381417</v>
      </c>
      <c r="F348" s="14">
        <v>1135.8</v>
      </c>
      <c r="G348" s="13">
        <v>962.15000000001089</v>
      </c>
      <c r="H348" s="15">
        <v>72</v>
      </c>
      <c r="I348" s="13">
        <v>2</v>
      </c>
      <c r="J348" s="16">
        <v>337</v>
      </c>
      <c r="K348" s="15">
        <v>654</v>
      </c>
      <c r="L348" s="14">
        <v>269</v>
      </c>
      <c r="M348" s="13">
        <v>8</v>
      </c>
      <c r="O348" s="2"/>
    </row>
    <row r="349" spans="1:15" outlineLevel="1" x14ac:dyDescent="0.2">
      <c r="A349" s="20">
        <f t="shared" si="103"/>
        <v>3592</v>
      </c>
      <c r="B349" s="19" t="str">
        <f t="shared" si="103"/>
        <v>Midwestern</v>
      </c>
      <c r="C349" s="18"/>
      <c r="D349" s="15">
        <v>1002</v>
      </c>
      <c r="E349" s="21">
        <v>0.41199999999999998</v>
      </c>
      <c r="F349" s="14">
        <v>4294.8666666666668</v>
      </c>
      <c r="G349" s="13">
        <v>1899.0200000000148</v>
      </c>
      <c r="H349" s="15">
        <v>302</v>
      </c>
      <c r="I349" s="13">
        <v>19</v>
      </c>
      <c r="J349" s="16">
        <v>673</v>
      </c>
      <c r="K349" s="15">
        <v>1497</v>
      </c>
      <c r="L349" s="14">
        <v>1080</v>
      </c>
      <c r="M349" s="13">
        <v>622</v>
      </c>
      <c r="O349" s="2"/>
    </row>
    <row r="350" spans="1:15" outlineLevel="1" x14ac:dyDescent="0.2">
      <c r="A350" s="20">
        <f t="shared" si="103"/>
        <v>3594</v>
      </c>
      <c r="B350" s="19" t="str">
        <f t="shared" si="103"/>
        <v>UNT</v>
      </c>
      <c r="C350" s="18"/>
      <c r="D350" s="15">
        <v>6024</v>
      </c>
      <c r="E350" s="21">
        <v>0.57399999999999995</v>
      </c>
      <c r="F350" s="14">
        <f>22506.0666666667+838</f>
        <v>23344.066666666698</v>
      </c>
      <c r="G350" s="13">
        <v>11164.699999998398</v>
      </c>
      <c r="H350" s="15">
        <v>297</v>
      </c>
      <c r="I350" s="13">
        <v>27</v>
      </c>
      <c r="J350" s="16">
        <v>3747</v>
      </c>
      <c r="K350" s="30">
        <v>8327</v>
      </c>
      <c r="L350" s="29">
        <v>5604</v>
      </c>
      <c r="M350" s="28">
        <v>3585</v>
      </c>
      <c r="O350" s="2"/>
    </row>
    <row r="351" spans="1:15" outlineLevel="1" x14ac:dyDescent="0.2">
      <c r="A351" s="27">
        <f t="shared" si="103"/>
        <v>113594</v>
      </c>
      <c r="B351" s="19" t="str">
        <f t="shared" si="103"/>
        <v>UNTD</v>
      </c>
      <c r="C351" s="18"/>
      <c r="D351" s="24"/>
      <c r="E351" s="26"/>
      <c r="F351" s="23"/>
      <c r="G351" s="22"/>
      <c r="H351" s="24"/>
      <c r="I351" s="22"/>
      <c r="J351" s="25"/>
      <c r="K351" s="24"/>
      <c r="L351" s="23"/>
      <c r="M351" s="22"/>
      <c r="O351" s="2"/>
    </row>
    <row r="352" spans="1:15" outlineLevel="1" x14ac:dyDescent="0.2">
      <c r="A352" s="20">
        <f t="shared" si="103"/>
        <v>3624</v>
      </c>
      <c r="B352" s="19" t="str">
        <f t="shared" si="103"/>
        <v>SFA</v>
      </c>
      <c r="C352" s="18"/>
      <c r="D352" s="15">
        <v>1874</v>
      </c>
      <c r="E352" s="21">
        <v>0.56999999999999995</v>
      </c>
      <c r="F352" s="14">
        <v>9510.2666666666664</v>
      </c>
      <c r="G352" s="13">
        <v>3625.4100000000203</v>
      </c>
      <c r="H352" s="15">
        <v>230</v>
      </c>
      <c r="I352" s="13">
        <v>43</v>
      </c>
      <c r="J352" s="16">
        <v>1422</v>
      </c>
      <c r="K352" s="15">
        <v>2663</v>
      </c>
      <c r="L352" s="14">
        <v>1934</v>
      </c>
      <c r="M352" s="13">
        <v>1317</v>
      </c>
      <c r="O352" s="2"/>
    </row>
    <row r="353" spans="1:15" outlineLevel="1" x14ac:dyDescent="0.2">
      <c r="A353" s="20">
        <f t="shared" si="103"/>
        <v>3642</v>
      </c>
      <c r="B353" s="19" t="str">
        <f t="shared" si="103"/>
        <v>TSU</v>
      </c>
      <c r="C353" s="18"/>
      <c r="D353" s="15">
        <v>817</v>
      </c>
      <c r="E353" s="21">
        <v>0.14899999999999999</v>
      </c>
      <c r="F353" s="14">
        <v>5909.8</v>
      </c>
      <c r="G353" s="13">
        <v>1601.5200000000066</v>
      </c>
      <c r="H353" s="15">
        <v>127</v>
      </c>
      <c r="I353" s="13">
        <v>2</v>
      </c>
      <c r="J353" s="16">
        <v>723</v>
      </c>
      <c r="K353" s="15">
        <v>1871</v>
      </c>
      <c r="L353" s="14">
        <v>1137</v>
      </c>
      <c r="M353" s="13">
        <v>916</v>
      </c>
      <c r="O353" s="2"/>
    </row>
    <row r="354" spans="1:15" outlineLevel="1" x14ac:dyDescent="0.2">
      <c r="A354" s="20">
        <f t="shared" si="103"/>
        <v>3644</v>
      </c>
      <c r="B354" s="19" t="str">
        <f t="shared" si="103"/>
        <v>TTU</v>
      </c>
      <c r="C354" s="18"/>
      <c r="D354" s="15">
        <v>4476</v>
      </c>
      <c r="E354" s="21">
        <v>0.72799999999999998</v>
      </c>
      <c r="F354" s="14">
        <v>21422.2</v>
      </c>
      <c r="G354" s="13">
        <v>9827.5299999990111</v>
      </c>
      <c r="H354" s="15">
        <v>656</v>
      </c>
      <c r="I354" s="13">
        <v>43</v>
      </c>
      <c r="J354" s="16">
        <v>2539</v>
      </c>
      <c r="K354" s="15">
        <v>6430</v>
      </c>
      <c r="L354" s="14">
        <v>5148</v>
      </c>
      <c r="M354" s="13">
        <v>3832</v>
      </c>
      <c r="O354" s="2"/>
    </row>
    <row r="355" spans="1:15" outlineLevel="1" x14ac:dyDescent="0.2">
      <c r="A355" s="20">
        <f t="shared" si="103"/>
        <v>3541</v>
      </c>
      <c r="B355" s="19" t="str">
        <f t="shared" si="103"/>
        <v>Angelo</v>
      </c>
      <c r="C355" s="18"/>
      <c r="D355" s="15">
        <v>941</v>
      </c>
      <c r="E355" s="21">
        <v>0.44</v>
      </c>
      <c r="F355" s="14">
        <v>4829.1333333333332</v>
      </c>
      <c r="G355" s="13">
        <v>1933.5900000000179</v>
      </c>
      <c r="H355" s="15">
        <v>217</v>
      </c>
      <c r="I355" s="13">
        <v>18</v>
      </c>
      <c r="J355" s="16">
        <v>676</v>
      </c>
      <c r="K355" s="15">
        <v>1474</v>
      </c>
      <c r="L355" s="14">
        <v>1008</v>
      </c>
      <c r="M355" s="13">
        <v>708</v>
      </c>
      <c r="O355" s="2"/>
    </row>
    <row r="356" spans="1:15" outlineLevel="1" x14ac:dyDescent="0.2">
      <c r="A356" s="20">
        <f t="shared" ref="A356:B361" si="104">A314</f>
        <v>3646</v>
      </c>
      <c r="B356" s="19" t="str">
        <f t="shared" si="104"/>
        <v>TWU</v>
      </c>
      <c r="C356" s="18"/>
      <c r="D356" s="15">
        <v>1774</v>
      </c>
      <c r="E356" s="21">
        <v>0.54500000000000004</v>
      </c>
      <c r="F356" s="14">
        <v>6071.4666666666662</v>
      </c>
      <c r="G356" s="13">
        <v>3425.2000000000221</v>
      </c>
      <c r="H356" s="15">
        <v>614</v>
      </c>
      <c r="I356" s="13">
        <v>31</v>
      </c>
      <c r="J356" s="16">
        <v>1214</v>
      </c>
      <c r="K356" s="15">
        <v>2042</v>
      </c>
      <c r="L356" s="14">
        <v>1371</v>
      </c>
      <c r="M356" s="13">
        <v>668</v>
      </c>
      <c r="O356" s="2"/>
    </row>
    <row r="357" spans="1:15" outlineLevel="1" x14ac:dyDescent="0.2">
      <c r="A357" s="20">
        <f t="shared" si="104"/>
        <v>3581</v>
      </c>
      <c r="B357" s="19" t="str">
        <f t="shared" si="104"/>
        <v>Lamar</v>
      </c>
      <c r="C357" s="18"/>
      <c r="D357" s="15">
        <v>1286</v>
      </c>
      <c r="E357" s="21">
        <v>0.33800000000000002</v>
      </c>
      <c r="F357" s="14">
        <v>7172.9333333333334</v>
      </c>
      <c r="G357" s="13">
        <v>2638.0900000000311</v>
      </c>
      <c r="H357" s="15">
        <v>314</v>
      </c>
      <c r="I357" s="13">
        <v>17</v>
      </c>
      <c r="J357" s="16">
        <v>908</v>
      </c>
      <c r="K357" s="15">
        <v>2043</v>
      </c>
      <c r="L357" s="14">
        <v>1404</v>
      </c>
      <c r="M357" s="13">
        <v>1031</v>
      </c>
      <c r="O357" s="2"/>
    </row>
    <row r="358" spans="1:15" outlineLevel="1" x14ac:dyDescent="0.2">
      <c r="A358" s="20">
        <f t="shared" si="104"/>
        <v>3606</v>
      </c>
      <c r="B358" s="19" t="str">
        <f t="shared" si="104"/>
        <v>SHSU</v>
      </c>
      <c r="C358" s="18"/>
      <c r="D358" s="15">
        <v>3242</v>
      </c>
      <c r="E358" s="21">
        <v>0.57899999999999996</v>
      </c>
      <c r="F358" s="14">
        <v>12517.066666666668</v>
      </c>
      <c r="G358" s="13">
        <v>6188.6300000000374</v>
      </c>
      <c r="H358" s="15">
        <v>163</v>
      </c>
      <c r="I358" s="13">
        <v>69</v>
      </c>
      <c r="J358" s="16">
        <v>2318</v>
      </c>
      <c r="K358" s="15">
        <v>3849</v>
      </c>
      <c r="L358" s="14">
        <v>3011</v>
      </c>
      <c r="M358" s="13">
        <v>1870</v>
      </c>
      <c r="O358" s="2"/>
    </row>
    <row r="359" spans="1:15" outlineLevel="1" x14ac:dyDescent="0.2">
      <c r="A359" s="20">
        <f t="shared" si="104"/>
        <v>3615</v>
      </c>
      <c r="B359" s="19" t="str">
        <f t="shared" si="104"/>
        <v>TXST</v>
      </c>
      <c r="C359" s="18"/>
      <c r="D359" s="15">
        <v>5299</v>
      </c>
      <c r="E359" s="21">
        <v>0.64400000000000002</v>
      </c>
      <c r="F359" s="14">
        <v>21764.6</v>
      </c>
      <c r="G359" s="13">
        <v>10384.469999998846</v>
      </c>
      <c r="H359" s="15">
        <v>439</v>
      </c>
      <c r="I359" s="13">
        <v>68</v>
      </c>
      <c r="J359" s="16">
        <v>3545</v>
      </c>
      <c r="K359" s="15">
        <v>7301</v>
      </c>
      <c r="L359" s="14">
        <v>5428</v>
      </c>
      <c r="M359" s="13">
        <v>3302</v>
      </c>
      <c r="O359" s="2"/>
    </row>
    <row r="360" spans="1:15" outlineLevel="1" x14ac:dyDescent="0.2">
      <c r="A360" s="20">
        <f t="shared" si="104"/>
        <v>3625</v>
      </c>
      <c r="B360" s="19" t="str">
        <f t="shared" si="104"/>
        <v>SRSU</v>
      </c>
      <c r="C360" s="18"/>
      <c r="D360" s="15">
        <v>181</v>
      </c>
      <c r="E360" s="21">
        <v>0.28499999999999998</v>
      </c>
      <c r="F360" s="14">
        <v>1230.9333333333334</v>
      </c>
      <c r="G360" s="13">
        <v>368.43999999999954</v>
      </c>
      <c r="H360" s="15">
        <v>10</v>
      </c>
      <c r="I360" s="13">
        <v>10</v>
      </c>
      <c r="J360" s="16">
        <v>156</v>
      </c>
      <c r="K360" s="15">
        <v>318</v>
      </c>
      <c r="L360" s="14">
        <v>176</v>
      </c>
      <c r="M360" s="13">
        <v>115</v>
      </c>
      <c r="O360" s="2"/>
    </row>
    <row r="361" spans="1:15" outlineLevel="1" x14ac:dyDescent="0.2">
      <c r="A361" s="20">
        <f t="shared" si="104"/>
        <v>20</v>
      </c>
      <c r="B361" s="19" t="str">
        <f t="shared" si="104"/>
        <v>SRRG</v>
      </c>
      <c r="C361" s="18"/>
      <c r="D361" s="15">
        <v>168</v>
      </c>
      <c r="E361" s="17">
        <v>0.36144578313253012</v>
      </c>
      <c r="F361" s="14">
        <v>416.33333333333331</v>
      </c>
      <c r="G361" s="13">
        <v>287.9199999999995</v>
      </c>
      <c r="H361" s="15">
        <v>8</v>
      </c>
      <c r="I361" s="13">
        <v>9</v>
      </c>
      <c r="J361" s="16">
        <v>149</v>
      </c>
      <c r="K361" s="15">
        <v>251</v>
      </c>
      <c r="L361" s="14">
        <v>90</v>
      </c>
      <c r="M361" s="13">
        <v>5</v>
      </c>
      <c r="O361" s="2"/>
    </row>
    <row r="362" spans="1:15" ht="13.5" outlineLevel="1" thickBot="1" x14ac:dyDescent="0.25">
      <c r="A362" s="12"/>
      <c r="B362" s="11" t="s">
        <v>11</v>
      </c>
      <c r="C362" s="10"/>
      <c r="D362" s="9">
        <f>SUM(D324:D361)</f>
        <v>81251</v>
      </c>
      <c r="E362" s="8">
        <v>0.56799999999999995</v>
      </c>
      <c r="F362" s="7">
        <f t="shared" ref="F362:M362" si="105">SUM(F324:F361)</f>
        <v>338321.33333333337</v>
      </c>
      <c r="G362" s="3">
        <f t="shared" si="105"/>
        <v>165601.52999999447</v>
      </c>
      <c r="H362" s="5">
        <f t="shared" si="105"/>
        <v>12362</v>
      </c>
      <c r="I362" s="3">
        <f t="shared" si="105"/>
        <v>1122</v>
      </c>
      <c r="J362" s="6">
        <f t="shared" si="105"/>
        <v>51678</v>
      </c>
      <c r="K362" s="5">
        <f t="shared" si="105"/>
        <v>112517</v>
      </c>
      <c r="L362" s="4">
        <f t="shared" si="105"/>
        <v>81688</v>
      </c>
      <c r="M362" s="3">
        <f t="shared" si="105"/>
        <v>51008</v>
      </c>
      <c r="O362" s="2"/>
    </row>
    <row r="363" spans="1:15" x14ac:dyDescent="0.2">
      <c r="O363" s="2"/>
    </row>
    <row r="365" spans="1:15" x14ac:dyDescent="0.2">
      <c r="A365" s="1" t="s">
        <v>10</v>
      </c>
    </row>
    <row r="366" spans="1:15" x14ac:dyDescent="0.2">
      <c r="A366" s="1" t="s">
        <v>9</v>
      </c>
    </row>
    <row r="367" spans="1:15" x14ac:dyDescent="0.2">
      <c r="A367" s="1" t="s">
        <v>8</v>
      </c>
    </row>
    <row r="368" spans="1:15" x14ac:dyDescent="0.2">
      <c r="A368" s="1" t="s">
        <v>7</v>
      </c>
    </row>
    <row r="369" spans="1:1" x14ac:dyDescent="0.2">
      <c r="A369" s="1" t="s">
        <v>6</v>
      </c>
    </row>
    <row r="370" spans="1:1" x14ac:dyDescent="0.2">
      <c r="A370" s="1" t="s">
        <v>5</v>
      </c>
    </row>
    <row r="371" spans="1:1" x14ac:dyDescent="0.2">
      <c r="A371" s="1" t="s">
        <v>4</v>
      </c>
    </row>
    <row r="372" spans="1:1" x14ac:dyDescent="0.2">
      <c r="A372" s="1" t="s">
        <v>3</v>
      </c>
    </row>
    <row r="373" spans="1:1" x14ac:dyDescent="0.2">
      <c r="A373" s="1" t="s">
        <v>2</v>
      </c>
    </row>
    <row r="374" spans="1:1" x14ac:dyDescent="0.2">
      <c r="A374" s="1" t="s">
        <v>1</v>
      </c>
    </row>
    <row r="375" spans="1:1" x14ac:dyDescent="0.2">
      <c r="A375" s="1" t="s">
        <v>0</v>
      </c>
    </row>
  </sheetData>
  <autoFilter ref="A88:N362">
    <filterColumn colId="3" showButton="0"/>
    <filterColumn colId="4" showButton="0"/>
    <filterColumn colId="5" showButton="0"/>
    <filterColumn colId="10" showButton="0"/>
    <filterColumn colId="11" showButton="0"/>
  </autoFilter>
  <mergeCells count="89">
    <mergeCell ref="O3:Q3"/>
    <mergeCell ref="A1:M1"/>
    <mergeCell ref="A3:A4"/>
    <mergeCell ref="B3:B4"/>
    <mergeCell ref="C3:C4"/>
    <mergeCell ref="D3:G3"/>
    <mergeCell ref="H3:H4"/>
    <mergeCell ref="I3:I4"/>
    <mergeCell ref="J3:J4"/>
    <mergeCell ref="K3:M3"/>
    <mergeCell ref="J46:J47"/>
    <mergeCell ref="K46:M46"/>
    <mergeCell ref="A88:A89"/>
    <mergeCell ref="B88:B89"/>
    <mergeCell ref="C88:C89"/>
    <mergeCell ref="D88:G88"/>
    <mergeCell ref="H88:H89"/>
    <mergeCell ref="I88:I89"/>
    <mergeCell ref="J88:J89"/>
    <mergeCell ref="K88:M88"/>
    <mergeCell ref="A46:A47"/>
    <mergeCell ref="B46:B47"/>
    <mergeCell ref="C46:C47"/>
    <mergeCell ref="D46:G46"/>
    <mergeCell ref="H46:H47"/>
    <mergeCell ref="I46:I47"/>
    <mergeCell ref="N88:N89"/>
    <mergeCell ref="C129:C130"/>
    <mergeCell ref="D129:G129"/>
    <mergeCell ref="H129:H130"/>
    <mergeCell ref="I129:I130"/>
    <mergeCell ref="J129:J130"/>
    <mergeCell ref="K129:M129"/>
    <mergeCell ref="N129:N130"/>
    <mergeCell ref="J153:J154"/>
    <mergeCell ref="K153:M153"/>
    <mergeCell ref="A155:C155"/>
    <mergeCell ref="A196:A197"/>
    <mergeCell ref="B196:B197"/>
    <mergeCell ref="C196:C197"/>
    <mergeCell ref="D196:D197"/>
    <mergeCell ref="E196:E197"/>
    <mergeCell ref="F196:F197"/>
    <mergeCell ref="G196:G197"/>
    <mergeCell ref="A153:A154"/>
    <mergeCell ref="B153:B154"/>
    <mergeCell ref="C153:C154"/>
    <mergeCell ref="D153:G153"/>
    <mergeCell ref="H153:H154"/>
    <mergeCell ref="I153:I154"/>
    <mergeCell ref="H196:H197"/>
    <mergeCell ref="I196:I197"/>
    <mergeCell ref="J196:J197"/>
    <mergeCell ref="K196:M196"/>
    <mergeCell ref="A238:A239"/>
    <mergeCell ref="B238:B239"/>
    <mergeCell ref="C238:C239"/>
    <mergeCell ref="D238:D239"/>
    <mergeCell ref="E238:E239"/>
    <mergeCell ref="F238:F239"/>
    <mergeCell ref="I238:I239"/>
    <mergeCell ref="J238:J239"/>
    <mergeCell ref="K238:M238"/>
    <mergeCell ref="A280:A281"/>
    <mergeCell ref="B280:B281"/>
    <mergeCell ref="C280:C281"/>
    <mergeCell ref="D280:D281"/>
    <mergeCell ref="E280:E281"/>
    <mergeCell ref="N46:N47"/>
    <mergeCell ref="N153:N154"/>
    <mergeCell ref="A322:A323"/>
    <mergeCell ref="B322:B323"/>
    <mergeCell ref="C322:C323"/>
    <mergeCell ref="D322:D323"/>
    <mergeCell ref="E322:E323"/>
    <mergeCell ref="F322:F323"/>
    <mergeCell ref="F280:F281"/>
    <mergeCell ref="G280:G281"/>
    <mergeCell ref="H280:H281"/>
    <mergeCell ref="I280:I281"/>
    <mergeCell ref="J280:J281"/>
    <mergeCell ref="K280:M280"/>
    <mergeCell ref="G238:G239"/>
    <mergeCell ref="H238:H239"/>
    <mergeCell ref="G322:G323"/>
    <mergeCell ref="H322:H323"/>
    <mergeCell ref="I322:I323"/>
    <mergeCell ref="J322:J323"/>
    <mergeCell ref="K322:M322"/>
  </mergeCells>
  <conditionalFormatting sqref="D142:M142">
    <cfRule type="colorScale" priority="18">
      <colorScale>
        <cfvo type="min"/>
        <cfvo type="max"/>
        <color theme="6" tint="0.79998168889431442"/>
        <color theme="6" tint="-0.499984740745262"/>
      </colorScale>
    </cfRule>
  </conditionalFormatting>
  <conditionalFormatting sqref="D131:M135">
    <cfRule type="cellIs" dxfId="35" priority="25" operator="equal">
      <formula>$D$150</formula>
    </cfRule>
    <cfRule type="cellIs" dxfId="34" priority="26" operator="equal">
      <formula>$E$150</formula>
    </cfRule>
    <cfRule type="cellIs" dxfId="33" priority="27" operator="equal">
      <formula>$F$150</formula>
    </cfRule>
    <cfRule type="cellIs" dxfId="32" priority="28" operator="equal">
      <formula>$G$150</formula>
    </cfRule>
    <cfRule type="cellIs" dxfId="31" priority="29" operator="equal">
      <formula>$H$150</formula>
    </cfRule>
    <cfRule type="cellIs" dxfId="30" priority="30" operator="equal">
      <formula>$I$150</formula>
    </cfRule>
    <cfRule type="cellIs" dxfId="29" priority="31" operator="equal">
      <formula>$J$150</formula>
    </cfRule>
    <cfRule type="cellIs" dxfId="28" priority="32" operator="equal">
      <formula>$K$150</formula>
    </cfRule>
    <cfRule type="cellIs" dxfId="27" priority="33" operator="equal">
      <formula>#REF!</formula>
    </cfRule>
  </conditionalFormatting>
  <pageMargins left="0.25" right="0.25" top="0.5" bottom="0.2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Below="0" summaryRight="0"/>
  </sheetPr>
  <dimension ref="A1:BS394"/>
  <sheetViews>
    <sheetView showGridLines="0" zoomScale="70" zoomScaleNormal="70" workbookViewId="0">
      <pane xSplit="2" ySplit="4" topLeftCell="C233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outlineLevelRow="1" x14ac:dyDescent="0.2"/>
  <cols>
    <col min="1" max="1" width="7.28515625" style="1" customWidth="1"/>
    <col min="2" max="2" width="10.85546875" style="1" bestFit="1" customWidth="1"/>
    <col min="3" max="3" width="13.7109375" style="1" bestFit="1" customWidth="1"/>
    <col min="4" max="4" width="13.140625" style="1" customWidth="1"/>
    <col min="5" max="5" width="12.5703125" style="1" customWidth="1"/>
    <col min="6" max="6" width="13" style="1" customWidth="1"/>
    <col min="7" max="7" width="13.7109375" style="1" customWidth="1"/>
    <col min="8" max="8" width="13.28515625" style="1" customWidth="1"/>
    <col min="9" max="9" width="12.28515625" style="1" customWidth="1"/>
    <col min="10" max="10" width="13.85546875" style="1" customWidth="1"/>
    <col min="11" max="11" width="12.42578125" style="1" customWidth="1"/>
    <col min="12" max="14" width="12.5703125" style="1" bestFit="1" customWidth="1"/>
    <col min="15" max="15" width="16.85546875" style="1" customWidth="1"/>
    <col min="16" max="16" width="22.7109375" style="1" bestFit="1" customWidth="1"/>
    <col min="17" max="17" width="11" style="1" customWidth="1"/>
    <col min="18" max="18" width="14" style="1" customWidth="1"/>
    <col min="19" max="42" width="11.28515625" style="1" customWidth="1"/>
    <col min="43" max="43" width="2.42578125" style="1" customWidth="1"/>
    <col min="44" max="44" width="10.42578125" style="1" customWidth="1"/>
    <col min="45" max="45" width="11.5703125" style="1" customWidth="1"/>
    <col min="46" max="46" width="11.140625" style="1" customWidth="1"/>
    <col min="47" max="16384" width="9.140625" style="1"/>
  </cols>
  <sheetData>
    <row r="1" spans="1:18" ht="41.25" customHeight="1" x14ac:dyDescent="0.2">
      <c r="A1" s="284" t="s">
        <v>136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18" ht="13.5" thickBot="1" x14ac:dyDescent="0.25">
      <c r="A2" s="86"/>
      <c r="B2" s="85"/>
      <c r="C2" s="85"/>
      <c r="D2" s="85"/>
      <c r="E2" s="85"/>
      <c r="F2" s="85"/>
      <c r="G2" s="85"/>
      <c r="H2" s="85"/>
    </row>
    <row r="3" spans="1:18" ht="12.75" customHeight="1" x14ac:dyDescent="0.2">
      <c r="A3" s="315" t="s">
        <v>24</v>
      </c>
      <c r="B3" s="317" t="s">
        <v>23</v>
      </c>
      <c r="C3" s="319" t="s">
        <v>74</v>
      </c>
      <c r="D3" s="321" t="s">
        <v>35</v>
      </c>
      <c r="E3" s="321"/>
      <c r="F3" s="321"/>
      <c r="G3" s="321"/>
      <c r="H3" s="322" t="s">
        <v>18</v>
      </c>
      <c r="I3" s="324" t="s">
        <v>17</v>
      </c>
      <c r="J3" s="342" t="s">
        <v>126</v>
      </c>
      <c r="K3" s="326" t="s">
        <v>16</v>
      </c>
      <c r="L3" s="328" t="s">
        <v>34</v>
      </c>
      <c r="M3" s="329"/>
      <c r="N3" s="329"/>
      <c r="P3" s="312" t="s">
        <v>150</v>
      </c>
      <c r="Q3" s="313"/>
      <c r="R3" s="314"/>
    </row>
    <row r="4" spans="1:18" ht="54" customHeight="1" thickBot="1" x14ac:dyDescent="0.25">
      <c r="A4" s="316"/>
      <c r="B4" s="318"/>
      <c r="C4" s="320"/>
      <c r="D4" s="264"/>
      <c r="E4" s="265" t="s">
        <v>33</v>
      </c>
      <c r="F4" s="265" t="s">
        <v>32</v>
      </c>
      <c r="G4" s="266" t="s">
        <v>31</v>
      </c>
      <c r="H4" s="323"/>
      <c r="I4" s="325"/>
      <c r="J4" s="343"/>
      <c r="K4" s="327"/>
      <c r="L4" s="267" t="s">
        <v>14</v>
      </c>
      <c r="M4" s="268" t="s">
        <v>13</v>
      </c>
      <c r="N4" s="266" t="s">
        <v>12</v>
      </c>
      <c r="P4" s="261" t="s">
        <v>103</v>
      </c>
      <c r="Q4" s="262" t="s">
        <v>148</v>
      </c>
      <c r="R4" s="263" t="s">
        <v>149</v>
      </c>
    </row>
    <row r="5" spans="1:18" x14ac:dyDescent="0.2">
      <c r="A5" s="40">
        <v>3656</v>
      </c>
      <c r="B5" s="39" t="s">
        <v>73</v>
      </c>
      <c r="C5" s="83">
        <f t="shared" ref="C5:C42" si="0">SUM(D5:N5)</f>
        <v>13294588.343392901</v>
      </c>
      <c r="D5" s="103">
        <f>D48/$C$86*$C$43</f>
        <v>304284.07538673759</v>
      </c>
      <c r="E5" s="80">
        <f t="shared" ref="E5:N5" si="1">E48/$C$86*$C$43</f>
        <v>52573.526358486335</v>
      </c>
      <c r="F5" s="80">
        <f t="shared" si="1"/>
        <v>598.37660051352873</v>
      </c>
      <c r="G5" s="79">
        <f t="shared" si="1"/>
        <v>6317656.1735766437</v>
      </c>
      <c r="H5" s="81">
        <f t="shared" si="1"/>
        <v>30952.59382504478</v>
      </c>
      <c r="I5" s="79">
        <f t="shared" si="1"/>
        <v>707.44935821282161</v>
      </c>
      <c r="J5" s="82">
        <f t="shared" ref="J5" si="2">J48/$C$86*$C$43</f>
        <v>18650.273923997211</v>
      </c>
      <c r="K5" s="82">
        <f t="shared" si="1"/>
        <v>62983.205719747202</v>
      </c>
      <c r="L5" s="81">
        <f t="shared" si="1"/>
        <v>4145451.1107390723</v>
      </c>
      <c r="M5" s="80">
        <f t="shared" si="1"/>
        <v>2324678.5910873315</v>
      </c>
      <c r="N5" s="79">
        <f t="shared" si="1"/>
        <v>36052.966817112465</v>
      </c>
      <c r="P5" s="92">
        <v>5.3941374102444546E-2</v>
      </c>
      <c r="Q5" s="257">
        <f t="shared" ref="Q5:Q42" si="3">MIN(0,C48/$C$86-P5+$Q$44)*-1*$R$43</f>
        <v>0</v>
      </c>
      <c r="R5" s="257">
        <f t="shared" ref="R5:R42" si="4">C5+Q5</f>
        <v>13294588.343392901</v>
      </c>
    </row>
    <row r="6" spans="1:18" x14ac:dyDescent="0.2">
      <c r="A6" s="20">
        <v>3658</v>
      </c>
      <c r="B6" s="19" t="s">
        <v>72</v>
      </c>
      <c r="C6" s="58">
        <f t="shared" si="0"/>
        <v>24078646.693250157</v>
      </c>
      <c r="D6" s="15">
        <f t="shared" ref="D6:N21" si="5">D49/$C$86*$C$43</f>
        <v>542492.38071639766</v>
      </c>
      <c r="E6" s="14">
        <f t="shared" si="5"/>
        <v>149908.72787129792</v>
      </c>
      <c r="F6" s="14">
        <f t="shared" si="5"/>
        <v>535.59357836467495</v>
      </c>
      <c r="G6" s="13">
        <f t="shared" si="5"/>
        <v>11762871.649618333</v>
      </c>
      <c r="H6" s="15">
        <f t="shared" si="5"/>
        <v>37926.023213142595</v>
      </c>
      <c r="I6" s="13">
        <f t="shared" si="5"/>
        <v>1334.0473612013207</v>
      </c>
      <c r="J6" s="16">
        <f t="shared" ref="J6" si="6">J49/$C$86*$C$43</f>
        <v>89938.265363929197</v>
      </c>
      <c r="K6" s="16">
        <f t="shared" si="5"/>
        <v>70145.288270035104</v>
      </c>
      <c r="L6" s="15">
        <f t="shared" si="5"/>
        <v>5820286.9342109142</v>
      </c>
      <c r="M6" s="14">
        <f t="shared" si="5"/>
        <v>5460902.6602387996</v>
      </c>
      <c r="N6" s="13">
        <f t="shared" si="5"/>
        <v>142305.12280774291</v>
      </c>
      <c r="P6" s="92">
        <v>9.7535367886092073E-2</v>
      </c>
      <c r="Q6" s="258">
        <f t="shared" si="3"/>
        <v>0</v>
      </c>
      <c r="R6" s="258">
        <f t="shared" si="4"/>
        <v>24078646.693250157</v>
      </c>
    </row>
    <row r="7" spans="1:18" x14ac:dyDescent="0.2">
      <c r="A7" s="20">
        <v>9741</v>
      </c>
      <c r="B7" s="19" t="s">
        <v>71</v>
      </c>
      <c r="C7" s="58">
        <f t="shared" si="0"/>
        <v>6642844.6167092817</v>
      </c>
      <c r="D7" s="15">
        <f t="shared" si="5"/>
        <v>145107.96978885273</v>
      </c>
      <c r="E7" s="14">
        <f t="shared" si="5"/>
        <v>34003.634253854492</v>
      </c>
      <c r="F7" s="14">
        <f t="shared" si="5"/>
        <v>542.30562452855554</v>
      </c>
      <c r="G7" s="13">
        <f t="shared" si="5"/>
        <v>3093294.0208112979</v>
      </c>
      <c r="H7" s="15">
        <f t="shared" si="5"/>
        <v>8523.0803632306597</v>
      </c>
      <c r="I7" s="13">
        <f t="shared" si="5"/>
        <v>646.81084179457969</v>
      </c>
      <c r="J7" s="16">
        <f t="shared" ref="J7" si="7">J50/$C$86*$C$43</f>
        <v>9013.6513626280466</v>
      </c>
      <c r="K7" s="16">
        <f t="shared" si="5"/>
        <v>26674.209611091053</v>
      </c>
      <c r="L7" s="15">
        <f t="shared" si="5"/>
        <v>2010166.8192647174</v>
      </c>
      <c r="M7" s="14">
        <f t="shared" si="5"/>
        <v>1294228.0687533419</v>
      </c>
      <c r="N7" s="13">
        <f t="shared" si="5"/>
        <v>20644.046033943672</v>
      </c>
      <c r="P7" s="92">
        <v>3.0845130992374833E-2</v>
      </c>
      <c r="Q7" s="258">
        <f t="shared" si="3"/>
        <v>0</v>
      </c>
      <c r="R7" s="258">
        <f t="shared" si="4"/>
        <v>6642844.6167092817</v>
      </c>
    </row>
    <row r="8" spans="1:18" x14ac:dyDescent="0.2">
      <c r="A8" s="20">
        <v>3661</v>
      </c>
      <c r="B8" s="19" t="s">
        <v>70</v>
      </c>
      <c r="C8" s="58">
        <f t="shared" si="0"/>
        <v>8821676.304932747</v>
      </c>
      <c r="D8" s="15">
        <f t="shared" si="5"/>
        <v>185371.94469056532</v>
      </c>
      <c r="E8" s="14">
        <f t="shared" si="5"/>
        <v>24098.352809773489</v>
      </c>
      <c r="F8" s="14">
        <f t="shared" si="5"/>
        <v>462.28570460750973</v>
      </c>
      <c r="G8" s="13">
        <f t="shared" si="5"/>
        <v>3819060.2535502142</v>
      </c>
      <c r="H8" s="15">
        <f t="shared" si="5"/>
        <v>13239.409417982804</v>
      </c>
      <c r="I8" s="13">
        <f t="shared" si="5"/>
        <v>1819.1554925472553</v>
      </c>
      <c r="J8" s="16">
        <f t="shared" ref="J8" si="8">J51/$C$86*$C$43</f>
        <v>6579.6938668533357</v>
      </c>
      <c r="K8" s="16">
        <f t="shared" si="5"/>
        <v>49811.172431118001</v>
      </c>
      <c r="L8" s="15">
        <f t="shared" si="5"/>
        <v>2645456.3429398309</v>
      </c>
      <c r="M8" s="14">
        <f t="shared" si="5"/>
        <v>2036241.3813245611</v>
      </c>
      <c r="N8" s="13">
        <f t="shared" si="5"/>
        <v>39536.312704693679</v>
      </c>
      <c r="P8" s="92">
        <v>3.8067899960727944E-2</v>
      </c>
      <c r="Q8" s="258">
        <f t="shared" si="3"/>
        <v>0</v>
      </c>
      <c r="R8" s="258">
        <f t="shared" si="4"/>
        <v>8821676.304932747</v>
      </c>
    </row>
    <row r="9" spans="1:18" x14ac:dyDescent="0.2">
      <c r="A9" s="20">
        <v>3599</v>
      </c>
      <c r="B9" s="19" t="s">
        <v>69</v>
      </c>
      <c r="C9" s="58">
        <f t="shared" si="0"/>
        <v>7749796.0533723375</v>
      </c>
      <c r="D9" s="15">
        <f t="shared" si="5"/>
        <v>156447.37235906397</v>
      </c>
      <c r="E9" s="14">
        <f t="shared" si="5"/>
        <v>22476.272495585523</v>
      </c>
      <c r="F9" s="14">
        <f t="shared" si="5"/>
        <v>414.21140720148821</v>
      </c>
      <c r="G9" s="13">
        <f t="shared" si="5"/>
        <v>3113282.4971066355</v>
      </c>
      <c r="H9" s="15">
        <f t="shared" si="5"/>
        <v>10517.413792097281</v>
      </c>
      <c r="I9" s="13">
        <f t="shared" si="5"/>
        <v>565.95948657025735</v>
      </c>
      <c r="J9" s="16">
        <f t="shared" ref="J9" si="9">J52/$C$86*$C$43</f>
        <v>11038.399185522574</v>
      </c>
      <c r="K9" s="16">
        <f t="shared" si="5"/>
        <v>47264.354741551848</v>
      </c>
      <c r="L9" s="15">
        <f t="shared" si="5"/>
        <v>2471221.6724314159</v>
      </c>
      <c r="M9" s="14">
        <f t="shared" si="5"/>
        <v>1877368.4683087678</v>
      </c>
      <c r="N9" s="13">
        <f t="shared" si="5"/>
        <v>39199.432057925675</v>
      </c>
      <c r="P9" s="92">
        <v>3.6041180893975448E-2</v>
      </c>
      <c r="Q9" s="258">
        <f t="shared" si="3"/>
        <v>0</v>
      </c>
      <c r="R9" s="258">
        <f t="shared" si="4"/>
        <v>7749796.0533723375</v>
      </c>
    </row>
    <row r="10" spans="1:18" x14ac:dyDescent="0.2">
      <c r="A10" s="20">
        <v>30646</v>
      </c>
      <c r="B10" s="19" t="s">
        <v>68</v>
      </c>
      <c r="C10" s="58">
        <f t="shared" si="0"/>
        <v>2825898.6702508363</v>
      </c>
      <c r="D10" s="15">
        <f t="shared" si="5"/>
        <v>662172.59928720084</v>
      </c>
      <c r="E10" s="14">
        <f t="shared" si="5"/>
        <v>12697.117639848309</v>
      </c>
      <c r="F10" s="14">
        <f t="shared" si="5"/>
        <v>696.55941577951648</v>
      </c>
      <c r="G10" s="13">
        <f t="shared" si="5"/>
        <v>1272070.7548541294</v>
      </c>
      <c r="H10" s="15">
        <f t="shared" si="5"/>
        <v>2513.1296248893568</v>
      </c>
      <c r="I10" s="13">
        <f t="shared" si="5"/>
        <v>370.56871144481124</v>
      </c>
      <c r="J10" s="16">
        <f t="shared" ref="J10" si="10">J53/$C$86*$C$43</f>
        <v>1031.1724829152542</v>
      </c>
      <c r="K10" s="16">
        <f t="shared" si="5"/>
        <v>56798.077045086531</v>
      </c>
      <c r="L10" s="15">
        <f t="shared" si="5"/>
        <v>804268.85609394766</v>
      </c>
      <c r="M10" s="14">
        <f t="shared" si="5"/>
        <v>11245.075989116183</v>
      </c>
      <c r="N10" s="13">
        <f t="shared" si="5"/>
        <v>2034.7591064787821</v>
      </c>
      <c r="P10" s="92">
        <v>1.3127311227878089E-2</v>
      </c>
      <c r="Q10" s="258">
        <f t="shared" si="3"/>
        <v>0</v>
      </c>
      <c r="R10" s="258">
        <f t="shared" si="4"/>
        <v>2825898.6702508363</v>
      </c>
    </row>
    <row r="11" spans="1:18" x14ac:dyDescent="0.2">
      <c r="A11" s="20">
        <v>9930</v>
      </c>
      <c r="B11" s="19" t="s">
        <v>67</v>
      </c>
      <c r="C11" s="58">
        <f t="shared" si="0"/>
        <v>1452715.5789602392</v>
      </c>
      <c r="D11" s="15">
        <f t="shared" si="5"/>
        <v>323405.42089728988</v>
      </c>
      <c r="E11" s="14">
        <f t="shared" si="5"/>
        <v>4786.4002292798905</v>
      </c>
      <c r="F11" s="14">
        <f t="shared" si="5"/>
        <v>467.42542742639444</v>
      </c>
      <c r="G11" s="13">
        <f t="shared" si="5"/>
        <v>607304.84834809741</v>
      </c>
      <c r="H11" s="15">
        <f t="shared" si="5"/>
        <v>835.46400398466562</v>
      </c>
      <c r="I11" s="13">
        <f t="shared" si="5"/>
        <v>202.12838806080617</v>
      </c>
      <c r="J11" s="16">
        <f t="shared" ref="J11" si="11">J54/$C$86*$C$43</f>
        <v>1236.5055349300981</v>
      </c>
      <c r="K11" s="16">
        <f t="shared" si="5"/>
        <v>24194.768050878498</v>
      </c>
      <c r="L11" s="15">
        <f t="shared" si="5"/>
        <v>476416.61065932008</v>
      </c>
      <c r="M11" s="14">
        <f t="shared" si="5"/>
        <v>9937.9790796563029</v>
      </c>
      <c r="N11" s="13">
        <f t="shared" si="5"/>
        <v>3928.028341315</v>
      </c>
      <c r="P11" s="92">
        <v>6.658597974462911E-3</v>
      </c>
      <c r="Q11" s="258">
        <f t="shared" si="3"/>
        <v>0</v>
      </c>
      <c r="R11" s="258">
        <f t="shared" si="4"/>
        <v>1452715.5789602392</v>
      </c>
    </row>
    <row r="12" spans="1:18" x14ac:dyDescent="0.2">
      <c r="A12" s="20">
        <v>10115</v>
      </c>
      <c r="B12" s="19" t="s">
        <v>66</v>
      </c>
      <c r="C12" s="58">
        <f t="shared" si="0"/>
        <v>12359126.801485099</v>
      </c>
      <c r="D12" s="15">
        <f t="shared" si="5"/>
        <v>249810.47480435035</v>
      </c>
      <c r="E12" s="14">
        <f t="shared" si="5"/>
        <v>35112.250069722577</v>
      </c>
      <c r="F12" s="14">
        <f t="shared" si="5"/>
        <v>409.12875955934032</v>
      </c>
      <c r="G12" s="13">
        <f t="shared" si="5"/>
        <v>5102254.1335991612</v>
      </c>
      <c r="H12" s="15">
        <f t="shared" si="5"/>
        <v>7923.4328119836018</v>
      </c>
      <c r="I12" s="13">
        <f t="shared" si="5"/>
        <v>1003.9043273686705</v>
      </c>
      <c r="J12" s="16">
        <f t="shared" ref="J12" si="12">J55/$C$86*$C$43</f>
        <v>13655.099196369101</v>
      </c>
      <c r="K12" s="16">
        <f t="shared" si="5"/>
        <v>63138.170817260485</v>
      </c>
      <c r="L12" s="15">
        <f t="shared" si="5"/>
        <v>4129280.8396942089</v>
      </c>
      <c r="M12" s="14">
        <f t="shared" si="5"/>
        <v>2703669.3187013436</v>
      </c>
      <c r="N12" s="13">
        <f t="shared" si="5"/>
        <v>52870.048703771528</v>
      </c>
      <c r="P12" s="92">
        <v>5.1993931386758195E-2</v>
      </c>
      <c r="Q12" s="258">
        <f t="shared" si="3"/>
        <v>0</v>
      </c>
      <c r="R12" s="258">
        <f t="shared" si="4"/>
        <v>12359126.801485099</v>
      </c>
    </row>
    <row r="13" spans="1:18" x14ac:dyDescent="0.2">
      <c r="A13" s="20">
        <v>11163</v>
      </c>
      <c r="B13" s="19" t="s">
        <v>65</v>
      </c>
      <c r="C13" s="58">
        <f t="shared" si="0"/>
        <v>3132119.988770375</v>
      </c>
      <c r="D13" s="15">
        <f t="shared" si="5"/>
        <v>721598.34537707793</v>
      </c>
      <c r="E13" s="14">
        <f t="shared" si="5"/>
        <v>12403.473781092665</v>
      </c>
      <c r="F13" s="14">
        <f t="shared" si="5"/>
        <v>591.34156722571288</v>
      </c>
      <c r="G13" s="13">
        <f t="shared" si="5"/>
        <v>1432681.972007239</v>
      </c>
      <c r="H13" s="15">
        <f t="shared" si="5"/>
        <v>7613.5026169570328</v>
      </c>
      <c r="I13" s="13">
        <f t="shared" si="5"/>
        <v>282.97974328512868</v>
      </c>
      <c r="J13" s="16">
        <f t="shared" ref="J13" si="13">J56/$C$86*$C$43</f>
        <v>3016.9214503939293</v>
      </c>
      <c r="K13" s="16">
        <f t="shared" si="5"/>
        <v>57141.695304789901</v>
      </c>
      <c r="L13" s="15">
        <f t="shared" si="5"/>
        <v>870971.22415401367</v>
      </c>
      <c r="M13" s="14">
        <f t="shared" si="5"/>
        <v>17989.426537411749</v>
      </c>
      <c r="N13" s="13">
        <f t="shared" si="5"/>
        <v>7829.1062308885585</v>
      </c>
      <c r="P13" s="92">
        <v>1.2069401585431769E-2</v>
      </c>
      <c r="Q13" s="258">
        <f t="shared" si="3"/>
        <v>0</v>
      </c>
      <c r="R13" s="258">
        <f t="shared" si="4"/>
        <v>3132119.988770375</v>
      </c>
    </row>
    <row r="14" spans="1:18" x14ac:dyDescent="0.2">
      <c r="A14" s="20">
        <v>3632</v>
      </c>
      <c r="B14" s="19" t="s">
        <v>64</v>
      </c>
      <c r="C14" s="58">
        <f t="shared" si="0"/>
        <v>24717597.88207984</v>
      </c>
      <c r="D14" s="15">
        <f t="shared" si="5"/>
        <v>529960.42065662763</v>
      </c>
      <c r="E14" s="14">
        <f t="shared" si="5"/>
        <v>148506.68676622389</v>
      </c>
      <c r="F14" s="14">
        <f t="shared" si="5"/>
        <v>510.21018441781416</v>
      </c>
      <c r="G14" s="13">
        <f t="shared" si="5"/>
        <v>12191262.55527417</v>
      </c>
      <c r="H14" s="15">
        <f t="shared" si="5"/>
        <v>35635.234815120122</v>
      </c>
      <c r="I14" s="13">
        <f t="shared" si="5"/>
        <v>2546.8176895661577</v>
      </c>
      <c r="J14" s="16">
        <f t="shared" ref="J14" si="14">J57/$C$86*$C$43</f>
        <v>92568.126296344242</v>
      </c>
      <c r="K14" s="16">
        <f t="shared" si="5"/>
        <v>75272.611713844221</v>
      </c>
      <c r="L14" s="15">
        <f t="shared" si="5"/>
        <v>6100639.0084512513</v>
      </c>
      <c r="M14" s="14">
        <f t="shared" si="5"/>
        <v>5401274.7857608628</v>
      </c>
      <c r="N14" s="13">
        <f t="shared" si="5"/>
        <v>139421.42447140874</v>
      </c>
      <c r="P14" s="92">
        <v>0.10514316433214833</v>
      </c>
      <c r="Q14" s="258">
        <f t="shared" si="3"/>
        <v>0</v>
      </c>
      <c r="R14" s="258">
        <f t="shared" si="4"/>
        <v>24717597.88207984</v>
      </c>
    </row>
    <row r="15" spans="1:18" x14ac:dyDescent="0.2">
      <c r="A15" s="20">
        <v>10298</v>
      </c>
      <c r="B15" s="19" t="s">
        <v>63</v>
      </c>
      <c r="C15" s="58">
        <f t="shared" si="0"/>
        <v>1472585.1012592188</v>
      </c>
      <c r="D15" s="15">
        <f t="shared" si="5"/>
        <v>250437.07280733879</v>
      </c>
      <c r="E15" s="14">
        <f t="shared" si="5"/>
        <v>5236.9174558156847</v>
      </c>
      <c r="F15" s="14">
        <f t="shared" si="5"/>
        <v>497.21464582143187</v>
      </c>
      <c r="G15" s="13">
        <f t="shared" si="5"/>
        <v>640366.98878319922</v>
      </c>
      <c r="H15" s="15">
        <f t="shared" si="5"/>
        <v>1131.9189731405147</v>
      </c>
      <c r="I15" s="13">
        <f t="shared" si="5"/>
        <v>0</v>
      </c>
      <c r="J15" s="16">
        <f t="shared" ref="J15" si="15">J58/$C$86*$C$43</f>
        <v>4670.3801967565269</v>
      </c>
      <c r="K15" s="16">
        <f t="shared" si="5"/>
        <v>14371.328391123317</v>
      </c>
      <c r="L15" s="15">
        <f t="shared" si="5"/>
        <v>538773.21837607888</v>
      </c>
      <c r="M15" s="14">
        <f t="shared" si="5"/>
        <v>9641.5241105004534</v>
      </c>
      <c r="N15" s="13">
        <f t="shared" si="5"/>
        <v>7458.5375194437465</v>
      </c>
      <c r="P15" s="92">
        <v>7.0859752523080169E-3</v>
      </c>
      <c r="Q15" s="258">
        <f t="shared" si="3"/>
        <v>0</v>
      </c>
      <c r="R15" s="258">
        <f t="shared" si="4"/>
        <v>1472585.1012592188</v>
      </c>
    </row>
    <row r="16" spans="1:18" x14ac:dyDescent="0.2">
      <c r="A16" s="20">
        <v>3630</v>
      </c>
      <c r="B16" s="19" t="s">
        <v>62</v>
      </c>
      <c r="C16" s="58">
        <f t="shared" si="0"/>
        <v>3094010.0890891356</v>
      </c>
      <c r="D16" s="15">
        <f t="shared" si="5"/>
        <v>56777.86420628045</v>
      </c>
      <c r="E16" s="14">
        <f t="shared" si="5"/>
        <v>7034.1465100003006</v>
      </c>
      <c r="F16" s="14">
        <f t="shared" si="5"/>
        <v>319.84165537303375</v>
      </c>
      <c r="G16" s="13">
        <f t="shared" si="5"/>
        <v>1256975.8068337408</v>
      </c>
      <c r="H16" s="15">
        <f t="shared" si="5"/>
        <v>6380.5194497861148</v>
      </c>
      <c r="I16" s="13">
        <f t="shared" si="5"/>
        <v>195.39077512544594</v>
      </c>
      <c r="J16" s="16">
        <f t="shared" ref="J16" si="16">J59/$C$86*$C$43</f>
        <v>4211.6582223337336</v>
      </c>
      <c r="K16" s="16">
        <f t="shared" si="5"/>
        <v>16224.171948347377</v>
      </c>
      <c r="L16" s="15">
        <f t="shared" si="5"/>
        <v>1011450.4538562739</v>
      </c>
      <c r="M16" s="14">
        <f t="shared" si="5"/>
        <v>716140.87889943621</v>
      </c>
      <c r="N16" s="13">
        <f t="shared" si="5"/>
        <v>18299.356732438322</v>
      </c>
      <c r="P16" s="92">
        <v>1.5279410782616385E-2</v>
      </c>
      <c r="Q16" s="258">
        <f t="shared" si="3"/>
        <v>0</v>
      </c>
      <c r="R16" s="258">
        <f t="shared" si="4"/>
        <v>3094010.0890891356</v>
      </c>
    </row>
    <row r="17" spans="1:18" x14ac:dyDescent="0.2">
      <c r="A17" s="20">
        <v>3631</v>
      </c>
      <c r="B17" s="19" t="s">
        <v>61</v>
      </c>
      <c r="C17" s="58">
        <f t="shared" si="0"/>
        <v>4167316.1230873992</v>
      </c>
      <c r="D17" s="15">
        <f t="shared" si="5"/>
        <v>93706.720704989741</v>
      </c>
      <c r="E17" s="14">
        <f t="shared" si="5"/>
        <v>14930.6041656617</v>
      </c>
      <c r="F17" s="14">
        <f t="shared" si="5"/>
        <v>496.4226266925354</v>
      </c>
      <c r="G17" s="13">
        <f t="shared" si="5"/>
        <v>1893463.9518500653</v>
      </c>
      <c r="H17" s="15">
        <f t="shared" si="5"/>
        <v>4103.2062776343655</v>
      </c>
      <c r="I17" s="13">
        <f t="shared" si="5"/>
        <v>963.47864975650918</v>
      </c>
      <c r="J17" s="16">
        <f t="shared" ref="J17" si="17">J60/$C$86*$C$43</f>
        <v>6020.9273152575643</v>
      </c>
      <c r="K17" s="16">
        <f t="shared" si="5"/>
        <v>24154.34237326634</v>
      </c>
      <c r="L17" s="15">
        <f t="shared" si="5"/>
        <v>1306355.7720369904</v>
      </c>
      <c r="M17" s="14">
        <f t="shared" si="5"/>
        <v>805683.75481037342</v>
      </c>
      <c r="N17" s="13">
        <f t="shared" si="5"/>
        <v>17436.942276712212</v>
      </c>
      <c r="P17" s="92">
        <v>1.9985241623354359E-2</v>
      </c>
      <c r="Q17" s="258">
        <f t="shared" si="3"/>
        <v>0</v>
      </c>
      <c r="R17" s="258">
        <f t="shared" si="4"/>
        <v>4167316.1230873992</v>
      </c>
    </row>
    <row r="18" spans="1:18" x14ac:dyDescent="0.2">
      <c r="A18" s="78">
        <v>103631</v>
      </c>
      <c r="B18" s="19" t="s">
        <v>60</v>
      </c>
      <c r="C18" s="58">
        <f t="shared" si="0"/>
        <v>1126760.5323585821</v>
      </c>
      <c r="D18" s="15">
        <f t="shared" si="5"/>
        <v>279139.30391197331</v>
      </c>
      <c r="E18" s="14">
        <f t="shared" si="5"/>
        <v>4447.6195756641082</v>
      </c>
      <c r="F18" s="14">
        <f t="shared" si="5"/>
        <v>1366.1423076379654</v>
      </c>
      <c r="G18" s="13">
        <f t="shared" si="5"/>
        <v>517620.48256551498</v>
      </c>
      <c r="H18" s="15">
        <f t="shared" si="5"/>
        <v>821.98877811394505</v>
      </c>
      <c r="I18" s="13">
        <f t="shared" si="5"/>
        <v>0</v>
      </c>
      <c r="J18" s="16">
        <f t="shared" ref="J18" si="18">J61/$C$86*$C$43</f>
        <v>0</v>
      </c>
      <c r="K18" s="16">
        <f t="shared" si="5"/>
        <v>19828.794868765086</v>
      </c>
      <c r="L18" s="15">
        <f t="shared" si="5"/>
        <v>300160.65627029719</v>
      </c>
      <c r="M18" s="14">
        <f t="shared" si="5"/>
        <v>2688.3075612087223</v>
      </c>
      <c r="N18" s="13">
        <f t="shared" si="5"/>
        <v>687.23651940674097</v>
      </c>
      <c r="P18" s="92">
        <v>3.4527219750504121E-3</v>
      </c>
      <c r="Q18" s="258">
        <f t="shared" si="3"/>
        <v>0</v>
      </c>
      <c r="R18" s="258">
        <f t="shared" si="4"/>
        <v>1126760.5323585821</v>
      </c>
    </row>
    <row r="19" spans="1:18" x14ac:dyDescent="0.2">
      <c r="A19" s="20">
        <v>11161</v>
      </c>
      <c r="B19" s="19" t="s">
        <v>59</v>
      </c>
      <c r="C19" s="58">
        <f t="shared" si="0"/>
        <v>3986858.3833832336</v>
      </c>
      <c r="D19" s="15">
        <f t="shared" si="5"/>
        <v>84186.473627325773</v>
      </c>
      <c r="E19" s="14">
        <f t="shared" si="5"/>
        <v>14255.576200893829</v>
      </c>
      <c r="F19" s="14">
        <f t="shared" si="5"/>
        <v>432.08003298771177</v>
      </c>
      <c r="G19" s="13">
        <f t="shared" si="5"/>
        <v>1700425.2774003462</v>
      </c>
      <c r="H19" s="15">
        <f t="shared" si="5"/>
        <v>5383.3527353528034</v>
      </c>
      <c r="I19" s="13">
        <f t="shared" si="5"/>
        <v>518.7961960227359</v>
      </c>
      <c r="J19" s="16">
        <f t="shared" ref="J19" si="19">J62/$C$86*$C$43</f>
        <v>6384.8029445855409</v>
      </c>
      <c r="K19" s="16">
        <f t="shared" si="5"/>
        <v>21829.865910567067</v>
      </c>
      <c r="L19" s="15">
        <f t="shared" si="5"/>
        <v>1245515.1272306875</v>
      </c>
      <c r="M19" s="14">
        <f t="shared" si="5"/>
        <v>890173.42101979034</v>
      </c>
      <c r="N19" s="13">
        <f t="shared" si="5"/>
        <v>17753.610084674143</v>
      </c>
      <c r="P19" s="92">
        <v>1.9224284187157891E-2</v>
      </c>
      <c r="Q19" s="258">
        <f t="shared" si="3"/>
        <v>0</v>
      </c>
      <c r="R19" s="258">
        <f t="shared" si="4"/>
        <v>3986858.3833832336</v>
      </c>
    </row>
    <row r="20" spans="1:18" x14ac:dyDescent="0.2">
      <c r="A20" s="20">
        <v>3639</v>
      </c>
      <c r="B20" s="19" t="s">
        <v>58</v>
      </c>
      <c r="C20" s="58">
        <f t="shared" si="0"/>
        <v>2420308.6025687996</v>
      </c>
      <c r="D20" s="15">
        <f t="shared" si="5"/>
        <v>46186.336671894205</v>
      </c>
      <c r="E20" s="14">
        <f t="shared" si="5"/>
        <v>6194.1009292195904</v>
      </c>
      <c r="F20" s="14">
        <f t="shared" si="5"/>
        <v>361.39543561732557</v>
      </c>
      <c r="G20" s="13">
        <f t="shared" si="5"/>
        <v>1069331.9390613702</v>
      </c>
      <c r="H20" s="15">
        <f t="shared" si="5"/>
        <v>5255.3380895809605</v>
      </c>
      <c r="I20" s="13">
        <f t="shared" si="5"/>
        <v>336.88064676801031</v>
      </c>
      <c r="J20" s="16">
        <f t="shared" ref="J20" si="20">J63/$C$86*$C$43</f>
        <v>2719.8776467025136</v>
      </c>
      <c r="K20" s="16">
        <f t="shared" si="5"/>
        <v>13104.657159275601</v>
      </c>
      <c r="L20" s="15">
        <f t="shared" si="5"/>
        <v>744236.72483988828</v>
      </c>
      <c r="M20" s="14">
        <f t="shared" si="5"/>
        <v>521289.11280881905</v>
      </c>
      <c r="N20" s="13">
        <f t="shared" si="5"/>
        <v>11292.239279663703</v>
      </c>
      <c r="P20" s="92">
        <v>1.296528221607569E-2</v>
      </c>
      <c r="Q20" s="258">
        <f t="shared" si="3"/>
        <v>0</v>
      </c>
      <c r="R20" s="258">
        <f t="shared" si="4"/>
        <v>2420308.6025687996</v>
      </c>
    </row>
    <row r="21" spans="1:18" x14ac:dyDescent="0.2">
      <c r="A21" s="78">
        <v>103639</v>
      </c>
      <c r="B21" s="19" t="s">
        <v>57</v>
      </c>
      <c r="C21" s="58">
        <f t="shared" si="0"/>
        <v>1458082.1608239382</v>
      </c>
      <c r="D21" s="15">
        <f t="shared" si="5"/>
        <v>356352.34815120127</v>
      </c>
      <c r="E21" s="14">
        <f t="shared" si="5"/>
        <v>4779.0809357611106</v>
      </c>
      <c r="F21" s="14">
        <f t="shared" si="5"/>
        <v>840.82382531114638</v>
      </c>
      <c r="G21" s="13">
        <f t="shared" si="5"/>
        <v>622159.26358668646</v>
      </c>
      <c r="H21" s="15">
        <f t="shared" si="5"/>
        <v>101.06419403040309</v>
      </c>
      <c r="I21" s="13">
        <f t="shared" si="5"/>
        <v>40.42567761216123</v>
      </c>
      <c r="J21" s="16">
        <f t="shared" ref="J21" si="21">J64/$C$86*$C$43</f>
        <v>0</v>
      </c>
      <c r="K21" s="16">
        <f t="shared" si="5"/>
        <v>29733.085883744585</v>
      </c>
      <c r="L21" s="15">
        <f t="shared" si="5"/>
        <v>442459.04146510462</v>
      </c>
      <c r="M21" s="14">
        <f t="shared" si="5"/>
        <v>1563.1262010035675</v>
      </c>
      <c r="N21" s="13">
        <f t="shared" si="5"/>
        <v>53.900903482881638</v>
      </c>
      <c r="P21" s="92">
        <v>5.939285915308113E-3</v>
      </c>
      <c r="Q21" s="258">
        <f t="shared" si="3"/>
        <v>0</v>
      </c>
      <c r="R21" s="258">
        <f t="shared" si="4"/>
        <v>1458082.1608239382</v>
      </c>
    </row>
    <row r="22" spans="1:18" x14ac:dyDescent="0.2">
      <c r="A22" s="20">
        <v>9651</v>
      </c>
      <c r="B22" s="19" t="s">
        <v>56</v>
      </c>
      <c r="C22" s="58">
        <f t="shared" si="0"/>
        <v>2438123.6088929349</v>
      </c>
      <c r="D22" s="15">
        <f t="shared" ref="D22:N37" si="22">D65/$C$86*$C$43</f>
        <v>47884.215131604979</v>
      </c>
      <c r="E22" s="14">
        <f t="shared" si="22"/>
        <v>7555.065054097674</v>
      </c>
      <c r="F22" s="14">
        <f t="shared" si="22"/>
        <v>390.63644258121207</v>
      </c>
      <c r="G22" s="13">
        <f t="shared" si="22"/>
        <v>884410.74067617988</v>
      </c>
      <c r="H22" s="15">
        <f t="shared" si="22"/>
        <v>2337.9516885699913</v>
      </c>
      <c r="I22" s="13">
        <f t="shared" si="22"/>
        <v>451.4200666691338</v>
      </c>
      <c r="J22" s="16">
        <f t="shared" ref="J22" si="23">J65/$C$86*$C$43</f>
        <v>2247.4193584064828</v>
      </c>
      <c r="K22" s="16">
        <f t="shared" si="22"/>
        <v>14405.016455800116</v>
      </c>
      <c r="L22" s="15">
        <f t="shared" si="22"/>
        <v>852981.79761660204</v>
      </c>
      <c r="M22" s="14">
        <f t="shared" si="22"/>
        <v>615885.19842127641</v>
      </c>
      <c r="N22" s="13">
        <f t="shared" si="22"/>
        <v>9574.1479811468525</v>
      </c>
      <c r="P22" s="92">
        <v>1.0886031395541047E-2</v>
      </c>
      <c r="Q22" s="258">
        <f t="shared" si="3"/>
        <v>0</v>
      </c>
      <c r="R22" s="258">
        <f t="shared" si="4"/>
        <v>2438123.6088929349</v>
      </c>
    </row>
    <row r="23" spans="1:18" x14ac:dyDescent="0.2">
      <c r="A23" s="20">
        <v>3665</v>
      </c>
      <c r="B23" s="19" t="s">
        <v>55</v>
      </c>
      <c r="C23" s="58">
        <f t="shared" si="0"/>
        <v>3468934.3468317245</v>
      </c>
      <c r="D23" s="15">
        <f t="shared" si="22"/>
        <v>76141.763782505674</v>
      </c>
      <c r="E23" s="14">
        <f t="shared" si="22"/>
        <v>11945.796717877556</v>
      </c>
      <c r="F23" s="14">
        <f t="shared" si="22"/>
        <v>468.68968411579914</v>
      </c>
      <c r="G23" s="13">
        <f t="shared" si="22"/>
        <v>1518131.7480599489</v>
      </c>
      <c r="H23" s="15">
        <f t="shared" si="22"/>
        <v>3874.1274378321177</v>
      </c>
      <c r="I23" s="13">
        <f t="shared" si="22"/>
        <v>1226.2455542355574</v>
      </c>
      <c r="J23" s="16">
        <f t="shared" ref="J23" si="24">J66/$C$86*$C$43</f>
        <v>4019.4386278671564</v>
      </c>
      <c r="K23" s="16">
        <f t="shared" si="22"/>
        <v>17975.95131154103</v>
      </c>
      <c r="L23" s="15">
        <f t="shared" si="22"/>
        <v>1086440.0858268333</v>
      </c>
      <c r="M23" s="14">
        <f t="shared" si="22"/>
        <v>735343.07576521276</v>
      </c>
      <c r="N23" s="13">
        <f t="shared" si="22"/>
        <v>13367.42406375465</v>
      </c>
      <c r="P23" s="92">
        <v>1.5183466872892367E-2</v>
      </c>
      <c r="Q23" s="258">
        <f t="shared" si="3"/>
        <v>0</v>
      </c>
      <c r="R23" s="258">
        <f t="shared" si="4"/>
        <v>3468934.3468317245</v>
      </c>
    </row>
    <row r="24" spans="1:18" x14ac:dyDescent="0.2">
      <c r="A24" s="20">
        <v>3565</v>
      </c>
      <c r="B24" s="19" t="s">
        <v>54</v>
      </c>
      <c r="C24" s="58">
        <f t="shared" si="0"/>
        <v>3481995.5400791746</v>
      </c>
      <c r="D24" s="15">
        <f t="shared" si="22"/>
        <v>80305.608576558283</v>
      </c>
      <c r="E24" s="14">
        <f t="shared" si="22"/>
        <v>11778.155924561881</v>
      </c>
      <c r="F24" s="14">
        <f t="shared" si="22"/>
        <v>569.90979005335555</v>
      </c>
      <c r="G24" s="13">
        <f t="shared" si="22"/>
        <v>1517070.5740226342</v>
      </c>
      <c r="H24" s="15">
        <f t="shared" si="22"/>
        <v>1475.5372328438848</v>
      </c>
      <c r="I24" s="13">
        <f t="shared" si="22"/>
        <v>1502.4876845853257</v>
      </c>
      <c r="J24" s="16">
        <f t="shared" ref="J24" si="25">J67/$C$86*$C$43</f>
        <v>1997.5298775333631</v>
      </c>
      <c r="K24" s="16">
        <f t="shared" si="22"/>
        <v>20603.62035633151</v>
      </c>
      <c r="L24" s="15">
        <f t="shared" si="22"/>
        <v>1147887.1157973181</v>
      </c>
      <c r="M24" s="14">
        <f t="shared" si="22"/>
        <v>689662.06006347062</v>
      </c>
      <c r="N24" s="13">
        <f t="shared" si="22"/>
        <v>9142.9407532837995</v>
      </c>
      <c r="P24" s="92">
        <v>1.411122580581306E-2</v>
      </c>
      <c r="Q24" s="258">
        <f t="shared" si="3"/>
        <v>0</v>
      </c>
      <c r="R24" s="258">
        <f t="shared" si="4"/>
        <v>3481995.5400791746</v>
      </c>
    </row>
    <row r="25" spans="1:18" x14ac:dyDescent="0.2">
      <c r="A25" s="20">
        <v>29269</v>
      </c>
      <c r="B25" s="19" t="s">
        <v>53</v>
      </c>
      <c r="C25" s="58">
        <f t="shared" si="0"/>
        <v>872507.63143286249</v>
      </c>
      <c r="D25" s="15">
        <f t="shared" si="22"/>
        <v>209607.13841905602</v>
      </c>
      <c r="E25" s="14">
        <f t="shared" si="22"/>
        <v>3787.08278552417</v>
      </c>
      <c r="F25" s="14">
        <f t="shared" si="22"/>
        <v>783.57808754787288</v>
      </c>
      <c r="G25" s="13">
        <f t="shared" si="22"/>
        <v>375904.227128322</v>
      </c>
      <c r="H25" s="15">
        <f t="shared" si="22"/>
        <v>842.20161692002557</v>
      </c>
      <c r="I25" s="13">
        <f t="shared" si="22"/>
        <v>390.78155025089188</v>
      </c>
      <c r="J25" s="16">
        <f t="shared" ref="J25" si="26">J68/$C$86*$C$43</f>
        <v>665.36966858383607</v>
      </c>
      <c r="K25" s="16">
        <f t="shared" si="22"/>
        <v>14492.605423959802</v>
      </c>
      <c r="L25" s="15">
        <f t="shared" si="22"/>
        <v>262362.64770292642</v>
      </c>
      <c r="M25" s="14">
        <f t="shared" si="22"/>
        <v>3658.5238239005917</v>
      </c>
      <c r="N25" s="13">
        <f t="shared" si="22"/>
        <v>13.47522587072041</v>
      </c>
      <c r="P25" s="92">
        <v>2.885126155730112E-3</v>
      </c>
      <c r="Q25" s="258">
        <f t="shared" si="3"/>
        <v>0</v>
      </c>
      <c r="R25" s="258">
        <f t="shared" si="4"/>
        <v>872507.63143286249</v>
      </c>
    </row>
    <row r="26" spans="1:18" x14ac:dyDescent="0.2">
      <c r="A26" s="20">
        <v>3652</v>
      </c>
      <c r="B26" s="19" t="s">
        <v>52</v>
      </c>
      <c r="C26" s="58">
        <f t="shared" si="0"/>
        <v>15008985.202043656</v>
      </c>
      <c r="D26" s="15">
        <f t="shared" si="22"/>
        <v>309175.58237780916</v>
      </c>
      <c r="E26" s="14">
        <f t="shared" si="22"/>
        <v>55273.723560654988</v>
      </c>
      <c r="F26" s="14">
        <f t="shared" si="22"/>
        <v>433.06107555422159</v>
      </c>
      <c r="G26" s="13">
        <f t="shared" si="22"/>
        <v>6415704.6120567145</v>
      </c>
      <c r="H26" s="15">
        <f t="shared" si="22"/>
        <v>14896.862200081416</v>
      </c>
      <c r="I26" s="13">
        <f t="shared" si="22"/>
        <v>1266.6712318477187</v>
      </c>
      <c r="J26" s="16">
        <f t="shared" ref="J26" si="27">J69/$C$86*$C$43</f>
        <v>16730.329614613765</v>
      </c>
      <c r="K26" s="16">
        <f t="shared" si="22"/>
        <v>68177.905292909927</v>
      </c>
      <c r="L26" s="15">
        <f t="shared" si="22"/>
        <v>4609942.1465028059</v>
      </c>
      <c r="M26" s="14">
        <f t="shared" si="22"/>
        <v>3450533.712586022</v>
      </c>
      <c r="N26" s="13">
        <f t="shared" si="22"/>
        <v>66850.595544643962</v>
      </c>
      <c r="P26" s="92">
        <v>6.680079885949769E-2</v>
      </c>
      <c r="Q26" s="258">
        <f t="shared" si="3"/>
        <v>0</v>
      </c>
      <c r="R26" s="258">
        <f t="shared" si="4"/>
        <v>15008985.202043656</v>
      </c>
    </row>
    <row r="27" spans="1:18" x14ac:dyDescent="0.2">
      <c r="A27" s="20">
        <v>11711</v>
      </c>
      <c r="B27" s="19" t="s">
        <v>51</v>
      </c>
      <c r="C27" s="58">
        <f t="shared" si="0"/>
        <v>3035734.4318750855</v>
      </c>
      <c r="D27" s="15">
        <f t="shared" si="22"/>
        <v>722002.60215319961</v>
      </c>
      <c r="E27" s="14">
        <f t="shared" si="22"/>
        <v>12518.673743609304</v>
      </c>
      <c r="F27" s="14">
        <f t="shared" si="22"/>
        <v>802.32020330542855</v>
      </c>
      <c r="G27" s="13">
        <f t="shared" si="22"/>
        <v>1384349.0318541448</v>
      </c>
      <c r="H27" s="15">
        <f t="shared" si="22"/>
        <v>2156.0361393152657</v>
      </c>
      <c r="I27" s="13">
        <f t="shared" si="22"/>
        <v>168.44032338400515</v>
      </c>
      <c r="J27" s="16">
        <f t="shared" ref="J27" si="28">J70/$C$86*$C$43</f>
        <v>2670.5687257843797</v>
      </c>
      <c r="K27" s="16">
        <f t="shared" si="22"/>
        <v>46954.424546525268</v>
      </c>
      <c r="L27" s="15">
        <f t="shared" si="22"/>
        <v>843683.89176580484</v>
      </c>
      <c r="M27" s="14">
        <f t="shared" si="22"/>
        <v>19276.310608065549</v>
      </c>
      <c r="N27" s="13">
        <f t="shared" si="22"/>
        <v>1152.1318119465952</v>
      </c>
      <c r="P27" s="92">
        <v>1.0972897764284933E-2</v>
      </c>
      <c r="Q27" s="258">
        <f t="shared" si="3"/>
        <v>0</v>
      </c>
      <c r="R27" s="258">
        <f t="shared" si="4"/>
        <v>3035734.4318750855</v>
      </c>
    </row>
    <row r="28" spans="1:18" x14ac:dyDescent="0.2">
      <c r="A28" s="20">
        <v>12826</v>
      </c>
      <c r="B28" s="19" t="s">
        <v>50</v>
      </c>
      <c r="C28" s="58">
        <f t="shared" si="0"/>
        <v>6082447.1850041505</v>
      </c>
      <c r="D28" s="15">
        <f t="shared" si="22"/>
        <v>1444611.5894705816</v>
      </c>
      <c r="E28" s="14">
        <f t="shared" si="22"/>
        <v>9149.2067333136856</v>
      </c>
      <c r="F28" s="14">
        <f t="shared" si="22"/>
        <v>603.01026414522687</v>
      </c>
      <c r="G28" s="13">
        <f t="shared" si="22"/>
        <v>2590063.0581918</v>
      </c>
      <c r="H28" s="15">
        <f t="shared" si="22"/>
        <v>2620.9314318551201</v>
      </c>
      <c r="I28" s="13">
        <f t="shared" si="22"/>
        <v>33.688064676801027</v>
      </c>
      <c r="J28" s="16">
        <f t="shared" ref="J28" si="29">J71/$C$86*$C$43</f>
        <v>417.94120680611991</v>
      </c>
      <c r="K28" s="16">
        <f t="shared" si="22"/>
        <v>101933.34609906454</v>
      </c>
      <c r="L28" s="15">
        <f t="shared" si="22"/>
        <v>1883028.0631744701</v>
      </c>
      <c r="M28" s="14">
        <f t="shared" si="22"/>
        <v>37764.320502693954</v>
      </c>
      <c r="N28" s="13">
        <f t="shared" si="22"/>
        <v>12222.029864743414</v>
      </c>
      <c r="P28" s="92">
        <v>2.262163232206927E-2</v>
      </c>
      <c r="Q28" s="258">
        <f t="shared" si="3"/>
        <v>0</v>
      </c>
      <c r="R28" s="258">
        <f t="shared" si="4"/>
        <v>6082447.1850041505</v>
      </c>
    </row>
    <row r="29" spans="1:18" x14ac:dyDescent="0.2">
      <c r="A29" s="20">
        <v>13231</v>
      </c>
      <c r="B29" s="19" t="s">
        <v>49</v>
      </c>
      <c r="C29" s="58">
        <f t="shared" si="0"/>
        <v>1480826.8423011191</v>
      </c>
      <c r="D29" s="15">
        <f t="shared" si="22"/>
        <v>349682.11134519457</v>
      </c>
      <c r="E29" s="14">
        <f t="shared" si="22"/>
        <v>6067.8025006786547</v>
      </c>
      <c r="F29" s="14">
        <f t="shared" si="22"/>
        <v>810.2245466616082</v>
      </c>
      <c r="G29" s="13">
        <f t="shared" si="22"/>
        <v>657612.58285254985</v>
      </c>
      <c r="H29" s="15">
        <f t="shared" si="22"/>
        <v>2182.9865910567069</v>
      </c>
      <c r="I29" s="13">
        <f t="shared" si="22"/>
        <v>148.22748457792451</v>
      </c>
      <c r="J29" s="16">
        <f t="shared" ref="J29" si="30">J72/$C$86*$C$43</f>
        <v>741.44896294077944</v>
      </c>
      <c r="K29" s="16">
        <f t="shared" si="22"/>
        <v>23285.190304604868</v>
      </c>
      <c r="L29" s="15">
        <f t="shared" si="22"/>
        <v>434171.77755461162</v>
      </c>
      <c r="M29" s="14">
        <f t="shared" si="22"/>
        <v>5989.7378995352219</v>
      </c>
      <c r="N29" s="13">
        <f t="shared" si="22"/>
        <v>134.75225870720411</v>
      </c>
      <c r="P29" s="92">
        <v>5.6229417841748381E-3</v>
      </c>
      <c r="Q29" s="258">
        <f t="shared" si="3"/>
        <v>0</v>
      </c>
      <c r="R29" s="258">
        <f t="shared" si="4"/>
        <v>1480826.8423011191</v>
      </c>
    </row>
    <row r="30" spans="1:18" x14ac:dyDescent="0.2">
      <c r="A30" s="20">
        <v>3592</v>
      </c>
      <c r="B30" s="19" t="s">
        <v>48</v>
      </c>
      <c r="C30" s="58">
        <f t="shared" si="0"/>
        <v>2783774.505988529</v>
      </c>
      <c r="D30" s="15">
        <f t="shared" si="22"/>
        <v>625587.36104819505</v>
      </c>
      <c r="E30" s="14">
        <f t="shared" si="22"/>
        <v>9161.3793540169027</v>
      </c>
      <c r="F30" s="14">
        <f t="shared" si="22"/>
        <v>487.584651774333</v>
      </c>
      <c r="G30" s="13">
        <f t="shared" si="22"/>
        <v>1189727.6921259072</v>
      </c>
      <c r="H30" s="15">
        <f t="shared" si="22"/>
        <v>6737.6129353602046</v>
      </c>
      <c r="I30" s="13">
        <f t="shared" si="22"/>
        <v>303.19258209120926</v>
      </c>
      <c r="J30" s="16">
        <f t="shared" ref="J30" si="31">J73/$C$86*$C$43</f>
        <v>3046.4058631137477</v>
      </c>
      <c r="K30" s="16">
        <f t="shared" si="22"/>
        <v>41860.789167392955</v>
      </c>
      <c r="L30" s="15">
        <f t="shared" si="22"/>
        <v>871981.86609431775</v>
      </c>
      <c r="M30" s="14">
        <f t="shared" si="22"/>
        <v>21142.629391160324</v>
      </c>
      <c r="N30" s="13">
        <f t="shared" si="22"/>
        <v>13737.992775199458</v>
      </c>
      <c r="P30" s="92">
        <v>1.0364568727977754E-2</v>
      </c>
      <c r="Q30" s="258">
        <f t="shared" si="3"/>
        <v>0</v>
      </c>
      <c r="R30" s="258">
        <f t="shared" si="4"/>
        <v>2783774.505988529</v>
      </c>
    </row>
    <row r="31" spans="1:18" x14ac:dyDescent="0.2">
      <c r="A31" s="20">
        <v>3594</v>
      </c>
      <c r="B31" s="19" t="s">
        <v>47</v>
      </c>
      <c r="C31" s="58">
        <f t="shared" si="0"/>
        <v>15720454.815798186</v>
      </c>
      <c r="D31" s="15">
        <f t="shared" si="22"/>
        <v>364841.7404497551</v>
      </c>
      <c r="E31" s="14">
        <f t="shared" si="22"/>
        <v>70090.152137514073</v>
      </c>
      <c r="F31" s="14">
        <f t="shared" si="22"/>
        <v>523.24863769620299</v>
      </c>
      <c r="G31" s="13">
        <f t="shared" si="22"/>
        <v>6919796.6416092711</v>
      </c>
      <c r="H31" s="15">
        <f t="shared" si="22"/>
        <v>6804.9890647138081</v>
      </c>
      <c r="I31" s="13">
        <f t="shared" si="22"/>
        <v>875.88968159682679</v>
      </c>
      <c r="J31" s="16">
        <f t="shared" ref="J31" si="32">J74/$C$86*$C$43</f>
        <v>22414.454270592596</v>
      </c>
      <c r="K31" s="16">
        <f t="shared" si="22"/>
        <v>77213.044239227966</v>
      </c>
      <c r="L31" s="15">
        <f t="shared" si="22"/>
        <v>4769017.1879066601</v>
      </c>
      <c r="M31" s="14">
        <f t="shared" si="22"/>
        <v>3421427.2247052654</v>
      </c>
      <c r="N31" s="13">
        <f t="shared" si="22"/>
        <v>67450.243095891012</v>
      </c>
      <c r="P31" s="92">
        <v>5.9972196847224775E-2</v>
      </c>
      <c r="Q31" s="258">
        <f t="shared" si="3"/>
        <v>0</v>
      </c>
      <c r="R31" s="258">
        <f t="shared" si="4"/>
        <v>15720454.815798186</v>
      </c>
    </row>
    <row r="32" spans="1:18" x14ac:dyDescent="0.2">
      <c r="A32" s="78">
        <v>113594</v>
      </c>
      <c r="B32" s="19" t="s">
        <v>46</v>
      </c>
      <c r="C32" s="58">
        <f t="shared" si="0"/>
        <v>988740.69307794527</v>
      </c>
      <c r="D32" s="15">
        <f t="shared" si="22"/>
        <v>244676.41374760584</v>
      </c>
      <c r="E32" s="14">
        <f t="shared" si="22"/>
        <v>4710.0209646414132</v>
      </c>
      <c r="F32" s="14">
        <f t="shared" si="22"/>
        <v>862.02231449973885</v>
      </c>
      <c r="G32" s="13">
        <f t="shared" si="22"/>
        <v>428023.03198980016</v>
      </c>
      <c r="H32" s="15">
        <f t="shared" si="22"/>
        <v>242.55406567296737</v>
      </c>
      <c r="I32" s="13">
        <f t="shared" si="22"/>
        <v>0</v>
      </c>
      <c r="J32" s="16">
        <f t="shared" ref="J32" si="33">J75/$C$86*$C$43</f>
        <v>0</v>
      </c>
      <c r="K32" s="16">
        <f t="shared" si="22"/>
        <v>18706.982315027606</v>
      </c>
      <c r="L32" s="15">
        <f t="shared" si="22"/>
        <v>289852.10847919603</v>
      </c>
      <c r="M32" s="14">
        <f t="shared" si="22"/>
        <v>1445.217974634764</v>
      </c>
      <c r="N32" s="13">
        <f t="shared" si="22"/>
        <v>222.34122686688676</v>
      </c>
      <c r="P32" s="92">
        <v>2.8602942419239919E-3</v>
      </c>
      <c r="Q32" s="258">
        <f t="shared" si="3"/>
        <v>0</v>
      </c>
      <c r="R32" s="258">
        <f t="shared" si="4"/>
        <v>988740.69307794527</v>
      </c>
    </row>
    <row r="33" spans="1:18" x14ac:dyDescent="0.2">
      <c r="A33" s="20">
        <v>3624</v>
      </c>
      <c r="B33" s="19" t="s">
        <v>45</v>
      </c>
      <c r="C33" s="58">
        <f t="shared" si="0"/>
        <v>5408998.0718861334</v>
      </c>
      <c r="D33" s="15">
        <f t="shared" si="22"/>
        <v>116527.01571705475</v>
      </c>
      <c r="E33" s="14">
        <f t="shared" si="22"/>
        <v>21518.655569082781</v>
      </c>
      <c r="F33" s="14">
        <f t="shared" si="22"/>
        <v>409.46247774676175</v>
      </c>
      <c r="G33" s="13">
        <f t="shared" si="22"/>
        <v>2256805.899660395</v>
      </c>
      <c r="H33" s="15">
        <f t="shared" si="22"/>
        <v>5012.7840239079933</v>
      </c>
      <c r="I33" s="13">
        <f t="shared" si="22"/>
        <v>902.84013333826761</v>
      </c>
      <c r="J33" s="16">
        <f t="shared" ref="J33" si="34">J76/$C$86*$C$43</f>
        <v>12527.994922068327</v>
      </c>
      <c r="K33" s="16">
        <f t="shared" si="22"/>
        <v>29517.482269813063</v>
      </c>
      <c r="L33" s="15">
        <f t="shared" si="22"/>
        <v>1679282.6480091778</v>
      </c>
      <c r="M33" s="14">
        <f t="shared" si="22"/>
        <v>1258249.2156785184</v>
      </c>
      <c r="N33" s="13">
        <f t="shared" si="22"/>
        <v>28244.073425029979</v>
      </c>
      <c r="P33" s="92">
        <v>2.3435865298122357E-2</v>
      </c>
      <c r="Q33" s="258">
        <f t="shared" si="3"/>
        <v>0</v>
      </c>
      <c r="R33" s="258">
        <f t="shared" si="4"/>
        <v>5408998.0718861334</v>
      </c>
    </row>
    <row r="34" spans="1:18" x14ac:dyDescent="0.2">
      <c r="A34" s="20">
        <v>3642</v>
      </c>
      <c r="B34" s="19" t="s">
        <v>44</v>
      </c>
      <c r="C34" s="58">
        <f t="shared" si="0"/>
        <v>2665627.9412990757</v>
      </c>
      <c r="D34" s="15">
        <f t="shared" si="22"/>
        <v>45984.208283833403</v>
      </c>
      <c r="E34" s="14">
        <f t="shared" si="22"/>
        <v>2202.1326411480218</v>
      </c>
      <c r="F34" s="14">
        <f t="shared" si="22"/>
        <v>261.42640944244027</v>
      </c>
      <c r="G34" s="13">
        <f t="shared" si="22"/>
        <v>902697.29594403901</v>
      </c>
      <c r="H34" s="15">
        <f t="shared" si="22"/>
        <v>2715.258012950163</v>
      </c>
      <c r="I34" s="13">
        <f t="shared" si="22"/>
        <v>60.638516418241842</v>
      </c>
      <c r="J34" s="16">
        <f t="shared" ref="J34" si="35">J77/$C$86*$C$43</f>
        <v>1195.497526672661</v>
      </c>
      <c r="K34" s="16">
        <f t="shared" si="22"/>
        <v>13468.488257785051</v>
      </c>
      <c r="L34" s="15">
        <f t="shared" si="22"/>
        <v>992854.64215467975</v>
      </c>
      <c r="M34" s="14">
        <f t="shared" si="22"/>
        <v>687034.39101868006</v>
      </c>
      <c r="N34" s="13">
        <f t="shared" si="22"/>
        <v>17153.962533427082</v>
      </c>
      <c r="P34" s="92">
        <v>1.3524899052819646E-2</v>
      </c>
      <c r="Q34" s="258">
        <f t="shared" si="3"/>
        <v>0</v>
      </c>
      <c r="R34" s="258">
        <f t="shared" si="4"/>
        <v>2665627.9412990757</v>
      </c>
    </row>
    <row r="35" spans="1:18" x14ac:dyDescent="0.2">
      <c r="A35" s="20">
        <v>3644</v>
      </c>
      <c r="B35" s="19" t="s">
        <v>43</v>
      </c>
      <c r="C35" s="58">
        <f t="shared" si="0"/>
        <v>13817911.150774175</v>
      </c>
      <c r="D35" s="15">
        <f t="shared" si="22"/>
        <v>283424.42573886237</v>
      </c>
      <c r="E35" s="14">
        <f t="shared" si="22"/>
        <v>69155.559880282424</v>
      </c>
      <c r="F35" s="14">
        <f t="shared" si="22"/>
        <v>425.70751238239842</v>
      </c>
      <c r="G35" s="13">
        <f t="shared" si="22"/>
        <v>6141537.6664910791</v>
      </c>
      <c r="H35" s="15">
        <f t="shared" si="22"/>
        <v>14701.471424955969</v>
      </c>
      <c r="I35" s="13">
        <f t="shared" si="22"/>
        <v>1158.8694248819554</v>
      </c>
      <c r="J35" s="16">
        <f t="shared" ref="J35" si="36">J78/$C$86*$C$43</f>
        <v>38290.116728672154</v>
      </c>
      <c r="K35" s="16">
        <f t="shared" si="22"/>
        <v>56151.266203291954</v>
      </c>
      <c r="L35" s="15">
        <f t="shared" si="22"/>
        <v>3932609.918111044</v>
      </c>
      <c r="M35" s="14">
        <f t="shared" si="22"/>
        <v>3200703.0249428651</v>
      </c>
      <c r="N35" s="13">
        <f t="shared" si="22"/>
        <v>79753.124315858746</v>
      </c>
      <c r="P35" s="92">
        <v>6.3345925146063756E-2</v>
      </c>
      <c r="Q35" s="258">
        <f t="shared" si="3"/>
        <v>0</v>
      </c>
      <c r="R35" s="258">
        <f t="shared" si="4"/>
        <v>13817911.150774175</v>
      </c>
    </row>
    <row r="36" spans="1:18" x14ac:dyDescent="0.2">
      <c r="A36" s="20">
        <v>3541</v>
      </c>
      <c r="B36" s="19" t="s">
        <v>42</v>
      </c>
      <c r="C36" s="58">
        <f t="shared" si="0"/>
        <v>2770227.3850045744</v>
      </c>
      <c r="D36" s="15">
        <f t="shared" si="22"/>
        <v>601129.82609283749</v>
      </c>
      <c r="E36" s="14">
        <f t="shared" si="22"/>
        <v>8609.5149537074194</v>
      </c>
      <c r="F36" s="14">
        <f t="shared" si="22"/>
        <v>410.43585526066323</v>
      </c>
      <c r="G36" s="13">
        <f t="shared" si="22"/>
        <v>1199035.7043961082</v>
      </c>
      <c r="H36" s="15">
        <f t="shared" si="22"/>
        <v>5140.7986696798371</v>
      </c>
      <c r="I36" s="13">
        <f t="shared" si="22"/>
        <v>390.78155025089188</v>
      </c>
      <c r="J36" s="16">
        <f t="shared" ref="J36" si="37">J79/$C$86*$C$43</f>
        <v>4085.2632715802065</v>
      </c>
      <c r="K36" s="16">
        <f t="shared" si="22"/>
        <v>43841.647370388848</v>
      </c>
      <c r="L36" s="15">
        <f t="shared" si="22"/>
        <v>872386.12287043943</v>
      </c>
      <c r="M36" s="14">
        <f t="shared" si="22"/>
        <v>20893.337712551998</v>
      </c>
      <c r="N36" s="13">
        <f t="shared" si="22"/>
        <v>14303.952261769715</v>
      </c>
      <c r="P36" s="92">
        <v>1.2561069385453944E-2</v>
      </c>
      <c r="Q36" s="258">
        <f t="shared" si="3"/>
        <v>0</v>
      </c>
      <c r="R36" s="258">
        <f t="shared" si="4"/>
        <v>2770227.3850045744</v>
      </c>
    </row>
    <row r="37" spans="1:18" x14ac:dyDescent="0.2">
      <c r="A37" s="20">
        <v>3646</v>
      </c>
      <c r="B37" s="19" t="s">
        <v>41</v>
      </c>
      <c r="C37" s="58">
        <f t="shared" si="0"/>
        <v>4392413.3313153405</v>
      </c>
      <c r="D37" s="15">
        <f t="shared" si="22"/>
        <v>109513.16065134478</v>
      </c>
      <c r="E37" s="14">
        <f t="shared" si="22"/>
        <v>19116.130598140295</v>
      </c>
      <c r="F37" s="14">
        <f t="shared" si="22"/>
        <v>556.77485943172451</v>
      </c>
      <c r="G37" s="13">
        <f t="shared" si="22"/>
        <v>2093348.7148033804</v>
      </c>
      <c r="H37" s="15">
        <f t="shared" si="22"/>
        <v>11507.842893595232</v>
      </c>
      <c r="I37" s="13">
        <f t="shared" si="22"/>
        <v>640.07322885921963</v>
      </c>
      <c r="J37" s="16">
        <f t="shared" ref="J37" si="38">J80/$C$86*$C$43</f>
        <v>3917.9072339920658</v>
      </c>
      <c r="K37" s="16">
        <f t="shared" si="22"/>
        <v>25205.409991182529</v>
      </c>
      <c r="L37" s="15">
        <f t="shared" si="22"/>
        <v>1331621.8205445909</v>
      </c>
      <c r="M37" s="14">
        <f t="shared" si="22"/>
        <v>783651.76051174547</v>
      </c>
      <c r="N37" s="13">
        <f t="shared" si="22"/>
        <v>13333.735999077846</v>
      </c>
      <c r="P37" s="92">
        <v>1.8983457031793705E-2</v>
      </c>
      <c r="Q37" s="258">
        <f t="shared" si="3"/>
        <v>0</v>
      </c>
      <c r="R37" s="258">
        <f t="shared" si="4"/>
        <v>4392413.3313153405</v>
      </c>
    </row>
    <row r="38" spans="1:18" x14ac:dyDescent="0.2">
      <c r="A38" s="20">
        <v>3581</v>
      </c>
      <c r="B38" s="19" t="s">
        <v>40</v>
      </c>
      <c r="C38" s="58">
        <f t="shared" si="0"/>
        <v>3972911.5694768135</v>
      </c>
      <c r="D38" s="15">
        <f t="shared" ref="D38:N42" si="39">D81/$C$86*$C$43</f>
        <v>80972.632257158941</v>
      </c>
      <c r="E38" s="14">
        <f t="shared" si="39"/>
        <v>9455.8040558082284</v>
      </c>
      <c r="F38" s="14">
        <f t="shared" si="39"/>
        <v>371.00522449809824</v>
      </c>
      <c r="G38" s="13">
        <f t="shared" si="39"/>
        <v>1628083.5273133854</v>
      </c>
      <c r="H38" s="15">
        <f t="shared" si="39"/>
        <v>6670.2368060066037</v>
      </c>
      <c r="I38" s="13">
        <f t="shared" si="39"/>
        <v>343.61825970337048</v>
      </c>
      <c r="J38" s="16">
        <f t="shared" ref="J38" si="40">J81/$C$86*$C$43</f>
        <v>4002.7608624220998</v>
      </c>
      <c r="K38" s="16">
        <f t="shared" si="39"/>
        <v>19175.246414035144</v>
      </c>
      <c r="L38" s="15">
        <f t="shared" si="39"/>
        <v>1300494.0487832269</v>
      </c>
      <c r="M38" s="14">
        <f t="shared" si="39"/>
        <v>902907.5094676211</v>
      </c>
      <c r="N38" s="13">
        <f t="shared" si="39"/>
        <v>20435.180032947501</v>
      </c>
      <c r="P38" s="92">
        <v>1.8519296567582645E-2</v>
      </c>
      <c r="Q38" s="258">
        <f t="shared" si="3"/>
        <v>0</v>
      </c>
      <c r="R38" s="258">
        <f t="shared" si="4"/>
        <v>3972911.5694768135</v>
      </c>
    </row>
    <row r="39" spans="1:18" x14ac:dyDescent="0.2">
      <c r="A39" s="20">
        <v>3606</v>
      </c>
      <c r="B39" s="19" t="s">
        <v>39</v>
      </c>
      <c r="C39" s="58">
        <f t="shared" si="0"/>
        <v>8022606.4985859748</v>
      </c>
      <c r="D39" s="15">
        <f t="shared" si="39"/>
        <v>186625.14069654231</v>
      </c>
      <c r="E39" s="14">
        <f t="shared" si="39"/>
        <v>36495.583069546061</v>
      </c>
      <c r="F39" s="14">
        <f t="shared" si="39"/>
        <v>494.72245381235507</v>
      </c>
      <c r="G39" s="13">
        <f t="shared" si="39"/>
        <v>3539516.6928621046</v>
      </c>
      <c r="H39" s="15">
        <f t="shared" si="39"/>
        <v>3375.5440806154629</v>
      </c>
      <c r="I39" s="13">
        <f t="shared" si="39"/>
        <v>1232.9831671709176</v>
      </c>
      <c r="J39" s="16">
        <f t="shared" ref="J39" si="41">J82/$C$86*$C$43</f>
        <v>14879.274421070584</v>
      </c>
      <c r="K39" s="16">
        <f t="shared" si="39"/>
        <v>44744.487503727127</v>
      </c>
      <c r="L39" s="15">
        <f t="shared" si="39"/>
        <v>2361465.9577143984</v>
      </c>
      <c r="M39" s="14">
        <f t="shared" si="39"/>
        <v>1798134.1401889315</v>
      </c>
      <c r="N39" s="13">
        <f t="shared" si="39"/>
        <v>35641.972428055487</v>
      </c>
      <c r="P39" s="92">
        <v>3.2554270941238916E-2</v>
      </c>
      <c r="Q39" s="258">
        <f t="shared" si="3"/>
        <v>0</v>
      </c>
      <c r="R39" s="258">
        <f t="shared" si="4"/>
        <v>8022606.4985859748</v>
      </c>
    </row>
    <row r="40" spans="1:18" x14ac:dyDescent="0.2">
      <c r="A40" s="20">
        <v>3615</v>
      </c>
      <c r="B40" s="19" t="s">
        <v>95</v>
      </c>
      <c r="C40" s="58">
        <f t="shared" si="0"/>
        <v>14811554.731725238</v>
      </c>
      <c r="D40" s="15">
        <f t="shared" si="39"/>
        <v>325083.08651819453</v>
      </c>
      <c r="E40" s="14">
        <f t="shared" si="39"/>
        <v>68592.531255339054</v>
      </c>
      <c r="F40" s="14">
        <f t="shared" si="39"/>
        <v>473.11972524085775</v>
      </c>
      <c r="G40" s="13">
        <f t="shared" si="39"/>
        <v>6329029.9379724078</v>
      </c>
      <c r="H40" s="15">
        <f t="shared" si="39"/>
        <v>9877.34056323806</v>
      </c>
      <c r="I40" s="13">
        <f t="shared" si="39"/>
        <v>1347.5225870720412</v>
      </c>
      <c r="J40" s="16">
        <f t="shared" ref="J40" si="42">J83/$C$86*$C$43</f>
        <v>22887.413141322795</v>
      </c>
      <c r="K40" s="16">
        <f t="shared" si="39"/>
        <v>74288.920225281632</v>
      </c>
      <c r="L40" s="15">
        <f t="shared" si="39"/>
        <v>4529899.3048307262</v>
      </c>
      <c r="M40" s="14">
        <f t="shared" si="39"/>
        <v>3383022.8309737127</v>
      </c>
      <c r="N40" s="13">
        <f t="shared" si="39"/>
        <v>67052.723932704757</v>
      </c>
      <c r="P40" s="92">
        <v>6.1387457427191858E-2</v>
      </c>
      <c r="Q40" s="258">
        <f t="shared" si="3"/>
        <v>0</v>
      </c>
      <c r="R40" s="258">
        <f t="shared" si="4"/>
        <v>14811554.731725238</v>
      </c>
    </row>
    <row r="41" spans="1:18" x14ac:dyDescent="0.2">
      <c r="A41" s="20">
        <v>3625</v>
      </c>
      <c r="B41" s="19" t="s">
        <v>38</v>
      </c>
      <c r="C41" s="58">
        <f t="shared" si="0"/>
        <v>554667.21662364039</v>
      </c>
      <c r="D41" s="15">
        <f t="shared" si="39"/>
        <v>114808.92441853791</v>
      </c>
      <c r="E41" s="14">
        <f t="shared" si="39"/>
        <v>1151.9162083326637</v>
      </c>
      <c r="F41" s="14">
        <f t="shared" si="39"/>
        <v>313.67987218412571</v>
      </c>
      <c r="G41" s="13">
        <f t="shared" si="39"/>
        <v>239115.86179205286</v>
      </c>
      <c r="H41" s="15">
        <f t="shared" si="39"/>
        <v>256.02929154368775</v>
      </c>
      <c r="I41" s="13">
        <f t="shared" si="39"/>
        <v>128.01464577184387</v>
      </c>
      <c r="J41" s="16">
        <f t="shared" ref="J41" si="43">J84/$C$86*$C$43</f>
        <v>517.25273940680279</v>
      </c>
      <c r="K41" s="16">
        <f t="shared" si="39"/>
        <v>9884.0781761734197</v>
      </c>
      <c r="L41" s="15">
        <f t="shared" si="39"/>
        <v>181915.54925472554</v>
      </c>
      <c r="M41" s="14">
        <f t="shared" si="39"/>
        <v>3914.5531154442792</v>
      </c>
      <c r="N41" s="13">
        <f t="shared" si="39"/>
        <v>2661.3571094672811</v>
      </c>
      <c r="P41" s="92">
        <v>2.5717361648878246E-3</v>
      </c>
      <c r="Q41" s="258">
        <f t="shared" si="3"/>
        <v>0</v>
      </c>
      <c r="R41" s="258">
        <f t="shared" si="4"/>
        <v>554667.21662364039</v>
      </c>
    </row>
    <row r="42" spans="1:18" x14ac:dyDescent="0.2">
      <c r="A42" s="20">
        <v>20</v>
      </c>
      <c r="B42" s="19" t="s">
        <v>37</v>
      </c>
      <c r="C42" s="77">
        <f t="shared" si="0"/>
        <v>419625.37420958321</v>
      </c>
      <c r="D42" s="15">
        <f t="shared" si="39"/>
        <v>98032.268209490969</v>
      </c>
      <c r="E42" s="14">
        <f t="shared" si="39"/>
        <v>1038.2522055033669</v>
      </c>
      <c r="F42" s="14">
        <f t="shared" si="39"/>
        <v>739.71730124370697</v>
      </c>
      <c r="G42" s="13">
        <f t="shared" si="39"/>
        <v>169284.54628480563</v>
      </c>
      <c r="H42" s="15">
        <f t="shared" si="39"/>
        <v>128.01464577184387</v>
      </c>
      <c r="I42" s="13">
        <f t="shared" si="39"/>
        <v>114.53941990112351</v>
      </c>
      <c r="J42" s="16">
        <f t="shared" ref="J42" si="44">J85/$C$86*$C$43</f>
        <v>126.85665249371843</v>
      </c>
      <c r="K42" s="16">
        <f t="shared" si="39"/>
        <v>8731.9463642268274</v>
      </c>
      <c r="L42" s="15">
        <f t="shared" si="39"/>
        <v>139468.58776195624</v>
      </c>
      <c r="M42" s="14">
        <f t="shared" si="39"/>
        <v>1873.0563960301372</v>
      </c>
      <c r="N42" s="13">
        <f t="shared" si="39"/>
        <v>87.588968159682651</v>
      </c>
      <c r="P42" s="92">
        <v>1.4792799135503695E-3</v>
      </c>
      <c r="Q42" s="258">
        <f t="shared" si="3"/>
        <v>0</v>
      </c>
      <c r="R42" s="258">
        <f t="shared" si="4"/>
        <v>419625.37420958321</v>
      </c>
    </row>
    <row r="43" spans="1:18" ht="13.5" thickBot="1" x14ac:dyDescent="0.25">
      <c r="A43" s="12"/>
      <c r="B43" s="11" t="s">
        <v>11</v>
      </c>
      <c r="C43" s="75">
        <f>R43-Q43</f>
        <v>235000000</v>
      </c>
      <c r="D43" s="75">
        <f t="shared" ref="D43:N43" si="45">SUM(D5:D42)</f>
        <v>11424053.939131094</v>
      </c>
      <c r="E43" s="74">
        <f t="shared" si="45"/>
        <v>992817.62796156213</v>
      </c>
      <c r="F43" s="74">
        <f t="shared" si="45"/>
        <v>20731.696188243812</v>
      </c>
      <c r="G43" s="73">
        <f t="shared" si="45"/>
        <v>104791332.35691386</v>
      </c>
      <c r="H43" s="75">
        <f t="shared" si="45"/>
        <v>282413.78379855835</v>
      </c>
      <c r="I43" s="73">
        <f t="shared" si="45"/>
        <v>24221.71850261994</v>
      </c>
      <c r="J43" s="76">
        <f t="shared" ref="J43" si="46">SUM(J5:J42)</f>
        <v>428116.99866546266</v>
      </c>
      <c r="K43" s="76">
        <f t="shared" si="45"/>
        <v>1443287.6485287836</v>
      </c>
      <c r="L43" s="75">
        <f t="shared" si="45"/>
        <v>69436457.701170534</v>
      </c>
      <c r="M43" s="74">
        <f t="shared" si="45"/>
        <v>45127227.712939665</v>
      </c>
      <c r="N43" s="73">
        <f t="shared" si="45"/>
        <v>1029338.8161996551</v>
      </c>
      <c r="P43" s="248">
        <f>SUM(P5:P42)</f>
        <v>1.0000000000000002</v>
      </c>
      <c r="Q43" s="257">
        <f>SUM(Q5:Q42)</f>
        <v>0</v>
      </c>
      <c r="R43" s="259">
        <v>235000000</v>
      </c>
    </row>
    <row r="44" spans="1:18" x14ac:dyDescent="0.2">
      <c r="A44" s="72"/>
      <c r="C44" s="154"/>
      <c r="D44" s="155"/>
      <c r="E44" s="70"/>
      <c r="F44" s="70"/>
      <c r="G44" s="70"/>
      <c r="H44" s="70"/>
      <c r="I44" s="70"/>
      <c r="J44" s="70"/>
      <c r="K44" s="70"/>
      <c r="L44" s="70"/>
      <c r="M44" s="70"/>
      <c r="N44" s="70"/>
      <c r="P44" s="249" t="s">
        <v>147</v>
      </c>
      <c r="Q44" s="260">
        <v>5.0000000000000001E-3</v>
      </c>
    </row>
    <row r="45" spans="1:18" ht="13.5" thickBot="1" x14ac:dyDescent="0.25">
      <c r="A45" s="69" t="s">
        <v>76</v>
      </c>
    </row>
    <row r="46" spans="1:18" ht="12.75" customHeight="1" outlineLevel="1" x14ac:dyDescent="0.2">
      <c r="A46" s="273" t="s">
        <v>24</v>
      </c>
      <c r="B46" s="275" t="s">
        <v>23</v>
      </c>
      <c r="C46" s="277" t="s">
        <v>36</v>
      </c>
      <c r="D46" s="279" t="s">
        <v>35</v>
      </c>
      <c r="E46" s="280"/>
      <c r="F46" s="280"/>
      <c r="G46" s="281"/>
      <c r="H46" s="282" t="s">
        <v>18</v>
      </c>
      <c r="I46" s="291" t="s">
        <v>17</v>
      </c>
      <c r="J46" s="332" t="s">
        <v>126</v>
      </c>
      <c r="K46" s="293" t="s">
        <v>16</v>
      </c>
      <c r="L46" s="295" t="s">
        <v>34</v>
      </c>
      <c r="M46" s="296"/>
      <c r="N46" s="296"/>
      <c r="O46" s="308" t="s">
        <v>99</v>
      </c>
    </row>
    <row r="47" spans="1:18" ht="51.75" outlineLevel="1" thickBot="1" x14ac:dyDescent="0.25">
      <c r="A47" s="274"/>
      <c r="B47" s="276"/>
      <c r="C47" s="278"/>
      <c r="D47" s="68"/>
      <c r="E47" s="67" t="s">
        <v>33</v>
      </c>
      <c r="F47" s="67" t="s">
        <v>32</v>
      </c>
      <c r="G47" s="152" t="s">
        <v>31</v>
      </c>
      <c r="H47" s="283"/>
      <c r="I47" s="292"/>
      <c r="J47" s="333"/>
      <c r="K47" s="294"/>
      <c r="L47" s="44" t="s">
        <v>14</v>
      </c>
      <c r="M47" s="43" t="s">
        <v>13</v>
      </c>
      <c r="N47" s="42" t="s">
        <v>12</v>
      </c>
      <c r="O47" s="309"/>
    </row>
    <row r="48" spans="1:18" outlineLevel="1" x14ac:dyDescent="0.2">
      <c r="A48" s="20">
        <f t="shared" ref="A48:B63" si="47">A5</f>
        <v>3656</v>
      </c>
      <c r="B48" s="19" t="str">
        <f t="shared" si="47"/>
        <v>UTA</v>
      </c>
      <c r="C48" s="58">
        <f t="shared" ref="C48:C85" si="48">SUM(D48:N48)</f>
        <v>6577.2989489202764</v>
      </c>
      <c r="D48" s="15">
        <f t="shared" ref="D48:N48" si="49">D90*D156</f>
        <v>150.54</v>
      </c>
      <c r="E48" s="14">
        <f t="shared" si="49"/>
        <v>26.009966666666671</v>
      </c>
      <c r="F48" s="14">
        <f t="shared" si="49"/>
        <v>0.29603788278048282</v>
      </c>
      <c r="G48" s="13">
        <f t="shared" si="49"/>
        <v>3125.5660000000134</v>
      </c>
      <c r="H48" s="36">
        <f t="shared" si="49"/>
        <v>15.313333333333333</v>
      </c>
      <c r="I48" s="35">
        <f t="shared" si="49"/>
        <v>0.35000000000000003</v>
      </c>
      <c r="J48" s="34">
        <f t="shared" si="49"/>
        <v>9.2269443708157706</v>
      </c>
      <c r="K48" s="34">
        <f t="shared" si="49"/>
        <v>31.16</v>
      </c>
      <c r="L48" s="36">
        <f t="shared" si="49"/>
        <v>2050.8999999999996</v>
      </c>
      <c r="M48" s="59">
        <f t="shared" si="49"/>
        <v>1150.0999999999999</v>
      </c>
      <c r="N48" s="35">
        <f t="shared" si="49"/>
        <v>17.83666666666667</v>
      </c>
      <c r="O48" s="88" t="s">
        <v>83</v>
      </c>
      <c r="P48" s="236"/>
      <c r="Q48" s="236"/>
      <c r="R48" s="236"/>
    </row>
    <row r="49" spans="1:18" outlineLevel="1" x14ac:dyDescent="0.2">
      <c r="A49" s="20">
        <f t="shared" si="47"/>
        <v>3658</v>
      </c>
      <c r="B49" s="19" t="str">
        <f t="shared" si="47"/>
        <v>UT</v>
      </c>
      <c r="C49" s="58">
        <f t="shared" si="48"/>
        <v>11912.550693278468</v>
      </c>
      <c r="D49" s="15">
        <f t="shared" ref="D49:N49" si="50">D91*D157</f>
        <v>268.39</v>
      </c>
      <c r="E49" s="14">
        <f t="shared" si="50"/>
        <v>74.165103333333349</v>
      </c>
      <c r="F49" s="14">
        <f t="shared" si="50"/>
        <v>0.26497692061124672</v>
      </c>
      <c r="G49" s="13">
        <f t="shared" si="50"/>
        <v>5819.5050000001556</v>
      </c>
      <c r="H49" s="15">
        <f t="shared" si="50"/>
        <v>18.763333333333332</v>
      </c>
      <c r="I49" s="13">
        <f t="shared" si="50"/>
        <v>0.66</v>
      </c>
      <c r="J49" s="16">
        <f t="shared" si="50"/>
        <v>44.495613024368019</v>
      </c>
      <c r="K49" s="16">
        <f t="shared" si="50"/>
        <v>34.703333333333333</v>
      </c>
      <c r="L49" s="15">
        <f t="shared" si="50"/>
        <v>2879.5</v>
      </c>
      <c r="M49" s="14">
        <f t="shared" si="50"/>
        <v>2701.7</v>
      </c>
      <c r="N49" s="13">
        <f t="shared" si="50"/>
        <v>70.403333333333336</v>
      </c>
      <c r="O49" s="89" t="s">
        <v>82</v>
      </c>
      <c r="P49" s="120"/>
      <c r="Q49" s="120"/>
      <c r="R49" s="120"/>
    </row>
    <row r="50" spans="1:18" outlineLevel="1" x14ac:dyDescent="0.2">
      <c r="A50" s="20">
        <f t="shared" si="47"/>
        <v>9741</v>
      </c>
      <c r="B50" s="19" t="str">
        <f t="shared" si="47"/>
        <v>UTD</v>
      </c>
      <c r="C50" s="58">
        <f t="shared" si="48"/>
        <v>3286.4481236108795</v>
      </c>
      <c r="D50" s="15">
        <f t="shared" ref="D50:N50" si="51">D92*D158</f>
        <v>71.789999999999992</v>
      </c>
      <c r="E50" s="14">
        <f t="shared" si="51"/>
        <v>16.822790000000001</v>
      </c>
      <c r="F50" s="14">
        <f t="shared" si="51"/>
        <v>0.26829760516638268</v>
      </c>
      <c r="G50" s="13">
        <f t="shared" si="51"/>
        <v>1530.3610000000317</v>
      </c>
      <c r="H50" s="15">
        <f t="shared" si="51"/>
        <v>4.2166666666666668</v>
      </c>
      <c r="I50" s="13">
        <f t="shared" si="51"/>
        <v>0.32</v>
      </c>
      <c r="J50" s="16">
        <f t="shared" si="51"/>
        <v>4.4593693390146045</v>
      </c>
      <c r="K50" s="16">
        <f t="shared" si="51"/>
        <v>13.196666666666667</v>
      </c>
      <c r="L50" s="15">
        <f t="shared" si="51"/>
        <v>994.5</v>
      </c>
      <c r="M50" s="14">
        <f t="shared" si="51"/>
        <v>640.30000000000007</v>
      </c>
      <c r="N50" s="13">
        <f t="shared" si="51"/>
        <v>10.213333333333335</v>
      </c>
      <c r="O50" s="89" t="s">
        <v>83</v>
      </c>
      <c r="P50" s="120"/>
      <c r="Q50" s="120"/>
      <c r="R50" s="120"/>
    </row>
    <row r="51" spans="1:18" outlineLevel="1" x14ac:dyDescent="0.2">
      <c r="A51" s="20">
        <f t="shared" si="47"/>
        <v>3661</v>
      </c>
      <c r="B51" s="19" t="str">
        <f t="shared" si="47"/>
        <v>UTEP</v>
      </c>
      <c r="C51" s="58">
        <f t="shared" si="48"/>
        <v>4364.3925475123906</v>
      </c>
      <c r="D51" s="15">
        <f t="shared" ref="D51:N51" si="52">D93*D159</f>
        <v>91.71</v>
      </c>
      <c r="E51" s="14">
        <f t="shared" si="52"/>
        <v>11.922299999999998</v>
      </c>
      <c r="F51" s="14">
        <f t="shared" si="52"/>
        <v>0.22870894536023342</v>
      </c>
      <c r="G51" s="13">
        <f t="shared" si="52"/>
        <v>1889.4230000000439</v>
      </c>
      <c r="H51" s="15">
        <f t="shared" si="52"/>
        <v>6.55</v>
      </c>
      <c r="I51" s="13">
        <f t="shared" si="52"/>
        <v>0.9</v>
      </c>
      <c r="J51" s="16">
        <f t="shared" si="52"/>
        <v>3.2552052336527666</v>
      </c>
      <c r="K51" s="16">
        <f t="shared" si="52"/>
        <v>24.643333333333334</v>
      </c>
      <c r="L51" s="15">
        <f t="shared" si="52"/>
        <v>1308.8</v>
      </c>
      <c r="M51" s="14">
        <f t="shared" si="52"/>
        <v>1007.4</v>
      </c>
      <c r="N51" s="13">
        <f t="shared" si="52"/>
        <v>19.559999999999999</v>
      </c>
      <c r="O51" s="89" t="s">
        <v>83</v>
      </c>
      <c r="P51" s="120"/>
      <c r="Q51" s="120"/>
      <c r="R51" s="120"/>
    </row>
    <row r="52" spans="1:18" outlineLevel="1" x14ac:dyDescent="0.2">
      <c r="A52" s="20">
        <f t="shared" si="47"/>
        <v>3599</v>
      </c>
      <c r="B52" s="19" t="str">
        <f t="shared" si="47"/>
        <v>UTPA</v>
      </c>
      <c r="C52" s="58">
        <f t="shared" si="48"/>
        <v>3834.0958079777356</v>
      </c>
      <c r="D52" s="15">
        <f t="shared" ref="D52:N52" si="53">D94*D160</f>
        <v>77.399999999999991</v>
      </c>
      <c r="E52" s="14">
        <f t="shared" si="53"/>
        <v>11.1198</v>
      </c>
      <c r="F52" s="14">
        <f t="shared" si="53"/>
        <v>0.20492490499497837</v>
      </c>
      <c r="G52" s="13">
        <f t="shared" si="53"/>
        <v>1540.2500000000339</v>
      </c>
      <c r="H52" s="15">
        <f t="shared" si="53"/>
        <v>5.203333333333334</v>
      </c>
      <c r="I52" s="13">
        <f t="shared" si="53"/>
        <v>0.28000000000000003</v>
      </c>
      <c r="J52" s="16">
        <f t="shared" si="53"/>
        <v>5.4610830727061952</v>
      </c>
      <c r="K52" s="16">
        <f t="shared" si="53"/>
        <v>23.383333333333336</v>
      </c>
      <c r="L52" s="15">
        <f t="shared" si="53"/>
        <v>1222.5999999999999</v>
      </c>
      <c r="M52" s="14">
        <f t="shared" si="53"/>
        <v>928.8</v>
      </c>
      <c r="N52" s="13">
        <f t="shared" si="53"/>
        <v>19.393333333333334</v>
      </c>
      <c r="O52" s="89" t="s">
        <v>84</v>
      </c>
      <c r="P52" s="120"/>
      <c r="Q52" s="120"/>
      <c r="R52" s="120"/>
    </row>
    <row r="53" spans="1:18" outlineLevel="1" x14ac:dyDescent="0.2">
      <c r="A53" s="20">
        <f t="shared" si="47"/>
        <v>30646</v>
      </c>
      <c r="B53" s="19" t="str">
        <f t="shared" si="47"/>
        <v>UTB</v>
      </c>
      <c r="C53" s="58">
        <f t="shared" si="48"/>
        <v>1398.0711454547013</v>
      </c>
      <c r="D53" s="15">
        <f t="shared" ref="D53:N53" si="54">D95*D161</f>
        <v>327.59999999999997</v>
      </c>
      <c r="E53" s="14">
        <f t="shared" si="54"/>
        <v>6.2817092451302008</v>
      </c>
      <c r="F53" s="14">
        <f t="shared" si="54"/>
        <v>0.34461236368736631</v>
      </c>
      <c r="G53" s="13">
        <f t="shared" si="54"/>
        <v>629.33800000000656</v>
      </c>
      <c r="H53" s="15">
        <f t="shared" si="54"/>
        <v>1.2433333333333334</v>
      </c>
      <c r="I53" s="13">
        <f t="shared" si="54"/>
        <v>0.18333333333333332</v>
      </c>
      <c r="J53" s="16">
        <f t="shared" si="54"/>
        <v>0.51015717921079307</v>
      </c>
      <c r="K53" s="16">
        <f t="shared" si="54"/>
        <v>28.099999999999998</v>
      </c>
      <c r="L53" s="15">
        <f t="shared" si="54"/>
        <v>397.9</v>
      </c>
      <c r="M53" s="14">
        <f t="shared" si="54"/>
        <v>5.5633333333333335</v>
      </c>
      <c r="N53" s="13">
        <f t="shared" si="54"/>
        <v>1.0066666666666668</v>
      </c>
      <c r="O53" s="89" t="s">
        <v>85</v>
      </c>
      <c r="P53" s="120"/>
      <c r="Q53" s="120"/>
      <c r="R53" s="120"/>
    </row>
    <row r="54" spans="1:18" outlineLevel="1" x14ac:dyDescent="0.2">
      <c r="A54" s="20">
        <f t="shared" si="47"/>
        <v>9930</v>
      </c>
      <c r="B54" s="19" t="str">
        <f t="shared" si="47"/>
        <v>UTPB</v>
      </c>
      <c r="C54" s="58">
        <f t="shared" si="48"/>
        <v>718.70932771858827</v>
      </c>
      <c r="D54" s="15">
        <f t="shared" ref="D54:N54" si="55">D96*D162</f>
        <v>160</v>
      </c>
      <c r="E54" s="14">
        <f t="shared" si="55"/>
        <v>2.3680000000000003</v>
      </c>
      <c r="F54" s="14">
        <f t="shared" si="55"/>
        <v>0.2312517464324601</v>
      </c>
      <c r="G54" s="13">
        <f t="shared" si="55"/>
        <v>300.45500000000112</v>
      </c>
      <c r="H54" s="15">
        <f t="shared" si="55"/>
        <v>0.41333333333333339</v>
      </c>
      <c r="I54" s="13">
        <f t="shared" si="55"/>
        <v>0.1</v>
      </c>
      <c r="J54" s="16">
        <f t="shared" si="55"/>
        <v>0.61174263882128266</v>
      </c>
      <c r="K54" s="16">
        <f t="shared" si="55"/>
        <v>11.969999999999999</v>
      </c>
      <c r="L54" s="15">
        <f t="shared" si="55"/>
        <v>235.7</v>
      </c>
      <c r="M54" s="14">
        <f t="shared" si="55"/>
        <v>4.916666666666667</v>
      </c>
      <c r="N54" s="13">
        <f t="shared" si="55"/>
        <v>1.9433333333333336</v>
      </c>
      <c r="O54" s="89" t="s">
        <v>85</v>
      </c>
      <c r="P54" s="120"/>
      <c r="Q54" s="120"/>
      <c r="R54" s="120"/>
    </row>
    <row r="55" spans="1:18" outlineLevel="1" x14ac:dyDescent="0.2">
      <c r="A55" s="20">
        <f t="shared" si="47"/>
        <v>10115</v>
      </c>
      <c r="B55" s="19" t="str">
        <f t="shared" si="47"/>
        <v>UTSA</v>
      </c>
      <c r="C55" s="58">
        <f t="shared" si="48"/>
        <v>6114.4933277591417</v>
      </c>
      <c r="D55" s="15">
        <f t="shared" ref="D55:N55" si="56">D97*D163</f>
        <v>123.59</v>
      </c>
      <c r="E55" s="14">
        <f t="shared" si="56"/>
        <v>17.371261111111114</v>
      </c>
      <c r="F55" s="14">
        <f t="shared" si="56"/>
        <v>0.20241034101368402</v>
      </c>
      <c r="G55" s="13">
        <f t="shared" si="56"/>
        <v>2524.2639999999669</v>
      </c>
      <c r="H55" s="15">
        <f t="shared" si="56"/>
        <v>3.92</v>
      </c>
      <c r="I55" s="13">
        <f t="shared" si="56"/>
        <v>0.49666666666666665</v>
      </c>
      <c r="J55" s="16">
        <f t="shared" si="56"/>
        <v>6.755656307050371</v>
      </c>
      <c r="K55" s="16">
        <f t="shared" si="56"/>
        <v>31.236666666666665</v>
      </c>
      <c r="L55" s="15">
        <f t="shared" si="56"/>
        <v>2042.9</v>
      </c>
      <c r="M55" s="14">
        <f t="shared" si="56"/>
        <v>1337.6000000000001</v>
      </c>
      <c r="N55" s="13">
        <f t="shared" si="56"/>
        <v>26.156666666666666</v>
      </c>
      <c r="O55" s="89" t="s">
        <v>83</v>
      </c>
      <c r="P55" s="120"/>
      <c r="Q55" s="120"/>
      <c r="R55" s="120"/>
    </row>
    <row r="56" spans="1:18" outlineLevel="1" x14ac:dyDescent="0.2">
      <c r="A56" s="20">
        <f t="shared" si="47"/>
        <v>11163</v>
      </c>
      <c r="B56" s="19" t="str">
        <f t="shared" si="47"/>
        <v>UTT</v>
      </c>
      <c r="C56" s="58">
        <f t="shared" si="48"/>
        <v>1549.5695675503741</v>
      </c>
      <c r="D56" s="15">
        <f t="shared" ref="D56:N56" si="57">D98*D164</f>
        <v>357</v>
      </c>
      <c r="E56" s="14">
        <f t="shared" si="57"/>
        <v>6.1364333333333345</v>
      </c>
      <c r="F56" s="14">
        <f t="shared" si="57"/>
        <v>0.29255740517151896</v>
      </c>
      <c r="G56" s="13">
        <f t="shared" si="57"/>
        <v>708.79800000000307</v>
      </c>
      <c r="H56" s="15">
        <f t="shared" si="57"/>
        <v>3.7666666666666671</v>
      </c>
      <c r="I56" s="13">
        <f t="shared" si="57"/>
        <v>0.14000000000000001</v>
      </c>
      <c r="J56" s="16">
        <f t="shared" si="57"/>
        <v>1.4925768118659071</v>
      </c>
      <c r="K56" s="16">
        <f t="shared" si="57"/>
        <v>28.27</v>
      </c>
      <c r="L56" s="15">
        <f t="shared" si="57"/>
        <v>430.9</v>
      </c>
      <c r="M56" s="14">
        <f t="shared" si="57"/>
        <v>8.9</v>
      </c>
      <c r="N56" s="13">
        <f t="shared" si="57"/>
        <v>3.8733333333333331</v>
      </c>
      <c r="O56" s="89" t="s">
        <v>85</v>
      </c>
      <c r="P56" s="120"/>
      <c r="Q56" s="120"/>
      <c r="R56" s="120"/>
    </row>
    <row r="57" spans="1:18" outlineLevel="1" x14ac:dyDescent="0.2">
      <c r="A57" s="20">
        <f t="shared" si="47"/>
        <v>3632</v>
      </c>
      <c r="B57" s="19" t="str">
        <f t="shared" si="47"/>
        <v>TAMU</v>
      </c>
      <c r="C57" s="58">
        <f t="shared" si="48"/>
        <v>12228.662247404884</v>
      </c>
      <c r="D57" s="15">
        <f t="shared" ref="D57:N57" si="58">D99*D165</f>
        <v>262.19</v>
      </c>
      <c r="E57" s="14">
        <f t="shared" si="58"/>
        <v>73.471464444444436</v>
      </c>
      <c r="F57" s="14">
        <f t="shared" si="58"/>
        <v>0.25241886570842681</v>
      </c>
      <c r="G57" s="13">
        <f t="shared" si="58"/>
        <v>6031.4450000000397</v>
      </c>
      <c r="H57" s="15">
        <f t="shared" si="58"/>
        <v>17.63</v>
      </c>
      <c r="I57" s="13">
        <f t="shared" si="58"/>
        <v>1.26</v>
      </c>
      <c r="J57" s="16">
        <f t="shared" si="58"/>
        <v>45.796697428021353</v>
      </c>
      <c r="K57" s="16">
        <f t="shared" si="58"/>
        <v>37.24</v>
      </c>
      <c r="L57" s="15">
        <f t="shared" si="58"/>
        <v>3018.2</v>
      </c>
      <c r="M57" s="14">
        <f t="shared" si="58"/>
        <v>2672.2000000000003</v>
      </c>
      <c r="N57" s="13">
        <f t="shared" si="58"/>
        <v>68.976666666666674</v>
      </c>
      <c r="O57" s="89" t="s">
        <v>82</v>
      </c>
      <c r="P57" s="120"/>
      <c r="Q57" s="120"/>
      <c r="R57" s="120"/>
    </row>
    <row r="58" spans="1:18" outlineLevel="1" x14ac:dyDescent="0.2">
      <c r="A58" s="20">
        <f t="shared" si="47"/>
        <v>10298</v>
      </c>
      <c r="B58" s="19" t="str">
        <f t="shared" si="47"/>
        <v>TAMUG</v>
      </c>
      <c r="C58" s="58">
        <f t="shared" si="48"/>
        <v>728.53947700617971</v>
      </c>
      <c r="D58" s="15">
        <f t="shared" ref="D58:N58" si="59">D100*D166</f>
        <v>123.89999999999998</v>
      </c>
      <c r="E58" s="14">
        <f t="shared" si="59"/>
        <v>2.5908866666666666</v>
      </c>
      <c r="F58" s="14">
        <f t="shared" si="59"/>
        <v>0.24598951715374839</v>
      </c>
      <c r="G58" s="13">
        <f t="shared" si="59"/>
        <v>316.81199999999899</v>
      </c>
      <c r="H58" s="15">
        <f t="shared" si="59"/>
        <v>0.56000000000000005</v>
      </c>
      <c r="I58" s="13">
        <f t="shared" si="59"/>
        <v>0</v>
      </c>
      <c r="J58" s="16">
        <f t="shared" si="59"/>
        <v>2.3106008223602608</v>
      </c>
      <c r="K58" s="16">
        <f t="shared" si="59"/>
        <v>7.1099999999999994</v>
      </c>
      <c r="L58" s="15">
        <f t="shared" si="59"/>
        <v>266.55</v>
      </c>
      <c r="M58" s="14">
        <f t="shared" si="59"/>
        <v>4.7699999999999996</v>
      </c>
      <c r="N58" s="13">
        <f t="shared" si="59"/>
        <v>3.69</v>
      </c>
      <c r="O58" s="89" t="s">
        <v>85</v>
      </c>
      <c r="P58" s="120"/>
      <c r="Q58" s="120"/>
      <c r="R58" s="120"/>
    </row>
    <row r="59" spans="1:18" outlineLevel="1" x14ac:dyDescent="0.2">
      <c r="A59" s="20">
        <f t="shared" si="47"/>
        <v>3630</v>
      </c>
      <c r="B59" s="19" t="str">
        <f t="shared" si="47"/>
        <v>Prairie View</v>
      </c>
      <c r="C59" s="58">
        <f t="shared" si="48"/>
        <v>1530.715264081741</v>
      </c>
      <c r="D59" s="15">
        <f t="shared" ref="D59:N59" si="60">D101*D167</f>
        <v>28.09</v>
      </c>
      <c r="E59" s="14">
        <f t="shared" si="60"/>
        <v>3.4800388888888887</v>
      </c>
      <c r="F59" s="14">
        <f t="shared" si="60"/>
        <v>0.15823688025296873</v>
      </c>
      <c r="G59" s="13">
        <f t="shared" si="60"/>
        <v>621.87000000000273</v>
      </c>
      <c r="H59" s="15">
        <f t="shared" si="60"/>
        <v>3.1566666666666667</v>
      </c>
      <c r="I59" s="13">
        <f t="shared" si="60"/>
        <v>9.6666666666666665E-2</v>
      </c>
      <c r="J59" s="16">
        <f t="shared" si="60"/>
        <v>2.0836549792633496</v>
      </c>
      <c r="K59" s="16">
        <f t="shared" si="60"/>
        <v>8.0266666666666673</v>
      </c>
      <c r="L59" s="15">
        <f t="shared" si="60"/>
        <v>500.4</v>
      </c>
      <c r="M59" s="14">
        <f t="shared" si="60"/>
        <v>354.3</v>
      </c>
      <c r="N59" s="13">
        <f t="shared" si="60"/>
        <v>9.0533333333333346</v>
      </c>
      <c r="O59" s="89" t="s">
        <v>86</v>
      </c>
      <c r="P59" s="120"/>
      <c r="Q59" s="120"/>
      <c r="R59" s="120"/>
    </row>
    <row r="60" spans="1:18" outlineLevel="1" x14ac:dyDescent="0.2">
      <c r="A60" s="20">
        <f t="shared" si="47"/>
        <v>3631</v>
      </c>
      <c r="B60" s="19" t="str">
        <f t="shared" si="47"/>
        <v>Tarleton</v>
      </c>
      <c r="C60" s="58">
        <f t="shared" si="48"/>
        <v>2061.7173881749595</v>
      </c>
      <c r="D60" s="15">
        <f t="shared" ref="D60:N60" si="61">D102*D168</f>
        <v>46.36</v>
      </c>
      <c r="E60" s="14">
        <f t="shared" si="61"/>
        <v>7.3866933333333336</v>
      </c>
      <c r="F60" s="14">
        <f t="shared" si="61"/>
        <v>0.24559767752325659</v>
      </c>
      <c r="G60" s="13">
        <f t="shared" si="61"/>
        <v>936.76300000000788</v>
      </c>
      <c r="H60" s="15">
        <f t="shared" si="61"/>
        <v>2.0300000000000002</v>
      </c>
      <c r="I60" s="13">
        <f t="shared" si="61"/>
        <v>0.47666666666666663</v>
      </c>
      <c r="J60" s="16">
        <f t="shared" si="61"/>
        <v>2.978763830762007</v>
      </c>
      <c r="K60" s="16">
        <f t="shared" si="61"/>
        <v>11.950000000000001</v>
      </c>
      <c r="L60" s="15">
        <f t="shared" si="61"/>
        <v>646.30000000000007</v>
      </c>
      <c r="M60" s="14">
        <f t="shared" si="61"/>
        <v>398.6</v>
      </c>
      <c r="N60" s="13">
        <f t="shared" si="61"/>
        <v>8.6266666666666669</v>
      </c>
      <c r="O60" s="89" t="s">
        <v>86</v>
      </c>
      <c r="P60" s="120"/>
      <c r="Q60" s="120"/>
      <c r="R60" s="120"/>
    </row>
    <row r="61" spans="1:18" outlineLevel="1" x14ac:dyDescent="0.2">
      <c r="A61" s="27">
        <f t="shared" si="47"/>
        <v>103631</v>
      </c>
      <c r="B61" s="19" t="str">
        <f t="shared" si="47"/>
        <v>TAMUCT</v>
      </c>
      <c r="C61" s="58">
        <f t="shared" si="48"/>
        <v>557.44793849521989</v>
      </c>
      <c r="D61" s="15">
        <f t="shared" ref="D61:N61" si="62">D103*D169</f>
        <v>138.1</v>
      </c>
      <c r="E61" s="14">
        <f t="shared" si="62"/>
        <v>2.2003933333333334</v>
      </c>
      <c r="F61" s="14">
        <f t="shared" si="62"/>
        <v>0.67587849522007248</v>
      </c>
      <c r="G61" s="13">
        <f t="shared" si="62"/>
        <v>256.08499999999975</v>
      </c>
      <c r="H61" s="15">
        <f t="shared" si="62"/>
        <v>0.40666666666666668</v>
      </c>
      <c r="I61" s="13">
        <f t="shared" si="62"/>
        <v>0</v>
      </c>
      <c r="J61" s="16">
        <f t="shared" si="62"/>
        <v>0</v>
      </c>
      <c r="K61" s="16">
        <f t="shared" si="62"/>
        <v>9.81</v>
      </c>
      <c r="L61" s="15">
        <f t="shared" si="62"/>
        <v>148.5</v>
      </c>
      <c r="M61" s="14">
        <f t="shared" si="62"/>
        <v>1.33</v>
      </c>
      <c r="N61" s="13">
        <f t="shared" si="62"/>
        <v>0.34</v>
      </c>
      <c r="O61" s="89" t="s">
        <v>85</v>
      </c>
      <c r="P61" s="120"/>
      <c r="Q61" s="120"/>
      <c r="R61" s="120"/>
    </row>
    <row r="62" spans="1:18" outlineLevel="1" x14ac:dyDescent="0.2">
      <c r="A62" s="20">
        <f t="shared" si="47"/>
        <v>11161</v>
      </c>
      <c r="B62" s="19" t="str">
        <f t="shared" si="47"/>
        <v>TAMUCC</v>
      </c>
      <c r="C62" s="58">
        <f t="shared" si="48"/>
        <v>1972.4386176690182</v>
      </c>
      <c r="D62" s="15">
        <f t="shared" ref="D62:N62" si="63">D104*D170</f>
        <v>41.65</v>
      </c>
      <c r="E62" s="14">
        <f t="shared" si="63"/>
        <v>7.0527333333333333</v>
      </c>
      <c r="F62" s="14">
        <f t="shared" si="63"/>
        <v>0.21376514062820776</v>
      </c>
      <c r="G62" s="13">
        <f t="shared" si="63"/>
        <v>841.2600000000042</v>
      </c>
      <c r="H62" s="15">
        <f t="shared" si="63"/>
        <v>2.6633333333333331</v>
      </c>
      <c r="I62" s="13">
        <f t="shared" si="63"/>
        <v>0.25666666666666671</v>
      </c>
      <c r="J62" s="16">
        <f t="shared" si="63"/>
        <v>3.1587858617191387</v>
      </c>
      <c r="K62" s="16">
        <f t="shared" si="63"/>
        <v>10.8</v>
      </c>
      <c r="L62" s="15">
        <f t="shared" si="63"/>
        <v>616.19999999999993</v>
      </c>
      <c r="M62" s="14">
        <f t="shared" si="63"/>
        <v>440.4</v>
      </c>
      <c r="N62" s="13">
        <f t="shared" si="63"/>
        <v>8.7833333333333332</v>
      </c>
      <c r="O62" s="89" t="s">
        <v>84</v>
      </c>
      <c r="P62" s="120"/>
      <c r="Q62" s="120"/>
      <c r="R62" s="120"/>
    </row>
    <row r="63" spans="1:18" outlineLevel="1" x14ac:dyDescent="0.2">
      <c r="A63" s="20">
        <f t="shared" si="47"/>
        <v>3639</v>
      </c>
      <c r="B63" s="19" t="str">
        <f t="shared" si="47"/>
        <v>TAMUK</v>
      </c>
      <c r="C63" s="58">
        <f t="shared" si="48"/>
        <v>1197.411519375843</v>
      </c>
      <c r="D63" s="15">
        <f t="shared" ref="D63:N63" si="64">D105*D171</f>
        <v>22.849999999999998</v>
      </c>
      <c r="E63" s="14">
        <f t="shared" si="64"/>
        <v>3.0644388888888892</v>
      </c>
      <c r="F63" s="14">
        <f t="shared" si="64"/>
        <v>0.17879499217527386</v>
      </c>
      <c r="G63" s="13">
        <f t="shared" si="64"/>
        <v>529.03600000000188</v>
      </c>
      <c r="H63" s="15">
        <f t="shared" si="64"/>
        <v>2.6</v>
      </c>
      <c r="I63" s="13">
        <f t="shared" si="64"/>
        <v>0.16666666666666669</v>
      </c>
      <c r="J63" s="16">
        <f t="shared" si="64"/>
        <v>1.3456188281105248</v>
      </c>
      <c r="K63" s="16">
        <f t="shared" si="64"/>
        <v>6.4833333333333343</v>
      </c>
      <c r="L63" s="15">
        <f t="shared" si="64"/>
        <v>368.2</v>
      </c>
      <c r="M63" s="14">
        <f t="shared" si="64"/>
        <v>257.89999999999998</v>
      </c>
      <c r="N63" s="13">
        <f t="shared" si="64"/>
        <v>5.586666666666666</v>
      </c>
      <c r="O63" s="89" t="s">
        <v>84</v>
      </c>
      <c r="P63" s="120"/>
      <c r="Q63" s="120"/>
      <c r="R63" s="120"/>
    </row>
    <row r="64" spans="1:18" outlineLevel="1" x14ac:dyDescent="0.2">
      <c r="A64" s="27">
        <f t="shared" ref="A64:B79" si="65">A21</f>
        <v>103639</v>
      </c>
      <c r="B64" s="19" t="str">
        <f t="shared" si="65"/>
        <v>TAMUSA</v>
      </c>
      <c r="C64" s="58">
        <f t="shared" si="48"/>
        <v>721.36436391374377</v>
      </c>
      <c r="D64" s="15">
        <f t="shared" ref="D64:N64" si="66">D106*D172</f>
        <v>176.29999999999998</v>
      </c>
      <c r="E64" s="14">
        <f t="shared" si="66"/>
        <v>2.364378888888889</v>
      </c>
      <c r="F64" s="14">
        <f t="shared" si="66"/>
        <v>0.41598502485370925</v>
      </c>
      <c r="G64" s="13">
        <f t="shared" si="66"/>
        <v>307.80400000000134</v>
      </c>
      <c r="H64" s="15">
        <f t="shared" si="66"/>
        <v>0.05</v>
      </c>
      <c r="I64" s="13">
        <f t="shared" si="66"/>
        <v>0.02</v>
      </c>
      <c r="J64" s="16">
        <f t="shared" si="66"/>
        <v>0</v>
      </c>
      <c r="K64" s="16">
        <f t="shared" si="66"/>
        <v>14.709999999999999</v>
      </c>
      <c r="L64" s="15">
        <f t="shared" si="66"/>
        <v>218.89999999999998</v>
      </c>
      <c r="M64" s="14">
        <f t="shared" si="66"/>
        <v>0.77333333333333332</v>
      </c>
      <c r="N64" s="13">
        <f t="shared" si="66"/>
        <v>2.6666666666666665E-2</v>
      </c>
      <c r="O64" s="89" t="s">
        <v>85</v>
      </c>
      <c r="P64" s="120"/>
      <c r="Q64" s="120"/>
      <c r="R64" s="120"/>
    </row>
    <row r="65" spans="1:18" outlineLevel="1" x14ac:dyDescent="0.2">
      <c r="A65" s="20">
        <f t="shared" si="65"/>
        <v>9651</v>
      </c>
      <c r="B65" s="19" t="str">
        <f t="shared" si="65"/>
        <v>TAMI</v>
      </c>
      <c r="C65" s="58">
        <f t="shared" si="48"/>
        <v>1206.225227581331</v>
      </c>
      <c r="D65" s="15">
        <f t="shared" ref="D65:N65" si="67">D107*D173</f>
        <v>23.689999999999998</v>
      </c>
      <c r="E65" s="14">
        <f t="shared" si="67"/>
        <v>3.7377555555555553</v>
      </c>
      <c r="F65" s="14">
        <f t="shared" si="67"/>
        <v>0.1932615434818078</v>
      </c>
      <c r="G65" s="13">
        <f t="shared" si="67"/>
        <v>437.54900000000151</v>
      </c>
      <c r="H65" s="15">
        <f t="shared" si="67"/>
        <v>1.1566666666666667</v>
      </c>
      <c r="I65" s="13">
        <f t="shared" si="67"/>
        <v>0.22333333333333333</v>
      </c>
      <c r="J65" s="16">
        <f t="shared" si="67"/>
        <v>1.1118771489586079</v>
      </c>
      <c r="K65" s="16">
        <f t="shared" si="67"/>
        <v>7.126666666666666</v>
      </c>
      <c r="L65" s="15">
        <f t="shared" si="67"/>
        <v>422</v>
      </c>
      <c r="M65" s="14">
        <f t="shared" si="67"/>
        <v>304.7</v>
      </c>
      <c r="N65" s="13">
        <f t="shared" si="67"/>
        <v>4.7366666666666672</v>
      </c>
      <c r="O65" s="89" t="s">
        <v>86</v>
      </c>
      <c r="P65" s="120"/>
      <c r="Q65" s="120"/>
      <c r="R65" s="120"/>
    </row>
    <row r="66" spans="1:18" outlineLevel="1" x14ac:dyDescent="0.2">
      <c r="A66" s="20">
        <f t="shared" si="65"/>
        <v>3665</v>
      </c>
      <c r="B66" s="19" t="str">
        <f t="shared" si="65"/>
        <v>WTAMU</v>
      </c>
      <c r="C66" s="58">
        <f t="shared" si="48"/>
        <v>1716.2034388698369</v>
      </c>
      <c r="D66" s="15">
        <f t="shared" ref="D66:N66" si="68">D108*D174</f>
        <v>37.67</v>
      </c>
      <c r="E66" s="14">
        <f t="shared" si="68"/>
        <v>5.9100044444444437</v>
      </c>
      <c r="F66" s="14">
        <f t="shared" si="68"/>
        <v>0.23187721854032869</v>
      </c>
      <c r="G66" s="13">
        <f t="shared" si="68"/>
        <v>751.07300000000509</v>
      </c>
      <c r="H66" s="15">
        <f t="shared" si="68"/>
        <v>1.9166666666666665</v>
      </c>
      <c r="I66" s="13">
        <f t="shared" si="68"/>
        <v>0.60666666666666669</v>
      </c>
      <c r="J66" s="16">
        <f t="shared" si="68"/>
        <v>1.9885572068471604</v>
      </c>
      <c r="K66" s="16">
        <f t="shared" si="68"/>
        <v>8.8933333333333344</v>
      </c>
      <c r="L66" s="15">
        <f t="shared" si="68"/>
        <v>537.5</v>
      </c>
      <c r="M66" s="14">
        <f t="shared" si="68"/>
        <v>363.8</v>
      </c>
      <c r="N66" s="13">
        <f t="shared" si="68"/>
        <v>6.6133333333333342</v>
      </c>
      <c r="O66" s="89" t="s">
        <v>86</v>
      </c>
      <c r="P66" s="120"/>
      <c r="Q66" s="120"/>
      <c r="R66" s="120"/>
    </row>
    <row r="67" spans="1:18" outlineLevel="1" x14ac:dyDescent="0.2">
      <c r="A67" s="20">
        <f t="shared" si="65"/>
        <v>3565</v>
      </c>
      <c r="B67" s="19" t="str">
        <f t="shared" si="65"/>
        <v>TAMUC</v>
      </c>
      <c r="C67" s="58">
        <f t="shared" si="48"/>
        <v>1722.6652690821875</v>
      </c>
      <c r="D67" s="15">
        <f t="shared" ref="D67:N67" si="69">D109*D175</f>
        <v>39.729999999999997</v>
      </c>
      <c r="E67" s="14">
        <f t="shared" si="69"/>
        <v>5.8270666666666662</v>
      </c>
      <c r="F67" s="14">
        <f t="shared" si="69"/>
        <v>0.28195435362691851</v>
      </c>
      <c r="G67" s="13">
        <f t="shared" si="69"/>
        <v>750.54800000000739</v>
      </c>
      <c r="H67" s="15">
        <f t="shared" si="69"/>
        <v>0.73</v>
      </c>
      <c r="I67" s="13">
        <f t="shared" si="69"/>
        <v>0.74333333333333329</v>
      </c>
      <c r="J67" s="16">
        <f t="shared" si="69"/>
        <v>0.98824806188651115</v>
      </c>
      <c r="K67" s="16">
        <f t="shared" si="69"/>
        <v>10.193333333333333</v>
      </c>
      <c r="L67" s="15">
        <f t="shared" si="69"/>
        <v>567.9</v>
      </c>
      <c r="M67" s="14">
        <f t="shared" si="69"/>
        <v>341.2</v>
      </c>
      <c r="N67" s="13">
        <f t="shared" si="69"/>
        <v>4.5233333333333334</v>
      </c>
      <c r="O67" s="89" t="s">
        <v>84</v>
      </c>
      <c r="P67" s="120"/>
      <c r="Q67" s="120"/>
      <c r="R67" s="120"/>
    </row>
    <row r="68" spans="1:18" outlineLevel="1" x14ac:dyDescent="0.2">
      <c r="A68" s="20">
        <f t="shared" si="65"/>
        <v>29269</v>
      </c>
      <c r="B68" s="19" t="str">
        <f t="shared" si="65"/>
        <v>TAMUT</v>
      </c>
      <c r="C68" s="58">
        <f t="shared" si="48"/>
        <v>431.66011454580365</v>
      </c>
      <c r="D68" s="15">
        <f t="shared" ref="D68:N68" si="70">D110*D176</f>
        <v>103.7</v>
      </c>
      <c r="E68" s="14">
        <f t="shared" si="70"/>
        <v>1.8736026254683751</v>
      </c>
      <c r="F68" s="14">
        <f t="shared" si="70"/>
        <v>0.3876635514018692</v>
      </c>
      <c r="G68" s="13">
        <f t="shared" si="70"/>
        <v>185.97299999999947</v>
      </c>
      <c r="H68" s="15">
        <f t="shared" si="70"/>
        <v>0.41666666666666663</v>
      </c>
      <c r="I68" s="13">
        <f t="shared" si="70"/>
        <v>0.19333333333333333</v>
      </c>
      <c r="J68" s="16">
        <f t="shared" si="70"/>
        <v>0.32918170226721116</v>
      </c>
      <c r="K68" s="16">
        <f t="shared" si="70"/>
        <v>7.17</v>
      </c>
      <c r="L68" s="15">
        <f t="shared" si="70"/>
        <v>129.80000000000001</v>
      </c>
      <c r="M68" s="14">
        <f t="shared" si="70"/>
        <v>1.81</v>
      </c>
      <c r="N68" s="13">
        <f t="shared" si="70"/>
        <v>6.6666666666666662E-3</v>
      </c>
      <c r="O68" s="89" t="s">
        <v>85</v>
      </c>
      <c r="P68" s="120"/>
      <c r="Q68" s="120"/>
      <c r="R68" s="120"/>
    </row>
    <row r="69" spans="1:18" outlineLevel="1" x14ac:dyDescent="0.2">
      <c r="A69" s="20">
        <f t="shared" si="65"/>
        <v>3652</v>
      </c>
      <c r="B69" s="19" t="str">
        <f t="shared" si="65"/>
        <v>UH</v>
      </c>
      <c r="C69" s="58">
        <f t="shared" si="48"/>
        <v>7425.4711799950201</v>
      </c>
      <c r="D69" s="15">
        <f t="shared" ref="D69:N69" si="71">D111*D177</f>
        <v>152.96</v>
      </c>
      <c r="E69" s="14">
        <f t="shared" si="71"/>
        <v>27.345848888888892</v>
      </c>
      <c r="F69" s="14">
        <f t="shared" si="71"/>
        <v>0.21425049678026625</v>
      </c>
      <c r="G69" s="13">
        <f t="shared" si="71"/>
        <v>3174.0739999997832</v>
      </c>
      <c r="H69" s="15">
        <f t="shared" si="71"/>
        <v>7.37</v>
      </c>
      <c r="I69" s="13">
        <f t="shared" si="71"/>
        <v>0.62666666666666671</v>
      </c>
      <c r="J69" s="16">
        <f t="shared" si="71"/>
        <v>8.2770806095682072</v>
      </c>
      <c r="K69" s="16">
        <f t="shared" si="71"/>
        <v>33.730000000000004</v>
      </c>
      <c r="L69" s="15">
        <f t="shared" si="71"/>
        <v>2280.6999999999998</v>
      </c>
      <c r="M69" s="14">
        <f t="shared" si="71"/>
        <v>1707.1</v>
      </c>
      <c r="N69" s="13">
        <f t="shared" si="71"/>
        <v>33.073333333333338</v>
      </c>
      <c r="O69" s="89" t="s">
        <v>83</v>
      </c>
      <c r="P69" s="120"/>
      <c r="Q69" s="120"/>
      <c r="R69" s="120"/>
    </row>
    <row r="70" spans="1:18" outlineLevel="1" x14ac:dyDescent="0.2">
      <c r="A70" s="20">
        <f t="shared" si="65"/>
        <v>11711</v>
      </c>
      <c r="B70" s="19" t="str">
        <f t="shared" si="65"/>
        <v>UHCL</v>
      </c>
      <c r="C70" s="58">
        <f t="shared" si="48"/>
        <v>1501.8842533696188</v>
      </c>
      <c r="D70" s="15">
        <f t="shared" ref="D70:N70" si="72">D112*D178</f>
        <v>357.2</v>
      </c>
      <c r="E70" s="14">
        <f t="shared" si="72"/>
        <v>6.1934267935898832</v>
      </c>
      <c r="F70" s="14">
        <f t="shared" si="72"/>
        <v>0.39693593314763237</v>
      </c>
      <c r="G70" s="13">
        <f t="shared" si="72"/>
        <v>684.88600000000588</v>
      </c>
      <c r="H70" s="15">
        <f t="shared" si="72"/>
        <v>1.0666666666666667</v>
      </c>
      <c r="I70" s="13">
        <f t="shared" si="72"/>
        <v>8.3333333333333343E-2</v>
      </c>
      <c r="J70" s="16">
        <f t="shared" si="72"/>
        <v>1.3212239762091182</v>
      </c>
      <c r="K70" s="16">
        <f t="shared" si="72"/>
        <v>23.23</v>
      </c>
      <c r="L70" s="15">
        <f t="shared" si="72"/>
        <v>417.4</v>
      </c>
      <c r="M70" s="14">
        <f t="shared" si="72"/>
        <v>9.5366666666666671</v>
      </c>
      <c r="N70" s="13">
        <f t="shared" si="72"/>
        <v>0.57000000000000006</v>
      </c>
      <c r="O70" s="89" t="s">
        <v>85</v>
      </c>
      <c r="P70" s="120"/>
      <c r="Q70" s="120"/>
      <c r="R70" s="120"/>
    </row>
    <row r="71" spans="1:18" outlineLevel="1" x14ac:dyDescent="0.2">
      <c r="A71" s="20">
        <f t="shared" si="65"/>
        <v>12826</v>
      </c>
      <c r="B71" s="19" t="str">
        <f t="shared" si="65"/>
        <v>UHD</v>
      </c>
      <c r="C71" s="58">
        <f t="shared" si="48"/>
        <v>3009.1998671529363</v>
      </c>
      <c r="D71" s="15">
        <f t="shared" ref="D71:N71" si="73">D113*D179</f>
        <v>714.7</v>
      </c>
      <c r="E71" s="14">
        <f t="shared" si="73"/>
        <v>4.5264333333333342</v>
      </c>
      <c r="F71" s="14">
        <f t="shared" si="73"/>
        <v>0.29833031863086135</v>
      </c>
      <c r="G71" s="13">
        <f t="shared" si="73"/>
        <v>1281.3950000000164</v>
      </c>
      <c r="H71" s="15">
        <f t="shared" si="73"/>
        <v>1.2966666666666666</v>
      </c>
      <c r="I71" s="13">
        <f t="shared" si="73"/>
        <v>1.6666666666666666E-2</v>
      </c>
      <c r="J71" s="16">
        <f t="shared" si="73"/>
        <v>0.20677016762256617</v>
      </c>
      <c r="K71" s="16">
        <f t="shared" si="73"/>
        <v>50.43</v>
      </c>
      <c r="L71" s="15">
        <f t="shared" si="73"/>
        <v>931.6</v>
      </c>
      <c r="M71" s="14">
        <f t="shared" si="73"/>
        <v>18.683333333333334</v>
      </c>
      <c r="N71" s="13">
        <f t="shared" si="73"/>
        <v>6.0466666666666669</v>
      </c>
      <c r="O71" s="89" t="s">
        <v>85</v>
      </c>
      <c r="P71" s="120"/>
      <c r="Q71" s="120"/>
      <c r="R71" s="120"/>
    </row>
    <row r="72" spans="1:18" outlineLevel="1" x14ac:dyDescent="0.2">
      <c r="A72" s="20">
        <f t="shared" si="65"/>
        <v>13231</v>
      </c>
      <c r="B72" s="19" t="str">
        <f t="shared" si="65"/>
        <v>UHV</v>
      </c>
      <c r="C72" s="58">
        <f t="shared" si="48"/>
        <v>732.6169552470991</v>
      </c>
      <c r="D72" s="15">
        <f t="shared" ref="D72:N72" si="74">D114*D180</f>
        <v>172.99999999999997</v>
      </c>
      <c r="E72" s="14">
        <f t="shared" si="74"/>
        <v>3.0019546283886069</v>
      </c>
      <c r="F72" s="14">
        <f t="shared" si="74"/>
        <v>0.4008464889245883</v>
      </c>
      <c r="G72" s="13">
        <f t="shared" si="74"/>
        <v>325.34400000000034</v>
      </c>
      <c r="H72" s="15">
        <f t="shared" si="74"/>
        <v>1.08</v>
      </c>
      <c r="I72" s="13">
        <f t="shared" si="74"/>
        <v>7.3333333333333334E-2</v>
      </c>
      <c r="J72" s="16">
        <f t="shared" si="74"/>
        <v>0.36682079645226767</v>
      </c>
      <c r="K72" s="16">
        <f t="shared" si="74"/>
        <v>11.52</v>
      </c>
      <c r="L72" s="15">
        <f t="shared" si="74"/>
        <v>214.79999999999998</v>
      </c>
      <c r="M72" s="14">
        <f t="shared" si="74"/>
        <v>2.9633333333333334</v>
      </c>
      <c r="N72" s="13">
        <f t="shared" si="74"/>
        <v>6.6666666666666666E-2</v>
      </c>
      <c r="O72" s="89" t="s">
        <v>85</v>
      </c>
      <c r="P72" s="120"/>
      <c r="Q72" s="120"/>
      <c r="R72" s="120"/>
    </row>
    <row r="73" spans="1:18" outlineLevel="1" x14ac:dyDescent="0.2">
      <c r="A73" s="20">
        <f t="shared" si="65"/>
        <v>3592</v>
      </c>
      <c r="B73" s="19" t="str">
        <f t="shared" si="65"/>
        <v>Midwestern</v>
      </c>
      <c r="C73" s="58">
        <f t="shared" si="48"/>
        <v>1377.2308445615704</v>
      </c>
      <c r="D73" s="15">
        <f t="shared" ref="D73:N73" si="75">D115*D181</f>
        <v>309.5</v>
      </c>
      <c r="E73" s="14">
        <f t="shared" si="75"/>
        <v>4.5324555555555559</v>
      </c>
      <c r="F73" s="14">
        <f t="shared" si="75"/>
        <v>0.24122522148034603</v>
      </c>
      <c r="G73" s="13">
        <f t="shared" si="75"/>
        <v>588.60000000000105</v>
      </c>
      <c r="H73" s="15">
        <f t="shared" si="75"/>
        <v>3.333333333333333</v>
      </c>
      <c r="I73" s="13">
        <f t="shared" si="75"/>
        <v>0.15</v>
      </c>
      <c r="J73" s="16">
        <f t="shared" si="75"/>
        <v>1.5071637845334716</v>
      </c>
      <c r="K73" s="16">
        <f t="shared" si="75"/>
        <v>20.71</v>
      </c>
      <c r="L73" s="15">
        <f t="shared" si="75"/>
        <v>431.4</v>
      </c>
      <c r="M73" s="14">
        <f t="shared" si="75"/>
        <v>10.46</v>
      </c>
      <c r="N73" s="13">
        <f t="shared" si="75"/>
        <v>6.7966666666666669</v>
      </c>
      <c r="O73" s="89" t="s">
        <v>85</v>
      </c>
      <c r="P73" s="120"/>
      <c r="Q73" s="120"/>
      <c r="R73" s="120"/>
    </row>
    <row r="74" spans="1:18" outlineLevel="1" x14ac:dyDescent="0.2">
      <c r="A74" s="20">
        <f t="shared" si="65"/>
        <v>3594</v>
      </c>
      <c r="B74" s="19" t="str">
        <f t="shared" si="65"/>
        <v>UNT</v>
      </c>
      <c r="C74" s="58">
        <f t="shared" si="48"/>
        <v>7777.4601413577839</v>
      </c>
      <c r="D74" s="15">
        <f t="shared" ref="D74:N74" si="76">D116*D182</f>
        <v>180.5</v>
      </c>
      <c r="E74" s="14">
        <f t="shared" si="76"/>
        <v>34.676055555555557</v>
      </c>
      <c r="F74" s="14">
        <f t="shared" si="76"/>
        <v>0.25886944566084125</v>
      </c>
      <c r="G74" s="13">
        <f t="shared" si="76"/>
        <v>3423.4659999997589</v>
      </c>
      <c r="H74" s="15">
        <f t="shared" si="76"/>
        <v>3.3666666666666671</v>
      </c>
      <c r="I74" s="13">
        <f t="shared" si="76"/>
        <v>0.43333333333333335</v>
      </c>
      <c r="J74" s="16">
        <f t="shared" si="76"/>
        <v>11.089216356808659</v>
      </c>
      <c r="K74" s="16">
        <f t="shared" si="76"/>
        <v>38.200000000000003</v>
      </c>
      <c r="L74" s="15">
        <f t="shared" si="76"/>
        <v>2359.4</v>
      </c>
      <c r="M74" s="14">
        <f t="shared" si="76"/>
        <v>1692.6999999999998</v>
      </c>
      <c r="N74" s="13">
        <f t="shared" si="76"/>
        <v>33.369999999999997</v>
      </c>
      <c r="O74" s="89" t="s">
        <v>83</v>
      </c>
      <c r="P74" s="120"/>
      <c r="Q74" s="120"/>
      <c r="R74" s="120"/>
    </row>
    <row r="75" spans="1:18" outlineLevel="1" x14ac:dyDescent="0.2">
      <c r="A75" s="27">
        <f t="shared" si="65"/>
        <v>113594</v>
      </c>
      <c r="B75" s="19" t="str">
        <f t="shared" si="65"/>
        <v>UNTD</v>
      </c>
      <c r="C75" s="58">
        <f t="shared" si="48"/>
        <v>489.16468516065305</v>
      </c>
      <c r="D75" s="15">
        <f t="shared" ref="D75:N75" si="77">D117*D183</f>
        <v>121.05</v>
      </c>
      <c r="E75" s="14">
        <f t="shared" si="77"/>
        <v>2.3302125</v>
      </c>
      <c r="F75" s="14">
        <f t="shared" si="77"/>
        <v>0.4264726606538895</v>
      </c>
      <c r="G75" s="13">
        <f t="shared" si="77"/>
        <v>211.75799999999916</v>
      </c>
      <c r="H75" s="15">
        <f t="shared" si="77"/>
        <v>0.12</v>
      </c>
      <c r="I75" s="13">
        <f t="shared" si="77"/>
        <v>0</v>
      </c>
      <c r="J75" s="16">
        <f t="shared" si="77"/>
        <v>0</v>
      </c>
      <c r="K75" s="16">
        <f t="shared" si="77"/>
        <v>9.254999999999999</v>
      </c>
      <c r="L75" s="15">
        <f t="shared" si="77"/>
        <v>143.4</v>
      </c>
      <c r="M75" s="14">
        <f t="shared" si="77"/>
        <v>0.71499999999999997</v>
      </c>
      <c r="N75" s="13">
        <f t="shared" si="77"/>
        <v>0.11</v>
      </c>
      <c r="O75" s="89" t="s">
        <v>85</v>
      </c>
      <c r="P75" s="120"/>
      <c r="Q75" s="120"/>
      <c r="R75" s="120"/>
    </row>
    <row r="76" spans="1:18" outlineLevel="1" x14ac:dyDescent="0.2">
      <c r="A76" s="20">
        <f t="shared" si="65"/>
        <v>3624</v>
      </c>
      <c r="B76" s="19" t="str">
        <f t="shared" si="65"/>
        <v>SFA</v>
      </c>
      <c r="C76" s="58">
        <f t="shared" si="48"/>
        <v>2676.0209804171332</v>
      </c>
      <c r="D76" s="15">
        <f t="shared" ref="D76:N76" si="78">D118*D184</f>
        <v>57.65</v>
      </c>
      <c r="E76" s="14">
        <f t="shared" si="78"/>
        <v>10.646033333333333</v>
      </c>
      <c r="F76" s="14">
        <f t="shared" si="78"/>
        <v>0.20257544310083916</v>
      </c>
      <c r="G76" s="13">
        <f t="shared" si="78"/>
        <v>1116.5210000000006</v>
      </c>
      <c r="H76" s="15">
        <f t="shared" si="78"/>
        <v>2.48</v>
      </c>
      <c r="I76" s="13">
        <f t="shared" si="78"/>
        <v>0.44666666666666666</v>
      </c>
      <c r="J76" s="16">
        <f t="shared" si="78"/>
        <v>6.1980383073650875</v>
      </c>
      <c r="K76" s="16">
        <f t="shared" si="78"/>
        <v>14.603333333333333</v>
      </c>
      <c r="L76" s="15">
        <f t="shared" si="78"/>
        <v>830.80000000000007</v>
      </c>
      <c r="M76" s="14">
        <f t="shared" si="78"/>
        <v>622.5</v>
      </c>
      <c r="N76" s="13">
        <f t="shared" si="78"/>
        <v>13.973333333333333</v>
      </c>
      <c r="O76" s="89" t="s">
        <v>86</v>
      </c>
      <c r="P76" s="120"/>
      <c r="Q76" s="120"/>
      <c r="R76" s="120"/>
    </row>
    <row r="77" spans="1:18" outlineLevel="1" x14ac:dyDescent="0.2">
      <c r="A77" s="20">
        <f t="shared" si="65"/>
        <v>3642</v>
      </c>
      <c r="B77" s="19" t="str">
        <f t="shared" si="65"/>
        <v>TSU</v>
      </c>
      <c r="C77" s="58">
        <f t="shared" si="48"/>
        <v>1318.7795969050999</v>
      </c>
      <c r="D77" s="15">
        <f t="shared" ref="D77:N77" si="79">D119*D185</f>
        <v>22.75</v>
      </c>
      <c r="E77" s="14">
        <f t="shared" si="79"/>
        <v>1.0894722222222222</v>
      </c>
      <c r="F77" s="14">
        <f t="shared" si="79"/>
        <v>0.12933681010892717</v>
      </c>
      <c r="G77" s="13">
        <f t="shared" si="79"/>
        <v>446.59600000000057</v>
      </c>
      <c r="H77" s="15">
        <f t="shared" si="79"/>
        <v>1.3433333333333335</v>
      </c>
      <c r="I77" s="13">
        <f t="shared" si="79"/>
        <v>0.03</v>
      </c>
      <c r="J77" s="16">
        <f t="shared" si="79"/>
        <v>0.59145453943511406</v>
      </c>
      <c r="K77" s="16">
        <f t="shared" si="79"/>
        <v>6.663333333333334</v>
      </c>
      <c r="L77" s="15">
        <f t="shared" si="79"/>
        <v>491.19999999999993</v>
      </c>
      <c r="M77" s="14">
        <f t="shared" si="79"/>
        <v>339.9</v>
      </c>
      <c r="N77" s="13">
        <f t="shared" si="79"/>
        <v>8.4866666666666664</v>
      </c>
      <c r="O77" s="89" t="s">
        <v>84</v>
      </c>
      <c r="P77" s="120"/>
      <c r="Q77" s="120"/>
      <c r="R77" s="120"/>
    </row>
    <row r="78" spans="1:18" outlineLevel="1" x14ac:dyDescent="0.2">
      <c r="A78" s="20">
        <f t="shared" si="65"/>
        <v>3644</v>
      </c>
      <c r="B78" s="19" t="str">
        <f t="shared" si="65"/>
        <v>TTU</v>
      </c>
      <c r="C78" s="58">
        <f t="shared" si="48"/>
        <v>6836.205088924642</v>
      </c>
      <c r="D78" s="15">
        <f t="shared" ref="D78:N78" si="80">D120*D186</f>
        <v>140.22</v>
      </c>
      <c r="E78" s="14">
        <f t="shared" si="80"/>
        <v>34.213679999999997</v>
      </c>
      <c r="F78" s="14">
        <f t="shared" si="80"/>
        <v>0.21061243127033355</v>
      </c>
      <c r="G78" s="13">
        <f t="shared" si="80"/>
        <v>3038.4339999998042</v>
      </c>
      <c r="H78" s="15">
        <f t="shared" si="80"/>
        <v>7.2733333333333334</v>
      </c>
      <c r="I78" s="13">
        <f t="shared" si="80"/>
        <v>0.57333333333333336</v>
      </c>
      <c r="J78" s="16">
        <f t="shared" si="80"/>
        <v>18.943463160233268</v>
      </c>
      <c r="K78" s="16">
        <f t="shared" si="80"/>
        <v>27.78</v>
      </c>
      <c r="L78" s="15">
        <f t="shared" si="80"/>
        <v>1945.6</v>
      </c>
      <c r="M78" s="14">
        <f t="shared" si="80"/>
        <v>1583.4999999999998</v>
      </c>
      <c r="N78" s="13">
        <f t="shared" si="80"/>
        <v>39.456666666666663</v>
      </c>
      <c r="O78" s="89" t="s">
        <v>83</v>
      </c>
      <c r="P78" s="120"/>
      <c r="Q78" s="120"/>
      <c r="R78" s="120"/>
    </row>
    <row r="79" spans="1:18" outlineLevel="1" x14ac:dyDescent="0.2">
      <c r="A79" s="20">
        <f t="shared" si="65"/>
        <v>3541</v>
      </c>
      <c r="B79" s="19" t="str">
        <f t="shared" si="65"/>
        <v>Angelo</v>
      </c>
      <c r="C79" s="58">
        <f t="shared" si="48"/>
        <v>1370.5286088618134</v>
      </c>
      <c r="D79" s="15">
        <f t="shared" ref="D79:N79" si="81">D121*D187</f>
        <v>297.39999999999998</v>
      </c>
      <c r="E79" s="14">
        <f t="shared" si="81"/>
        <v>4.2594288888888894</v>
      </c>
      <c r="F79" s="14">
        <f t="shared" si="81"/>
        <v>0.20305700708264296</v>
      </c>
      <c r="G79" s="13">
        <f t="shared" si="81"/>
        <v>593.20500000000152</v>
      </c>
      <c r="H79" s="15">
        <f t="shared" si="81"/>
        <v>2.5433333333333334</v>
      </c>
      <c r="I79" s="13">
        <f t="shared" si="81"/>
        <v>0.19333333333333333</v>
      </c>
      <c r="J79" s="16">
        <f t="shared" si="81"/>
        <v>2.0211229658405228</v>
      </c>
      <c r="K79" s="16">
        <f t="shared" si="81"/>
        <v>21.689999999999998</v>
      </c>
      <c r="L79" s="15">
        <f t="shared" si="81"/>
        <v>431.6</v>
      </c>
      <c r="M79" s="14">
        <f t="shared" si="81"/>
        <v>10.336666666666668</v>
      </c>
      <c r="N79" s="13">
        <f t="shared" si="81"/>
        <v>7.0766666666666662</v>
      </c>
      <c r="O79" s="89" t="s">
        <v>85</v>
      </c>
      <c r="P79" s="120"/>
      <c r="Q79" s="120"/>
      <c r="R79" s="120"/>
    </row>
    <row r="80" spans="1:18" outlineLevel="1" x14ac:dyDescent="0.2">
      <c r="A80" s="20">
        <f t="shared" ref="A80:B85" si="82">A37</f>
        <v>3646</v>
      </c>
      <c r="B80" s="19" t="str">
        <f t="shared" si="82"/>
        <v>TWU</v>
      </c>
      <c r="C80" s="58">
        <f t="shared" si="48"/>
        <v>2173.080868776321</v>
      </c>
      <c r="D80" s="15">
        <f t="shared" ref="D80:N80" si="83">D122*D188</f>
        <v>54.18</v>
      </c>
      <c r="E80" s="14">
        <f t="shared" si="83"/>
        <v>9.4574200000000008</v>
      </c>
      <c r="F80" s="14">
        <f t="shared" si="83"/>
        <v>0.2754560429503996</v>
      </c>
      <c r="G80" s="13">
        <f t="shared" si="83"/>
        <v>1035.6529999999998</v>
      </c>
      <c r="H80" s="15">
        <f t="shared" si="83"/>
        <v>5.6933333333333342</v>
      </c>
      <c r="I80" s="13">
        <f t="shared" si="83"/>
        <v>0.31666666666666671</v>
      </c>
      <c r="J80" s="16">
        <f t="shared" si="83"/>
        <v>1.9383260667044178</v>
      </c>
      <c r="K80" s="16">
        <f t="shared" si="83"/>
        <v>12.47</v>
      </c>
      <c r="L80" s="15">
        <f t="shared" si="83"/>
        <v>658.8</v>
      </c>
      <c r="M80" s="14">
        <f t="shared" si="83"/>
        <v>387.7</v>
      </c>
      <c r="N80" s="13">
        <f t="shared" si="83"/>
        <v>6.5966666666666667</v>
      </c>
      <c r="O80" s="89" t="s">
        <v>84</v>
      </c>
      <c r="P80" s="120"/>
      <c r="Q80" s="120"/>
      <c r="R80" s="120"/>
    </row>
    <row r="81" spans="1:18" outlineLevel="1" x14ac:dyDescent="0.2">
      <c r="A81" s="20">
        <f t="shared" si="82"/>
        <v>3581</v>
      </c>
      <c r="B81" s="19" t="str">
        <f t="shared" si="82"/>
        <v>Lamar</v>
      </c>
      <c r="C81" s="58">
        <f t="shared" si="48"/>
        <v>1965.5386398676687</v>
      </c>
      <c r="D81" s="15">
        <f t="shared" ref="D81:N81" si="84">D123*D189</f>
        <v>40.059999999999995</v>
      </c>
      <c r="E81" s="14">
        <f t="shared" si="84"/>
        <v>4.6781177777777776</v>
      </c>
      <c r="F81" s="14">
        <f t="shared" si="84"/>
        <v>0.183549291644521</v>
      </c>
      <c r="G81" s="13">
        <f t="shared" si="84"/>
        <v>805.47000000000492</v>
      </c>
      <c r="H81" s="15">
        <f t="shared" si="84"/>
        <v>3.3000000000000003</v>
      </c>
      <c r="I81" s="13">
        <f t="shared" si="84"/>
        <v>0.17</v>
      </c>
      <c r="J81" s="16">
        <f t="shared" si="84"/>
        <v>1.9803061315751214</v>
      </c>
      <c r="K81" s="16">
        <f t="shared" si="84"/>
        <v>9.4866666666666664</v>
      </c>
      <c r="L81" s="15">
        <f t="shared" si="84"/>
        <v>643.4</v>
      </c>
      <c r="M81" s="14">
        <f t="shared" si="84"/>
        <v>446.7</v>
      </c>
      <c r="N81" s="13">
        <f t="shared" si="84"/>
        <v>10.11</v>
      </c>
      <c r="O81" s="89" t="s">
        <v>86</v>
      </c>
      <c r="P81" s="120"/>
      <c r="Q81" s="120"/>
      <c r="R81" s="120"/>
    </row>
    <row r="82" spans="1:18" outlineLevel="1" x14ac:dyDescent="0.2">
      <c r="A82" s="20">
        <f t="shared" si="82"/>
        <v>3606</v>
      </c>
      <c r="B82" s="19" t="str">
        <f t="shared" si="82"/>
        <v>SHSU</v>
      </c>
      <c r="C82" s="58">
        <f t="shared" si="48"/>
        <v>3969.0646996959867</v>
      </c>
      <c r="D82" s="15">
        <f t="shared" ref="D82:N82" si="85">D124*D190</f>
        <v>92.33</v>
      </c>
      <c r="E82" s="14">
        <f t="shared" si="85"/>
        <v>18.055644444444447</v>
      </c>
      <c r="F82" s="14">
        <f t="shared" si="85"/>
        <v>0.24475654239301015</v>
      </c>
      <c r="G82" s="13">
        <f t="shared" si="85"/>
        <v>1751.1230000000367</v>
      </c>
      <c r="H82" s="15">
        <f t="shared" si="85"/>
        <v>1.67</v>
      </c>
      <c r="I82" s="13">
        <f t="shared" si="85"/>
        <v>0.61</v>
      </c>
      <c r="J82" s="16">
        <f t="shared" si="85"/>
        <v>7.3612987091127744</v>
      </c>
      <c r="K82" s="16">
        <f t="shared" si="85"/>
        <v>22.136666666666667</v>
      </c>
      <c r="L82" s="15">
        <f t="shared" si="85"/>
        <v>1168.3</v>
      </c>
      <c r="M82" s="14">
        <f t="shared" si="85"/>
        <v>889.6</v>
      </c>
      <c r="N82" s="13">
        <f t="shared" si="85"/>
        <v>17.633333333333333</v>
      </c>
      <c r="O82" s="89" t="s">
        <v>84</v>
      </c>
      <c r="P82" s="120"/>
      <c r="Q82" s="120"/>
      <c r="R82" s="120"/>
    </row>
    <row r="83" spans="1:18" outlineLevel="1" x14ac:dyDescent="0.2">
      <c r="A83" s="20">
        <f t="shared" si="82"/>
        <v>3615</v>
      </c>
      <c r="B83" s="19" t="str">
        <f t="shared" si="82"/>
        <v>TXST</v>
      </c>
      <c r="C83" s="58">
        <f t="shared" si="48"/>
        <v>7327.7954046066452</v>
      </c>
      <c r="D83" s="15">
        <f t="shared" ref="D83:N83" si="86">D125*D191</f>
        <v>160.82999999999998</v>
      </c>
      <c r="E83" s="14">
        <f t="shared" si="86"/>
        <v>33.935130000000001</v>
      </c>
      <c r="F83" s="14">
        <f t="shared" si="86"/>
        <v>0.23406891519786396</v>
      </c>
      <c r="G83" s="13">
        <f t="shared" si="86"/>
        <v>3131.1929999998069</v>
      </c>
      <c r="H83" s="15">
        <f t="shared" si="86"/>
        <v>4.8866666666666667</v>
      </c>
      <c r="I83" s="13">
        <f t="shared" si="86"/>
        <v>0.66666666666666674</v>
      </c>
      <c r="J83" s="16">
        <f t="shared" si="86"/>
        <v>11.323205691640695</v>
      </c>
      <c r="K83" s="16">
        <f t="shared" si="86"/>
        <v>36.753333333333337</v>
      </c>
      <c r="L83" s="15">
        <f t="shared" si="86"/>
        <v>2241.1</v>
      </c>
      <c r="M83" s="14">
        <f t="shared" si="86"/>
        <v>1673.7</v>
      </c>
      <c r="N83" s="13">
        <f t="shared" si="86"/>
        <v>33.173333333333332</v>
      </c>
      <c r="O83" s="89" t="s">
        <v>83</v>
      </c>
      <c r="P83" s="120"/>
      <c r="Q83" s="120"/>
      <c r="R83" s="120"/>
    </row>
    <row r="84" spans="1:18" outlineLevel="1" x14ac:dyDescent="0.2">
      <c r="A84" s="20">
        <f t="shared" si="82"/>
        <v>3625</v>
      </c>
      <c r="B84" s="19" t="str">
        <f t="shared" si="82"/>
        <v>SRSU</v>
      </c>
      <c r="C84" s="58">
        <f t="shared" si="48"/>
        <v>274.41331816131645</v>
      </c>
      <c r="D84" s="15">
        <f t="shared" ref="D84:N84" si="87">D126*D192</f>
        <v>56.800000000000004</v>
      </c>
      <c r="E84" s="14">
        <f t="shared" si="87"/>
        <v>0.56989333333333336</v>
      </c>
      <c r="F84" s="14">
        <f t="shared" si="87"/>
        <v>0.15518843008324076</v>
      </c>
      <c r="G84" s="13">
        <f t="shared" si="87"/>
        <v>118.29899999999989</v>
      </c>
      <c r="H84" s="15">
        <f t="shared" si="87"/>
        <v>0.12666666666666665</v>
      </c>
      <c r="I84" s="13">
        <f t="shared" si="87"/>
        <v>6.3333333333333325E-2</v>
      </c>
      <c r="J84" s="16">
        <f t="shared" si="87"/>
        <v>0.2559030645666644</v>
      </c>
      <c r="K84" s="16">
        <f t="shared" si="87"/>
        <v>4.8899999999999997</v>
      </c>
      <c r="L84" s="15">
        <f t="shared" si="87"/>
        <v>90</v>
      </c>
      <c r="M84" s="14">
        <f t="shared" si="87"/>
        <v>1.9366666666666665</v>
      </c>
      <c r="N84" s="13">
        <f t="shared" si="87"/>
        <v>1.3166666666666667</v>
      </c>
      <c r="O84" s="89" t="s">
        <v>85</v>
      </c>
      <c r="P84" s="120"/>
      <c r="Q84" s="120"/>
      <c r="R84" s="120"/>
    </row>
    <row r="85" spans="1:18" outlineLevel="1" x14ac:dyDescent="0.2">
      <c r="A85" s="20">
        <f t="shared" si="82"/>
        <v>20</v>
      </c>
      <c r="B85" s="19" t="str">
        <f t="shared" si="82"/>
        <v>SRRG</v>
      </c>
      <c r="C85" s="58">
        <f t="shared" si="48"/>
        <v>207.60338428234417</v>
      </c>
      <c r="D85" s="15">
        <f t="shared" ref="D85:N85" si="88">D127*D193</f>
        <v>48.499999999999993</v>
      </c>
      <c r="E85" s="14">
        <f t="shared" si="88"/>
        <v>0.5136597661833775</v>
      </c>
      <c r="F85" s="14">
        <f t="shared" si="88"/>
        <v>0.36596408270033709</v>
      </c>
      <c r="G85" s="13">
        <f t="shared" si="88"/>
        <v>83.750999999999934</v>
      </c>
      <c r="H85" s="15">
        <f t="shared" si="88"/>
        <v>6.3333333333333325E-2</v>
      </c>
      <c r="I85" s="13">
        <f t="shared" si="88"/>
        <v>5.6666666666666671E-2</v>
      </c>
      <c r="J85" s="16">
        <f t="shared" si="88"/>
        <v>6.2760433460517295E-2</v>
      </c>
      <c r="K85" s="16">
        <f t="shared" si="88"/>
        <v>4.32</v>
      </c>
      <c r="L85" s="15">
        <f t="shared" si="88"/>
        <v>69</v>
      </c>
      <c r="M85" s="14">
        <f t="shared" si="88"/>
        <v>0.92666666666666675</v>
      </c>
      <c r="N85" s="13">
        <f t="shared" si="88"/>
        <v>4.3333333333333328E-2</v>
      </c>
      <c r="O85" s="89" t="s">
        <v>85</v>
      </c>
      <c r="P85" s="120"/>
      <c r="Q85" s="120"/>
      <c r="R85" s="120"/>
    </row>
    <row r="86" spans="1:18" ht="13.5" outlineLevel="1" thickBot="1" x14ac:dyDescent="0.25">
      <c r="A86" s="12"/>
      <c r="B86" s="11" t="s">
        <v>11</v>
      </c>
      <c r="C86" s="57">
        <f t="shared" ref="C86:N86" si="89">SUM(C48:C85)</f>
        <v>116262.73887332693</v>
      </c>
      <c r="D86" s="9">
        <f t="shared" si="89"/>
        <v>5651.88</v>
      </c>
      <c r="E86" s="7">
        <f t="shared" si="89"/>
        <v>491.18168778098271</v>
      </c>
      <c r="F86" s="7">
        <f t="shared" si="89"/>
        <v>10.256696937595486</v>
      </c>
      <c r="G86" s="3">
        <f t="shared" si="89"/>
        <v>51843.945999999545</v>
      </c>
      <c r="H86" s="5">
        <f t="shared" si="89"/>
        <v>139.72</v>
      </c>
      <c r="I86" s="3">
        <f t="shared" si="89"/>
        <v>11.983333333333334</v>
      </c>
      <c r="J86" s="6">
        <f t="shared" ref="J86" si="90">SUM(J48:J85)</f>
        <v>211.80448860883038</v>
      </c>
      <c r="K86" s="6">
        <f t="shared" si="89"/>
        <v>714.04499999999996</v>
      </c>
      <c r="L86" s="5">
        <f t="shared" si="89"/>
        <v>34352.65</v>
      </c>
      <c r="M86" s="4">
        <f t="shared" si="89"/>
        <v>22326.021666666667</v>
      </c>
      <c r="N86" s="3">
        <f t="shared" si="89"/>
        <v>509.25000000000006</v>
      </c>
    </row>
    <row r="87" spans="1:18" ht="13.5" thickBot="1" x14ac:dyDescent="0.25">
      <c r="A87" s="69" t="s">
        <v>30</v>
      </c>
    </row>
    <row r="88" spans="1:18" ht="12.75" customHeight="1" outlineLevel="1" x14ac:dyDescent="0.2">
      <c r="A88" s="273" t="s">
        <v>24</v>
      </c>
      <c r="B88" s="275" t="s">
        <v>23</v>
      </c>
      <c r="C88" s="277" t="s">
        <v>77</v>
      </c>
      <c r="D88" s="279" t="s">
        <v>35</v>
      </c>
      <c r="E88" s="280"/>
      <c r="F88" s="280"/>
      <c r="G88" s="281"/>
      <c r="H88" s="282" t="s">
        <v>18</v>
      </c>
      <c r="I88" s="291" t="s">
        <v>17</v>
      </c>
      <c r="J88" s="332" t="s">
        <v>126</v>
      </c>
      <c r="K88" s="293" t="s">
        <v>16</v>
      </c>
      <c r="L88" s="295" t="s">
        <v>34</v>
      </c>
      <c r="M88" s="296"/>
      <c r="N88" s="296"/>
      <c r="O88" s="308" t="s">
        <v>99</v>
      </c>
    </row>
    <row r="89" spans="1:18" ht="51.75" outlineLevel="1" thickBot="1" x14ac:dyDescent="0.25">
      <c r="A89" s="274"/>
      <c r="B89" s="276"/>
      <c r="C89" s="278"/>
      <c r="D89" s="68"/>
      <c r="E89" s="67" t="s">
        <v>33</v>
      </c>
      <c r="F89" s="67" t="s">
        <v>32</v>
      </c>
      <c r="G89" s="152" t="s">
        <v>31</v>
      </c>
      <c r="H89" s="283"/>
      <c r="I89" s="292"/>
      <c r="J89" s="333"/>
      <c r="K89" s="294"/>
      <c r="L89" s="44" t="s">
        <v>14</v>
      </c>
      <c r="M89" s="43" t="s">
        <v>13</v>
      </c>
      <c r="N89" s="42" t="s">
        <v>12</v>
      </c>
      <c r="O89" s="309"/>
    </row>
    <row r="90" spans="1:18" outlineLevel="1" x14ac:dyDescent="0.2">
      <c r="A90" s="20">
        <f t="shared" ref="A90:B105" si="91">A5</f>
        <v>3656</v>
      </c>
      <c r="B90" s="19" t="str">
        <f t="shared" si="91"/>
        <v>UTA</v>
      </c>
      <c r="C90" s="90">
        <f t="shared" ref="C90:C127" si="92">D90+E90+F90+L90+M90+N90</f>
        <v>0.65999999999999992</v>
      </c>
      <c r="D90" s="91">
        <f t="shared" ref="D90:N99" si="93">SUMIF($O$131:$O$135,$O90,D$131:D$135)</f>
        <v>0.03</v>
      </c>
      <c r="E90" s="92">
        <f t="shared" si="93"/>
        <v>0.01</v>
      </c>
      <c r="F90" s="92">
        <f t="shared" si="93"/>
        <v>0.01</v>
      </c>
      <c r="G90" s="93">
        <f t="shared" si="93"/>
        <v>0.3</v>
      </c>
      <c r="H90" s="91">
        <f t="shared" si="93"/>
        <v>0.01</v>
      </c>
      <c r="I90" s="93">
        <f t="shared" si="93"/>
        <v>0.01</v>
      </c>
      <c r="J90" s="98">
        <f t="shared" si="93"/>
        <v>0.01</v>
      </c>
      <c r="K90" s="98">
        <f t="shared" si="93"/>
        <v>0.01</v>
      </c>
      <c r="L90" s="91">
        <f t="shared" si="93"/>
        <v>0.3</v>
      </c>
      <c r="M90" s="92">
        <f t="shared" si="93"/>
        <v>0.3</v>
      </c>
      <c r="N90" s="93">
        <f t="shared" si="93"/>
        <v>0.01</v>
      </c>
      <c r="O90" s="88" t="s">
        <v>83</v>
      </c>
      <c r="P90" s="236"/>
      <c r="Q90" s="236"/>
      <c r="R90" s="236"/>
    </row>
    <row r="91" spans="1:18" outlineLevel="1" x14ac:dyDescent="0.2">
      <c r="A91" s="20">
        <f t="shared" si="91"/>
        <v>3658</v>
      </c>
      <c r="B91" s="19" t="str">
        <f t="shared" si="91"/>
        <v>UT</v>
      </c>
      <c r="C91" s="90">
        <f t="shared" si="92"/>
        <v>0.65999999999999992</v>
      </c>
      <c r="D91" s="91">
        <f t="shared" si="93"/>
        <v>0.03</v>
      </c>
      <c r="E91" s="92">
        <f t="shared" si="93"/>
        <v>0.01</v>
      </c>
      <c r="F91" s="92">
        <f t="shared" si="93"/>
        <v>0.01</v>
      </c>
      <c r="G91" s="93">
        <f t="shared" si="93"/>
        <v>0.3</v>
      </c>
      <c r="H91" s="94">
        <f t="shared" si="93"/>
        <v>0.01</v>
      </c>
      <c r="I91" s="95">
        <f t="shared" si="93"/>
        <v>0.01</v>
      </c>
      <c r="J91" s="96">
        <f t="shared" si="93"/>
        <v>0.01</v>
      </c>
      <c r="K91" s="96">
        <f t="shared" si="93"/>
        <v>0.01</v>
      </c>
      <c r="L91" s="94">
        <f t="shared" si="93"/>
        <v>0.3</v>
      </c>
      <c r="M91" s="97">
        <f t="shared" si="93"/>
        <v>0.3</v>
      </c>
      <c r="N91" s="95">
        <f t="shared" si="93"/>
        <v>0.01</v>
      </c>
      <c r="O91" s="89" t="s">
        <v>82</v>
      </c>
      <c r="P91" s="120"/>
      <c r="Q91" s="120"/>
      <c r="R91" s="120"/>
    </row>
    <row r="92" spans="1:18" outlineLevel="1" x14ac:dyDescent="0.2">
      <c r="A92" s="20">
        <f t="shared" si="91"/>
        <v>9741</v>
      </c>
      <c r="B92" s="19" t="str">
        <f t="shared" si="91"/>
        <v>UTD</v>
      </c>
      <c r="C92" s="90">
        <f t="shared" si="92"/>
        <v>0.65999999999999992</v>
      </c>
      <c r="D92" s="91">
        <f t="shared" si="93"/>
        <v>0.03</v>
      </c>
      <c r="E92" s="92">
        <f t="shared" si="93"/>
        <v>0.01</v>
      </c>
      <c r="F92" s="92">
        <f t="shared" si="93"/>
        <v>0.01</v>
      </c>
      <c r="G92" s="93">
        <f t="shared" si="93"/>
        <v>0.3</v>
      </c>
      <c r="H92" s="91">
        <f t="shared" si="93"/>
        <v>0.01</v>
      </c>
      <c r="I92" s="93">
        <f t="shared" si="93"/>
        <v>0.01</v>
      </c>
      <c r="J92" s="98">
        <f t="shared" si="93"/>
        <v>0.01</v>
      </c>
      <c r="K92" s="98">
        <f t="shared" si="93"/>
        <v>0.01</v>
      </c>
      <c r="L92" s="91">
        <f t="shared" si="93"/>
        <v>0.3</v>
      </c>
      <c r="M92" s="92">
        <f t="shared" si="93"/>
        <v>0.3</v>
      </c>
      <c r="N92" s="93">
        <f t="shared" si="93"/>
        <v>0.01</v>
      </c>
      <c r="O92" s="89" t="s">
        <v>83</v>
      </c>
      <c r="P92" s="120"/>
      <c r="Q92" s="120"/>
      <c r="R92" s="120"/>
    </row>
    <row r="93" spans="1:18" outlineLevel="1" x14ac:dyDescent="0.2">
      <c r="A93" s="20">
        <f t="shared" si="91"/>
        <v>3661</v>
      </c>
      <c r="B93" s="19" t="str">
        <f t="shared" si="91"/>
        <v>UTEP</v>
      </c>
      <c r="C93" s="90">
        <f t="shared" si="92"/>
        <v>0.65999999999999992</v>
      </c>
      <c r="D93" s="91">
        <f t="shared" si="93"/>
        <v>0.03</v>
      </c>
      <c r="E93" s="92">
        <f t="shared" si="93"/>
        <v>0.01</v>
      </c>
      <c r="F93" s="92">
        <f t="shared" si="93"/>
        <v>0.01</v>
      </c>
      <c r="G93" s="93">
        <f t="shared" si="93"/>
        <v>0.3</v>
      </c>
      <c r="H93" s="91">
        <f t="shared" si="93"/>
        <v>0.01</v>
      </c>
      <c r="I93" s="93">
        <f t="shared" si="93"/>
        <v>0.01</v>
      </c>
      <c r="J93" s="98">
        <f t="shared" si="93"/>
        <v>0.01</v>
      </c>
      <c r="K93" s="98">
        <f t="shared" si="93"/>
        <v>0.01</v>
      </c>
      <c r="L93" s="91">
        <f t="shared" si="93"/>
        <v>0.3</v>
      </c>
      <c r="M93" s="92">
        <f t="shared" si="93"/>
        <v>0.3</v>
      </c>
      <c r="N93" s="93">
        <f t="shared" si="93"/>
        <v>0.01</v>
      </c>
      <c r="O93" s="89" t="s">
        <v>83</v>
      </c>
      <c r="P93" s="120"/>
      <c r="Q93" s="120"/>
      <c r="R93" s="120"/>
    </row>
    <row r="94" spans="1:18" outlineLevel="1" x14ac:dyDescent="0.2">
      <c r="A94" s="20">
        <f t="shared" si="91"/>
        <v>3599</v>
      </c>
      <c r="B94" s="19" t="str">
        <f t="shared" si="91"/>
        <v>UTPA</v>
      </c>
      <c r="C94" s="90">
        <f t="shared" si="92"/>
        <v>0.65999999999999992</v>
      </c>
      <c r="D94" s="91">
        <f t="shared" si="93"/>
        <v>0.03</v>
      </c>
      <c r="E94" s="92">
        <f t="shared" si="93"/>
        <v>0.01</v>
      </c>
      <c r="F94" s="92">
        <f t="shared" si="93"/>
        <v>0.01</v>
      </c>
      <c r="G94" s="93">
        <f t="shared" si="93"/>
        <v>0.3</v>
      </c>
      <c r="H94" s="91">
        <f t="shared" si="93"/>
        <v>0.01</v>
      </c>
      <c r="I94" s="93">
        <f t="shared" si="93"/>
        <v>0.01</v>
      </c>
      <c r="J94" s="98">
        <f t="shared" si="93"/>
        <v>0.01</v>
      </c>
      <c r="K94" s="98">
        <f t="shared" si="93"/>
        <v>0.01</v>
      </c>
      <c r="L94" s="91">
        <f t="shared" si="93"/>
        <v>0.3</v>
      </c>
      <c r="M94" s="92">
        <f t="shared" si="93"/>
        <v>0.3</v>
      </c>
      <c r="N94" s="93">
        <f t="shared" si="93"/>
        <v>0.01</v>
      </c>
      <c r="O94" s="89" t="s">
        <v>84</v>
      </c>
      <c r="P94" s="120"/>
      <c r="Q94" s="120"/>
      <c r="R94" s="120"/>
    </row>
    <row r="95" spans="1:18" outlineLevel="1" x14ac:dyDescent="0.2">
      <c r="A95" s="20">
        <f t="shared" si="91"/>
        <v>30646</v>
      </c>
      <c r="B95" s="19" t="str">
        <f t="shared" si="91"/>
        <v>UTB</v>
      </c>
      <c r="C95" s="90">
        <f t="shared" si="92"/>
        <v>0.64</v>
      </c>
      <c r="D95" s="91">
        <f t="shared" si="93"/>
        <v>0.3</v>
      </c>
      <c r="E95" s="92">
        <f t="shared" si="93"/>
        <v>0.01</v>
      </c>
      <c r="F95" s="92">
        <f t="shared" si="93"/>
        <v>0.01</v>
      </c>
      <c r="G95" s="93">
        <f t="shared" si="93"/>
        <v>0.3</v>
      </c>
      <c r="H95" s="91">
        <f t="shared" si="93"/>
        <v>0.01</v>
      </c>
      <c r="I95" s="93">
        <f t="shared" si="93"/>
        <v>0.01</v>
      </c>
      <c r="J95" s="98">
        <f t="shared" si="93"/>
        <v>0.01</v>
      </c>
      <c r="K95" s="98">
        <f t="shared" si="93"/>
        <v>0.03</v>
      </c>
      <c r="L95" s="91">
        <f t="shared" si="93"/>
        <v>0.3</v>
      </c>
      <c r="M95" s="92">
        <f t="shared" si="93"/>
        <v>0.01</v>
      </c>
      <c r="N95" s="93">
        <f t="shared" si="93"/>
        <v>0.01</v>
      </c>
      <c r="O95" s="89" t="s">
        <v>85</v>
      </c>
      <c r="P95" s="120"/>
      <c r="Q95" s="120"/>
      <c r="R95" s="120"/>
    </row>
    <row r="96" spans="1:18" outlineLevel="1" x14ac:dyDescent="0.2">
      <c r="A96" s="20">
        <f t="shared" si="91"/>
        <v>9930</v>
      </c>
      <c r="B96" s="19" t="str">
        <f t="shared" si="91"/>
        <v>UTPB</v>
      </c>
      <c r="C96" s="90">
        <f t="shared" si="92"/>
        <v>0.64</v>
      </c>
      <c r="D96" s="91">
        <f t="shared" si="93"/>
        <v>0.3</v>
      </c>
      <c r="E96" s="92">
        <f t="shared" si="93"/>
        <v>0.01</v>
      </c>
      <c r="F96" s="92">
        <f t="shared" si="93"/>
        <v>0.01</v>
      </c>
      <c r="G96" s="93">
        <f t="shared" si="93"/>
        <v>0.3</v>
      </c>
      <c r="H96" s="91">
        <f t="shared" si="93"/>
        <v>0.01</v>
      </c>
      <c r="I96" s="93">
        <f t="shared" si="93"/>
        <v>0.01</v>
      </c>
      <c r="J96" s="98">
        <f t="shared" si="93"/>
        <v>0.01</v>
      </c>
      <c r="K96" s="98">
        <f t="shared" si="93"/>
        <v>0.03</v>
      </c>
      <c r="L96" s="91">
        <f t="shared" si="93"/>
        <v>0.3</v>
      </c>
      <c r="M96" s="92">
        <f t="shared" si="93"/>
        <v>0.01</v>
      </c>
      <c r="N96" s="93">
        <f t="shared" si="93"/>
        <v>0.01</v>
      </c>
      <c r="O96" s="89" t="s">
        <v>85</v>
      </c>
      <c r="P96" s="120"/>
      <c r="Q96" s="120"/>
      <c r="R96" s="120"/>
    </row>
    <row r="97" spans="1:18" outlineLevel="1" x14ac:dyDescent="0.2">
      <c r="A97" s="20">
        <f t="shared" si="91"/>
        <v>10115</v>
      </c>
      <c r="B97" s="19" t="str">
        <f t="shared" si="91"/>
        <v>UTSA</v>
      </c>
      <c r="C97" s="90">
        <f t="shared" si="92"/>
        <v>0.65999999999999992</v>
      </c>
      <c r="D97" s="91">
        <f t="shared" si="93"/>
        <v>0.03</v>
      </c>
      <c r="E97" s="92">
        <f t="shared" si="93"/>
        <v>0.01</v>
      </c>
      <c r="F97" s="92">
        <f t="shared" si="93"/>
        <v>0.01</v>
      </c>
      <c r="G97" s="93">
        <f t="shared" si="93"/>
        <v>0.3</v>
      </c>
      <c r="H97" s="91">
        <f t="shared" si="93"/>
        <v>0.01</v>
      </c>
      <c r="I97" s="93">
        <f t="shared" si="93"/>
        <v>0.01</v>
      </c>
      <c r="J97" s="98">
        <f t="shared" si="93"/>
        <v>0.01</v>
      </c>
      <c r="K97" s="98">
        <f t="shared" si="93"/>
        <v>0.01</v>
      </c>
      <c r="L97" s="91">
        <f t="shared" si="93"/>
        <v>0.3</v>
      </c>
      <c r="M97" s="92">
        <f t="shared" si="93"/>
        <v>0.3</v>
      </c>
      <c r="N97" s="93">
        <f t="shared" si="93"/>
        <v>0.01</v>
      </c>
      <c r="O97" s="89" t="s">
        <v>83</v>
      </c>
      <c r="P97" s="120"/>
      <c r="Q97" s="120"/>
      <c r="R97" s="120"/>
    </row>
    <row r="98" spans="1:18" outlineLevel="1" x14ac:dyDescent="0.2">
      <c r="A98" s="20">
        <f t="shared" si="91"/>
        <v>11163</v>
      </c>
      <c r="B98" s="19" t="str">
        <f t="shared" si="91"/>
        <v>UTT</v>
      </c>
      <c r="C98" s="90">
        <f t="shared" si="92"/>
        <v>0.64</v>
      </c>
      <c r="D98" s="91">
        <f t="shared" si="93"/>
        <v>0.3</v>
      </c>
      <c r="E98" s="92">
        <f t="shared" si="93"/>
        <v>0.01</v>
      </c>
      <c r="F98" s="92">
        <f t="shared" si="93"/>
        <v>0.01</v>
      </c>
      <c r="G98" s="93">
        <f t="shared" si="93"/>
        <v>0.3</v>
      </c>
      <c r="H98" s="91">
        <f t="shared" si="93"/>
        <v>0.01</v>
      </c>
      <c r="I98" s="93">
        <f t="shared" si="93"/>
        <v>0.01</v>
      </c>
      <c r="J98" s="98">
        <f t="shared" si="93"/>
        <v>0.01</v>
      </c>
      <c r="K98" s="98">
        <f t="shared" si="93"/>
        <v>0.03</v>
      </c>
      <c r="L98" s="91">
        <f t="shared" si="93"/>
        <v>0.3</v>
      </c>
      <c r="M98" s="92">
        <f t="shared" si="93"/>
        <v>0.01</v>
      </c>
      <c r="N98" s="93">
        <f t="shared" si="93"/>
        <v>0.01</v>
      </c>
      <c r="O98" s="89" t="s">
        <v>85</v>
      </c>
      <c r="P98" s="120"/>
      <c r="Q98" s="120"/>
      <c r="R98" s="120"/>
    </row>
    <row r="99" spans="1:18" outlineLevel="1" x14ac:dyDescent="0.2">
      <c r="A99" s="20">
        <f t="shared" si="91"/>
        <v>3632</v>
      </c>
      <c r="B99" s="19" t="str">
        <f t="shared" si="91"/>
        <v>TAMU</v>
      </c>
      <c r="C99" s="90">
        <f t="shared" si="92"/>
        <v>0.65999999999999992</v>
      </c>
      <c r="D99" s="91">
        <f t="shared" si="93"/>
        <v>0.03</v>
      </c>
      <c r="E99" s="92">
        <f t="shared" si="93"/>
        <v>0.01</v>
      </c>
      <c r="F99" s="92">
        <f t="shared" si="93"/>
        <v>0.01</v>
      </c>
      <c r="G99" s="93">
        <f t="shared" si="93"/>
        <v>0.3</v>
      </c>
      <c r="H99" s="94">
        <f t="shared" si="93"/>
        <v>0.01</v>
      </c>
      <c r="I99" s="95">
        <f t="shared" si="93"/>
        <v>0.01</v>
      </c>
      <c r="J99" s="96">
        <f t="shared" si="93"/>
        <v>0.01</v>
      </c>
      <c r="K99" s="96">
        <f t="shared" si="93"/>
        <v>0.01</v>
      </c>
      <c r="L99" s="94">
        <f t="shared" si="93"/>
        <v>0.3</v>
      </c>
      <c r="M99" s="97">
        <f t="shared" si="93"/>
        <v>0.3</v>
      </c>
      <c r="N99" s="95">
        <f t="shared" si="93"/>
        <v>0.01</v>
      </c>
      <c r="O99" s="89" t="s">
        <v>82</v>
      </c>
      <c r="P99" s="120"/>
      <c r="Q99" s="120"/>
      <c r="R99" s="120"/>
    </row>
    <row r="100" spans="1:18" outlineLevel="1" x14ac:dyDescent="0.2">
      <c r="A100" s="20">
        <f t="shared" si="91"/>
        <v>10298</v>
      </c>
      <c r="B100" s="19" t="str">
        <f t="shared" si="91"/>
        <v>TAMUG</v>
      </c>
      <c r="C100" s="90">
        <f t="shared" si="92"/>
        <v>0.96</v>
      </c>
      <c r="D100" s="91">
        <f t="shared" ref="D100:N100" si="94">SUMIF($O$131:$O$135,$O100,D$131:D$135)*1.5</f>
        <v>0.44999999999999996</v>
      </c>
      <c r="E100" s="92">
        <f t="shared" si="94"/>
        <v>1.4999999999999999E-2</v>
      </c>
      <c r="F100" s="92">
        <f t="shared" si="94"/>
        <v>1.4999999999999999E-2</v>
      </c>
      <c r="G100" s="93">
        <f t="shared" si="94"/>
        <v>0.44999999999999996</v>
      </c>
      <c r="H100" s="91">
        <f t="shared" si="94"/>
        <v>1.4999999999999999E-2</v>
      </c>
      <c r="I100" s="93">
        <f t="shared" si="94"/>
        <v>1.4999999999999999E-2</v>
      </c>
      <c r="J100" s="98">
        <f t="shared" si="94"/>
        <v>1.4999999999999999E-2</v>
      </c>
      <c r="K100" s="98">
        <f t="shared" si="94"/>
        <v>4.4999999999999998E-2</v>
      </c>
      <c r="L100" s="91">
        <f t="shared" si="94"/>
        <v>0.44999999999999996</v>
      </c>
      <c r="M100" s="92">
        <f t="shared" si="94"/>
        <v>1.4999999999999999E-2</v>
      </c>
      <c r="N100" s="93">
        <f t="shared" si="94"/>
        <v>1.4999999999999999E-2</v>
      </c>
      <c r="O100" s="89" t="s">
        <v>85</v>
      </c>
      <c r="P100" s="120"/>
      <c r="Q100" s="120"/>
      <c r="R100" s="120"/>
    </row>
    <row r="101" spans="1:18" outlineLevel="1" x14ac:dyDescent="0.2">
      <c r="A101" s="20">
        <f t="shared" si="91"/>
        <v>3630</v>
      </c>
      <c r="B101" s="19" t="str">
        <f t="shared" si="91"/>
        <v>Prairie View</v>
      </c>
      <c r="C101" s="90">
        <f t="shared" si="92"/>
        <v>0.65999999999999992</v>
      </c>
      <c r="D101" s="91">
        <f t="shared" ref="D101:N110" si="95">SUMIF($O$131:$O$135,$O101,D$131:D$135)</f>
        <v>0.03</v>
      </c>
      <c r="E101" s="92">
        <f t="shared" si="95"/>
        <v>0.01</v>
      </c>
      <c r="F101" s="92">
        <f t="shared" si="95"/>
        <v>0.01</v>
      </c>
      <c r="G101" s="93">
        <f t="shared" si="95"/>
        <v>0.3</v>
      </c>
      <c r="H101" s="91">
        <f t="shared" si="95"/>
        <v>0.01</v>
      </c>
      <c r="I101" s="93">
        <f t="shared" si="95"/>
        <v>0.01</v>
      </c>
      <c r="J101" s="98">
        <f t="shared" si="95"/>
        <v>0.01</v>
      </c>
      <c r="K101" s="98">
        <f t="shared" si="95"/>
        <v>0.01</v>
      </c>
      <c r="L101" s="91">
        <f t="shared" si="95"/>
        <v>0.3</v>
      </c>
      <c r="M101" s="92">
        <f t="shared" si="95"/>
        <v>0.3</v>
      </c>
      <c r="N101" s="93">
        <f t="shared" si="95"/>
        <v>0.01</v>
      </c>
      <c r="O101" s="89" t="s">
        <v>86</v>
      </c>
      <c r="P101" s="120"/>
      <c r="Q101" s="120"/>
      <c r="R101" s="120"/>
    </row>
    <row r="102" spans="1:18" outlineLevel="1" x14ac:dyDescent="0.2">
      <c r="A102" s="20">
        <f t="shared" si="91"/>
        <v>3631</v>
      </c>
      <c r="B102" s="19" t="str">
        <f t="shared" si="91"/>
        <v>Tarleton</v>
      </c>
      <c r="C102" s="90">
        <f t="shared" si="92"/>
        <v>0.65999999999999992</v>
      </c>
      <c r="D102" s="91">
        <f t="shared" si="95"/>
        <v>0.03</v>
      </c>
      <c r="E102" s="92">
        <f t="shared" si="95"/>
        <v>0.01</v>
      </c>
      <c r="F102" s="92">
        <f t="shared" si="95"/>
        <v>0.01</v>
      </c>
      <c r="G102" s="93">
        <f t="shared" si="95"/>
        <v>0.3</v>
      </c>
      <c r="H102" s="91">
        <f t="shared" si="95"/>
        <v>0.01</v>
      </c>
      <c r="I102" s="93">
        <f t="shared" si="95"/>
        <v>0.01</v>
      </c>
      <c r="J102" s="98">
        <f t="shared" si="95"/>
        <v>0.01</v>
      </c>
      <c r="K102" s="98">
        <f t="shared" si="95"/>
        <v>0.01</v>
      </c>
      <c r="L102" s="91">
        <f t="shared" si="95"/>
        <v>0.3</v>
      </c>
      <c r="M102" s="92">
        <f t="shared" si="95"/>
        <v>0.3</v>
      </c>
      <c r="N102" s="93">
        <f t="shared" si="95"/>
        <v>0.01</v>
      </c>
      <c r="O102" s="89" t="s">
        <v>86</v>
      </c>
      <c r="P102" s="120"/>
      <c r="Q102" s="120"/>
      <c r="R102" s="120"/>
    </row>
    <row r="103" spans="1:18" outlineLevel="1" x14ac:dyDescent="0.2">
      <c r="A103" s="27">
        <f t="shared" si="91"/>
        <v>103631</v>
      </c>
      <c r="B103" s="19" t="str">
        <f t="shared" si="91"/>
        <v>TAMUCT</v>
      </c>
      <c r="C103" s="90">
        <f t="shared" si="92"/>
        <v>0.64</v>
      </c>
      <c r="D103" s="91">
        <f t="shared" si="95"/>
        <v>0.3</v>
      </c>
      <c r="E103" s="92">
        <f t="shared" si="95"/>
        <v>0.01</v>
      </c>
      <c r="F103" s="92">
        <f t="shared" si="95"/>
        <v>0.01</v>
      </c>
      <c r="G103" s="93">
        <f t="shared" si="95"/>
        <v>0.3</v>
      </c>
      <c r="H103" s="91">
        <f t="shared" si="95"/>
        <v>0.01</v>
      </c>
      <c r="I103" s="93">
        <f t="shared" si="95"/>
        <v>0.01</v>
      </c>
      <c r="J103" s="98">
        <f t="shared" si="95"/>
        <v>0.01</v>
      </c>
      <c r="K103" s="98">
        <f t="shared" si="95"/>
        <v>0.03</v>
      </c>
      <c r="L103" s="91">
        <f t="shared" si="95"/>
        <v>0.3</v>
      </c>
      <c r="M103" s="92">
        <f t="shared" si="95"/>
        <v>0.01</v>
      </c>
      <c r="N103" s="93">
        <f t="shared" si="95"/>
        <v>0.01</v>
      </c>
      <c r="O103" s="89" t="s">
        <v>85</v>
      </c>
      <c r="P103" s="120"/>
      <c r="Q103" s="120"/>
      <c r="R103" s="120"/>
    </row>
    <row r="104" spans="1:18" outlineLevel="1" x14ac:dyDescent="0.2">
      <c r="A104" s="20">
        <f t="shared" si="91"/>
        <v>11161</v>
      </c>
      <c r="B104" s="19" t="str">
        <f t="shared" si="91"/>
        <v>TAMUCC</v>
      </c>
      <c r="C104" s="90">
        <f t="shared" si="92"/>
        <v>0.65999999999999992</v>
      </c>
      <c r="D104" s="91">
        <f t="shared" si="95"/>
        <v>0.03</v>
      </c>
      <c r="E104" s="92">
        <f t="shared" si="95"/>
        <v>0.01</v>
      </c>
      <c r="F104" s="92">
        <f t="shared" si="95"/>
        <v>0.01</v>
      </c>
      <c r="G104" s="93">
        <f t="shared" si="95"/>
        <v>0.3</v>
      </c>
      <c r="H104" s="91">
        <f t="shared" si="95"/>
        <v>0.01</v>
      </c>
      <c r="I104" s="93">
        <f t="shared" si="95"/>
        <v>0.01</v>
      </c>
      <c r="J104" s="98">
        <f t="shared" si="95"/>
        <v>0.01</v>
      </c>
      <c r="K104" s="98">
        <f t="shared" si="95"/>
        <v>0.01</v>
      </c>
      <c r="L104" s="91">
        <f t="shared" si="95"/>
        <v>0.3</v>
      </c>
      <c r="M104" s="92">
        <f t="shared" si="95"/>
        <v>0.3</v>
      </c>
      <c r="N104" s="93">
        <f t="shared" si="95"/>
        <v>0.01</v>
      </c>
      <c r="O104" s="89" t="s">
        <v>84</v>
      </c>
      <c r="P104" s="120"/>
      <c r="Q104" s="120"/>
      <c r="R104" s="120"/>
    </row>
    <row r="105" spans="1:18" outlineLevel="1" x14ac:dyDescent="0.2">
      <c r="A105" s="20">
        <f t="shared" si="91"/>
        <v>3639</v>
      </c>
      <c r="B105" s="19" t="str">
        <f t="shared" si="91"/>
        <v>TAMUK</v>
      </c>
      <c r="C105" s="90">
        <f t="shared" si="92"/>
        <v>0.65999999999999992</v>
      </c>
      <c r="D105" s="91">
        <f t="shared" si="95"/>
        <v>0.03</v>
      </c>
      <c r="E105" s="92">
        <f t="shared" si="95"/>
        <v>0.01</v>
      </c>
      <c r="F105" s="92">
        <f t="shared" si="95"/>
        <v>0.01</v>
      </c>
      <c r="G105" s="93">
        <f t="shared" si="95"/>
        <v>0.3</v>
      </c>
      <c r="H105" s="91">
        <f t="shared" si="95"/>
        <v>0.01</v>
      </c>
      <c r="I105" s="93">
        <f t="shared" si="95"/>
        <v>0.01</v>
      </c>
      <c r="J105" s="98">
        <f t="shared" si="95"/>
        <v>0.01</v>
      </c>
      <c r="K105" s="98">
        <f t="shared" si="95"/>
        <v>0.01</v>
      </c>
      <c r="L105" s="91">
        <f t="shared" si="95"/>
        <v>0.3</v>
      </c>
      <c r="M105" s="92">
        <f t="shared" si="95"/>
        <v>0.3</v>
      </c>
      <c r="N105" s="93">
        <f t="shared" si="95"/>
        <v>0.01</v>
      </c>
      <c r="O105" s="89" t="s">
        <v>84</v>
      </c>
      <c r="P105" s="120"/>
      <c r="Q105" s="120"/>
      <c r="R105" s="120"/>
    </row>
    <row r="106" spans="1:18" outlineLevel="1" x14ac:dyDescent="0.2">
      <c r="A106" s="27">
        <f t="shared" ref="A106:B121" si="96">A21</f>
        <v>103639</v>
      </c>
      <c r="B106" s="19" t="str">
        <f t="shared" si="96"/>
        <v>TAMUSA</v>
      </c>
      <c r="C106" s="90">
        <f t="shared" si="92"/>
        <v>0.64</v>
      </c>
      <c r="D106" s="91">
        <f t="shared" si="95"/>
        <v>0.3</v>
      </c>
      <c r="E106" s="92">
        <f t="shared" si="95"/>
        <v>0.01</v>
      </c>
      <c r="F106" s="92">
        <f t="shared" si="95"/>
        <v>0.01</v>
      </c>
      <c r="G106" s="93">
        <f t="shared" si="95"/>
        <v>0.3</v>
      </c>
      <c r="H106" s="91">
        <f t="shared" si="95"/>
        <v>0.01</v>
      </c>
      <c r="I106" s="93">
        <f t="shared" si="95"/>
        <v>0.01</v>
      </c>
      <c r="J106" s="98">
        <f t="shared" si="95"/>
        <v>0.01</v>
      </c>
      <c r="K106" s="98">
        <f t="shared" si="95"/>
        <v>0.03</v>
      </c>
      <c r="L106" s="91">
        <f t="shared" si="95"/>
        <v>0.3</v>
      </c>
      <c r="M106" s="92">
        <f t="shared" si="95"/>
        <v>0.01</v>
      </c>
      <c r="N106" s="93">
        <f t="shared" si="95"/>
        <v>0.01</v>
      </c>
      <c r="O106" s="89" t="s">
        <v>85</v>
      </c>
      <c r="P106" s="120"/>
      <c r="Q106" s="120"/>
      <c r="R106" s="120"/>
    </row>
    <row r="107" spans="1:18" outlineLevel="1" x14ac:dyDescent="0.2">
      <c r="A107" s="20">
        <f t="shared" si="96"/>
        <v>9651</v>
      </c>
      <c r="B107" s="19" t="str">
        <f t="shared" si="96"/>
        <v>TAMI</v>
      </c>
      <c r="C107" s="90">
        <f t="shared" si="92"/>
        <v>0.65999999999999992</v>
      </c>
      <c r="D107" s="91">
        <f t="shared" si="95"/>
        <v>0.03</v>
      </c>
      <c r="E107" s="92">
        <f t="shared" si="95"/>
        <v>0.01</v>
      </c>
      <c r="F107" s="92">
        <f t="shared" si="95"/>
        <v>0.01</v>
      </c>
      <c r="G107" s="93">
        <f t="shared" si="95"/>
        <v>0.3</v>
      </c>
      <c r="H107" s="91">
        <f t="shared" si="95"/>
        <v>0.01</v>
      </c>
      <c r="I107" s="93">
        <f t="shared" si="95"/>
        <v>0.01</v>
      </c>
      <c r="J107" s="98">
        <f t="shared" si="95"/>
        <v>0.01</v>
      </c>
      <c r="K107" s="98">
        <f t="shared" si="95"/>
        <v>0.01</v>
      </c>
      <c r="L107" s="91">
        <f t="shared" si="95"/>
        <v>0.3</v>
      </c>
      <c r="M107" s="92">
        <f t="shared" si="95"/>
        <v>0.3</v>
      </c>
      <c r="N107" s="93">
        <f t="shared" si="95"/>
        <v>0.01</v>
      </c>
      <c r="O107" s="89" t="s">
        <v>86</v>
      </c>
      <c r="P107" s="120"/>
      <c r="Q107" s="120"/>
      <c r="R107" s="120"/>
    </row>
    <row r="108" spans="1:18" outlineLevel="1" x14ac:dyDescent="0.2">
      <c r="A108" s="20">
        <f t="shared" si="96"/>
        <v>3665</v>
      </c>
      <c r="B108" s="19" t="str">
        <f t="shared" si="96"/>
        <v>WTAMU</v>
      </c>
      <c r="C108" s="90">
        <f t="shared" si="92"/>
        <v>0.65999999999999992</v>
      </c>
      <c r="D108" s="91">
        <f t="shared" si="95"/>
        <v>0.03</v>
      </c>
      <c r="E108" s="92">
        <f t="shared" si="95"/>
        <v>0.01</v>
      </c>
      <c r="F108" s="92">
        <f t="shared" si="95"/>
        <v>0.01</v>
      </c>
      <c r="G108" s="93">
        <f t="shared" si="95"/>
        <v>0.3</v>
      </c>
      <c r="H108" s="91">
        <f t="shared" si="95"/>
        <v>0.01</v>
      </c>
      <c r="I108" s="93">
        <f t="shared" si="95"/>
        <v>0.01</v>
      </c>
      <c r="J108" s="98">
        <f t="shared" si="95"/>
        <v>0.01</v>
      </c>
      <c r="K108" s="98">
        <f t="shared" si="95"/>
        <v>0.01</v>
      </c>
      <c r="L108" s="91">
        <f t="shared" si="95"/>
        <v>0.3</v>
      </c>
      <c r="M108" s="92">
        <f t="shared" si="95"/>
        <v>0.3</v>
      </c>
      <c r="N108" s="93">
        <f t="shared" si="95"/>
        <v>0.01</v>
      </c>
      <c r="O108" s="89" t="s">
        <v>86</v>
      </c>
      <c r="P108" s="120"/>
      <c r="Q108" s="120"/>
      <c r="R108" s="120"/>
    </row>
    <row r="109" spans="1:18" outlineLevel="1" x14ac:dyDescent="0.2">
      <c r="A109" s="20">
        <f t="shared" si="96"/>
        <v>3565</v>
      </c>
      <c r="B109" s="19" t="str">
        <f t="shared" si="96"/>
        <v>TAMUC</v>
      </c>
      <c r="C109" s="90">
        <f t="shared" si="92"/>
        <v>0.65999999999999992</v>
      </c>
      <c r="D109" s="91">
        <f t="shared" si="95"/>
        <v>0.03</v>
      </c>
      <c r="E109" s="92">
        <f t="shared" si="95"/>
        <v>0.01</v>
      </c>
      <c r="F109" s="92">
        <f t="shared" si="95"/>
        <v>0.01</v>
      </c>
      <c r="G109" s="93">
        <f t="shared" si="95"/>
        <v>0.3</v>
      </c>
      <c r="H109" s="91">
        <f t="shared" si="95"/>
        <v>0.01</v>
      </c>
      <c r="I109" s="93">
        <f t="shared" si="95"/>
        <v>0.01</v>
      </c>
      <c r="J109" s="98">
        <f t="shared" si="95"/>
        <v>0.01</v>
      </c>
      <c r="K109" s="98">
        <f t="shared" si="95"/>
        <v>0.01</v>
      </c>
      <c r="L109" s="91">
        <f t="shared" si="95"/>
        <v>0.3</v>
      </c>
      <c r="M109" s="92">
        <f t="shared" si="95"/>
        <v>0.3</v>
      </c>
      <c r="N109" s="93">
        <f t="shared" si="95"/>
        <v>0.01</v>
      </c>
      <c r="O109" s="89" t="s">
        <v>84</v>
      </c>
      <c r="P109" s="120"/>
      <c r="Q109" s="120"/>
      <c r="R109" s="120"/>
    </row>
    <row r="110" spans="1:18" outlineLevel="1" x14ac:dyDescent="0.2">
      <c r="A110" s="20">
        <f t="shared" si="96"/>
        <v>29269</v>
      </c>
      <c r="B110" s="19" t="str">
        <f t="shared" si="96"/>
        <v>TAMUT</v>
      </c>
      <c r="C110" s="90">
        <f t="shared" si="92"/>
        <v>0.64</v>
      </c>
      <c r="D110" s="91">
        <f t="shared" si="95"/>
        <v>0.3</v>
      </c>
      <c r="E110" s="92">
        <f t="shared" si="95"/>
        <v>0.01</v>
      </c>
      <c r="F110" s="92">
        <f t="shared" si="95"/>
        <v>0.01</v>
      </c>
      <c r="G110" s="93">
        <f t="shared" si="95"/>
        <v>0.3</v>
      </c>
      <c r="H110" s="91">
        <f t="shared" si="95"/>
        <v>0.01</v>
      </c>
      <c r="I110" s="93">
        <f t="shared" si="95"/>
        <v>0.01</v>
      </c>
      <c r="J110" s="98">
        <f t="shared" si="95"/>
        <v>0.01</v>
      </c>
      <c r="K110" s="98">
        <f t="shared" si="95"/>
        <v>0.03</v>
      </c>
      <c r="L110" s="91">
        <f t="shared" si="95"/>
        <v>0.3</v>
      </c>
      <c r="M110" s="92">
        <f t="shared" si="95"/>
        <v>0.01</v>
      </c>
      <c r="N110" s="93">
        <f t="shared" si="95"/>
        <v>0.01</v>
      </c>
      <c r="O110" s="89" t="s">
        <v>85</v>
      </c>
      <c r="P110" s="120"/>
      <c r="Q110" s="120"/>
      <c r="R110" s="120"/>
    </row>
    <row r="111" spans="1:18" outlineLevel="1" x14ac:dyDescent="0.2">
      <c r="A111" s="20">
        <f t="shared" si="96"/>
        <v>3652</v>
      </c>
      <c r="B111" s="19" t="str">
        <f t="shared" si="96"/>
        <v>UH</v>
      </c>
      <c r="C111" s="90">
        <f t="shared" si="92"/>
        <v>0.65999999999999992</v>
      </c>
      <c r="D111" s="91">
        <f t="shared" ref="D111:N120" si="97">SUMIF($O$131:$O$135,$O111,D$131:D$135)</f>
        <v>0.03</v>
      </c>
      <c r="E111" s="92">
        <f t="shared" si="97"/>
        <v>0.01</v>
      </c>
      <c r="F111" s="92">
        <f t="shared" si="97"/>
        <v>0.01</v>
      </c>
      <c r="G111" s="93">
        <f t="shared" si="97"/>
        <v>0.3</v>
      </c>
      <c r="H111" s="91">
        <f t="shared" si="97"/>
        <v>0.01</v>
      </c>
      <c r="I111" s="93">
        <f t="shared" si="97"/>
        <v>0.01</v>
      </c>
      <c r="J111" s="98">
        <f t="shared" si="97"/>
        <v>0.01</v>
      </c>
      <c r="K111" s="98">
        <f t="shared" si="97"/>
        <v>0.01</v>
      </c>
      <c r="L111" s="91">
        <f t="shared" si="97"/>
        <v>0.3</v>
      </c>
      <c r="M111" s="92">
        <f t="shared" si="97"/>
        <v>0.3</v>
      </c>
      <c r="N111" s="93">
        <f t="shared" si="97"/>
        <v>0.01</v>
      </c>
      <c r="O111" s="89" t="s">
        <v>83</v>
      </c>
      <c r="P111" s="120"/>
      <c r="Q111" s="120"/>
      <c r="R111" s="120"/>
    </row>
    <row r="112" spans="1:18" outlineLevel="1" x14ac:dyDescent="0.2">
      <c r="A112" s="20">
        <f t="shared" si="96"/>
        <v>11711</v>
      </c>
      <c r="B112" s="19" t="str">
        <f t="shared" si="96"/>
        <v>UHCL</v>
      </c>
      <c r="C112" s="90">
        <f t="shared" si="92"/>
        <v>0.64</v>
      </c>
      <c r="D112" s="91">
        <f t="shared" si="97"/>
        <v>0.3</v>
      </c>
      <c r="E112" s="92">
        <f t="shared" si="97"/>
        <v>0.01</v>
      </c>
      <c r="F112" s="92">
        <f t="shared" si="97"/>
        <v>0.01</v>
      </c>
      <c r="G112" s="93">
        <f t="shared" si="97"/>
        <v>0.3</v>
      </c>
      <c r="H112" s="91">
        <f t="shared" si="97"/>
        <v>0.01</v>
      </c>
      <c r="I112" s="93">
        <f t="shared" si="97"/>
        <v>0.01</v>
      </c>
      <c r="J112" s="98">
        <f t="shared" si="97"/>
        <v>0.01</v>
      </c>
      <c r="K112" s="98">
        <f t="shared" si="97"/>
        <v>0.03</v>
      </c>
      <c r="L112" s="91">
        <f t="shared" si="97"/>
        <v>0.3</v>
      </c>
      <c r="M112" s="92">
        <f t="shared" si="97"/>
        <v>0.01</v>
      </c>
      <c r="N112" s="93">
        <f t="shared" si="97"/>
        <v>0.01</v>
      </c>
      <c r="O112" s="89" t="s">
        <v>85</v>
      </c>
      <c r="P112" s="120"/>
      <c r="Q112" s="120"/>
      <c r="R112" s="120"/>
    </row>
    <row r="113" spans="1:18" outlineLevel="1" x14ac:dyDescent="0.2">
      <c r="A113" s="20">
        <f t="shared" si="96"/>
        <v>12826</v>
      </c>
      <c r="B113" s="19" t="str">
        <f t="shared" si="96"/>
        <v>UHD</v>
      </c>
      <c r="C113" s="90">
        <f t="shared" si="92"/>
        <v>0.64</v>
      </c>
      <c r="D113" s="91">
        <f t="shared" si="97"/>
        <v>0.3</v>
      </c>
      <c r="E113" s="92">
        <f t="shared" si="97"/>
        <v>0.01</v>
      </c>
      <c r="F113" s="92">
        <f t="shared" si="97"/>
        <v>0.01</v>
      </c>
      <c r="G113" s="93">
        <f t="shared" si="97"/>
        <v>0.3</v>
      </c>
      <c r="H113" s="91">
        <f t="shared" si="97"/>
        <v>0.01</v>
      </c>
      <c r="I113" s="93">
        <f t="shared" si="97"/>
        <v>0.01</v>
      </c>
      <c r="J113" s="98">
        <f t="shared" si="97"/>
        <v>0.01</v>
      </c>
      <c r="K113" s="98">
        <f t="shared" si="97"/>
        <v>0.03</v>
      </c>
      <c r="L113" s="91">
        <f t="shared" si="97"/>
        <v>0.3</v>
      </c>
      <c r="M113" s="92">
        <f t="shared" si="97"/>
        <v>0.01</v>
      </c>
      <c r="N113" s="93">
        <f t="shared" si="97"/>
        <v>0.01</v>
      </c>
      <c r="O113" s="89" t="s">
        <v>85</v>
      </c>
      <c r="P113" s="120"/>
      <c r="Q113" s="120"/>
      <c r="R113" s="120"/>
    </row>
    <row r="114" spans="1:18" outlineLevel="1" x14ac:dyDescent="0.2">
      <c r="A114" s="20">
        <f t="shared" si="96"/>
        <v>13231</v>
      </c>
      <c r="B114" s="19" t="str">
        <f t="shared" si="96"/>
        <v>UHV</v>
      </c>
      <c r="C114" s="90">
        <f t="shared" si="92"/>
        <v>0.64</v>
      </c>
      <c r="D114" s="91">
        <f t="shared" si="97"/>
        <v>0.3</v>
      </c>
      <c r="E114" s="92">
        <f t="shared" si="97"/>
        <v>0.01</v>
      </c>
      <c r="F114" s="92">
        <f t="shared" si="97"/>
        <v>0.01</v>
      </c>
      <c r="G114" s="93">
        <f t="shared" si="97"/>
        <v>0.3</v>
      </c>
      <c r="H114" s="91">
        <f t="shared" si="97"/>
        <v>0.01</v>
      </c>
      <c r="I114" s="93">
        <f t="shared" si="97"/>
        <v>0.01</v>
      </c>
      <c r="J114" s="98">
        <f t="shared" si="97"/>
        <v>0.01</v>
      </c>
      <c r="K114" s="98">
        <f t="shared" si="97"/>
        <v>0.03</v>
      </c>
      <c r="L114" s="91">
        <f t="shared" si="97"/>
        <v>0.3</v>
      </c>
      <c r="M114" s="92">
        <f t="shared" si="97"/>
        <v>0.01</v>
      </c>
      <c r="N114" s="93">
        <f t="shared" si="97"/>
        <v>0.01</v>
      </c>
      <c r="O114" s="89" t="s">
        <v>85</v>
      </c>
      <c r="P114" s="120"/>
      <c r="Q114" s="120"/>
      <c r="R114" s="120"/>
    </row>
    <row r="115" spans="1:18" outlineLevel="1" x14ac:dyDescent="0.2">
      <c r="A115" s="20">
        <f t="shared" si="96"/>
        <v>3592</v>
      </c>
      <c r="B115" s="19" t="str">
        <f t="shared" si="96"/>
        <v>Midwestern</v>
      </c>
      <c r="C115" s="90">
        <f t="shared" si="92"/>
        <v>0.64</v>
      </c>
      <c r="D115" s="91">
        <f t="shared" si="97"/>
        <v>0.3</v>
      </c>
      <c r="E115" s="92">
        <f t="shared" si="97"/>
        <v>0.01</v>
      </c>
      <c r="F115" s="92">
        <f t="shared" si="97"/>
        <v>0.01</v>
      </c>
      <c r="G115" s="93">
        <f t="shared" si="97"/>
        <v>0.3</v>
      </c>
      <c r="H115" s="91">
        <f t="shared" si="97"/>
        <v>0.01</v>
      </c>
      <c r="I115" s="93">
        <f t="shared" si="97"/>
        <v>0.01</v>
      </c>
      <c r="J115" s="98">
        <f t="shared" si="97"/>
        <v>0.01</v>
      </c>
      <c r="K115" s="98">
        <f t="shared" si="97"/>
        <v>0.03</v>
      </c>
      <c r="L115" s="91">
        <f t="shared" si="97"/>
        <v>0.3</v>
      </c>
      <c r="M115" s="92">
        <f t="shared" si="97"/>
        <v>0.01</v>
      </c>
      <c r="N115" s="93">
        <f t="shared" si="97"/>
        <v>0.01</v>
      </c>
      <c r="O115" s="89" t="s">
        <v>85</v>
      </c>
      <c r="P115" s="120"/>
      <c r="Q115" s="120"/>
      <c r="R115" s="120"/>
    </row>
    <row r="116" spans="1:18" outlineLevel="1" x14ac:dyDescent="0.2">
      <c r="A116" s="20">
        <f t="shared" si="96"/>
        <v>3594</v>
      </c>
      <c r="B116" s="19" t="str">
        <f t="shared" si="96"/>
        <v>UNT</v>
      </c>
      <c r="C116" s="90">
        <f t="shared" si="92"/>
        <v>0.65999999999999992</v>
      </c>
      <c r="D116" s="91">
        <f t="shared" si="97"/>
        <v>0.03</v>
      </c>
      <c r="E116" s="92">
        <f t="shared" si="97"/>
        <v>0.01</v>
      </c>
      <c r="F116" s="92">
        <f t="shared" si="97"/>
        <v>0.01</v>
      </c>
      <c r="G116" s="93">
        <f t="shared" si="97"/>
        <v>0.3</v>
      </c>
      <c r="H116" s="91">
        <f t="shared" si="97"/>
        <v>0.01</v>
      </c>
      <c r="I116" s="93">
        <f t="shared" si="97"/>
        <v>0.01</v>
      </c>
      <c r="J116" s="98">
        <f t="shared" si="97"/>
        <v>0.01</v>
      </c>
      <c r="K116" s="98">
        <f t="shared" si="97"/>
        <v>0.01</v>
      </c>
      <c r="L116" s="91">
        <f t="shared" si="97"/>
        <v>0.3</v>
      </c>
      <c r="M116" s="92">
        <f t="shared" si="97"/>
        <v>0.3</v>
      </c>
      <c r="N116" s="93">
        <f t="shared" si="97"/>
        <v>0.01</v>
      </c>
      <c r="O116" s="89" t="s">
        <v>83</v>
      </c>
      <c r="P116" s="120"/>
      <c r="Q116" s="120"/>
      <c r="R116" s="120"/>
    </row>
    <row r="117" spans="1:18" outlineLevel="1" x14ac:dyDescent="0.2">
      <c r="A117" s="27">
        <f t="shared" si="96"/>
        <v>113594</v>
      </c>
      <c r="B117" s="19" t="str">
        <f t="shared" si="96"/>
        <v>UNTD</v>
      </c>
      <c r="C117" s="90">
        <f t="shared" si="92"/>
        <v>0.64</v>
      </c>
      <c r="D117" s="91">
        <f t="shared" si="97"/>
        <v>0.3</v>
      </c>
      <c r="E117" s="92">
        <f t="shared" si="97"/>
        <v>0.01</v>
      </c>
      <c r="F117" s="92">
        <f t="shared" si="97"/>
        <v>0.01</v>
      </c>
      <c r="G117" s="93">
        <f t="shared" si="97"/>
        <v>0.3</v>
      </c>
      <c r="H117" s="91">
        <f t="shared" si="97"/>
        <v>0.01</v>
      </c>
      <c r="I117" s="93">
        <f t="shared" si="97"/>
        <v>0.01</v>
      </c>
      <c r="J117" s="98">
        <f t="shared" si="97"/>
        <v>0.01</v>
      </c>
      <c r="K117" s="98">
        <f t="shared" si="97"/>
        <v>0.03</v>
      </c>
      <c r="L117" s="91">
        <f t="shared" si="97"/>
        <v>0.3</v>
      </c>
      <c r="M117" s="92">
        <f t="shared" si="97"/>
        <v>0.01</v>
      </c>
      <c r="N117" s="93">
        <f t="shared" si="97"/>
        <v>0.01</v>
      </c>
      <c r="O117" s="89" t="s">
        <v>85</v>
      </c>
      <c r="P117" s="120"/>
      <c r="Q117" s="120"/>
      <c r="R117" s="120"/>
    </row>
    <row r="118" spans="1:18" outlineLevel="1" x14ac:dyDescent="0.2">
      <c r="A118" s="20">
        <f t="shared" si="96"/>
        <v>3624</v>
      </c>
      <c r="B118" s="19" t="str">
        <f t="shared" si="96"/>
        <v>SFA</v>
      </c>
      <c r="C118" s="90">
        <f t="shared" si="92"/>
        <v>0.65999999999999992</v>
      </c>
      <c r="D118" s="91">
        <f t="shared" si="97"/>
        <v>0.03</v>
      </c>
      <c r="E118" s="92">
        <f t="shared" si="97"/>
        <v>0.01</v>
      </c>
      <c r="F118" s="92">
        <f t="shared" si="97"/>
        <v>0.01</v>
      </c>
      <c r="G118" s="93">
        <f t="shared" si="97"/>
        <v>0.3</v>
      </c>
      <c r="H118" s="91">
        <f t="shared" si="97"/>
        <v>0.01</v>
      </c>
      <c r="I118" s="93">
        <f t="shared" si="97"/>
        <v>0.01</v>
      </c>
      <c r="J118" s="98">
        <f t="shared" si="97"/>
        <v>0.01</v>
      </c>
      <c r="K118" s="98">
        <f t="shared" si="97"/>
        <v>0.01</v>
      </c>
      <c r="L118" s="91">
        <f t="shared" si="97"/>
        <v>0.3</v>
      </c>
      <c r="M118" s="92">
        <f t="shared" si="97"/>
        <v>0.3</v>
      </c>
      <c r="N118" s="93">
        <f t="shared" si="97"/>
        <v>0.01</v>
      </c>
      <c r="O118" s="89" t="s">
        <v>86</v>
      </c>
      <c r="P118" s="120"/>
      <c r="Q118" s="120"/>
      <c r="R118" s="120"/>
    </row>
    <row r="119" spans="1:18" outlineLevel="1" x14ac:dyDescent="0.2">
      <c r="A119" s="20">
        <f t="shared" si="96"/>
        <v>3642</v>
      </c>
      <c r="B119" s="19" t="str">
        <f t="shared" si="96"/>
        <v>TSU</v>
      </c>
      <c r="C119" s="90">
        <f t="shared" si="92"/>
        <v>0.65999999999999992</v>
      </c>
      <c r="D119" s="91">
        <f t="shared" si="97"/>
        <v>0.03</v>
      </c>
      <c r="E119" s="92">
        <f t="shared" si="97"/>
        <v>0.01</v>
      </c>
      <c r="F119" s="92">
        <f t="shared" si="97"/>
        <v>0.01</v>
      </c>
      <c r="G119" s="93">
        <f t="shared" si="97"/>
        <v>0.3</v>
      </c>
      <c r="H119" s="91">
        <f t="shared" si="97"/>
        <v>0.01</v>
      </c>
      <c r="I119" s="93">
        <f t="shared" si="97"/>
        <v>0.01</v>
      </c>
      <c r="J119" s="98">
        <f t="shared" si="97"/>
        <v>0.01</v>
      </c>
      <c r="K119" s="98">
        <f t="shared" si="97"/>
        <v>0.01</v>
      </c>
      <c r="L119" s="91">
        <f t="shared" si="97"/>
        <v>0.3</v>
      </c>
      <c r="M119" s="92">
        <f t="shared" si="97"/>
        <v>0.3</v>
      </c>
      <c r="N119" s="93">
        <f t="shared" si="97"/>
        <v>0.01</v>
      </c>
      <c r="O119" s="89" t="s">
        <v>84</v>
      </c>
      <c r="P119" s="120"/>
      <c r="Q119" s="120"/>
      <c r="R119" s="120"/>
    </row>
    <row r="120" spans="1:18" outlineLevel="1" x14ac:dyDescent="0.2">
      <c r="A120" s="20">
        <f t="shared" si="96"/>
        <v>3644</v>
      </c>
      <c r="B120" s="19" t="str">
        <f t="shared" si="96"/>
        <v>TTU</v>
      </c>
      <c r="C120" s="90">
        <f t="shared" si="92"/>
        <v>0.65999999999999992</v>
      </c>
      <c r="D120" s="91">
        <f t="shared" si="97"/>
        <v>0.03</v>
      </c>
      <c r="E120" s="92">
        <f t="shared" si="97"/>
        <v>0.01</v>
      </c>
      <c r="F120" s="92">
        <f t="shared" si="97"/>
        <v>0.01</v>
      </c>
      <c r="G120" s="93">
        <f t="shared" si="97"/>
        <v>0.3</v>
      </c>
      <c r="H120" s="91">
        <f t="shared" si="97"/>
        <v>0.01</v>
      </c>
      <c r="I120" s="93">
        <f t="shared" si="97"/>
        <v>0.01</v>
      </c>
      <c r="J120" s="98">
        <f t="shared" si="97"/>
        <v>0.01</v>
      </c>
      <c r="K120" s="98">
        <f t="shared" si="97"/>
        <v>0.01</v>
      </c>
      <c r="L120" s="91">
        <f t="shared" si="97"/>
        <v>0.3</v>
      </c>
      <c r="M120" s="92">
        <f t="shared" si="97"/>
        <v>0.3</v>
      </c>
      <c r="N120" s="93">
        <f t="shared" si="97"/>
        <v>0.01</v>
      </c>
      <c r="O120" s="89" t="s">
        <v>83</v>
      </c>
      <c r="P120" s="120"/>
      <c r="Q120" s="120"/>
      <c r="R120" s="120"/>
    </row>
    <row r="121" spans="1:18" outlineLevel="1" x14ac:dyDescent="0.2">
      <c r="A121" s="20">
        <f t="shared" si="96"/>
        <v>3541</v>
      </c>
      <c r="B121" s="19" t="str">
        <f t="shared" si="96"/>
        <v>Angelo</v>
      </c>
      <c r="C121" s="90">
        <f t="shared" si="92"/>
        <v>0.64</v>
      </c>
      <c r="D121" s="91">
        <f t="shared" ref="D121:N127" si="98">SUMIF($O$131:$O$135,$O121,D$131:D$135)</f>
        <v>0.3</v>
      </c>
      <c r="E121" s="92">
        <f t="shared" si="98"/>
        <v>0.01</v>
      </c>
      <c r="F121" s="92">
        <f t="shared" si="98"/>
        <v>0.01</v>
      </c>
      <c r="G121" s="93">
        <f t="shared" si="98"/>
        <v>0.3</v>
      </c>
      <c r="H121" s="91">
        <f t="shared" si="98"/>
        <v>0.01</v>
      </c>
      <c r="I121" s="93">
        <f t="shared" si="98"/>
        <v>0.01</v>
      </c>
      <c r="J121" s="98">
        <f t="shared" si="98"/>
        <v>0.01</v>
      </c>
      <c r="K121" s="98">
        <f t="shared" si="98"/>
        <v>0.03</v>
      </c>
      <c r="L121" s="91">
        <f t="shared" si="98"/>
        <v>0.3</v>
      </c>
      <c r="M121" s="92">
        <f t="shared" si="98"/>
        <v>0.01</v>
      </c>
      <c r="N121" s="93">
        <f t="shared" si="98"/>
        <v>0.01</v>
      </c>
      <c r="O121" s="89" t="s">
        <v>85</v>
      </c>
      <c r="P121" s="120"/>
      <c r="Q121" s="120"/>
      <c r="R121" s="120"/>
    </row>
    <row r="122" spans="1:18" outlineLevel="1" x14ac:dyDescent="0.2">
      <c r="A122" s="20">
        <f t="shared" ref="A122:B127" si="99">A37</f>
        <v>3646</v>
      </c>
      <c r="B122" s="19" t="str">
        <f t="shared" si="99"/>
        <v>TWU</v>
      </c>
      <c r="C122" s="90">
        <f t="shared" si="92"/>
        <v>0.65999999999999992</v>
      </c>
      <c r="D122" s="91">
        <f t="shared" si="98"/>
        <v>0.03</v>
      </c>
      <c r="E122" s="92">
        <f t="shared" si="98"/>
        <v>0.01</v>
      </c>
      <c r="F122" s="92">
        <f t="shared" si="98"/>
        <v>0.01</v>
      </c>
      <c r="G122" s="93">
        <f t="shared" si="98"/>
        <v>0.3</v>
      </c>
      <c r="H122" s="91">
        <f t="shared" si="98"/>
        <v>0.01</v>
      </c>
      <c r="I122" s="93">
        <f t="shared" si="98"/>
        <v>0.01</v>
      </c>
      <c r="J122" s="98">
        <f t="shared" si="98"/>
        <v>0.01</v>
      </c>
      <c r="K122" s="98">
        <f t="shared" si="98"/>
        <v>0.01</v>
      </c>
      <c r="L122" s="91">
        <f t="shared" si="98"/>
        <v>0.3</v>
      </c>
      <c r="M122" s="92">
        <f t="shared" si="98"/>
        <v>0.3</v>
      </c>
      <c r="N122" s="93">
        <f t="shared" si="98"/>
        <v>0.01</v>
      </c>
      <c r="O122" s="89" t="s">
        <v>84</v>
      </c>
      <c r="P122" s="120"/>
      <c r="Q122" s="120"/>
      <c r="R122" s="120"/>
    </row>
    <row r="123" spans="1:18" outlineLevel="1" x14ac:dyDescent="0.2">
      <c r="A123" s="20">
        <f t="shared" si="99"/>
        <v>3581</v>
      </c>
      <c r="B123" s="19" t="str">
        <f t="shared" si="99"/>
        <v>Lamar</v>
      </c>
      <c r="C123" s="90">
        <f t="shared" si="92"/>
        <v>0.65999999999999992</v>
      </c>
      <c r="D123" s="91">
        <f t="shared" si="98"/>
        <v>0.03</v>
      </c>
      <c r="E123" s="92">
        <f t="shared" si="98"/>
        <v>0.01</v>
      </c>
      <c r="F123" s="92">
        <f t="shared" si="98"/>
        <v>0.01</v>
      </c>
      <c r="G123" s="93">
        <f t="shared" si="98"/>
        <v>0.3</v>
      </c>
      <c r="H123" s="91">
        <f t="shared" si="98"/>
        <v>0.01</v>
      </c>
      <c r="I123" s="93">
        <f t="shared" si="98"/>
        <v>0.01</v>
      </c>
      <c r="J123" s="98">
        <f t="shared" si="98"/>
        <v>0.01</v>
      </c>
      <c r="K123" s="98">
        <f t="shared" si="98"/>
        <v>0.01</v>
      </c>
      <c r="L123" s="91">
        <f t="shared" si="98"/>
        <v>0.3</v>
      </c>
      <c r="M123" s="92">
        <f t="shared" si="98"/>
        <v>0.3</v>
      </c>
      <c r="N123" s="93">
        <f t="shared" si="98"/>
        <v>0.01</v>
      </c>
      <c r="O123" s="89" t="s">
        <v>86</v>
      </c>
      <c r="P123" s="120"/>
      <c r="Q123" s="120"/>
      <c r="R123" s="120"/>
    </row>
    <row r="124" spans="1:18" outlineLevel="1" x14ac:dyDescent="0.2">
      <c r="A124" s="20">
        <f t="shared" si="99"/>
        <v>3606</v>
      </c>
      <c r="B124" s="19" t="str">
        <f t="shared" si="99"/>
        <v>SHSU</v>
      </c>
      <c r="C124" s="90">
        <f t="shared" si="92"/>
        <v>0.65999999999999992</v>
      </c>
      <c r="D124" s="91">
        <f t="shared" si="98"/>
        <v>0.03</v>
      </c>
      <c r="E124" s="92">
        <f t="shared" si="98"/>
        <v>0.01</v>
      </c>
      <c r="F124" s="92">
        <f t="shared" si="98"/>
        <v>0.01</v>
      </c>
      <c r="G124" s="93">
        <f t="shared" si="98"/>
        <v>0.3</v>
      </c>
      <c r="H124" s="91">
        <f t="shared" si="98"/>
        <v>0.01</v>
      </c>
      <c r="I124" s="93">
        <f t="shared" si="98"/>
        <v>0.01</v>
      </c>
      <c r="J124" s="98">
        <f t="shared" si="98"/>
        <v>0.01</v>
      </c>
      <c r="K124" s="98">
        <f t="shared" si="98"/>
        <v>0.01</v>
      </c>
      <c r="L124" s="91">
        <f t="shared" si="98"/>
        <v>0.3</v>
      </c>
      <c r="M124" s="92">
        <f t="shared" si="98"/>
        <v>0.3</v>
      </c>
      <c r="N124" s="93">
        <f t="shared" si="98"/>
        <v>0.01</v>
      </c>
      <c r="O124" s="89" t="s">
        <v>84</v>
      </c>
      <c r="P124" s="120"/>
      <c r="Q124" s="120"/>
      <c r="R124" s="120"/>
    </row>
    <row r="125" spans="1:18" outlineLevel="1" x14ac:dyDescent="0.2">
      <c r="A125" s="20">
        <f t="shared" si="99"/>
        <v>3615</v>
      </c>
      <c r="B125" s="19" t="str">
        <f t="shared" si="99"/>
        <v>TXST</v>
      </c>
      <c r="C125" s="90">
        <f t="shared" si="92"/>
        <v>0.65999999999999992</v>
      </c>
      <c r="D125" s="91">
        <f t="shared" si="98"/>
        <v>0.03</v>
      </c>
      <c r="E125" s="92">
        <f t="shared" si="98"/>
        <v>0.01</v>
      </c>
      <c r="F125" s="92">
        <f t="shared" si="98"/>
        <v>0.01</v>
      </c>
      <c r="G125" s="93">
        <f t="shared" si="98"/>
        <v>0.3</v>
      </c>
      <c r="H125" s="91">
        <f t="shared" si="98"/>
        <v>0.01</v>
      </c>
      <c r="I125" s="93">
        <f t="shared" si="98"/>
        <v>0.01</v>
      </c>
      <c r="J125" s="98">
        <f t="shared" si="98"/>
        <v>0.01</v>
      </c>
      <c r="K125" s="98">
        <f t="shared" si="98"/>
        <v>0.01</v>
      </c>
      <c r="L125" s="91">
        <f t="shared" si="98"/>
        <v>0.3</v>
      </c>
      <c r="M125" s="92">
        <f t="shared" si="98"/>
        <v>0.3</v>
      </c>
      <c r="N125" s="93">
        <f t="shared" si="98"/>
        <v>0.01</v>
      </c>
      <c r="O125" s="89" t="s">
        <v>83</v>
      </c>
      <c r="P125" s="120"/>
      <c r="Q125" s="120"/>
      <c r="R125" s="120"/>
    </row>
    <row r="126" spans="1:18" outlineLevel="1" x14ac:dyDescent="0.2">
      <c r="A126" s="20">
        <f t="shared" si="99"/>
        <v>3625</v>
      </c>
      <c r="B126" s="19" t="str">
        <f t="shared" si="99"/>
        <v>SRSU</v>
      </c>
      <c r="C126" s="90">
        <f t="shared" si="92"/>
        <v>0.64</v>
      </c>
      <c r="D126" s="91">
        <f t="shared" si="98"/>
        <v>0.3</v>
      </c>
      <c r="E126" s="92">
        <f t="shared" si="98"/>
        <v>0.01</v>
      </c>
      <c r="F126" s="92">
        <f t="shared" si="98"/>
        <v>0.01</v>
      </c>
      <c r="G126" s="93">
        <f t="shared" si="98"/>
        <v>0.3</v>
      </c>
      <c r="H126" s="91">
        <f t="shared" si="98"/>
        <v>0.01</v>
      </c>
      <c r="I126" s="93">
        <f t="shared" si="98"/>
        <v>0.01</v>
      </c>
      <c r="J126" s="98">
        <f t="shared" si="98"/>
        <v>0.01</v>
      </c>
      <c r="K126" s="98">
        <f t="shared" si="98"/>
        <v>0.03</v>
      </c>
      <c r="L126" s="91">
        <f t="shared" si="98"/>
        <v>0.3</v>
      </c>
      <c r="M126" s="92">
        <f t="shared" si="98"/>
        <v>0.01</v>
      </c>
      <c r="N126" s="93">
        <f t="shared" si="98"/>
        <v>0.01</v>
      </c>
      <c r="O126" s="89" t="s">
        <v>85</v>
      </c>
      <c r="P126" s="120"/>
      <c r="Q126" s="120"/>
      <c r="R126" s="120"/>
    </row>
    <row r="127" spans="1:18" outlineLevel="1" x14ac:dyDescent="0.2">
      <c r="A127" s="20">
        <f t="shared" si="99"/>
        <v>20</v>
      </c>
      <c r="B127" s="19" t="str">
        <f t="shared" si="99"/>
        <v>SRRG</v>
      </c>
      <c r="C127" s="90">
        <f t="shared" si="92"/>
        <v>0.64</v>
      </c>
      <c r="D127" s="91">
        <f t="shared" si="98"/>
        <v>0.3</v>
      </c>
      <c r="E127" s="92">
        <f t="shared" si="98"/>
        <v>0.01</v>
      </c>
      <c r="F127" s="92">
        <f t="shared" si="98"/>
        <v>0.01</v>
      </c>
      <c r="G127" s="93">
        <f t="shared" si="98"/>
        <v>0.3</v>
      </c>
      <c r="H127" s="91">
        <f t="shared" si="98"/>
        <v>0.01</v>
      </c>
      <c r="I127" s="93">
        <f t="shared" si="98"/>
        <v>0.01</v>
      </c>
      <c r="J127" s="98">
        <f t="shared" si="98"/>
        <v>0.01</v>
      </c>
      <c r="K127" s="98">
        <f t="shared" si="98"/>
        <v>0.03</v>
      </c>
      <c r="L127" s="91">
        <f t="shared" si="98"/>
        <v>0.3</v>
      </c>
      <c r="M127" s="92">
        <f t="shared" si="98"/>
        <v>0.01</v>
      </c>
      <c r="N127" s="93">
        <f t="shared" si="98"/>
        <v>0.01</v>
      </c>
      <c r="O127" s="89" t="s">
        <v>85</v>
      </c>
      <c r="P127" s="120"/>
      <c r="Q127" s="120"/>
      <c r="R127" s="120"/>
    </row>
    <row r="128" spans="1:18" ht="13.5" thickBot="1" x14ac:dyDescent="0.25">
      <c r="A128" s="121" t="s">
        <v>89</v>
      </c>
      <c r="B128" s="72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20"/>
      <c r="P128" s="120"/>
      <c r="Q128" s="120"/>
      <c r="R128" s="120"/>
    </row>
    <row r="129" spans="1:18" ht="12.75" customHeight="1" x14ac:dyDescent="0.2">
      <c r="A129" s="118"/>
      <c r="B129" s="72"/>
      <c r="C129" s="277" t="s">
        <v>77</v>
      </c>
      <c r="D129" s="279" t="s">
        <v>35</v>
      </c>
      <c r="E129" s="280"/>
      <c r="F129" s="280"/>
      <c r="G129" s="281"/>
      <c r="H129" s="282" t="s">
        <v>18</v>
      </c>
      <c r="I129" s="291" t="s">
        <v>17</v>
      </c>
      <c r="J129" s="332" t="s">
        <v>126</v>
      </c>
      <c r="K129" s="293" t="s">
        <v>16</v>
      </c>
      <c r="L129" s="295" t="s">
        <v>34</v>
      </c>
      <c r="M129" s="296"/>
      <c r="N129" s="296"/>
      <c r="O129" s="308" t="s">
        <v>99</v>
      </c>
    </row>
    <row r="130" spans="1:18" ht="51.75" thickBot="1" x14ac:dyDescent="0.25">
      <c r="A130" s="118"/>
      <c r="B130" s="72"/>
      <c r="C130" s="278"/>
      <c r="D130" s="68"/>
      <c r="E130" s="67" t="s">
        <v>33</v>
      </c>
      <c r="F130" s="67" t="s">
        <v>32</v>
      </c>
      <c r="G130" s="152" t="s">
        <v>31</v>
      </c>
      <c r="H130" s="283"/>
      <c r="I130" s="292"/>
      <c r="J130" s="333"/>
      <c r="K130" s="294"/>
      <c r="L130" s="44" t="s">
        <v>14</v>
      </c>
      <c r="M130" s="43" t="s">
        <v>13</v>
      </c>
      <c r="N130" s="42" t="s">
        <v>12</v>
      </c>
      <c r="O130" s="309"/>
    </row>
    <row r="131" spans="1:18" x14ac:dyDescent="0.2">
      <c r="A131" s="118"/>
      <c r="B131" s="72"/>
      <c r="C131" s="122">
        <f>SUM(D131:N131)-I131</f>
        <v>0.99</v>
      </c>
      <c r="D131" s="158">
        <f t="shared" ref="D131:H135" si="100">HLOOKUP(D143,$D$149:$N$150,2,0)</f>
        <v>0.03</v>
      </c>
      <c r="E131" s="159">
        <f t="shared" si="100"/>
        <v>0.01</v>
      </c>
      <c r="F131" s="159">
        <f t="shared" si="100"/>
        <v>0.01</v>
      </c>
      <c r="G131" s="160">
        <f t="shared" si="100"/>
        <v>0.3</v>
      </c>
      <c r="H131" s="158">
        <f t="shared" si="100"/>
        <v>0.01</v>
      </c>
      <c r="I131" s="160">
        <f>H131</f>
        <v>0.01</v>
      </c>
      <c r="J131" s="161">
        <f t="shared" ref="J131:N135" si="101">HLOOKUP(J143,$D$149:$N$150,2,0)</f>
        <v>0.01</v>
      </c>
      <c r="K131" s="161">
        <f t="shared" si="101"/>
        <v>0.01</v>
      </c>
      <c r="L131" s="158">
        <f t="shared" si="101"/>
        <v>0.3</v>
      </c>
      <c r="M131" s="159">
        <f t="shared" si="101"/>
        <v>0.3</v>
      </c>
      <c r="N131" s="160">
        <f t="shared" si="101"/>
        <v>0.01</v>
      </c>
      <c r="O131" s="88" t="s">
        <v>82</v>
      </c>
      <c r="P131" s="236"/>
      <c r="Q131" s="236"/>
      <c r="R131" s="236"/>
    </row>
    <row r="132" spans="1:18" x14ac:dyDescent="0.2">
      <c r="A132" s="118"/>
      <c r="B132" s="72"/>
      <c r="C132" s="122">
        <f>SUM(D132:N132)-I132</f>
        <v>0.99</v>
      </c>
      <c r="D132" s="161">
        <f t="shared" si="100"/>
        <v>0.03</v>
      </c>
      <c r="E132" s="162">
        <f t="shared" si="100"/>
        <v>0.01</v>
      </c>
      <c r="F132" s="162">
        <f t="shared" si="100"/>
        <v>0.01</v>
      </c>
      <c r="G132" s="163">
        <f t="shared" si="100"/>
        <v>0.3</v>
      </c>
      <c r="H132" s="161">
        <f t="shared" si="100"/>
        <v>0.01</v>
      </c>
      <c r="I132" s="163">
        <f t="shared" ref="I132:I135" si="102">H132</f>
        <v>0.01</v>
      </c>
      <c r="J132" s="161">
        <f t="shared" si="101"/>
        <v>0.01</v>
      </c>
      <c r="K132" s="161">
        <f t="shared" si="101"/>
        <v>0.01</v>
      </c>
      <c r="L132" s="161">
        <f t="shared" si="101"/>
        <v>0.3</v>
      </c>
      <c r="M132" s="162">
        <f t="shared" si="101"/>
        <v>0.3</v>
      </c>
      <c r="N132" s="163">
        <f t="shared" si="101"/>
        <v>0.01</v>
      </c>
      <c r="O132" s="89" t="s">
        <v>83</v>
      </c>
      <c r="P132" s="120"/>
      <c r="Q132" s="120"/>
      <c r="R132" s="120"/>
    </row>
    <row r="133" spans="1:18" x14ac:dyDescent="0.2">
      <c r="A133" s="118"/>
      <c r="B133" s="72"/>
      <c r="C133" s="122">
        <f>SUM(D133:N133)-I133</f>
        <v>0.99</v>
      </c>
      <c r="D133" s="161">
        <f t="shared" si="100"/>
        <v>0.03</v>
      </c>
      <c r="E133" s="162">
        <f t="shared" si="100"/>
        <v>0.01</v>
      </c>
      <c r="F133" s="162">
        <f t="shared" si="100"/>
        <v>0.01</v>
      </c>
      <c r="G133" s="163">
        <f t="shared" si="100"/>
        <v>0.3</v>
      </c>
      <c r="H133" s="161">
        <f t="shared" si="100"/>
        <v>0.01</v>
      </c>
      <c r="I133" s="163">
        <f t="shared" si="102"/>
        <v>0.01</v>
      </c>
      <c r="J133" s="161">
        <f t="shared" si="101"/>
        <v>0.01</v>
      </c>
      <c r="K133" s="161">
        <f t="shared" si="101"/>
        <v>0.01</v>
      </c>
      <c r="L133" s="161">
        <f t="shared" si="101"/>
        <v>0.3</v>
      </c>
      <c r="M133" s="162">
        <f t="shared" si="101"/>
        <v>0.3</v>
      </c>
      <c r="N133" s="163">
        <f t="shared" si="101"/>
        <v>0.01</v>
      </c>
      <c r="O133" s="89" t="s">
        <v>84</v>
      </c>
      <c r="P133" s="120"/>
      <c r="Q133" s="120"/>
      <c r="R133" s="120"/>
    </row>
    <row r="134" spans="1:18" x14ac:dyDescent="0.2">
      <c r="A134" s="118"/>
      <c r="B134" s="72"/>
      <c r="C134" s="122">
        <f>SUM(D134:N134)-I134</f>
        <v>0.99</v>
      </c>
      <c r="D134" s="161">
        <f t="shared" si="100"/>
        <v>0.03</v>
      </c>
      <c r="E134" s="162">
        <f t="shared" si="100"/>
        <v>0.01</v>
      </c>
      <c r="F134" s="162">
        <f t="shared" si="100"/>
        <v>0.01</v>
      </c>
      <c r="G134" s="163">
        <f t="shared" si="100"/>
        <v>0.3</v>
      </c>
      <c r="H134" s="161">
        <f t="shared" si="100"/>
        <v>0.01</v>
      </c>
      <c r="I134" s="163">
        <f t="shared" si="102"/>
        <v>0.01</v>
      </c>
      <c r="J134" s="161">
        <f t="shared" si="101"/>
        <v>0.01</v>
      </c>
      <c r="K134" s="161">
        <f t="shared" si="101"/>
        <v>0.01</v>
      </c>
      <c r="L134" s="161">
        <f t="shared" si="101"/>
        <v>0.3</v>
      </c>
      <c r="M134" s="162">
        <f t="shared" si="101"/>
        <v>0.3</v>
      </c>
      <c r="N134" s="163">
        <f t="shared" si="101"/>
        <v>0.01</v>
      </c>
      <c r="O134" s="89" t="s">
        <v>86</v>
      </c>
      <c r="P134" s="120"/>
      <c r="Q134" s="120"/>
      <c r="R134" s="120"/>
    </row>
    <row r="135" spans="1:18" x14ac:dyDescent="0.2">
      <c r="A135" s="118"/>
      <c r="B135" s="72"/>
      <c r="C135" s="122">
        <f>SUM(D135:N135)-I135</f>
        <v>0.99</v>
      </c>
      <c r="D135" s="161">
        <f t="shared" si="100"/>
        <v>0.3</v>
      </c>
      <c r="E135" s="162">
        <f t="shared" si="100"/>
        <v>0.01</v>
      </c>
      <c r="F135" s="162">
        <f t="shared" si="100"/>
        <v>0.01</v>
      </c>
      <c r="G135" s="163">
        <f t="shared" si="100"/>
        <v>0.3</v>
      </c>
      <c r="H135" s="161">
        <f t="shared" si="100"/>
        <v>0.01</v>
      </c>
      <c r="I135" s="163">
        <f t="shared" si="102"/>
        <v>0.01</v>
      </c>
      <c r="J135" s="161">
        <f t="shared" si="101"/>
        <v>0.01</v>
      </c>
      <c r="K135" s="161">
        <f t="shared" si="101"/>
        <v>0.03</v>
      </c>
      <c r="L135" s="161">
        <f t="shared" si="101"/>
        <v>0.3</v>
      </c>
      <c r="M135" s="162">
        <f t="shared" si="101"/>
        <v>0.01</v>
      </c>
      <c r="N135" s="163">
        <f t="shared" si="101"/>
        <v>0.01</v>
      </c>
      <c r="O135" s="89" t="s">
        <v>85</v>
      </c>
      <c r="P135" s="120"/>
      <c r="Q135" s="120"/>
      <c r="R135" s="120"/>
    </row>
    <row r="136" spans="1:18" ht="13.5" thickBot="1" x14ac:dyDescent="0.25">
      <c r="A136" s="121" t="s">
        <v>112</v>
      </c>
      <c r="B136" s="72"/>
      <c r="C136" s="156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20"/>
      <c r="P136" s="120"/>
      <c r="Q136" s="120"/>
      <c r="R136" s="120"/>
    </row>
    <row r="137" spans="1:18" x14ac:dyDescent="0.2">
      <c r="A137" s="118"/>
      <c r="B137" s="72"/>
      <c r="C137" s="156"/>
      <c r="D137" s="164">
        <f t="shared" ref="D137:G141" si="103">SUMIF($O$156:$O$193,$O137,D$156:D$193)/COUNTIF($O$156:$O$193,$O137)</f>
        <v>8843</v>
      </c>
      <c r="E137" s="165">
        <f t="shared" si="103"/>
        <v>7381.8283888888891</v>
      </c>
      <c r="F137" s="165">
        <f t="shared" si="103"/>
        <v>25.869789315983677</v>
      </c>
      <c r="G137" s="166">
        <f t="shared" si="103"/>
        <v>19751.58333333366</v>
      </c>
      <c r="H137" s="164">
        <f>(SUMIF($O$156:$O$193,$O137,H$156:H$193)+SUMIF($O$156:$O$193,$O137,I$156:I$193))/COUNTIF($O$156:$O$193,$O137)</f>
        <v>1915.6666666666665</v>
      </c>
      <c r="I137" s="166"/>
      <c r="J137" s="167">
        <f t="shared" ref="J137:N141" si="104">SUMIF($O$156:$O$193,$O137,J$156:J$193)/COUNTIF($O$156:$O$193,$O137)</f>
        <v>4514.6155226194687</v>
      </c>
      <c r="K137" s="167">
        <f t="shared" si="104"/>
        <v>3597.166666666667</v>
      </c>
      <c r="L137" s="164">
        <f t="shared" si="104"/>
        <v>9829.5</v>
      </c>
      <c r="M137" s="165">
        <f t="shared" si="104"/>
        <v>8956.5</v>
      </c>
      <c r="N137" s="166">
        <f t="shared" si="104"/>
        <v>6969</v>
      </c>
      <c r="O137" s="88" t="s">
        <v>82</v>
      </c>
      <c r="P137" s="236"/>
      <c r="Q137" s="236"/>
      <c r="R137" s="236"/>
    </row>
    <row r="138" spans="1:18" x14ac:dyDescent="0.2">
      <c r="A138" s="118"/>
      <c r="B138" s="72"/>
      <c r="C138" s="156"/>
      <c r="D138" s="168">
        <f t="shared" si="103"/>
        <v>4467.25</v>
      </c>
      <c r="E138" s="169">
        <f t="shared" si="103"/>
        <v>2528.7129027777773</v>
      </c>
      <c r="F138" s="169">
        <f t="shared" si="103"/>
        <v>23.9157007903761</v>
      </c>
      <c r="G138" s="170">
        <f t="shared" si="103"/>
        <v>9098.6587499996713</v>
      </c>
      <c r="H138" s="168">
        <f>(SUMIF($O$156:$O$193,$O138,H$156:H$193)+SUMIF($O$156:$O$193,$O138,I$156:I$193))/COUNTIF($O$156:$O$193,$O138)</f>
        <v>715.79166666666674</v>
      </c>
      <c r="I138" s="170"/>
      <c r="J138" s="168">
        <f t="shared" si="104"/>
        <v>916.62676335980427</v>
      </c>
      <c r="K138" s="168">
        <f t="shared" si="104"/>
        <v>2958.7499999999995</v>
      </c>
      <c r="L138" s="168">
        <f t="shared" si="104"/>
        <v>6343.291666666667</v>
      </c>
      <c r="M138" s="169">
        <f t="shared" si="104"/>
        <v>4496.833333333333</v>
      </c>
      <c r="N138" s="170">
        <f t="shared" si="104"/>
        <v>2660.5</v>
      </c>
      <c r="O138" s="89" t="s">
        <v>83</v>
      </c>
      <c r="P138" s="120"/>
      <c r="Q138" s="120"/>
      <c r="R138" s="120"/>
    </row>
    <row r="139" spans="1:18" x14ac:dyDescent="0.2">
      <c r="A139" s="118"/>
      <c r="B139" s="72"/>
      <c r="C139" s="156"/>
      <c r="D139" s="168">
        <f t="shared" si="103"/>
        <v>1670.9047619047617</v>
      </c>
      <c r="E139" s="169">
        <f t="shared" si="103"/>
        <v>795.23679365079363</v>
      </c>
      <c r="F139" s="169">
        <f t="shared" si="103"/>
        <v>21.84269695539593</v>
      </c>
      <c r="G139" s="170">
        <f t="shared" si="103"/>
        <v>3283.0790476190878</v>
      </c>
      <c r="H139" s="168">
        <f>(SUMIF($O$156:$O$193,$O139,H$156:H$193)+SUMIF($O$156:$O$193,$O139,I$156:I$193))/COUNTIF($O$156:$O$193,$O139)</f>
        <v>318.66666666666669</v>
      </c>
      <c r="I139" s="170"/>
      <c r="J139" s="168">
        <f t="shared" si="104"/>
        <v>297.7830734239239</v>
      </c>
      <c r="K139" s="168">
        <f t="shared" si="104"/>
        <v>1316.1428571428571</v>
      </c>
      <c r="L139" s="168">
        <f t="shared" si="104"/>
        <v>2425.3333333333335</v>
      </c>
      <c r="M139" s="169">
        <f t="shared" si="104"/>
        <v>1707.3809523809525</v>
      </c>
      <c r="N139" s="170">
        <f t="shared" si="104"/>
        <v>1014.3333333333333</v>
      </c>
      <c r="O139" s="89" t="s">
        <v>84</v>
      </c>
      <c r="P139" s="120"/>
      <c r="Q139" s="120"/>
      <c r="R139" s="120"/>
    </row>
    <row r="140" spans="1:18" x14ac:dyDescent="0.2">
      <c r="A140" s="118"/>
      <c r="B140" s="72"/>
      <c r="C140" s="156"/>
      <c r="D140" s="168">
        <f t="shared" si="103"/>
        <v>1297.3333333333333</v>
      </c>
      <c r="E140" s="169">
        <f t="shared" si="103"/>
        <v>597.31072222222213</v>
      </c>
      <c r="F140" s="169">
        <f t="shared" si="103"/>
        <v>20.251634242395365</v>
      </c>
      <c r="G140" s="170">
        <f t="shared" si="103"/>
        <v>2594.0255555555682</v>
      </c>
      <c r="H140" s="168">
        <f>(SUMIF($O$156:$O$193,$O140,H$156:H$193)+SUMIF($O$156:$O$193,$O140,I$156:I$193))/COUNTIF($O$156:$O$193,$O140)</f>
        <v>267.66666666666669</v>
      </c>
      <c r="I140" s="170"/>
      <c r="J140" s="168">
        <f t="shared" si="104"/>
        <v>272.35329341285552</v>
      </c>
      <c r="K140" s="168">
        <f t="shared" si="104"/>
        <v>1001.4444444444445</v>
      </c>
      <c r="L140" s="168">
        <f t="shared" si="104"/>
        <v>1989.1111111111111</v>
      </c>
      <c r="M140" s="169">
        <f t="shared" si="104"/>
        <v>1383.6666666666667</v>
      </c>
      <c r="N140" s="170">
        <f t="shared" si="104"/>
        <v>885.22222222222217</v>
      </c>
      <c r="O140" s="89" t="s">
        <v>86</v>
      </c>
      <c r="P140" s="120"/>
      <c r="Q140" s="120"/>
      <c r="R140" s="120"/>
    </row>
    <row r="141" spans="1:18" x14ac:dyDescent="0.2">
      <c r="A141" s="118"/>
      <c r="B141" s="72"/>
      <c r="C141" s="156"/>
      <c r="D141" s="168">
        <f t="shared" si="103"/>
        <v>760.76666666666665</v>
      </c>
      <c r="E141" s="169">
        <f t="shared" si="103"/>
        <v>325.86160002136592</v>
      </c>
      <c r="F141" s="169">
        <f t="shared" si="103"/>
        <v>33.333078272709116</v>
      </c>
      <c r="G141" s="170">
        <f t="shared" si="103"/>
        <v>1441.5331111111186</v>
      </c>
      <c r="H141" s="168">
        <f>(SUMIF($O$156:$O$193,$O141,H$156:H$193)+SUMIF($O$156:$O$193,$O141,I$156:I$193))/COUNTIF($O$156:$O$193,$O141)</f>
        <v>117.15555555555554</v>
      </c>
      <c r="I141" s="170"/>
      <c r="J141" s="168">
        <f t="shared" si="104"/>
        <v>68.172160460603308</v>
      </c>
      <c r="K141" s="168">
        <f t="shared" si="104"/>
        <v>557.36666666666667</v>
      </c>
      <c r="L141" s="168">
        <f t="shared" si="104"/>
        <v>993.02222222222213</v>
      </c>
      <c r="M141" s="169">
        <f t="shared" si="104"/>
        <v>546.87777777777774</v>
      </c>
      <c r="N141" s="170">
        <f t="shared" si="104"/>
        <v>211.2222222222222</v>
      </c>
      <c r="O141" s="89" t="s">
        <v>85</v>
      </c>
      <c r="P141" s="120"/>
      <c r="Q141" s="120"/>
      <c r="R141" s="120"/>
    </row>
    <row r="142" spans="1:18" ht="13.5" thickBot="1" x14ac:dyDescent="0.25">
      <c r="A142" s="121" t="s">
        <v>113</v>
      </c>
      <c r="B142" s="72"/>
      <c r="C142" s="156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20"/>
      <c r="P142" s="120"/>
      <c r="Q142" s="120"/>
      <c r="R142" s="120"/>
    </row>
    <row r="143" spans="1:18" x14ac:dyDescent="0.2">
      <c r="A143" s="118"/>
      <c r="B143" s="72"/>
      <c r="C143" s="156"/>
      <c r="D143" s="164">
        <f t="shared" ref="D143:H147" si="105">RANK(D137,$D137:$N137)</f>
        <v>4</v>
      </c>
      <c r="E143" s="165">
        <f t="shared" si="105"/>
        <v>5</v>
      </c>
      <c r="F143" s="165">
        <f t="shared" si="105"/>
        <v>10</v>
      </c>
      <c r="G143" s="166">
        <f t="shared" si="105"/>
        <v>1</v>
      </c>
      <c r="H143" s="164">
        <f t="shared" si="105"/>
        <v>9</v>
      </c>
      <c r="I143" s="166"/>
      <c r="J143" s="167">
        <f t="shared" ref="J143:N147" si="106">RANK(J137,$D137:$N137)</f>
        <v>7</v>
      </c>
      <c r="K143" s="167">
        <f t="shared" si="106"/>
        <v>8</v>
      </c>
      <c r="L143" s="164">
        <f t="shared" si="106"/>
        <v>2</v>
      </c>
      <c r="M143" s="165">
        <f t="shared" si="106"/>
        <v>3</v>
      </c>
      <c r="N143" s="166">
        <f t="shared" si="106"/>
        <v>6</v>
      </c>
      <c r="O143" s="120"/>
      <c r="P143" s="120"/>
      <c r="Q143" s="120"/>
      <c r="R143" s="120"/>
    </row>
    <row r="144" spans="1:18" x14ac:dyDescent="0.2">
      <c r="A144" s="118"/>
      <c r="B144" s="72"/>
      <c r="C144" s="156"/>
      <c r="D144" s="168">
        <f t="shared" si="105"/>
        <v>4</v>
      </c>
      <c r="E144" s="169">
        <f t="shared" si="105"/>
        <v>7</v>
      </c>
      <c r="F144" s="169">
        <f t="shared" si="105"/>
        <v>10</v>
      </c>
      <c r="G144" s="170">
        <f t="shared" si="105"/>
        <v>1</v>
      </c>
      <c r="H144" s="168">
        <f t="shared" si="105"/>
        <v>9</v>
      </c>
      <c r="I144" s="170"/>
      <c r="J144" s="168">
        <f t="shared" si="106"/>
        <v>8</v>
      </c>
      <c r="K144" s="168">
        <f t="shared" si="106"/>
        <v>5</v>
      </c>
      <c r="L144" s="168">
        <f t="shared" si="106"/>
        <v>2</v>
      </c>
      <c r="M144" s="169">
        <f t="shared" si="106"/>
        <v>3</v>
      </c>
      <c r="N144" s="170">
        <f t="shared" si="106"/>
        <v>6</v>
      </c>
      <c r="O144" s="120"/>
      <c r="P144" s="120"/>
      <c r="Q144" s="120"/>
      <c r="R144" s="120"/>
    </row>
    <row r="145" spans="1:18" x14ac:dyDescent="0.2">
      <c r="A145" s="118"/>
      <c r="B145" s="72"/>
      <c r="C145" s="156"/>
      <c r="D145" s="168">
        <f t="shared" si="105"/>
        <v>4</v>
      </c>
      <c r="E145" s="169">
        <f t="shared" si="105"/>
        <v>7</v>
      </c>
      <c r="F145" s="169">
        <f t="shared" si="105"/>
        <v>10</v>
      </c>
      <c r="G145" s="170">
        <f t="shared" si="105"/>
        <v>1</v>
      </c>
      <c r="H145" s="168">
        <f t="shared" si="105"/>
        <v>8</v>
      </c>
      <c r="I145" s="170"/>
      <c r="J145" s="168">
        <f t="shared" si="106"/>
        <v>9</v>
      </c>
      <c r="K145" s="168">
        <f t="shared" si="106"/>
        <v>5</v>
      </c>
      <c r="L145" s="168">
        <f t="shared" si="106"/>
        <v>2</v>
      </c>
      <c r="M145" s="169">
        <f t="shared" si="106"/>
        <v>3</v>
      </c>
      <c r="N145" s="170">
        <f t="shared" si="106"/>
        <v>6</v>
      </c>
      <c r="O145" s="120"/>
      <c r="P145" s="120"/>
      <c r="Q145" s="120"/>
      <c r="R145" s="120"/>
    </row>
    <row r="146" spans="1:18" x14ac:dyDescent="0.2">
      <c r="A146" s="118"/>
      <c r="B146" s="72"/>
      <c r="C146" s="156"/>
      <c r="D146" s="168">
        <f t="shared" si="105"/>
        <v>4</v>
      </c>
      <c r="E146" s="169">
        <f t="shared" si="105"/>
        <v>7</v>
      </c>
      <c r="F146" s="169">
        <f t="shared" si="105"/>
        <v>10</v>
      </c>
      <c r="G146" s="170">
        <f t="shared" si="105"/>
        <v>1</v>
      </c>
      <c r="H146" s="168">
        <f t="shared" si="105"/>
        <v>9</v>
      </c>
      <c r="I146" s="170"/>
      <c r="J146" s="168">
        <f t="shared" si="106"/>
        <v>8</v>
      </c>
      <c r="K146" s="168">
        <f t="shared" si="106"/>
        <v>5</v>
      </c>
      <c r="L146" s="168">
        <f t="shared" si="106"/>
        <v>2</v>
      </c>
      <c r="M146" s="169">
        <f t="shared" si="106"/>
        <v>3</v>
      </c>
      <c r="N146" s="170">
        <f t="shared" si="106"/>
        <v>6</v>
      </c>
      <c r="O146" s="120"/>
      <c r="P146" s="120"/>
      <c r="Q146" s="120"/>
      <c r="R146" s="120"/>
    </row>
    <row r="147" spans="1:18" x14ac:dyDescent="0.2">
      <c r="A147" s="118"/>
      <c r="B147" s="72"/>
      <c r="C147" s="156"/>
      <c r="D147" s="168">
        <f t="shared" si="105"/>
        <v>3</v>
      </c>
      <c r="E147" s="169">
        <f t="shared" si="105"/>
        <v>6</v>
      </c>
      <c r="F147" s="169">
        <f t="shared" si="105"/>
        <v>10</v>
      </c>
      <c r="G147" s="170">
        <f t="shared" si="105"/>
        <v>1</v>
      </c>
      <c r="H147" s="168">
        <f t="shared" si="105"/>
        <v>8</v>
      </c>
      <c r="I147" s="170"/>
      <c r="J147" s="168">
        <f t="shared" si="106"/>
        <v>9</v>
      </c>
      <c r="K147" s="168">
        <f t="shared" si="106"/>
        <v>4</v>
      </c>
      <c r="L147" s="168">
        <f t="shared" si="106"/>
        <v>2</v>
      </c>
      <c r="M147" s="169">
        <f t="shared" si="106"/>
        <v>5</v>
      </c>
      <c r="N147" s="170">
        <f t="shared" si="106"/>
        <v>7</v>
      </c>
      <c r="O147" s="120"/>
      <c r="P147" s="120"/>
      <c r="Q147" s="120"/>
      <c r="R147" s="120"/>
    </row>
    <row r="148" spans="1:18" ht="13.5" thickBot="1" x14ac:dyDescent="0.25">
      <c r="A148" s="121" t="s">
        <v>114</v>
      </c>
      <c r="B148" s="72"/>
      <c r="C148" s="156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20"/>
      <c r="P148" s="120"/>
      <c r="Q148" s="120"/>
      <c r="R148" s="120"/>
    </row>
    <row r="149" spans="1:18" x14ac:dyDescent="0.2">
      <c r="A149" s="118"/>
      <c r="B149" s="72"/>
      <c r="D149" s="182">
        <v>1</v>
      </c>
      <c r="E149" s="183">
        <v>2</v>
      </c>
      <c r="F149" s="183">
        <v>3</v>
      </c>
      <c r="G149" s="183">
        <v>4</v>
      </c>
      <c r="H149" s="183">
        <v>5</v>
      </c>
      <c r="I149" s="183">
        <v>6</v>
      </c>
      <c r="J149" s="183">
        <v>7</v>
      </c>
      <c r="K149" s="183">
        <v>8</v>
      </c>
      <c r="L149" s="183">
        <v>9</v>
      </c>
      <c r="M149" s="183">
        <v>10</v>
      </c>
      <c r="N149" s="183">
        <v>11</v>
      </c>
      <c r="O149" s="184" t="s">
        <v>11</v>
      </c>
      <c r="P149" s="237"/>
      <c r="Q149" s="237"/>
      <c r="R149" s="237"/>
    </row>
    <row r="150" spans="1:18" ht="13.5" thickBot="1" x14ac:dyDescent="0.25">
      <c r="A150" s="118"/>
      <c r="B150" s="72"/>
      <c r="D150" s="181">
        <v>0.3</v>
      </c>
      <c r="E150" s="180">
        <v>0.3</v>
      </c>
      <c r="F150" s="180">
        <v>0.3</v>
      </c>
      <c r="G150" s="180">
        <v>0.03</v>
      </c>
      <c r="H150" s="180">
        <v>0.01</v>
      </c>
      <c r="I150" s="180">
        <v>0.01</v>
      </c>
      <c r="J150" s="180">
        <v>0.01</v>
      </c>
      <c r="K150" s="180">
        <v>0.01</v>
      </c>
      <c r="L150" s="180">
        <v>0.01</v>
      </c>
      <c r="M150" s="180">
        <v>0.01</v>
      </c>
      <c r="N150" s="180">
        <v>0.01</v>
      </c>
      <c r="O150" s="179">
        <f>SUM(D150:N150)</f>
        <v>1</v>
      </c>
      <c r="P150" s="141"/>
      <c r="Q150" s="141"/>
      <c r="R150" s="141"/>
    </row>
    <row r="151" spans="1:18" x14ac:dyDescent="0.2">
      <c r="A151" s="118"/>
      <c r="B151" s="72"/>
      <c r="C151" s="156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20"/>
      <c r="P151" s="120"/>
      <c r="Q151" s="120"/>
      <c r="R151" s="120"/>
    </row>
    <row r="152" spans="1:18" ht="13.5" thickBot="1" x14ac:dyDescent="0.25">
      <c r="A152" s="69" t="s">
        <v>75</v>
      </c>
    </row>
    <row r="153" spans="1:18" ht="12.75" customHeight="1" outlineLevel="1" x14ac:dyDescent="0.2">
      <c r="A153" s="273" t="s">
        <v>24</v>
      </c>
      <c r="B153" s="275" t="s">
        <v>23</v>
      </c>
      <c r="C153" s="277" t="s">
        <v>36</v>
      </c>
      <c r="D153" s="279" t="s">
        <v>35</v>
      </c>
      <c r="E153" s="280"/>
      <c r="F153" s="280"/>
      <c r="G153" s="281"/>
      <c r="H153" s="282" t="s">
        <v>18</v>
      </c>
      <c r="I153" s="291" t="s">
        <v>17</v>
      </c>
      <c r="J153" s="332" t="s">
        <v>126</v>
      </c>
      <c r="K153" s="293" t="s">
        <v>16</v>
      </c>
      <c r="L153" s="295" t="s">
        <v>34</v>
      </c>
      <c r="M153" s="296"/>
      <c r="N153" s="296"/>
      <c r="O153" s="330" t="s">
        <v>99</v>
      </c>
    </row>
    <row r="154" spans="1:18" ht="51.75" outlineLevel="1" thickBot="1" x14ac:dyDescent="0.25">
      <c r="A154" s="274"/>
      <c r="B154" s="276"/>
      <c r="C154" s="278"/>
      <c r="D154" s="68"/>
      <c r="E154" s="67" t="s">
        <v>33</v>
      </c>
      <c r="F154" s="67" t="s">
        <v>32</v>
      </c>
      <c r="G154" s="152" t="s">
        <v>31</v>
      </c>
      <c r="H154" s="283"/>
      <c r="I154" s="292"/>
      <c r="J154" s="333"/>
      <c r="K154" s="294"/>
      <c r="L154" s="44" t="s">
        <v>14</v>
      </c>
      <c r="M154" s="43" t="s">
        <v>13</v>
      </c>
      <c r="N154" s="42" t="s">
        <v>12</v>
      </c>
      <c r="O154" s="331"/>
    </row>
    <row r="155" spans="1:18" outlineLevel="1" x14ac:dyDescent="0.2">
      <c r="A155" s="303" t="s">
        <v>79</v>
      </c>
      <c r="B155" s="304"/>
      <c r="C155" s="305"/>
      <c r="D155" s="220">
        <v>1</v>
      </c>
      <c r="E155" s="229">
        <v>1</v>
      </c>
      <c r="F155" s="229">
        <v>1</v>
      </c>
      <c r="G155" s="230">
        <v>1</v>
      </c>
      <c r="H155" s="227">
        <v>1</v>
      </c>
      <c r="I155" s="223">
        <f>H155</f>
        <v>1</v>
      </c>
      <c r="J155" s="231">
        <v>1</v>
      </c>
      <c r="K155" s="231">
        <v>1</v>
      </c>
      <c r="L155" s="232">
        <v>1</v>
      </c>
      <c r="M155" s="229">
        <v>1</v>
      </c>
      <c r="N155" s="233">
        <v>1</v>
      </c>
      <c r="O155" s="177"/>
      <c r="P155" s="72"/>
      <c r="Q155" s="72"/>
      <c r="R155" s="72"/>
    </row>
    <row r="156" spans="1:18" outlineLevel="1" x14ac:dyDescent="0.2">
      <c r="A156" s="20">
        <f t="shared" ref="A156:B175" si="107">A5</f>
        <v>3656</v>
      </c>
      <c r="B156" s="19" t="str">
        <f t="shared" si="107"/>
        <v>UTA</v>
      </c>
      <c r="C156" s="58">
        <f t="shared" ref="C156:C193" si="108">SUM(D156:N156)</f>
        <v>36125.848225359667</v>
      </c>
      <c r="D156" s="15">
        <f t="shared" ref="D156:F171" si="109">D198*D$155</f>
        <v>5018</v>
      </c>
      <c r="E156" s="14">
        <f>E198*E$155</f>
        <v>2600.9966666666669</v>
      </c>
      <c r="F156" s="14">
        <f>F198*F$155</f>
        <v>29.603788278048281</v>
      </c>
      <c r="G156" s="13">
        <f t="shared" ref="G156:N165" si="110">G198*G$155</f>
        <v>10418.553333333379</v>
      </c>
      <c r="H156" s="36">
        <f t="shared" si="110"/>
        <v>1531.3333333333333</v>
      </c>
      <c r="I156" s="35">
        <f t="shared" si="110"/>
        <v>35</v>
      </c>
      <c r="J156" s="34">
        <f t="shared" ref="J156" si="111">J198*J$155</f>
        <v>922.69443708157712</v>
      </c>
      <c r="K156" s="34">
        <f t="shared" si="110"/>
        <v>3116</v>
      </c>
      <c r="L156" s="36">
        <f t="shared" si="110"/>
        <v>6836.333333333333</v>
      </c>
      <c r="M156" s="59">
        <f t="shared" si="110"/>
        <v>3833.6666666666665</v>
      </c>
      <c r="N156" s="171">
        <f t="shared" si="110"/>
        <v>1783.6666666666667</v>
      </c>
      <c r="O156" s="176" t="s">
        <v>83</v>
      </c>
      <c r="P156" s="236"/>
      <c r="Q156" s="236"/>
      <c r="R156" s="236"/>
    </row>
    <row r="157" spans="1:18" outlineLevel="1" x14ac:dyDescent="0.2">
      <c r="A157" s="20">
        <f t="shared" si="107"/>
        <v>3658</v>
      </c>
      <c r="B157" s="19" t="str">
        <f t="shared" si="107"/>
        <v>UT</v>
      </c>
      <c r="C157" s="58">
        <f t="shared" si="108"/>
        <v>71294.252661165112</v>
      </c>
      <c r="D157" s="15">
        <f t="shared" si="109"/>
        <v>8946.3333333333339</v>
      </c>
      <c r="E157" s="14">
        <f t="shared" si="109"/>
        <v>7416.5103333333345</v>
      </c>
      <c r="F157" s="14">
        <f t="shared" si="109"/>
        <v>26.497692061124674</v>
      </c>
      <c r="G157" s="13">
        <f t="shared" si="110"/>
        <v>19398.350000000519</v>
      </c>
      <c r="H157" s="15">
        <f t="shared" si="110"/>
        <v>1876.3333333333333</v>
      </c>
      <c r="I157" s="13">
        <f t="shared" si="110"/>
        <v>66</v>
      </c>
      <c r="J157" s="16">
        <f t="shared" ref="J157" si="112">J199*J$155</f>
        <v>4449.5613024368022</v>
      </c>
      <c r="K157" s="16">
        <f t="shared" si="110"/>
        <v>3470.3333333333335</v>
      </c>
      <c r="L157" s="15">
        <f t="shared" si="110"/>
        <v>9598.3333333333339</v>
      </c>
      <c r="M157" s="14">
        <f t="shared" si="110"/>
        <v>9005.6666666666661</v>
      </c>
      <c r="N157" s="172">
        <f t="shared" si="110"/>
        <v>7040.333333333333</v>
      </c>
      <c r="O157" s="174" t="s">
        <v>82</v>
      </c>
      <c r="P157" s="120"/>
      <c r="Q157" s="120"/>
      <c r="R157" s="120"/>
    </row>
    <row r="158" spans="1:18" outlineLevel="1" x14ac:dyDescent="0.2">
      <c r="A158" s="20">
        <f t="shared" si="107"/>
        <v>9741</v>
      </c>
      <c r="B158" s="19" t="str">
        <f t="shared" si="107"/>
        <v>UTD</v>
      </c>
      <c r="C158" s="58">
        <f t="shared" si="108"/>
        <v>17893.249027751535</v>
      </c>
      <c r="D158" s="15">
        <f t="shared" si="109"/>
        <v>2393</v>
      </c>
      <c r="E158" s="14">
        <f t="shared" si="109"/>
        <v>1682.279</v>
      </c>
      <c r="F158" s="14">
        <f t="shared" si="109"/>
        <v>26.829760516638267</v>
      </c>
      <c r="G158" s="13">
        <f t="shared" si="110"/>
        <v>5101.2033333334393</v>
      </c>
      <c r="H158" s="15">
        <f t="shared" si="110"/>
        <v>421.66666666666669</v>
      </c>
      <c r="I158" s="13">
        <f t="shared" si="110"/>
        <v>32</v>
      </c>
      <c r="J158" s="16">
        <f t="shared" ref="J158" si="113">J200*J$155</f>
        <v>445.93693390146041</v>
      </c>
      <c r="K158" s="16">
        <f t="shared" si="110"/>
        <v>1319.6666666666667</v>
      </c>
      <c r="L158" s="15">
        <f t="shared" si="110"/>
        <v>3315</v>
      </c>
      <c r="M158" s="14">
        <f t="shared" si="110"/>
        <v>2134.3333333333335</v>
      </c>
      <c r="N158" s="172">
        <f t="shared" si="110"/>
        <v>1021.3333333333334</v>
      </c>
      <c r="O158" s="174" t="s">
        <v>83</v>
      </c>
      <c r="P158" s="120"/>
      <c r="Q158" s="120"/>
      <c r="R158" s="120"/>
    </row>
    <row r="159" spans="1:18" outlineLevel="1" x14ac:dyDescent="0.2">
      <c r="A159" s="20">
        <f t="shared" si="107"/>
        <v>3661</v>
      </c>
      <c r="B159" s="19" t="str">
        <f t="shared" si="107"/>
        <v>UTEP</v>
      </c>
      <c r="C159" s="58">
        <f t="shared" si="108"/>
        <v>23781.698084568114</v>
      </c>
      <c r="D159" s="15">
        <f t="shared" si="109"/>
        <v>3057</v>
      </c>
      <c r="E159" s="14">
        <f t="shared" si="109"/>
        <v>1192.2299999999998</v>
      </c>
      <c r="F159" s="14">
        <f t="shared" si="109"/>
        <v>22.870894536023343</v>
      </c>
      <c r="G159" s="13">
        <f t="shared" si="110"/>
        <v>6298.0766666668133</v>
      </c>
      <c r="H159" s="15">
        <f t="shared" si="110"/>
        <v>655</v>
      </c>
      <c r="I159" s="13">
        <f t="shared" si="110"/>
        <v>90</v>
      </c>
      <c r="J159" s="16">
        <f t="shared" ref="J159" si="114">J201*J$155</f>
        <v>325.52052336527663</v>
      </c>
      <c r="K159" s="16">
        <f t="shared" si="110"/>
        <v>2464.3333333333335</v>
      </c>
      <c r="L159" s="15">
        <f t="shared" si="110"/>
        <v>4362.666666666667</v>
      </c>
      <c r="M159" s="14">
        <f t="shared" si="110"/>
        <v>3358</v>
      </c>
      <c r="N159" s="172">
        <f t="shared" si="110"/>
        <v>1956</v>
      </c>
      <c r="O159" s="174" t="s">
        <v>83</v>
      </c>
      <c r="P159" s="120"/>
      <c r="Q159" s="120"/>
      <c r="R159" s="120"/>
    </row>
    <row r="160" spans="1:18" outlineLevel="1" x14ac:dyDescent="0.2">
      <c r="A160" s="20">
        <f t="shared" si="107"/>
        <v>3599</v>
      </c>
      <c r="B160" s="19" t="str">
        <f t="shared" si="107"/>
        <v>UTPA</v>
      </c>
      <c r="C160" s="58">
        <f t="shared" si="108"/>
        <v>21390.080797770232</v>
      </c>
      <c r="D160" s="15">
        <f t="shared" si="109"/>
        <v>2580</v>
      </c>
      <c r="E160" s="14">
        <f t="shared" si="109"/>
        <v>1111.98</v>
      </c>
      <c r="F160" s="14">
        <f t="shared" si="109"/>
        <v>20.492490499497837</v>
      </c>
      <c r="G160" s="13">
        <f t="shared" si="110"/>
        <v>5134.1666666667797</v>
      </c>
      <c r="H160" s="15">
        <f t="shared" si="110"/>
        <v>520.33333333333337</v>
      </c>
      <c r="I160" s="13">
        <f t="shared" si="110"/>
        <v>28</v>
      </c>
      <c r="J160" s="16">
        <f t="shared" ref="J160" si="115">J202*J$155</f>
        <v>546.10830727061955</v>
      </c>
      <c r="K160" s="16">
        <f t="shared" si="110"/>
        <v>2338.3333333333335</v>
      </c>
      <c r="L160" s="15">
        <f t="shared" si="110"/>
        <v>4075.3333333333335</v>
      </c>
      <c r="M160" s="14">
        <f t="shared" si="110"/>
        <v>3096</v>
      </c>
      <c r="N160" s="172">
        <f t="shared" si="110"/>
        <v>1939.3333333333333</v>
      </c>
      <c r="O160" s="174" t="s">
        <v>84</v>
      </c>
      <c r="P160" s="120"/>
      <c r="Q160" s="120"/>
      <c r="R160" s="120"/>
    </row>
    <row r="161" spans="1:18" outlineLevel="1" x14ac:dyDescent="0.2">
      <c r="A161" s="20">
        <f t="shared" si="107"/>
        <v>30646</v>
      </c>
      <c r="B161" s="19" t="str">
        <f t="shared" si="107"/>
        <v>UTB</v>
      </c>
      <c r="C161" s="58">
        <f t="shared" si="108"/>
        <v>6966.1078788028581</v>
      </c>
      <c r="D161" s="15">
        <f t="shared" si="109"/>
        <v>1092</v>
      </c>
      <c r="E161" s="14">
        <f t="shared" si="109"/>
        <v>628.17092451302005</v>
      </c>
      <c r="F161" s="14">
        <f t="shared" si="109"/>
        <v>34.461236368736628</v>
      </c>
      <c r="G161" s="13">
        <f t="shared" si="110"/>
        <v>2097.7933333333553</v>
      </c>
      <c r="H161" s="15">
        <f t="shared" si="110"/>
        <v>124.33333333333333</v>
      </c>
      <c r="I161" s="13">
        <f t="shared" si="110"/>
        <v>18.333333333333332</v>
      </c>
      <c r="J161" s="16">
        <f t="shared" ref="J161" si="116">J203*J$155</f>
        <v>51.015717921079307</v>
      </c>
      <c r="K161" s="16">
        <f t="shared" si="110"/>
        <v>936.66666666666663</v>
      </c>
      <c r="L161" s="15">
        <f t="shared" si="110"/>
        <v>1326.3333333333333</v>
      </c>
      <c r="M161" s="14">
        <f t="shared" si="110"/>
        <v>556.33333333333337</v>
      </c>
      <c r="N161" s="172">
        <f t="shared" si="110"/>
        <v>100.66666666666667</v>
      </c>
      <c r="O161" s="174" t="s">
        <v>85</v>
      </c>
      <c r="P161" s="120"/>
      <c r="Q161" s="120"/>
      <c r="R161" s="120"/>
    </row>
    <row r="162" spans="1:18" outlineLevel="1" x14ac:dyDescent="0.2">
      <c r="A162" s="20">
        <f t="shared" si="107"/>
        <v>9930</v>
      </c>
      <c r="B162" s="19" t="str">
        <f t="shared" si="107"/>
        <v>UTPB</v>
      </c>
      <c r="C162" s="58">
        <f t="shared" si="108"/>
        <v>3777.9494385253779</v>
      </c>
      <c r="D162" s="15">
        <f t="shared" si="109"/>
        <v>533.33333333333337</v>
      </c>
      <c r="E162" s="14">
        <f t="shared" si="109"/>
        <v>236.8</v>
      </c>
      <c r="F162" s="14">
        <f t="shared" si="109"/>
        <v>23.125174643246009</v>
      </c>
      <c r="G162" s="13">
        <f t="shared" si="110"/>
        <v>1001.5166666666704</v>
      </c>
      <c r="H162" s="15">
        <f t="shared" si="110"/>
        <v>41.333333333333336</v>
      </c>
      <c r="I162" s="13">
        <f t="shared" si="110"/>
        <v>10</v>
      </c>
      <c r="J162" s="16">
        <f t="shared" ref="J162" si="117">J204*J$155</f>
        <v>61.174263882128265</v>
      </c>
      <c r="K162" s="16">
        <f t="shared" si="110"/>
        <v>399</v>
      </c>
      <c r="L162" s="15">
        <f t="shared" si="110"/>
        <v>785.66666666666663</v>
      </c>
      <c r="M162" s="14">
        <f t="shared" si="110"/>
        <v>491.66666666666669</v>
      </c>
      <c r="N162" s="172">
        <f t="shared" si="110"/>
        <v>194.33333333333334</v>
      </c>
      <c r="O162" s="174" t="s">
        <v>85</v>
      </c>
      <c r="P162" s="120"/>
      <c r="Q162" s="120"/>
      <c r="R162" s="120"/>
    </row>
    <row r="163" spans="1:18" outlineLevel="1" x14ac:dyDescent="0.2">
      <c r="A163" s="20">
        <f t="shared" si="107"/>
        <v>10115</v>
      </c>
      <c r="B163" s="19" t="str">
        <f t="shared" si="107"/>
        <v>UTSA</v>
      </c>
      <c r="C163" s="58">
        <f t="shared" si="108"/>
        <v>32416.146109250745</v>
      </c>
      <c r="D163" s="15">
        <f t="shared" si="109"/>
        <v>4119.666666666667</v>
      </c>
      <c r="E163" s="14">
        <f t="shared" si="109"/>
        <v>1737.1261111111112</v>
      </c>
      <c r="F163" s="14">
        <f t="shared" si="109"/>
        <v>20.241034101368403</v>
      </c>
      <c r="G163" s="13">
        <f t="shared" si="110"/>
        <v>8414.213333333224</v>
      </c>
      <c r="H163" s="15">
        <f t="shared" si="110"/>
        <v>392</v>
      </c>
      <c r="I163" s="13">
        <f t="shared" si="110"/>
        <v>49.666666666666664</v>
      </c>
      <c r="J163" s="16">
        <f t="shared" ref="J163" si="118">J205*J$155</f>
        <v>675.56563070503705</v>
      </c>
      <c r="K163" s="16">
        <f t="shared" si="110"/>
        <v>3123.6666666666665</v>
      </c>
      <c r="L163" s="15">
        <f t="shared" si="110"/>
        <v>6809.666666666667</v>
      </c>
      <c r="M163" s="14">
        <f t="shared" si="110"/>
        <v>4458.666666666667</v>
      </c>
      <c r="N163" s="172">
        <f t="shared" si="110"/>
        <v>2615.6666666666665</v>
      </c>
      <c r="O163" s="174" t="s">
        <v>83</v>
      </c>
      <c r="P163" s="120"/>
      <c r="Q163" s="120"/>
      <c r="R163" s="120"/>
    </row>
    <row r="164" spans="1:18" outlineLevel="1" x14ac:dyDescent="0.2">
      <c r="A164" s="20">
        <f t="shared" si="107"/>
        <v>11163</v>
      </c>
      <c r="B164" s="19" t="str">
        <f t="shared" si="107"/>
        <v>UTT</v>
      </c>
      <c r="C164" s="58">
        <f t="shared" si="108"/>
        <v>8391.4834217037533</v>
      </c>
      <c r="D164" s="15">
        <f t="shared" si="109"/>
        <v>1190</v>
      </c>
      <c r="E164" s="14">
        <f t="shared" si="109"/>
        <v>613.64333333333343</v>
      </c>
      <c r="F164" s="14">
        <f t="shared" si="109"/>
        <v>29.255740517151896</v>
      </c>
      <c r="G164" s="13">
        <f t="shared" si="110"/>
        <v>2362.6600000000103</v>
      </c>
      <c r="H164" s="15">
        <f t="shared" si="110"/>
        <v>376.66666666666669</v>
      </c>
      <c r="I164" s="13">
        <f t="shared" si="110"/>
        <v>14</v>
      </c>
      <c r="J164" s="16">
        <f t="shared" ref="J164" si="119">J206*J$155</f>
        <v>149.2576811865907</v>
      </c>
      <c r="K164" s="16">
        <f t="shared" si="110"/>
        <v>942.33333333333337</v>
      </c>
      <c r="L164" s="15">
        <f t="shared" si="110"/>
        <v>1436.3333333333333</v>
      </c>
      <c r="M164" s="14">
        <f t="shared" si="110"/>
        <v>890</v>
      </c>
      <c r="N164" s="172">
        <f t="shared" si="110"/>
        <v>387.33333333333331</v>
      </c>
      <c r="O164" s="174" t="s">
        <v>85</v>
      </c>
      <c r="P164" s="120"/>
      <c r="Q164" s="120"/>
      <c r="R164" s="120"/>
    </row>
    <row r="165" spans="1:18" outlineLevel="1" x14ac:dyDescent="0.2">
      <c r="A165" s="20">
        <f t="shared" si="107"/>
        <v>3632</v>
      </c>
      <c r="B165" s="19" t="str">
        <f t="shared" si="107"/>
        <v>TAMU</v>
      </c>
      <c r="C165" s="58">
        <f t="shared" si="108"/>
        <v>72275.208073817557</v>
      </c>
      <c r="D165" s="15">
        <f t="shared" si="109"/>
        <v>8739.6666666666661</v>
      </c>
      <c r="E165" s="14">
        <f t="shared" si="109"/>
        <v>7347.1464444444427</v>
      </c>
      <c r="F165" s="14">
        <f t="shared" si="109"/>
        <v>25.241886570842681</v>
      </c>
      <c r="G165" s="13">
        <f t="shared" si="110"/>
        <v>20104.8166666668</v>
      </c>
      <c r="H165" s="15">
        <f t="shared" si="110"/>
        <v>1763</v>
      </c>
      <c r="I165" s="13">
        <f t="shared" si="110"/>
        <v>126</v>
      </c>
      <c r="J165" s="16">
        <f t="shared" ref="J165" si="120">J207*J$155</f>
        <v>4579.6697428021353</v>
      </c>
      <c r="K165" s="16">
        <f t="shared" si="110"/>
        <v>3724</v>
      </c>
      <c r="L165" s="15">
        <f t="shared" si="110"/>
        <v>10060.666666666666</v>
      </c>
      <c r="M165" s="14">
        <f t="shared" si="110"/>
        <v>8907.3333333333339</v>
      </c>
      <c r="N165" s="172">
        <f t="shared" si="110"/>
        <v>6897.666666666667</v>
      </c>
      <c r="O165" s="174" t="s">
        <v>82</v>
      </c>
      <c r="P165" s="120"/>
      <c r="Q165" s="120"/>
      <c r="R165" s="120"/>
    </row>
    <row r="166" spans="1:18" outlineLevel="1" x14ac:dyDescent="0.2">
      <c r="A166" s="20">
        <f t="shared" si="107"/>
        <v>10298</v>
      </c>
      <c r="B166" s="19" t="str">
        <f t="shared" si="107"/>
        <v>TAMUG</v>
      </c>
      <c r="C166" s="58">
        <f t="shared" si="108"/>
        <v>2674.191800412043</v>
      </c>
      <c r="D166" s="15">
        <f>D208*D$155</f>
        <v>275.33333333333331</v>
      </c>
      <c r="E166" s="14">
        <f t="shared" si="109"/>
        <v>172.72577777777778</v>
      </c>
      <c r="F166" s="14">
        <f t="shared" si="109"/>
        <v>16.399301143583227</v>
      </c>
      <c r="G166" s="13">
        <f t="shared" ref="G166:N166" si="121">G208*G$155</f>
        <v>704.02666666666448</v>
      </c>
      <c r="H166" s="15">
        <f t="shared" si="121"/>
        <v>37.333333333333336</v>
      </c>
      <c r="I166" s="13">
        <f t="shared" si="121"/>
        <v>0</v>
      </c>
      <c r="J166" s="16">
        <f t="shared" si="121"/>
        <v>154.0400548240174</v>
      </c>
      <c r="K166" s="16">
        <f t="shared" si="121"/>
        <v>158</v>
      </c>
      <c r="L166" s="15">
        <f t="shared" si="121"/>
        <v>592.33333333333337</v>
      </c>
      <c r="M166" s="14">
        <f t="shared" si="121"/>
        <v>318</v>
      </c>
      <c r="N166" s="172">
        <f t="shared" si="121"/>
        <v>246</v>
      </c>
      <c r="O166" s="174" t="s">
        <v>85</v>
      </c>
      <c r="P166" s="120"/>
      <c r="Q166" s="120"/>
      <c r="R166" s="120"/>
    </row>
    <row r="167" spans="1:18" outlineLevel="1" x14ac:dyDescent="0.2">
      <c r="A167" s="20">
        <f t="shared" si="107"/>
        <v>3630</v>
      </c>
      <c r="B167" s="19" t="str">
        <f t="shared" si="107"/>
        <v>Prairie View</v>
      </c>
      <c r="C167" s="58">
        <f t="shared" si="108"/>
        <v>8463.7597415071959</v>
      </c>
      <c r="D167" s="15">
        <f t="shared" ref="D167:F193" si="122">D209*D$155</f>
        <v>936.33333333333337</v>
      </c>
      <c r="E167" s="14">
        <f t="shared" si="109"/>
        <v>348.00388888888887</v>
      </c>
      <c r="F167" s="14">
        <f t="shared" si="109"/>
        <v>15.823688025296873</v>
      </c>
      <c r="G167" s="13">
        <f t="shared" ref="G167:N182" si="123">G209*G$155</f>
        <v>2072.9000000000092</v>
      </c>
      <c r="H167" s="15">
        <f t="shared" si="123"/>
        <v>315.66666666666669</v>
      </c>
      <c r="I167" s="13">
        <f t="shared" si="123"/>
        <v>9.6666666666666661</v>
      </c>
      <c r="J167" s="16">
        <f t="shared" ref="J167" si="124">J209*J$155</f>
        <v>208.36549792633494</v>
      </c>
      <c r="K167" s="16">
        <f t="shared" si="123"/>
        <v>802.66666666666663</v>
      </c>
      <c r="L167" s="15">
        <f t="shared" si="123"/>
        <v>1668</v>
      </c>
      <c r="M167" s="14">
        <f t="shared" si="123"/>
        <v>1181</v>
      </c>
      <c r="N167" s="172">
        <f t="shared" si="123"/>
        <v>905.33333333333337</v>
      </c>
      <c r="O167" s="174" t="s">
        <v>86</v>
      </c>
      <c r="P167" s="120"/>
      <c r="Q167" s="120"/>
      <c r="R167" s="120"/>
    </row>
    <row r="168" spans="1:18" outlineLevel="1" x14ac:dyDescent="0.2">
      <c r="A168" s="20">
        <f t="shared" si="107"/>
        <v>3631</v>
      </c>
      <c r="B168" s="19" t="str">
        <f t="shared" si="107"/>
        <v>Tarleton</v>
      </c>
      <c r="C168" s="58">
        <f t="shared" si="108"/>
        <v>11520.315484161885</v>
      </c>
      <c r="D168" s="15">
        <f t="shared" si="122"/>
        <v>1545.3333333333333</v>
      </c>
      <c r="E168" s="14">
        <f t="shared" si="109"/>
        <v>738.66933333333338</v>
      </c>
      <c r="F168" s="14">
        <f t="shared" si="109"/>
        <v>24.559767752325659</v>
      </c>
      <c r="G168" s="13">
        <f t="shared" si="123"/>
        <v>3122.5433333333599</v>
      </c>
      <c r="H168" s="15">
        <f t="shared" si="123"/>
        <v>203</v>
      </c>
      <c r="I168" s="13">
        <f t="shared" si="123"/>
        <v>47.666666666666664</v>
      </c>
      <c r="J168" s="16">
        <f t="shared" ref="J168" si="125">J210*J$155</f>
        <v>297.87638307620068</v>
      </c>
      <c r="K168" s="16">
        <f t="shared" si="123"/>
        <v>1195</v>
      </c>
      <c r="L168" s="15">
        <f t="shared" si="123"/>
        <v>2154.3333333333335</v>
      </c>
      <c r="M168" s="14">
        <f t="shared" si="123"/>
        <v>1328.6666666666667</v>
      </c>
      <c r="N168" s="172">
        <f t="shared" si="123"/>
        <v>862.66666666666663</v>
      </c>
      <c r="O168" s="174" t="s">
        <v>86</v>
      </c>
      <c r="P168" s="120"/>
      <c r="Q168" s="120"/>
      <c r="R168" s="120"/>
    </row>
    <row r="169" spans="1:18" outlineLevel="1" x14ac:dyDescent="0.2">
      <c r="A169" s="27">
        <f t="shared" si="107"/>
        <v>103631</v>
      </c>
      <c r="B169" s="19" t="str">
        <f t="shared" si="107"/>
        <v>TAMUCT</v>
      </c>
      <c r="C169" s="58">
        <f t="shared" si="108"/>
        <v>2631.2438495220067</v>
      </c>
      <c r="D169" s="15">
        <f t="shared" si="122"/>
        <v>460.33333333333331</v>
      </c>
      <c r="E169" s="14">
        <f t="shared" si="109"/>
        <v>220.03933333333333</v>
      </c>
      <c r="F169" s="14">
        <f t="shared" si="109"/>
        <v>67.587849522007247</v>
      </c>
      <c r="G169" s="13">
        <f t="shared" si="123"/>
        <v>853.61666666666588</v>
      </c>
      <c r="H169" s="15">
        <f t="shared" si="123"/>
        <v>40.666666666666664</v>
      </c>
      <c r="I169" s="13">
        <f t="shared" si="123"/>
        <v>0</v>
      </c>
      <c r="J169" s="16">
        <f t="shared" ref="J169" si="126">J211*J$155</f>
        <v>0</v>
      </c>
      <c r="K169" s="16">
        <f t="shared" si="123"/>
        <v>327</v>
      </c>
      <c r="L169" s="15">
        <f t="shared" si="123"/>
        <v>495</v>
      </c>
      <c r="M169" s="14">
        <f t="shared" si="123"/>
        <v>133</v>
      </c>
      <c r="N169" s="172">
        <f t="shared" si="123"/>
        <v>34</v>
      </c>
      <c r="O169" s="174" t="s">
        <v>85</v>
      </c>
      <c r="P169" s="120"/>
      <c r="Q169" s="120"/>
      <c r="R169" s="120"/>
    </row>
    <row r="170" spans="1:18" outlineLevel="1" x14ac:dyDescent="0.2">
      <c r="A170" s="20">
        <f t="shared" si="107"/>
        <v>11161</v>
      </c>
      <c r="B170" s="19" t="str">
        <f t="shared" si="107"/>
        <v>TAMUCC</v>
      </c>
      <c r="C170" s="58">
        <f t="shared" si="108"/>
        <v>11007.395100234749</v>
      </c>
      <c r="D170" s="15">
        <f t="shared" si="122"/>
        <v>1388.3333333333333</v>
      </c>
      <c r="E170" s="14">
        <f t="shared" si="109"/>
        <v>705.27333333333331</v>
      </c>
      <c r="F170" s="14">
        <f t="shared" si="109"/>
        <v>21.376514062820775</v>
      </c>
      <c r="G170" s="13">
        <f t="shared" si="123"/>
        <v>2804.2000000000139</v>
      </c>
      <c r="H170" s="15">
        <f t="shared" si="123"/>
        <v>266.33333333333331</v>
      </c>
      <c r="I170" s="13">
        <f t="shared" si="123"/>
        <v>25.666666666666668</v>
      </c>
      <c r="J170" s="16">
        <f t="shared" ref="J170" si="127">J212*J$155</f>
        <v>315.87858617191387</v>
      </c>
      <c r="K170" s="16">
        <f t="shared" si="123"/>
        <v>1080</v>
      </c>
      <c r="L170" s="15">
        <f t="shared" si="123"/>
        <v>2054</v>
      </c>
      <c r="M170" s="14">
        <f t="shared" si="123"/>
        <v>1468</v>
      </c>
      <c r="N170" s="172">
        <f t="shared" si="123"/>
        <v>878.33333333333337</v>
      </c>
      <c r="O170" s="174" t="s">
        <v>84</v>
      </c>
      <c r="P170" s="120"/>
      <c r="Q170" s="120"/>
      <c r="R170" s="120"/>
    </row>
    <row r="171" spans="1:18" outlineLevel="1" x14ac:dyDescent="0.2">
      <c r="A171" s="20">
        <f t="shared" si="107"/>
        <v>3639</v>
      </c>
      <c r="B171" s="19" t="str">
        <f t="shared" si="107"/>
        <v>TAMUK</v>
      </c>
      <c r="C171" s="58">
        <f t="shared" si="108"/>
        <v>6554.6719375841421</v>
      </c>
      <c r="D171" s="15">
        <f t="shared" si="122"/>
        <v>761.66666666666663</v>
      </c>
      <c r="E171" s="14">
        <f t="shared" si="109"/>
        <v>306.44388888888892</v>
      </c>
      <c r="F171" s="14">
        <f t="shared" si="109"/>
        <v>17.879499217527385</v>
      </c>
      <c r="G171" s="13">
        <f t="shared" si="123"/>
        <v>1763.4533333333395</v>
      </c>
      <c r="H171" s="15">
        <f t="shared" si="123"/>
        <v>260</v>
      </c>
      <c r="I171" s="13">
        <f t="shared" si="123"/>
        <v>16.666666666666668</v>
      </c>
      <c r="J171" s="16">
        <f t="shared" ref="J171" si="128">J213*J$155</f>
        <v>134.56188281105247</v>
      </c>
      <c r="K171" s="16">
        <f t="shared" si="123"/>
        <v>648.33333333333337</v>
      </c>
      <c r="L171" s="15">
        <f t="shared" si="123"/>
        <v>1227.3333333333333</v>
      </c>
      <c r="M171" s="14">
        <f t="shared" si="123"/>
        <v>859.66666666666663</v>
      </c>
      <c r="N171" s="172">
        <f t="shared" si="123"/>
        <v>558.66666666666663</v>
      </c>
      <c r="O171" s="174" t="s">
        <v>84</v>
      </c>
      <c r="P171" s="120"/>
      <c r="Q171" s="120"/>
      <c r="R171" s="120"/>
    </row>
    <row r="172" spans="1:18" outlineLevel="1" x14ac:dyDescent="0.2">
      <c r="A172" s="27">
        <f t="shared" si="107"/>
        <v>103639</v>
      </c>
      <c r="B172" s="19" t="str">
        <f t="shared" si="107"/>
        <v>TAMUSA</v>
      </c>
      <c r="C172" s="58">
        <f t="shared" si="108"/>
        <v>3198.7163913742643</v>
      </c>
      <c r="D172" s="15">
        <f t="shared" si="122"/>
        <v>587.66666666666663</v>
      </c>
      <c r="E172" s="14">
        <f t="shared" si="122"/>
        <v>236.43788888888889</v>
      </c>
      <c r="F172" s="14">
        <f t="shared" si="122"/>
        <v>41.598502485370922</v>
      </c>
      <c r="G172" s="13">
        <f t="shared" si="123"/>
        <v>1026.0133333333379</v>
      </c>
      <c r="H172" s="15">
        <f t="shared" si="123"/>
        <v>5</v>
      </c>
      <c r="I172" s="13">
        <f t="shared" si="123"/>
        <v>2</v>
      </c>
      <c r="J172" s="16">
        <f t="shared" ref="J172" si="129">J214*J$155</f>
        <v>0</v>
      </c>
      <c r="K172" s="16">
        <f t="shared" si="123"/>
        <v>490.33333333333331</v>
      </c>
      <c r="L172" s="15">
        <f t="shared" si="123"/>
        <v>729.66666666666663</v>
      </c>
      <c r="M172" s="14">
        <f t="shared" si="123"/>
        <v>77.333333333333329</v>
      </c>
      <c r="N172" s="172">
        <f t="shared" si="123"/>
        <v>2.6666666666666665</v>
      </c>
      <c r="O172" s="174" t="s">
        <v>85</v>
      </c>
      <c r="P172" s="120"/>
      <c r="Q172" s="120"/>
      <c r="R172" s="120"/>
    </row>
    <row r="173" spans="1:18" outlineLevel="1" x14ac:dyDescent="0.2">
      <c r="A173" s="20">
        <f t="shared" si="107"/>
        <v>9651</v>
      </c>
      <c r="B173" s="19" t="str">
        <f t="shared" si="107"/>
        <v>TAMI</v>
      </c>
      <c r="C173" s="58">
        <f t="shared" si="108"/>
        <v>6499.1194247996027</v>
      </c>
      <c r="D173" s="15">
        <f t="shared" si="122"/>
        <v>789.66666666666663</v>
      </c>
      <c r="E173" s="14">
        <f t="shared" si="122"/>
        <v>373.77555555555551</v>
      </c>
      <c r="F173" s="14">
        <f t="shared" si="122"/>
        <v>19.326154348180779</v>
      </c>
      <c r="G173" s="13">
        <f t="shared" si="123"/>
        <v>1458.4966666666717</v>
      </c>
      <c r="H173" s="15">
        <f t="shared" si="123"/>
        <v>115.66666666666667</v>
      </c>
      <c r="I173" s="13">
        <f t="shared" si="123"/>
        <v>22.333333333333332</v>
      </c>
      <c r="J173" s="16">
        <f t="shared" ref="J173" si="130">J215*J$155</f>
        <v>111.18771489586078</v>
      </c>
      <c r="K173" s="16">
        <f t="shared" si="123"/>
        <v>712.66666666666663</v>
      </c>
      <c r="L173" s="15">
        <f t="shared" si="123"/>
        <v>1406.6666666666667</v>
      </c>
      <c r="M173" s="14">
        <f t="shared" si="123"/>
        <v>1015.6666666666666</v>
      </c>
      <c r="N173" s="172">
        <f t="shared" si="123"/>
        <v>473.66666666666669</v>
      </c>
      <c r="O173" s="174" t="s">
        <v>86</v>
      </c>
      <c r="P173" s="120"/>
      <c r="Q173" s="120"/>
      <c r="R173" s="120"/>
    </row>
    <row r="174" spans="1:18" outlineLevel="1" x14ac:dyDescent="0.2">
      <c r="A174" s="20">
        <f t="shared" si="107"/>
        <v>3665</v>
      </c>
      <c r="B174" s="19" t="str">
        <f t="shared" si="107"/>
        <v>WTAMU</v>
      </c>
      <c r="C174" s="58">
        <f t="shared" si="108"/>
        <v>9379.6205536498783</v>
      </c>
      <c r="D174" s="15">
        <f t="shared" si="122"/>
        <v>1255.6666666666667</v>
      </c>
      <c r="E174" s="14">
        <f t="shared" si="122"/>
        <v>591.00044444444438</v>
      </c>
      <c r="F174" s="14">
        <f t="shared" si="122"/>
        <v>23.187721854032869</v>
      </c>
      <c r="G174" s="13">
        <f t="shared" si="123"/>
        <v>2503.5766666666836</v>
      </c>
      <c r="H174" s="15">
        <f t="shared" si="123"/>
        <v>191.66666666666666</v>
      </c>
      <c r="I174" s="13">
        <f t="shared" si="123"/>
        <v>60.666666666666664</v>
      </c>
      <c r="J174" s="16">
        <f t="shared" ref="J174" si="131">J216*J$155</f>
        <v>198.85572068471603</v>
      </c>
      <c r="K174" s="16">
        <f t="shared" si="123"/>
        <v>889.33333333333337</v>
      </c>
      <c r="L174" s="15">
        <f t="shared" si="123"/>
        <v>1791.6666666666667</v>
      </c>
      <c r="M174" s="14">
        <f t="shared" si="123"/>
        <v>1212.6666666666667</v>
      </c>
      <c r="N174" s="172">
        <f t="shared" si="123"/>
        <v>661.33333333333337</v>
      </c>
      <c r="O174" s="174" t="s">
        <v>86</v>
      </c>
      <c r="P174" s="120"/>
      <c r="Q174" s="120"/>
      <c r="R174" s="120"/>
    </row>
    <row r="175" spans="1:18" outlineLevel="1" x14ac:dyDescent="0.2">
      <c r="A175" s="20">
        <f t="shared" si="107"/>
        <v>3565</v>
      </c>
      <c r="B175" s="19" t="str">
        <f t="shared" si="107"/>
        <v>TAMUC</v>
      </c>
      <c r="C175" s="58">
        <f t="shared" si="108"/>
        <v>9185.2202415513675</v>
      </c>
      <c r="D175" s="15">
        <f t="shared" si="122"/>
        <v>1324.3333333333333</v>
      </c>
      <c r="E175" s="14">
        <f t="shared" si="122"/>
        <v>582.70666666666659</v>
      </c>
      <c r="F175" s="14">
        <f t="shared" si="122"/>
        <v>28.19543536269185</v>
      </c>
      <c r="G175" s="13">
        <f t="shared" si="123"/>
        <v>2501.8266666666914</v>
      </c>
      <c r="H175" s="15">
        <f t="shared" si="123"/>
        <v>73</v>
      </c>
      <c r="I175" s="13">
        <f t="shared" si="123"/>
        <v>74.333333333333329</v>
      </c>
      <c r="J175" s="16">
        <f t="shared" ref="J175" si="132">J217*J$155</f>
        <v>98.82480618865111</v>
      </c>
      <c r="K175" s="16">
        <f t="shared" si="123"/>
        <v>1019.3333333333334</v>
      </c>
      <c r="L175" s="15">
        <f t="shared" si="123"/>
        <v>1893</v>
      </c>
      <c r="M175" s="14">
        <f t="shared" si="123"/>
        <v>1137.3333333333333</v>
      </c>
      <c r="N175" s="172">
        <f t="shared" si="123"/>
        <v>452.33333333333331</v>
      </c>
      <c r="O175" s="174" t="s">
        <v>84</v>
      </c>
      <c r="P175" s="120"/>
      <c r="Q175" s="120"/>
      <c r="R175" s="120"/>
    </row>
    <row r="176" spans="1:18" outlineLevel="1" x14ac:dyDescent="0.2">
      <c r="A176" s="20">
        <f t="shared" ref="A176:B193" si="133">A25</f>
        <v>29269</v>
      </c>
      <c r="B176" s="19" t="str">
        <f t="shared" si="133"/>
        <v>TAMUT</v>
      </c>
      <c r="C176" s="58">
        <f t="shared" si="108"/>
        <v>2138.954787913744</v>
      </c>
      <c r="D176" s="15">
        <f t="shared" si="122"/>
        <v>345.66666666666669</v>
      </c>
      <c r="E176" s="14">
        <f t="shared" si="122"/>
        <v>187.3602625468375</v>
      </c>
      <c r="F176" s="14">
        <f t="shared" si="122"/>
        <v>38.766355140186917</v>
      </c>
      <c r="G176" s="13">
        <f t="shared" si="123"/>
        <v>619.90999999999826</v>
      </c>
      <c r="H176" s="15">
        <f t="shared" si="123"/>
        <v>41.666666666666664</v>
      </c>
      <c r="I176" s="13">
        <f t="shared" si="123"/>
        <v>19.333333333333332</v>
      </c>
      <c r="J176" s="16">
        <f t="shared" ref="J176" si="134">J218*J$155</f>
        <v>32.918170226721116</v>
      </c>
      <c r="K176" s="16">
        <f t="shared" si="123"/>
        <v>239</v>
      </c>
      <c r="L176" s="15">
        <f t="shared" si="123"/>
        <v>432.66666666666669</v>
      </c>
      <c r="M176" s="14">
        <f t="shared" si="123"/>
        <v>181</v>
      </c>
      <c r="N176" s="172">
        <f t="shared" si="123"/>
        <v>0.66666666666666663</v>
      </c>
      <c r="O176" s="174" t="s">
        <v>85</v>
      </c>
      <c r="P176" s="120"/>
      <c r="Q176" s="120"/>
      <c r="R176" s="120"/>
    </row>
    <row r="177" spans="1:18" outlineLevel="1" x14ac:dyDescent="0.2">
      <c r="A177" s="20">
        <f t="shared" si="133"/>
        <v>3652</v>
      </c>
      <c r="B177" s="19" t="str">
        <f t="shared" si="133"/>
        <v>UH</v>
      </c>
      <c r="C177" s="58">
        <f t="shared" si="108"/>
        <v>40035.29799952302</v>
      </c>
      <c r="D177" s="15">
        <f t="shared" si="122"/>
        <v>5098.666666666667</v>
      </c>
      <c r="E177" s="14">
        <f t="shared" si="122"/>
        <v>2734.5848888888891</v>
      </c>
      <c r="F177" s="14">
        <f t="shared" si="122"/>
        <v>21.425049678026625</v>
      </c>
      <c r="G177" s="13">
        <f t="shared" si="123"/>
        <v>10580.246666665944</v>
      </c>
      <c r="H177" s="15">
        <f t="shared" si="123"/>
        <v>737</v>
      </c>
      <c r="I177" s="13">
        <f t="shared" si="123"/>
        <v>62.666666666666664</v>
      </c>
      <c r="J177" s="16">
        <f t="shared" ref="J177" si="135">J219*J$155</f>
        <v>827.70806095682065</v>
      </c>
      <c r="K177" s="16">
        <f t="shared" si="123"/>
        <v>3373</v>
      </c>
      <c r="L177" s="15">
        <f t="shared" si="123"/>
        <v>7602.333333333333</v>
      </c>
      <c r="M177" s="14">
        <f t="shared" si="123"/>
        <v>5690.333333333333</v>
      </c>
      <c r="N177" s="172">
        <f t="shared" si="123"/>
        <v>3307.3333333333335</v>
      </c>
      <c r="O177" s="174" t="s">
        <v>83</v>
      </c>
      <c r="P177" s="120"/>
      <c r="Q177" s="120"/>
      <c r="R177" s="120"/>
    </row>
    <row r="178" spans="1:18" outlineLevel="1" x14ac:dyDescent="0.2">
      <c r="A178" s="20">
        <f t="shared" si="133"/>
        <v>11711</v>
      </c>
      <c r="B178" s="19" t="str">
        <f t="shared" si="133"/>
        <v>UHCL</v>
      </c>
      <c r="C178" s="58">
        <f t="shared" si="108"/>
        <v>7556.1120036280163</v>
      </c>
      <c r="D178" s="15">
        <f t="shared" si="122"/>
        <v>1190.6666666666667</v>
      </c>
      <c r="E178" s="14">
        <f t="shared" si="122"/>
        <v>619.34267935898833</v>
      </c>
      <c r="F178" s="14">
        <f t="shared" si="122"/>
        <v>39.693593314763234</v>
      </c>
      <c r="G178" s="13">
        <f t="shared" si="123"/>
        <v>2282.9533333333529</v>
      </c>
      <c r="H178" s="15">
        <f t="shared" si="123"/>
        <v>106.66666666666667</v>
      </c>
      <c r="I178" s="13">
        <f t="shared" si="123"/>
        <v>8.3333333333333339</v>
      </c>
      <c r="J178" s="16">
        <f t="shared" ref="J178" si="136">J220*J$155</f>
        <v>132.12239762091181</v>
      </c>
      <c r="K178" s="16">
        <f t="shared" si="123"/>
        <v>774.33333333333337</v>
      </c>
      <c r="L178" s="15">
        <f t="shared" si="123"/>
        <v>1391.3333333333333</v>
      </c>
      <c r="M178" s="14">
        <f t="shared" si="123"/>
        <v>953.66666666666663</v>
      </c>
      <c r="N178" s="172">
        <f t="shared" si="123"/>
        <v>57</v>
      </c>
      <c r="O178" s="174" t="s">
        <v>85</v>
      </c>
      <c r="P178" s="120"/>
      <c r="Q178" s="120"/>
      <c r="R178" s="120"/>
    </row>
    <row r="179" spans="1:18" outlineLevel="1" x14ac:dyDescent="0.2">
      <c r="A179" s="20">
        <f t="shared" si="133"/>
        <v>12826</v>
      </c>
      <c r="B179" s="19" t="str">
        <f t="shared" si="133"/>
        <v>UHD</v>
      </c>
      <c r="C179" s="58">
        <f t="shared" si="108"/>
        <v>14547.470048625399</v>
      </c>
      <c r="D179" s="15">
        <f t="shared" si="122"/>
        <v>2382.3333333333335</v>
      </c>
      <c r="E179" s="14">
        <f t="shared" si="122"/>
        <v>452.64333333333343</v>
      </c>
      <c r="F179" s="14">
        <f t="shared" si="122"/>
        <v>29.833031863086134</v>
      </c>
      <c r="G179" s="13">
        <f t="shared" si="123"/>
        <v>4271.3166666667212</v>
      </c>
      <c r="H179" s="15">
        <f t="shared" si="123"/>
        <v>129.66666666666666</v>
      </c>
      <c r="I179" s="13">
        <f t="shared" si="123"/>
        <v>1.6666666666666667</v>
      </c>
      <c r="J179" s="16">
        <f t="shared" ref="J179" si="137">J221*J$155</f>
        <v>20.677016762256617</v>
      </c>
      <c r="K179" s="16">
        <f t="shared" si="123"/>
        <v>1681</v>
      </c>
      <c r="L179" s="15">
        <f t="shared" si="123"/>
        <v>3105.3333333333335</v>
      </c>
      <c r="M179" s="14">
        <f t="shared" si="123"/>
        <v>1868.3333333333333</v>
      </c>
      <c r="N179" s="172">
        <f t="shared" si="123"/>
        <v>604.66666666666663</v>
      </c>
      <c r="O179" s="174" t="s">
        <v>85</v>
      </c>
      <c r="P179" s="120"/>
      <c r="Q179" s="120"/>
      <c r="R179" s="120"/>
    </row>
    <row r="180" spans="1:18" outlineLevel="1" x14ac:dyDescent="0.2">
      <c r="A180" s="20">
        <f t="shared" si="133"/>
        <v>13231</v>
      </c>
      <c r="B180" s="19" t="str">
        <f t="shared" si="133"/>
        <v>UHV</v>
      </c>
      <c r="C180" s="58">
        <f t="shared" si="108"/>
        <v>3556.4421913765473</v>
      </c>
      <c r="D180" s="15">
        <f t="shared" si="122"/>
        <v>576.66666666666663</v>
      </c>
      <c r="E180" s="14">
        <f t="shared" si="122"/>
        <v>300.19546283886069</v>
      </c>
      <c r="F180" s="14">
        <f t="shared" si="122"/>
        <v>40.08464889245883</v>
      </c>
      <c r="G180" s="13">
        <f t="shared" si="123"/>
        <v>1084.4800000000012</v>
      </c>
      <c r="H180" s="15">
        <f t="shared" si="123"/>
        <v>108</v>
      </c>
      <c r="I180" s="13">
        <f t="shared" si="123"/>
        <v>7.333333333333333</v>
      </c>
      <c r="J180" s="16">
        <f t="shared" ref="J180" si="138">J222*J$155</f>
        <v>36.682079645226764</v>
      </c>
      <c r="K180" s="16">
        <f t="shared" si="123"/>
        <v>384</v>
      </c>
      <c r="L180" s="15">
        <f t="shared" si="123"/>
        <v>716</v>
      </c>
      <c r="M180" s="14">
        <f t="shared" si="123"/>
        <v>296.33333333333331</v>
      </c>
      <c r="N180" s="172">
        <f t="shared" si="123"/>
        <v>6.666666666666667</v>
      </c>
      <c r="O180" s="174" t="s">
        <v>85</v>
      </c>
      <c r="P180" s="120"/>
      <c r="Q180" s="120"/>
      <c r="R180" s="120"/>
    </row>
    <row r="181" spans="1:18" outlineLevel="1" x14ac:dyDescent="0.2">
      <c r="A181" s="20">
        <f t="shared" si="133"/>
        <v>3592</v>
      </c>
      <c r="B181" s="19" t="str">
        <f t="shared" si="133"/>
        <v>Midwestern</v>
      </c>
      <c r="C181" s="58">
        <f t="shared" si="108"/>
        <v>7824.0844561569411</v>
      </c>
      <c r="D181" s="15">
        <f t="shared" si="122"/>
        <v>1031.6666666666667</v>
      </c>
      <c r="E181" s="14">
        <f t="shared" si="122"/>
        <v>453.24555555555554</v>
      </c>
      <c r="F181" s="14">
        <f t="shared" si="122"/>
        <v>24.122522148034601</v>
      </c>
      <c r="G181" s="13">
        <f t="shared" si="123"/>
        <v>1962.0000000000034</v>
      </c>
      <c r="H181" s="15">
        <f t="shared" si="123"/>
        <v>333.33333333333331</v>
      </c>
      <c r="I181" s="13">
        <f t="shared" si="123"/>
        <v>15</v>
      </c>
      <c r="J181" s="16">
        <f t="shared" ref="J181" si="139">J223*J$155</f>
        <v>150.71637845334715</v>
      </c>
      <c r="K181" s="16">
        <f t="shared" si="123"/>
        <v>690.33333333333337</v>
      </c>
      <c r="L181" s="15">
        <f t="shared" si="123"/>
        <v>1438</v>
      </c>
      <c r="M181" s="14">
        <f t="shared" si="123"/>
        <v>1046</v>
      </c>
      <c r="N181" s="172">
        <f t="shared" si="123"/>
        <v>679.66666666666663</v>
      </c>
      <c r="O181" s="174" t="s">
        <v>85</v>
      </c>
      <c r="P181" s="120"/>
      <c r="Q181" s="120"/>
      <c r="R181" s="120"/>
    </row>
    <row r="182" spans="1:18" outlineLevel="1" x14ac:dyDescent="0.2">
      <c r="A182" s="20">
        <f t="shared" si="133"/>
        <v>3594</v>
      </c>
      <c r="B182" s="19" t="str">
        <f t="shared" si="133"/>
        <v>UNT</v>
      </c>
      <c r="C182" s="58">
        <f t="shared" si="108"/>
        <v>43074.634135801702</v>
      </c>
      <c r="D182" s="15">
        <f t="shared" si="122"/>
        <v>6016.666666666667</v>
      </c>
      <c r="E182" s="14">
        <f t="shared" si="122"/>
        <v>3467.6055555555558</v>
      </c>
      <c r="F182" s="14">
        <f t="shared" si="122"/>
        <v>25.886944566084125</v>
      </c>
      <c r="G182" s="13">
        <f t="shared" si="123"/>
        <v>11411.553333332529</v>
      </c>
      <c r="H182" s="15">
        <f t="shared" si="123"/>
        <v>336.66666666666669</v>
      </c>
      <c r="I182" s="13">
        <f t="shared" si="123"/>
        <v>43.333333333333336</v>
      </c>
      <c r="J182" s="16">
        <f t="shared" ref="J182" si="140">J224*J$155</f>
        <v>1108.9216356808658</v>
      </c>
      <c r="K182" s="16">
        <f t="shared" si="123"/>
        <v>3820</v>
      </c>
      <c r="L182" s="15">
        <f t="shared" si="123"/>
        <v>7864.666666666667</v>
      </c>
      <c r="M182" s="14">
        <f t="shared" si="123"/>
        <v>5642.333333333333</v>
      </c>
      <c r="N182" s="172">
        <f t="shared" si="123"/>
        <v>3337</v>
      </c>
      <c r="O182" s="174" t="s">
        <v>83</v>
      </c>
      <c r="P182" s="120"/>
      <c r="Q182" s="120"/>
      <c r="R182" s="120"/>
    </row>
    <row r="183" spans="1:18" outlineLevel="1" x14ac:dyDescent="0.2">
      <c r="A183" s="27">
        <f t="shared" si="133"/>
        <v>113594</v>
      </c>
      <c r="B183" s="19" t="str">
        <f t="shared" si="133"/>
        <v>UNTD</v>
      </c>
      <c r="C183" s="58">
        <f t="shared" si="108"/>
        <v>2266.0285160653862</v>
      </c>
      <c r="D183" s="15">
        <f t="shared" si="122"/>
        <v>403.5</v>
      </c>
      <c r="E183" s="14">
        <f t="shared" si="122"/>
        <v>233.02125000000001</v>
      </c>
      <c r="F183" s="14">
        <f t="shared" si="122"/>
        <v>42.647266065388948</v>
      </c>
      <c r="G183" s="13">
        <f t="shared" ref="G183:N193" si="141">G225*G$155</f>
        <v>705.85999999999717</v>
      </c>
      <c r="H183" s="15">
        <f t="shared" si="141"/>
        <v>12</v>
      </c>
      <c r="I183" s="13">
        <f t="shared" si="141"/>
        <v>0</v>
      </c>
      <c r="J183" s="16">
        <f t="shared" ref="J183" si="142">J225*J$155</f>
        <v>0</v>
      </c>
      <c r="K183" s="16">
        <f t="shared" si="141"/>
        <v>308.5</v>
      </c>
      <c r="L183" s="15">
        <f t="shared" si="141"/>
        <v>478</v>
      </c>
      <c r="M183" s="14">
        <f t="shared" si="141"/>
        <v>71.5</v>
      </c>
      <c r="N183" s="172">
        <f t="shared" si="141"/>
        <v>11</v>
      </c>
      <c r="O183" s="174" t="s">
        <v>85</v>
      </c>
      <c r="P183" s="120"/>
      <c r="Q183" s="120"/>
      <c r="R183" s="120"/>
    </row>
    <row r="184" spans="1:18" outlineLevel="1" x14ac:dyDescent="0.2">
      <c r="A184" s="20">
        <f t="shared" si="133"/>
        <v>3624</v>
      </c>
      <c r="B184" s="19" t="str">
        <f t="shared" si="133"/>
        <v>SFA</v>
      </c>
      <c r="C184" s="58">
        <f t="shared" si="108"/>
        <v>15342.73470837993</v>
      </c>
      <c r="D184" s="15">
        <f t="shared" si="122"/>
        <v>1921.6666666666667</v>
      </c>
      <c r="E184" s="14">
        <f t="shared" si="122"/>
        <v>1064.6033333333332</v>
      </c>
      <c r="F184" s="14">
        <f t="shared" si="122"/>
        <v>20.257544310083915</v>
      </c>
      <c r="G184" s="13">
        <f t="shared" si="141"/>
        <v>3721.736666666669</v>
      </c>
      <c r="H184" s="15">
        <f t="shared" si="141"/>
        <v>248</v>
      </c>
      <c r="I184" s="13">
        <f t="shared" si="141"/>
        <v>44.666666666666664</v>
      </c>
      <c r="J184" s="16">
        <f t="shared" ref="J184" si="143">J226*J$155</f>
        <v>619.80383073650876</v>
      </c>
      <c r="K184" s="16">
        <f t="shared" si="141"/>
        <v>1460.3333333333333</v>
      </c>
      <c r="L184" s="15">
        <f t="shared" si="141"/>
        <v>2769.3333333333335</v>
      </c>
      <c r="M184" s="14">
        <f t="shared" si="141"/>
        <v>2075</v>
      </c>
      <c r="N184" s="172">
        <f t="shared" si="141"/>
        <v>1397.3333333333333</v>
      </c>
      <c r="O184" s="174" t="s">
        <v>86</v>
      </c>
      <c r="P184" s="120"/>
      <c r="Q184" s="120"/>
      <c r="R184" s="120"/>
    </row>
    <row r="185" spans="1:18" outlineLevel="1" x14ac:dyDescent="0.2">
      <c r="A185" s="20">
        <f t="shared" si="133"/>
        <v>3642</v>
      </c>
      <c r="B185" s="19" t="str">
        <f t="shared" si="133"/>
        <v>TSU</v>
      </c>
      <c r="C185" s="58">
        <f t="shared" si="108"/>
        <v>6850.6796905099618</v>
      </c>
      <c r="D185" s="15">
        <f t="shared" si="122"/>
        <v>758.33333333333337</v>
      </c>
      <c r="E185" s="14">
        <f t="shared" si="122"/>
        <v>108.94722222222221</v>
      </c>
      <c r="F185" s="14">
        <f t="shared" si="122"/>
        <v>12.933681010892716</v>
      </c>
      <c r="G185" s="13">
        <f t="shared" si="141"/>
        <v>1488.6533333333352</v>
      </c>
      <c r="H185" s="15">
        <f t="shared" si="141"/>
        <v>134.33333333333334</v>
      </c>
      <c r="I185" s="13">
        <f t="shared" si="141"/>
        <v>3</v>
      </c>
      <c r="J185" s="16">
        <f t="shared" ref="J185" si="144">J227*J$155</f>
        <v>59.145453943511406</v>
      </c>
      <c r="K185" s="16">
        <f t="shared" si="141"/>
        <v>666.33333333333337</v>
      </c>
      <c r="L185" s="15">
        <f t="shared" si="141"/>
        <v>1637.3333333333333</v>
      </c>
      <c r="M185" s="14">
        <f t="shared" si="141"/>
        <v>1133</v>
      </c>
      <c r="N185" s="172">
        <f t="shared" si="141"/>
        <v>848.66666666666663</v>
      </c>
      <c r="O185" s="174" t="s">
        <v>84</v>
      </c>
      <c r="P185" s="120"/>
      <c r="Q185" s="120"/>
      <c r="R185" s="120"/>
    </row>
    <row r="186" spans="1:18" outlineLevel="1" x14ac:dyDescent="0.2">
      <c r="A186" s="20">
        <f t="shared" si="133"/>
        <v>3644</v>
      </c>
      <c r="B186" s="19" t="str">
        <f t="shared" si="133"/>
        <v>TTU</v>
      </c>
      <c r="C186" s="58">
        <f t="shared" si="108"/>
        <v>39410.888892483039</v>
      </c>
      <c r="D186" s="15">
        <f t="shared" si="122"/>
        <v>4674</v>
      </c>
      <c r="E186" s="14">
        <f t="shared" si="122"/>
        <v>3421.3679999999995</v>
      </c>
      <c r="F186" s="14">
        <f t="shared" si="122"/>
        <v>21.061243127033354</v>
      </c>
      <c r="G186" s="13">
        <f t="shared" si="141"/>
        <v>10128.113333332682</v>
      </c>
      <c r="H186" s="15">
        <f t="shared" si="141"/>
        <v>727.33333333333337</v>
      </c>
      <c r="I186" s="13">
        <f t="shared" si="141"/>
        <v>57.333333333333336</v>
      </c>
      <c r="J186" s="16">
        <f t="shared" ref="J186" si="145">J228*J$155</f>
        <v>1894.3463160233268</v>
      </c>
      <c r="K186" s="16">
        <f t="shared" si="141"/>
        <v>2778</v>
      </c>
      <c r="L186" s="15">
        <f t="shared" si="141"/>
        <v>6485.333333333333</v>
      </c>
      <c r="M186" s="14">
        <f t="shared" si="141"/>
        <v>5278.333333333333</v>
      </c>
      <c r="N186" s="172">
        <f t="shared" si="141"/>
        <v>3945.6666666666665</v>
      </c>
      <c r="O186" s="174" t="s">
        <v>83</v>
      </c>
      <c r="P186" s="120"/>
      <c r="Q186" s="120"/>
      <c r="R186" s="120"/>
    </row>
    <row r="187" spans="1:18" outlineLevel="1" x14ac:dyDescent="0.2">
      <c r="A187" s="20">
        <f t="shared" si="133"/>
        <v>3541</v>
      </c>
      <c r="B187" s="19" t="str">
        <f t="shared" si="133"/>
        <v>Angelo</v>
      </c>
      <c r="C187" s="58">
        <f t="shared" si="108"/>
        <v>7793.7108861812121</v>
      </c>
      <c r="D187" s="15">
        <f t="shared" si="122"/>
        <v>991.33333333333337</v>
      </c>
      <c r="E187" s="14">
        <f t="shared" si="122"/>
        <v>425.94288888888889</v>
      </c>
      <c r="F187" s="14">
        <f t="shared" si="122"/>
        <v>20.305700708264297</v>
      </c>
      <c r="G187" s="13">
        <f t="shared" si="141"/>
        <v>1977.3500000000051</v>
      </c>
      <c r="H187" s="15">
        <f t="shared" si="141"/>
        <v>254.33333333333334</v>
      </c>
      <c r="I187" s="13">
        <f t="shared" si="141"/>
        <v>19.333333333333332</v>
      </c>
      <c r="J187" s="16">
        <f t="shared" ref="J187" si="146">J229*J$155</f>
        <v>202.11229658405227</v>
      </c>
      <c r="K187" s="16">
        <f t="shared" si="141"/>
        <v>723</v>
      </c>
      <c r="L187" s="15">
        <f t="shared" si="141"/>
        <v>1438.6666666666667</v>
      </c>
      <c r="M187" s="14">
        <f t="shared" si="141"/>
        <v>1033.6666666666667</v>
      </c>
      <c r="N187" s="172">
        <f t="shared" si="141"/>
        <v>707.66666666666663</v>
      </c>
      <c r="O187" s="174" t="s">
        <v>85</v>
      </c>
      <c r="P187" s="120"/>
      <c r="Q187" s="120"/>
      <c r="R187" s="120"/>
    </row>
    <row r="188" spans="1:18" outlineLevel="1" x14ac:dyDescent="0.2">
      <c r="A188" s="20">
        <f t="shared" si="133"/>
        <v>3646</v>
      </c>
      <c r="B188" s="19" t="str">
        <f t="shared" si="133"/>
        <v>TWU</v>
      </c>
      <c r="C188" s="58">
        <f t="shared" si="108"/>
        <v>12421.296877632147</v>
      </c>
      <c r="D188" s="15">
        <f t="shared" si="122"/>
        <v>1806</v>
      </c>
      <c r="E188" s="14">
        <f t="shared" si="122"/>
        <v>945.74200000000008</v>
      </c>
      <c r="F188" s="14">
        <f t="shared" si="122"/>
        <v>27.545604295039961</v>
      </c>
      <c r="G188" s="13">
        <f t="shared" si="141"/>
        <v>3452.1766666666658</v>
      </c>
      <c r="H188" s="15">
        <f t="shared" si="141"/>
        <v>569.33333333333337</v>
      </c>
      <c r="I188" s="13">
        <f t="shared" si="141"/>
        <v>31.666666666666668</v>
      </c>
      <c r="J188" s="16">
        <f t="shared" ref="J188" si="147">J230*J$155</f>
        <v>193.83260667044178</v>
      </c>
      <c r="K188" s="16">
        <f t="shared" si="141"/>
        <v>1247</v>
      </c>
      <c r="L188" s="15">
        <f t="shared" si="141"/>
        <v>2196</v>
      </c>
      <c r="M188" s="14">
        <f t="shared" si="141"/>
        <v>1292.3333333333333</v>
      </c>
      <c r="N188" s="172">
        <f t="shared" si="141"/>
        <v>659.66666666666663</v>
      </c>
      <c r="O188" s="174" t="s">
        <v>84</v>
      </c>
      <c r="P188" s="120"/>
      <c r="Q188" s="120"/>
      <c r="R188" s="120"/>
    </row>
    <row r="189" spans="1:18" outlineLevel="1" x14ac:dyDescent="0.2">
      <c r="A189" s="20">
        <f t="shared" si="133"/>
        <v>3581</v>
      </c>
      <c r="B189" s="19" t="str">
        <f t="shared" si="133"/>
        <v>Lamar</v>
      </c>
      <c r="C189" s="58">
        <f t="shared" si="108"/>
        <v>10644.763986766426</v>
      </c>
      <c r="D189" s="15">
        <f t="shared" si="122"/>
        <v>1335.3333333333333</v>
      </c>
      <c r="E189" s="14">
        <f t="shared" si="122"/>
        <v>467.81177777777776</v>
      </c>
      <c r="F189" s="14">
        <f t="shared" si="122"/>
        <v>18.354929164452098</v>
      </c>
      <c r="G189" s="13">
        <f t="shared" si="141"/>
        <v>2684.9000000000165</v>
      </c>
      <c r="H189" s="15">
        <f t="shared" si="141"/>
        <v>330</v>
      </c>
      <c r="I189" s="13">
        <f t="shared" si="141"/>
        <v>17</v>
      </c>
      <c r="J189" s="16">
        <f t="shared" ref="J189" si="148">J231*J$155</f>
        <v>198.03061315751214</v>
      </c>
      <c r="K189" s="16">
        <f t="shared" si="141"/>
        <v>948.66666666666663</v>
      </c>
      <c r="L189" s="15">
        <f t="shared" si="141"/>
        <v>2144.6666666666665</v>
      </c>
      <c r="M189" s="14">
        <f t="shared" si="141"/>
        <v>1489</v>
      </c>
      <c r="N189" s="172">
        <f t="shared" si="141"/>
        <v>1011</v>
      </c>
      <c r="O189" s="174" t="s">
        <v>86</v>
      </c>
      <c r="P189" s="120"/>
      <c r="Q189" s="120"/>
      <c r="R189" s="120"/>
    </row>
    <row r="190" spans="1:18" outlineLevel="1" x14ac:dyDescent="0.2">
      <c r="A190" s="20">
        <f t="shared" si="133"/>
        <v>3606</v>
      </c>
      <c r="B190" s="19" t="str">
        <f t="shared" si="133"/>
        <v>SHSU</v>
      </c>
      <c r="C190" s="58">
        <f t="shared" si="108"/>
        <v>22545.579969595143</v>
      </c>
      <c r="D190" s="15">
        <f t="shared" si="122"/>
        <v>3077.6666666666665</v>
      </c>
      <c r="E190" s="14">
        <f t="shared" si="122"/>
        <v>1805.5644444444445</v>
      </c>
      <c r="F190" s="14">
        <f t="shared" si="122"/>
        <v>24.475654239301015</v>
      </c>
      <c r="G190" s="13">
        <f t="shared" si="141"/>
        <v>5837.0766666667887</v>
      </c>
      <c r="H190" s="15">
        <f t="shared" si="141"/>
        <v>167</v>
      </c>
      <c r="I190" s="13">
        <f t="shared" si="141"/>
        <v>61</v>
      </c>
      <c r="J190" s="16">
        <f t="shared" ref="J190" si="149">J232*J$155</f>
        <v>736.12987091127741</v>
      </c>
      <c r="K190" s="16">
        <f t="shared" si="141"/>
        <v>2213.6666666666665</v>
      </c>
      <c r="L190" s="15">
        <f t="shared" si="141"/>
        <v>3894.3333333333335</v>
      </c>
      <c r="M190" s="14">
        <f t="shared" si="141"/>
        <v>2965.3333333333335</v>
      </c>
      <c r="N190" s="172">
        <f t="shared" si="141"/>
        <v>1763.3333333333333</v>
      </c>
      <c r="O190" s="174" t="s">
        <v>84</v>
      </c>
      <c r="P190" s="120"/>
      <c r="Q190" s="120"/>
      <c r="R190" s="120"/>
    </row>
    <row r="191" spans="1:18" outlineLevel="1" x14ac:dyDescent="0.2">
      <c r="A191" s="20">
        <f t="shared" si="133"/>
        <v>3615</v>
      </c>
      <c r="B191" s="19" t="str">
        <f t="shared" si="133"/>
        <v>TXST</v>
      </c>
      <c r="C191" s="58">
        <f t="shared" si="108"/>
        <v>40944.883794016547</v>
      </c>
      <c r="D191" s="15">
        <f t="shared" si="122"/>
        <v>5361</v>
      </c>
      <c r="E191" s="14">
        <f t="shared" si="122"/>
        <v>3393.5129999999999</v>
      </c>
      <c r="F191" s="14">
        <f t="shared" si="122"/>
        <v>23.406891519786395</v>
      </c>
      <c r="G191" s="13">
        <f t="shared" si="141"/>
        <v>10437.309999999357</v>
      </c>
      <c r="H191" s="15">
        <f t="shared" si="141"/>
        <v>488.66666666666669</v>
      </c>
      <c r="I191" s="13">
        <f t="shared" si="141"/>
        <v>66.666666666666671</v>
      </c>
      <c r="J191" s="16">
        <f t="shared" ref="J191" si="150">J233*J$155</f>
        <v>1132.3205691640694</v>
      </c>
      <c r="K191" s="16">
        <f t="shared" si="141"/>
        <v>3675.3333333333335</v>
      </c>
      <c r="L191" s="15">
        <f t="shared" si="141"/>
        <v>7470.333333333333</v>
      </c>
      <c r="M191" s="14">
        <f t="shared" si="141"/>
        <v>5579</v>
      </c>
      <c r="N191" s="172">
        <f t="shared" si="141"/>
        <v>3317.3333333333335</v>
      </c>
      <c r="O191" s="174" t="s">
        <v>83</v>
      </c>
      <c r="P191" s="120"/>
      <c r="Q191" s="120"/>
      <c r="R191" s="120"/>
    </row>
    <row r="192" spans="1:18" outlineLevel="1" x14ac:dyDescent="0.2">
      <c r="A192" s="20">
        <f t="shared" si="133"/>
        <v>3625</v>
      </c>
      <c r="B192" s="19" t="str">
        <f t="shared" si="133"/>
        <v>SRSU</v>
      </c>
      <c r="C192" s="58">
        <f t="shared" si="108"/>
        <v>1489.0951494649903</v>
      </c>
      <c r="D192" s="15">
        <f t="shared" si="122"/>
        <v>189.33333333333334</v>
      </c>
      <c r="E192" s="14">
        <f t="shared" si="122"/>
        <v>56.989333333333335</v>
      </c>
      <c r="F192" s="14">
        <f t="shared" si="122"/>
        <v>15.518843008324076</v>
      </c>
      <c r="G192" s="13">
        <f t="shared" si="141"/>
        <v>394.32999999999964</v>
      </c>
      <c r="H192" s="15">
        <f t="shared" si="141"/>
        <v>12.666666666666666</v>
      </c>
      <c r="I192" s="13">
        <f t="shared" si="141"/>
        <v>6.333333333333333</v>
      </c>
      <c r="J192" s="16">
        <f t="shared" ref="J192" si="151">J234*J$155</f>
        <v>25.59030645666644</v>
      </c>
      <c r="K192" s="16">
        <f t="shared" si="141"/>
        <v>163</v>
      </c>
      <c r="L192" s="15">
        <f t="shared" si="141"/>
        <v>300</v>
      </c>
      <c r="M192" s="14">
        <f t="shared" si="141"/>
        <v>193.66666666666666</v>
      </c>
      <c r="N192" s="172">
        <f t="shared" si="141"/>
        <v>131.66666666666666</v>
      </c>
      <c r="O192" s="174" t="s">
        <v>85</v>
      </c>
      <c r="P192" s="120"/>
      <c r="Q192" s="120"/>
      <c r="R192" s="120"/>
    </row>
    <row r="193" spans="1:18" outlineLevel="1" x14ac:dyDescent="0.2">
      <c r="A193" s="20">
        <f t="shared" si="133"/>
        <v>20</v>
      </c>
      <c r="B193" s="19" t="str">
        <f t="shared" si="133"/>
        <v>SRRG</v>
      </c>
      <c r="C193" s="58">
        <f t="shared" si="108"/>
        <v>1018.0750949010898</v>
      </c>
      <c r="D193" s="15">
        <f t="shared" si="122"/>
        <v>161.66666666666666</v>
      </c>
      <c r="E193" s="14">
        <f t="shared" si="122"/>
        <v>51.365976618337754</v>
      </c>
      <c r="F193" s="14">
        <f t="shared" si="122"/>
        <v>36.596408270033706</v>
      </c>
      <c r="G193" s="13">
        <f t="shared" si="141"/>
        <v>279.16999999999979</v>
      </c>
      <c r="H193" s="15">
        <f t="shared" si="141"/>
        <v>6.333333333333333</v>
      </c>
      <c r="I193" s="13">
        <f t="shared" si="141"/>
        <v>5.666666666666667</v>
      </c>
      <c r="J193" s="16">
        <f t="shared" ref="J193" si="152">J235*J$155</f>
        <v>6.2760433460517291</v>
      </c>
      <c r="K193" s="16">
        <f t="shared" si="141"/>
        <v>144</v>
      </c>
      <c r="L193" s="15">
        <f t="shared" si="141"/>
        <v>230</v>
      </c>
      <c r="M193" s="14">
        <f t="shared" si="141"/>
        <v>92.666666666666671</v>
      </c>
      <c r="N193" s="172">
        <f t="shared" si="141"/>
        <v>4.333333333333333</v>
      </c>
      <c r="O193" s="174" t="s">
        <v>85</v>
      </c>
      <c r="P193" s="120"/>
      <c r="Q193" s="120"/>
      <c r="R193" s="120"/>
    </row>
    <row r="194" spans="1:18" ht="13.5" outlineLevel="1" thickBot="1" x14ac:dyDescent="0.25">
      <c r="A194" s="12"/>
      <c r="B194" s="11" t="s">
        <v>11</v>
      </c>
      <c r="C194" s="57">
        <f t="shared" ref="C194:N194" si="153">SUM(C156:C193)</f>
        <v>644887.01143253339</v>
      </c>
      <c r="D194" s="9">
        <f t="shared" si="153"/>
        <v>84315.833333333314</v>
      </c>
      <c r="E194" s="7">
        <f t="shared" ref="E194:F194" si="154">SUM(E156:E193)</f>
        <v>49031.80588920939</v>
      </c>
      <c r="F194" s="7">
        <f t="shared" si="154"/>
        <v>1017.4700431877567</v>
      </c>
      <c r="G194" s="3">
        <f t="shared" si="153"/>
        <v>172461.13999999844</v>
      </c>
      <c r="H194" s="5">
        <f t="shared" si="153"/>
        <v>13953.333333333332</v>
      </c>
      <c r="I194" s="3">
        <f t="shared" si="153"/>
        <v>1198.3333333333335</v>
      </c>
      <c r="J194" s="6">
        <f t="shared" ref="J194" si="155">SUM(J156:J193)</f>
        <v>21103.428833471022</v>
      </c>
      <c r="K194" s="6">
        <f t="shared" si="153"/>
        <v>54446.500000000007</v>
      </c>
      <c r="L194" s="5">
        <f t="shared" si="153"/>
        <v>114212.66666666664</v>
      </c>
      <c r="M194" s="4">
        <f t="shared" si="153"/>
        <v>82344.5</v>
      </c>
      <c r="N194" s="173">
        <f t="shared" si="153"/>
        <v>50801.999999999993</v>
      </c>
      <c r="O194" s="175"/>
      <c r="P194" s="238"/>
      <c r="Q194" s="238"/>
      <c r="R194" s="238"/>
    </row>
    <row r="195" spans="1:18" ht="13.5" thickBot="1" x14ac:dyDescent="0.25">
      <c r="A195" s="45" t="s">
        <v>29</v>
      </c>
      <c r="B195" s="45"/>
      <c r="C195" s="54"/>
      <c r="D195" s="54"/>
      <c r="E195" s="54"/>
      <c r="F195" s="56"/>
      <c r="H195" s="56"/>
      <c r="O195" s="55"/>
      <c r="P195" s="55"/>
      <c r="Q195" s="55"/>
      <c r="R195" s="55"/>
    </row>
    <row r="196" spans="1:18" ht="12.75" customHeight="1" outlineLevel="1" x14ac:dyDescent="0.2">
      <c r="A196" s="273" t="s">
        <v>24</v>
      </c>
      <c r="B196" s="275" t="s">
        <v>23</v>
      </c>
      <c r="C196" s="277"/>
      <c r="D196" s="306" t="s">
        <v>28</v>
      </c>
      <c r="E196" s="301" t="s">
        <v>21</v>
      </c>
      <c r="F196" s="275" t="s">
        <v>20</v>
      </c>
      <c r="G196" s="297" t="s">
        <v>19</v>
      </c>
      <c r="H196" s="299" t="s">
        <v>18</v>
      </c>
      <c r="I196" s="291" t="s">
        <v>17</v>
      </c>
      <c r="J196" s="332" t="s">
        <v>126</v>
      </c>
      <c r="K196" s="293" t="s">
        <v>16</v>
      </c>
      <c r="L196" s="295" t="s">
        <v>15</v>
      </c>
      <c r="M196" s="296"/>
      <c r="N196" s="296"/>
      <c r="O196" s="55"/>
      <c r="P196" s="55"/>
      <c r="Q196" s="55"/>
      <c r="R196" s="55"/>
    </row>
    <row r="197" spans="1:18" s="41" customFormat="1" ht="41.25" customHeight="1" outlineLevel="1" thickBot="1" x14ac:dyDescent="0.25">
      <c r="A197" s="274"/>
      <c r="B197" s="276"/>
      <c r="C197" s="278"/>
      <c r="D197" s="307"/>
      <c r="E197" s="302"/>
      <c r="F197" s="276"/>
      <c r="G197" s="298"/>
      <c r="H197" s="300"/>
      <c r="I197" s="292"/>
      <c r="J197" s="333"/>
      <c r="K197" s="294"/>
      <c r="L197" s="44" t="s">
        <v>14</v>
      </c>
      <c r="M197" s="43" t="s">
        <v>13</v>
      </c>
      <c r="N197" s="42" t="s">
        <v>12</v>
      </c>
      <c r="O197" s="55"/>
      <c r="P197" s="55"/>
      <c r="Q197" s="55"/>
      <c r="R197" s="55"/>
    </row>
    <row r="198" spans="1:18" outlineLevel="1" x14ac:dyDescent="0.2">
      <c r="A198" s="20">
        <f t="shared" ref="A198:B213" si="156">A156</f>
        <v>3656</v>
      </c>
      <c r="B198" s="19" t="str">
        <f t="shared" si="156"/>
        <v>UTA</v>
      </c>
      <c r="C198" s="38"/>
      <c r="D198" s="33">
        <f t="shared" ref="D198:N213" si="157">AVERAGE(D240,D282,D324)</f>
        <v>5018</v>
      </c>
      <c r="E198" s="226">
        <f>AVERAGE(E240,E282,E324)*D198</f>
        <v>2600.9966666666669</v>
      </c>
      <c r="F198" s="32">
        <f>D198/AVERAGE(F240,F282,F324)*100</f>
        <v>29.603788278048281</v>
      </c>
      <c r="G198" s="31">
        <f t="shared" si="157"/>
        <v>10418.553333333379</v>
      </c>
      <c r="H198" s="36">
        <f t="shared" si="157"/>
        <v>1531.3333333333333</v>
      </c>
      <c r="I198" s="35">
        <f t="shared" si="157"/>
        <v>35</v>
      </c>
      <c r="J198" s="234">
        <f t="shared" ref="J198" si="158">AVERAGE(J240,J282,J324)</f>
        <v>922.69443708157712</v>
      </c>
      <c r="K198" s="34">
        <f t="shared" si="157"/>
        <v>3116</v>
      </c>
      <c r="L198" s="33">
        <f t="shared" si="157"/>
        <v>6836.333333333333</v>
      </c>
      <c r="M198" s="32">
        <f t="shared" si="157"/>
        <v>3833.6666666666665</v>
      </c>
      <c r="N198" s="31">
        <f t="shared" si="157"/>
        <v>1783.6666666666667</v>
      </c>
      <c r="O198" s="55"/>
      <c r="P198" s="55"/>
      <c r="Q198" s="55"/>
      <c r="R198" s="55"/>
    </row>
    <row r="199" spans="1:18" outlineLevel="1" x14ac:dyDescent="0.2">
      <c r="A199" s="20">
        <f t="shared" si="156"/>
        <v>3658</v>
      </c>
      <c r="B199" s="19" t="str">
        <f t="shared" si="156"/>
        <v>UT</v>
      </c>
      <c r="C199" s="18"/>
      <c r="D199" s="15">
        <f t="shared" si="157"/>
        <v>8946.3333333333339</v>
      </c>
      <c r="E199" s="188">
        <f t="shared" ref="E199:E235" si="159">AVERAGE(E241,E283,E325)*D199</f>
        <v>7416.5103333333345</v>
      </c>
      <c r="F199" s="14">
        <f t="shared" ref="F199:F235" si="160">D199/AVERAGE(F241,F283,F325)*100</f>
        <v>26.497692061124674</v>
      </c>
      <c r="G199" s="13">
        <f t="shared" si="157"/>
        <v>19398.350000000519</v>
      </c>
      <c r="H199" s="15">
        <f t="shared" si="157"/>
        <v>1876.3333333333333</v>
      </c>
      <c r="I199" s="13">
        <f t="shared" si="157"/>
        <v>66</v>
      </c>
      <c r="J199" s="235">
        <f t="shared" ref="J199" si="161">AVERAGE(J241,J283,J325)</f>
        <v>4449.5613024368022</v>
      </c>
      <c r="K199" s="16">
        <f t="shared" si="157"/>
        <v>3470.3333333333335</v>
      </c>
      <c r="L199" s="15">
        <f t="shared" si="157"/>
        <v>9598.3333333333339</v>
      </c>
      <c r="M199" s="14">
        <f t="shared" si="157"/>
        <v>9005.6666666666661</v>
      </c>
      <c r="N199" s="13">
        <f t="shared" si="157"/>
        <v>7040.333333333333</v>
      </c>
      <c r="O199" s="55"/>
      <c r="P199" s="55"/>
      <c r="Q199" s="55"/>
      <c r="R199" s="55"/>
    </row>
    <row r="200" spans="1:18" outlineLevel="1" x14ac:dyDescent="0.2">
      <c r="A200" s="20">
        <f t="shared" si="156"/>
        <v>9741</v>
      </c>
      <c r="B200" s="19" t="str">
        <f t="shared" si="156"/>
        <v>UTD</v>
      </c>
      <c r="C200" s="18"/>
      <c r="D200" s="15">
        <f t="shared" si="157"/>
        <v>2393</v>
      </c>
      <c r="E200" s="188">
        <f t="shared" si="159"/>
        <v>1682.279</v>
      </c>
      <c r="F200" s="14">
        <f t="shared" si="160"/>
        <v>26.829760516638267</v>
      </c>
      <c r="G200" s="13">
        <f t="shared" si="157"/>
        <v>5101.2033333334393</v>
      </c>
      <c r="H200" s="15">
        <f t="shared" si="157"/>
        <v>421.66666666666669</v>
      </c>
      <c r="I200" s="13">
        <f t="shared" si="157"/>
        <v>32</v>
      </c>
      <c r="J200" s="235">
        <f t="shared" ref="J200" si="162">AVERAGE(J242,J284,J326)</f>
        <v>445.93693390146041</v>
      </c>
      <c r="K200" s="16">
        <f t="shared" si="157"/>
        <v>1319.6666666666667</v>
      </c>
      <c r="L200" s="15">
        <f t="shared" si="157"/>
        <v>3315</v>
      </c>
      <c r="M200" s="14">
        <f t="shared" si="157"/>
        <v>2134.3333333333335</v>
      </c>
      <c r="N200" s="13">
        <f t="shared" si="157"/>
        <v>1021.3333333333334</v>
      </c>
      <c r="O200" s="55"/>
      <c r="P200" s="55"/>
      <c r="Q200" s="55"/>
      <c r="R200" s="55"/>
    </row>
    <row r="201" spans="1:18" outlineLevel="1" x14ac:dyDescent="0.2">
      <c r="A201" s="20">
        <f t="shared" si="156"/>
        <v>3661</v>
      </c>
      <c r="B201" s="19" t="str">
        <f t="shared" si="156"/>
        <v>UTEP</v>
      </c>
      <c r="C201" s="18"/>
      <c r="D201" s="15">
        <f t="shared" si="157"/>
        <v>3057</v>
      </c>
      <c r="E201" s="188">
        <f t="shared" si="159"/>
        <v>1192.2299999999998</v>
      </c>
      <c r="F201" s="14">
        <f t="shared" si="160"/>
        <v>22.870894536023343</v>
      </c>
      <c r="G201" s="13">
        <f t="shared" si="157"/>
        <v>6298.0766666668133</v>
      </c>
      <c r="H201" s="15">
        <f t="shared" si="157"/>
        <v>655</v>
      </c>
      <c r="I201" s="13">
        <f t="shared" si="157"/>
        <v>90</v>
      </c>
      <c r="J201" s="235">
        <f t="shared" ref="J201" si="163">AVERAGE(J243,J285,J327)</f>
        <v>325.52052336527663</v>
      </c>
      <c r="K201" s="16">
        <f t="shared" si="157"/>
        <v>2464.3333333333335</v>
      </c>
      <c r="L201" s="15">
        <f t="shared" si="157"/>
        <v>4362.666666666667</v>
      </c>
      <c r="M201" s="14">
        <f t="shared" si="157"/>
        <v>3358</v>
      </c>
      <c r="N201" s="13">
        <f t="shared" si="157"/>
        <v>1956</v>
      </c>
      <c r="O201" s="55"/>
      <c r="P201" s="55"/>
      <c r="Q201" s="55"/>
      <c r="R201" s="55"/>
    </row>
    <row r="202" spans="1:18" outlineLevel="1" x14ac:dyDescent="0.2">
      <c r="A202" s="20">
        <f t="shared" si="156"/>
        <v>3599</v>
      </c>
      <c r="B202" s="19" t="str">
        <f t="shared" si="156"/>
        <v>UTPA</v>
      </c>
      <c r="C202" s="18"/>
      <c r="D202" s="15">
        <f t="shared" si="157"/>
        <v>2580</v>
      </c>
      <c r="E202" s="188">
        <f t="shared" si="159"/>
        <v>1111.98</v>
      </c>
      <c r="F202" s="14">
        <f t="shared" si="160"/>
        <v>20.492490499497837</v>
      </c>
      <c r="G202" s="13">
        <f t="shared" si="157"/>
        <v>5134.1666666667797</v>
      </c>
      <c r="H202" s="15">
        <f t="shared" si="157"/>
        <v>520.33333333333337</v>
      </c>
      <c r="I202" s="13">
        <f t="shared" si="157"/>
        <v>28</v>
      </c>
      <c r="J202" s="235">
        <f t="shared" ref="J202" si="164">AVERAGE(J244,J286,J328)</f>
        <v>546.10830727061955</v>
      </c>
      <c r="K202" s="16">
        <f t="shared" si="157"/>
        <v>2338.3333333333335</v>
      </c>
      <c r="L202" s="15">
        <f t="shared" si="157"/>
        <v>4075.3333333333335</v>
      </c>
      <c r="M202" s="14">
        <f t="shared" si="157"/>
        <v>3096</v>
      </c>
      <c r="N202" s="13">
        <f t="shared" si="157"/>
        <v>1939.3333333333333</v>
      </c>
      <c r="O202" s="55"/>
      <c r="P202" s="55"/>
      <c r="Q202" s="55"/>
      <c r="R202" s="55"/>
    </row>
    <row r="203" spans="1:18" outlineLevel="1" x14ac:dyDescent="0.2">
      <c r="A203" s="20">
        <f t="shared" si="156"/>
        <v>30646</v>
      </c>
      <c r="B203" s="19" t="str">
        <f t="shared" si="156"/>
        <v>UTB</v>
      </c>
      <c r="C203" s="18"/>
      <c r="D203" s="15">
        <f t="shared" si="157"/>
        <v>1092</v>
      </c>
      <c r="E203" s="188">
        <f t="shared" si="159"/>
        <v>628.17092451302005</v>
      </c>
      <c r="F203" s="14">
        <f t="shared" si="160"/>
        <v>34.461236368736628</v>
      </c>
      <c r="G203" s="13">
        <f t="shared" si="157"/>
        <v>2097.7933333333553</v>
      </c>
      <c r="H203" s="15">
        <f t="shared" si="157"/>
        <v>124.33333333333333</v>
      </c>
      <c r="I203" s="13">
        <f t="shared" si="157"/>
        <v>18.333333333333332</v>
      </c>
      <c r="J203" s="235">
        <f t="shared" ref="J203" si="165">AVERAGE(J245,J287,J329)</f>
        <v>51.015717921079307</v>
      </c>
      <c r="K203" s="16">
        <f t="shared" si="157"/>
        <v>936.66666666666663</v>
      </c>
      <c r="L203" s="15">
        <f t="shared" si="157"/>
        <v>1326.3333333333333</v>
      </c>
      <c r="M203" s="14">
        <f t="shared" si="157"/>
        <v>556.33333333333337</v>
      </c>
      <c r="N203" s="13">
        <f t="shared" si="157"/>
        <v>100.66666666666667</v>
      </c>
      <c r="O203" s="55"/>
      <c r="P203" s="55"/>
      <c r="Q203" s="55"/>
      <c r="R203" s="55"/>
    </row>
    <row r="204" spans="1:18" outlineLevel="1" x14ac:dyDescent="0.2">
      <c r="A204" s="20">
        <f t="shared" si="156"/>
        <v>9930</v>
      </c>
      <c r="B204" s="19" t="str">
        <f t="shared" si="156"/>
        <v>UTPB</v>
      </c>
      <c r="C204" s="18"/>
      <c r="D204" s="15">
        <f t="shared" si="157"/>
        <v>533.33333333333337</v>
      </c>
      <c r="E204" s="188">
        <f t="shared" si="159"/>
        <v>236.8</v>
      </c>
      <c r="F204" s="14">
        <f t="shared" si="160"/>
        <v>23.125174643246009</v>
      </c>
      <c r="G204" s="13">
        <f t="shared" si="157"/>
        <v>1001.5166666666704</v>
      </c>
      <c r="H204" s="15">
        <f t="shared" si="157"/>
        <v>41.333333333333336</v>
      </c>
      <c r="I204" s="13">
        <f t="shared" si="157"/>
        <v>10</v>
      </c>
      <c r="J204" s="235">
        <f t="shared" ref="J204" si="166">AVERAGE(J246,J288,J330)</f>
        <v>61.174263882128265</v>
      </c>
      <c r="K204" s="16">
        <f t="shared" si="157"/>
        <v>399</v>
      </c>
      <c r="L204" s="15">
        <f t="shared" si="157"/>
        <v>785.66666666666663</v>
      </c>
      <c r="M204" s="14">
        <f t="shared" si="157"/>
        <v>491.66666666666669</v>
      </c>
      <c r="N204" s="13">
        <f t="shared" si="157"/>
        <v>194.33333333333334</v>
      </c>
      <c r="O204" s="55"/>
      <c r="P204" s="55"/>
      <c r="Q204" s="55"/>
      <c r="R204" s="55"/>
    </row>
    <row r="205" spans="1:18" outlineLevel="1" x14ac:dyDescent="0.2">
      <c r="A205" s="20">
        <f t="shared" si="156"/>
        <v>10115</v>
      </c>
      <c r="B205" s="19" t="str">
        <f t="shared" si="156"/>
        <v>UTSA</v>
      </c>
      <c r="C205" s="18"/>
      <c r="D205" s="15">
        <f t="shared" si="157"/>
        <v>4119.666666666667</v>
      </c>
      <c r="E205" s="188">
        <f t="shared" si="159"/>
        <v>1737.1261111111112</v>
      </c>
      <c r="F205" s="14">
        <f t="shared" si="160"/>
        <v>20.241034101368403</v>
      </c>
      <c r="G205" s="13">
        <f t="shared" si="157"/>
        <v>8414.213333333224</v>
      </c>
      <c r="H205" s="15">
        <f t="shared" si="157"/>
        <v>392</v>
      </c>
      <c r="I205" s="13">
        <f t="shared" si="157"/>
        <v>49.666666666666664</v>
      </c>
      <c r="J205" s="235">
        <f t="shared" ref="J205" si="167">AVERAGE(J247,J289,J331)</f>
        <v>675.56563070503705</v>
      </c>
      <c r="K205" s="16">
        <f t="shared" si="157"/>
        <v>3123.6666666666665</v>
      </c>
      <c r="L205" s="15">
        <f t="shared" si="157"/>
        <v>6809.666666666667</v>
      </c>
      <c r="M205" s="14">
        <f t="shared" si="157"/>
        <v>4458.666666666667</v>
      </c>
      <c r="N205" s="13">
        <f t="shared" si="157"/>
        <v>2615.6666666666665</v>
      </c>
      <c r="O205" s="55"/>
      <c r="P205" s="55"/>
      <c r="Q205" s="55"/>
      <c r="R205" s="55"/>
    </row>
    <row r="206" spans="1:18" outlineLevel="1" x14ac:dyDescent="0.2">
      <c r="A206" s="20">
        <f t="shared" si="156"/>
        <v>11163</v>
      </c>
      <c r="B206" s="19" t="str">
        <f t="shared" si="156"/>
        <v>UTT</v>
      </c>
      <c r="C206" s="18"/>
      <c r="D206" s="15">
        <f t="shared" si="157"/>
        <v>1190</v>
      </c>
      <c r="E206" s="188">
        <f t="shared" si="159"/>
        <v>613.64333333333343</v>
      </c>
      <c r="F206" s="14">
        <f t="shared" si="160"/>
        <v>29.255740517151896</v>
      </c>
      <c r="G206" s="13">
        <f t="shared" si="157"/>
        <v>2362.6600000000103</v>
      </c>
      <c r="H206" s="15">
        <f t="shared" si="157"/>
        <v>376.66666666666669</v>
      </c>
      <c r="I206" s="13">
        <f t="shared" si="157"/>
        <v>14</v>
      </c>
      <c r="J206" s="235">
        <f t="shared" ref="J206" si="168">AVERAGE(J248,J290,J332)</f>
        <v>149.2576811865907</v>
      </c>
      <c r="K206" s="16">
        <f t="shared" si="157"/>
        <v>942.33333333333337</v>
      </c>
      <c r="L206" s="15">
        <f t="shared" si="157"/>
        <v>1436.3333333333333</v>
      </c>
      <c r="M206" s="14">
        <f t="shared" si="157"/>
        <v>890</v>
      </c>
      <c r="N206" s="13">
        <f t="shared" si="157"/>
        <v>387.33333333333331</v>
      </c>
      <c r="O206" s="55"/>
      <c r="P206" s="55"/>
      <c r="Q206" s="55"/>
      <c r="R206" s="55"/>
    </row>
    <row r="207" spans="1:18" outlineLevel="1" x14ac:dyDescent="0.2">
      <c r="A207" s="20">
        <f t="shared" si="156"/>
        <v>3632</v>
      </c>
      <c r="B207" s="19" t="str">
        <f t="shared" si="156"/>
        <v>TAMU</v>
      </c>
      <c r="C207" s="18"/>
      <c r="D207" s="15">
        <f t="shared" si="157"/>
        <v>8739.6666666666661</v>
      </c>
      <c r="E207" s="188">
        <f t="shared" si="159"/>
        <v>7347.1464444444427</v>
      </c>
      <c r="F207" s="14">
        <f t="shared" si="160"/>
        <v>25.241886570842681</v>
      </c>
      <c r="G207" s="13">
        <f t="shared" si="157"/>
        <v>20104.8166666668</v>
      </c>
      <c r="H207" s="15">
        <f t="shared" si="157"/>
        <v>1763</v>
      </c>
      <c r="I207" s="13">
        <f t="shared" si="157"/>
        <v>126</v>
      </c>
      <c r="J207" s="235">
        <f t="shared" ref="J207" si="169">AVERAGE(J249,J291,J333)</f>
        <v>4579.6697428021353</v>
      </c>
      <c r="K207" s="16">
        <f t="shared" si="157"/>
        <v>3724</v>
      </c>
      <c r="L207" s="15">
        <f t="shared" si="157"/>
        <v>10060.666666666666</v>
      </c>
      <c r="M207" s="14">
        <f t="shared" si="157"/>
        <v>8907.3333333333339</v>
      </c>
      <c r="N207" s="13">
        <f t="shared" si="157"/>
        <v>6897.666666666667</v>
      </c>
      <c r="O207" s="55"/>
      <c r="P207" s="55"/>
      <c r="Q207" s="55"/>
      <c r="R207" s="55"/>
    </row>
    <row r="208" spans="1:18" outlineLevel="1" x14ac:dyDescent="0.2">
      <c r="A208" s="20">
        <f t="shared" si="156"/>
        <v>10298</v>
      </c>
      <c r="B208" s="19" t="str">
        <f t="shared" si="156"/>
        <v>TAMUG</v>
      </c>
      <c r="C208" s="18"/>
      <c r="D208" s="15">
        <f t="shared" si="157"/>
        <v>275.33333333333331</v>
      </c>
      <c r="E208" s="188">
        <f t="shared" si="159"/>
        <v>172.72577777777778</v>
      </c>
      <c r="F208" s="14">
        <f t="shared" si="160"/>
        <v>16.399301143583227</v>
      </c>
      <c r="G208" s="13">
        <f t="shared" si="157"/>
        <v>704.02666666666448</v>
      </c>
      <c r="H208" s="15">
        <f t="shared" si="157"/>
        <v>37.333333333333336</v>
      </c>
      <c r="I208" s="13">
        <f t="shared" si="157"/>
        <v>0</v>
      </c>
      <c r="J208" s="235">
        <f t="shared" ref="J208" si="170">AVERAGE(J250,J292,J334)</f>
        <v>154.0400548240174</v>
      </c>
      <c r="K208" s="16">
        <f t="shared" si="157"/>
        <v>158</v>
      </c>
      <c r="L208" s="15">
        <f t="shared" si="157"/>
        <v>592.33333333333337</v>
      </c>
      <c r="M208" s="14">
        <f t="shared" si="157"/>
        <v>318</v>
      </c>
      <c r="N208" s="13">
        <f t="shared" si="157"/>
        <v>246</v>
      </c>
      <c r="O208" s="55"/>
      <c r="P208" s="55"/>
      <c r="Q208" s="55"/>
      <c r="R208" s="55"/>
    </row>
    <row r="209" spans="1:18" outlineLevel="1" x14ac:dyDescent="0.2">
      <c r="A209" s="20">
        <f t="shared" si="156"/>
        <v>3630</v>
      </c>
      <c r="B209" s="19" t="str">
        <f t="shared" si="156"/>
        <v>Prairie View</v>
      </c>
      <c r="C209" s="18"/>
      <c r="D209" s="15">
        <f t="shared" si="157"/>
        <v>936.33333333333337</v>
      </c>
      <c r="E209" s="188">
        <f t="shared" si="159"/>
        <v>348.00388888888887</v>
      </c>
      <c r="F209" s="14">
        <f t="shared" si="160"/>
        <v>15.823688025296873</v>
      </c>
      <c r="G209" s="13">
        <f t="shared" si="157"/>
        <v>2072.9000000000092</v>
      </c>
      <c r="H209" s="15">
        <f t="shared" si="157"/>
        <v>315.66666666666669</v>
      </c>
      <c r="I209" s="13">
        <f t="shared" si="157"/>
        <v>9.6666666666666661</v>
      </c>
      <c r="J209" s="235">
        <f t="shared" ref="J209" si="171">AVERAGE(J251,J293,J335)</f>
        <v>208.36549792633494</v>
      </c>
      <c r="K209" s="16">
        <f t="shared" si="157"/>
        <v>802.66666666666663</v>
      </c>
      <c r="L209" s="15">
        <f t="shared" si="157"/>
        <v>1668</v>
      </c>
      <c r="M209" s="14">
        <f t="shared" si="157"/>
        <v>1181</v>
      </c>
      <c r="N209" s="13">
        <f t="shared" si="157"/>
        <v>905.33333333333337</v>
      </c>
      <c r="O209" s="55"/>
      <c r="P209" s="55"/>
      <c r="Q209" s="55"/>
      <c r="R209" s="55"/>
    </row>
    <row r="210" spans="1:18" outlineLevel="1" x14ac:dyDescent="0.2">
      <c r="A210" s="20">
        <f t="shared" si="156"/>
        <v>3631</v>
      </c>
      <c r="B210" s="19" t="str">
        <f t="shared" si="156"/>
        <v>Tarleton</v>
      </c>
      <c r="C210" s="18"/>
      <c r="D210" s="15">
        <f t="shared" si="157"/>
        <v>1545.3333333333333</v>
      </c>
      <c r="E210" s="188">
        <f t="shared" si="159"/>
        <v>738.66933333333338</v>
      </c>
      <c r="F210" s="14">
        <f t="shared" si="160"/>
        <v>24.559767752325659</v>
      </c>
      <c r="G210" s="13">
        <f t="shared" si="157"/>
        <v>3122.5433333333599</v>
      </c>
      <c r="H210" s="15">
        <f t="shared" si="157"/>
        <v>203</v>
      </c>
      <c r="I210" s="13">
        <f t="shared" si="157"/>
        <v>47.666666666666664</v>
      </c>
      <c r="J210" s="235">
        <f t="shared" ref="J210" si="172">AVERAGE(J252,J294,J336)</f>
        <v>297.87638307620068</v>
      </c>
      <c r="K210" s="16">
        <f t="shared" si="157"/>
        <v>1195</v>
      </c>
      <c r="L210" s="15">
        <f t="shared" si="157"/>
        <v>2154.3333333333335</v>
      </c>
      <c r="M210" s="14">
        <f t="shared" si="157"/>
        <v>1328.6666666666667</v>
      </c>
      <c r="N210" s="13">
        <f t="shared" si="157"/>
        <v>862.66666666666663</v>
      </c>
      <c r="O210" s="55"/>
      <c r="P210" s="55"/>
      <c r="Q210" s="55"/>
      <c r="R210" s="55"/>
    </row>
    <row r="211" spans="1:18" outlineLevel="1" x14ac:dyDescent="0.2">
      <c r="A211" s="27">
        <f t="shared" si="156"/>
        <v>103631</v>
      </c>
      <c r="B211" s="19" t="str">
        <f t="shared" si="156"/>
        <v>TAMUCT</v>
      </c>
      <c r="C211" s="18"/>
      <c r="D211" s="15">
        <f t="shared" si="157"/>
        <v>460.33333333333331</v>
      </c>
      <c r="E211" s="188">
        <f t="shared" si="159"/>
        <v>220.03933333333333</v>
      </c>
      <c r="F211" s="14">
        <f t="shared" si="160"/>
        <v>67.587849522007247</v>
      </c>
      <c r="G211" s="13">
        <f t="shared" si="157"/>
        <v>853.61666666666588</v>
      </c>
      <c r="H211" s="15">
        <f t="shared" si="157"/>
        <v>40.666666666666664</v>
      </c>
      <c r="I211" s="13">
        <f t="shared" si="157"/>
        <v>0</v>
      </c>
      <c r="J211" s="235">
        <f t="shared" ref="J211" si="173">AVERAGE(J253,J295,J337)</f>
        <v>0</v>
      </c>
      <c r="K211" s="16">
        <f t="shared" si="157"/>
        <v>327</v>
      </c>
      <c r="L211" s="15">
        <f t="shared" si="157"/>
        <v>495</v>
      </c>
      <c r="M211" s="14">
        <f t="shared" si="157"/>
        <v>133</v>
      </c>
      <c r="N211" s="13">
        <f t="shared" si="157"/>
        <v>34</v>
      </c>
      <c r="O211" s="55"/>
      <c r="P211" s="55"/>
      <c r="Q211" s="55"/>
      <c r="R211" s="55"/>
    </row>
    <row r="212" spans="1:18" outlineLevel="1" x14ac:dyDescent="0.2">
      <c r="A212" s="20">
        <f t="shared" si="156"/>
        <v>11161</v>
      </c>
      <c r="B212" s="19" t="str">
        <f t="shared" si="156"/>
        <v>TAMUCC</v>
      </c>
      <c r="C212" s="18"/>
      <c r="D212" s="15">
        <f t="shared" si="157"/>
        <v>1388.3333333333333</v>
      </c>
      <c r="E212" s="188">
        <f t="shared" si="159"/>
        <v>705.27333333333331</v>
      </c>
      <c r="F212" s="14">
        <f t="shared" si="160"/>
        <v>21.376514062820775</v>
      </c>
      <c r="G212" s="13">
        <f t="shared" si="157"/>
        <v>2804.2000000000139</v>
      </c>
      <c r="H212" s="15">
        <f t="shared" si="157"/>
        <v>266.33333333333331</v>
      </c>
      <c r="I212" s="13">
        <f t="shared" si="157"/>
        <v>25.666666666666668</v>
      </c>
      <c r="J212" s="235">
        <f t="shared" ref="J212" si="174">AVERAGE(J254,J296,J338)</f>
        <v>315.87858617191387</v>
      </c>
      <c r="K212" s="16">
        <f t="shared" si="157"/>
        <v>1080</v>
      </c>
      <c r="L212" s="15">
        <f t="shared" si="157"/>
        <v>2054</v>
      </c>
      <c r="M212" s="14">
        <f t="shared" si="157"/>
        <v>1468</v>
      </c>
      <c r="N212" s="13">
        <f t="shared" si="157"/>
        <v>878.33333333333337</v>
      </c>
      <c r="O212" s="55"/>
      <c r="P212" s="55"/>
      <c r="Q212" s="55"/>
      <c r="R212" s="55"/>
    </row>
    <row r="213" spans="1:18" outlineLevel="1" x14ac:dyDescent="0.2">
      <c r="A213" s="20">
        <f t="shared" si="156"/>
        <v>3639</v>
      </c>
      <c r="B213" s="19" t="str">
        <f t="shared" si="156"/>
        <v>TAMUK</v>
      </c>
      <c r="C213" s="18"/>
      <c r="D213" s="15">
        <f t="shared" si="157"/>
        <v>761.66666666666663</v>
      </c>
      <c r="E213" s="188">
        <f t="shared" si="159"/>
        <v>306.44388888888892</v>
      </c>
      <c r="F213" s="14">
        <f t="shared" si="160"/>
        <v>17.879499217527385</v>
      </c>
      <c r="G213" s="13">
        <f t="shared" si="157"/>
        <v>1763.4533333333395</v>
      </c>
      <c r="H213" s="15">
        <f t="shared" si="157"/>
        <v>260</v>
      </c>
      <c r="I213" s="13">
        <f t="shared" si="157"/>
        <v>16.666666666666668</v>
      </c>
      <c r="J213" s="235">
        <f t="shared" ref="J213" si="175">AVERAGE(J255,J297,J339)</f>
        <v>134.56188281105247</v>
      </c>
      <c r="K213" s="16">
        <f t="shared" si="157"/>
        <v>648.33333333333337</v>
      </c>
      <c r="L213" s="15">
        <f t="shared" si="157"/>
        <v>1227.3333333333333</v>
      </c>
      <c r="M213" s="14">
        <f t="shared" si="157"/>
        <v>859.66666666666663</v>
      </c>
      <c r="N213" s="13">
        <f t="shared" si="157"/>
        <v>558.66666666666663</v>
      </c>
      <c r="O213" s="55"/>
      <c r="P213" s="55"/>
      <c r="Q213" s="55"/>
      <c r="R213" s="55"/>
    </row>
    <row r="214" spans="1:18" outlineLevel="1" x14ac:dyDescent="0.2">
      <c r="A214" s="27">
        <f t="shared" ref="A214:B229" si="176">A172</f>
        <v>103639</v>
      </c>
      <c r="B214" s="19" t="str">
        <f t="shared" si="176"/>
        <v>TAMUSA</v>
      </c>
      <c r="C214" s="18"/>
      <c r="D214" s="15">
        <f t="shared" ref="D214:N229" si="177">AVERAGE(D256,D298,D340)</f>
        <v>587.66666666666663</v>
      </c>
      <c r="E214" s="188">
        <f t="shared" si="159"/>
        <v>236.43788888888889</v>
      </c>
      <c r="F214" s="14">
        <f t="shared" si="160"/>
        <v>41.598502485370922</v>
      </c>
      <c r="G214" s="13">
        <f t="shared" si="177"/>
        <v>1026.0133333333379</v>
      </c>
      <c r="H214" s="15">
        <f t="shared" si="177"/>
        <v>5</v>
      </c>
      <c r="I214" s="13">
        <f t="shared" si="177"/>
        <v>2</v>
      </c>
      <c r="J214" s="235">
        <f t="shared" ref="J214" si="178">AVERAGE(J256,J298,J340)</f>
        <v>0</v>
      </c>
      <c r="K214" s="16">
        <f t="shared" si="177"/>
        <v>490.33333333333331</v>
      </c>
      <c r="L214" s="15">
        <f t="shared" si="177"/>
        <v>729.66666666666663</v>
      </c>
      <c r="M214" s="14">
        <f t="shared" si="177"/>
        <v>77.333333333333329</v>
      </c>
      <c r="N214" s="13">
        <f t="shared" si="177"/>
        <v>2.6666666666666665</v>
      </c>
      <c r="O214" s="55"/>
      <c r="P214" s="55"/>
      <c r="Q214" s="55"/>
      <c r="R214" s="55"/>
    </row>
    <row r="215" spans="1:18" outlineLevel="1" x14ac:dyDescent="0.2">
      <c r="A215" s="20">
        <f t="shared" si="176"/>
        <v>9651</v>
      </c>
      <c r="B215" s="19" t="str">
        <f t="shared" si="176"/>
        <v>TAMI</v>
      </c>
      <c r="C215" s="18"/>
      <c r="D215" s="15">
        <f t="shared" si="177"/>
        <v>789.66666666666663</v>
      </c>
      <c r="E215" s="188">
        <f t="shared" si="159"/>
        <v>373.77555555555551</v>
      </c>
      <c r="F215" s="14">
        <f t="shared" si="160"/>
        <v>19.326154348180779</v>
      </c>
      <c r="G215" s="13">
        <f t="shared" si="177"/>
        <v>1458.4966666666717</v>
      </c>
      <c r="H215" s="15">
        <f t="shared" si="177"/>
        <v>115.66666666666667</v>
      </c>
      <c r="I215" s="13">
        <f t="shared" si="177"/>
        <v>22.333333333333332</v>
      </c>
      <c r="J215" s="235">
        <f t="shared" ref="J215" si="179">AVERAGE(J257,J299,J341)</f>
        <v>111.18771489586078</v>
      </c>
      <c r="K215" s="16">
        <f t="shared" si="177"/>
        <v>712.66666666666663</v>
      </c>
      <c r="L215" s="15">
        <f t="shared" si="177"/>
        <v>1406.6666666666667</v>
      </c>
      <c r="M215" s="14">
        <f t="shared" si="177"/>
        <v>1015.6666666666666</v>
      </c>
      <c r="N215" s="13">
        <f t="shared" si="177"/>
        <v>473.66666666666669</v>
      </c>
      <c r="O215" s="55"/>
      <c r="P215" s="55"/>
      <c r="Q215" s="55"/>
      <c r="R215" s="55"/>
    </row>
    <row r="216" spans="1:18" outlineLevel="1" x14ac:dyDescent="0.2">
      <c r="A216" s="20">
        <f t="shared" si="176"/>
        <v>3665</v>
      </c>
      <c r="B216" s="19" t="str">
        <f t="shared" si="176"/>
        <v>WTAMU</v>
      </c>
      <c r="C216" s="18"/>
      <c r="D216" s="15">
        <f t="shared" si="177"/>
        <v>1255.6666666666667</v>
      </c>
      <c r="E216" s="188">
        <f t="shared" si="159"/>
        <v>591.00044444444438</v>
      </c>
      <c r="F216" s="14">
        <f t="shared" si="160"/>
        <v>23.187721854032869</v>
      </c>
      <c r="G216" s="13">
        <f t="shared" si="177"/>
        <v>2503.5766666666836</v>
      </c>
      <c r="H216" s="15">
        <f t="shared" si="177"/>
        <v>191.66666666666666</v>
      </c>
      <c r="I216" s="13">
        <f t="shared" si="177"/>
        <v>60.666666666666664</v>
      </c>
      <c r="J216" s="235">
        <f t="shared" ref="J216" si="180">AVERAGE(J258,J300,J342)</f>
        <v>198.85572068471603</v>
      </c>
      <c r="K216" s="16">
        <f t="shared" si="177"/>
        <v>889.33333333333337</v>
      </c>
      <c r="L216" s="15">
        <f t="shared" si="177"/>
        <v>1791.6666666666667</v>
      </c>
      <c r="M216" s="14">
        <f t="shared" si="177"/>
        <v>1212.6666666666667</v>
      </c>
      <c r="N216" s="13">
        <f t="shared" si="177"/>
        <v>661.33333333333337</v>
      </c>
      <c r="O216" s="55"/>
      <c r="P216" s="55"/>
      <c r="Q216" s="55"/>
      <c r="R216" s="55"/>
    </row>
    <row r="217" spans="1:18" outlineLevel="1" x14ac:dyDescent="0.2">
      <c r="A217" s="20">
        <f t="shared" si="176"/>
        <v>3565</v>
      </c>
      <c r="B217" s="19" t="str">
        <f t="shared" si="176"/>
        <v>TAMUC</v>
      </c>
      <c r="C217" s="18"/>
      <c r="D217" s="15">
        <f t="shared" si="177"/>
        <v>1324.3333333333333</v>
      </c>
      <c r="E217" s="188">
        <f t="shared" si="159"/>
        <v>582.70666666666659</v>
      </c>
      <c r="F217" s="14">
        <f t="shared" si="160"/>
        <v>28.19543536269185</v>
      </c>
      <c r="G217" s="13">
        <f t="shared" si="177"/>
        <v>2501.8266666666914</v>
      </c>
      <c r="H217" s="15">
        <f t="shared" si="177"/>
        <v>73</v>
      </c>
      <c r="I217" s="13">
        <f t="shared" si="177"/>
        <v>74.333333333333329</v>
      </c>
      <c r="J217" s="235">
        <f t="shared" ref="J217" si="181">AVERAGE(J259,J301,J343)</f>
        <v>98.82480618865111</v>
      </c>
      <c r="K217" s="16">
        <f t="shared" si="177"/>
        <v>1019.3333333333334</v>
      </c>
      <c r="L217" s="15">
        <f t="shared" si="177"/>
        <v>1893</v>
      </c>
      <c r="M217" s="14">
        <f t="shared" si="177"/>
        <v>1137.3333333333333</v>
      </c>
      <c r="N217" s="13">
        <f t="shared" si="177"/>
        <v>452.33333333333331</v>
      </c>
      <c r="O217" s="55"/>
      <c r="P217" s="55"/>
      <c r="Q217" s="55"/>
      <c r="R217" s="55"/>
    </row>
    <row r="218" spans="1:18" outlineLevel="1" x14ac:dyDescent="0.2">
      <c r="A218" s="20">
        <f t="shared" si="176"/>
        <v>29269</v>
      </c>
      <c r="B218" s="19" t="str">
        <f t="shared" si="176"/>
        <v>TAMUT</v>
      </c>
      <c r="C218" s="18"/>
      <c r="D218" s="15">
        <f t="shared" si="177"/>
        <v>345.66666666666669</v>
      </c>
      <c r="E218" s="188">
        <f t="shared" si="159"/>
        <v>187.3602625468375</v>
      </c>
      <c r="F218" s="14">
        <f t="shared" si="160"/>
        <v>38.766355140186917</v>
      </c>
      <c r="G218" s="13">
        <f t="shared" si="177"/>
        <v>619.90999999999826</v>
      </c>
      <c r="H218" s="15">
        <f t="shared" si="177"/>
        <v>41.666666666666664</v>
      </c>
      <c r="I218" s="13">
        <f t="shared" si="177"/>
        <v>19.333333333333332</v>
      </c>
      <c r="J218" s="235">
        <f t="shared" ref="J218" si="182">AVERAGE(J260,J302,J344)</f>
        <v>32.918170226721116</v>
      </c>
      <c r="K218" s="16">
        <f t="shared" si="177"/>
        <v>239</v>
      </c>
      <c r="L218" s="15">
        <f t="shared" si="177"/>
        <v>432.66666666666669</v>
      </c>
      <c r="M218" s="14">
        <f t="shared" si="177"/>
        <v>181</v>
      </c>
      <c r="N218" s="13">
        <f t="shared" si="177"/>
        <v>0.66666666666666663</v>
      </c>
      <c r="O218" s="55"/>
      <c r="P218" s="55"/>
      <c r="Q218" s="55"/>
      <c r="R218" s="55"/>
    </row>
    <row r="219" spans="1:18" outlineLevel="1" x14ac:dyDescent="0.2">
      <c r="A219" s="20">
        <f t="shared" si="176"/>
        <v>3652</v>
      </c>
      <c r="B219" s="19" t="str">
        <f t="shared" si="176"/>
        <v>UH</v>
      </c>
      <c r="C219" s="18"/>
      <c r="D219" s="15">
        <f t="shared" si="177"/>
        <v>5098.666666666667</v>
      </c>
      <c r="E219" s="188">
        <f t="shared" si="159"/>
        <v>2734.5848888888891</v>
      </c>
      <c r="F219" s="14">
        <f t="shared" si="160"/>
        <v>21.425049678026625</v>
      </c>
      <c r="G219" s="13">
        <f t="shared" si="177"/>
        <v>10580.246666665944</v>
      </c>
      <c r="H219" s="15">
        <f t="shared" si="177"/>
        <v>737</v>
      </c>
      <c r="I219" s="13">
        <f t="shared" si="177"/>
        <v>62.666666666666664</v>
      </c>
      <c r="J219" s="235">
        <f t="shared" ref="J219" si="183">AVERAGE(J261,J303,J345)</f>
        <v>827.70806095682065</v>
      </c>
      <c r="K219" s="16">
        <f t="shared" si="177"/>
        <v>3373</v>
      </c>
      <c r="L219" s="15">
        <f t="shared" si="177"/>
        <v>7602.333333333333</v>
      </c>
      <c r="M219" s="14">
        <f t="shared" si="177"/>
        <v>5690.333333333333</v>
      </c>
      <c r="N219" s="13">
        <f t="shared" si="177"/>
        <v>3307.3333333333335</v>
      </c>
      <c r="O219" s="55"/>
      <c r="P219" s="55"/>
      <c r="Q219" s="55"/>
      <c r="R219" s="55"/>
    </row>
    <row r="220" spans="1:18" outlineLevel="1" x14ac:dyDescent="0.2">
      <c r="A220" s="20">
        <f t="shared" si="176"/>
        <v>11711</v>
      </c>
      <c r="B220" s="19" t="str">
        <f t="shared" si="176"/>
        <v>UHCL</v>
      </c>
      <c r="C220" s="18"/>
      <c r="D220" s="15">
        <f t="shared" si="177"/>
        <v>1190.6666666666667</v>
      </c>
      <c r="E220" s="188">
        <f t="shared" si="159"/>
        <v>619.34267935898833</v>
      </c>
      <c r="F220" s="14">
        <f t="shared" si="160"/>
        <v>39.693593314763234</v>
      </c>
      <c r="G220" s="13">
        <f t="shared" si="177"/>
        <v>2282.9533333333529</v>
      </c>
      <c r="H220" s="15">
        <f t="shared" si="177"/>
        <v>106.66666666666667</v>
      </c>
      <c r="I220" s="13">
        <f t="shared" si="177"/>
        <v>8.3333333333333339</v>
      </c>
      <c r="J220" s="235">
        <f t="shared" ref="J220" si="184">AVERAGE(J262,J304,J346)</f>
        <v>132.12239762091181</v>
      </c>
      <c r="K220" s="16">
        <f t="shared" si="177"/>
        <v>774.33333333333337</v>
      </c>
      <c r="L220" s="15">
        <f t="shared" si="177"/>
        <v>1391.3333333333333</v>
      </c>
      <c r="M220" s="14">
        <f t="shared" si="177"/>
        <v>953.66666666666663</v>
      </c>
      <c r="N220" s="13">
        <f t="shared" si="177"/>
        <v>57</v>
      </c>
      <c r="O220" s="55"/>
      <c r="P220" s="55"/>
      <c r="Q220" s="55"/>
      <c r="R220" s="55"/>
    </row>
    <row r="221" spans="1:18" outlineLevel="1" x14ac:dyDescent="0.2">
      <c r="A221" s="20">
        <f t="shared" si="176"/>
        <v>12826</v>
      </c>
      <c r="B221" s="19" t="str">
        <f t="shared" si="176"/>
        <v>UHD</v>
      </c>
      <c r="C221" s="18"/>
      <c r="D221" s="15">
        <f t="shared" si="177"/>
        <v>2382.3333333333335</v>
      </c>
      <c r="E221" s="188">
        <f t="shared" si="159"/>
        <v>452.64333333333343</v>
      </c>
      <c r="F221" s="14">
        <f t="shared" si="160"/>
        <v>29.833031863086134</v>
      </c>
      <c r="G221" s="13">
        <f t="shared" si="177"/>
        <v>4271.3166666667212</v>
      </c>
      <c r="H221" s="15">
        <f t="shared" si="177"/>
        <v>129.66666666666666</v>
      </c>
      <c r="I221" s="13">
        <f t="shared" si="177"/>
        <v>1.6666666666666667</v>
      </c>
      <c r="J221" s="235">
        <f t="shared" ref="J221" si="185">AVERAGE(J263,J305,J347)</f>
        <v>20.677016762256617</v>
      </c>
      <c r="K221" s="16">
        <f t="shared" si="177"/>
        <v>1681</v>
      </c>
      <c r="L221" s="15">
        <f t="shared" si="177"/>
        <v>3105.3333333333335</v>
      </c>
      <c r="M221" s="14">
        <f t="shared" si="177"/>
        <v>1868.3333333333333</v>
      </c>
      <c r="N221" s="13">
        <f t="shared" si="177"/>
        <v>604.66666666666663</v>
      </c>
      <c r="O221" s="55"/>
      <c r="P221" s="55"/>
      <c r="Q221" s="55"/>
      <c r="R221" s="55"/>
    </row>
    <row r="222" spans="1:18" outlineLevel="1" x14ac:dyDescent="0.2">
      <c r="A222" s="20">
        <f t="shared" si="176"/>
        <v>13231</v>
      </c>
      <c r="B222" s="19" t="str">
        <f t="shared" si="176"/>
        <v>UHV</v>
      </c>
      <c r="C222" s="18"/>
      <c r="D222" s="15">
        <f t="shared" si="177"/>
        <v>576.66666666666663</v>
      </c>
      <c r="E222" s="188">
        <f t="shared" si="159"/>
        <v>300.19546283886069</v>
      </c>
      <c r="F222" s="14">
        <f t="shared" si="160"/>
        <v>40.08464889245883</v>
      </c>
      <c r="G222" s="13">
        <f t="shared" si="177"/>
        <v>1084.4800000000012</v>
      </c>
      <c r="H222" s="15">
        <f t="shared" si="177"/>
        <v>108</v>
      </c>
      <c r="I222" s="13">
        <f t="shared" si="177"/>
        <v>7.333333333333333</v>
      </c>
      <c r="J222" s="235">
        <f t="shared" ref="J222" si="186">AVERAGE(J264,J306,J348)</f>
        <v>36.682079645226764</v>
      </c>
      <c r="K222" s="16">
        <f t="shared" si="177"/>
        <v>384</v>
      </c>
      <c r="L222" s="15">
        <f t="shared" si="177"/>
        <v>716</v>
      </c>
      <c r="M222" s="14">
        <f t="shared" si="177"/>
        <v>296.33333333333331</v>
      </c>
      <c r="N222" s="13">
        <f t="shared" si="177"/>
        <v>6.666666666666667</v>
      </c>
      <c r="O222" s="55"/>
      <c r="P222" s="55"/>
      <c r="Q222" s="55"/>
      <c r="R222" s="55"/>
    </row>
    <row r="223" spans="1:18" outlineLevel="1" x14ac:dyDescent="0.2">
      <c r="A223" s="20">
        <f t="shared" si="176"/>
        <v>3592</v>
      </c>
      <c r="B223" s="19" t="str">
        <f t="shared" si="176"/>
        <v>Midwestern</v>
      </c>
      <c r="C223" s="18"/>
      <c r="D223" s="15">
        <f t="shared" si="177"/>
        <v>1031.6666666666667</v>
      </c>
      <c r="E223" s="188">
        <f t="shared" si="159"/>
        <v>453.24555555555554</v>
      </c>
      <c r="F223" s="14">
        <f t="shared" si="160"/>
        <v>24.122522148034601</v>
      </c>
      <c r="G223" s="13">
        <f t="shared" si="177"/>
        <v>1962.0000000000034</v>
      </c>
      <c r="H223" s="15">
        <f t="shared" si="177"/>
        <v>333.33333333333331</v>
      </c>
      <c r="I223" s="13">
        <f t="shared" si="177"/>
        <v>15</v>
      </c>
      <c r="J223" s="235">
        <f t="shared" ref="J223" si="187">AVERAGE(J265,J307,J349)</f>
        <v>150.71637845334715</v>
      </c>
      <c r="K223" s="16">
        <f t="shared" si="177"/>
        <v>690.33333333333337</v>
      </c>
      <c r="L223" s="15">
        <f t="shared" si="177"/>
        <v>1438</v>
      </c>
      <c r="M223" s="14">
        <f t="shared" si="177"/>
        <v>1046</v>
      </c>
      <c r="N223" s="13">
        <f t="shared" si="177"/>
        <v>679.66666666666663</v>
      </c>
      <c r="O223" s="55"/>
      <c r="P223" s="55"/>
      <c r="Q223" s="55"/>
      <c r="R223" s="55"/>
    </row>
    <row r="224" spans="1:18" outlineLevel="1" x14ac:dyDescent="0.2">
      <c r="A224" s="20">
        <f t="shared" si="176"/>
        <v>3594</v>
      </c>
      <c r="B224" s="19" t="str">
        <f t="shared" si="176"/>
        <v>UNT</v>
      </c>
      <c r="C224" s="18"/>
      <c r="D224" s="15">
        <f t="shared" si="177"/>
        <v>6016.666666666667</v>
      </c>
      <c r="E224" s="188">
        <f t="shared" si="159"/>
        <v>3467.6055555555558</v>
      </c>
      <c r="F224" s="14">
        <f t="shared" si="160"/>
        <v>25.886944566084125</v>
      </c>
      <c r="G224" s="13">
        <f t="shared" si="177"/>
        <v>11411.553333332529</v>
      </c>
      <c r="H224" s="15">
        <f t="shared" si="177"/>
        <v>336.66666666666669</v>
      </c>
      <c r="I224" s="13">
        <f t="shared" si="177"/>
        <v>43.333333333333336</v>
      </c>
      <c r="J224" s="235">
        <f t="shared" ref="J224" si="188">AVERAGE(J266,J308,J350)</f>
        <v>1108.9216356808658</v>
      </c>
      <c r="K224" s="16">
        <f t="shared" si="177"/>
        <v>3820</v>
      </c>
      <c r="L224" s="15">
        <f t="shared" si="177"/>
        <v>7864.666666666667</v>
      </c>
      <c r="M224" s="14">
        <f t="shared" si="177"/>
        <v>5642.333333333333</v>
      </c>
      <c r="N224" s="13">
        <f t="shared" si="177"/>
        <v>3337</v>
      </c>
      <c r="O224" s="55"/>
      <c r="P224" s="55"/>
      <c r="Q224" s="55"/>
      <c r="R224" s="55"/>
    </row>
    <row r="225" spans="1:70" outlineLevel="1" x14ac:dyDescent="0.2">
      <c r="A225" s="27">
        <f t="shared" si="176"/>
        <v>113594</v>
      </c>
      <c r="B225" s="19" t="str">
        <f t="shared" si="176"/>
        <v>UNTD</v>
      </c>
      <c r="C225" s="18"/>
      <c r="D225" s="15">
        <f t="shared" si="177"/>
        <v>403.5</v>
      </c>
      <c r="E225" s="188">
        <f t="shared" si="159"/>
        <v>233.02125000000001</v>
      </c>
      <c r="F225" s="14">
        <f t="shared" si="160"/>
        <v>42.647266065388948</v>
      </c>
      <c r="G225" s="13">
        <f t="shared" si="177"/>
        <v>705.85999999999717</v>
      </c>
      <c r="H225" s="15">
        <f t="shared" si="177"/>
        <v>12</v>
      </c>
      <c r="I225" s="13">
        <f t="shared" si="177"/>
        <v>0</v>
      </c>
      <c r="J225" s="235">
        <f t="shared" ref="J225" si="189">AVERAGE(J267,J309,J351)</f>
        <v>0</v>
      </c>
      <c r="K225" s="16">
        <f t="shared" si="177"/>
        <v>308.5</v>
      </c>
      <c r="L225" s="15">
        <f t="shared" si="177"/>
        <v>478</v>
      </c>
      <c r="M225" s="14">
        <f t="shared" si="177"/>
        <v>71.5</v>
      </c>
      <c r="N225" s="13">
        <f t="shared" si="177"/>
        <v>11</v>
      </c>
      <c r="O225" s="55"/>
      <c r="P225" s="55"/>
      <c r="Q225" s="55"/>
      <c r="R225" s="55"/>
    </row>
    <row r="226" spans="1:70" outlineLevel="1" x14ac:dyDescent="0.2">
      <c r="A226" s="20">
        <f t="shared" si="176"/>
        <v>3624</v>
      </c>
      <c r="B226" s="19" t="str">
        <f t="shared" si="176"/>
        <v>SFA</v>
      </c>
      <c r="C226" s="18"/>
      <c r="D226" s="15">
        <f t="shared" si="177"/>
        <v>1921.6666666666667</v>
      </c>
      <c r="E226" s="188">
        <f t="shared" si="159"/>
        <v>1064.6033333333332</v>
      </c>
      <c r="F226" s="14">
        <f t="shared" si="160"/>
        <v>20.257544310083915</v>
      </c>
      <c r="G226" s="13">
        <f t="shared" si="177"/>
        <v>3721.736666666669</v>
      </c>
      <c r="H226" s="15">
        <f t="shared" si="177"/>
        <v>248</v>
      </c>
      <c r="I226" s="13">
        <f t="shared" si="177"/>
        <v>44.666666666666664</v>
      </c>
      <c r="J226" s="235">
        <f t="shared" ref="J226" si="190">AVERAGE(J268,J310,J352)</f>
        <v>619.80383073650876</v>
      </c>
      <c r="K226" s="16">
        <f t="shared" si="177"/>
        <v>1460.3333333333333</v>
      </c>
      <c r="L226" s="15">
        <f t="shared" si="177"/>
        <v>2769.3333333333335</v>
      </c>
      <c r="M226" s="14">
        <f t="shared" si="177"/>
        <v>2075</v>
      </c>
      <c r="N226" s="13">
        <f t="shared" si="177"/>
        <v>1397.3333333333333</v>
      </c>
      <c r="O226" s="55"/>
      <c r="P226" s="55"/>
      <c r="Q226" s="55"/>
      <c r="R226" s="55"/>
    </row>
    <row r="227" spans="1:70" outlineLevel="1" x14ac:dyDescent="0.2">
      <c r="A227" s="20">
        <f t="shared" si="176"/>
        <v>3642</v>
      </c>
      <c r="B227" s="19" t="str">
        <f t="shared" si="176"/>
        <v>TSU</v>
      </c>
      <c r="C227" s="18"/>
      <c r="D227" s="15">
        <f t="shared" si="177"/>
        <v>758.33333333333337</v>
      </c>
      <c r="E227" s="188">
        <f t="shared" si="159"/>
        <v>108.94722222222221</v>
      </c>
      <c r="F227" s="14">
        <f t="shared" si="160"/>
        <v>12.933681010892716</v>
      </c>
      <c r="G227" s="13">
        <f t="shared" si="177"/>
        <v>1488.6533333333352</v>
      </c>
      <c r="H227" s="15">
        <f t="shared" si="177"/>
        <v>134.33333333333334</v>
      </c>
      <c r="I227" s="13">
        <f t="shared" si="177"/>
        <v>3</v>
      </c>
      <c r="J227" s="235">
        <f t="shared" ref="J227" si="191">AVERAGE(J269,J311,J353)</f>
        <v>59.145453943511406</v>
      </c>
      <c r="K227" s="16">
        <f t="shared" si="177"/>
        <v>666.33333333333337</v>
      </c>
      <c r="L227" s="15">
        <f t="shared" si="177"/>
        <v>1637.3333333333333</v>
      </c>
      <c r="M227" s="14">
        <f t="shared" si="177"/>
        <v>1133</v>
      </c>
      <c r="N227" s="13">
        <f t="shared" si="177"/>
        <v>848.66666666666663</v>
      </c>
      <c r="O227" s="55"/>
      <c r="P227" s="55"/>
      <c r="Q227" s="55"/>
      <c r="R227" s="55"/>
    </row>
    <row r="228" spans="1:70" outlineLevel="1" x14ac:dyDescent="0.2">
      <c r="A228" s="20">
        <f t="shared" si="176"/>
        <v>3644</v>
      </c>
      <c r="B228" s="19" t="str">
        <f t="shared" si="176"/>
        <v>TTU</v>
      </c>
      <c r="C228" s="18"/>
      <c r="D228" s="15">
        <f t="shared" si="177"/>
        <v>4674</v>
      </c>
      <c r="E228" s="188">
        <f t="shared" si="159"/>
        <v>3421.3679999999995</v>
      </c>
      <c r="F228" s="14">
        <f t="shared" si="160"/>
        <v>21.061243127033354</v>
      </c>
      <c r="G228" s="13">
        <f t="shared" si="177"/>
        <v>10128.113333332682</v>
      </c>
      <c r="H228" s="15">
        <f t="shared" si="177"/>
        <v>727.33333333333337</v>
      </c>
      <c r="I228" s="13">
        <f t="shared" si="177"/>
        <v>57.333333333333336</v>
      </c>
      <c r="J228" s="235">
        <f t="shared" ref="J228" si="192">AVERAGE(J270,J312,J354)</f>
        <v>1894.3463160233268</v>
      </c>
      <c r="K228" s="16">
        <f t="shared" si="177"/>
        <v>2778</v>
      </c>
      <c r="L228" s="15">
        <f t="shared" si="177"/>
        <v>6485.333333333333</v>
      </c>
      <c r="M228" s="14">
        <f t="shared" si="177"/>
        <v>5278.333333333333</v>
      </c>
      <c r="N228" s="13">
        <f t="shared" si="177"/>
        <v>3945.6666666666665</v>
      </c>
      <c r="O228" s="55"/>
      <c r="P228" s="55"/>
      <c r="Q228" s="55"/>
      <c r="R228" s="55"/>
    </row>
    <row r="229" spans="1:70" outlineLevel="1" x14ac:dyDescent="0.2">
      <c r="A229" s="20">
        <f t="shared" si="176"/>
        <v>3541</v>
      </c>
      <c r="B229" s="19" t="str">
        <f t="shared" si="176"/>
        <v>Angelo</v>
      </c>
      <c r="C229" s="18"/>
      <c r="D229" s="15">
        <f t="shared" si="177"/>
        <v>991.33333333333337</v>
      </c>
      <c r="E229" s="188">
        <f t="shared" si="159"/>
        <v>425.94288888888889</v>
      </c>
      <c r="F229" s="14">
        <f t="shared" si="160"/>
        <v>20.305700708264297</v>
      </c>
      <c r="G229" s="13">
        <f t="shared" si="177"/>
        <v>1977.3500000000051</v>
      </c>
      <c r="H229" s="15">
        <f t="shared" si="177"/>
        <v>254.33333333333334</v>
      </c>
      <c r="I229" s="13">
        <f t="shared" si="177"/>
        <v>19.333333333333332</v>
      </c>
      <c r="J229" s="235">
        <f t="shared" ref="J229" si="193">AVERAGE(J271,J313,J355)</f>
        <v>202.11229658405227</v>
      </c>
      <c r="K229" s="16">
        <f t="shared" si="177"/>
        <v>723</v>
      </c>
      <c r="L229" s="15">
        <f t="shared" si="177"/>
        <v>1438.6666666666667</v>
      </c>
      <c r="M229" s="14">
        <f t="shared" si="177"/>
        <v>1033.6666666666667</v>
      </c>
      <c r="N229" s="13">
        <f t="shared" si="177"/>
        <v>707.66666666666663</v>
      </c>
      <c r="O229" s="55"/>
      <c r="P229" s="55"/>
      <c r="Q229" s="55"/>
      <c r="R229" s="55"/>
    </row>
    <row r="230" spans="1:70" outlineLevel="1" x14ac:dyDescent="0.2">
      <c r="A230" s="20">
        <f t="shared" ref="A230:B235" si="194">A188</f>
        <v>3646</v>
      </c>
      <c r="B230" s="19" t="str">
        <f t="shared" si="194"/>
        <v>TWU</v>
      </c>
      <c r="C230" s="18"/>
      <c r="D230" s="15">
        <f t="shared" ref="D230:N235" si="195">AVERAGE(D272,D314,D356)</f>
        <v>1806</v>
      </c>
      <c r="E230" s="188">
        <f t="shared" si="159"/>
        <v>945.74200000000008</v>
      </c>
      <c r="F230" s="14">
        <f t="shared" si="160"/>
        <v>27.545604295039961</v>
      </c>
      <c r="G230" s="13">
        <f t="shared" si="195"/>
        <v>3452.1766666666658</v>
      </c>
      <c r="H230" s="15">
        <f t="shared" si="195"/>
        <v>569.33333333333337</v>
      </c>
      <c r="I230" s="13">
        <f t="shared" si="195"/>
        <v>31.666666666666668</v>
      </c>
      <c r="J230" s="235">
        <f t="shared" ref="J230" si="196">AVERAGE(J272,J314,J356)</f>
        <v>193.83260667044178</v>
      </c>
      <c r="K230" s="16">
        <f t="shared" si="195"/>
        <v>1247</v>
      </c>
      <c r="L230" s="15">
        <f t="shared" si="195"/>
        <v>2196</v>
      </c>
      <c r="M230" s="14">
        <f t="shared" si="195"/>
        <v>1292.3333333333333</v>
      </c>
      <c r="N230" s="13">
        <f t="shared" si="195"/>
        <v>659.66666666666663</v>
      </c>
      <c r="O230" s="55"/>
      <c r="P230" s="55"/>
      <c r="Q230" s="55"/>
      <c r="R230" s="55"/>
    </row>
    <row r="231" spans="1:70" outlineLevel="1" x14ac:dyDescent="0.2">
      <c r="A231" s="20">
        <f t="shared" si="194"/>
        <v>3581</v>
      </c>
      <c r="B231" s="19" t="str">
        <f t="shared" si="194"/>
        <v>Lamar</v>
      </c>
      <c r="C231" s="18"/>
      <c r="D231" s="15">
        <f t="shared" si="195"/>
        <v>1335.3333333333333</v>
      </c>
      <c r="E231" s="188">
        <f t="shared" si="159"/>
        <v>467.81177777777776</v>
      </c>
      <c r="F231" s="14">
        <f t="shared" si="160"/>
        <v>18.354929164452098</v>
      </c>
      <c r="G231" s="13">
        <f t="shared" si="195"/>
        <v>2684.9000000000165</v>
      </c>
      <c r="H231" s="15">
        <f t="shared" si="195"/>
        <v>330</v>
      </c>
      <c r="I231" s="13">
        <f t="shared" si="195"/>
        <v>17</v>
      </c>
      <c r="J231" s="235">
        <f t="shared" ref="J231" si="197">AVERAGE(J273,J315,J357)</f>
        <v>198.03061315751214</v>
      </c>
      <c r="K231" s="16">
        <f t="shared" si="195"/>
        <v>948.66666666666663</v>
      </c>
      <c r="L231" s="15">
        <f t="shared" si="195"/>
        <v>2144.6666666666665</v>
      </c>
      <c r="M231" s="14">
        <f t="shared" si="195"/>
        <v>1489</v>
      </c>
      <c r="N231" s="13">
        <f t="shared" si="195"/>
        <v>1011</v>
      </c>
      <c r="O231" s="55"/>
      <c r="P231" s="55"/>
      <c r="Q231" s="55"/>
      <c r="R231" s="55"/>
    </row>
    <row r="232" spans="1:70" outlineLevel="1" x14ac:dyDescent="0.2">
      <c r="A232" s="20">
        <f t="shared" si="194"/>
        <v>3606</v>
      </c>
      <c r="B232" s="19" t="str">
        <f t="shared" si="194"/>
        <v>SHSU</v>
      </c>
      <c r="C232" s="18"/>
      <c r="D232" s="15">
        <f t="shared" si="195"/>
        <v>3077.6666666666665</v>
      </c>
      <c r="E232" s="188">
        <f t="shared" si="159"/>
        <v>1805.5644444444445</v>
      </c>
      <c r="F232" s="14">
        <f t="shared" si="160"/>
        <v>24.475654239301015</v>
      </c>
      <c r="G232" s="13">
        <f t="shared" si="195"/>
        <v>5837.0766666667887</v>
      </c>
      <c r="H232" s="15">
        <f t="shared" si="195"/>
        <v>167</v>
      </c>
      <c r="I232" s="13">
        <f t="shared" si="195"/>
        <v>61</v>
      </c>
      <c r="J232" s="235">
        <f t="shared" ref="J232" si="198">AVERAGE(J274,J316,J358)</f>
        <v>736.12987091127741</v>
      </c>
      <c r="K232" s="16">
        <f t="shared" si="195"/>
        <v>2213.6666666666665</v>
      </c>
      <c r="L232" s="15">
        <f t="shared" si="195"/>
        <v>3894.3333333333335</v>
      </c>
      <c r="M232" s="14">
        <f t="shared" si="195"/>
        <v>2965.3333333333335</v>
      </c>
      <c r="N232" s="13">
        <f t="shared" si="195"/>
        <v>1763.3333333333333</v>
      </c>
    </row>
    <row r="233" spans="1:70" outlineLevel="1" x14ac:dyDescent="0.2">
      <c r="A233" s="20">
        <f t="shared" si="194"/>
        <v>3615</v>
      </c>
      <c r="B233" s="19" t="str">
        <f t="shared" si="194"/>
        <v>TXST</v>
      </c>
      <c r="C233" s="18"/>
      <c r="D233" s="15">
        <f t="shared" si="195"/>
        <v>5361</v>
      </c>
      <c r="E233" s="188">
        <f t="shared" si="159"/>
        <v>3393.5129999999999</v>
      </c>
      <c r="F233" s="14">
        <f t="shared" si="160"/>
        <v>23.406891519786395</v>
      </c>
      <c r="G233" s="13">
        <f t="shared" si="195"/>
        <v>10437.309999999357</v>
      </c>
      <c r="H233" s="15">
        <f t="shared" si="195"/>
        <v>488.66666666666669</v>
      </c>
      <c r="I233" s="13">
        <f t="shared" si="195"/>
        <v>66.666666666666671</v>
      </c>
      <c r="J233" s="235">
        <f t="shared" ref="J233" si="199">AVERAGE(J275,J317,J359)</f>
        <v>1132.3205691640694</v>
      </c>
      <c r="K233" s="16">
        <f t="shared" si="195"/>
        <v>3675.3333333333335</v>
      </c>
      <c r="L233" s="15">
        <f t="shared" si="195"/>
        <v>7470.333333333333</v>
      </c>
      <c r="M233" s="14">
        <f t="shared" si="195"/>
        <v>5579</v>
      </c>
      <c r="N233" s="13">
        <f t="shared" si="195"/>
        <v>3317.3333333333335</v>
      </c>
    </row>
    <row r="234" spans="1:70" outlineLevel="1" x14ac:dyDescent="0.2">
      <c r="A234" s="20">
        <f t="shared" si="194"/>
        <v>3625</v>
      </c>
      <c r="B234" s="19" t="str">
        <f t="shared" si="194"/>
        <v>SRSU</v>
      </c>
      <c r="C234" s="18"/>
      <c r="D234" s="15">
        <f t="shared" si="195"/>
        <v>189.33333333333334</v>
      </c>
      <c r="E234" s="188">
        <f t="shared" si="159"/>
        <v>56.989333333333335</v>
      </c>
      <c r="F234" s="14">
        <f t="shared" si="160"/>
        <v>15.518843008324076</v>
      </c>
      <c r="G234" s="13">
        <f t="shared" si="195"/>
        <v>394.32999999999964</v>
      </c>
      <c r="H234" s="15">
        <f t="shared" si="195"/>
        <v>12.666666666666666</v>
      </c>
      <c r="I234" s="13">
        <f t="shared" si="195"/>
        <v>6.333333333333333</v>
      </c>
      <c r="J234" s="235">
        <f t="shared" ref="J234" si="200">AVERAGE(J276,J318,J360)</f>
        <v>25.59030645666644</v>
      </c>
      <c r="K234" s="16">
        <f t="shared" si="195"/>
        <v>163</v>
      </c>
      <c r="L234" s="15">
        <f t="shared" si="195"/>
        <v>300</v>
      </c>
      <c r="M234" s="14">
        <f t="shared" si="195"/>
        <v>193.66666666666666</v>
      </c>
      <c r="N234" s="13">
        <f t="shared" si="195"/>
        <v>131.66666666666666</v>
      </c>
      <c r="O234" s="41"/>
      <c r="P234" s="41"/>
      <c r="Q234" s="41"/>
      <c r="R234" s="41"/>
    </row>
    <row r="235" spans="1:70" outlineLevel="1" x14ac:dyDescent="0.2">
      <c r="A235" s="20">
        <f t="shared" si="194"/>
        <v>20</v>
      </c>
      <c r="B235" s="19" t="str">
        <f t="shared" si="194"/>
        <v>SRRG</v>
      </c>
      <c r="C235" s="18"/>
      <c r="D235" s="15">
        <f t="shared" si="195"/>
        <v>161.66666666666666</v>
      </c>
      <c r="E235" s="188">
        <f t="shared" si="159"/>
        <v>51.365976618337754</v>
      </c>
      <c r="F235" s="14">
        <f t="shared" si="160"/>
        <v>36.596408270033706</v>
      </c>
      <c r="G235" s="13">
        <f t="shared" si="195"/>
        <v>279.16999999999979</v>
      </c>
      <c r="H235" s="15">
        <f t="shared" si="195"/>
        <v>6.333333333333333</v>
      </c>
      <c r="I235" s="13">
        <f t="shared" si="195"/>
        <v>5.666666666666667</v>
      </c>
      <c r="J235" s="235">
        <f t="shared" ref="J235" si="201">AVERAGE(J277,J319,J361)</f>
        <v>6.2760433460517291</v>
      </c>
      <c r="K235" s="16">
        <f t="shared" si="195"/>
        <v>144</v>
      </c>
      <c r="L235" s="15">
        <f t="shared" si="195"/>
        <v>230</v>
      </c>
      <c r="M235" s="14">
        <f t="shared" si="195"/>
        <v>92.666666666666671</v>
      </c>
      <c r="N235" s="13">
        <f t="shared" si="195"/>
        <v>4.333333333333333</v>
      </c>
    </row>
    <row r="236" spans="1:70" ht="13.5" outlineLevel="1" thickBot="1" x14ac:dyDescent="0.25">
      <c r="A236" s="12"/>
      <c r="B236" s="11" t="s">
        <v>11</v>
      </c>
      <c r="C236" s="10"/>
      <c r="D236" s="9">
        <f>SUM(D198:D235)</f>
        <v>84315.833333333314</v>
      </c>
      <c r="E236" s="210">
        <f>SUM(E198:E235)</f>
        <v>49031.80588920939</v>
      </c>
      <c r="F236" s="7">
        <f t="shared" ref="F236" si="202">SUM(F198:F235)</f>
        <v>1017.4700431877567</v>
      </c>
      <c r="G236" s="3">
        <f t="shared" ref="G236:N236" si="203">SUM(G198:G235)</f>
        <v>172461.13999999844</v>
      </c>
      <c r="H236" s="5">
        <f t="shared" si="203"/>
        <v>13953.333333333332</v>
      </c>
      <c r="I236" s="3">
        <f t="shared" si="203"/>
        <v>1198.3333333333335</v>
      </c>
      <c r="J236" s="6">
        <f t="shared" ref="J236" si="204">SUM(J198:J235)</f>
        <v>21103.428833471022</v>
      </c>
      <c r="K236" s="6">
        <f t="shared" si="203"/>
        <v>54446.500000000007</v>
      </c>
      <c r="L236" s="5">
        <f t="shared" si="203"/>
        <v>114212.66666666664</v>
      </c>
      <c r="M236" s="4">
        <f t="shared" si="203"/>
        <v>82344.5</v>
      </c>
      <c r="N236" s="3">
        <f t="shared" si="203"/>
        <v>50801.999999999993</v>
      </c>
    </row>
    <row r="237" spans="1:70" ht="13.5" thickBot="1" x14ac:dyDescent="0.25">
      <c r="A237" s="45" t="s">
        <v>27</v>
      </c>
      <c r="B237" s="45"/>
      <c r="C237" s="45"/>
      <c r="D237" s="54"/>
      <c r="F237" s="54"/>
      <c r="K237" s="54"/>
    </row>
    <row r="238" spans="1:70" ht="12.75" customHeight="1" outlineLevel="1" x14ac:dyDescent="0.2">
      <c r="A238" s="273" t="s">
        <v>24</v>
      </c>
      <c r="B238" s="275" t="s">
        <v>23</v>
      </c>
      <c r="C238" s="277"/>
      <c r="D238" s="306" t="s">
        <v>22</v>
      </c>
      <c r="E238" s="301" t="s">
        <v>21</v>
      </c>
      <c r="F238" s="275" t="s">
        <v>20</v>
      </c>
      <c r="G238" s="297" t="s">
        <v>19</v>
      </c>
      <c r="H238" s="299" t="s">
        <v>18</v>
      </c>
      <c r="I238" s="291" t="s">
        <v>17</v>
      </c>
      <c r="J238" s="332" t="s">
        <v>126</v>
      </c>
      <c r="K238" s="293" t="s">
        <v>16</v>
      </c>
      <c r="L238" s="295" t="s">
        <v>15</v>
      </c>
      <c r="M238" s="296"/>
      <c r="N238" s="296"/>
      <c r="P238" s="337" t="s">
        <v>142</v>
      </c>
      <c r="Q238" s="337" t="s">
        <v>141</v>
      </c>
      <c r="R238" s="337" t="s">
        <v>140</v>
      </c>
      <c r="S238" s="339" t="s">
        <v>119</v>
      </c>
      <c r="T238" s="340"/>
      <c r="U238" s="340"/>
      <c r="V238" s="340"/>
      <c r="W238" s="340"/>
      <c r="X238" s="341"/>
      <c r="Y238" s="339" t="s">
        <v>118</v>
      </c>
      <c r="Z238" s="340"/>
      <c r="AA238" s="340"/>
      <c r="AB238" s="340"/>
      <c r="AC238" s="340"/>
      <c r="AD238" s="341"/>
      <c r="AE238" s="334" t="s">
        <v>117</v>
      </c>
      <c r="AF238" s="335"/>
      <c r="AG238" s="335"/>
      <c r="AH238" s="335"/>
      <c r="AI238" s="335"/>
      <c r="AJ238" s="336"/>
      <c r="AK238" s="334" t="s">
        <v>116</v>
      </c>
      <c r="AL238" s="335"/>
      <c r="AM238" s="335"/>
      <c r="AN238" s="335"/>
      <c r="AO238" s="335"/>
      <c r="AP238" s="336"/>
      <c r="AR238" s="337" t="s">
        <v>142</v>
      </c>
      <c r="AS238" s="337" t="s">
        <v>141</v>
      </c>
      <c r="AT238" s="337" t="s">
        <v>140</v>
      </c>
      <c r="AU238" s="339" t="s">
        <v>119</v>
      </c>
      <c r="AV238" s="340"/>
      <c r="AW238" s="340"/>
      <c r="AX238" s="340"/>
      <c r="AY238" s="340"/>
      <c r="AZ238" s="341"/>
      <c r="BA238" s="339" t="s">
        <v>118</v>
      </c>
      <c r="BB238" s="340"/>
      <c r="BC238" s="340"/>
      <c r="BD238" s="340"/>
      <c r="BE238" s="340"/>
      <c r="BF238" s="341"/>
      <c r="BG238" s="334" t="s">
        <v>117</v>
      </c>
      <c r="BH238" s="335"/>
      <c r="BI238" s="335"/>
      <c r="BJ238" s="335"/>
      <c r="BK238" s="335"/>
      <c r="BL238" s="336"/>
      <c r="BM238" s="334" t="s">
        <v>116</v>
      </c>
      <c r="BN238" s="335"/>
      <c r="BO238" s="335"/>
      <c r="BP238" s="335"/>
      <c r="BQ238" s="335"/>
      <c r="BR238" s="336"/>
    </row>
    <row r="239" spans="1:70" s="41" customFormat="1" ht="43.5" customHeight="1" outlineLevel="1" thickBot="1" x14ac:dyDescent="0.25">
      <c r="A239" s="274"/>
      <c r="B239" s="276"/>
      <c r="C239" s="278"/>
      <c r="D239" s="307"/>
      <c r="E239" s="302"/>
      <c r="F239" s="276"/>
      <c r="G239" s="298"/>
      <c r="H239" s="300"/>
      <c r="I239" s="292"/>
      <c r="J239" s="333"/>
      <c r="K239" s="294"/>
      <c r="L239" s="44" t="s">
        <v>14</v>
      </c>
      <c r="M239" s="43" t="s">
        <v>13</v>
      </c>
      <c r="N239" s="42" t="s">
        <v>12</v>
      </c>
      <c r="O239" s="1"/>
      <c r="P239" s="338"/>
      <c r="Q239" s="338"/>
      <c r="R239" s="338"/>
      <c r="S239" s="192" t="s">
        <v>120</v>
      </c>
      <c r="T239" s="191" t="s">
        <v>121</v>
      </c>
      <c r="U239" s="191" t="s">
        <v>122</v>
      </c>
      <c r="V239" s="191" t="s">
        <v>123</v>
      </c>
      <c r="W239" s="191" t="s">
        <v>124</v>
      </c>
      <c r="X239" s="193" t="s">
        <v>125</v>
      </c>
      <c r="Y239" s="192" t="s">
        <v>120</v>
      </c>
      <c r="Z239" s="191" t="s">
        <v>121</v>
      </c>
      <c r="AA239" s="191" t="s">
        <v>122</v>
      </c>
      <c r="AB239" s="191" t="s">
        <v>123</v>
      </c>
      <c r="AC239" s="191" t="s">
        <v>124</v>
      </c>
      <c r="AD239" s="193" t="s">
        <v>125</v>
      </c>
      <c r="AE239" s="192" t="s">
        <v>120</v>
      </c>
      <c r="AF239" s="191" t="s">
        <v>121</v>
      </c>
      <c r="AG239" s="191" t="s">
        <v>122</v>
      </c>
      <c r="AH239" s="191" t="s">
        <v>123</v>
      </c>
      <c r="AI239" s="191" t="s">
        <v>124</v>
      </c>
      <c r="AJ239" s="193" t="s">
        <v>125</v>
      </c>
      <c r="AK239" s="192" t="s">
        <v>120</v>
      </c>
      <c r="AL239" s="191" t="s">
        <v>121</v>
      </c>
      <c r="AM239" s="191" t="s">
        <v>122</v>
      </c>
      <c r="AN239" s="191" t="s">
        <v>123</v>
      </c>
      <c r="AO239" s="191" t="s">
        <v>124</v>
      </c>
      <c r="AP239" s="193" t="s">
        <v>125</v>
      </c>
      <c r="AR239" s="338"/>
      <c r="AS239" s="338"/>
      <c r="AT239" s="338"/>
      <c r="AU239" s="192" t="s">
        <v>130</v>
      </c>
      <c r="AV239" s="191" t="s">
        <v>131</v>
      </c>
      <c r="AW239" s="191" t="s">
        <v>132</v>
      </c>
      <c r="AX239" s="191" t="s">
        <v>133</v>
      </c>
      <c r="AY239" s="191" t="s">
        <v>134</v>
      </c>
      <c r="AZ239" s="193" t="s">
        <v>135</v>
      </c>
      <c r="BA239" s="192" t="s">
        <v>130</v>
      </c>
      <c r="BB239" s="191" t="s">
        <v>131</v>
      </c>
      <c r="BC239" s="191" t="s">
        <v>132</v>
      </c>
      <c r="BD239" s="191" t="s">
        <v>133</v>
      </c>
      <c r="BE239" s="191" t="s">
        <v>134</v>
      </c>
      <c r="BF239" s="193" t="s">
        <v>135</v>
      </c>
      <c r="BG239" s="192" t="s">
        <v>130</v>
      </c>
      <c r="BH239" s="191" t="s">
        <v>131</v>
      </c>
      <c r="BI239" s="191" t="s">
        <v>132</v>
      </c>
      <c r="BJ239" s="191" t="s">
        <v>133</v>
      </c>
      <c r="BK239" s="191" t="s">
        <v>134</v>
      </c>
      <c r="BL239" s="193" t="s">
        <v>135</v>
      </c>
      <c r="BM239" s="192" t="s">
        <v>130</v>
      </c>
      <c r="BN239" s="191" t="s">
        <v>131</v>
      </c>
      <c r="BO239" s="191" t="s">
        <v>132</v>
      </c>
      <c r="BP239" s="191" t="s">
        <v>133</v>
      </c>
      <c r="BQ239" s="191" t="s">
        <v>134</v>
      </c>
      <c r="BR239" s="193" t="s">
        <v>135</v>
      </c>
    </row>
    <row r="240" spans="1:70" outlineLevel="1" x14ac:dyDescent="0.2">
      <c r="A240" s="40">
        <f t="shared" ref="A240:B255" si="205">A198</f>
        <v>3656</v>
      </c>
      <c r="B240" s="39" t="str">
        <f t="shared" si="205"/>
        <v>UTA</v>
      </c>
      <c r="C240" s="38"/>
      <c r="D240" s="33">
        <v>5773</v>
      </c>
      <c r="E240" s="37">
        <v>0.55500000000000005</v>
      </c>
      <c r="F240" s="32">
        <v>17781.466666666667</v>
      </c>
      <c r="G240" s="51">
        <v>12087.560000000249</v>
      </c>
      <c r="H240" s="36">
        <v>2140</v>
      </c>
      <c r="I240" s="35">
        <v>43</v>
      </c>
      <c r="J240" s="215">
        <f>P240</f>
        <v>1074.7266814857874</v>
      </c>
      <c r="K240" s="34">
        <v>3528</v>
      </c>
      <c r="L240" s="53">
        <v>6893</v>
      </c>
      <c r="M240" s="52">
        <v>3962</v>
      </c>
      <c r="N240" s="51">
        <v>1894</v>
      </c>
      <c r="P240" s="77">
        <f>Q240*SUM(AK240:AP240)</f>
        <v>1074.7266814857874</v>
      </c>
      <c r="Q240" s="98">
        <f t="shared" ref="Q240:Q276" si="206">(S240*$Y$362+T240*$Z$362+U240*$AA$362+V240*$AB$362+W240*$AC$362+X240*$AD$362)</f>
        <v>0.53898028158765665</v>
      </c>
      <c r="R240" s="98">
        <f>IFERROR(SUM(AE240:AJ240)/SUM(AK240:AP240),0)</f>
        <v>0.54613841524573725</v>
      </c>
      <c r="S240" s="199">
        <f>IFERROR(AE240/AK240,0)</f>
        <v>0.63043478260869568</v>
      </c>
      <c r="T240" s="189">
        <f t="shared" ref="T240:T277" si="207">IFERROR(AF240/AL240,0)</f>
        <v>0.52754237288135597</v>
      </c>
      <c r="U240" s="189">
        <f t="shared" ref="U240:U277" si="208">IFERROR(AG240/AM240,0)</f>
        <v>0.43283582089552236</v>
      </c>
      <c r="V240" s="189">
        <f t="shared" ref="V240:V277" si="209">IFERROR(AH240/AN240,0)</f>
        <v>0.51111111111111107</v>
      </c>
      <c r="W240" s="189">
        <f t="shared" ref="W240:W277" si="210">IFERROR(AI240/AO240,0)</f>
        <v>0.57607655502392341</v>
      </c>
      <c r="X240" s="200">
        <f t="shared" ref="X240:X277" si="211">IFERROR(AJ240/AP240,0)</f>
        <v>0.38775510204081631</v>
      </c>
      <c r="Y240" s="204">
        <f>IFERROR(AK240/SUM($AK240:$AP240),0)</f>
        <v>2.3069207622868605E-2</v>
      </c>
      <c r="Z240" s="185">
        <f t="shared" ref="Z240:Z277" si="212">IFERROR(AL240/SUM($AK240:$AP240),0)</f>
        <v>0.23671013039117353</v>
      </c>
      <c r="AA240" s="185">
        <f t="shared" ref="AA240:AA277" si="213">IFERROR(AM240/SUM($AK240:$AP240),0)</f>
        <v>3.3600802407221665E-2</v>
      </c>
      <c r="AB240" s="185">
        <f t="shared" ref="AB240:AB277" si="214">IFERROR(AN240/SUM($AK240:$AP240),0)</f>
        <v>0.1579739217652959</v>
      </c>
      <c r="AC240" s="185">
        <f t="shared" ref="AC240:AC277" si="215">IFERROR(AO240/SUM($AK240:$AP240),0)</f>
        <v>0.52407221664994985</v>
      </c>
      <c r="AD240" s="205">
        <f t="shared" ref="AD240:AD277" si="216">IFERROR(AP240/SUM($AK240:$AP240),0)</f>
        <v>2.4573721163490471E-2</v>
      </c>
      <c r="AE240" s="194">
        <v>29</v>
      </c>
      <c r="AF240" s="190">
        <v>249</v>
      </c>
      <c r="AG240" s="190">
        <v>29</v>
      </c>
      <c r="AH240" s="190">
        <v>161</v>
      </c>
      <c r="AI240" s="190">
        <v>602</v>
      </c>
      <c r="AJ240" s="195">
        <v>19</v>
      </c>
      <c r="AK240" s="194">
        <v>46</v>
      </c>
      <c r="AL240" s="190">
        <v>472</v>
      </c>
      <c r="AM240" s="190">
        <v>67</v>
      </c>
      <c r="AN240" s="190">
        <v>315</v>
      </c>
      <c r="AO240" s="190">
        <v>1045</v>
      </c>
      <c r="AP240" s="195">
        <v>49</v>
      </c>
      <c r="AR240" s="77">
        <f>AS240*SUM(BM240:BR240)</f>
        <v>790.1451633259378</v>
      </c>
      <c r="AS240" s="98">
        <f t="shared" ref="AS240:AS277" si="217">(AU240*$Y$362+AV240*$Z$362+AW240*$AA$362+AX240*$AB$362+AY240*$AC$362+AZ240*$AD$362)</f>
        <v>0.61109448053050097</v>
      </c>
      <c r="AT240" s="98">
        <f>IFERROR(SUM(BG240:BL240)/SUM(BM240:BR240),0)</f>
        <v>0.6357308584686775</v>
      </c>
      <c r="AU240" s="199">
        <f>IFERROR(BG240/BM240,0)</f>
        <v>0.71875</v>
      </c>
      <c r="AV240" s="189">
        <f t="shared" ref="AV240:AV277" si="218">IFERROR(BH240/BN240,0)</f>
        <v>0.60220994475138123</v>
      </c>
      <c r="AW240" s="189">
        <f t="shared" ref="AW240:AW277" si="219">IFERROR(BI240/BO240,0)</f>
        <v>0.40625</v>
      </c>
      <c r="AX240" s="189">
        <f t="shared" ref="AX240:AX277" si="220">IFERROR(BJ240/BP240,0)</f>
        <v>0.76903553299492389</v>
      </c>
      <c r="AY240" s="189">
        <f t="shared" ref="AY240:AY277" si="221">IFERROR(BK240/BQ240,0)</f>
        <v>0.59315589353612164</v>
      </c>
      <c r="AZ240" s="200">
        <f t="shared" ref="AZ240:AZ277" si="222">IFERROR(BL240/BR240,0)</f>
        <v>0.4</v>
      </c>
      <c r="BA240" s="204">
        <f>IFERROR(BM240/SUM($BM240:$BR240),0)</f>
        <v>0.17324052590873937</v>
      </c>
      <c r="BB240" s="185">
        <f t="shared" ref="BB240:BB277" si="223">IFERROR(BN240/SUM($BM240:$BR240),0)</f>
        <v>0.139984532095901</v>
      </c>
      <c r="BC240" s="185">
        <f t="shared" ref="BC240:BC277" si="224">IFERROR(BO240/SUM($BM240:$BR240),0)</f>
        <v>7.4245939675174011E-2</v>
      </c>
      <c r="BD240" s="185">
        <f t="shared" ref="BD240:BD277" si="225">IFERROR(BP240/SUM($BM240:$BR240),0)</f>
        <v>0.30471771075019333</v>
      </c>
      <c r="BE240" s="185">
        <f t="shared" ref="BE240:BE277" si="226">IFERROR(BQ240/SUM($BM240:$BR240),0)</f>
        <v>0.2034029389017788</v>
      </c>
      <c r="BF240" s="205">
        <f t="shared" ref="BF240:BF277" si="227">IFERROR(BR240/SUM($BM240:$BR240),0)</f>
        <v>0.10440835266821345</v>
      </c>
      <c r="BG240" s="194">
        <v>161</v>
      </c>
      <c r="BH240" s="190">
        <v>109</v>
      </c>
      <c r="BI240" s="190">
        <v>39</v>
      </c>
      <c r="BJ240" s="190">
        <v>303</v>
      </c>
      <c r="BK240" s="190">
        <v>156</v>
      </c>
      <c r="BL240" s="195">
        <v>54</v>
      </c>
      <c r="BM240" s="194">
        <v>224</v>
      </c>
      <c r="BN240" s="190">
        <v>181</v>
      </c>
      <c r="BO240" s="190">
        <v>96</v>
      </c>
      <c r="BP240" s="190">
        <v>394</v>
      </c>
      <c r="BQ240" s="190">
        <v>263</v>
      </c>
      <c r="BR240" s="195">
        <v>135</v>
      </c>
    </row>
    <row r="241" spans="1:70" outlineLevel="1" x14ac:dyDescent="0.2">
      <c r="A241" s="20">
        <f t="shared" si="205"/>
        <v>3658</v>
      </c>
      <c r="B241" s="19" t="str">
        <f t="shared" si="205"/>
        <v>UT</v>
      </c>
      <c r="C241" s="18"/>
      <c r="D241" s="15">
        <v>8860</v>
      </c>
      <c r="E241" s="21">
        <v>0.82499999999999996</v>
      </c>
      <c r="F241" s="14">
        <v>33841.466666666667</v>
      </c>
      <c r="G241" s="28">
        <v>19542.67999999996</v>
      </c>
      <c r="H241" s="15">
        <v>1981</v>
      </c>
      <c r="I241" s="13">
        <v>83</v>
      </c>
      <c r="J241" s="214">
        <f t="shared" ref="J241:J276" si="228">P241</f>
        <v>4629.184679787917</v>
      </c>
      <c r="K241" s="16">
        <v>3501</v>
      </c>
      <c r="L241" s="30">
        <v>9260</v>
      </c>
      <c r="M241" s="29">
        <v>8373</v>
      </c>
      <c r="N241" s="28">
        <v>6348</v>
      </c>
      <c r="P241" s="77">
        <f t="shared" ref="P241:P277" si="229">Q241*SUM(AE241:AJ241)</f>
        <v>4629.184679787917</v>
      </c>
      <c r="Q241" s="98">
        <f t="shared" si="206"/>
        <v>0.76743777847942918</v>
      </c>
      <c r="R241" s="98">
        <f t="shared" ref="R241:R277" si="230">IFERROR(SUM(AE241:AJ241)/SUM(AK241:AP241),0)</f>
        <v>0.82090364725095266</v>
      </c>
      <c r="S241" s="199">
        <f t="shared" ref="S241:S277" si="231">IFERROR(AE241/AK241,0)</f>
        <v>0.83575883575883581</v>
      </c>
      <c r="T241" s="189">
        <f t="shared" si="207"/>
        <v>0.70299727520435973</v>
      </c>
      <c r="U241" s="189">
        <f t="shared" si="208"/>
        <v>0.54545454545454541</v>
      </c>
      <c r="V241" s="189">
        <f t="shared" si="209"/>
        <v>0.86944890315676837</v>
      </c>
      <c r="W241" s="189">
        <f t="shared" si="210"/>
        <v>0.8</v>
      </c>
      <c r="X241" s="200">
        <f t="shared" si="211"/>
        <v>0.58333333333333337</v>
      </c>
      <c r="Y241" s="204">
        <f t="shared" ref="Y241:Y277" si="232">IFERROR(AK241/SUM($AK241:$AP241),0)</f>
        <v>6.545998911268372E-2</v>
      </c>
      <c r="Z241" s="185">
        <f t="shared" si="212"/>
        <v>0.14983669025585195</v>
      </c>
      <c r="AA241" s="185">
        <f t="shared" si="213"/>
        <v>5.9880239520958087E-3</v>
      </c>
      <c r="AB241" s="185">
        <f t="shared" si="214"/>
        <v>0.50870985302123028</v>
      </c>
      <c r="AC241" s="185">
        <f t="shared" si="215"/>
        <v>0.26673924877517691</v>
      </c>
      <c r="AD241" s="205">
        <f t="shared" si="216"/>
        <v>3.2661948829613499E-3</v>
      </c>
      <c r="AE241" s="194">
        <v>402</v>
      </c>
      <c r="AF241" s="190">
        <v>774</v>
      </c>
      <c r="AG241" s="190">
        <v>24</v>
      </c>
      <c r="AH241" s="190">
        <v>3250</v>
      </c>
      <c r="AI241" s="190">
        <v>1568</v>
      </c>
      <c r="AJ241" s="195">
        <v>14</v>
      </c>
      <c r="AK241" s="194">
        <v>481</v>
      </c>
      <c r="AL241" s="190">
        <v>1101</v>
      </c>
      <c r="AM241" s="190">
        <v>44</v>
      </c>
      <c r="AN241" s="190">
        <v>3738</v>
      </c>
      <c r="AO241" s="190">
        <v>1960</v>
      </c>
      <c r="AP241" s="195">
        <v>24</v>
      </c>
      <c r="AR241" s="77">
        <f t="shared" ref="AR241:AR277" si="233">AS241*SUM(BG241:BL241)</f>
        <v>2116.270195116073</v>
      </c>
      <c r="AS241" s="98">
        <f t="shared" si="217"/>
        <v>0.69317726666101309</v>
      </c>
      <c r="AT241" s="98">
        <f t="shared" ref="AT241:AT277" si="234">IFERROR(SUM(BG241:BL241)/SUM(BM241:BR241),0)</f>
        <v>0.7289875835721108</v>
      </c>
      <c r="AU241" s="199">
        <f t="shared" ref="AU241:AU277" si="235">IFERROR(BG241/BM241,0)</f>
        <v>0.78927911275415896</v>
      </c>
      <c r="AV241" s="189">
        <f t="shared" si="218"/>
        <v>0.71604938271604934</v>
      </c>
      <c r="AW241" s="189">
        <f t="shared" si="219"/>
        <v>0.3728813559322034</v>
      </c>
      <c r="AX241" s="189">
        <f t="shared" si="220"/>
        <v>0.81886438291881747</v>
      </c>
      <c r="AY241" s="189">
        <f t="shared" si="221"/>
        <v>0.70946822308690016</v>
      </c>
      <c r="AZ241" s="200">
        <f t="shared" si="222"/>
        <v>0.22099447513812154</v>
      </c>
      <c r="BA241" s="204">
        <f t="shared" ref="BA241:BA277" si="236">IFERROR(BM241/SUM($BM241:$BR241),0)</f>
        <v>0.12917860553963706</v>
      </c>
      <c r="BB241" s="185">
        <f t="shared" si="223"/>
        <v>7.7363896848137534E-2</v>
      </c>
      <c r="BC241" s="185">
        <f t="shared" si="224"/>
        <v>1.4087870105062083E-2</v>
      </c>
      <c r="BD241" s="185">
        <f t="shared" si="225"/>
        <v>0.50883476599808974</v>
      </c>
      <c r="BE241" s="185">
        <f t="shared" si="226"/>
        <v>0.18409742120343839</v>
      </c>
      <c r="BF241" s="205">
        <f t="shared" si="227"/>
        <v>8.6437440305635146E-2</v>
      </c>
      <c r="BG241" s="194">
        <v>427</v>
      </c>
      <c r="BH241" s="190">
        <v>232</v>
      </c>
      <c r="BI241" s="190">
        <v>22</v>
      </c>
      <c r="BJ241" s="190">
        <v>1745</v>
      </c>
      <c r="BK241" s="190">
        <v>547</v>
      </c>
      <c r="BL241" s="195">
        <v>80</v>
      </c>
      <c r="BM241" s="194">
        <v>541</v>
      </c>
      <c r="BN241" s="190">
        <v>324</v>
      </c>
      <c r="BO241" s="190">
        <v>59</v>
      </c>
      <c r="BP241" s="190">
        <v>2131</v>
      </c>
      <c r="BQ241" s="190">
        <v>771</v>
      </c>
      <c r="BR241" s="195">
        <v>362</v>
      </c>
    </row>
    <row r="242" spans="1:70" outlineLevel="1" x14ac:dyDescent="0.2">
      <c r="A242" s="20">
        <f t="shared" si="205"/>
        <v>9741</v>
      </c>
      <c r="B242" s="19" t="str">
        <f t="shared" si="205"/>
        <v>UTD</v>
      </c>
      <c r="C242" s="18"/>
      <c r="D242" s="15">
        <v>2510</v>
      </c>
      <c r="E242" s="21">
        <v>0.71900000000000008</v>
      </c>
      <c r="F242" s="14">
        <v>9826.5333333333328</v>
      </c>
      <c r="G242" s="28">
        <v>5443.8700000002518</v>
      </c>
      <c r="H242" s="15">
        <v>449</v>
      </c>
      <c r="I242" s="13">
        <v>33</v>
      </c>
      <c r="J242" s="214">
        <f t="shared" si="228"/>
        <v>444.25772225749148</v>
      </c>
      <c r="K242" s="16">
        <v>1410</v>
      </c>
      <c r="L242" s="30">
        <v>3522</v>
      </c>
      <c r="M242" s="29">
        <v>2348</v>
      </c>
      <c r="N242" s="28">
        <v>1065</v>
      </c>
      <c r="P242" s="77">
        <f t="shared" si="229"/>
        <v>444.25772225749148</v>
      </c>
      <c r="Q242" s="98">
        <f t="shared" si="206"/>
        <v>0.65718597967084535</v>
      </c>
      <c r="R242" s="98">
        <f t="shared" si="230"/>
        <v>0.71308016877637126</v>
      </c>
      <c r="S242" s="199">
        <f t="shared" si="231"/>
        <v>0.68571428571428572</v>
      </c>
      <c r="T242" s="189">
        <f t="shared" si="207"/>
        <v>0.60784313725490191</v>
      </c>
      <c r="U242" s="189">
        <f t="shared" si="208"/>
        <v>0.66666666666666663</v>
      </c>
      <c r="V242" s="189">
        <f t="shared" si="209"/>
        <v>0.75514403292181065</v>
      </c>
      <c r="W242" s="189">
        <f t="shared" si="210"/>
        <v>0.68881118881118886</v>
      </c>
      <c r="X242" s="200">
        <f t="shared" si="211"/>
        <v>0</v>
      </c>
      <c r="Y242" s="204">
        <f t="shared" si="232"/>
        <v>7.3839662447257384E-2</v>
      </c>
      <c r="Z242" s="185">
        <f t="shared" si="212"/>
        <v>0.10759493670886076</v>
      </c>
      <c r="AA242" s="185">
        <f t="shared" si="213"/>
        <v>3.1645569620253164E-3</v>
      </c>
      <c r="AB242" s="185">
        <f t="shared" si="214"/>
        <v>0.51265822784810122</v>
      </c>
      <c r="AC242" s="185">
        <f t="shared" si="215"/>
        <v>0.30168776371308015</v>
      </c>
      <c r="AD242" s="205">
        <f t="shared" si="216"/>
        <v>1.0548523206751054E-3</v>
      </c>
      <c r="AE242" s="194">
        <v>48</v>
      </c>
      <c r="AF242" s="190">
        <v>62</v>
      </c>
      <c r="AG242" s="190">
        <v>2</v>
      </c>
      <c r="AH242" s="190">
        <v>367</v>
      </c>
      <c r="AI242" s="190">
        <v>197</v>
      </c>
      <c r="AJ242" s="195">
        <v>0</v>
      </c>
      <c r="AK242" s="194">
        <v>70</v>
      </c>
      <c r="AL242" s="190">
        <v>102</v>
      </c>
      <c r="AM242" s="190">
        <v>3</v>
      </c>
      <c r="AN242" s="190">
        <v>486</v>
      </c>
      <c r="AO242" s="190">
        <v>286</v>
      </c>
      <c r="AP242" s="195">
        <v>1</v>
      </c>
      <c r="AR242" s="77">
        <f t="shared" si="233"/>
        <v>431.84512525134858</v>
      </c>
      <c r="AS242" s="98">
        <f t="shared" si="217"/>
        <v>0.67475800820523213</v>
      </c>
      <c r="AT242" s="98">
        <f t="shared" si="234"/>
        <v>0.73059360730593603</v>
      </c>
      <c r="AU242" s="199">
        <f t="shared" si="235"/>
        <v>0.8046875</v>
      </c>
      <c r="AV242" s="189">
        <f t="shared" si="218"/>
        <v>0.70833333333333337</v>
      </c>
      <c r="AW242" s="189">
        <f t="shared" si="219"/>
        <v>0.47058823529411764</v>
      </c>
      <c r="AX242" s="189">
        <f t="shared" si="220"/>
        <v>0.84065934065934067</v>
      </c>
      <c r="AY242" s="189">
        <f t="shared" si="221"/>
        <v>0.62841530054644812</v>
      </c>
      <c r="AZ242" s="200">
        <f t="shared" si="222"/>
        <v>0.51578947368421058</v>
      </c>
      <c r="BA242" s="204">
        <f t="shared" si="236"/>
        <v>0.14611872146118721</v>
      </c>
      <c r="BB242" s="185">
        <f t="shared" si="223"/>
        <v>8.2191780821917804E-2</v>
      </c>
      <c r="BC242" s="185">
        <f t="shared" si="224"/>
        <v>3.8812785388127852E-2</v>
      </c>
      <c r="BD242" s="185">
        <f t="shared" si="225"/>
        <v>0.41552511415525112</v>
      </c>
      <c r="BE242" s="185">
        <f t="shared" si="226"/>
        <v>0.2089041095890411</v>
      </c>
      <c r="BF242" s="205">
        <f t="shared" si="227"/>
        <v>0.10844748858447488</v>
      </c>
      <c r="BG242" s="194">
        <v>103</v>
      </c>
      <c r="BH242" s="190">
        <v>51</v>
      </c>
      <c r="BI242" s="190">
        <v>16</v>
      </c>
      <c r="BJ242" s="190">
        <v>306</v>
      </c>
      <c r="BK242" s="190">
        <v>115</v>
      </c>
      <c r="BL242" s="195">
        <v>49</v>
      </c>
      <c r="BM242" s="194">
        <v>128</v>
      </c>
      <c r="BN242" s="190">
        <v>72</v>
      </c>
      <c r="BO242" s="190">
        <v>34</v>
      </c>
      <c r="BP242" s="190">
        <v>364</v>
      </c>
      <c r="BQ242" s="190">
        <v>183</v>
      </c>
      <c r="BR242" s="195">
        <v>95</v>
      </c>
    </row>
    <row r="243" spans="1:70" outlineLevel="1" x14ac:dyDescent="0.2">
      <c r="A243" s="20">
        <f t="shared" si="205"/>
        <v>3661</v>
      </c>
      <c r="B243" s="19" t="str">
        <f t="shared" si="205"/>
        <v>UTEP</v>
      </c>
      <c r="C243" s="18"/>
      <c r="D243" s="15">
        <v>3132</v>
      </c>
      <c r="E243" s="21">
        <v>0.41200000000000003</v>
      </c>
      <c r="F243" s="14">
        <v>13931.066666666668</v>
      </c>
      <c r="G243" s="28">
        <v>6456.0600000003096</v>
      </c>
      <c r="H243" s="15">
        <v>643</v>
      </c>
      <c r="I243" s="13">
        <v>86</v>
      </c>
      <c r="J243" s="214">
        <f t="shared" si="228"/>
        <v>388.86191984896578</v>
      </c>
      <c r="K243" s="16">
        <v>2590</v>
      </c>
      <c r="L243" s="30">
        <v>4400</v>
      </c>
      <c r="M243" s="29">
        <v>3304</v>
      </c>
      <c r="N243" s="28">
        <v>1986</v>
      </c>
      <c r="P243" s="77">
        <f t="shared" si="229"/>
        <v>388.86191984896578</v>
      </c>
      <c r="Q243" s="98">
        <f t="shared" si="206"/>
        <v>0.47077714267429271</v>
      </c>
      <c r="R243" s="98">
        <f t="shared" si="230"/>
        <v>0.39521531100478469</v>
      </c>
      <c r="S243" s="199">
        <f t="shared" si="231"/>
        <v>0.51724137931034486</v>
      </c>
      <c r="T243" s="189">
        <f t="shared" si="207"/>
        <v>0.41191066997518611</v>
      </c>
      <c r="U243" s="189">
        <f t="shared" si="208"/>
        <v>0.23142857142857143</v>
      </c>
      <c r="V243" s="189">
        <f t="shared" si="209"/>
        <v>0.67500000000000004</v>
      </c>
      <c r="W243" s="189">
        <f t="shared" si="210"/>
        <v>0.46844319775596072</v>
      </c>
      <c r="X243" s="200">
        <f t="shared" si="211"/>
        <v>0.24342105263157895</v>
      </c>
      <c r="Y243" s="204">
        <f t="shared" si="232"/>
        <v>1.3875598086124402E-2</v>
      </c>
      <c r="Z243" s="185">
        <f t="shared" si="212"/>
        <v>0.38564593301435407</v>
      </c>
      <c r="AA243" s="185">
        <f t="shared" si="213"/>
        <v>0.1674641148325359</v>
      </c>
      <c r="AB243" s="185">
        <f t="shared" si="214"/>
        <v>1.9138755980861243E-2</v>
      </c>
      <c r="AC243" s="185">
        <f t="shared" si="215"/>
        <v>0.3411483253588517</v>
      </c>
      <c r="AD243" s="205">
        <f t="shared" si="216"/>
        <v>7.2727272727272724E-2</v>
      </c>
      <c r="AE243" s="194">
        <v>15</v>
      </c>
      <c r="AF243" s="190">
        <v>332</v>
      </c>
      <c r="AG243" s="190">
        <v>81</v>
      </c>
      <c r="AH243" s="190">
        <v>27</v>
      </c>
      <c r="AI243" s="190">
        <v>334</v>
      </c>
      <c r="AJ243" s="195">
        <v>37</v>
      </c>
      <c r="AK243" s="194">
        <v>29</v>
      </c>
      <c r="AL243" s="190">
        <v>806</v>
      </c>
      <c r="AM243" s="190">
        <v>350</v>
      </c>
      <c r="AN243" s="190">
        <v>40</v>
      </c>
      <c r="AO243" s="190">
        <v>713</v>
      </c>
      <c r="AP243" s="195">
        <v>152</v>
      </c>
      <c r="AR243" s="77">
        <f t="shared" si="233"/>
        <v>224.97921126684886</v>
      </c>
      <c r="AS243" s="98">
        <f t="shared" si="217"/>
        <v>0.47264540182111109</v>
      </c>
      <c r="AT243" s="98">
        <f t="shared" si="234"/>
        <v>0.57696969696969702</v>
      </c>
      <c r="AU243" s="199">
        <f t="shared" si="235"/>
        <v>0.75203252032520329</v>
      </c>
      <c r="AV243" s="189">
        <f t="shared" si="218"/>
        <v>0.48333333333333334</v>
      </c>
      <c r="AW243" s="189">
        <f t="shared" si="219"/>
        <v>0.35714285714285715</v>
      </c>
      <c r="AX243" s="189">
        <f t="shared" si="220"/>
        <v>0.71195652173913049</v>
      </c>
      <c r="AY243" s="189">
        <f t="shared" si="221"/>
        <v>0.39080459770114945</v>
      </c>
      <c r="AZ243" s="200">
        <f t="shared" si="222"/>
        <v>0.2638888888888889</v>
      </c>
      <c r="BA243" s="204">
        <f t="shared" si="236"/>
        <v>0.29818181818181816</v>
      </c>
      <c r="BB243" s="185">
        <f t="shared" si="223"/>
        <v>0.21818181818181817</v>
      </c>
      <c r="BC243" s="185">
        <f t="shared" si="224"/>
        <v>6.7878787878787886E-2</v>
      </c>
      <c r="BD243" s="185">
        <f t="shared" si="225"/>
        <v>0.22303030303030302</v>
      </c>
      <c r="BE243" s="185">
        <f t="shared" si="226"/>
        <v>0.10545454545454545</v>
      </c>
      <c r="BF243" s="205">
        <f t="shared" si="227"/>
        <v>8.727272727272728E-2</v>
      </c>
      <c r="BG243" s="194">
        <v>185</v>
      </c>
      <c r="BH243" s="190">
        <v>87</v>
      </c>
      <c r="BI243" s="190">
        <v>20</v>
      </c>
      <c r="BJ243" s="190">
        <v>131</v>
      </c>
      <c r="BK243" s="190">
        <v>34</v>
      </c>
      <c r="BL243" s="195">
        <v>19</v>
      </c>
      <c r="BM243" s="194">
        <v>246</v>
      </c>
      <c r="BN243" s="190">
        <v>180</v>
      </c>
      <c r="BO243" s="190">
        <v>56</v>
      </c>
      <c r="BP243" s="190">
        <v>184</v>
      </c>
      <c r="BQ243" s="190">
        <v>87</v>
      </c>
      <c r="BR243" s="195">
        <v>72</v>
      </c>
    </row>
    <row r="244" spans="1:70" outlineLevel="1" x14ac:dyDescent="0.2">
      <c r="A244" s="20">
        <f t="shared" si="205"/>
        <v>3599</v>
      </c>
      <c r="B244" s="19" t="str">
        <f t="shared" si="205"/>
        <v>UTPA</v>
      </c>
      <c r="C244" s="18"/>
      <c r="D244" s="15">
        <v>2462</v>
      </c>
      <c r="E244" s="21">
        <v>0.44</v>
      </c>
      <c r="F244" s="14">
        <v>12698.333333333334</v>
      </c>
      <c r="G244" s="28">
        <v>5000.2800000001325</v>
      </c>
      <c r="H244" s="15">
        <v>547</v>
      </c>
      <c r="I244" s="13">
        <v>19</v>
      </c>
      <c r="J244" s="214">
        <f t="shared" si="228"/>
        <v>587.55908354312953</v>
      </c>
      <c r="K244" s="16">
        <v>2247</v>
      </c>
      <c r="L244" s="30">
        <v>3730</v>
      </c>
      <c r="M244" s="29">
        <v>2862</v>
      </c>
      <c r="N244" s="28">
        <v>1896</v>
      </c>
      <c r="P244" s="77">
        <f t="shared" si="229"/>
        <v>587.55908354312953</v>
      </c>
      <c r="Q244" s="98">
        <f t="shared" si="206"/>
        <v>0.52273939817004411</v>
      </c>
      <c r="R244" s="98">
        <f t="shared" si="230"/>
        <v>0.42672741078208049</v>
      </c>
      <c r="S244" s="199">
        <f t="shared" si="231"/>
        <v>0.6216216216216216</v>
      </c>
      <c r="T244" s="189">
        <f t="shared" si="207"/>
        <v>0.45398773006134968</v>
      </c>
      <c r="U244" s="189">
        <f t="shared" si="208"/>
        <v>0.30664395229982966</v>
      </c>
      <c r="V244" s="189">
        <f t="shared" si="209"/>
        <v>0.77419354838709675</v>
      </c>
      <c r="W244" s="189">
        <f t="shared" si="210"/>
        <v>0.50077519379844959</v>
      </c>
      <c r="X244" s="200">
        <f t="shared" si="211"/>
        <v>0.29015544041450775</v>
      </c>
      <c r="Y244" s="204">
        <f t="shared" si="232"/>
        <v>1.4047076689445709E-2</v>
      </c>
      <c r="Z244" s="185">
        <f t="shared" si="212"/>
        <v>0.43318147304479876</v>
      </c>
      <c r="AA244" s="185">
        <f t="shared" si="213"/>
        <v>0.22285497342444952</v>
      </c>
      <c r="AB244" s="185">
        <f t="shared" si="214"/>
        <v>1.1769172361427487E-2</v>
      </c>
      <c r="AC244" s="185">
        <f t="shared" si="215"/>
        <v>0.244874715261959</v>
      </c>
      <c r="AD244" s="205">
        <f t="shared" si="216"/>
        <v>7.3272589217919515E-2</v>
      </c>
      <c r="AE244" s="194">
        <v>23</v>
      </c>
      <c r="AF244" s="190">
        <v>518</v>
      </c>
      <c r="AG244" s="190">
        <v>180</v>
      </c>
      <c r="AH244" s="190">
        <v>24</v>
      </c>
      <c r="AI244" s="190">
        <v>323</v>
      </c>
      <c r="AJ244" s="195">
        <v>56</v>
      </c>
      <c r="AK244" s="194">
        <v>37</v>
      </c>
      <c r="AL244" s="190">
        <v>1141</v>
      </c>
      <c r="AM244" s="190">
        <v>587</v>
      </c>
      <c r="AN244" s="190">
        <v>31</v>
      </c>
      <c r="AO244" s="190">
        <v>645</v>
      </c>
      <c r="AP244" s="195">
        <v>193</v>
      </c>
      <c r="AR244" s="77">
        <f t="shared" si="233"/>
        <v>226.16973850795074</v>
      </c>
      <c r="AS244" s="98">
        <f t="shared" si="217"/>
        <v>0.5983326415554252</v>
      </c>
      <c r="AT244" s="98">
        <f t="shared" si="234"/>
        <v>0.61865793780687395</v>
      </c>
      <c r="AU244" s="199">
        <f t="shared" si="235"/>
        <v>0.765625</v>
      </c>
      <c r="AV244" s="189">
        <f t="shared" si="218"/>
        <v>0.61413043478260865</v>
      </c>
      <c r="AW244" s="189">
        <f t="shared" si="219"/>
        <v>0.27536231884057971</v>
      </c>
      <c r="AX244" s="189">
        <f t="shared" si="220"/>
        <v>0.67088607594936711</v>
      </c>
      <c r="AY244" s="189">
        <f t="shared" si="221"/>
        <v>0.6097560975609756</v>
      </c>
      <c r="AZ244" s="200">
        <f t="shared" si="222"/>
        <v>0.45652173913043476</v>
      </c>
      <c r="BA244" s="204">
        <f t="shared" si="236"/>
        <v>0.31423895253682488</v>
      </c>
      <c r="BB244" s="185">
        <f t="shared" si="223"/>
        <v>0.30114566284779049</v>
      </c>
      <c r="BC244" s="185">
        <f t="shared" si="224"/>
        <v>0.11292962356792144</v>
      </c>
      <c r="BD244" s="185">
        <f t="shared" si="225"/>
        <v>0.12929623567921442</v>
      </c>
      <c r="BE244" s="185">
        <f t="shared" si="226"/>
        <v>6.7103109656301146E-2</v>
      </c>
      <c r="BF244" s="205">
        <f t="shared" si="227"/>
        <v>7.5286415711947621E-2</v>
      </c>
      <c r="BG244" s="194">
        <v>147</v>
      </c>
      <c r="BH244" s="190">
        <v>113</v>
      </c>
      <c r="BI244" s="190">
        <v>19</v>
      </c>
      <c r="BJ244" s="190">
        <v>53</v>
      </c>
      <c r="BK244" s="190">
        <v>25</v>
      </c>
      <c r="BL244" s="195">
        <v>21</v>
      </c>
      <c r="BM244" s="194">
        <v>192</v>
      </c>
      <c r="BN244" s="190">
        <v>184</v>
      </c>
      <c r="BO244" s="190">
        <v>69</v>
      </c>
      <c r="BP244" s="190">
        <v>79</v>
      </c>
      <c r="BQ244" s="190">
        <v>41</v>
      </c>
      <c r="BR244" s="195">
        <v>46</v>
      </c>
    </row>
    <row r="245" spans="1:70" outlineLevel="1" x14ac:dyDescent="0.2">
      <c r="A245" s="20">
        <f t="shared" si="205"/>
        <v>30646</v>
      </c>
      <c r="B245" s="19" t="str">
        <f t="shared" si="205"/>
        <v>UTB</v>
      </c>
      <c r="C245" s="18"/>
      <c r="D245" s="15">
        <v>1149</v>
      </c>
      <c r="E245" s="17">
        <v>0.52783109404990403</v>
      </c>
      <c r="F245" s="14">
        <v>3400.5333333333333</v>
      </c>
      <c r="G245" s="28">
        <v>2236.3100000000127</v>
      </c>
      <c r="H245" s="15">
        <v>133</v>
      </c>
      <c r="I245" s="13">
        <v>21</v>
      </c>
      <c r="J245" s="214">
        <f>AR245</f>
        <v>93.248842355864568</v>
      </c>
      <c r="K245" s="16">
        <v>978</v>
      </c>
      <c r="L245" s="30">
        <v>1243</v>
      </c>
      <c r="M245" s="29">
        <v>486</v>
      </c>
      <c r="N245" s="28">
        <v>99</v>
      </c>
      <c r="P245" s="77">
        <f t="shared" si="229"/>
        <v>0</v>
      </c>
      <c r="Q245" s="98">
        <f t="shared" si="206"/>
        <v>0</v>
      </c>
      <c r="R245" s="98">
        <f t="shared" si="230"/>
        <v>0</v>
      </c>
      <c r="S245" s="199">
        <f t="shared" si="231"/>
        <v>0</v>
      </c>
      <c r="T245" s="189">
        <f t="shared" si="207"/>
        <v>0</v>
      </c>
      <c r="U245" s="189">
        <f t="shared" si="208"/>
        <v>0</v>
      </c>
      <c r="V245" s="189">
        <f t="shared" si="209"/>
        <v>0</v>
      </c>
      <c r="W245" s="189">
        <f t="shared" si="210"/>
        <v>0</v>
      </c>
      <c r="X245" s="200">
        <f t="shared" si="211"/>
        <v>0</v>
      </c>
      <c r="Y245" s="204">
        <f t="shared" si="232"/>
        <v>0</v>
      </c>
      <c r="Z245" s="185">
        <f t="shared" si="212"/>
        <v>0</v>
      </c>
      <c r="AA245" s="185">
        <f t="shared" si="213"/>
        <v>0</v>
      </c>
      <c r="AB245" s="185">
        <f t="shared" si="214"/>
        <v>0</v>
      </c>
      <c r="AC245" s="185">
        <f t="shared" si="215"/>
        <v>0</v>
      </c>
      <c r="AD245" s="205">
        <f t="shared" si="216"/>
        <v>0</v>
      </c>
      <c r="AE245" s="194">
        <v>0</v>
      </c>
      <c r="AF245" s="190">
        <v>0</v>
      </c>
      <c r="AG245" s="190">
        <v>0</v>
      </c>
      <c r="AH245" s="190">
        <v>0</v>
      </c>
      <c r="AI245" s="190">
        <v>0</v>
      </c>
      <c r="AJ245" s="195">
        <v>0</v>
      </c>
      <c r="AK245" s="194">
        <v>0</v>
      </c>
      <c r="AL245" s="190">
        <v>0</v>
      </c>
      <c r="AM245" s="190">
        <v>0</v>
      </c>
      <c r="AN245" s="190">
        <v>0</v>
      </c>
      <c r="AO245" s="190">
        <v>0</v>
      </c>
      <c r="AP245" s="195">
        <v>0</v>
      </c>
      <c r="AR245" s="77">
        <f t="shared" si="233"/>
        <v>93.248842355864568</v>
      </c>
      <c r="AS245" s="98">
        <f t="shared" si="217"/>
        <v>0.70111911545762828</v>
      </c>
      <c r="AT245" s="98">
        <f t="shared" si="234"/>
        <v>0.78698224852071008</v>
      </c>
      <c r="AU245" s="199">
        <f t="shared" si="235"/>
        <v>0.86885245901639341</v>
      </c>
      <c r="AV245" s="189">
        <f t="shared" si="218"/>
        <v>0.65714285714285714</v>
      </c>
      <c r="AW245" s="189">
        <f t="shared" si="219"/>
        <v>0.4</v>
      </c>
      <c r="AX245" s="189">
        <f t="shared" si="220"/>
        <v>0.83333333333333337</v>
      </c>
      <c r="AY245" s="189">
        <f t="shared" si="221"/>
        <v>0.69230769230769229</v>
      </c>
      <c r="AZ245" s="200">
        <f t="shared" si="222"/>
        <v>0.8571428571428571</v>
      </c>
      <c r="BA245" s="204">
        <f t="shared" si="236"/>
        <v>0.36094674556213019</v>
      </c>
      <c r="BB245" s="185">
        <f t="shared" si="223"/>
        <v>0.20710059171597633</v>
      </c>
      <c r="BC245" s="185">
        <f t="shared" si="224"/>
        <v>2.9585798816568046E-2</v>
      </c>
      <c r="BD245" s="185">
        <f t="shared" si="225"/>
        <v>0.28402366863905326</v>
      </c>
      <c r="BE245" s="185">
        <f t="shared" si="226"/>
        <v>7.6923076923076927E-2</v>
      </c>
      <c r="BF245" s="205">
        <f t="shared" si="227"/>
        <v>4.142011834319527E-2</v>
      </c>
      <c r="BG245" s="194">
        <v>53</v>
      </c>
      <c r="BH245" s="190">
        <v>23</v>
      </c>
      <c r="BI245" s="190">
        <v>2</v>
      </c>
      <c r="BJ245" s="190">
        <v>40</v>
      </c>
      <c r="BK245" s="190">
        <v>9</v>
      </c>
      <c r="BL245" s="195">
        <v>6</v>
      </c>
      <c r="BM245" s="194">
        <v>61</v>
      </c>
      <c r="BN245" s="190">
        <v>35</v>
      </c>
      <c r="BO245" s="190">
        <v>5</v>
      </c>
      <c r="BP245" s="190">
        <v>48</v>
      </c>
      <c r="BQ245" s="190">
        <v>13</v>
      </c>
      <c r="BR245" s="195">
        <v>7</v>
      </c>
    </row>
    <row r="246" spans="1:70" outlineLevel="1" x14ac:dyDescent="0.2">
      <c r="A246" s="20">
        <f t="shared" si="205"/>
        <v>9930</v>
      </c>
      <c r="B246" s="19" t="str">
        <f t="shared" si="205"/>
        <v>UTPB</v>
      </c>
      <c r="C246" s="18"/>
      <c r="D246" s="15">
        <v>546</v>
      </c>
      <c r="E246" s="21">
        <v>0.47899999999999998</v>
      </c>
      <c r="F246" s="14">
        <v>2343.2666666666669</v>
      </c>
      <c r="G246" s="28">
        <v>1054.6599999999951</v>
      </c>
      <c r="H246" s="15">
        <v>51</v>
      </c>
      <c r="I246" s="13">
        <v>7</v>
      </c>
      <c r="J246" s="214">
        <f t="shared" si="228"/>
        <v>77.991170850701295</v>
      </c>
      <c r="K246" s="16">
        <v>411</v>
      </c>
      <c r="L246" s="30">
        <v>742</v>
      </c>
      <c r="M246" s="29">
        <v>535</v>
      </c>
      <c r="N246" s="28">
        <v>210</v>
      </c>
      <c r="P246" s="77">
        <f t="shared" si="229"/>
        <v>77.991170850701295</v>
      </c>
      <c r="Q246" s="98">
        <f t="shared" si="206"/>
        <v>0.52343067685034428</v>
      </c>
      <c r="R246" s="98">
        <f t="shared" si="230"/>
        <v>0.47756410256410259</v>
      </c>
      <c r="S246" s="199">
        <f t="shared" si="231"/>
        <v>1</v>
      </c>
      <c r="T246" s="189">
        <f t="shared" si="207"/>
        <v>0.46017699115044247</v>
      </c>
      <c r="U246" s="189">
        <f t="shared" si="208"/>
        <v>0.44444444444444442</v>
      </c>
      <c r="V246" s="189">
        <f t="shared" si="209"/>
        <v>0.75</v>
      </c>
      <c r="W246" s="189">
        <f t="shared" si="210"/>
        <v>0.45962732919254656</v>
      </c>
      <c r="X246" s="200">
        <f t="shared" si="211"/>
        <v>0.375</v>
      </c>
      <c r="Y246" s="204">
        <f t="shared" si="232"/>
        <v>3.205128205128205E-3</v>
      </c>
      <c r="Z246" s="185">
        <f t="shared" si="212"/>
        <v>0.36217948717948717</v>
      </c>
      <c r="AA246" s="185">
        <f t="shared" si="213"/>
        <v>2.8846153846153848E-2</v>
      </c>
      <c r="AB246" s="185">
        <f t="shared" si="214"/>
        <v>6.4102564102564097E-2</v>
      </c>
      <c r="AC246" s="185">
        <f t="shared" si="215"/>
        <v>0.51602564102564108</v>
      </c>
      <c r="AD246" s="205">
        <f t="shared" si="216"/>
        <v>2.564102564102564E-2</v>
      </c>
      <c r="AE246" s="194">
        <v>1</v>
      </c>
      <c r="AF246" s="190">
        <v>52</v>
      </c>
      <c r="AG246" s="190">
        <v>4</v>
      </c>
      <c r="AH246" s="190">
        <v>15</v>
      </c>
      <c r="AI246" s="190">
        <v>74</v>
      </c>
      <c r="AJ246" s="195">
        <v>3</v>
      </c>
      <c r="AK246" s="194">
        <v>1</v>
      </c>
      <c r="AL246" s="190">
        <v>113</v>
      </c>
      <c r="AM246" s="190">
        <v>9</v>
      </c>
      <c r="AN246" s="190">
        <v>20</v>
      </c>
      <c r="AO246" s="190">
        <v>161</v>
      </c>
      <c r="AP246" s="195">
        <v>8</v>
      </c>
      <c r="AR246" s="77">
        <f t="shared" si="233"/>
        <v>74.893111182831134</v>
      </c>
      <c r="AS246" s="98">
        <f t="shared" si="217"/>
        <v>0.63468738290534854</v>
      </c>
      <c r="AT246" s="98">
        <f t="shared" si="234"/>
        <v>0.64480874316939896</v>
      </c>
      <c r="AU246" s="199">
        <f t="shared" si="235"/>
        <v>0.59459459459459463</v>
      </c>
      <c r="AV246" s="189">
        <f t="shared" si="218"/>
        <v>0.69230769230769229</v>
      </c>
      <c r="AW246" s="189">
        <f t="shared" si="219"/>
        <v>0.5</v>
      </c>
      <c r="AX246" s="189">
        <f t="shared" si="220"/>
        <v>0.78947368421052633</v>
      </c>
      <c r="AY246" s="189">
        <f t="shared" si="221"/>
        <v>0.56603773584905659</v>
      </c>
      <c r="AZ246" s="200">
        <f t="shared" si="222"/>
        <v>0.68421052631578949</v>
      </c>
      <c r="BA246" s="204">
        <f t="shared" si="236"/>
        <v>0.20218579234972678</v>
      </c>
      <c r="BB246" s="185">
        <f t="shared" si="223"/>
        <v>0.14207650273224043</v>
      </c>
      <c r="BC246" s="185">
        <f t="shared" si="224"/>
        <v>5.4644808743169397E-2</v>
      </c>
      <c r="BD246" s="185">
        <f t="shared" si="225"/>
        <v>0.20765027322404372</v>
      </c>
      <c r="BE246" s="185">
        <f t="shared" si="226"/>
        <v>0.2896174863387978</v>
      </c>
      <c r="BF246" s="205">
        <f t="shared" si="227"/>
        <v>0.10382513661202186</v>
      </c>
      <c r="BG246" s="194">
        <v>22</v>
      </c>
      <c r="BH246" s="190">
        <v>18</v>
      </c>
      <c r="BI246" s="190">
        <v>5</v>
      </c>
      <c r="BJ246" s="190">
        <v>30</v>
      </c>
      <c r="BK246" s="190">
        <v>30</v>
      </c>
      <c r="BL246" s="195">
        <v>13</v>
      </c>
      <c r="BM246" s="194">
        <v>37</v>
      </c>
      <c r="BN246" s="190">
        <v>26</v>
      </c>
      <c r="BO246" s="190">
        <v>10</v>
      </c>
      <c r="BP246" s="190">
        <v>38</v>
      </c>
      <c r="BQ246" s="190">
        <v>53</v>
      </c>
      <c r="BR246" s="195">
        <v>19</v>
      </c>
    </row>
    <row r="247" spans="1:70" outlineLevel="1" x14ac:dyDescent="0.2">
      <c r="A247" s="20">
        <f t="shared" si="205"/>
        <v>10115</v>
      </c>
      <c r="B247" s="19" t="str">
        <f t="shared" si="205"/>
        <v>UTSA</v>
      </c>
      <c r="C247" s="18"/>
      <c r="D247" s="15">
        <v>4243</v>
      </c>
      <c r="E247" s="21">
        <v>0.43099999999999999</v>
      </c>
      <c r="F247" s="14">
        <v>21066.866666666665</v>
      </c>
      <c r="G247" s="28">
        <v>8736.7000000001954</v>
      </c>
      <c r="H247" s="15">
        <v>407</v>
      </c>
      <c r="I247" s="13">
        <v>63</v>
      </c>
      <c r="J247" s="214">
        <f t="shared" si="228"/>
        <v>658.11769683333409</v>
      </c>
      <c r="K247" s="16">
        <v>3204</v>
      </c>
      <c r="L247" s="30">
        <v>6815</v>
      </c>
      <c r="M247" s="29">
        <v>4371</v>
      </c>
      <c r="N247" s="28">
        <v>2560</v>
      </c>
      <c r="P247" s="77">
        <f t="shared" si="229"/>
        <v>658.11769683333409</v>
      </c>
      <c r="Q247" s="98">
        <f t="shared" si="206"/>
        <v>0.43526302700617331</v>
      </c>
      <c r="R247" s="98">
        <f t="shared" si="230"/>
        <v>0.4259154929577465</v>
      </c>
      <c r="S247" s="199">
        <f t="shared" si="231"/>
        <v>0.56097560975609762</v>
      </c>
      <c r="T247" s="189">
        <f t="shared" si="207"/>
        <v>0.37648327939590076</v>
      </c>
      <c r="U247" s="189">
        <f t="shared" si="208"/>
        <v>0.23484848484848486</v>
      </c>
      <c r="V247" s="189">
        <f t="shared" si="209"/>
        <v>0.53465346534653468</v>
      </c>
      <c r="W247" s="189">
        <f t="shared" si="210"/>
        <v>0.45181297709923662</v>
      </c>
      <c r="X247" s="200">
        <f t="shared" si="211"/>
        <v>0.35526315789473684</v>
      </c>
      <c r="Y247" s="204">
        <f t="shared" si="232"/>
        <v>1.1549295774647887E-2</v>
      </c>
      <c r="Z247" s="185">
        <f t="shared" si="212"/>
        <v>0.2611267605633803</v>
      </c>
      <c r="AA247" s="185">
        <f t="shared" si="213"/>
        <v>3.7183098591549293E-2</v>
      </c>
      <c r="AB247" s="185">
        <f t="shared" si="214"/>
        <v>5.6901408450704224E-2</v>
      </c>
      <c r="AC247" s="185">
        <f t="shared" si="215"/>
        <v>0.59042253521126764</v>
      </c>
      <c r="AD247" s="205">
        <f t="shared" si="216"/>
        <v>4.2816901408450701E-2</v>
      </c>
      <c r="AE247" s="194">
        <v>23</v>
      </c>
      <c r="AF247" s="190">
        <v>349</v>
      </c>
      <c r="AG247" s="190">
        <v>31</v>
      </c>
      <c r="AH247" s="190">
        <v>108</v>
      </c>
      <c r="AI247" s="190">
        <v>947</v>
      </c>
      <c r="AJ247" s="195">
        <v>54</v>
      </c>
      <c r="AK247" s="194">
        <v>41</v>
      </c>
      <c r="AL247" s="190">
        <v>927</v>
      </c>
      <c r="AM247" s="190">
        <v>132</v>
      </c>
      <c r="AN247" s="190">
        <v>202</v>
      </c>
      <c r="AO247" s="190">
        <v>2096</v>
      </c>
      <c r="AP247" s="195">
        <v>152</v>
      </c>
      <c r="AR247" s="77">
        <f t="shared" si="233"/>
        <v>591.74841241494914</v>
      </c>
      <c r="AS247" s="98">
        <f t="shared" si="217"/>
        <v>0.61704735392591148</v>
      </c>
      <c r="AT247" s="98">
        <f t="shared" si="234"/>
        <v>0.63009198423127466</v>
      </c>
      <c r="AU247" s="199">
        <f t="shared" si="235"/>
        <v>0.66814159292035402</v>
      </c>
      <c r="AV247" s="189">
        <f t="shared" si="218"/>
        <v>0.5512367491166078</v>
      </c>
      <c r="AW247" s="189">
        <f t="shared" si="219"/>
        <v>0.42307692307692307</v>
      </c>
      <c r="AX247" s="189">
        <f t="shared" si="220"/>
        <v>0.78608247422680411</v>
      </c>
      <c r="AY247" s="189">
        <f t="shared" si="221"/>
        <v>0.62291169451073991</v>
      </c>
      <c r="AZ247" s="200">
        <f t="shared" si="222"/>
        <v>0.4140625</v>
      </c>
      <c r="BA247" s="204">
        <f t="shared" si="236"/>
        <v>0.14848883048620237</v>
      </c>
      <c r="BB247" s="185">
        <f t="shared" si="223"/>
        <v>0.18593955321944811</v>
      </c>
      <c r="BC247" s="185">
        <f t="shared" si="224"/>
        <v>5.1248357424441525E-2</v>
      </c>
      <c r="BD247" s="185">
        <f t="shared" si="225"/>
        <v>0.25492772667542707</v>
      </c>
      <c r="BE247" s="185">
        <f t="shared" si="226"/>
        <v>0.2752956636005256</v>
      </c>
      <c r="BF247" s="205">
        <f t="shared" si="227"/>
        <v>8.4099868593955324E-2</v>
      </c>
      <c r="BG247" s="194">
        <v>151</v>
      </c>
      <c r="BH247" s="190">
        <v>156</v>
      </c>
      <c r="BI247" s="190">
        <v>33</v>
      </c>
      <c r="BJ247" s="190">
        <v>305</v>
      </c>
      <c r="BK247" s="190">
        <v>261</v>
      </c>
      <c r="BL247" s="195">
        <v>53</v>
      </c>
      <c r="BM247" s="194">
        <v>226</v>
      </c>
      <c r="BN247" s="190">
        <v>283</v>
      </c>
      <c r="BO247" s="190">
        <v>78</v>
      </c>
      <c r="BP247" s="190">
        <v>388</v>
      </c>
      <c r="BQ247" s="190">
        <v>419</v>
      </c>
      <c r="BR247" s="195">
        <v>128</v>
      </c>
    </row>
    <row r="248" spans="1:70" outlineLevel="1" x14ac:dyDescent="0.2">
      <c r="A248" s="20">
        <f t="shared" si="205"/>
        <v>11163</v>
      </c>
      <c r="B248" s="19" t="str">
        <f t="shared" si="205"/>
        <v>UTT</v>
      </c>
      <c r="C248" s="18"/>
      <c r="D248" s="15">
        <v>1144</v>
      </c>
      <c r="E248" s="21">
        <v>0.51800000000000002</v>
      </c>
      <c r="F248" s="14">
        <v>4086.7333333333331</v>
      </c>
      <c r="G248" s="28">
        <v>2263.8699999999944</v>
      </c>
      <c r="H248" s="15">
        <v>392</v>
      </c>
      <c r="I248" s="13">
        <v>23</v>
      </c>
      <c r="J248" s="214">
        <f t="shared" si="228"/>
        <v>156.91122977595003</v>
      </c>
      <c r="K248" s="16">
        <v>886</v>
      </c>
      <c r="L248" s="30">
        <v>1409</v>
      </c>
      <c r="M248" s="29">
        <v>844</v>
      </c>
      <c r="N248" s="28">
        <v>383</v>
      </c>
      <c r="P248" s="77">
        <f t="shared" si="229"/>
        <v>156.91122977595003</v>
      </c>
      <c r="Q248" s="98">
        <f t="shared" si="206"/>
        <v>0.51957360852963586</v>
      </c>
      <c r="R248" s="98">
        <f t="shared" si="230"/>
        <v>0.51890034364261173</v>
      </c>
      <c r="S248" s="199">
        <f t="shared" si="231"/>
        <v>0.53333333333333333</v>
      </c>
      <c r="T248" s="189">
        <f t="shared" si="207"/>
        <v>0.44954128440366975</v>
      </c>
      <c r="U248" s="189">
        <f t="shared" si="208"/>
        <v>0.35714285714285715</v>
      </c>
      <c r="V248" s="189">
        <f t="shared" si="209"/>
        <v>0.63793103448275867</v>
      </c>
      <c r="W248" s="189">
        <f t="shared" si="210"/>
        <v>0.53468208092485547</v>
      </c>
      <c r="X248" s="200">
        <f t="shared" si="211"/>
        <v>0.45</v>
      </c>
      <c r="Y248" s="204">
        <f t="shared" si="232"/>
        <v>2.5773195876288658E-2</v>
      </c>
      <c r="Z248" s="185">
        <f t="shared" si="212"/>
        <v>0.1872852233676976</v>
      </c>
      <c r="AA248" s="185">
        <f t="shared" si="213"/>
        <v>2.4054982817869417E-2</v>
      </c>
      <c r="AB248" s="185">
        <f t="shared" si="214"/>
        <v>9.9656357388316158E-2</v>
      </c>
      <c r="AC248" s="185">
        <f t="shared" si="215"/>
        <v>0.59450171821305842</v>
      </c>
      <c r="AD248" s="205">
        <f t="shared" si="216"/>
        <v>6.8728522336769765E-2</v>
      </c>
      <c r="AE248" s="194">
        <v>8</v>
      </c>
      <c r="AF248" s="190">
        <v>49</v>
      </c>
      <c r="AG248" s="190">
        <v>5</v>
      </c>
      <c r="AH248" s="190">
        <v>37</v>
      </c>
      <c r="AI248" s="190">
        <v>185</v>
      </c>
      <c r="AJ248" s="195">
        <v>18</v>
      </c>
      <c r="AK248" s="194">
        <v>15</v>
      </c>
      <c r="AL248" s="190">
        <v>109</v>
      </c>
      <c r="AM248" s="190">
        <v>14</v>
      </c>
      <c r="AN248" s="190">
        <v>58</v>
      </c>
      <c r="AO248" s="190">
        <v>346</v>
      </c>
      <c r="AP248" s="195">
        <v>40</v>
      </c>
      <c r="AR248" s="77">
        <f t="shared" si="233"/>
        <v>223.93183420391503</v>
      </c>
      <c r="AS248" s="98">
        <f t="shared" si="217"/>
        <v>0.68690746688317494</v>
      </c>
      <c r="AT248" s="98">
        <f t="shared" si="234"/>
        <v>0.70258620689655171</v>
      </c>
      <c r="AU248" s="199">
        <f t="shared" si="235"/>
        <v>0.65853658536585369</v>
      </c>
      <c r="AV248" s="189">
        <f t="shared" si="218"/>
        <v>0.58823529411764708</v>
      </c>
      <c r="AW248" s="189">
        <f t="shared" si="219"/>
        <v>0.55555555555555558</v>
      </c>
      <c r="AX248" s="189">
        <f t="shared" si="220"/>
        <v>0.84177215189873422</v>
      </c>
      <c r="AY248" s="189">
        <f t="shared" si="221"/>
        <v>0.70833333333333337</v>
      </c>
      <c r="AZ248" s="200">
        <f t="shared" si="222"/>
        <v>0.5</v>
      </c>
      <c r="BA248" s="204">
        <f t="shared" si="236"/>
        <v>0.17672413793103448</v>
      </c>
      <c r="BB248" s="185">
        <f t="shared" si="223"/>
        <v>0.14655172413793102</v>
      </c>
      <c r="BC248" s="185">
        <f t="shared" si="224"/>
        <v>3.8793103448275863E-2</v>
      </c>
      <c r="BD248" s="185">
        <f t="shared" si="225"/>
        <v>0.34051724137931033</v>
      </c>
      <c r="BE248" s="185">
        <f t="shared" si="226"/>
        <v>0.20689655172413793</v>
      </c>
      <c r="BF248" s="205">
        <f t="shared" si="227"/>
        <v>9.0517241379310345E-2</v>
      </c>
      <c r="BG248" s="194">
        <v>54</v>
      </c>
      <c r="BH248" s="190">
        <v>40</v>
      </c>
      <c r="BI248" s="190">
        <v>10</v>
      </c>
      <c r="BJ248" s="190">
        <v>133</v>
      </c>
      <c r="BK248" s="190">
        <v>68</v>
      </c>
      <c r="BL248" s="195">
        <v>21</v>
      </c>
      <c r="BM248" s="194">
        <v>82</v>
      </c>
      <c r="BN248" s="190">
        <v>68</v>
      </c>
      <c r="BO248" s="190">
        <v>18</v>
      </c>
      <c r="BP248" s="190">
        <v>158</v>
      </c>
      <c r="BQ248" s="190">
        <v>96</v>
      </c>
      <c r="BR248" s="195">
        <v>42</v>
      </c>
    </row>
    <row r="249" spans="1:70" outlineLevel="1" x14ac:dyDescent="0.2">
      <c r="A249" s="20">
        <f t="shared" si="205"/>
        <v>3632</v>
      </c>
      <c r="B249" s="19" t="str">
        <f t="shared" si="205"/>
        <v>TAMU</v>
      </c>
      <c r="C249" s="18"/>
      <c r="D249" s="15">
        <v>9020</v>
      </c>
      <c r="E249" s="21">
        <v>0.84200000000000008</v>
      </c>
      <c r="F249" s="14">
        <v>35116.666666666664</v>
      </c>
      <c r="G249" s="28">
        <v>21108.189999999984</v>
      </c>
      <c r="H249" s="15">
        <v>1934</v>
      </c>
      <c r="I249" s="13">
        <v>137</v>
      </c>
      <c r="J249" s="214">
        <f t="shared" si="228"/>
        <v>4928.4494140369325</v>
      </c>
      <c r="K249" s="16">
        <v>3915</v>
      </c>
      <c r="L249" s="30">
        <v>10547</v>
      </c>
      <c r="M249" s="29">
        <v>8924</v>
      </c>
      <c r="N249" s="28">
        <v>6938</v>
      </c>
      <c r="P249" s="77">
        <f t="shared" si="229"/>
        <v>4928.4494140369325</v>
      </c>
      <c r="Q249" s="98">
        <f t="shared" si="206"/>
        <v>0.79248262004131409</v>
      </c>
      <c r="R249" s="98">
        <f t="shared" si="230"/>
        <v>0.83375787639093712</v>
      </c>
      <c r="S249" s="199">
        <f t="shared" si="231"/>
        <v>0.79790940766550522</v>
      </c>
      <c r="T249" s="189">
        <f t="shared" si="207"/>
        <v>0.74021739130434783</v>
      </c>
      <c r="U249" s="189">
        <f t="shared" si="208"/>
        <v>0.54166666666666663</v>
      </c>
      <c r="V249" s="189">
        <f t="shared" si="209"/>
        <v>0.86496624156039015</v>
      </c>
      <c r="W249" s="189">
        <f t="shared" si="210"/>
        <v>0.84081287044877218</v>
      </c>
      <c r="X249" s="200">
        <f t="shared" si="211"/>
        <v>0.57894736842105265</v>
      </c>
      <c r="Y249" s="204">
        <f t="shared" si="232"/>
        <v>3.8477007641775036E-2</v>
      </c>
      <c r="Z249" s="185">
        <f t="shared" si="212"/>
        <v>0.12334093041962729</v>
      </c>
      <c r="AA249" s="185">
        <f t="shared" si="213"/>
        <v>3.2175894892076686E-3</v>
      </c>
      <c r="AB249" s="185">
        <f t="shared" si="214"/>
        <v>0.35742056575948516</v>
      </c>
      <c r="AC249" s="185">
        <f t="shared" si="215"/>
        <v>0.47499664834428207</v>
      </c>
      <c r="AD249" s="205">
        <f t="shared" si="216"/>
        <v>2.5472583456227376E-3</v>
      </c>
      <c r="AE249" s="194">
        <v>229</v>
      </c>
      <c r="AF249" s="190">
        <v>681</v>
      </c>
      <c r="AG249" s="190">
        <v>13</v>
      </c>
      <c r="AH249" s="190">
        <v>2306</v>
      </c>
      <c r="AI249" s="190">
        <v>2979</v>
      </c>
      <c r="AJ249" s="195">
        <v>11</v>
      </c>
      <c r="AK249" s="194">
        <v>287</v>
      </c>
      <c r="AL249" s="190">
        <v>920</v>
      </c>
      <c r="AM249" s="190">
        <v>24</v>
      </c>
      <c r="AN249" s="190">
        <v>2666</v>
      </c>
      <c r="AO249" s="190">
        <v>3543</v>
      </c>
      <c r="AP249" s="195">
        <v>19</v>
      </c>
      <c r="AR249" s="77">
        <f t="shared" si="233"/>
        <v>2600.8128861270038</v>
      </c>
      <c r="AS249" s="98">
        <f t="shared" si="217"/>
        <v>0.80695404471827614</v>
      </c>
      <c r="AT249" s="98">
        <f t="shared" si="234"/>
        <v>0.84726603575184012</v>
      </c>
      <c r="AU249" s="199">
        <f t="shared" si="235"/>
        <v>0.85526315789473684</v>
      </c>
      <c r="AV249" s="189">
        <f t="shared" si="218"/>
        <v>0.81060606060606055</v>
      </c>
      <c r="AW249" s="189">
        <f t="shared" si="219"/>
        <v>0.46875</v>
      </c>
      <c r="AX249" s="189">
        <f t="shared" si="220"/>
        <v>0.88598979013045942</v>
      </c>
      <c r="AY249" s="189">
        <f t="shared" si="221"/>
        <v>0.84334600760456269</v>
      </c>
      <c r="AZ249" s="200">
        <f t="shared" si="222"/>
        <v>0.5</v>
      </c>
      <c r="BA249" s="204">
        <f t="shared" si="236"/>
        <v>7.9915878023133546E-2</v>
      </c>
      <c r="BB249" s="185">
        <f t="shared" si="223"/>
        <v>6.9400630914826497E-2</v>
      </c>
      <c r="BC249" s="185">
        <f t="shared" si="224"/>
        <v>8.4121976866456359E-3</v>
      </c>
      <c r="BD249" s="185">
        <f t="shared" si="225"/>
        <v>0.46345951629863302</v>
      </c>
      <c r="BE249" s="185">
        <f t="shared" si="226"/>
        <v>0.34568874868559413</v>
      </c>
      <c r="BF249" s="205">
        <f t="shared" si="227"/>
        <v>3.3123028391167195E-2</v>
      </c>
      <c r="BG249" s="194">
        <v>260</v>
      </c>
      <c r="BH249" s="190">
        <v>214</v>
      </c>
      <c r="BI249" s="190">
        <v>15</v>
      </c>
      <c r="BJ249" s="190">
        <v>1562</v>
      </c>
      <c r="BK249" s="190">
        <v>1109</v>
      </c>
      <c r="BL249" s="195">
        <v>63</v>
      </c>
      <c r="BM249" s="194">
        <v>304</v>
      </c>
      <c r="BN249" s="190">
        <v>264</v>
      </c>
      <c r="BO249" s="190">
        <v>32</v>
      </c>
      <c r="BP249" s="190">
        <v>1763</v>
      </c>
      <c r="BQ249" s="190">
        <v>1315</v>
      </c>
      <c r="BR249" s="195">
        <v>126</v>
      </c>
    </row>
    <row r="250" spans="1:70" outlineLevel="1" x14ac:dyDescent="0.2">
      <c r="A250" s="20">
        <f t="shared" si="205"/>
        <v>10298</v>
      </c>
      <c r="B250" s="19" t="str">
        <f t="shared" si="205"/>
        <v>TAMUG</v>
      </c>
      <c r="C250" s="18"/>
      <c r="D250" s="15">
        <v>314</v>
      </c>
      <c r="E250" s="21">
        <v>0.626</v>
      </c>
      <c r="F250" s="14">
        <v>1769.4666666666667</v>
      </c>
      <c r="G250" s="28">
        <v>826.3399999999923</v>
      </c>
      <c r="H250" s="15">
        <v>46</v>
      </c>
      <c r="I250" s="13">
        <v>0</v>
      </c>
      <c r="J250" s="214">
        <f t="shared" si="228"/>
        <v>148.07854408018738</v>
      </c>
      <c r="K250" s="16">
        <v>186</v>
      </c>
      <c r="L250" s="30">
        <v>607</v>
      </c>
      <c r="M250" s="29">
        <v>296</v>
      </c>
      <c r="N250" s="28">
        <v>263</v>
      </c>
      <c r="P250" s="77">
        <f t="shared" si="229"/>
        <v>148.07854408018738</v>
      </c>
      <c r="Q250" s="98">
        <f t="shared" si="206"/>
        <v>0.57394784527204412</v>
      </c>
      <c r="R250" s="98">
        <f t="shared" si="230"/>
        <v>0.62773722627737227</v>
      </c>
      <c r="S250" s="199">
        <f t="shared" si="231"/>
        <v>0.66666666666666663</v>
      </c>
      <c r="T250" s="189">
        <f t="shared" si="207"/>
        <v>0.484375</v>
      </c>
      <c r="U250" s="189">
        <f t="shared" si="208"/>
        <v>0</v>
      </c>
      <c r="V250" s="189">
        <f t="shared" si="209"/>
        <v>0.65957446808510634</v>
      </c>
      <c r="W250" s="189">
        <f t="shared" si="210"/>
        <v>0.65292096219931273</v>
      </c>
      <c r="X250" s="200">
        <f t="shared" si="211"/>
        <v>0.66666666666666663</v>
      </c>
      <c r="Y250" s="204">
        <f t="shared" si="232"/>
        <v>7.2992700729927005E-3</v>
      </c>
      <c r="Z250" s="185">
        <f t="shared" si="212"/>
        <v>0.15571776155717762</v>
      </c>
      <c r="AA250" s="185">
        <f t="shared" si="213"/>
        <v>0</v>
      </c>
      <c r="AB250" s="185">
        <f t="shared" si="214"/>
        <v>0.11435523114355231</v>
      </c>
      <c r="AC250" s="185">
        <f t="shared" si="215"/>
        <v>0.70802919708029199</v>
      </c>
      <c r="AD250" s="205">
        <f t="shared" si="216"/>
        <v>1.4598540145985401E-2</v>
      </c>
      <c r="AE250" s="194">
        <v>2</v>
      </c>
      <c r="AF250" s="190">
        <v>31</v>
      </c>
      <c r="AG250" s="190">
        <v>0</v>
      </c>
      <c r="AH250" s="190">
        <v>31</v>
      </c>
      <c r="AI250" s="190">
        <v>190</v>
      </c>
      <c r="AJ250" s="195">
        <v>4</v>
      </c>
      <c r="AK250" s="194">
        <v>3</v>
      </c>
      <c r="AL250" s="190">
        <v>64</v>
      </c>
      <c r="AM250" s="190">
        <v>0</v>
      </c>
      <c r="AN250" s="190">
        <v>47</v>
      </c>
      <c r="AO250" s="190">
        <v>291</v>
      </c>
      <c r="AP250" s="195">
        <v>6</v>
      </c>
      <c r="AR250" s="77">
        <f t="shared" si="233"/>
        <v>40.040688107931302</v>
      </c>
      <c r="AS250" s="98">
        <f t="shared" si="217"/>
        <v>0.67865573064290341</v>
      </c>
      <c r="AT250" s="98">
        <f t="shared" si="234"/>
        <v>0.62765957446808507</v>
      </c>
      <c r="AU250" s="199">
        <f t="shared" si="235"/>
        <v>0.5714285714285714</v>
      </c>
      <c r="AV250" s="189">
        <f t="shared" si="218"/>
        <v>0.8</v>
      </c>
      <c r="AW250" s="189">
        <f t="shared" si="219"/>
        <v>0.33333333333333331</v>
      </c>
      <c r="AX250" s="189">
        <f t="shared" si="220"/>
        <v>0.82352941176470584</v>
      </c>
      <c r="AY250" s="189">
        <f t="shared" si="221"/>
        <v>0.65116279069767447</v>
      </c>
      <c r="AZ250" s="200">
        <f t="shared" si="222"/>
        <v>0.2857142857142857</v>
      </c>
      <c r="BA250" s="204">
        <f t="shared" si="236"/>
        <v>7.4468085106382975E-2</v>
      </c>
      <c r="BB250" s="185">
        <f t="shared" si="223"/>
        <v>0.10638297872340426</v>
      </c>
      <c r="BC250" s="185">
        <f t="shared" si="224"/>
        <v>3.1914893617021274E-2</v>
      </c>
      <c r="BD250" s="185">
        <f t="shared" si="225"/>
        <v>0.18085106382978725</v>
      </c>
      <c r="BE250" s="185">
        <f t="shared" si="226"/>
        <v>0.45744680851063829</v>
      </c>
      <c r="BF250" s="205">
        <f t="shared" si="227"/>
        <v>0.14893617021276595</v>
      </c>
      <c r="BG250" s="194">
        <v>4</v>
      </c>
      <c r="BH250" s="190">
        <v>8</v>
      </c>
      <c r="BI250" s="190">
        <v>1</v>
      </c>
      <c r="BJ250" s="190">
        <v>14</v>
      </c>
      <c r="BK250" s="190">
        <v>28</v>
      </c>
      <c r="BL250" s="195">
        <v>4</v>
      </c>
      <c r="BM250" s="194">
        <v>7</v>
      </c>
      <c r="BN250" s="190">
        <v>10</v>
      </c>
      <c r="BO250" s="190">
        <v>3</v>
      </c>
      <c r="BP250" s="190">
        <v>17</v>
      </c>
      <c r="BQ250" s="190">
        <v>43</v>
      </c>
      <c r="BR250" s="195">
        <v>14</v>
      </c>
    </row>
    <row r="251" spans="1:70" outlineLevel="1" x14ac:dyDescent="0.2">
      <c r="A251" s="20">
        <f t="shared" si="205"/>
        <v>3630</v>
      </c>
      <c r="B251" s="19" t="str">
        <f t="shared" si="205"/>
        <v>Prairie View</v>
      </c>
      <c r="C251" s="18"/>
      <c r="D251" s="15">
        <v>1026</v>
      </c>
      <c r="E251" s="21">
        <v>0.40299999999999997</v>
      </c>
      <c r="F251" s="14">
        <v>5822.8</v>
      </c>
      <c r="G251" s="28">
        <v>2288.9700000000062</v>
      </c>
      <c r="H251" s="15">
        <v>373</v>
      </c>
      <c r="I251" s="13">
        <v>11</v>
      </c>
      <c r="J251" s="214">
        <f t="shared" si="228"/>
        <v>230.85264970815021</v>
      </c>
      <c r="K251" s="16">
        <v>877</v>
      </c>
      <c r="L251" s="30">
        <v>1701</v>
      </c>
      <c r="M251" s="29">
        <v>1132</v>
      </c>
      <c r="N251" s="28">
        <v>871</v>
      </c>
      <c r="P251" s="77">
        <f t="shared" si="229"/>
        <v>230.85264970815021</v>
      </c>
      <c r="Q251" s="98">
        <f t="shared" si="206"/>
        <v>0.51073595068174826</v>
      </c>
      <c r="R251" s="98">
        <f t="shared" si="230"/>
        <v>0.41697416974169743</v>
      </c>
      <c r="S251" s="199">
        <f t="shared" si="231"/>
        <v>1</v>
      </c>
      <c r="T251" s="189">
        <f t="shared" si="207"/>
        <v>0.39628482972136225</v>
      </c>
      <c r="U251" s="189">
        <f t="shared" si="208"/>
        <v>0.36307692307692307</v>
      </c>
      <c r="V251" s="189">
        <f t="shared" si="209"/>
        <v>0.66666666666666663</v>
      </c>
      <c r="W251" s="189">
        <f t="shared" si="210"/>
        <v>0.50373134328358204</v>
      </c>
      <c r="X251" s="200">
        <f t="shared" si="211"/>
        <v>0.40993788819875776</v>
      </c>
      <c r="Y251" s="204">
        <f t="shared" si="232"/>
        <v>9.225092250922509E-4</v>
      </c>
      <c r="Z251" s="185">
        <f t="shared" si="212"/>
        <v>0.29797047970479706</v>
      </c>
      <c r="AA251" s="185">
        <f t="shared" si="213"/>
        <v>0.29981549815498154</v>
      </c>
      <c r="AB251" s="185">
        <f t="shared" si="214"/>
        <v>5.5350553505535052E-3</v>
      </c>
      <c r="AC251" s="185">
        <f t="shared" si="215"/>
        <v>0.24723247232472326</v>
      </c>
      <c r="AD251" s="205">
        <f t="shared" si="216"/>
        <v>0.14852398523985239</v>
      </c>
      <c r="AE251" s="194">
        <v>1</v>
      </c>
      <c r="AF251" s="190">
        <v>128</v>
      </c>
      <c r="AG251" s="190">
        <v>118</v>
      </c>
      <c r="AH251" s="190">
        <v>4</v>
      </c>
      <c r="AI251" s="190">
        <v>135</v>
      </c>
      <c r="AJ251" s="195">
        <v>66</v>
      </c>
      <c r="AK251" s="194">
        <v>1</v>
      </c>
      <c r="AL251" s="190">
        <v>323</v>
      </c>
      <c r="AM251" s="190">
        <v>325</v>
      </c>
      <c r="AN251" s="190">
        <v>6</v>
      </c>
      <c r="AO251" s="190">
        <v>268</v>
      </c>
      <c r="AP251" s="195">
        <v>161</v>
      </c>
      <c r="AR251" s="77">
        <f t="shared" si="233"/>
        <v>169.70131982004182</v>
      </c>
      <c r="AS251" s="98">
        <f t="shared" si="217"/>
        <v>0.60177772985830436</v>
      </c>
      <c r="AT251" s="98">
        <f t="shared" si="234"/>
        <v>0.62114537444933926</v>
      </c>
      <c r="AU251" s="199">
        <f t="shared" si="235"/>
        <v>0.79347826086956519</v>
      </c>
      <c r="AV251" s="189">
        <f t="shared" si="218"/>
        <v>0.54347826086956519</v>
      </c>
      <c r="AW251" s="189">
        <f t="shared" si="219"/>
        <v>0.41304347826086957</v>
      </c>
      <c r="AX251" s="189">
        <f t="shared" si="220"/>
        <v>0.81481481481481477</v>
      </c>
      <c r="AY251" s="189">
        <f t="shared" si="221"/>
        <v>0.58904109589041098</v>
      </c>
      <c r="AZ251" s="200">
        <f t="shared" si="222"/>
        <v>0.25</v>
      </c>
      <c r="BA251" s="204">
        <f t="shared" si="236"/>
        <v>0.20264317180616739</v>
      </c>
      <c r="BB251" s="185">
        <f t="shared" si="223"/>
        <v>0.30396475770925108</v>
      </c>
      <c r="BC251" s="185">
        <f t="shared" si="224"/>
        <v>0.1013215859030837</v>
      </c>
      <c r="BD251" s="185">
        <f t="shared" si="225"/>
        <v>0.17841409691629956</v>
      </c>
      <c r="BE251" s="185">
        <f t="shared" si="226"/>
        <v>0.16079295154185022</v>
      </c>
      <c r="BF251" s="205">
        <f t="shared" si="227"/>
        <v>5.2863436123348019E-2</v>
      </c>
      <c r="BG251" s="194">
        <v>73</v>
      </c>
      <c r="BH251" s="190">
        <v>75</v>
      </c>
      <c r="BI251" s="190">
        <v>19</v>
      </c>
      <c r="BJ251" s="190">
        <v>66</v>
      </c>
      <c r="BK251" s="190">
        <v>43</v>
      </c>
      <c r="BL251" s="195">
        <v>6</v>
      </c>
      <c r="BM251" s="194">
        <v>92</v>
      </c>
      <c r="BN251" s="190">
        <v>138</v>
      </c>
      <c r="BO251" s="190">
        <v>46</v>
      </c>
      <c r="BP251" s="190">
        <v>81</v>
      </c>
      <c r="BQ251" s="190">
        <v>73</v>
      </c>
      <c r="BR251" s="195">
        <v>24</v>
      </c>
    </row>
    <row r="252" spans="1:70" outlineLevel="1" x14ac:dyDescent="0.2">
      <c r="A252" s="20">
        <f t="shared" si="205"/>
        <v>3631</v>
      </c>
      <c r="B252" s="19" t="str">
        <f t="shared" si="205"/>
        <v>Tarleton</v>
      </c>
      <c r="C252" s="18"/>
      <c r="D252" s="15">
        <v>1662</v>
      </c>
      <c r="E252" s="21">
        <v>0.47600000000000003</v>
      </c>
      <c r="F252" s="14">
        <v>6766.4</v>
      </c>
      <c r="G252" s="28">
        <v>3337.2399999999966</v>
      </c>
      <c r="H252" s="15">
        <v>229</v>
      </c>
      <c r="I252" s="13">
        <v>49</v>
      </c>
      <c r="J252" s="214">
        <f t="shared" si="228"/>
        <v>304.24577011106936</v>
      </c>
      <c r="K252" s="16">
        <v>1296</v>
      </c>
      <c r="L252" s="30">
        <v>2227</v>
      </c>
      <c r="M252" s="29">
        <v>1216</v>
      </c>
      <c r="N252" s="28">
        <v>845</v>
      </c>
      <c r="P252" s="77">
        <f t="shared" si="229"/>
        <v>304.24577011106936</v>
      </c>
      <c r="Q252" s="98">
        <f t="shared" si="206"/>
        <v>0.50962440554617983</v>
      </c>
      <c r="R252" s="98">
        <f t="shared" si="230"/>
        <v>0.47798238590872699</v>
      </c>
      <c r="S252" s="199">
        <f t="shared" si="231"/>
        <v>0.63636363636363635</v>
      </c>
      <c r="T252" s="189">
        <f t="shared" si="207"/>
        <v>0.39792387543252594</v>
      </c>
      <c r="U252" s="189">
        <f t="shared" si="208"/>
        <v>0.4</v>
      </c>
      <c r="V252" s="189">
        <f t="shared" si="209"/>
        <v>0.69696969696969702</v>
      </c>
      <c r="W252" s="189">
        <f t="shared" si="210"/>
        <v>0.50498753117206985</v>
      </c>
      <c r="X252" s="200">
        <f t="shared" si="211"/>
        <v>0.41891891891891891</v>
      </c>
      <c r="Y252" s="204">
        <f t="shared" si="232"/>
        <v>8.8070456365092076E-3</v>
      </c>
      <c r="Z252" s="185">
        <f t="shared" si="212"/>
        <v>0.23138510808646917</v>
      </c>
      <c r="AA252" s="185">
        <f t="shared" si="213"/>
        <v>3.2025620496397116E-2</v>
      </c>
      <c r="AB252" s="185">
        <f t="shared" si="214"/>
        <v>2.6421136909527621E-2</v>
      </c>
      <c r="AC252" s="185">
        <f t="shared" si="215"/>
        <v>0.64211369095276216</v>
      </c>
      <c r="AD252" s="205">
        <f t="shared" si="216"/>
        <v>5.9247397918334666E-2</v>
      </c>
      <c r="AE252" s="194">
        <v>7</v>
      </c>
      <c r="AF252" s="190">
        <v>115</v>
      </c>
      <c r="AG252" s="190">
        <v>16</v>
      </c>
      <c r="AH252" s="190">
        <v>23</v>
      </c>
      <c r="AI252" s="190">
        <v>405</v>
      </c>
      <c r="AJ252" s="195">
        <v>31</v>
      </c>
      <c r="AK252" s="194">
        <v>11</v>
      </c>
      <c r="AL252" s="190">
        <v>289</v>
      </c>
      <c r="AM252" s="190">
        <v>40</v>
      </c>
      <c r="AN252" s="190">
        <v>33</v>
      </c>
      <c r="AO252" s="190">
        <v>802</v>
      </c>
      <c r="AP252" s="195">
        <v>74</v>
      </c>
      <c r="AR252" s="77">
        <f t="shared" si="233"/>
        <v>264.15113230910657</v>
      </c>
      <c r="AS252" s="98">
        <f t="shared" si="217"/>
        <v>0.72370173235371671</v>
      </c>
      <c r="AT252" s="98">
        <f t="shared" si="234"/>
        <v>0.72134387351778662</v>
      </c>
      <c r="AU252" s="199">
        <f t="shared" si="235"/>
        <v>0.72602739726027399</v>
      </c>
      <c r="AV252" s="189">
        <f t="shared" si="218"/>
        <v>0.69444444444444442</v>
      </c>
      <c r="AW252" s="189">
        <f t="shared" si="219"/>
        <v>0.35714285714285715</v>
      </c>
      <c r="AX252" s="189">
        <f t="shared" si="220"/>
        <v>0.8571428571428571</v>
      </c>
      <c r="AY252" s="189">
        <f t="shared" si="221"/>
        <v>0.75449101796407181</v>
      </c>
      <c r="AZ252" s="200">
        <f t="shared" si="222"/>
        <v>0.51063829787234039</v>
      </c>
      <c r="BA252" s="204">
        <f t="shared" si="236"/>
        <v>0.14426877470355731</v>
      </c>
      <c r="BB252" s="185">
        <f t="shared" si="223"/>
        <v>0.14229249011857709</v>
      </c>
      <c r="BC252" s="185">
        <f t="shared" si="224"/>
        <v>5.533596837944664E-2</v>
      </c>
      <c r="BD252" s="185">
        <f t="shared" si="225"/>
        <v>0.23517786561264822</v>
      </c>
      <c r="BE252" s="185">
        <f t="shared" si="226"/>
        <v>0.33003952569169959</v>
      </c>
      <c r="BF252" s="205">
        <f t="shared" si="227"/>
        <v>9.2885375494071151E-2</v>
      </c>
      <c r="BG252" s="194">
        <v>53</v>
      </c>
      <c r="BH252" s="190">
        <v>50</v>
      </c>
      <c r="BI252" s="190">
        <v>10</v>
      </c>
      <c r="BJ252" s="190">
        <v>102</v>
      </c>
      <c r="BK252" s="190">
        <v>126</v>
      </c>
      <c r="BL252" s="195">
        <v>24</v>
      </c>
      <c r="BM252" s="194">
        <v>73</v>
      </c>
      <c r="BN252" s="190">
        <v>72</v>
      </c>
      <c r="BO252" s="190">
        <v>28</v>
      </c>
      <c r="BP252" s="190">
        <v>119</v>
      </c>
      <c r="BQ252" s="190">
        <v>167</v>
      </c>
      <c r="BR252" s="195">
        <v>47</v>
      </c>
    </row>
    <row r="253" spans="1:70" outlineLevel="1" x14ac:dyDescent="0.2">
      <c r="A253" s="27">
        <f t="shared" si="205"/>
        <v>103631</v>
      </c>
      <c r="B253" s="19" t="str">
        <f t="shared" si="205"/>
        <v>TAMUCT</v>
      </c>
      <c r="C253" s="18"/>
      <c r="D253" s="15">
        <v>469</v>
      </c>
      <c r="E253" s="21">
        <f>E252</f>
        <v>0.47600000000000003</v>
      </c>
      <c r="F253" s="14">
        <v>684.13333333333333</v>
      </c>
      <c r="G253" s="28">
        <v>882.20999999999208</v>
      </c>
      <c r="H253" s="15">
        <v>42</v>
      </c>
      <c r="I253" s="13">
        <v>0</v>
      </c>
      <c r="J253" s="214">
        <f t="shared" si="228"/>
        <v>0</v>
      </c>
      <c r="K253" s="16">
        <v>329</v>
      </c>
      <c r="L253" s="30">
        <v>550</v>
      </c>
      <c r="M253" s="29">
        <v>119</v>
      </c>
      <c r="N253" s="28">
        <v>5</v>
      </c>
      <c r="P253" s="77">
        <f t="shared" si="229"/>
        <v>0</v>
      </c>
      <c r="Q253" s="98">
        <f t="shared" si="206"/>
        <v>0</v>
      </c>
      <c r="R253" s="98">
        <f t="shared" si="230"/>
        <v>0</v>
      </c>
      <c r="S253" s="199">
        <f t="shared" si="231"/>
        <v>0</v>
      </c>
      <c r="T253" s="189">
        <f t="shared" si="207"/>
        <v>0</v>
      </c>
      <c r="U253" s="189">
        <f t="shared" si="208"/>
        <v>0</v>
      </c>
      <c r="V253" s="189">
        <f t="shared" si="209"/>
        <v>0</v>
      </c>
      <c r="W253" s="189">
        <f t="shared" si="210"/>
        <v>0</v>
      </c>
      <c r="X253" s="200">
        <f t="shared" si="211"/>
        <v>0</v>
      </c>
      <c r="Y253" s="204">
        <f t="shared" si="232"/>
        <v>0</v>
      </c>
      <c r="Z253" s="185">
        <f t="shared" si="212"/>
        <v>0</v>
      </c>
      <c r="AA253" s="185">
        <f t="shared" si="213"/>
        <v>0</v>
      </c>
      <c r="AB253" s="185">
        <f t="shared" si="214"/>
        <v>0</v>
      </c>
      <c r="AC253" s="185">
        <f t="shared" si="215"/>
        <v>0</v>
      </c>
      <c r="AD253" s="205">
        <f t="shared" si="216"/>
        <v>0</v>
      </c>
      <c r="AE253" s="194">
        <v>0</v>
      </c>
      <c r="AF253" s="190">
        <v>0</v>
      </c>
      <c r="AG253" s="190">
        <v>0</v>
      </c>
      <c r="AH253" s="190">
        <v>0</v>
      </c>
      <c r="AI253" s="190">
        <v>0</v>
      </c>
      <c r="AJ253" s="195">
        <v>0</v>
      </c>
      <c r="AK253" s="194">
        <v>0</v>
      </c>
      <c r="AL253" s="190">
        <v>0</v>
      </c>
      <c r="AM253" s="190">
        <v>0</v>
      </c>
      <c r="AN253" s="190">
        <v>0</v>
      </c>
      <c r="AO253" s="190">
        <v>0</v>
      </c>
      <c r="AP253" s="195">
        <v>0</v>
      </c>
      <c r="AR253" s="77">
        <f t="shared" si="233"/>
        <v>9.1198180406769129</v>
      </c>
      <c r="AS253" s="98">
        <f t="shared" si="217"/>
        <v>0.41453718366713244</v>
      </c>
      <c r="AT253" s="98">
        <f t="shared" si="234"/>
        <v>0.81481481481481477</v>
      </c>
      <c r="AU253" s="199">
        <f t="shared" si="235"/>
        <v>0.91666666666666663</v>
      </c>
      <c r="AV253" s="189">
        <f t="shared" si="218"/>
        <v>0.75</v>
      </c>
      <c r="AW253" s="189">
        <f t="shared" si="219"/>
        <v>1</v>
      </c>
      <c r="AX253" s="189">
        <f t="shared" si="220"/>
        <v>0.8</v>
      </c>
      <c r="AY253" s="189">
        <f t="shared" si="221"/>
        <v>0</v>
      </c>
      <c r="AZ253" s="200">
        <f t="shared" si="222"/>
        <v>0.33333333333333331</v>
      </c>
      <c r="BA253" s="204">
        <f t="shared" si="236"/>
        <v>0.44444444444444442</v>
      </c>
      <c r="BB253" s="185">
        <f t="shared" si="223"/>
        <v>0.14814814814814814</v>
      </c>
      <c r="BC253" s="185">
        <f t="shared" si="224"/>
        <v>0.1111111111111111</v>
      </c>
      <c r="BD253" s="185">
        <f t="shared" si="225"/>
        <v>0.18518518518518517</v>
      </c>
      <c r="BE253" s="185">
        <f t="shared" si="226"/>
        <v>0</v>
      </c>
      <c r="BF253" s="205">
        <f t="shared" si="227"/>
        <v>0.1111111111111111</v>
      </c>
      <c r="BG253" s="194">
        <v>11</v>
      </c>
      <c r="BH253" s="190">
        <v>3</v>
      </c>
      <c r="BI253" s="190">
        <v>3</v>
      </c>
      <c r="BJ253" s="190">
        <v>4</v>
      </c>
      <c r="BK253" s="190">
        <v>0</v>
      </c>
      <c r="BL253" s="195">
        <v>1</v>
      </c>
      <c r="BM253" s="194">
        <v>12</v>
      </c>
      <c r="BN253" s="190">
        <v>4</v>
      </c>
      <c r="BO253" s="190">
        <v>3</v>
      </c>
      <c r="BP253" s="190">
        <v>5</v>
      </c>
      <c r="BQ253" s="190">
        <v>0</v>
      </c>
      <c r="BR253" s="195">
        <v>3</v>
      </c>
    </row>
    <row r="254" spans="1:70" outlineLevel="1" x14ac:dyDescent="0.2">
      <c r="A254" s="20">
        <f t="shared" si="205"/>
        <v>11161</v>
      </c>
      <c r="B254" s="19" t="str">
        <f t="shared" si="205"/>
        <v>TAMUCC</v>
      </c>
      <c r="C254" s="18"/>
      <c r="D254" s="15">
        <v>1515</v>
      </c>
      <c r="E254" s="21">
        <v>0.51</v>
      </c>
      <c r="F254" s="14">
        <v>6742.2</v>
      </c>
      <c r="G254" s="28">
        <v>3028.8999999999978</v>
      </c>
      <c r="H254" s="15">
        <v>310</v>
      </c>
      <c r="I254" s="13">
        <v>23</v>
      </c>
      <c r="J254" s="214">
        <f t="shared" si="228"/>
        <v>317.01996038260251</v>
      </c>
      <c r="K254" s="16">
        <v>1182</v>
      </c>
      <c r="L254" s="30">
        <v>1957</v>
      </c>
      <c r="M254" s="29">
        <v>1470</v>
      </c>
      <c r="N254" s="28">
        <v>959</v>
      </c>
      <c r="P254" s="77">
        <f t="shared" si="229"/>
        <v>317.01996038260251</v>
      </c>
      <c r="Q254" s="98">
        <f t="shared" si="206"/>
        <v>0.54564537071015917</v>
      </c>
      <c r="R254" s="98">
        <f t="shared" si="230"/>
        <v>0.50964912280701757</v>
      </c>
      <c r="S254" s="199">
        <f t="shared" si="231"/>
        <v>0.6</v>
      </c>
      <c r="T254" s="189">
        <f t="shared" si="207"/>
        <v>0.46511627906976744</v>
      </c>
      <c r="U254" s="189">
        <f t="shared" si="208"/>
        <v>0.17857142857142858</v>
      </c>
      <c r="V254" s="189">
        <f t="shared" si="209"/>
        <v>0.72972972972972971</v>
      </c>
      <c r="W254" s="189">
        <f t="shared" si="210"/>
        <v>0.57722308892355689</v>
      </c>
      <c r="X254" s="200">
        <f t="shared" si="211"/>
        <v>0.34328358208955223</v>
      </c>
      <c r="Y254" s="204">
        <f t="shared" si="232"/>
        <v>8.771929824561403E-3</v>
      </c>
      <c r="Z254" s="185">
        <f t="shared" si="212"/>
        <v>0.26403508771929823</v>
      </c>
      <c r="AA254" s="185">
        <f t="shared" si="213"/>
        <v>7.3684210526315783E-2</v>
      </c>
      <c r="AB254" s="185">
        <f t="shared" si="214"/>
        <v>3.245614035087719E-2</v>
      </c>
      <c r="AC254" s="185">
        <f t="shared" si="215"/>
        <v>0.56228070175438594</v>
      </c>
      <c r="AD254" s="205">
        <f t="shared" si="216"/>
        <v>5.8771929824561406E-2</v>
      </c>
      <c r="AE254" s="194">
        <v>6</v>
      </c>
      <c r="AF254" s="190">
        <v>140</v>
      </c>
      <c r="AG254" s="190">
        <v>15</v>
      </c>
      <c r="AH254" s="190">
        <v>27</v>
      </c>
      <c r="AI254" s="190">
        <v>370</v>
      </c>
      <c r="AJ254" s="195">
        <v>23</v>
      </c>
      <c r="AK254" s="194">
        <v>10</v>
      </c>
      <c r="AL254" s="190">
        <v>301</v>
      </c>
      <c r="AM254" s="190">
        <v>84</v>
      </c>
      <c r="AN254" s="190">
        <v>37</v>
      </c>
      <c r="AO254" s="190">
        <v>641</v>
      </c>
      <c r="AP254" s="195">
        <v>67</v>
      </c>
      <c r="AR254" s="77">
        <f t="shared" si="233"/>
        <v>201.61408008438113</v>
      </c>
      <c r="AS254" s="98">
        <f t="shared" si="217"/>
        <v>0.6952209658082108</v>
      </c>
      <c r="AT254" s="98">
        <f t="shared" si="234"/>
        <v>0.7142857142857143</v>
      </c>
      <c r="AU254" s="199">
        <f t="shared" si="235"/>
        <v>0.86111111111111116</v>
      </c>
      <c r="AV254" s="189">
        <f t="shared" si="218"/>
        <v>0.59090909090909094</v>
      </c>
      <c r="AW254" s="189">
        <f t="shared" si="219"/>
        <v>0.67741935483870963</v>
      </c>
      <c r="AX254" s="189">
        <f t="shared" si="220"/>
        <v>0.76635514018691586</v>
      </c>
      <c r="AY254" s="189">
        <f t="shared" si="221"/>
        <v>0.72222222222222221</v>
      </c>
      <c r="AZ254" s="200">
        <f t="shared" si="222"/>
        <v>0.52500000000000002</v>
      </c>
      <c r="BA254" s="204">
        <f t="shared" si="236"/>
        <v>0.17733990147783252</v>
      </c>
      <c r="BB254" s="185">
        <f t="shared" si="223"/>
        <v>0.1625615763546798</v>
      </c>
      <c r="BC254" s="185">
        <f t="shared" si="224"/>
        <v>7.6354679802955669E-2</v>
      </c>
      <c r="BD254" s="185">
        <f t="shared" si="225"/>
        <v>0.26354679802955666</v>
      </c>
      <c r="BE254" s="185">
        <f t="shared" si="226"/>
        <v>0.22167487684729065</v>
      </c>
      <c r="BF254" s="205">
        <f t="shared" si="227"/>
        <v>9.8522167487684734E-2</v>
      </c>
      <c r="BG254" s="194">
        <v>62</v>
      </c>
      <c r="BH254" s="190">
        <v>39</v>
      </c>
      <c r="BI254" s="190">
        <v>21</v>
      </c>
      <c r="BJ254" s="190">
        <v>82</v>
      </c>
      <c r="BK254" s="190">
        <v>65</v>
      </c>
      <c r="BL254" s="195">
        <v>21</v>
      </c>
      <c r="BM254" s="194">
        <v>72</v>
      </c>
      <c r="BN254" s="190">
        <v>66</v>
      </c>
      <c r="BO254" s="190">
        <v>31</v>
      </c>
      <c r="BP254" s="190">
        <v>107</v>
      </c>
      <c r="BQ254" s="190">
        <v>90</v>
      </c>
      <c r="BR254" s="195">
        <v>40</v>
      </c>
    </row>
    <row r="255" spans="1:70" outlineLevel="1" x14ac:dyDescent="0.2">
      <c r="A255" s="20">
        <f t="shared" si="205"/>
        <v>3639</v>
      </c>
      <c r="B255" s="19" t="str">
        <f t="shared" si="205"/>
        <v>TAMUK</v>
      </c>
      <c r="C255" s="18"/>
      <c r="D255" s="15">
        <v>855</v>
      </c>
      <c r="E255" s="21">
        <v>0.39200000000000002</v>
      </c>
      <c r="F255" s="14">
        <v>4577.5333333333338</v>
      </c>
      <c r="G255" s="28">
        <v>1952.6200000000099</v>
      </c>
      <c r="H255" s="15">
        <v>298</v>
      </c>
      <c r="I255" s="13">
        <v>19</v>
      </c>
      <c r="J255" s="214">
        <f t="shared" si="228"/>
        <v>130.93996327960517</v>
      </c>
      <c r="K255" s="16">
        <v>742</v>
      </c>
      <c r="L255" s="30">
        <v>1343</v>
      </c>
      <c r="M255" s="29">
        <v>910</v>
      </c>
      <c r="N255" s="28">
        <v>571</v>
      </c>
      <c r="P255" s="77">
        <f t="shared" si="229"/>
        <v>130.93996327960517</v>
      </c>
      <c r="Q255" s="98">
        <f t="shared" si="206"/>
        <v>0.47100706215685312</v>
      </c>
      <c r="R255" s="98">
        <f t="shared" si="230"/>
        <v>0.4088235294117647</v>
      </c>
      <c r="S255" s="199">
        <f t="shared" si="231"/>
        <v>0.5714285714285714</v>
      </c>
      <c r="T255" s="189">
        <f t="shared" si="207"/>
        <v>0.3902439024390244</v>
      </c>
      <c r="U255" s="189">
        <f t="shared" si="208"/>
        <v>0.21978021978021978</v>
      </c>
      <c r="V255" s="189">
        <f t="shared" si="209"/>
        <v>0.65</v>
      </c>
      <c r="W255" s="189">
        <f t="shared" si="210"/>
        <v>0.47940074906367042</v>
      </c>
      <c r="X255" s="200">
        <f t="shared" si="211"/>
        <v>0.34693877551020408</v>
      </c>
      <c r="Y255" s="204">
        <f t="shared" si="232"/>
        <v>1.0294117647058823E-2</v>
      </c>
      <c r="Z255" s="185">
        <f t="shared" si="212"/>
        <v>0.36176470588235293</v>
      </c>
      <c r="AA255" s="185">
        <f t="shared" si="213"/>
        <v>0.1338235294117647</v>
      </c>
      <c r="AB255" s="185">
        <f t="shared" si="214"/>
        <v>2.9411764705882353E-2</v>
      </c>
      <c r="AC255" s="185">
        <f t="shared" si="215"/>
        <v>0.3926470588235294</v>
      </c>
      <c r="AD255" s="205">
        <f t="shared" si="216"/>
        <v>7.2058823529411759E-2</v>
      </c>
      <c r="AE255" s="194">
        <v>4</v>
      </c>
      <c r="AF255" s="190">
        <v>96</v>
      </c>
      <c r="AG255" s="190">
        <v>20</v>
      </c>
      <c r="AH255" s="190">
        <v>13</v>
      </c>
      <c r="AI255" s="190">
        <v>128</v>
      </c>
      <c r="AJ255" s="195">
        <v>17</v>
      </c>
      <c r="AK255" s="194">
        <v>7</v>
      </c>
      <c r="AL255" s="190">
        <v>246</v>
      </c>
      <c r="AM255" s="190">
        <v>91</v>
      </c>
      <c r="AN255" s="190">
        <v>20</v>
      </c>
      <c r="AO255" s="190">
        <v>267</v>
      </c>
      <c r="AP255" s="195">
        <v>49</v>
      </c>
      <c r="AR255" s="77">
        <f t="shared" si="233"/>
        <v>88.596408785569665</v>
      </c>
      <c r="AS255" s="98">
        <f t="shared" si="217"/>
        <v>0.57530135575045238</v>
      </c>
      <c r="AT255" s="98">
        <f t="shared" si="234"/>
        <v>0.59003831417624519</v>
      </c>
      <c r="AU255" s="199">
        <f t="shared" si="235"/>
        <v>0.74358974358974361</v>
      </c>
      <c r="AV255" s="189">
        <f t="shared" si="218"/>
        <v>0.53968253968253965</v>
      </c>
      <c r="AW255" s="189">
        <f t="shared" si="219"/>
        <v>0.41666666666666669</v>
      </c>
      <c r="AX255" s="189">
        <f t="shared" si="220"/>
        <v>0.73684210526315785</v>
      </c>
      <c r="AY255" s="189">
        <f t="shared" si="221"/>
        <v>0.5625</v>
      </c>
      <c r="AZ255" s="200">
        <f t="shared" si="222"/>
        <v>0.30769230769230771</v>
      </c>
      <c r="BA255" s="204">
        <f t="shared" si="236"/>
        <v>0.14942528735632185</v>
      </c>
      <c r="BB255" s="185">
        <f t="shared" si="223"/>
        <v>0.2413793103448276</v>
      </c>
      <c r="BC255" s="185">
        <f t="shared" si="224"/>
        <v>4.5977011494252873E-2</v>
      </c>
      <c r="BD255" s="185">
        <f t="shared" si="225"/>
        <v>0.21839080459770116</v>
      </c>
      <c r="BE255" s="185">
        <f t="shared" si="226"/>
        <v>0.24521072796934865</v>
      </c>
      <c r="BF255" s="205">
        <f t="shared" si="227"/>
        <v>9.9616858237547887E-2</v>
      </c>
      <c r="BG255" s="194">
        <v>29</v>
      </c>
      <c r="BH255" s="190">
        <v>34</v>
      </c>
      <c r="BI255" s="190">
        <v>5</v>
      </c>
      <c r="BJ255" s="190">
        <v>42</v>
      </c>
      <c r="BK255" s="190">
        <v>36</v>
      </c>
      <c r="BL255" s="195">
        <v>8</v>
      </c>
      <c r="BM255" s="194">
        <v>39</v>
      </c>
      <c r="BN255" s="190">
        <v>63</v>
      </c>
      <c r="BO255" s="190">
        <v>12</v>
      </c>
      <c r="BP255" s="190">
        <v>57</v>
      </c>
      <c r="BQ255" s="190">
        <v>64</v>
      </c>
      <c r="BR255" s="195">
        <v>26</v>
      </c>
    </row>
    <row r="256" spans="1:70" outlineLevel="1" x14ac:dyDescent="0.2">
      <c r="A256" s="27">
        <f t="shared" ref="A256:B271" si="237">A214</f>
        <v>103639</v>
      </c>
      <c r="B256" s="19" t="str">
        <f t="shared" si="237"/>
        <v>TAMUSA</v>
      </c>
      <c r="C256" s="18"/>
      <c r="D256" s="15">
        <v>647</v>
      </c>
      <c r="E256" s="21">
        <f>E255</f>
        <v>0.39200000000000002</v>
      </c>
      <c r="F256" s="14">
        <v>1673.0666666666666</v>
      </c>
      <c r="G256" s="28">
        <v>1155.5399999999984</v>
      </c>
      <c r="H256" s="15">
        <v>10</v>
      </c>
      <c r="I256" s="13">
        <v>4</v>
      </c>
      <c r="J256" s="214">
        <f t="shared" si="228"/>
        <v>0</v>
      </c>
      <c r="K256" s="16">
        <v>549</v>
      </c>
      <c r="L256" s="30">
        <v>887</v>
      </c>
      <c r="M256" s="29">
        <v>190</v>
      </c>
      <c r="N256" s="28">
        <v>1</v>
      </c>
      <c r="P256" s="77">
        <f t="shared" si="229"/>
        <v>0</v>
      </c>
      <c r="Q256" s="98">
        <f t="shared" si="206"/>
        <v>0</v>
      </c>
      <c r="R256" s="98">
        <f t="shared" si="230"/>
        <v>0</v>
      </c>
      <c r="S256" s="199">
        <f t="shared" si="231"/>
        <v>0</v>
      </c>
      <c r="T256" s="189">
        <f t="shared" si="207"/>
        <v>0</v>
      </c>
      <c r="U256" s="189">
        <f t="shared" si="208"/>
        <v>0</v>
      </c>
      <c r="V256" s="189">
        <f t="shared" si="209"/>
        <v>0</v>
      </c>
      <c r="W256" s="189">
        <f t="shared" si="210"/>
        <v>0</v>
      </c>
      <c r="X256" s="200">
        <f t="shared" si="211"/>
        <v>0</v>
      </c>
      <c r="Y256" s="204">
        <f t="shared" si="232"/>
        <v>0</v>
      </c>
      <c r="Z256" s="185">
        <f t="shared" si="212"/>
        <v>0</v>
      </c>
      <c r="AA256" s="185">
        <f t="shared" si="213"/>
        <v>0</v>
      </c>
      <c r="AB256" s="185">
        <f t="shared" si="214"/>
        <v>0</v>
      </c>
      <c r="AC256" s="185">
        <f t="shared" si="215"/>
        <v>0</v>
      </c>
      <c r="AD256" s="205">
        <f t="shared" si="216"/>
        <v>0</v>
      </c>
      <c r="AE256" s="194">
        <v>0</v>
      </c>
      <c r="AF256" s="190">
        <v>0</v>
      </c>
      <c r="AG256" s="190">
        <v>0</v>
      </c>
      <c r="AH256" s="190">
        <v>0</v>
      </c>
      <c r="AI256" s="190">
        <v>0</v>
      </c>
      <c r="AJ256" s="195">
        <v>0</v>
      </c>
      <c r="AK256" s="194">
        <v>0</v>
      </c>
      <c r="AL256" s="190">
        <v>0</v>
      </c>
      <c r="AM256" s="190">
        <v>0</v>
      </c>
      <c r="AN256" s="190">
        <v>0</v>
      </c>
      <c r="AO256" s="190">
        <v>0</v>
      </c>
      <c r="AP256" s="195">
        <v>0</v>
      </c>
      <c r="AR256" s="77">
        <f t="shared" si="233"/>
        <v>29.982297317648975</v>
      </c>
      <c r="AS256" s="98">
        <f t="shared" si="217"/>
        <v>0.74955743294122434</v>
      </c>
      <c r="AT256" s="98">
        <f t="shared" si="234"/>
        <v>0.67796610169491522</v>
      </c>
      <c r="AU256" s="199">
        <f t="shared" si="235"/>
        <v>0.7857142857142857</v>
      </c>
      <c r="AV256" s="189">
        <f t="shared" si="218"/>
        <v>0.63636363636363635</v>
      </c>
      <c r="AW256" s="189">
        <f t="shared" si="219"/>
        <v>0.375</v>
      </c>
      <c r="AX256" s="189">
        <f t="shared" si="220"/>
        <v>0.83333333333333337</v>
      </c>
      <c r="AY256" s="189">
        <f t="shared" si="221"/>
        <v>0.84615384615384615</v>
      </c>
      <c r="AZ256" s="200">
        <f t="shared" si="222"/>
        <v>0.42857142857142855</v>
      </c>
      <c r="BA256" s="204">
        <f t="shared" si="236"/>
        <v>0.23728813559322035</v>
      </c>
      <c r="BB256" s="185">
        <f t="shared" si="223"/>
        <v>0.1864406779661017</v>
      </c>
      <c r="BC256" s="185">
        <f t="shared" si="224"/>
        <v>0.13559322033898305</v>
      </c>
      <c r="BD256" s="185">
        <f t="shared" si="225"/>
        <v>0.10169491525423729</v>
      </c>
      <c r="BE256" s="185">
        <f t="shared" si="226"/>
        <v>0.22033898305084745</v>
      </c>
      <c r="BF256" s="205">
        <f t="shared" si="227"/>
        <v>0.11864406779661017</v>
      </c>
      <c r="BG256" s="194">
        <v>11</v>
      </c>
      <c r="BH256" s="190">
        <v>7</v>
      </c>
      <c r="BI256" s="190">
        <v>3</v>
      </c>
      <c r="BJ256" s="190">
        <v>5</v>
      </c>
      <c r="BK256" s="190">
        <v>11</v>
      </c>
      <c r="BL256" s="195">
        <v>3</v>
      </c>
      <c r="BM256" s="194">
        <v>14</v>
      </c>
      <c r="BN256" s="190">
        <v>11</v>
      </c>
      <c r="BO256" s="190">
        <v>8</v>
      </c>
      <c r="BP256" s="190">
        <v>6</v>
      </c>
      <c r="BQ256" s="190">
        <v>13</v>
      </c>
      <c r="BR256" s="195">
        <v>7</v>
      </c>
    </row>
    <row r="257" spans="1:70" outlineLevel="1" x14ac:dyDescent="0.2">
      <c r="A257" s="20">
        <f t="shared" si="237"/>
        <v>9651</v>
      </c>
      <c r="B257" s="19" t="str">
        <f t="shared" si="237"/>
        <v>TAMI</v>
      </c>
      <c r="C257" s="18"/>
      <c r="D257" s="15">
        <v>805</v>
      </c>
      <c r="E257" s="21">
        <v>0.45700000000000002</v>
      </c>
      <c r="F257" s="14">
        <v>4312.1333333333332</v>
      </c>
      <c r="G257" s="28">
        <v>1498.7699999999936</v>
      </c>
      <c r="H257" s="15">
        <v>142</v>
      </c>
      <c r="I257" s="13">
        <v>23</v>
      </c>
      <c r="J257" s="214">
        <f t="shared" si="228"/>
        <v>116.48469322149916</v>
      </c>
      <c r="K257" s="16">
        <v>737</v>
      </c>
      <c r="L257" s="30">
        <v>1292</v>
      </c>
      <c r="M257" s="29">
        <v>1039</v>
      </c>
      <c r="N257" s="28">
        <v>488</v>
      </c>
      <c r="P257" s="77">
        <f t="shared" si="229"/>
        <v>116.48469322149916</v>
      </c>
      <c r="Q257" s="98">
        <f t="shared" si="206"/>
        <v>0.44290757878897019</v>
      </c>
      <c r="R257" s="98">
        <f t="shared" si="230"/>
        <v>0.44727891156462585</v>
      </c>
      <c r="S257" s="199">
        <f t="shared" si="231"/>
        <v>1</v>
      </c>
      <c r="T257" s="189">
        <f t="shared" si="207"/>
        <v>0.4924812030075188</v>
      </c>
      <c r="U257" s="189">
        <f t="shared" si="208"/>
        <v>0.41428571428571431</v>
      </c>
      <c r="V257" s="189">
        <f t="shared" si="209"/>
        <v>0.25</v>
      </c>
      <c r="W257" s="189">
        <f t="shared" si="210"/>
        <v>0.48</v>
      </c>
      <c r="X257" s="200">
        <f t="shared" si="211"/>
        <v>0.23076923076923078</v>
      </c>
      <c r="Y257" s="204">
        <f t="shared" si="232"/>
        <v>1.7006802721088435E-3</v>
      </c>
      <c r="Z257" s="185">
        <f t="shared" si="212"/>
        <v>0.45238095238095238</v>
      </c>
      <c r="AA257" s="185">
        <f t="shared" si="213"/>
        <v>0.23809523809523808</v>
      </c>
      <c r="AB257" s="185">
        <f t="shared" si="214"/>
        <v>6.8027210884353739E-3</v>
      </c>
      <c r="AC257" s="185">
        <f t="shared" si="215"/>
        <v>0.21258503401360543</v>
      </c>
      <c r="AD257" s="205">
        <f t="shared" si="216"/>
        <v>8.8435374149659865E-2</v>
      </c>
      <c r="AE257" s="194">
        <v>1</v>
      </c>
      <c r="AF257" s="190">
        <v>131</v>
      </c>
      <c r="AG257" s="190">
        <v>58</v>
      </c>
      <c r="AH257" s="190">
        <v>1</v>
      </c>
      <c r="AI257" s="190">
        <v>60</v>
      </c>
      <c r="AJ257" s="195">
        <v>12</v>
      </c>
      <c r="AK257" s="194">
        <v>1</v>
      </c>
      <c r="AL257" s="190">
        <v>266</v>
      </c>
      <c r="AM257" s="190">
        <v>140</v>
      </c>
      <c r="AN257" s="190">
        <v>4</v>
      </c>
      <c r="AO257" s="190">
        <v>125</v>
      </c>
      <c r="AP257" s="195">
        <v>52</v>
      </c>
      <c r="AR257" s="77">
        <f t="shared" si="233"/>
        <v>118.4769636694073</v>
      </c>
      <c r="AS257" s="98">
        <f t="shared" si="217"/>
        <v>0.59238481834703649</v>
      </c>
      <c r="AT257" s="98">
        <f t="shared" si="234"/>
        <v>0.65789473684210531</v>
      </c>
      <c r="AU257" s="199">
        <f t="shared" si="235"/>
        <v>0.79166666666666663</v>
      </c>
      <c r="AV257" s="189">
        <f t="shared" si="218"/>
        <v>0.63025210084033612</v>
      </c>
      <c r="AW257" s="189">
        <f t="shared" si="219"/>
        <v>0.51515151515151514</v>
      </c>
      <c r="AX257" s="189">
        <f t="shared" si="220"/>
        <v>0.8571428571428571</v>
      </c>
      <c r="AY257" s="189">
        <f t="shared" si="221"/>
        <v>0.48484848484848486</v>
      </c>
      <c r="AZ257" s="200">
        <f t="shared" si="222"/>
        <v>0.41666666666666669</v>
      </c>
      <c r="BA257" s="204">
        <f t="shared" si="236"/>
        <v>0.23684210526315788</v>
      </c>
      <c r="BB257" s="185">
        <f t="shared" si="223"/>
        <v>0.39144736842105265</v>
      </c>
      <c r="BC257" s="185">
        <f t="shared" si="224"/>
        <v>0.10855263157894737</v>
      </c>
      <c r="BD257" s="185">
        <f t="shared" si="225"/>
        <v>0.11513157894736842</v>
      </c>
      <c r="BE257" s="185">
        <f t="shared" si="226"/>
        <v>0.10855263157894737</v>
      </c>
      <c r="BF257" s="205">
        <f t="shared" si="227"/>
        <v>3.9473684210526314E-2</v>
      </c>
      <c r="BG257" s="194">
        <v>57</v>
      </c>
      <c r="BH257" s="190">
        <v>75</v>
      </c>
      <c r="BI257" s="190">
        <v>17</v>
      </c>
      <c r="BJ257" s="190">
        <v>30</v>
      </c>
      <c r="BK257" s="190">
        <v>16</v>
      </c>
      <c r="BL257" s="195">
        <v>5</v>
      </c>
      <c r="BM257" s="194">
        <v>72</v>
      </c>
      <c r="BN257" s="190">
        <v>119</v>
      </c>
      <c r="BO257" s="190">
        <v>33</v>
      </c>
      <c r="BP257" s="190">
        <v>35</v>
      </c>
      <c r="BQ257" s="190">
        <v>33</v>
      </c>
      <c r="BR257" s="195">
        <v>12</v>
      </c>
    </row>
    <row r="258" spans="1:70" outlineLevel="1" x14ac:dyDescent="0.2">
      <c r="A258" s="20">
        <f t="shared" si="237"/>
        <v>3665</v>
      </c>
      <c r="B258" s="19" t="str">
        <f t="shared" si="237"/>
        <v>WTAMU</v>
      </c>
      <c r="C258" s="18"/>
      <c r="D258" s="15">
        <v>1253</v>
      </c>
      <c r="E258" s="21">
        <v>0.48200000000000004</v>
      </c>
      <c r="F258" s="14">
        <v>5523.2</v>
      </c>
      <c r="G258" s="28">
        <v>2523.9800000000132</v>
      </c>
      <c r="H258" s="15">
        <v>175</v>
      </c>
      <c r="I258" s="13">
        <v>60</v>
      </c>
      <c r="J258" s="214">
        <f t="shared" si="228"/>
        <v>226.6921677257522</v>
      </c>
      <c r="K258" s="16">
        <v>902</v>
      </c>
      <c r="L258" s="30">
        <v>1631</v>
      </c>
      <c r="M258" s="29">
        <v>1213</v>
      </c>
      <c r="N258" s="28">
        <v>689</v>
      </c>
      <c r="P258" s="77">
        <f t="shared" si="229"/>
        <v>226.6921677257522</v>
      </c>
      <c r="Q258" s="98">
        <f t="shared" si="206"/>
        <v>0.51287820752432622</v>
      </c>
      <c r="R258" s="98">
        <f t="shared" si="230"/>
        <v>0.48571428571428571</v>
      </c>
      <c r="S258" s="199">
        <f t="shared" si="231"/>
        <v>0.75</v>
      </c>
      <c r="T258" s="189">
        <f t="shared" si="207"/>
        <v>0.42410714285714285</v>
      </c>
      <c r="U258" s="189">
        <f t="shared" si="208"/>
        <v>0.14814814814814814</v>
      </c>
      <c r="V258" s="189">
        <f t="shared" si="209"/>
        <v>0.68518518518518523</v>
      </c>
      <c r="W258" s="189">
        <f t="shared" si="210"/>
        <v>0.54352030947775631</v>
      </c>
      <c r="X258" s="200">
        <f t="shared" si="211"/>
        <v>0.28301886792452829</v>
      </c>
      <c r="Y258" s="204">
        <f t="shared" si="232"/>
        <v>8.7912087912087912E-3</v>
      </c>
      <c r="Z258" s="185">
        <f t="shared" si="212"/>
        <v>0.24615384615384617</v>
      </c>
      <c r="AA258" s="185">
        <f t="shared" si="213"/>
        <v>5.9340659340659338E-2</v>
      </c>
      <c r="AB258" s="185">
        <f t="shared" si="214"/>
        <v>5.9340659340659338E-2</v>
      </c>
      <c r="AC258" s="185">
        <f t="shared" si="215"/>
        <v>0.56813186813186811</v>
      </c>
      <c r="AD258" s="205">
        <f t="shared" si="216"/>
        <v>5.8241758241758243E-2</v>
      </c>
      <c r="AE258" s="194">
        <v>6</v>
      </c>
      <c r="AF258" s="190">
        <v>95</v>
      </c>
      <c r="AG258" s="190">
        <v>8</v>
      </c>
      <c r="AH258" s="190">
        <v>37</v>
      </c>
      <c r="AI258" s="190">
        <v>281</v>
      </c>
      <c r="AJ258" s="195">
        <v>15</v>
      </c>
      <c r="AK258" s="194">
        <v>8</v>
      </c>
      <c r="AL258" s="190">
        <v>224</v>
      </c>
      <c r="AM258" s="190">
        <v>54</v>
      </c>
      <c r="AN258" s="190">
        <v>54</v>
      </c>
      <c r="AO258" s="190">
        <v>517</v>
      </c>
      <c r="AP258" s="195">
        <v>53</v>
      </c>
      <c r="AR258" s="77">
        <f t="shared" si="233"/>
        <v>223.48331052954651</v>
      </c>
      <c r="AS258" s="98">
        <f t="shared" si="217"/>
        <v>0.6592428039219661</v>
      </c>
      <c r="AT258" s="98">
        <f t="shared" si="234"/>
        <v>0.68346774193548387</v>
      </c>
      <c r="AU258" s="199">
        <f t="shared" si="235"/>
        <v>0.75862068965517238</v>
      </c>
      <c r="AV258" s="189">
        <f t="shared" si="218"/>
        <v>0.58181818181818179</v>
      </c>
      <c r="AW258" s="189">
        <f t="shared" si="219"/>
        <v>0.53658536585365857</v>
      </c>
      <c r="AX258" s="189">
        <f t="shared" si="220"/>
        <v>0.80921052631578949</v>
      </c>
      <c r="AY258" s="189">
        <f t="shared" si="221"/>
        <v>0.66346153846153844</v>
      </c>
      <c r="AZ258" s="200">
        <f t="shared" si="222"/>
        <v>0.47368421052631576</v>
      </c>
      <c r="BA258" s="204">
        <f t="shared" si="236"/>
        <v>0.17540322580645162</v>
      </c>
      <c r="BB258" s="185">
        <f t="shared" si="223"/>
        <v>0.11088709677419355</v>
      </c>
      <c r="BC258" s="185">
        <f t="shared" si="224"/>
        <v>8.2661290322580641E-2</v>
      </c>
      <c r="BD258" s="185">
        <f t="shared" si="225"/>
        <v>0.30645161290322581</v>
      </c>
      <c r="BE258" s="185">
        <f t="shared" si="226"/>
        <v>0.20967741935483872</v>
      </c>
      <c r="BF258" s="205">
        <f t="shared" si="227"/>
        <v>0.11491935483870967</v>
      </c>
      <c r="BG258" s="194">
        <v>66</v>
      </c>
      <c r="BH258" s="190">
        <v>32</v>
      </c>
      <c r="BI258" s="190">
        <v>22</v>
      </c>
      <c r="BJ258" s="190">
        <v>123</v>
      </c>
      <c r="BK258" s="190">
        <v>69</v>
      </c>
      <c r="BL258" s="195">
        <v>27</v>
      </c>
      <c r="BM258" s="194">
        <v>87</v>
      </c>
      <c r="BN258" s="190">
        <v>55</v>
      </c>
      <c r="BO258" s="190">
        <v>41</v>
      </c>
      <c r="BP258" s="190">
        <v>152</v>
      </c>
      <c r="BQ258" s="190">
        <v>104</v>
      </c>
      <c r="BR258" s="195">
        <v>57</v>
      </c>
    </row>
    <row r="259" spans="1:70" outlineLevel="1" x14ac:dyDescent="0.2">
      <c r="A259" s="20">
        <f t="shared" si="237"/>
        <v>3565</v>
      </c>
      <c r="B259" s="19" t="str">
        <f t="shared" si="237"/>
        <v>TAMUC</v>
      </c>
      <c r="C259" s="18"/>
      <c r="D259" s="15">
        <v>1507</v>
      </c>
      <c r="E259" s="21">
        <v>0.44600000000000001</v>
      </c>
      <c r="F259" s="14">
        <v>5135.2666666666664</v>
      </c>
      <c r="G259" s="28">
        <v>2861.9500000000121</v>
      </c>
      <c r="H259" s="15">
        <v>89</v>
      </c>
      <c r="I259" s="13">
        <v>81</v>
      </c>
      <c r="J259" s="214">
        <f t="shared" si="228"/>
        <v>107.963475756067</v>
      </c>
      <c r="K259" s="16">
        <v>1172</v>
      </c>
      <c r="L259" s="30">
        <v>2056</v>
      </c>
      <c r="M259" s="29">
        <v>1174</v>
      </c>
      <c r="N259" s="28">
        <v>457</v>
      </c>
      <c r="P259" s="77">
        <f t="shared" si="229"/>
        <v>107.963475756067</v>
      </c>
      <c r="Q259" s="98">
        <f t="shared" si="206"/>
        <v>0.4714562260090262</v>
      </c>
      <c r="R259" s="98">
        <f t="shared" si="230"/>
        <v>0.43702290076335876</v>
      </c>
      <c r="S259" s="199">
        <f t="shared" si="231"/>
        <v>0.3</v>
      </c>
      <c r="T259" s="189">
        <f t="shared" si="207"/>
        <v>0.34375</v>
      </c>
      <c r="U259" s="189">
        <f t="shared" si="208"/>
        <v>0.33333333333333331</v>
      </c>
      <c r="V259" s="189">
        <f t="shared" si="209"/>
        <v>0.66666666666666663</v>
      </c>
      <c r="W259" s="189">
        <f t="shared" si="210"/>
        <v>0.4942528735632184</v>
      </c>
      <c r="X259" s="200">
        <f t="shared" si="211"/>
        <v>0.37037037037037035</v>
      </c>
      <c r="Y259" s="204">
        <f t="shared" si="232"/>
        <v>1.9083969465648856E-2</v>
      </c>
      <c r="Z259" s="185">
        <f t="shared" si="212"/>
        <v>0.30534351145038169</v>
      </c>
      <c r="AA259" s="185">
        <f t="shared" si="213"/>
        <v>6.8702290076335881E-2</v>
      </c>
      <c r="AB259" s="185">
        <f t="shared" si="214"/>
        <v>5.7251908396946563E-2</v>
      </c>
      <c r="AC259" s="185">
        <f t="shared" si="215"/>
        <v>0.49809160305343514</v>
      </c>
      <c r="AD259" s="205">
        <f t="shared" si="216"/>
        <v>5.1526717557251911E-2</v>
      </c>
      <c r="AE259" s="194">
        <v>3</v>
      </c>
      <c r="AF259" s="190">
        <v>55</v>
      </c>
      <c r="AG259" s="190">
        <v>12</v>
      </c>
      <c r="AH259" s="190">
        <v>20</v>
      </c>
      <c r="AI259" s="190">
        <v>129</v>
      </c>
      <c r="AJ259" s="195">
        <v>10</v>
      </c>
      <c r="AK259" s="194">
        <v>10</v>
      </c>
      <c r="AL259" s="190">
        <v>160</v>
      </c>
      <c r="AM259" s="190">
        <v>36</v>
      </c>
      <c r="AN259" s="190">
        <v>30</v>
      </c>
      <c r="AO259" s="190">
        <v>261</v>
      </c>
      <c r="AP259" s="195">
        <v>27</v>
      </c>
      <c r="AR259" s="77">
        <f t="shared" si="233"/>
        <v>167.57384285907273</v>
      </c>
      <c r="AS259" s="98">
        <f t="shared" si="217"/>
        <v>0.64451478022720277</v>
      </c>
      <c r="AT259" s="98">
        <f t="shared" si="234"/>
        <v>0.66666666666666663</v>
      </c>
      <c r="AU259" s="199">
        <f t="shared" si="235"/>
        <v>0.70408163265306123</v>
      </c>
      <c r="AV259" s="189">
        <f t="shared" si="218"/>
        <v>0.65151515151515149</v>
      </c>
      <c r="AW259" s="189">
        <f t="shared" si="219"/>
        <v>0.5</v>
      </c>
      <c r="AX259" s="189">
        <f t="shared" si="220"/>
        <v>0.77551020408163263</v>
      </c>
      <c r="AY259" s="189">
        <f t="shared" si="221"/>
        <v>0.6166666666666667</v>
      </c>
      <c r="AZ259" s="200">
        <f t="shared" si="222"/>
        <v>0.52777777777777779</v>
      </c>
      <c r="BA259" s="204">
        <f t="shared" si="236"/>
        <v>0.25128205128205128</v>
      </c>
      <c r="BB259" s="185">
        <f t="shared" si="223"/>
        <v>0.16923076923076924</v>
      </c>
      <c r="BC259" s="185">
        <f t="shared" si="224"/>
        <v>8.2051282051282051E-2</v>
      </c>
      <c r="BD259" s="185">
        <f t="shared" si="225"/>
        <v>0.25128205128205128</v>
      </c>
      <c r="BE259" s="185">
        <f t="shared" si="226"/>
        <v>0.15384615384615385</v>
      </c>
      <c r="BF259" s="205">
        <f t="shared" si="227"/>
        <v>9.2307692307692313E-2</v>
      </c>
      <c r="BG259" s="194">
        <v>69</v>
      </c>
      <c r="BH259" s="190">
        <v>43</v>
      </c>
      <c r="BI259" s="190">
        <v>16</v>
      </c>
      <c r="BJ259" s="190">
        <v>76</v>
      </c>
      <c r="BK259" s="190">
        <v>37</v>
      </c>
      <c r="BL259" s="195">
        <v>19</v>
      </c>
      <c r="BM259" s="194">
        <v>98</v>
      </c>
      <c r="BN259" s="190">
        <v>66</v>
      </c>
      <c r="BO259" s="190">
        <v>32</v>
      </c>
      <c r="BP259" s="190">
        <v>98</v>
      </c>
      <c r="BQ259" s="190">
        <v>60</v>
      </c>
      <c r="BR259" s="195">
        <v>36</v>
      </c>
    </row>
    <row r="260" spans="1:70" outlineLevel="1" x14ac:dyDescent="0.2">
      <c r="A260" s="20">
        <f t="shared" si="237"/>
        <v>29269</v>
      </c>
      <c r="B260" s="19" t="str">
        <f t="shared" si="237"/>
        <v>TAMUT</v>
      </c>
      <c r="C260" s="18"/>
      <c r="D260" s="15">
        <v>376</v>
      </c>
      <c r="E260" s="17">
        <v>0.49242424242424243</v>
      </c>
      <c r="F260" s="14">
        <v>1101.2666666666667</v>
      </c>
      <c r="G260" s="28">
        <v>680.4399999999946</v>
      </c>
      <c r="H260" s="15">
        <v>47</v>
      </c>
      <c r="I260" s="13">
        <v>25</v>
      </c>
      <c r="J260" s="214">
        <f>AR260</f>
        <v>30.257527223750166</v>
      </c>
      <c r="K260" s="16">
        <v>277</v>
      </c>
      <c r="L260" s="30">
        <v>484</v>
      </c>
      <c r="M260" s="29">
        <v>219</v>
      </c>
      <c r="N260" s="28">
        <v>1</v>
      </c>
      <c r="P260" s="77">
        <f t="shared" si="229"/>
        <v>0</v>
      </c>
      <c r="Q260" s="98">
        <f t="shared" si="206"/>
        <v>0</v>
      </c>
      <c r="R260" s="98">
        <f t="shared" si="230"/>
        <v>0</v>
      </c>
      <c r="S260" s="199">
        <f t="shared" si="231"/>
        <v>0</v>
      </c>
      <c r="T260" s="189">
        <f t="shared" si="207"/>
        <v>0</v>
      </c>
      <c r="U260" s="189">
        <f t="shared" si="208"/>
        <v>0</v>
      </c>
      <c r="V260" s="189">
        <f t="shared" si="209"/>
        <v>0</v>
      </c>
      <c r="W260" s="189">
        <f t="shared" si="210"/>
        <v>0</v>
      </c>
      <c r="X260" s="200">
        <f t="shared" si="211"/>
        <v>0</v>
      </c>
      <c r="Y260" s="204">
        <f t="shared" si="232"/>
        <v>0</v>
      </c>
      <c r="Z260" s="185">
        <f t="shared" si="212"/>
        <v>0</v>
      </c>
      <c r="AA260" s="185">
        <f t="shared" si="213"/>
        <v>0</v>
      </c>
      <c r="AB260" s="185">
        <f t="shared" si="214"/>
        <v>0</v>
      </c>
      <c r="AC260" s="185">
        <f t="shared" si="215"/>
        <v>0</v>
      </c>
      <c r="AD260" s="205">
        <f t="shared" si="216"/>
        <v>0</v>
      </c>
      <c r="AE260" s="194">
        <v>0</v>
      </c>
      <c r="AF260" s="190">
        <v>0</v>
      </c>
      <c r="AG260" s="190">
        <v>0</v>
      </c>
      <c r="AH260" s="190">
        <v>0</v>
      </c>
      <c r="AI260" s="190">
        <v>0</v>
      </c>
      <c r="AJ260" s="195">
        <v>0</v>
      </c>
      <c r="AK260" s="194">
        <v>0</v>
      </c>
      <c r="AL260" s="190">
        <v>0</v>
      </c>
      <c r="AM260" s="190">
        <v>0</v>
      </c>
      <c r="AN260" s="190">
        <v>0</v>
      </c>
      <c r="AO260" s="190">
        <v>0</v>
      </c>
      <c r="AP260" s="195">
        <v>0</v>
      </c>
      <c r="AR260" s="77">
        <f t="shared" si="233"/>
        <v>30.257527223750166</v>
      </c>
      <c r="AS260" s="98">
        <f t="shared" si="217"/>
        <v>0.64377717497340781</v>
      </c>
      <c r="AT260" s="98">
        <f t="shared" si="234"/>
        <v>0.5662650602409639</v>
      </c>
      <c r="AU260" s="199">
        <f t="shared" si="235"/>
        <v>0.43478260869565216</v>
      </c>
      <c r="AV260" s="189">
        <f t="shared" si="218"/>
        <v>0.58333333333333337</v>
      </c>
      <c r="AW260" s="189">
        <f t="shared" si="219"/>
        <v>0.36363636363636365</v>
      </c>
      <c r="AX260" s="189">
        <f t="shared" si="220"/>
        <v>0.82352941176470584</v>
      </c>
      <c r="AY260" s="189">
        <f t="shared" si="221"/>
        <v>0.66666666666666663</v>
      </c>
      <c r="AZ260" s="200">
        <f t="shared" si="222"/>
        <v>0.5</v>
      </c>
      <c r="BA260" s="204">
        <f t="shared" si="236"/>
        <v>0.27710843373493976</v>
      </c>
      <c r="BB260" s="185">
        <f t="shared" si="223"/>
        <v>0.14457831325301204</v>
      </c>
      <c r="BC260" s="185">
        <f t="shared" si="224"/>
        <v>0.13253012048192772</v>
      </c>
      <c r="BD260" s="185">
        <f t="shared" si="225"/>
        <v>0.20481927710843373</v>
      </c>
      <c r="BE260" s="185">
        <f t="shared" si="226"/>
        <v>0.14457831325301204</v>
      </c>
      <c r="BF260" s="205">
        <f t="shared" si="227"/>
        <v>9.6385542168674704E-2</v>
      </c>
      <c r="BG260" s="194">
        <v>10</v>
      </c>
      <c r="BH260" s="190">
        <v>7</v>
      </c>
      <c r="BI260" s="190">
        <v>4</v>
      </c>
      <c r="BJ260" s="190">
        <v>14</v>
      </c>
      <c r="BK260" s="190">
        <v>8</v>
      </c>
      <c r="BL260" s="195">
        <v>4</v>
      </c>
      <c r="BM260" s="194">
        <v>23</v>
      </c>
      <c r="BN260" s="190">
        <v>12</v>
      </c>
      <c r="BO260" s="190">
        <v>11</v>
      </c>
      <c r="BP260" s="190">
        <v>17</v>
      </c>
      <c r="BQ260" s="190">
        <v>12</v>
      </c>
      <c r="BR260" s="195">
        <v>8</v>
      </c>
    </row>
    <row r="261" spans="1:70" outlineLevel="1" x14ac:dyDescent="0.2">
      <c r="A261" s="20">
        <f t="shared" si="237"/>
        <v>3652</v>
      </c>
      <c r="B261" s="19" t="str">
        <f t="shared" si="237"/>
        <v>UH</v>
      </c>
      <c r="C261" s="18"/>
      <c r="D261" s="15">
        <v>5426</v>
      </c>
      <c r="E261" s="21">
        <v>0.53600000000000003</v>
      </c>
      <c r="F261" s="14">
        <v>24760.400000000001</v>
      </c>
      <c r="G261" s="28">
        <v>11378.949999999324</v>
      </c>
      <c r="H261" s="15">
        <v>835</v>
      </c>
      <c r="I261" s="13">
        <v>60</v>
      </c>
      <c r="J261" s="214">
        <f t="shared" si="228"/>
        <v>835.17472354038625</v>
      </c>
      <c r="K261" s="16">
        <v>3688</v>
      </c>
      <c r="L261" s="30">
        <v>7823</v>
      </c>
      <c r="M261" s="29">
        <v>5667</v>
      </c>
      <c r="N261" s="28">
        <v>3232</v>
      </c>
      <c r="P261" s="77">
        <f t="shared" si="229"/>
        <v>835.17472354038625</v>
      </c>
      <c r="Q261" s="98">
        <f t="shared" si="206"/>
        <v>0.50616649911538558</v>
      </c>
      <c r="R261" s="98">
        <f t="shared" si="230"/>
        <v>0.51385861102460295</v>
      </c>
      <c r="S261" s="199">
        <f t="shared" si="231"/>
        <v>0.70476190476190481</v>
      </c>
      <c r="T261" s="189">
        <f t="shared" si="207"/>
        <v>0.50828729281767959</v>
      </c>
      <c r="U261" s="189">
        <f t="shared" si="208"/>
        <v>0.32876712328767121</v>
      </c>
      <c r="V261" s="189">
        <f t="shared" si="209"/>
        <v>0.64396887159533078</v>
      </c>
      <c r="W261" s="189">
        <f t="shared" si="210"/>
        <v>0.47408829174664108</v>
      </c>
      <c r="X261" s="200">
        <f t="shared" si="211"/>
        <v>0.39215686274509803</v>
      </c>
      <c r="Y261" s="204">
        <f t="shared" si="232"/>
        <v>3.2700093428838367E-2</v>
      </c>
      <c r="Z261" s="185">
        <f t="shared" si="212"/>
        <v>0.28184366241046405</v>
      </c>
      <c r="AA261" s="185">
        <f t="shared" si="213"/>
        <v>2.2734350669573342E-2</v>
      </c>
      <c r="AB261" s="185">
        <f t="shared" si="214"/>
        <v>0.1600747430706945</v>
      </c>
      <c r="AC261" s="185">
        <f t="shared" si="215"/>
        <v>0.48676424789785111</v>
      </c>
      <c r="AD261" s="205">
        <f t="shared" si="216"/>
        <v>1.5882902522578637E-2</v>
      </c>
      <c r="AE261" s="194">
        <v>74</v>
      </c>
      <c r="AF261" s="190">
        <v>460</v>
      </c>
      <c r="AG261" s="190">
        <v>24</v>
      </c>
      <c r="AH261" s="190">
        <v>331</v>
      </c>
      <c r="AI261" s="190">
        <v>741</v>
      </c>
      <c r="AJ261" s="195">
        <v>20</v>
      </c>
      <c r="AK261" s="194">
        <v>105</v>
      </c>
      <c r="AL261" s="190">
        <v>905</v>
      </c>
      <c r="AM261" s="190">
        <v>73</v>
      </c>
      <c r="AN261" s="190">
        <v>514</v>
      </c>
      <c r="AO261" s="190">
        <v>1563</v>
      </c>
      <c r="AP261" s="195">
        <v>51</v>
      </c>
      <c r="AR261" s="77">
        <f t="shared" si="233"/>
        <v>772.67711526839867</v>
      </c>
      <c r="AS261" s="98">
        <f t="shared" si="217"/>
        <v>0.62413337259159829</v>
      </c>
      <c r="AT261" s="98">
        <f t="shared" si="234"/>
        <v>0.65021008403361347</v>
      </c>
      <c r="AU261" s="199">
        <f t="shared" si="235"/>
        <v>0.70059880239520955</v>
      </c>
      <c r="AV261" s="189">
        <f t="shared" si="218"/>
        <v>0.54710144927536231</v>
      </c>
      <c r="AW261" s="189">
        <f t="shared" si="219"/>
        <v>0.35802469135802467</v>
      </c>
      <c r="AX261" s="189">
        <f t="shared" si="220"/>
        <v>0.78079710144927539</v>
      </c>
      <c r="AY261" s="189">
        <f t="shared" si="221"/>
        <v>0.64681724845995892</v>
      </c>
      <c r="AZ261" s="200">
        <f t="shared" si="222"/>
        <v>0.44827586206896552</v>
      </c>
      <c r="BA261" s="204">
        <f t="shared" si="236"/>
        <v>0.17542016806722688</v>
      </c>
      <c r="BB261" s="185">
        <f t="shared" si="223"/>
        <v>0.14495798319327732</v>
      </c>
      <c r="BC261" s="185">
        <f t="shared" si="224"/>
        <v>4.2542016806722691E-2</v>
      </c>
      <c r="BD261" s="185">
        <f t="shared" si="225"/>
        <v>0.28991596638655465</v>
      </c>
      <c r="BE261" s="185">
        <f t="shared" si="226"/>
        <v>0.25577731092436973</v>
      </c>
      <c r="BF261" s="205">
        <f t="shared" si="227"/>
        <v>9.1386554621848734E-2</v>
      </c>
      <c r="BG261" s="194">
        <v>234</v>
      </c>
      <c r="BH261" s="190">
        <v>151</v>
      </c>
      <c r="BI261" s="190">
        <v>29</v>
      </c>
      <c r="BJ261" s="190">
        <v>431</v>
      </c>
      <c r="BK261" s="190">
        <v>315</v>
      </c>
      <c r="BL261" s="195">
        <v>78</v>
      </c>
      <c r="BM261" s="194">
        <v>334</v>
      </c>
      <c r="BN261" s="190">
        <v>276</v>
      </c>
      <c r="BO261" s="190">
        <v>81</v>
      </c>
      <c r="BP261" s="190">
        <v>552</v>
      </c>
      <c r="BQ261" s="190">
        <v>487</v>
      </c>
      <c r="BR261" s="195">
        <v>174</v>
      </c>
    </row>
    <row r="262" spans="1:70" outlineLevel="1" x14ac:dyDescent="0.2">
      <c r="A262" s="20">
        <f t="shared" si="237"/>
        <v>11711</v>
      </c>
      <c r="B262" s="19" t="str">
        <f t="shared" si="237"/>
        <v>UHCL</v>
      </c>
      <c r="C262" s="18"/>
      <c r="D262" s="15">
        <v>1251</v>
      </c>
      <c r="E262" s="17">
        <v>0.51671732522796354</v>
      </c>
      <c r="F262" s="14">
        <v>3079.2666666666669</v>
      </c>
      <c r="G262" s="28">
        <v>2423.7000000000025</v>
      </c>
      <c r="H262" s="15">
        <v>119</v>
      </c>
      <c r="I262" s="13">
        <v>9</v>
      </c>
      <c r="J262" s="214">
        <f>AR262</f>
        <v>148.26630813406132</v>
      </c>
      <c r="K262" s="16">
        <v>839</v>
      </c>
      <c r="L262" s="30">
        <v>1391</v>
      </c>
      <c r="M262" s="29">
        <v>1014</v>
      </c>
      <c r="N262" s="28">
        <v>37</v>
      </c>
      <c r="P262" s="77">
        <f t="shared" si="229"/>
        <v>0</v>
      </c>
      <c r="Q262" s="98">
        <f t="shared" si="206"/>
        <v>0</v>
      </c>
      <c r="R262" s="98">
        <f t="shared" si="230"/>
        <v>0</v>
      </c>
      <c r="S262" s="199">
        <f t="shared" si="231"/>
        <v>0</v>
      </c>
      <c r="T262" s="189">
        <f t="shared" si="207"/>
        <v>0</v>
      </c>
      <c r="U262" s="189">
        <f t="shared" si="208"/>
        <v>0</v>
      </c>
      <c r="V262" s="189">
        <f t="shared" si="209"/>
        <v>0</v>
      </c>
      <c r="W262" s="189">
        <f t="shared" si="210"/>
        <v>0</v>
      </c>
      <c r="X262" s="200">
        <f t="shared" si="211"/>
        <v>0</v>
      </c>
      <c r="Y262" s="204">
        <f t="shared" si="232"/>
        <v>0</v>
      </c>
      <c r="Z262" s="185">
        <f t="shared" si="212"/>
        <v>0</v>
      </c>
      <c r="AA262" s="185">
        <f t="shared" si="213"/>
        <v>0</v>
      </c>
      <c r="AB262" s="185">
        <f t="shared" si="214"/>
        <v>0</v>
      </c>
      <c r="AC262" s="185">
        <f t="shared" si="215"/>
        <v>0</v>
      </c>
      <c r="AD262" s="205">
        <f t="shared" si="216"/>
        <v>0</v>
      </c>
      <c r="AE262" s="194">
        <v>0</v>
      </c>
      <c r="AF262" s="190">
        <v>0</v>
      </c>
      <c r="AG262" s="190">
        <v>0</v>
      </c>
      <c r="AH262" s="190">
        <v>0</v>
      </c>
      <c r="AI262" s="190">
        <v>0</v>
      </c>
      <c r="AJ262" s="195">
        <v>0</v>
      </c>
      <c r="AK262" s="194">
        <v>0</v>
      </c>
      <c r="AL262" s="190">
        <v>0</v>
      </c>
      <c r="AM262" s="190">
        <v>0</v>
      </c>
      <c r="AN262" s="190">
        <v>0</v>
      </c>
      <c r="AO262" s="190">
        <v>0</v>
      </c>
      <c r="AP262" s="195">
        <v>0</v>
      </c>
      <c r="AR262" s="77">
        <f t="shared" si="233"/>
        <v>148.26630813406132</v>
      </c>
      <c r="AS262" s="98">
        <f t="shared" si="217"/>
        <v>0.61267069476884839</v>
      </c>
      <c r="AT262" s="98">
        <f t="shared" si="234"/>
        <v>0.65760869565217395</v>
      </c>
      <c r="AU262" s="199">
        <f t="shared" si="235"/>
        <v>0.74626865671641796</v>
      </c>
      <c r="AV262" s="189">
        <f t="shared" si="218"/>
        <v>0.53333333333333333</v>
      </c>
      <c r="AW262" s="189">
        <f t="shared" si="219"/>
        <v>0.51851851851851849</v>
      </c>
      <c r="AX262" s="189">
        <f t="shared" si="220"/>
        <v>0.7857142857142857</v>
      </c>
      <c r="AY262" s="189">
        <f t="shared" si="221"/>
        <v>0.59139784946236562</v>
      </c>
      <c r="AZ262" s="200">
        <f t="shared" si="222"/>
        <v>0.57894736842105265</v>
      </c>
      <c r="BA262" s="204">
        <f t="shared" si="236"/>
        <v>0.18206521739130435</v>
      </c>
      <c r="BB262" s="185">
        <f t="shared" si="223"/>
        <v>0.12228260869565218</v>
      </c>
      <c r="BC262" s="185">
        <f t="shared" si="224"/>
        <v>7.3369565217391311E-2</v>
      </c>
      <c r="BD262" s="185">
        <f t="shared" si="225"/>
        <v>0.26630434782608697</v>
      </c>
      <c r="BE262" s="185">
        <f t="shared" si="226"/>
        <v>0.25271739130434784</v>
      </c>
      <c r="BF262" s="205">
        <f t="shared" si="227"/>
        <v>0.10326086956521739</v>
      </c>
      <c r="BG262" s="194">
        <v>50</v>
      </c>
      <c r="BH262" s="190">
        <v>24</v>
      </c>
      <c r="BI262" s="190">
        <v>14</v>
      </c>
      <c r="BJ262" s="190">
        <v>77</v>
      </c>
      <c r="BK262" s="190">
        <v>55</v>
      </c>
      <c r="BL262" s="195">
        <v>22</v>
      </c>
      <c r="BM262" s="194">
        <v>67</v>
      </c>
      <c r="BN262" s="190">
        <v>45</v>
      </c>
      <c r="BO262" s="190">
        <v>27</v>
      </c>
      <c r="BP262" s="190">
        <v>98</v>
      </c>
      <c r="BQ262" s="190">
        <v>93</v>
      </c>
      <c r="BR262" s="195">
        <v>38</v>
      </c>
    </row>
    <row r="263" spans="1:70" outlineLevel="1" x14ac:dyDescent="0.2">
      <c r="A263" s="20">
        <f t="shared" si="237"/>
        <v>12826</v>
      </c>
      <c r="B263" s="19" t="str">
        <f t="shared" si="237"/>
        <v>UHD</v>
      </c>
      <c r="C263" s="18"/>
      <c r="D263" s="15">
        <v>2351</v>
      </c>
      <c r="E263" s="21">
        <v>0.17399999999999999</v>
      </c>
      <c r="F263" s="14">
        <v>8043.8</v>
      </c>
      <c r="G263" s="28">
        <v>4292.430000000033</v>
      </c>
      <c r="H263" s="15">
        <v>134</v>
      </c>
      <c r="I263" s="13">
        <v>3</v>
      </c>
      <c r="J263" s="214">
        <f t="shared" si="228"/>
        <v>21.468027270768971</v>
      </c>
      <c r="K263" s="16">
        <v>1694</v>
      </c>
      <c r="L263" s="30">
        <v>3011</v>
      </c>
      <c r="M263" s="29">
        <v>1820</v>
      </c>
      <c r="N263" s="28">
        <v>590</v>
      </c>
      <c r="P263" s="77">
        <f t="shared" si="229"/>
        <v>21.468027270768971</v>
      </c>
      <c r="Q263" s="98">
        <f t="shared" si="206"/>
        <v>0.23591238759086783</v>
      </c>
      <c r="R263" s="98">
        <f t="shared" si="230"/>
        <v>0.19402985074626866</v>
      </c>
      <c r="S263" s="199">
        <f t="shared" si="231"/>
        <v>0.66666666666666663</v>
      </c>
      <c r="T263" s="189">
        <f t="shared" si="207"/>
        <v>0.26229508196721313</v>
      </c>
      <c r="U263" s="189">
        <f t="shared" si="208"/>
        <v>0.17171717171717171</v>
      </c>
      <c r="V263" s="189">
        <f t="shared" si="209"/>
        <v>0.33333333333333331</v>
      </c>
      <c r="W263" s="189">
        <f t="shared" si="210"/>
        <v>0.17791411042944785</v>
      </c>
      <c r="X263" s="200">
        <f t="shared" si="211"/>
        <v>0.11842105263157894</v>
      </c>
      <c r="Y263" s="204">
        <f t="shared" si="232"/>
        <v>6.3965884861407248E-3</v>
      </c>
      <c r="Z263" s="185">
        <f t="shared" si="212"/>
        <v>0.26012793176972282</v>
      </c>
      <c r="AA263" s="185">
        <f t="shared" si="213"/>
        <v>0.21108742004264391</v>
      </c>
      <c r="AB263" s="185">
        <f t="shared" si="214"/>
        <v>1.279317697228145E-2</v>
      </c>
      <c r="AC263" s="185">
        <f t="shared" si="215"/>
        <v>0.34754797441364604</v>
      </c>
      <c r="AD263" s="205">
        <f t="shared" si="216"/>
        <v>0.16204690831556504</v>
      </c>
      <c r="AE263" s="194">
        <v>2</v>
      </c>
      <c r="AF263" s="190">
        <v>32</v>
      </c>
      <c r="AG263" s="190">
        <v>17</v>
      </c>
      <c r="AH263" s="190">
        <v>2</v>
      </c>
      <c r="AI263" s="190">
        <v>29</v>
      </c>
      <c r="AJ263" s="195">
        <v>9</v>
      </c>
      <c r="AK263" s="194">
        <v>3</v>
      </c>
      <c r="AL263" s="190">
        <v>122</v>
      </c>
      <c r="AM263" s="190">
        <v>99</v>
      </c>
      <c r="AN263" s="190">
        <v>6</v>
      </c>
      <c r="AO263" s="190">
        <v>163</v>
      </c>
      <c r="AP263" s="195">
        <v>76</v>
      </c>
      <c r="AR263" s="77">
        <f t="shared" si="233"/>
        <v>147.15473221124137</v>
      </c>
      <c r="AS263" s="98">
        <f t="shared" si="217"/>
        <v>0.5490848216837364</v>
      </c>
      <c r="AT263" s="98">
        <f t="shared" si="234"/>
        <v>0.53069306930693072</v>
      </c>
      <c r="AU263" s="199">
        <f t="shared" si="235"/>
        <v>0.64473684210526316</v>
      </c>
      <c r="AV263" s="189">
        <f t="shared" si="218"/>
        <v>0.48809523809523808</v>
      </c>
      <c r="AW263" s="189">
        <f t="shared" si="219"/>
        <v>0.2878787878787879</v>
      </c>
      <c r="AX263" s="189">
        <f t="shared" si="220"/>
        <v>0.75</v>
      </c>
      <c r="AY263" s="189">
        <f t="shared" si="221"/>
        <v>0.54639175257731953</v>
      </c>
      <c r="AZ263" s="200">
        <f t="shared" si="222"/>
        <v>0.35897435897435898</v>
      </c>
      <c r="BA263" s="204">
        <f t="shared" si="236"/>
        <v>0.15049504950495049</v>
      </c>
      <c r="BB263" s="185">
        <f t="shared" si="223"/>
        <v>0.16633663366336635</v>
      </c>
      <c r="BC263" s="185">
        <f t="shared" si="224"/>
        <v>0.1306930693069307</v>
      </c>
      <c r="BD263" s="185">
        <f t="shared" si="225"/>
        <v>0.20594059405940593</v>
      </c>
      <c r="BE263" s="185">
        <f t="shared" si="226"/>
        <v>0.19207920792079208</v>
      </c>
      <c r="BF263" s="205">
        <f t="shared" si="227"/>
        <v>0.15445544554455445</v>
      </c>
      <c r="BG263" s="194">
        <v>49</v>
      </c>
      <c r="BH263" s="190">
        <v>41</v>
      </c>
      <c r="BI263" s="190">
        <v>19</v>
      </c>
      <c r="BJ263" s="190">
        <v>78</v>
      </c>
      <c r="BK263" s="190">
        <v>53</v>
      </c>
      <c r="BL263" s="195">
        <v>28</v>
      </c>
      <c r="BM263" s="194">
        <v>76</v>
      </c>
      <c r="BN263" s="190">
        <v>84</v>
      </c>
      <c r="BO263" s="190">
        <v>66</v>
      </c>
      <c r="BP263" s="190">
        <v>104</v>
      </c>
      <c r="BQ263" s="190">
        <v>97</v>
      </c>
      <c r="BR263" s="195">
        <v>78</v>
      </c>
    </row>
    <row r="264" spans="1:70" outlineLevel="1" x14ac:dyDescent="0.2">
      <c r="A264" s="20">
        <f t="shared" si="237"/>
        <v>13231</v>
      </c>
      <c r="B264" s="19" t="str">
        <f t="shared" si="237"/>
        <v>UHV</v>
      </c>
      <c r="C264" s="18"/>
      <c r="D264" s="15">
        <v>619</v>
      </c>
      <c r="E264" s="17">
        <v>0.47520661157024796</v>
      </c>
      <c r="F264" s="14">
        <v>1685.8666666666666</v>
      </c>
      <c r="G264" s="28">
        <v>1187.5899999999924</v>
      </c>
      <c r="H264" s="15">
        <v>134</v>
      </c>
      <c r="I264" s="13">
        <v>9</v>
      </c>
      <c r="J264" s="214">
        <f>AR264</f>
        <v>43.752273456502621</v>
      </c>
      <c r="K264" s="16">
        <v>418</v>
      </c>
      <c r="L264" s="30">
        <v>776</v>
      </c>
      <c r="M264" s="29">
        <v>334</v>
      </c>
      <c r="N264" s="28">
        <v>6</v>
      </c>
      <c r="P264" s="77">
        <f t="shared" si="229"/>
        <v>0</v>
      </c>
      <c r="Q264" s="98">
        <f t="shared" si="206"/>
        <v>0</v>
      </c>
      <c r="R264" s="98">
        <f t="shared" si="230"/>
        <v>0</v>
      </c>
      <c r="S264" s="199">
        <f t="shared" si="231"/>
        <v>0</v>
      </c>
      <c r="T264" s="189">
        <f t="shared" si="207"/>
        <v>0</v>
      </c>
      <c r="U264" s="189">
        <f t="shared" si="208"/>
        <v>0</v>
      </c>
      <c r="V264" s="189">
        <f t="shared" si="209"/>
        <v>0</v>
      </c>
      <c r="W264" s="189">
        <f t="shared" si="210"/>
        <v>0</v>
      </c>
      <c r="X264" s="200">
        <f t="shared" si="211"/>
        <v>0</v>
      </c>
      <c r="Y264" s="204">
        <f t="shared" si="232"/>
        <v>0</v>
      </c>
      <c r="Z264" s="185">
        <f t="shared" si="212"/>
        <v>0</v>
      </c>
      <c r="AA264" s="185">
        <f t="shared" si="213"/>
        <v>0</v>
      </c>
      <c r="AB264" s="185">
        <f t="shared" si="214"/>
        <v>0</v>
      </c>
      <c r="AC264" s="185">
        <f t="shared" si="215"/>
        <v>0</v>
      </c>
      <c r="AD264" s="205">
        <f t="shared" si="216"/>
        <v>0</v>
      </c>
      <c r="AE264" s="194">
        <v>0</v>
      </c>
      <c r="AF264" s="190">
        <v>0</v>
      </c>
      <c r="AG264" s="190">
        <v>0</v>
      </c>
      <c r="AH264" s="190">
        <v>0</v>
      </c>
      <c r="AI264" s="190">
        <v>0</v>
      </c>
      <c r="AJ264" s="195">
        <v>0</v>
      </c>
      <c r="AK264" s="194">
        <v>0</v>
      </c>
      <c r="AL264" s="190">
        <v>0</v>
      </c>
      <c r="AM264" s="190">
        <v>0</v>
      </c>
      <c r="AN264" s="190">
        <v>0</v>
      </c>
      <c r="AO264" s="190">
        <v>0</v>
      </c>
      <c r="AP264" s="195">
        <v>0</v>
      </c>
      <c r="AR264" s="77">
        <f t="shared" si="233"/>
        <v>43.752273456502621</v>
      </c>
      <c r="AS264" s="98">
        <f t="shared" si="217"/>
        <v>0.70568182994359063</v>
      </c>
      <c r="AT264" s="98">
        <f t="shared" si="234"/>
        <v>0.63265306122448983</v>
      </c>
      <c r="AU264" s="199">
        <f t="shared" si="235"/>
        <v>0.61111111111111116</v>
      </c>
      <c r="AV264" s="189">
        <f t="shared" si="218"/>
        <v>0.4375</v>
      </c>
      <c r="AW264" s="189">
        <f t="shared" si="219"/>
        <v>0.6</v>
      </c>
      <c r="AX264" s="189">
        <f t="shared" si="220"/>
        <v>0.75</v>
      </c>
      <c r="AY264" s="189">
        <f t="shared" si="221"/>
        <v>0.875</v>
      </c>
      <c r="AZ264" s="200">
        <f t="shared" si="222"/>
        <v>0.18181818181818182</v>
      </c>
      <c r="BA264" s="204">
        <f t="shared" si="236"/>
        <v>0.18367346938775511</v>
      </c>
      <c r="BB264" s="185">
        <f t="shared" si="223"/>
        <v>0.16326530612244897</v>
      </c>
      <c r="BC264" s="185">
        <f t="shared" si="224"/>
        <v>5.1020408163265307E-2</v>
      </c>
      <c r="BD264" s="185">
        <f t="shared" si="225"/>
        <v>0.24489795918367346</v>
      </c>
      <c r="BE264" s="185">
        <f t="shared" si="226"/>
        <v>0.24489795918367346</v>
      </c>
      <c r="BF264" s="205">
        <f t="shared" si="227"/>
        <v>0.11224489795918367</v>
      </c>
      <c r="BG264" s="194">
        <v>11</v>
      </c>
      <c r="BH264" s="190">
        <v>7</v>
      </c>
      <c r="BI264" s="190">
        <v>3</v>
      </c>
      <c r="BJ264" s="190">
        <v>18</v>
      </c>
      <c r="BK264" s="190">
        <v>21</v>
      </c>
      <c r="BL264" s="195">
        <v>2</v>
      </c>
      <c r="BM264" s="194">
        <v>18</v>
      </c>
      <c r="BN264" s="190">
        <v>16</v>
      </c>
      <c r="BO264" s="190">
        <v>5</v>
      </c>
      <c r="BP264" s="190">
        <v>24</v>
      </c>
      <c r="BQ264" s="190">
        <v>24</v>
      </c>
      <c r="BR264" s="195">
        <v>11</v>
      </c>
    </row>
    <row r="265" spans="1:70" outlineLevel="1" x14ac:dyDescent="0.2">
      <c r="A265" s="20">
        <f t="shared" si="237"/>
        <v>3592</v>
      </c>
      <c r="B265" s="19" t="str">
        <f t="shared" si="237"/>
        <v>Midwestern</v>
      </c>
      <c r="C265" s="18"/>
      <c r="D265" s="15">
        <v>1066</v>
      </c>
      <c r="E265" s="21">
        <v>0.46299999999999997</v>
      </c>
      <c r="F265" s="14">
        <v>4147.7333333333336</v>
      </c>
      <c r="G265" s="28">
        <v>2062.1399999999949</v>
      </c>
      <c r="H265" s="15">
        <v>358</v>
      </c>
      <c r="I265" s="13">
        <v>15</v>
      </c>
      <c r="J265" s="214">
        <f t="shared" si="228"/>
        <v>132.73951207605683</v>
      </c>
      <c r="K265" s="16">
        <v>723</v>
      </c>
      <c r="L265" s="30">
        <v>1310</v>
      </c>
      <c r="M265" s="29">
        <v>979</v>
      </c>
      <c r="N265" s="28">
        <v>683</v>
      </c>
      <c r="P265" s="77">
        <f t="shared" si="229"/>
        <v>132.73951207605683</v>
      </c>
      <c r="Q265" s="98">
        <f t="shared" si="206"/>
        <v>0.44996444771544686</v>
      </c>
      <c r="R265" s="98">
        <f t="shared" si="230"/>
        <v>0.45807453416149069</v>
      </c>
      <c r="S265" s="199">
        <f t="shared" si="231"/>
        <v>0.57894736842105265</v>
      </c>
      <c r="T265" s="189">
        <f t="shared" si="207"/>
        <v>0.3401360544217687</v>
      </c>
      <c r="U265" s="189">
        <f t="shared" si="208"/>
        <v>0.38461538461538464</v>
      </c>
      <c r="V265" s="189">
        <f t="shared" si="209"/>
        <v>0.45454545454545453</v>
      </c>
      <c r="W265" s="189">
        <f t="shared" si="210"/>
        <v>0.50886075949367093</v>
      </c>
      <c r="X265" s="200">
        <f t="shared" si="211"/>
        <v>0.35135135135135137</v>
      </c>
      <c r="Y265" s="204">
        <f t="shared" si="232"/>
        <v>2.9503105590062112E-2</v>
      </c>
      <c r="Z265" s="185">
        <f t="shared" si="212"/>
        <v>0.22826086956521738</v>
      </c>
      <c r="AA265" s="185">
        <f t="shared" si="213"/>
        <v>2.0186335403726708E-2</v>
      </c>
      <c r="AB265" s="185">
        <f t="shared" si="214"/>
        <v>5.124223602484472E-2</v>
      </c>
      <c r="AC265" s="185">
        <f t="shared" si="215"/>
        <v>0.61335403726708071</v>
      </c>
      <c r="AD265" s="205">
        <f t="shared" si="216"/>
        <v>5.745341614906832E-2</v>
      </c>
      <c r="AE265" s="194">
        <v>11</v>
      </c>
      <c r="AF265" s="190">
        <v>50</v>
      </c>
      <c r="AG265" s="190">
        <v>5</v>
      </c>
      <c r="AH265" s="190">
        <v>15</v>
      </c>
      <c r="AI265" s="190">
        <v>201</v>
      </c>
      <c r="AJ265" s="195">
        <v>13</v>
      </c>
      <c r="AK265" s="194">
        <v>19</v>
      </c>
      <c r="AL265" s="190">
        <v>147</v>
      </c>
      <c r="AM265" s="190">
        <v>13</v>
      </c>
      <c r="AN265" s="190">
        <v>33</v>
      </c>
      <c r="AO265" s="190">
        <v>395</v>
      </c>
      <c r="AP265" s="195">
        <v>37</v>
      </c>
      <c r="AR265" s="77">
        <f t="shared" si="233"/>
        <v>135.38079712555728</v>
      </c>
      <c r="AS265" s="98">
        <f t="shared" si="217"/>
        <v>0.67690398562778642</v>
      </c>
      <c r="AT265" s="98">
        <f t="shared" si="234"/>
        <v>0.65359477124183007</v>
      </c>
      <c r="AU265" s="199">
        <f t="shared" si="235"/>
        <v>0.6428571428571429</v>
      </c>
      <c r="AV265" s="189">
        <f t="shared" si="218"/>
        <v>0.48717948717948717</v>
      </c>
      <c r="AW265" s="189">
        <f t="shared" si="219"/>
        <v>0.41666666666666669</v>
      </c>
      <c r="AX265" s="189">
        <f t="shared" si="220"/>
        <v>0.83333333333333337</v>
      </c>
      <c r="AY265" s="189">
        <f t="shared" si="221"/>
        <v>0.76923076923076927</v>
      </c>
      <c r="AZ265" s="200">
        <f t="shared" si="222"/>
        <v>0.35897435897435898</v>
      </c>
      <c r="BA265" s="204">
        <f t="shared" si="236"/>
        <v>0.13725490196078433</v>
      </c>
      <c r="BB265" s="185">
        <f t="shared" si="223"/>
        <v>0.12745098039215685</v>
      </c>
      <c r="BC265" s="185">
        <f t="shared" si="224"/>
        <v>7.8431372549019607E-2</v>
      </c>
      <c r="BD265" s="185">
        <f t="shared" si="225"/>
        <v>0.27450980392156865</v>
      </c>
      <c r="BE265" s="185">
        <f t="shared" si="226"/>
        <v>0.25490196078431371</v>
      </c>
      <c r="BF265" s="205">
        <f t="shared" si="227"/>
        <v>0.12745098039215685</v>
      </c>
      <c r="BG265" s="194">
        <v>27</v>
      </c>
      <c r="BH265" s="190">
        <v>19</v>
      </c>
      <c r="BI265" s="190">
        <v>10</v>
      </c>
      <c r="BJ265" s="190">
        <v>70</v>
      </c>
      <c r="BK265" s="190">
        <v>60</v>
      </c>
      <c r="BL265" s="195">
        <v>14</v>
      </c>
      <c r="BM265" s="194">
        <v>42</v>
      </c>
      <c r="BN265" s="190">
        <v>39</v>
      </c>
      <c r="BO265" s="190">
        <v>24</v>
      </c>
      <c r="BP265" s="190">
        <v>84</v>
      </c>
      <c r="BQ265" s="190">
        <v>78</v>
      </c>
      <c r="BR265" s="195">
        <v>39</v>
      </c>
    </row>
    <row r="266" spans="1:70" outlineLevel="1" x14ac:dyDescent="0.2">
      <c r="A266" s="20">
        <f t="shared" si="237"/>
        <v>3594</v>
      </c>
      <c r="B266" s="19" t="str">
        <f t="shared" si="237"/>
        <v>UNT</v>
      </c>
      <c r="C266" s="18"/>
      <c r="D266" s="15">
        <v>5843</v>
      </c>
      <c r="E266" s="21">
        <v>0.56799999999999995</v>
      </c>
      <c r="F266" s="14">
        <v>23213.466666666667</v>
      </c>
      <c r="G266" s="28">
        <v>11338.869999999399</v>
      </c>
      <c r="H266" s="15">
        <v>368</v>
      </c>
      <c r="I266" s="13">
        <v>56</v>
      </c>
      <c r="J266" s="214">
        <f t="shared" si="228"/>
        <v>1110.0034608185852</v>
      </c>
      <c r="K266" s="16">
        <v>3771</v>
      </c>
      <c r="L266" s="30">
        <v>7310</v>
      </c>
      <c r="M266" s="29">
        <v>5432</v>
      </c>
      <c r="N266" s="28">
        <v>3116</v>
      </c>
      <c r="P266" s="77">
        <f t="shared" si="229"/>
        <v>1110.0034608185852</v>
      </c>
      <c r="Q266" s="98">
        <f t="shared" si="206"/>
        <v>0.56060780849423497</v>
      </c>
      <c r="R266" s="98">
        <f t="shared" si="230"/>
        <v>0.5759162303664922</v>
      </c>
      <c r="S266" s="199">
        <f t="shared" si="231"/>
        <v>0.57954545454545459</v>
      </c>
      <c r="T266" s="189">
        <f t="shared" si="207"/>
        <v>0.5</v>
      </c>
      <c r="U266" s="189">
        <f t="shared" si="208"/>
        <v>0.42857142857142855</v>
      </c>
      <c r="V266" s="189">
        <f t="shared" si="209"/>
        <v>0.62456747404844293</v>
      </c>
      <c r="W266" s="189">
        <f t="shared" si="210"/>
        <v>0.58919961427193823</v>
      </c>
      <c r="X266" s="200">
        <f t="shared" si="211"/>
        <v>0.46875</v>
      </c>
      <c r="Y266" s="204">
        <f t="shared" si="232"/>
        <v>2.5596276905177427E-2</v>
      </c>
      <c r="Z266" s="185">
        <f t="shared" si="212"/>
        <v>0.18557300756253636</v>
      </c>
      <c r="AA266" s="185">
        <f t="shared" si="213"/>
        <v>8.1442699243746367E-3</v>
      </c>
      <c r="AB266" s="185">
        <f t="shared" si="214"/>
        <v>0.16812100058173357</v>
      </c>
      <c r="AC266" s="185">
        <f t="shared" si="215"/>
        <v>0.60325770796974987</v>
      </c>
      <c r="AD266" s="205">
        <f t="shared" si="216"/>
        <v>9.3077370564281555E-3</v>
      </c>
      <c r="AE266" s="194">
        <v>51</v>
      </c>
      <c r="AF266" s="190">
        <v>319</v>
      </c>
      <c r="AG266" s="190">
        <v>12</v>
      </c>
      <c r="AH266" s="190">
        <v>361</v>
      </c>
      <c r="AI266" s="190">
        <v>1222</v>
      </c>
      <c r="AJ266" s="195">
        <v>15</v>
      </c>
      <c r="AK266" s="194">
        <v>88</v>
      </c>
      <c r="AL266" s="190">
        <v>638</v>
      </c>
      <c r="AM266" s="190">
        <v>28</v>
      </c>
      <c r="AN266" s="190">
        <v>578</v>
      </c>
      <c r="AO266" s="190">
        <v>2074</v>
      </c>
      <c r="AP266" s="195">
        <v>32</v>
      </c>
      <c r="AR266" s="77">
        <f t="shared" si="233"/>
        <v>1016.0399014450535</v>
      </c>
      <c r="AS266" s="98">
        <f t="shared" si="217"/>
        <v>0.6782642866789409</v>
      </c>
      <c r="AT266" s="98">
        <f t="shared" si="234"/>
        <v>0.68810289389067525</v>
      </c>
      <c r="AU266" s="199">
        <f t="shared" si="235"/>
        <v>0.74409448818897639</v>
      </c>
      <c r="AV266" s="189">
        <f t="shared" si="218"/>
        <v>0.66403162055335974</v>
      </c>
      <c r="AW266" s="189">
        <f t="shared" si="219"/>
        <v>0.49038461538461536</v>
      </c>
      <c r="AX266" s="189">
        <f t="shared" si="220"/>
        <v>0.7807017543859649</v>
      </c>
      <c r="AY266" s="189">
        <f t="shared" si="221"/>
        <v>0.68953068592057765</v>
      </c>
      <c r="AZ266" s="200">
        <f t="shared" si="222"/>
        <v>0.39719626168224298</v>
      </c>
      <c r="BA266" s="204">
        <f t="shared" si="236"/>
        <v>0.11667432246210381</v>
      </c>
      <c r="BB266" s="185">
        <f t="shared" si="223"/>
        <v>0.11621497473587505</v>
      </c>
      <c r="BC266" s="185">
        <f t="shared" si="224"/>
        <v>4.777216352779054E-2</v>
      </c>
      <c r="BD266" s="185">
        <f t="shared" si="225"/>
        <v>0.36655948553054662</v>
      </c>
      <c r="BE266" s="185">
        <f t="shared" si="226"/>
        <v>0.25447864033073037</v>
      </c>
      <c r="BF266" s="205">
        <f t="shared" si="227"/>
        <v>9.8300413412953605E-2</v>
      </c>
      <c r="BG266" s="194">
        <v>189</v>
      </c>
      <c r="BH266" s="190">
        <v>168</v>
      </c>
      <c r="BI266" s="190">
        <v>51</v>
      </c>
      <c r="BJ266" s="190">
        <v>623</v>
      </c>
      <c r="BK266" s="190">
        <v>382</v>
      </c>
      <c r="BL266" s="195">
        <v>85</v>
      </c>
      <c r="BM266" s="194">
        <v>254</v>
      </c>
      <c r="BN266" s="190">
        <v>253</v>
      </c>
      <c r="BO266" s="190">
        <v>104</v>
      </c>
      <c r="BP266" s="190">
        <v>798</v>
      </c>
      <c r="BQ266" s="190">
        <v>554</v>
      </c>
      <c r="BR266" s="195">
        <v>214</v>
      </c>
    </row>
    <row r="267" spans="1:70" outlineLevel="1" x14ac:dyDescent="0.2">
      <c r="A267" s="27">
        <f t="shared" si="237"/>
        <v>113594</v>
      </c>
      <c r="B267" s="19" t="str">
        <f t="shared" si="237"/>
        <v>UNTD</v>
      </c>
      <c r="C267" s="18"/>
      <c r="D267" s="15">
        <v>419</v>
      </c>
      <c r="E267" s="21">
        <f>E266</f>
        <v>0.56799999999999995</v>
      </c>
      <c r="F267" s="14">
        <v>983.4666666666667</v>
      </c>
      <c r="G267" s="28">
        <v>742.11999999999398</v>
      </c>
      <c r="H267" s="15">
        <v>14</v>
      </c>
      <c r="I267" s="13">
        <v>0</v>
      </c>
      <c r="J267" s="214">
        <f t="shared" si="228"/>
        <v>0</v>
      </c>
      <c r="K267" s="16">
        <v>313</v>
      </c>
      <c r="L267" s="30">
        <v>469</v>
      </c>
      <c r="M267" s="29">
        <v>80</v>
      </c>
      <c r="N267" s="28">
        <v>4</v>
      </c>
      <c r="P267" s="77">
        <f t="shared" si="229"/>
        <v>0</v>
      </c>
      <c r="Q267" s="98">
        <f t="shared" si="206"/>
        <v>0</v>
      </c>
      <c r="R267" s="98">
        <f t="shared" si="230"/>
        <v>0</v>
      </c>
      <c r="S267" s="199">
        <f t="shared" si="231"/>
        <v>0</v>
      </c>
      <c r="T267" s="189">
        <f t="shared" si="207"/>
        <v>0</v>
      </c>
      <c r="U267" s="189">
        <f t="shared" si="208"/>
        <v>0</v>
      </c>
      <c r="V267" s="189">
        <f t="shared" si="209"/>
        <v>0</v>
      </c>
      <c r="W267" s="189">
        <f t="shared" si="210"/>
        <v>0</v>
      </c>
      <c r="X267" s="200">
        <f t="shared" si="211"/>
        <v>0</v>
      </c>
      <c r="Y267" s="204">
        <f t="shared" si="232"/>
        <v>0</v>
      </c>
      <c r="Z267" s="185">
        <f t="shared" si="212"/>
        <v>0</v>
      </c>
      <c r="AA267" s="185">
        <f t="shared" si="213"/>
        <v>0</v>
      </c>
      <c r="AB267" s="185">
        <f t="shared" si="214"/>
        <v>0</v>
      </c>
      <c r="AC267" s="185">
        <f t="shared" si="215"/>
        <v>0</v>
      </c>
      <c r="AD267" s="205">
        <f t="shared" si="216"/>
        <v>0</v>
      </c>
      <c r="AE267" s="194">
        <v>0</v>
      </c>
      <c r="AF267" s="190">
        <v>0</v>
      </c>
      <c r="AG267" s="190">
        <v>0</v>
      </c>
      <c r="AH267" s="190">
        <v>0</v>
      </c>
      <c r="AI267" s="190">
        <v>0</v>
      </c>
      <c r="AJ267" s="195">
        <v>0</v>
      </c>
      <c r="AK267" s="194">
        <v>0</v>
      </c>
      <c r="AL267" s="190">
        <v>0</v>
      </c>
      <c r="AM267" s="190">
        <v>0</v>
      </c>
      <c r="AN267" s="190">
        <v>0</v>
      </c>
      <c r="AO267" s="190">
        <v>0</v>
      </c>
      <c r="AP267" s="195">
        <v>0</v>
      </c>
      <c r="AR267" s="77">
        <f t="shared" si="233"/>
        <v>9.2059456606117074</v>
      </c>
      <c r="AS267" s="98">
        <f t="shared" si="217"/>
        <v>0.38358106919215446</v>
      </c>
      <c r="AT267" s="98">
        <f t="shared" si="234"/>
        <v>0.52173913043478259</v>
      </c>
      <c r="AU267" s="199">
        <f t="shared" si="235"/>
        <v>0.77777777777777779</v>
      </c>
      <c r="AV267" s="189">
        <f t="shared" si="218"/>
        <v>0.8</v>
      </c>
      <c r="AW267" s="189">
        <f t="shared" si="219"/>
        <v>0.9</v>
      </c>
      <c r="AX267" s="189">
        <f t="shared" si="220"/>
        <v>0.66666666666666663</v>
      </c>
      <c r="AY267" s="189">
        <f t="shared" si="221"/>
        <v>0</v>
      </c>
      <c r="AZ267" s="200">
        <f t="shared" si="222"/>
        <v>0.125</v>
      </c>
      <c r="BA267" s="204">
        <f t="shared" si="236"/>
        <v>0.19565217391304349</v>
      </c>
      <c r="BB267" s="185">
        <f t="shared" si="223"/>
        <v>0.10869565217391304</v>
      </c>
      <c r="BC267" s="185">
        <f t="shared" si="224"/>
        <v>0.21739130434782608</v>
      </c>
      <c r="BD267" s="185">
        <f t="shared" si="225"/>
        <v>6.5217391304347824E-2</v>
      </c>
      <c r="BE267" s="185">
        <f t="shared" si="226"/>
        <v>6.5217391304347824E-2</v>
      </c>
      <c r="BF267" s="205">
        <f t="shared" si="227"/>
        <v>0.34782608695652173</v>
      </c>
      <c r="BG267" s="194">
        <v>7</v>
      </c>
      <c r="BH267" s="190">
        <v>4</v>
      </c>
      <c r="BI267" s="190">
        <v>9</v>
      </c>
      <c r="BJ267" s="190">
        <v>2</v>
      </c>
      <c r="BK267" s="190">
        <v>0</v>
      </c>
      <c r="BL267" s="195">
        <v>2</v>
      </c>
      <c r="BM267" s="194">
        <v>9</v>
      </c>
      <c r="BN267" s="190">
        <v>5</v>
      </c>
      <c r="BO267" s="190">
        <v>10</v>
      </c>
      <c r="BP267" s="190">
        <v>3</v>
      </c>
      <c r="BQ267" s="190">
        <v>3</v>
      </c>
      <c r="BR267" s="195">
        <v>16</v>
      </c>
    </row>
    <row r="268" spans="1:70" outlineLevel="1" x14ac:dyDescent="0.2">
      <c r="A268" s="20">
        <f t="shared" si="237"/>
        <v>3624</v>
      </c>
      <c r="B268" s="19" t="str">
        <f t="shared" si="237"/>
        <v>SFA</v>
      </c>
      <c r="C268" s="18"/>
      <c r="D268" s="15">
        <v>2011</v>
      </c>
      <c r="E268" s="21">
        <v>0.55299999999999994</v>
      </c>
      <c r="F268" s="14">
        <v>9507.3333333333339</v>
      </c>
      <c r="G268" s="28">
        <v>3932.9399999999569</v>
      </c>
      <c r="H268" s="15">
        <v>273</v>
      </c>
      <c r="I268" s="13">
        <v>42</v>
      </c>
      <c r="J268" s="214">
        <f t="shared" si="228"/>
        <v>702.15031169052736</v>
      </c>
      <c r="K268" s="16">
        <v>1513</v>
      </c>
      <c r="L268" s="30">
        <v>2605</v>
      </c>
      <c r="M268" s="29">
        <v>2125</v>
      </c>
      <c r="N268" s="28">
        <v>1473</v>
      </c>
      <c r="P268" s="77">
        <f t="shared" si="229"/>
        <v>702.15031169052736</v>
      </c>
      <c r="Q268" s="98">
        <f t="shared" si="206"/>
        <v>0.5708539119435182</v>
      </c>
      <c r="R268" s="98">
        <f t="shared" si="230"/>
        <v>0.558836892321672</v>
      </c>
      <c r="S268" s="199">
        <f t="shared" si="231"/>
        <v>0.61111111111111116</v>
      </c>
      <c r="T268" s="189">
        <f t="shared" si="207"/>
        <v>0.4571917808219178</v>
      </c>
      <c r="U268" s="189">
        <f t="shared" si="208"/>
        <v>0.34065934065934067</v>
      </c>
      <c r="V268" s="189">
        <f t="shared" si="209"/>
        <v>0.70542635658914732</v>
      </c>
      <c r="W268" s="189">
        <f t="shared" si="210"/>
        <v>0.60552570990023025</v>
      </c>
      <c r="X268" s="200">
        <f t="shared" si="211"/>
        <v>0.53947368421052633</v>
      </c>
      <c r="Y268" s="204">
        <f t="shared" si="232"/>
        <v>8.1781008632439804E-3</v>
      </c>
      <c r="Z268" s="185">
        <f t="shared" si="212"/>
        <v>0.26533393911858244</v>
      </c>
      <c r="AA268" s="185">
        <f t="shared" si="213"/>
        <v>4.1344843253066789E-2</v>
      </c>
      <c r="AB268" s="185">
        <f t="shared" si="214"/>
        <v>5.8609722853248523E-2</v>
      </c>
      <c r="AC268" s="185">
        <f t="shared" si="215"/>
        <v>0.59200363471149475</v>
      </c>
      <c r="AD268" s="205">
        <f t="shared" si="216"/>
        <v>3.4529759200363469E-2</v>
      </c>
      <c r="AE268" s="194">
        <v>11</v>
      </c>
      <c r="AF268" s="190">
        <v>267</v>
      </c>
      <c r="AG268" s="190">
        <v>31</v>
      </c>
      <c r="AH268" s="190">
        <v>91</v>
      </c>
      <c r="AI268" s="190">
        <v>789</v>
      </c>
      <c r="AJ268" s="195">
        <v>41</v>
      </c>
      <c r="AK268" s="194">
        <v>18</v>
      </c>
      <c r="AL268" s="190">
        <v>584</v>
      </c>
      <c r="AM268" s="190">
        <v>91</v>
      </c>
      <c r="AN268" s="190">
        <v>129</v>
      </c>
      <c r="AO268" s="190">
        <v>1303</v>
      </c>
      <c r="AP268" s="195">
        <v>76</v>
      </c>
      <c r="AR268" s="77">
        <f t="shared" si="233"/>
        <v>455.39795265693169</v>
      </c>
      <c r="AS268" s="98">
        <f t="shared" si="217"/>
        <v>0.7404844758649296</v>
      </c>
      <c r="AT268" s="98">
        <f t="shared" si="234"/>
        <v>0.74908647990255783</v>
      </c>
      <c r="AU268" s="199">
        <f t="shared" si="235"/>
        <v>0.7967479674796748</v>
      </c>
      <c r="AV268" s="189">
        <f t="shared" si="218"/>
        <v>0.6962962962962963</v>
      </c>
      <c r="AW268" s="189">
        <f t="shared" si="219"/>
        <v>0.48717948717948717</v>
      </c>
      <c r="AX268" s="189">
        <f t="shared" si="220"/>
        <v>0.8348214285714286</v>
      </c>
      <c r="AY268" s="189">
        <f t="shared" si="221"/>
        <v>0.77405857740585771</v>
      </c>
      <c r="AZ268" s="200">
        <f t="shared" si="222"/>
        <v>0.52459016393442626</v>
      </c>
      <c r="BA268" s="204">
        <f t="shared" si="236"/>
        <v>0.14981729598051158</v>
      </c>
      <c r="BB268" s="185">
        <f t="shared" si="223"/>
        <v>0.16443361753958588</v>
      </c>
      <c r="BC268" s="185">
        <f t="shared" si="224"/>
        <v>4.7503045066991476E-2</v>
      </c>
      <c r="BD268" s="185">
        <f t="shared" si="225"/>
        <v>0.27283800243605361</v>
      </c>
      <c r="BE268" s="185">
        <f t="shared" si="226"/>
        <v>0.29110840438489649</v>
      </c>
      <c r="BF268" s="205">
        <f t="shared" si="227"/>
        <v>7.4299634591961025E-2</v>
      </c>
      <c r="BG268" s="194">
        <v>98</v>
      </c>
      <c r="BH268" s="190">
        <v>94</v>
      </c>
      <c r="BI268" s="190">
        <v>19</v>
      </c>
      <c r="BJ268" s="190">
        <v>187</v>
      </c>
      <c r="BK268" s="190">
        <v>185</v>
      </c>
      <c r="BL268" s="195">
        <v>32</v>
      </c>
      <c r="BM268" s="194">
        <v>123</v>
      </c>
      <c r="BN268" s="190">
        <v>135</v>
      </c>
      <c r="BO268" s="190">
        <v>39</v>
      </c>
      <c r="BP268" s="190">
        <v>224</v>
      </c>
      <c r="BQ268" s="190">
        <v>239</v>
      </c>
      <c r="BR268" s="195">
        <v>61</v>
      </c>
    </row>
    <row r="269" spans="1:70" outlineLevel="1" x14ac:dyDescent="0.2">
      <c r="A269" s="20">
        <f t="shared" si="237"/>
        <v>3642</v>
      </c>
      <c r="B269" s="19" t="str">
        <f t="shared" si="237"/>
        <v>TSU</v>
      </c>
      <c r="C269" s="18"/>
      <c r="D269" s="15">
        <v>737</v>
      </c>
      <c r="E269" s="21">
        <v>0.14099999999999999</v>
      </c>
      <c r="F269" s="14">
        <v>5767.1333333333332</v>
      </c>
      <c r="G269" s="28">
        <v>1478.8299999999929</v>
      </c>
      <c r="H269" s="15">
        <v>154</v>
      </c>
      <c r="I269" s="13">
        <v>5</v>
      </c>
      <c r="J269" s="214">
        <f t="shared" si="228"/>
        <v>58.076230771994709</v>
      </c>
      <c r="K269" s="16">
        <v>641</v>
      </c>
      <c r="L269" s="30">
        <v>1349</v>
      </c>
      <c r="M269" s="29">
        <v>988</v>
      </c>
      <c r="N269" s="28">
        <v>760</v>
      </c>
      <c r="P269" s="77">
        <f t="shared" si="229"/>
        <v>58.076230771994709</v>
      </c>
      <c r="Q269" s="98">
        <f t="shared" si="206"/>
        <v>0.31735645230598203</v>
      </c>
      <c r="R269" s="98">
        <f t="shared" si="230"/>
        <v>0.193446088794926</v>
      </c>
      <c r="S269" s="199">
        <f t="shared" si="231"/>
        <v>0.66666666666666663</v>
      </c>
      <c r="T269" s="189">
        <f t="shared" si="207"/>
        <v>0.22448979591836735</v>
      </c>
      <c r="U269" s="189">
        <f t="shared" si="208"/>
        <v>0.13383838383838384</v>
      </c>
      <c r="V269" s="189">
        <f t="shared" si="209"/>
        <v>0.5</v>
      </c>
      <c r="W269" s="189">
        <f t="shared" si="210"/>
        <v>0.3087248322147651</v>
      </c>
      <c r="X269" s="200">
        <f t="shared" si="211"/>
        <v>0.14705882352941177</v>
      </c>
      <c r="Y269" s="204">
        <f t="shared" si="232"/>
        <v>3.1712473572938688E-3</v>
      </c>
      <c r="Z269" s="185">
        <f t="shared" si="212"/>
        <v>0.31078224101479918</v>
      </c>
      <c r="AA269" s="185">
        <f t="shared" si="213"/>
        <v>0.41860465116279072</v>
      </c>
      <c r="AB269" s="185">
        <f t="shared" si="214"/>
        <v>2.1141649048625794E-3</v>
      </c>
      <c r="AC269" s="185">
        <f t="shared" si="215"/>
        <v>0.15750528541226216</v>
      </c>
      <c r="AD269" s="205">
        <f t="shared" si="216"/>
        <v>0.10782241014799154</v>
      </c>
      <c r="AE269" s="194">
        <v>2</v>
      </c>
      <c r="AF269" s="190">
        <v>66</v>
      </c>
      <c r="AG269" s="190">
        <v>53</v>
      </c>
      <c r="AH269" s="190">
        <v>1</v>
      </c>
      <c r="AI269" s="190">
        <v>46</v>
      </c>
      <c r="AJ269" s="195">
        <v>15</v>
      </c>
      <c r="AK269" s="194">
        <v>3</v>
      </c>
      <c r="AL269" s="190">
        <v>294</v>
      </c>
      <c r="AM269" s="190">
        <v>396</v>
      </c>
      <c r="AN269" s="190">
        <v>2</v>
      </c>
      <c r="AO269" s="190">
        <v>149</v>
      </c>
      <c r="AP269" s="195">
        <v>102</v>
      </c>
      <c r="AR269" s="77">
        <f t="shared" si="233"/>
        <v>58.216926649252535</v>
      </c>
      <c r="AS269" s="98">
        <f t="shared" si="217"/>
        <v>0.45481973944728543</v>
      </c>
      <c r="AT269" s="98">
        <f t="shared" si="234"/>
        <v>0.45878136200716846</v>
      </c>
      <c r="AU269" s="199">
        <f t="shared" si="235"/>
        <v>0.68181818181818177</v>
      </c>
      <c r="AV269" s="189">
        <f t="shared" si="218"/>
        <v>0.56164383561643838</v>
      </c>
      <c r="AW269" s="189">
        <f t="shared" si="219"/>
        <v>0.3188405797101449</v>
      </c>
      <c r="AX269" s="189">
        <f t="shared" si="220"/>
        <v>0.59259259259259256</v>
      </c>
      <c r="AY269" s="189">
        <f t="shared" si="221"/>
        <v>0.3783783783783784</v>
      </c>
      <c r="AZ269" s="200">
        <f t="shared" si="222"/>
        <v>0.17241379310344829</v>
      </c>
      <c r="BA269" s="204">
        <f t="shared" si="236"/>
        <v>0.15770609318996415</v>
      </c>
      <c r="BB269" s="185">
        <f t="shared" si="223"/>
        <v>0.26164874551971329</v>
      </c>
      <c r="BC269" s="185">
        <f t="shared" si="224"/>
        <v>0.24731182795698925</v>
      </c>
      <c r="BD269" s="185">
        <f t="shared" si="225"/>
        <v>9.6774193548387094E-2</v>
      </c>
      <c r="BE269" s="185">
        <f t="shared" si="226"/>
        <v>0.13261648745519714</v>
      </c>
      <c r="BF269" s="205">
        <f t="shared" si="227"/>
        <v>0.1039426523297491</v>
      </c>
      <c r="BG269" s="194">
        <v>30</v>
      </c>
      <c r="BH269" s="190">
        <v>41</v>
      </c>
      <c r="BI269" s="190">
        <v>22</v>
      </c>
      <c r="BJ269" s="190">
        <v>16</v>
      </c>
      <c r="BK269" s="190">
        <v>14</v>
      </c>
      <c r="BL269" s="195">
        <v>5</v>
      </c>
      <c r="BM269" s="194">
        <v>44</v>
      </c>
      <c r="BN269" s="190">
        <v>73</v>
      </c>
      <c r="BO269" s="190">
        <v>69</v>
      </c>
      <c r="BP269" s="190">
        <v>27</v>
      </c>
      <c r="BQ269" s="190">
        <v>37</v>
      </c>
      <c r="BR269" s="195">
        <v>29</v>
      </c>
    </row>
    <row r="270" spans="1:70" outlineLevel="1" x14ac:dyDescent="0.2">
      <c r="A270" s="20">
        <f t="shared" si="237"/>
        <v>3644</v>
      </c>
      <c r="B270" s="19" t="str">
        <f t="shared" si="237"/>
        <v>TTU</v>
      </c>
      <c r="C270" s="18"/>
      <c r="D270" s="15">
        <v>4941</v>
      </c>
      <c r="E270" s="21">
        <v>0.73599999999999999</v>
      </c>
      <c r="F270" s="14">
        <v>22627.599999999999</v>
      </c>
      <c r="G270" s="28">
        <v>10741.019999999262</v>
      </c>
      <c r="H270" s="15">
        <v>839</v>
      </c>
      <c r="I270" s="13">
        <v>67</v>
      </c>
      <c r="J270" s="214">
        <f t="shared" si="228"/>
        <v>1947.7687755317534</v>
      </c>
      <c r="K270" s="16">
        <v>3071</v>
      </c>
      <c r="L270" s="30">
        <v>6449</v>
      </c>
      <c r="M270" s="29">
        <v>5332</v>
      </c>
      <c r="N270" s="28">
        <v>4048</v>
      </c>
      <c r="P270" s="77">
        <f t="shared" si="229"/>
        <v>1947.7687755317534</v>
      </c>
      <c r="Q270" s="98">
        <f t="shared" si="206"/>
        <v>0.68874426291787605</v>
      </c>
      <c r="R270" s="98">
        <f t="shared" si="230"/>
        <v>0.73780328724236888</v>
      </c>
      <c r="S270" s="199">
        <f t="shared" si="231"/>
        <v>0.73333333333333328</v>
      </c>
      <c r="T270" s="189">
        <f t="shared" si="207"/>
        <v>0.61995753715498936</v>
      </c>
      <c r="U270" s="189">
        <f t="shared" si="208"/>
        <v>0.2857142857142857</v>
      </c>
      <c r="V270" s="189">
        <f t="shared" si="209"/>
        <v>0.77931034482758621</v>
      </c>
      <c r="W270" s="189">
        <f t="shared" si="210"/>
        <v>0.75237717908082413</v>
      </c>
      <c r="X270" s="200">
        <f t="shared" si="211"/>
        <v>0.54166666666666663</v>
      </c>
      <c r="Y270" s="204">
        <f t="shared" si="232"/>
        <v>1.9566918862509785E-2</v>
      </c>
      <c r="Z270" s="185">
        <f t="shared" si="212"/>
        <v>0.12288025045656144</v>
      </c>
      <c r="AA270" s="185">
        <f t="shared" si="213"/>
        <v>3.6524915210018262E-3</v>
      </c>
      <c r="AB270" s="185">
        <f t="shared" si="214"/>
        <v>0.18914688233759458</v>
      </c>
      <c r="AC270" s="185">
        <f t="shared" si="215"/>
        <v>0.65849204278632922</v>
      </c>
      <c r="AD270" s="205">
        <f t="shared" si="216"/>
        <v>6.2614140360031309E-3</v>
      </c>
      <c r="AE270" s="194">
        <v>55</v>
      </c>
      <c r="AF270" s="190">
        <v>292</v>
      </c>
      <c r="AG270" s="190">
        <v>4</v>
      </c>
      <c r="AH270" s="190">
        <v>565</v>
      </c>
      <c r="AI270" s="190">
        <v>1899</v>
      </c>
      <c r="AJ270" s="195">
        <v>13</v>
      </c>
      <c r="AK270" s="194">
        <v>75</v>
      </c>
      <c r="AL270" s="190">
        <v>471</v>
      </c>
      <c r="AM270" s="190">
        <v>14</v>
      </c>
      <c r="AN270" s="190">
        <v>725</v>
      </c>
      <c r="AO270" s="190">
        <v>2524</v>
      </c>
      <c r="AP270" s="195">
        <v>24</v>
      </c>
      <c r="AR270" s="77">
        <f t="shared" si="233"/>
        <v>961.3622998767836</v>
      </c>
      <c r="AS270" s="98">
        <f t="shared" si="217"/>
        <v>0.70377913607378006</v>
      </c>
      <c r="AT270" s="98">
        <f t="shared" si="234"/>
        <v>0.74972557628979142</v>
      </c>
      <c r="AU270" s="199">
        <f t="shared" si="235"/>
        <v>0.74731182795698925</v>
      </c>
      <c r="AV270" s="189">
        <f t="shared" si="218"/>
        <v>0.61006289308176098</v>
      </c>
      <c r="AW270" s="189">
        <f t="shared" si="219"/>
        <v>0.49230769230769234</v>
      </c>
      <c r="AX270" s="189">
        <f t="shared" si="220"/>
        <v>0.8524173027989822</v>
      </c>
      <c r="AY270" s="189">
        <f t="shared" si="221"/>
        <v>0.73611111111111116</v>
      </c>
      <c r="AZ270" s="200">
        <f t="shared" si="222"/>
        <v>0.46721311475409838</v>
      </c>
      <c r="BA270" s="204">
        <f t="shared" si="236"/>
        <v>0.10208562019758508</v>
      </c>
      <c r="BB270" s="185">
        <f t="shared" si="223"/>
        <v>8.7266739846322716E-2</v>
      </c>
      <c r="BC270" s="185">
        <f t="shared" si="224"/>
        <v>3.5675082327113063E-2</v>
      </c>
      <c r="BD270" s="185">
        <f t="shared" si="225"/>
        <v>0.43139407244785949</v>
      </c>
      <c r="BE270" s="185">
        <f t="shared" si="226"/>
        <v>0.27661909989023054</v>
      </c>
      <c r="BF270" s="205">
        <f t="shared" si="227"/>
        <v>6.6959385290889128E-2</v>
      </c>
      <c r="BG270" s="194">
        <v>139</v>
      </c>
      <c r="BH270" s="190">
        <v>97</v>
      </c>
      <c r="BI270" s="190">
        <v>32</v>
      </c>
      <c r="BJ270" s="190">
        <v>670</v>
      </c>
      <c r="BK270" s="190">
        <v>371</v>
      </c>
      <c r="BL270" s="195">
        <v>57</v>
      </c>
      <c r="BM270" s="194">
        <v>186</v>
      </c>
      <c r="BN270" s="190">
        <v>159</v>
      </c>
      <c r="BO270" s="190">
        <v>65</v>
      </c>
      <c r="BP270" s="190">
        <v>786</v>
      </c>
      <c r="BQ270" s="190">
        <v>504</v>
      </c>
      <c r="BR270" s="195">
        <v>122</v>
      </c>
    </row>
    <row r="271" spans="1:70" outlineLevel="1" x14ac:dyDescent="0.2">
      <c r="A271" s="20">
        <f t="shared" si="237"/>
        <v>3541</v>
      </c>
      <c r="B271" s="19" t="str">
        <f t="shared" si="237"/>
        <v>Angelo</v>
      </c>
      <c r="C271" s="18"/>
      <c r="D271" s="15">
        <v>1073</v>
      </c>
      <c r="E271" s="21">
        <v>0.40799999999999997</v>
      </c>
      <c r="F271" s="14">
        <v>4921.333333333333</v>
      </c>
      <c r="G271" s="28">
        <v>2141.5100000000025</v>
      </c>
      <c r="H271" s="15">
        <v>304</v>
      </c>
      <c r="I271" s="13">
        <v>19</v>
      </c>
      <c r="J271" s="214">
        <f t="shared" si="228"/>
        <v>266.39361765790261</v>
      </c>
      <c r="K271" s="16">
        <v>773</v>
      </c>
      <c r="L271" s="30">
        <v>1398</v>
      </c>
      <c r="M271" s="29">
        <v>1022</v>
      </c>
      <c r="N271" s="28">
        <v>707</v>
      </c>
      <c r="P271" s="77">
        <f t="shared" si="229"/>
        <v>266.39361765790261</v>
      </c>
      <c r="Q271" s="98">
        <f t="shared" si="206"/>
        <v>0.4649103275007026</v>
      </c>
      <c r="R271" s="98">
        <f t="shared" si="230"/>
        <v>0.4087018544935806</v>
      </c>
      <c r="S271" s="199">
        <f t="shared" si="231"/>
        <v>0.7</v>
      </c>
      <c r="T271" s="189">
        <f t="shared" si="207"/>
        <v>0.33597883597883599</v>
      </c>
      <c r="U271" s="189">
        <f t="shared" si="208"/>
        <v>0.20792079207920791</v>
      </c>
      <c r="V271" s="189">
        <f t="shared" si="209"/>
        <v>0.71621621621621623</v>
      </c>
      <c r="W271" s="189">
        <f t="shared" si="210"/>
        <v>0.46778711484593838</v>
      </c>
      <c r="X271" s="200">
        <f t="shared" si="211"/>
        <v>0.248</v>
      </c>
      <c r="Y271" s="204">
        <f t="shared" si="232"/>
        <v>7.1326676176890159E-3</v>
      </c>
      <c r="Z271" s="185">
        <f t="shared" si="212"/>
        <v>0.26961483594864477</v>
      </c>
      <c r="AA271" s="185">
        <f t="shared" si="213"/>
        <v>7.2039942938659063E-2</v>
      </c>
      <c r="AB271" s="185">
        <f t="shared" si="214"/>
        <v>5.2781740370898715E-2</v>
      </c>
      <c r="AC271" s="185">
        <f t="shared" si="215"/>
        <v>0.50927246790299574</v>
      </c>
      <c r="AD271" s="205">
        <f t="shared" si="216"/>
        <v>8.9158345221112698E-2</v>
      </c>
      <c r="AE271" s="194">
        <v>7</v>
      </c>
      <c r="AF271" s="190">
        <v>127</v>
      </c>
      <c r="AG271" s="190">
        <v>21</v>
      </c>
      <c r="AH271" s="190">
        <v>53</v>
      </c>
      <c r="AI271" s="190">
        <v>334</v>
      </c>
      <c r="AJ271" s="195">
        <v>31</v>
      </c>
      <c r="AK271" s="194">
        <v>10</v>
      </c>
      <c r="AL271" s="190">
        <v>378</v>
      </c>
      <c r="AM271" s="190">
        <v>101</v>
      </c>
      <c r="AN271" s="190">
        <v>74</v>
      </c>
      <c r="AO271" s="190">
        <v>714</v>
      </c>
      <c r="AP271" s="195">
        <v>125</v>
      </c>
      <c r="AR271" s="77">
        <f t="shared" si="233"/>
        <v>113.6992140653058</v>
      </c>
      <c r="AS271" s="98">
        <f t="shared" si="217"/>
        <v>0.62472095640277914</v>
      </c>
      <c r="AT271" s="98">
        <f t="shared" si="234"/>
        <v>0.65467625899280579</v>
      </c>
      <c r="AU271" s="199">
        <f t="shared" si="235"/>
        <v>0.85106382978723405</v>
      </c>
      <c r="AV271" s="189">
        <f t="shared" si="218"/>
        <v>0.5</v>
      </c>
      <c r="AW271" s="189">
        <f t="shared" si="219"/>
        <v>0.2857142857142857</v>
      </c>
      <c r="AX271" s="189">
        <f t="shared" si="220"/>
        <v>0.82608695652173914</v>
      </c>
      <c r="AY271" s="189">
        <f t="shared" si="221"/>
        <v>0.65714285714285714</v>
      </c>
      <c r="AZ271" s="200">
        <f t="shared" si="222"/>
        <v>0.40740740740740738</v>
      </c>
      <c r="BA271" s="204">
        <f t="shared" si="236"/>
        <v>0.16906474820143885</v>
      </c>
      <c r="BB271" s="185">
        <f t="shared" si="223"/>
        <v>0.15827338129496402</v>
      </c>
      <c r="BC271" s="185">
        <f t="shared" si="224"/>
        <v>7.5539568345323743E-2</v>
      </c>
      <c r="BD271" s="185">
        <f t="shared" si="225"/>
        <v>0.24820143884892087</v>
      </c>
      <c r="BE271" s="185">
        <f t="shared" si="226"/>
        <v>0.25179856115107913</v>
      </c>
      <c r="BF271" s="205">
        <f t="shared" si="227"/>
        <v>9.7122302158273388E-2</v>
      </c>
      <c r="BG271" s="194">
        <v>40</v>
      </c>
      <c r="BH271" s="190">
        <v>22</v>
      </c>
      <c r="BI271" s="190">
        <v>6</v>
      </c>
      <c r="BJ271" s="190">
        <v>57</v>
      </c>
      <c r="BK271" s="190">
        <v>46</v>
      </c>
      <c r="BL271" s="195">
        <v>11</v>
      </c>
      <c r="BM271" s="194">
        <v>47</v>
      </c>
      <c r="BN271" s="190">
        <v>44</v>
      </c>
      <c r="BO271" s="190">
        <v>21</v>
      </c>
      <c r="BP271" s="190">
        <v>69</v>
      </c>
      <c r="BQ271" s="190">
        <v>70</v>
      </c>
      <c r="BR271" s="195">
        <v>27</v>
      </c>
    </row>
    <row r="272" spans="1:70" outlineLevel="1" x14ac:dyDescent="0.2">
      <c r="A272" s="20">
        <f t="shared" ref="A272:B277" si="238">A230</f>
        <v>3646</v>
      </c>
      <c r="B272" s="19" t="str">
        <f t="shared" si="238"/>
        <v>TWU</v>
      </c>
      <c r="C272" s="18"/>
      <c r="D272" s="15">
        <v>1919</v>
      </c>
      <c r="E272" s="21">
        <v>0.54200000000000004</v>
      </c>
      <c r="F272" s="14">
        <v>6999.5333333333338</v>
      </c>
      <c r="G272" s="28">
        <v>3704.3199999999606</v>
      </c>
      <c r="H272" s="15">
        <v>571</v>
      </c>
      <c r="I272" s="13">
        <v>30</v>
      </c>
      <c r="J272" s="214">
        <f t="shared" si="228"/>
        <v>230.83813545976651</v>
      </c>
      <c r="K272" s="16">
        <v>1326</v>
      </c>
      <c r="L272" s="30">
        <v>2425</v>
      </c>
      <c r="M272" s="29">
        <v>1247</v>
      </c>
      <c r="N272" s="28">
        <v>703</v>
      </c>
      <c r="P272" s="77">
        <f t="shared" si="229"/>
        <v>230.83813545976651</v>
      </c>
      <c r="Q272" s="98">
        <f t="shared" si="206"/>
        <v>0.59037886306845655</v>
      </c>
      <c r="R272" s="98">
        <f t="shared" si="230"/>
        <v>0.55304101838755304</v>
      </c>
      <c r="S272" s="199">
        <f t="shared" si="231"/>
        <v>0.5</v>
      </c>
      <c r="T272" s="189">
        <f t="shared" si="207"/>
        <v>0.44</v>
      </c>
      <c r="U272" s="189">
        <f t="shared" si="208"/>
        <v>0.41666666666666669</v>
      </c>
      <c r="V272" s="189">
        <f t="shared" si="209"/>
        <v>0.7931034482758621</v>
      </c>
      <c r="W272" s="189">
        <f t="shared" si="210"/>
        <v>0.62269129287598945</v>
      </c>
      <c r="X272" s="200">
        <f t="shared" si="211"/>
        <v>0.46875</v>
      </c>
      <c r="Y272" s="204">
        <f t="shared" si="232"/>
        <v>8.4865629420084864E-3</v>
      </c>
      <c r="Z272" s="185">
        <f t="shared" si="212"/>
        <v>0.31824611032531824</v>
      </c>
      <c r="AA272" s="185">
        <f t="shared" si="213"/>
        <v>5.0919377652050922E-2</v>
      </c>
      <c r="AB272" s="185">
        <f t="shared" si="214"/>
        <v>4.1018387553041019E-2</v>
      </c>
      <c r="AC272" s="185">
        <f t="shared" si="215"/>
        <v>0.53606789250353604</v>
      </c>
      <c r="AD272" s="205">
        <f t="shared" si="216"/>
        <v>4.5261669024045263E-2</v>
      </c>
      <c r="AE272" s="194">
        <v>3</v>
      </c>
      <c r="AF272" s="190">
        <v>99</v>
      </c>
      <c r="AG272" s="190">
        <v>15</v>
      </c>
      <c r="AH272" s="190">
        <v>23</v>
      </c>
      <c r="AI272" s="190">
        <v>236</v>
      </c>
      <c r="AJ272" s="195">
        <v>15</v>
      </c>
      <c r="AK272" s="194">
        <v>6</v>
      </c>
      <c r="AL272" s="190">
        <v>225</v>
      </c>
      <c r="AM272" s="190">
        <v>36</v>
      </c>
      <c r="AN272" s="190">
        <v>29</v>
      </c>
      <c r="AO272" s="190">
        <v>379</v>
      </c>
      <c r="AP272" s="195">
        <v>32</v>
      </c>
      <c r="AR272" s="77">
        <f t="shared" si="233"/>
        <v>239.73195632991192</v>
      </c>
      <c r="AS272" s="98">
        <f t="shared" si="217"/>
        <v>0.67912735504224342</v>
      </c>
      <c r="AT272" s="98">
        <f t="shared" si="234"/>
        <v>0.74159663865546221</v>
      </c>
      <c r="AU272" s="199">
        <f t="shared" si="235"/>
        <v>0.79207920792079212</v>
      </c>
      <c r="AV272" s="189">
        <f t="shared" si="218"/>
        <v>0.5074626865671642</v>
      </c>
      <c r="AW272" s="189">
        <f t="shared" si="219"/>
        <v>0.5357142857142857</v>
      </c>
      <c r="AX272" s="189">
        <f t="shared" si="220"/>
        <v>0.90740740740740744</v>
      </c>
      <c r="AY272" s="189">
        <f t="shared" si="221"/>
        <v>0.69512195121951215</v>
      </c>
      <c r="AZ272" s="200">
        <f t="shared" si="222"/>
        <v>0.55555555555555558</v>
      </c>
      <c r="BA272" s="204">
        <f t="shared" si="236"/>
        <v>0.21218487394957983</v>
      </c>
      <c r="BB272" s="185">
        <f t="shared" si="223"/>
        <v>0.1407563025210084</v>
      </c>
      <c r="BC272" s="185">
        <f t="shared" si="224"/>
        <v>5.8823529411764705E-2</v>
      </c>
      <c r="BD272" s="185">
        <f t="shared" si="225"/>
        <v>0.34033613445378152</v>
      </c>
      <c r="BE272" s="185">
        <f t="shared" si="226"/>
        <v>0.17226890756302521</v>
      </c>
      <c r="BF272" s="205">
        <f t="shared" si="227"/>
        <v>7.5630252100840331E-2</v>
      </c>
      <c r="BG272" s="194">
        <v>80</v>
      </c>
      <c r="BH272" s="190">
        <v>34</v>
      </c>
      <c r="BI272" s="190">
        <v>15</v>
      </c>
      <c r="BJ272" s="190">
        <v>147</v>
      </c>
      <c r="BK272" s="190">
        <v>57</v>
      </c>
      <c r="BL272" s="195">
        <v>20</v>
      </c>
      <c r="BM272" s="194">
        <v>101</v>
      </c>
      <c r="BN272" s="190">
        <v>67</v>
      </c>
      <c r="BO272" s="190">
        <v>28</v>
      </c>
      <c r="BP272" s="190">
        <v>162</v>
      </c>
      <c r="BQ272" s="190">
        <v>82</v>
      </c>
      <c r="BR272" s="195">
        <v>36</v>
      </c>
    </row>
    <row r="273" spans="1:70" outlineLevel="1" x14ac:dyDescent="0.2">
      <c r="A273" s="20">
        <f t="shared" si="238"/>
        <v>3581</v>
      </c>
      <c r="B273" s="19" t="str">
        <f t="shared" si="238"/>
        <v>Lamar</v>
      </c>
      <c r="C273" s="18"/>
      <c r="D273" s="15">
        <v>1380</v>
      </c>
      <c r="E273" s="21">
        <v>0.35899999999999999</v>
      </c>
      <c r="F273" s="14">
        <v>7404.4666666666662</v>
      </c>
      <c r="G273" s="28">
        <v>2721.5300000000057</v>
      </c>
      <c r="H273" s="15">
        <v>318</v>
      </c>
      <c r="I273" s="13">
        <v>18</v>
      </c>
      <c r="J273" s="214">
        <f t="shared" si="228"/>
        <v>204.72580576113091</v>
      </c>
      <c r="K273" s="16">
        <v>995</v>
      </c>
      <c r="L273" s="30">
        <v>2074</v>
      </c>
      <c r="M273" s="29">
        <v>1486</v>
      </c>
      <c r="N273" s="28">
        <v>1002</v>
      </c>
      <c r="P273" s="77">
        <f t="shared" si="229"/>
        <v>204.72580576113091</v>
      </c>
      <c r="Q273" s="98">
        <f t="shared" si="206"/>
        <v>0.43100169633922297</v>
      </c>
      <c r="R273" s="98">
        <f t="shared" si="230"/>
        <v>0.36370597243491576</v>
      </c>
      <c r="S273" s="199">
        <f t="shared" si="231"/>
        <v>0.72222222222222221</v>
      </c>
      <c r="T273" s="189">
        <f t="shared" si="207"/>
        <v>0.30476190476190479</v>
      </c>
      <c r="U273" s="189">
        <f t="shared" si="208"/>
        <v>0.2247191011235955</v>
      </c>
      <c r="V273" s="189">
        <f t="shared" si="209"/>
        <v>0.67692307692307696</v>
      </c>
      <c r="W273" s="189">
        <f t="shared" si="210"/>
        <v>0.4240400667779633</v>
      </c>
      <c r="X273" s="200">
        <f t="shared" si="211"/>
        <v>0.21374045801526717</v>
      </c>
      <c r="Y273" s="204">
        <f t="shared" si="232"/>
        <v>1.3782542113323124E-2</v>
      </c>
      <c r="Z273" s="185">
        <f t="shared" si="212"/>
        <v>0.24119448698315468</v>
      </c>
      <c r="AA273" s="185">
        <f t="shared" si="213"/>
        <v>0.13629402756508421</v>
      </c>
      <c r="AB273" s="185">
        <f t="shared" si="214"/>
        <v>4.9770290964777947E-2</v>
      </c>
      <c r="AC273" s="185">
        <f t="shared" si="215"/>
        <v>0.45865237366003064</v>
      </c>
      <c r="AD273" s="205">
        <f t="shared" si="216"/>
        <v>0.1003062787136294</v>
      </c>
      <c r="AE273" s="194">
        <v>13</v>
      </c>
      <c r="AF273" s="190">
        <v>96</v>
      </c>
      <c r="AG273" s="190">
        <v>40</v>
      </c>
      <c r="AH273" s="190">
        <v>44</v>
      </c>
      <c r="AI273" s="190">
        <v>254</v>
      </c>
      <c r="AJ273" s="195">
        <v>28</v>
      </c>
      <c r="AK273" s="194">
        <v>18</v>
      </c>
      <c r="AL273" s="190">
        <v>315</v>
      </c>
      <c r="AM273" s="190">
        <v>178</v>
      </c>
      <c r="AN273" s="190">
        <v>65</v>
      </c>
      <c r="AO273" s="190">
        <v>599</v>
      </c>
      <c r="AP273" s="195">
        <v>131</v>
      </c>
      <c r="AR273" s="77">
        <f t="shared" si="233"/>
        <v>161.67548800868155</v>
      </c>
      <c r="AS273" s="98">
        <f t="shared" si="217"/>
        <v>0.58366602169199122</v>
      </c>
      <c r="AT273" s="98">
        <f t="shared" si="234"/>
        <v>0.61968680089485462</v>
      </c>
      <c r="AU273" s="199">
        <f t="shared" si="235"/>
        <v>0.80882352941176472</v>
      </c>
      <c r="AV273" s="189">
        <f t="shared" si="218"/>
        <v>0.56944444444444442</v>
      </c>
      <c r="AW273" s="189">
        <f t="shared" si="219"/>
        <v>0.56666666666666665</v>
      </c>
      <c r="AX273" s="189">
        <f t="shared" si="220"/>
        <v>0.74311926605504586</v>
      </c>
      <c r="AY273" s="189">
        <f t="shared" si="221"/>
        <v>0.5304347826086957</v>
      </c>
      <c r="AZ273" s="200">
        <f t="shared" si="222"/>
        <v>0.41509433962264153</v>
      </c>
      <c r="BA273" s="204">
        <f t="shared" si="236"/>
        <v>0.15212527964205816</v>
      </c>
      <c r="BB273" s="185">
        <f t="shared" si="223"/>
        <v>0.16107382550335569</v>
      </c>
      <c r="BC273" s="185">
        <f t="shared" si="224"/>
        <v>6.7114093959731544E-2</v>
      </c>
      <c r="BD273" s="185">
        <f t="shared" si="225"/>
        <v>0.24384787472035793</v>
      </c>
      <c r="BE273" s="185">
        <f t="shared" si="226"/>
        <v>0.25727069351230425</v>
      </c>
      <c r="BF273" s="205">
        <f t="shared" si="227"/>
        <v>0.11856823266219239</v>
      </c>
      <c r="BG273" s="194">
        <v>55</v>
      </c>
      <c r="BH273" s="190">
        <v>41</v>
      </c>
      <c r="BI273" s="190">
        <v>17</v>
      </c>
      <c r="BJ273" s="190">
        <v>81</v>
      </c>
      <c r="BK273" s="190">
        <v>61</v>
      </c>
      <c r="BL273" s="195">
        <v>22</v>
      </c>
      <c r="BM273" s="194">
        <v>68</v>
      </c>
      <c r="BN273" s="190">
        <v>72</v>
      </c>
      <c r="BO273" s="190">
        <v>30</v>
      </c>
      <c r="BP273" s="190">
        <v>109</v>
      </c>
      <c r="BQ273" s="190">
        <v>115</v>
      </c>
      <c r="BR273" s="195">
        <v>53</v>
      </c>
    </row>
    <row r="274" spans="1:70" outlineLevel="1" x14ac:dyDescent="0.2">
      <c r="A274" s="20">
        <f t="shared" si="238"/>
        <v>3606</v>
      </c>
      <c r="B274" s="19" t="str">
        <f t="shared" si="238"/>
        <v>SHSU</v>
      </c>
      <c r="C274" s="18"/>
      <c r="D274" s="15">
        <v>2978</v>
      </c>
      <c r="E274" s="21">
        <v>0.57799999999999996</v>
      </c>
      <c r="F274" s="14">
        <v>12574.466666666667</v>
      </c>
      <c r="G274" s="28">
        <v>5694.020000000286</v>
      </c>
      <c r="H274" s="15">
        <v>172</v>
      </c>
      <c r="I274" s="13">
        <v>51</v>
      </c>
      <c r="J274" s="214">
        <f t="shared" si="228"/>
        <v>729.78976436575238</v>
      </c>
      <c r="K274" s="16">
        <v>2163</v>
      </c>
      <c r="L274" s="30">
        <v>3894</v>
      </c>
      <c r="M274" s="29">
        <v>2915</v>
      </c>
      <c r="N274" s="28">
        <v>1704</v>
      </c>
      <c r="P274" s="77">
        <f t="shared" si="229"/>
        <v>729.78976436575238</v>
      </c>
      <c r="Q274" s="98">
        <f t="shared" si="206"/>
        <v>0.58949092436652051</v>
      </c>
      <c r="R274" s="98">
        <f t="shared" si="230"/>
        <v>0.57661853749417791</v>
      </c>
      <c r="S274" s="199">
        <f t="shared" si="231"/>
        <v>0.6470588235294118</v>
      </c>
      <c r="T274" s="189">
        <f t="shared" si="207"/>
        <v>0.48148148148148145</v>
      </c>
      <c r="U274" s="189">
        <f t="shared" si="208"/>
        <v>0.5957446808510638</v>
      </c>
      <c r="V274" s="189">
        <f t="shared" si="209"/>
        <v>0.6875</v>
      </c>
      <c r="W274" s="189">
        <f t="shared" si="210"/>
        <v>0.60029390154298312</v>
      </c>
      <c r="X274" s="200">
        <f t="shared" si="211"/>
        <v>0.5625</v>
      </c>
      <c r="Y274" s="204">
        <f t="shared" si="232"/>
        <v>1.5836050302748022E-2</v>
      </c>
      <c r="Z274" s="185">
        <f t="shared" si="212"/>
        <v>0.23893805309734514</v>
      </c>
      <c r="AA274" s="185">
        <f t="shared" si="213"/>
        <v>2.1891010712622262E-2</v>
      </c>
      <c r="AB274" s="185">
        <f t="shared" si="214"/>
        <v>5.961807172799255E-2</v>
      </c>
      <c r="AC274" s="185">
        <f t="shared" si="215"/>
        <v>0.63390777829529577</v>
      </c>
      <c r="AD274" s="205">
        <f t="shared" si="216"/>
        <v>2.9809035863996275E-2</v>
      </c>
      <c r="AE274" s="194">
        <v>22</v>
      </c>
      <c r="AF274" s="190">
        <v>247</v>
      </c>
      <c r="AG274" s="190">
        <v>28</v>
      </c>
      <c r="AH274" s="190">
        <v>88</v>
      </c>
      <c r="AI274" s="190">
        <v>817</v>
      </c>
      <c r="AJ274" s="195">
        <v>36</v>
      </c>
      <c r="AK274" s="194">
        <v>34</v>
      </c>
      <c r="AL274" s="190">
        <v>513</v>
      </c>
      <c r="AM274" s="190">
        <v>47</v>
      </c>
      <c r="AN274" s="190">
        <v>128</v>
      </c>
      <c r="AO274" s="190">
        <v>1361</v>
      </c>
      <c r="AP274" s="195">
        <v>64</v>
      </c>
      <c r="AR274" s="77">
        <f t="shared" si="233"/>
        <v>620.1212571017162</v>
      </c>
      <c r="AS274" s="98">
        <f t="shared" si="217"/>
        <v>0.71690318740082792</v>
      </c>
      <c r="AT274" s="98">
        <f t="shared" si="234"/>
        <v>0.73994867408041065</v>
      </c>
      <c r="AU274" s="199">
        <f t="shared" si="235"/>
        <v>0.7975460122699386</v>
      </c>
      <c r="AV274" s="189">
        <f t="shared" si="218"/>
        <v>0.7432432432432432</v>
      </c>
      <c r="AW274" s="189">
        <f t="shared" si="219"/>
        <v>0.38297872340425532</v>
      </c>
      <c r="AX274" s="189">
        <f t="shared" si="220"/>
        <v>0.85595567867036015</v>
      </c>
      <c r="AY274" s="189">
        <f t="shared" si="221"/>
        <v>0.71309192200557103</v>
      </c>
      <c r="AZ274" s="200">
        <f t="shared" si="222"/>
        <v>0.46153846153846156</v>
      </c>
      <c r="BA274" s="204">
        <f t="shared" si="236"/>
        <v>0.13943541488451669</v>
      </c>
      <c r="BB274" s="185">
        <f t="shared" si="223"/>
        <v>0.12660393498716851</v>
      </c>
      <c r="BC274" s="185">
        <f t="shared" si="224"/>
        <v>4.0205303678357569E-2</v>
      </c>
      <c r="BD274" s="185">
        <f t="shared" si="225"/>
        <v>0.30881094952951238</v>
      </c>
      <c r="BE274" s="185">
        <f t="shared" si="226"/>
        <v>0.30710008554319934</v>
      </c>
      <c r="BF274" s="205">
        <f t="shared" si="227"/>
        <v>7.7844311377245512E-2</v>
      </c>
      <c r="BG274" s="194">
        <v>130</v>
      </c>
      <c r="BH274" s="190">
        <v>110</v>
      </c>
      <c r="BI274" s="190">
        <v>18</v>
      </c>
      <c r="BJ274" s="190">
        <v>309</v>
      </c>
      <c r="BK274" s="190">
        <v>256</v>
      </c>
      <c r="BL274" s="195">
        <v>42</v>
      </c>
      <c r="BM274" s="194">
        <v>163</v>
      </c>
      <c r="BN274" s="190">
        <v>148</v>
      </c>
      <c r="BO274" s="190">
        <v>47</v>
      </c>
      <c r="BP274" s="190">
        <v>361</v>
      </c>
      <c r="BQ274" s="190">
        <v>359</v>
      </c>
      <c r="BR274" s="195">
        <v>91</v>
      </c>
    </row>
    <row r="275" spans="1:70" outlineLevel="1" x14ac:dyDescent="0.2">
      <c r="A275" s="20">
        <f t="shared" si="238"/>
        <v>3615</v>
      </c>
      <c r="B275" s="19" t="str">
        <f t="shared" si="238"/>
        <v>TXST</v>
      </c>
      <c r="C275" s="18"/>
      <c r="D275" s="15">
        <v>5435</v>
      </c>
      <c r="E275" s="21">
        <v>0.61399999999999999</v>
      </c>
      <c r="F275" s="14">
        <v>24028</v>
      </c>
      <c r="G275" s="28">
        <v>10677.06999999951</v>
      </c>
      <c r="H275" s="15">
        <v>582</v>
      </c>
      <c r="I275" s="13">
        <v>67</v>
      </c>
      <c r="J275" s="214">
        <f t="shared" si="228"/>
        <v>1093.0162430603164</v>
      </c>
      <c r="K275" s="16">
        <v>3816</v>
      </c>
      <c r="L275" s="30">
        <v>7425</v>
      </c>
      <c r="M275" s="29">
        <v>5561</v>
      </c>
      <c r="N275" s="28">
        <v>3333</v>
      </c>
      <c r="P275" s="77">
        <f t="shared" si="229"/>
        <v>1093.0162430603164</v>
      </c>
      <c r="Q275" s="98">
        <f t="shared" si="206"/>
        <v>0.6012190555887329</v>
      </c>
      <c r="R275" s="98">
        <f t="shared" si="230"/>
        <v>0.61564510667118189</v>
      </c>
      <c r="S275" s="199">
        <f t="shared" si="231"/>
        <v>0.69047619047619047</v>
      </c>
      <c r="T275" s="189">
        <f t="shared" si="207"/>
        <v>0.52950819672131144</v>
      </c>
      <c r="U275" s="189">
        <f t="shared" si="208"/>
        <v>0.40909090909090912</v>
      </c>
      <c r="V275" s="189">
        <f t="shared" si="209"/>
        <v>0.6328125</v>
      </c>
      <c r="W275" s="189">
        <f t="shared" si="210"/>
        <v>0.64292980671414035</v>
      </c>
      <c r="X275" s="200">
        <f t="shared" si="211"/>
        <v>0.62857142857142856</v>
      </c>
      <c r="Y275" s="204">
        <f t="shared" si="232"/>
        <v>1.4222824246528954E-2</v>
      </c>
      <c r="Z275" s="185">
        <f t="shared" si="212"/>
        <v>0.20656959024720623</v>
      </c>
      <c r="AA275" s="185">
        <f t="shared" si="213"/>
        <v>1.4900101591601761E-2</v>
      </c>
      <c r="AB275" s="185">
        <f t="shared" si="214"/>
        <v>8.6691500169319341E-2</v>
      </c>
      <c r="AC275" s="185">
        <f t="shared" si="215"/>
        <v>0.66576363020656959</v>
      </c>
      <c r="AD275" s="205">
        <f t="shared" si="216"/>
        <v>1.1852353538774127E-2</v>
      </c>
      <c r="AE275" s="194">
        <v>29</v>
      </c>
      <c r="AF275" s="190">
        <v>323</v>
      </c>
      <c r="AG275" s="190">
        <v>18</v>
      </c>
      <c r="AH275" s="190">
        <v>162</v>
      </c>
      <c r="AI275" s="190">
        <v>1264</v>
      </c>
      <c r="AJ275" s="195">
        <v>22</v>
      </c>
      <c r="AK275" s="194">
        <v>42</v>
      </c>
      <c r="AL275" s="190">
        <v>610</v>
      </c>
      <c r="AM275" s="190">
        <v>44</v>
      </c>
      <c r="AN275" s="190">
        <v>256</v>
      </c>
      <c r="AO275" s="190">
        <v>1966</v>
      </c>
      <c r="AP275" s="195">
        <v>35</v>
      </c>
      <c r="AR275" s="77">
        <f t="shared" si="233"/>
        <v>944.46202629460367</v>
      </c>
      <c r="AS275" s="98">
        <f t="shared" si="217"/>
        <v>0.65135312158248526</v>
      </c>
      <c r="AT275" s="98">
        <f t="shared" si="234"/>
        <v>0.70183930300096808</v>
      </c>
      <c r="AU275" s="199">
        <f t="shared" si="235"/>
        <v>0.77454545454545454</v>
      </c>
      <c r="AV275" s="189">
        <f t="shared" si="218"/>
        <v>0.59307359307359309</v>
      </c>
      <c r="AW275" s="189">
        <f t="shared" si="219"/>
        <v>0.37681159420289856</v>
      </c>
      <c r="AX275" s="189">
        <f t="shared" si="220"/>
        <v>0.81157469717362041</v>
      </c>
      <c r="AY275" s="189">
        <f t="shared" si="221"/>
        <v>0.66178861788617882</v>
      </c>
      <c r="AZ275" s="200">
        <f t="shared" si="222"/>
        <v>0.48120300751879697</v>
      </c>
      <c r="BA275" s="204">
        <f t="shared" si="236"/>
        <v>0.13310745401742496</v>
      </c>
      <c r="BB275" s="185">
        <f t="shared" si="223"/>
        <v>0.11181026137463698</v>
      </c>
      <c r="BC275" s="185">
        <f t="shared" si="224"/>
        <v>3.3397870280735723E-2</v>
      </c>
      <c r="BD275" s="185">
        <f t="shared" si="225"/>
        <v>0.35963213939980637</v>
      </c>
      <c r="BE275" s="185">
        <f t="shared" si="226"/>
        <v>0.29767666989351405</v>
      </c>
      <c r="BF275" s="205">
        <f t="shared" si="227"/>
        <v>6.43756050338819E-2</v>
      </c>
      <c r="BG275" s="194">
        <v>213</v>
      </c>
      <c r="BH275" s="190">
        <v>137</v>
      </c>
      <c r="BI275" s="190">
        <v>26</v>
      </c>
      <c r="BJ275" s="190">
        <v>603</v>
      </c>
      <c r="BK275" s="190">
        <v>407</v>
      </c>
      <c r="BL275" s="195">
        <v>64</v>
      </c>
      <c r="BM275" s="194">
        <v>275</v>
      </c>
      <c r="BN275" s="190">
        <v>231</v>
      </c>
      <c r="BO275" s="190">
        <v>69</v>
      </c>
      <c r="BP275" s="190">
        <v>743</v>
      </c>
      <c r="BQ275" s="190">
        <v>615</v>
      </c>
      <c r="BR275" s="195">
        <v>133</v>
      </c>
    </row>
    <row r="276" spans="1:70" outlineLevel="1" x14ac:dyDescent="0.2">
      <c r="A276" s="20">
        <f t="shared" si="238"/>
        <v>3625</v>
      </c>
      <c r="B276" s="19" t="str">
        <f t="shared" si="238"/>
        <v>SRSU</v>
      </c>
      <c r="C276" s="18"/>
      <c r="D276" s="15">
        <v>191</v>
      </c>
      <c r="E276" s="21">
        <v>0.32600000000000001</v>
      </c>
      <c r="F276" s="14">
        <v>1229</v>
      </c>
      <c r="G276" s="28">
        <v>409.0499999999999</v>
      </c>
      <c r="H276" s="15">
        <v>10</v>
      </c>
      <c r="I276" s="13">
        <v>5</v>
      </c>
      <c r="J276" s="214">
        <f t="shared" si="228"/>
        <v>25.319130478416898</v>
      </c>
      <c r="K276" s="16">
        <v>167</v>
      </c>
      <c r="L276" s="30">
        <v>284</v>
      </c>
      <c r="M276" s="29">
        <v>188</v>
      </c>
      <c r="N276" s="28">
        <v>144</v>
      </c>
      <c r="O276" s="41"/>
      <c r="P276" s="77">
        <f t="shared" si="229"/>
        <v>25.319130478416898</v>
      </c>
      <c r="Q276" s="98">
        <f t="shared" si="206"/>
        <v>0.43653673238649826</v>
      </c>
      <c r="R276" s="98">
        <f t="shared" si="230"/>
        <v>0.36477987421383645</v>
      </c>
      <c r="S276" s="199">
        <f t="shared" si="231"/>
        <v>0</v>
      </c>
      <c r="T276" s="189">
        <f t="shared" si="207"/>
        <v>0.42105263157894735</v>
      </c>
      <c r="U276" s="189">
        <f t="shared" si="208"/>
        <v>0.18181818181818182</v>
      </c>
      <c r="V276" s="189">
        <f t="shared" si="209"/>
        <v>0.66666666666666663</v>
      </c>
      <c r="W276" s="189">
        <f t="shared" si="210"/>
        <v>0.41818181818181815</v>
      </c>
      <c r="X276" s="200">
        <f t="shared" si="211"/>
        <v>0.4375</v>
      </c>
      <c r="Y276" s="204">
        <f t="shared" si="232"/>
        <v>0</v>
      </c>
      <c r="Z276" s="185">
        <f t="shared" si="212"/>
        <v>0.2389937106918239</v>
      </c>
      <c r="AA276" s="185">
        <f t="shared" si="213"/>
        <v>0.27672955974842767</v>
      </c>
      <c r="AB276" s="185">
        <f t="shared" si="214"/>
        <v>3.7735849056603772E-2</v>
      </c>
      <c r="AC276" s="185">
        <f t="shared" si="215"/>
        <v>0.34591194968553457</v>
      </c>
      <c r="AD276" s="205">
        <f t="shared" si="216"/>
        <v>0.10062893081761007</v>
      </c>
      <c r="AE276" s="194">
        <v>0</v>
      </c>
      <c r="AF276" s="190">
        <v>16</v>
      </c>
      <c r="AG276" s="190">
        <v>8</v>
      </c>
      <c r="AH276" s="190">
        <v>4</v>
      </c>
      <c r="AI276" s="190">
        <v>23</v>
      </c>
      <c r="AJ276" s="195">
        <v>7</v>
      </c>
      <c r="AK276" s="194">
        <v>0</v>
      </c>
      <c r="AL276" s="190">
        <v>38</v>
      </c>
      <c r="AM276" s="190">
        <v>44</v>
      </c>
      <c r="AN276" s="190">
        <v>6</v>
      </c>
      <c r="AO276" s="190">
        <v>55</v>
      </c>
      <c r="AP276" s="195">
        <v>16</v>
      </c>
      <c r="AR276" s="77">
        <f t="shared" si="233"/>
        <v>27.494814985225595</v>
      </c>
      <c r="AS276" s="98">
        <f t="shared" si="217"/>
        <v>0.57280864552553323</v>
      </c>
      <c r="AT276" s="98">
        <f t="shared" si="234"/>
        <v>0.61538461538461542</v>
      </c>
      <c r="AU276" s="199">
        <f t="shared" si="235"/>
        <v>0.78947368421052633</v>
      </c>
      <c r="AV276" s="189">
        <f t="shared" si="218"/>
        <v>0.5</v>
      </c>
      <c r="AW276" s="189">
        <f t="shared" si="219"/>
        <v>0.14285714285714285</v>
      </c>
      <c r="AX276" s="189">
        <f t="shared" si="220"/>
        <v>0.92307692307692313</v>
      </c>
      <c r="AY276" s="189">
        <f t="shared" si="221"/>
        <v>0.52631578947368418</v>
      </c>
      <c r="AZ276" s="200">
        <f t="shared" si="222"/>
        <v>0.5</v>
      </c>
      <c r="BA276" s="204">
        <f t="shared" si="236"/>
        <v>0.24358974358974358</v>
      </c>
      <c r="BB276" s="185">
        <f t="shared" si="223"/>
        <v>0.15384615384615385</v>
      </c>
      <c r="BC276" s="185">
        <f t="shared" si="224"/>
        <v>8.9743589743589744E-2</v>
      </c>
      <c r="BD276" s="185">
        <f t="shared" si="225"/>
        <v>0.16666666666666666</v>
      </c>
      <c r="BE276" s="185">
        <f t="shared" si="226"/>
        <v>0.24358974358974358</v>
      </c>
      <c r="BF276" s="205">
        <f t="shared" si="227"/>
        <v>0.10256410256410256</v>
      </c>
      <c r="BG276" s="194">
        <v>15</v>
      </c>
      <c r="BH276" s="190">
        <v>6</v>
      </c>
      <c r="BI276" s="190">
        <v>1</v>
      </c>
      <c r="BJ276" s="190">
        <v>12</v>
      </c>
      <c r="BK276" s="190">
        <v>10</v>
      </c>
      <c r="BL276" s="195">
        <v>4</v>
      </c>
      <c r="BM276" s="194">
        <v>19</v>
      </c>
      <c r="BN276" s="190">
        <v>12</v>
      </c>
      <c r="BO276" s="190">
        <v>7</v>
      </c>
      <c r="BP276" s="190">
        <v>13</v>
      </c>
      <c r="BQ276" s="190">
        <v>19</v>
      </c>
      <c r="BR276" s="195">
        <v>8</v>
      </c>
    </row>
    <row r="277" spans="1:70" ht="13.5" outlineLevel="1" thickBot="1" x14ac:dyDescent="0.25">
      <c r="A277" s="20">
        <f t="shared" si="238"/>
        <v>20</v>
      </c>
      <c r="B277" s="19" t="str">
        <f t="shared" si="238"/>
        <v>SRRG</v>
      </c>
      <c r="C277" s="18"/>
      <c r="D277" s="15">
        <v>154</v>
      </c>
      <c r="E277" s="17">
        <v>0.25423728813559321</v>
      </c>
      <c r="F277" s="14">
        <v>436.8</v>
      </c>
      <c r="G277" s="28">
        <v>268.06000000000023</v>
      </c>
      <c r="H277" s="15">
        <v>6</v>
      </c>
      <c r="I277" s="13">
        <v>1</v>
      </c>
      <c r="J277" s="214">
        <f>AR277</f>
        <v>7.3207821108147142</v>
      </c>
      <c r="K277" s="16">
        <v>138</v>
      </c>
      <c r="L277" s="30">
        <v>215</v>
      </c>
      <c r="M277" s="29">
        <v>91</v>
      </c>
      <c r="N277" s="28">
        <v>6</v>
      </c>
      <c r="P277" s="6">
        <f t="shared" si="229"/>
        <v>0</v>
      </c>
      <c r="Q277" s="239">
        <f t="shared" ref="Q277" si="239">(S277*$Y$362+T277*$Z$362+U277*$AA$362+V277*$AB$362+W277*$AC$362+X277*$AD$362)</f>
        <v>0</v>
      </c>
      <c r="R277" s="239">
        <f t="shared" si="230"/>
        <v>0</v>
      </c>
      <c r="S277" s="199">
        <f t="shared" si="231"/>
        <v>0</v>
      </c>
      <c r="T277" s="189">
        <f t="shared" si="207"/>
        <v>0</v>
      </c>
      <c r="U277" s="189">
        <f t="shared" si="208"/>
        <v>0</v>
      </c>
      <c r="V277" s="189">
        <f t="shared" si="209"/>
        <v>0</v>
      </c>
      <c r="W277" s="189">
        <f t="shared" si="210"/>
        <v>0</v>
      </c>
      <c r="X277" s="200">
        <f t="shared" si="211"/>
        <v>0</v>
      </c>
      <c r="Y277" s="204">
        <f t="shared" si="232"/>
        <v>0</v>
      </c>
      <c r="Z277" s="185">
        <f t="shared" si="212"/>
        <v>0</v>
      </c>
      <c r="AA277" s="185">
        <f t="shared" si="213"/>
        <v>0</v>
      </c>
      <c r="AB277" s="185">
        <f t="shared" si="214"/>
        <v>0</v>
      </c>
      <c r="AC277" s="185">
        <f t="shared" si="215"/>
        <v>0</v>
      </c>
      <c r="AD277" s="205">
        <f t="shared" si="216"/>
        <v>0</v>
      </c>
      <c r="AE277" s="194">
        <v>0</v>
      </c>
      <c r="AF277" s="190">
        <v>0</v>
      </c>
      <c r="AG277" s="190">
        <v>0</v>
      </c>
      <c r="AH277" s="190">
        <v>0</v>
      </c>
      <c r="AI277" s="190">
        <v>0</v>
      </c>
      <c r="AJ277" s="195">
        <v>0</v>
      </c>
      <c r="AK277" s="194">
        <v>0</v>
      </c>
      <c r="AL277" s="190">
        <v>0</v>
      </c>
      <c r="AM277" s="190">
        <v>0</v>
      </c>
      <c r="AN277" s="190">
        <v>0</v>
      </c>
      <c r="AO277" s="190">
        <v>0</v>
      </c>
      <c r="AP277" s="195">
        <v>0</v>
      </c>
      <c r="AR277" s="6">
        <f t="shared" si="233"/>
        <v>7.3207821108147142</v>
      </c>
      <c r="AS277" s="239">
        <f t="shared" si="217"/>
        <v>0.36603910554073571</v>
      </c>
      <c r="AT277" s="239">
        <f t="shared" si="234"/>
        <v>0.41666666666666669</v>
      </c>
      <c r="AU277" s="199">
        <f t="shared" si="235"/>
        <v>0.55555555555555558</v>
      </c>
      <c r="AV277" s="189">
        <f t="shared" si="218"/>
        <v>0.18181818181818182</v>
      </c>
      <c r="AW277" s="189">
        <f t="shared" si="219"/>
        <v>0.25</v>
      </c>
      <c r="AX277" s="189">
        <f t="shared" si="220"/>
        <v>1</v>
      </c>
      <c r="AY277" s="189">
        <f t="shared" si="221"/>
        <v>0.16666666666666666</v>
      </c>
      <c r="AZ277" s="200">
        <f t="shared" si="222"/>
        <v>1</v>
      </c>
      <c r="BA277" s="204">
        <f t="shared" si="236"/>
        <v>0.375</v>
      </c>
      <c r="BB277" s="185">
        <f t="shared" si="223"/>
        <v>0.22916666666666666</v>
      </c>
      <c r="BC277" s="185">
        <f t="shared" si="224"/>
        <v>0.16666666666666666</v>
      </c>
      <c r="BD277" s="185">
        <f t="shared" si="225"/>
        <v>8.3333333333333329E-2</v>
      </c>
      <c r="BE277" s="185">
        <f t="shared" si="226"/>
        <v>0.125</v>
      </c>
      <c r="BF277" s="205">
        <f t="shared" si="227"/>
        <v>2.0833333333333332E-2</v>
      </c>
      <c r="BG277" s="194">
        <v>10</v>
      </c>
      <c r="BH277" s="190">
        <v>2</v>
      </c>
      <c r="BI277" s="190">
        <v>2</v>
      </c>
      <c r="BJ277" s="190">
        <v>4</v>
      </c>
      <c r="BK277" s="190">
        <v>1</v>
      </c>
      <c r="BL277" s="195">
        <v>1</v>
      </c>
      <c r="BM277" s="194">
        <v>18</v>
      </c>
      <c r="BN277" s="190">
        <v>11</v>
      </c>
      <c r="BO277" s="190">
        <v>8</v>
      </c>
      <c r="BP277" s="190">
        <v>4</v>
      </c>
      <c r="BQ277" s="190">
        <v>6</v>
      </c>
      <c r="BR277" s="195">
        <v>1</v>
      </c>
    </row>
    <row r="278" spans="1:70" ht="13.5" outlineLevel="1" thickBot="1" x14ac:dyDescent="0.25">
      <c r="A278" s="12"/>
      <c r="B278" s="11" t="s">
        <v>11</v>
      </c>
      <c r="C278" s="10"/>
      <c r="D278" s="9">
        <f>SUM(D240:D277)</f>
        <v>87062</v>
      </c>
      <c r="E278" s="8">
        <v>0.58700000000000008</v>
      </c>
      <c r="F278" s="7">
        <f t="shared" ref="F278:N278" si="240">SUM(F240:F277)</f>
        <v>359610.06666666665</v>
      </c>
      <c r="G278" s="3">
        <f t="shared" si="240"/>
        <v>180161.28999999876</v>
      </c>
      <c r="H278" s="5">
        <f t="shared" si="240"/>
        <v>15629</v>
      </c>
      <c r="I278" s="3">
        <f t="shared" si="240"/>
        <v>1267</v>
      </c>
      <c r="J278" s="216">
        <f>SUM(J240:J277)</f>
        <v>22208.646294449489</v>
      </c>
      <c r="K278" s="6">
        <f t="shared" si="240"/>
        <v>56968</v>
      </c>
      <c r="L278" s="5">
        <f t="shared" si="240"/>
        <v>113504</v>
      </c>
      <c r="M278" s="4">
        <f t="shared" si="240"/>
        <v>81268</v>
      </c>
      <c r="N278" s="3">
        <f t="shared" si="240"/>
        <v>50077</v>
      </c>
      <c r="S278" s="201">
        <f t="shared" ref="S278:X278" si="241">AE278/AK278</f>
        <v>0.73563218390804597</v>
      </c>
      <c r="T278" s="202">
        <f t="shared" si="241"/>
        <v>0.48820681037175884</v>
      </c>
      <c r="U278" s="202">
        <f t="shared" si="241"/>
        <v>0.28192161820480405</v>
      </c>
      <c r="V278" s="202">
        <f t="shared" si="241"/>
        <v>0.79277971351142085</v>
      </c>
      <c r="W278" s="202">
        <f t="shared" si="241"/>
        <v>0.6159782448919594</v>
      </c>
      <c r="X278" s="203">
        <f t="shared" si="241"/>
        <v>0.33973029045643155</v>
      </c>
      <c r="Y278" s="206">
        <f t="shared" ref="Y278:AD278" si="242">AK278/SUM($AK278:$AP278)</f>
        <v>2.5984293469667422E-2</v>
      </c>
      <c r="Z278" s="207">
        <f t="shared" si="242"/>
        <v>0.22495124650819587</v>
      </c>
      <c r="AA278" s="207">
        <f t="shared" si="242"/>
        <v>5.5587765069660393E-2</v>
      </c>
      <c r="AB278" s="207">
        <f t="shared" si="242"/>
        <v>0.18152110894428924</v>
      </c>
      <c r="AC278" s="207">
        <f t="shared" si="242"/>
        <v>0.47808288972047996</v>
      </c>
      <c r="AD278" s="208">
        <f t="shared" si="242"/>
        <v>3.3872696287707095E-2</v>
      </c>
      <c r="AE278" s="209">
        <f t="shared" ref="AE278:AO278" si="243">SUM(AE240:AE244,AE246:AE252,AE254:AE255,AE257:AE259,AE261,AE263,AE265:AE266,AE268:AE276)</f>
        <v>1088</v>
      </c>
      <c r="AF278" s="210">
        <f t="shared" si="243"/>
        <v>6251</v>
      </c>
      <c r="AG278" s="210">
        <f t="shared" si="243"/>
        <v>892</v>
      </c>
      <c r="AH278" s="210">
        <f t="shared" si="243"/>
        <v>8191</v>
      </c>
      <c r="AI278" s="210">
        <f t="shared" si="243"/>
        <v>16762</v>
      </c>
      <c r="AJ278" s="211">
        <f t="shared" si="243"/>
        <v>655</v>
      </c>
      <c r="AK278" s="196">
        <f t="shared" si="243"/>
        <v>1479</v>
      </c>
      <c r="AL278" s="197">
        <f t="shared" si="243"/>
        <v>12804</v>
      </c>
      <c r="AM278" s="197">
        <f t="shared" si="243"/>
        <v>3164</v>
      </c>
      <c r="AN278" s="197">
        <f t="shared" si="243"/>
        <v>10332</v>
      </c>
      <c r="AO278" s="197">
        <f t="shared" si="243"/>
        <v>27212</v>
      </c>
      <c r="AP278" s="198">
        <f>SUM(AP240:AP244,AP246:AP252,AP254:AP255,AP257:AP259,AP261,AP263,AP265:AP266,AP268:AP276)</f>
        <v>1928</v>
      </c>
      <c r="AU278" s="201">
        <f t="shared" ref="AU278" si="244">IFERROR(BG278/BM278,0)</f>
        <v>0.75659365221278496</v>
      </c>
      <c r="AV278" s="202">
        <f t="shared" ref="AV278" si="245">IFERROR(BH278/BN278,0)</f>
        <v>0.61849859082756853</v>
      </c>
      <c r="AW278" s="202">
        <f t="shared" ref="AW278" si="246">IFERROR(BI278/BO278,0)</f>
        <v>0.42348754448398579</v>
      </c>
      <c r="AX278" s="202">
        <f t="shared" ref="AX278" si="247">IFERROR(BJ278/BP278,0)</f>
        <v>0.82205345125937324</v>
      </c>
      <c r="AY278" s="202">
        <f t="shared" ref="AY278" si="248">IFERROR(BK278/BQ278,0)</f>
        <v>0.69857182092831638</v>
      </c>
      <c r="AZ278" s="203">
        <f t="shared" ref="AZ278" si="249">IFERROR(BL278/BR278,0)</f>
        <v>0.40623717685679112</v>
      </c>
      <c r="BA278" s="206">
        <f t="shared" ref="BA278" si="250">IFERROR(BM278/SUM($BM278:$BR278),0)</f>
        <v>0.14961709527472161</v>
      </c>
      <c r="BB278" s="207">
        <f t="shared" ref="BB278" si="251">IFERROR(BN278/SUM($BM278:$BR278),0)</f>
        <v>0.13052202120188611</v>
      </c>
      <c r="BC278" s="207">
        <f t="shared" ref="BC278" si="252">IFERROR(BO278/SUM($BM278:$BR278),0)</f>
        <v>4.6985252315821152E-2</v>
      </c>
      <c r="BD278" s="207">
        <f t="shared" ref="BD278" si="253">IFERROR(BP278/SUM($BM278:$BR278),0)</f>
        <v>0.34785807444069156</v>
      </c>
      <c r="BE278" s="207">
        <f t="shared" ref="BE278" si="254">IFERROR(BQ278/SUM($BM278:$BR278),0)</f>
        <v>0.2435207169849179</v>
      </c>
      <c r="BF278" s="208">
        <f t="shared" ref="BF278" si="255">IFERROR(BR278/SUM($BM278:$BR278),0)</f>
        <v>8.1496839781961677E-2</v>
      </c>
      <c r="BG278" s="209">
        <f>SUM(BG240:BG277)</f>
        <v>3385</v>
      </c>
      <c r="BH278" s="210">
        <f t="shared" ref="BH278:BR278" si="256">SUM(BH240:BH277)</f>
        <v>2414</v>
      </c>
      <c r="BI278" s="210">
        <f t="shared" si="256"/>
        <v>595</v>
      </c>
      <c r="BJ278" s="210">
        <f t="shared" si="256"/>
        <v>8551</v>
      </c>
      <c r="BK278" s="210">
        <f t="shared" si="256"/>
        <v>5087</v>
      </c>
      <c r="BL278" s="211">
        <f t="shared" si="256"/>
        <v>990</v>
      </c>
      <c r="BM278" s="196">
        <f t="shared" si="256"/>
        <v>4474</v>
      </c>
      <c r="BN278" s="197">
        <f t="shared" si="256"/>
        <v>3903</v>
      </c>
      <c r="BO278" s="197">
        <f t="shared" si="256"/>
        <v>1405</v>
      </c>
      <c r="BP278" s="197">
        <f t="shared" si="256"/>
        <v>10402</v>
      </c>
      <c r="BQ278" s="197">
        <f t="shared" si="256"/>
        <v>7282</v>
      </c>
      <c r="BR278" s="198">
        <f t="shared" si="256"/>
        <v>2437</v>
      </c>
    </row>
    <row r="279" spans="1:70" ht="13.5" thickBot="1" x14ac:dyDescent="0.25">
      <c r="A279" s="45" t="s">
        <v>26</v>
      </c>
      <c r="B279" s="45"/>
      <c r="C279" s="45"/>
      <c r="D279" s="45"/>
      <c r="F279" s="45"/>
      <c r="K279" s="45"/>
    </row>
    <row r="280" spans="1:70" ht="12.75" customHeight="1" outlineLevel="1" x14ac:dyDescent="0.2">
      <c r="A280" s="273" t="s">
        <v>24</v>
      </c>
      <c r="B280" s="275" t="s">
        <v>23</v>
      </c>
      <c r="C280" s="277"/>
      <c r="D280" s="306" t="s">
        <v>22</v>
      </c>
      <c r="E280" s="301" t="s">
        <v>21</v>
      </c>
      <c r="F280" s="275" t="s">
        <v>20</v>
      </c>
      <c r="G280" s="297" t="s">
        <v>19</v>
      </c>
      <c r="H280" s="299" t="s">
        <v>18</v>
      </c>
      <c r="I280" s="291" t="s">
        <v>17</v>
      </c>
      <c r="J280" s="332" t="s">
        <v>126</v>
      </c>
      <c r="K280" s="293" t="s">
        <v>16</v>
      </c>
      <c r="L280" s="295" t="s">
        <v>15</v>
      </c>
      <c r="M280" s="296"/>
      <c r="N280" s="296"/>
      <c r="P280" s="337" t="s">
        <v>142</v>
      </c>
      <c r="Q280" s="337" t="s">
        <v>141</v>
      </c>
      <c r="R280" s="337" t="s">
        <v>140</v>
      </c>
      <c r="S280" s="339" t="s">
        <v>119</v>
      </c>
      <c r="T280" s="340"/>
      <c r="U280" s="340"/>
      <c r="V280" s="340"/>
      <c r="W280" s="340"/>
      <c r="X280" s="341"/>
      <c r="Y280" s="339" t="s">
        <v>118</v>
      </c>
      <c r="Z280" s="340"/>
      <c r="AA280" s="340"/>
      <c r="AB280" s="340"/>
      <c r="AC280" s="340"/>
      <c r="AD280" s="341"/>
      <c r="AE280" s="334" t="s">
        <v>117</v>
      </c>
      <c r="AF280" s="335"/>
      <c r="AG280" s="335"/>
      <c r="AH280" s="335"/>
      <c r="AI280" s="335"/>
      <c r="AJ280" s="336"/>
      <c r="AK280" s="334" t="s">
        <v>116</v>
      </c>
      <c r="AL280" s="335"/>
      <c r="AM280" s="335"/>
      <c r="AN280" s="335"/>
      <c r="AO280" s="335"/>
      <c r="AP280" s="336"/>
      <c r="AR280" s="337" t="s">
        <v>142</v>
      </c>
      <c r="AS280" s="337" t="s">
        <v>141</v>
      </c>
      <c r="AT280" s="337" t="s">
        <v>140</v>
      </c>
      <c r="AU280" s="339" t="s">
        <v>119</v>
      </c>
      <c r="AV280" s="340"/>
      <c r="AW280" s="340"/>
      <c r="AX280" s="340"/>
      <c r="AY280" s="340"/>
      <c r="AZ280" s="341"/>
      <c r="BA280" s="339" t="s">
        <v>118</v>
      </c>
      <c r="BB280" s="340"/>
      <c r="BC280" s="340"/>
      <c r="BD280" s="340"/>
      <c r="BE280" s="340"/>
      <c r="BF280" s="341"/>
      <c r="BG280" s="334" t="s">
        <v>117</v>
      </c>
      <c r="BH280" s="335"/>
      <c r="BI280" s="335"/>
      <c r="BJ280" s="335"/>
      <c r="BK280" s="335"/>
      <c r="BL280" s="336"/>
      <c r="BM280" s="334" t="s">
        <v>116</v>
      </c>
      <c r="BN280" s="335"/>
      <c r="BO280" s="335"/>
      <c r="BP280" s="335"/>
      <c r="BQ280" s="335"/>
      <c r="BR280" s="336"/>
    </row>
    <row r="281" spans="1:70" s="41" customFormat="1" ht="43.5" customHeight="1" outlineLevel="1" thickBot="1" x14ac:dyDescent="0.25">
      <c r="A281" s="274"/>
      <c r="B281" s="276"/>
      <c r="C281" s="278"/>
      <c r="D281" s="307"/>
      <c r="E281" s="302"/>
      <c r="F281" s="276"/>
      <c r="G281" s="298"/>
      <c r="H281" s="300"/>
      <c r="I281" s="292"/>
      <c r="J281" s="333"/>
      <c r="K281" s="294"/>
      <c r="L281" s="44" t="s">
        <v>14</v>
      </c>
      <c r="M281" s="43" t="s">
        <v>13</v>
      </c>
      <c r="N281" s="42" t="s">
        <v>12</v>
      </c>
      <c r="O281" s="1"/>
      <c r="P281" s="338"/>
      <c r="Q281" s="338"/>
      <c r="R281" s="338"/>
      <c r="S281" s="192" t="s">
        <v>120</v>
      </c>
      <c r="T281" s="191" t="s">
        <v>121</v>
      </c>
      <c r="U281" s="191" t="s">
        <v>122</v>
      </c>
      <c r="V281" s="191" t="s">
        <v>123</v>
      </c>
      <c r="W281" s="191" t="s">
        <v>124</v>
      </c>
      <c r="X281" s="193" t="s">
        <v>125</v>
      </c>
      <c r="Y281" s="192" t="s">
        <v>120</v>
      </c>
      <c r="Z281" s="191" t="s">
        <v>121</v>
      </c>
      <c r="AA281" s="191" t="s">
        <v>122</v>
      </c>
      <c r="AB281" s="191" t="s">
        <v>123</v>
      </c>
      <c r="AC281" s="191" t="s">
        <v>124</v>
      </c>
      <c r="AD281" s="193" t="s">
        <v>125</v>
      </c>
      <c r="AE281" s="192" t="s">
        <v>120</v>
      </c>
      <c r="AF281" s="191" t="s">
        <v>121</v>
      </c>
      <c r="AG281" s="191" t="s">
        <v>122</v>
      </c>
      <c r="AH281" s="191" t="s">
        <v>123</v>
      </c>
      <c r="AI281" s="191" t="s">
        <v>124</v>
      </c>
      <c r="AJ281" s="193" t="s">
        <v>125</v>
      </c>
      <c r="AK281" s="192" t="s">
        <v>120</v>
      </c>
      <c r="AL281" s="191" t="s">
        <v>121</v>
      </c>
      <c r="AM281" s="191" t="s">
        <v>122</v>
      </c>
      <c r="AN281" s="191" t="s">
        <v>123</v>
      </c>
      <c r="AO281" s="191" t="s">
        <v>124</v>
      </c>
      <c r="AP281" s="193" t="s">
        <v>125</v>
      </c>
      <c r="AR281" s="338"/>
      <c r="AS281" s="338"/>
      <c r="AT281" s="338"/>
      <c r="AU281" s="192" t="s">
        <v>130</v>
      </c>
      <c r="AV281" s="191" t="s">
        <v>131</v>
      </c>
      <c r="AW281" s="191" t="s">
        <v>132</v>
      </c>
      <c r="AX281" s="191" t="s">
        <v>133</v>
      </c>
      <c r="AY281" s="191" t="s">
        <v>134</v>
      </c>
      <c r="AZ281" s="193" t="s">
        <v>135</v>
      </c>
      <c r="BA281" s="192" t="s">
        <v>130</v>
      </c>
      <c r="BB281" s="191" t="s">
        <v>131</v>
      </c>
      <c r="BC281" s="191" t="s">
        <v>132</v>
      </c>
      <c r="BD281" s="191" t="s">
        <v>133</v>
      </c>
      <c r="BE281" s="191" t="s">
        <v>134</v>
      </c>
      <c r="BF281" s="193" t="s">
        <v>135</v>
      </c>
      <c r="BG281" s="192" t="s">
        <v>130</v>
      </c>
      <c r="BH281" s="191" t="s">
        <v>131</v>
      </c>
      <c r="BI281" s="191" t="s">
        <v>132</v>
      </c>
      <c r="BJ281" s="191" t="s">
        <v>133</v>
      </c>
      <c r="BK281" s="191" t="s">
        <v>134</v>
      </c>
      <c r="BL281" s="193" t="s">
        <v>135</v>
      </c>
      <c r="BM281" s="192" t="s">
        <v>130</v>
      </c>
      <c r="BN281" s="191" t="s">
        <v>131</v>
      </c>
      <c r="BO281" s="191" t="s">
        <v>132</v>
      </c>
      <c r="BP281" s="191" t="s">
        <v>133</v>
      </c>
      <c r="BQ281" s="191" t="s">
        <v>134</v>
      </c>
      <c r="BR281" s="193" t="s">
        <v>135</v>
      </c>
    </row>
    <row r="282" spans="1:70" outlineLevel="1" x14ac:dyDescent="0.2">
      <c r="A282" s="40">
        <f t="shared" ref="A282:B297" si="257">A240</f>
        <v>3656</v>
      </c>
      <c r="B282" s="39" t="str">
        <f t="shared" si="257"/>
        <v>UTA</v>
      </c>
      <c r="C282" s="38"/>
      <c r="D282" s="33">
        <v>5103</v>
      </c>
      <c r="E282" s="37">
        <v>0.49299999999999999</v>
      </c>
      <c r="F282" s="32">
        <v>17372</v>
      </c>
      <c r="G282" s="31">
        <v>10527.860000000002</v>
      </c>
      <c r="H282" s="36">
        <v>1620</v>
      </c>
      <c r="I282" s="35">
        <v>26</v>
      </c>
      <c r="J282" s="215">
        <f>P282</f>
        <v>853.10933674555213</v>
      </c>
      <c r="K282" s="34">
        <v>3158</v>
      </c>
      <c r="L282" s="33">
        <v>6986</v>
      </c>
      <c r="M282" s="32">
        <v>3903</v>
      </c>
      <c r="N282" s="31">
        <v>1733</v>
      </c>
      <c r="P282" s="77">
        <f>Q282*SUM(AK282:AP282)</f>
        <v>853.10933674555213</v>
      </c>
      <c r="Q282" s="98">
        <f t="shared" ref="Q282:Q318" si="258">(S282*$Y$362+T282*$Z$362+U282*$AA$362+V282*$AB$362+W282*$AC$362+X282*$AD$362)</f>
        <v>0.48721264234468997</v>
      </c>
      <c r="R282" s="98">
        <f>IFERROR(SUM(AE282:AJ282)/SUM(AK282:AP282),0)</f>
        <v>0.49114791547687037</v>
      </c>
      <c r="S282" s="199">
        <f>IFERROR(AE282/AK282,0)</f>
        <v>0.55000000000000004</v>
      </c>
      <c r="T282" s="189">
        <f t="shared" ref="T282:T319" si="259">IFERROR(AF282/AL282,0)</f>
        <v>0.45253863134657835</v>
      </c>
      <c r="U282" s="189">
        <f t="shared" ref="U282:U319" si="260">IFERROR(AG282/AM282,0)</f>
        <v>0.33333333333333331</v>
      </c>
      <c r="V282" s="189">
        <f t="shared" ref="V282:V319" si="261">IFERROR(AH282/AN282,0)</f>
        <v>0.56540084388185652</v>
      </c>
      <c r="W282" s="189">
        <f t="shared" ref="W282:W319" si="262">IFERROR(AI282/AO282,0)</f>
        <v>0.50539956803455721</v>
      </c>
      <c r="X282" s="200">
        <f t="shared" ref="X282:X319" si="263">IFERROR(AJ282/AP282,0)</f>
        <v>0.30434782608695654</v>
      </c>
      <c r="Y282" s="204">
        <f>IFERROR(AK282/SUM($AK282:$AP282),0)</f>
        <v>2.2844089091947458E-2</v>
      </c>
      <c r="Z282" s="185">
        <f t="shared" ref="Z282:Z319" si="264">IFERROR(AL282/SUM($AK282:$AP282),0)</f>
        <v>0.25870930896630495</v>
      </c>
      <c r="AA282" s="185">
        <f t="shared" ref="AA282:AA319" si="265">IFERROR(AM282/SUM($AK282:$AP282),0)</f>
        <v>4.1119360365505425E-2</v>
      </c>
      <c r="AB282" s="185">
        <f t="shared" ref="AB282:AB319" si="266">IFERROR(AN282/SUM($AK282:$AP282),0)</f>
        <v>0.1353512278697887</v>
      </c>
      <c r="AC282" s="185">
        <f t="shared" ref="AC282:AC319" si="267">IFERROR(AO282/SUM($AK282:$AP282),0)</f>
        <v>0.52884066247858363</v>
      </c>
      <c r="AD282" s="205">
        <f t="shared" ref="AD282:AD319" si="268">IFERROR(AP282/SUM($AK282:$AP282),0)</f>
        <v>1.3135351227869789E-2</v>
      </c>
      <c r="AE282" s="194">
        <v>22</v>
      </c>
      <c r="AF282" s="190">
        <v>205</v>
      </c>
      <c r="AG282" s="190">
        <v>24</v>
      </c>
      <c r="AH282" s="190">
        <v>134</v>
      </c>
      <c r="AI282" s="190">
        <v>468</v>
      </c>
      <c r="AJ282" s="195">
        <v>7</v>
      </c>
      <c r="AK282" s="194">
        <v>40</v>
      </c>
      <c r="AL282" s="190">
        <v>453</v>
      </c>
      <c r="AM282" s="190">
        <v>72</v>
      </c>
      <c r="AN282" s="190">
        <v>237</v>
      </c>
      <c r="AO282" s="190">
        <v>926</v>
      </c>
      <c r="AP282" s="195">
        <v>23</v>
      </c>
      <c r="AR282" s="77">
        <f>AS282*SUM(BM282:BR282)</f>
        <v>782.88681563212288</v>
      </c>
      <c r="AS282" s="98">
        <f t="shared" ref="AS282:AS319" si="269">(AU282*$Y$362+AV282*$Z$362+AW282*$AA$362+AX282*$AB$362+AY282*$AC$362+AZ282*$AD$362)</f>
        <v>0.63186990769340023</v>
      </c>
      <c r="AT282" s="98">
        <f>IFERROR(SUM(BG282:BL282)/SUM(BM282:BR282),0)</f>
        <v>0.66020984665052462</v>
      </c>
      <c r="AU282" s="199">
        <f>IFERROR(BG282/BM282,0)</f>
        <v>0.77419354838709675</v>
      </c>
      <c r="AV282" s="189">
        <f t="shared" ref="AV282:AV319" si="270">IFERROR(BH282/BN282,0)</f>
        <v>0.58227848101265822</v>
      </c>
      <c r="AW282" s="189">
        <f t="shared" ref="AW282:AW319" si="271">IFERROR(BI282/BO282,0)</f>
        <v>0.42592592592592593</v>
      </c>
      <c r="AX282" s="189">
        <f t="shared" ref="AX282:AX319" si="272">IFERROR(BJ282/BP282,0)</f>
        <v>0.77128953771289532</v>
      </c>
      <c r="AY282" s="189">
        <f t="shared" ref="AY282:AY319" si="273">IFERROR(BK282/BQ282,0)</f>
        <v>0.63736263736263732</v>
      </c>
      <c r="AZ282" s="200">
        <f t="shared" ref="AZ282:AZ319" si="274">IFERROR(BL282/BR282,0)</f>
        <v>0.43312101910828027</v>
      </c>
      <c r="BA282" s="204">
        <f>IFERROR(BM282/SUM($BM282:$BR282),0)</f>
        <v>0.15012106537530268</v>
      </c>
      <c r="BB282" s="185">
        <f t="shared" ref="BB282:BB319" si="275">IFERROR(BN282/SUM($BM282:$BR282),0)</f>
        <v>0.12752219531880549</v>
      </c>
      <c r="BC282" s="185">
        <f t="shared" ref="BC282:BC319" si="276">IFERROR(BO282/SUM($BM282:$BR282),0)</f>
        <v>4.3583535108958835E-2</v>
      </c>
      <c r="BD282" s="185">
        <f t="shared" ref="BD282:BD319" si="277">IFERROR(BP282/SUM($BM282:$BR282),0)</f>
        <v>0.33171912832929784</v>
      </c>
      <c r="BE282" s="185">
        <f t="shared" ref="BE282:BE319" si="278">IFERROR(BQ282/SUM($BM282:$BR282),0)</f>
        <v>0.22033898305084745</v>
      </c>
      <c r="BF282" s="205">
        <f t="shared" ref="BF282:BF319" si="279">IFERROR(BR282/SUM($BM282:$BR282),0)</f>
        <v>0.12671509281678772</v>
      </c>
      <c r="BG282" s="194">
        <v>144</v>
      </c>
      <c r="BH282" s="190">
        <v>92</v>
      </c>
      <c r="BI282" s="190">
        <v>23</v>
      </c>
      <c r="BJ282" s="190">
        <v>317</v>
      </c>
      <c r="BK282" s="190">
        <v>174</v>
      </c>
      <c r="BL282" s="195">
        <v>68</v>
      </c>
      <c r="BM282" s="194">
        <v>186</v>
      </c>
      <c r="BN282" s="190">
        <v>158</v>
      </c>
      <c r="BO282" s="190">
        <v>54</v>
      </c>
      <c r="BP282" s="190">
        <v>411</v>
      </c>
      <c r="BQ282" s="190">
        <v>273</v>
      </c>
      <c r="BR282" s="195">
        <v>157</v>
      </c>
    </row>
    <row r="283" spans="1:70" outlineLevel="1" x14ac:dyDescent="0.2">
      <c r="A283" s="20">
        <f t="shared" si="257"/>
        <v>3658</v>
      </c>
      <c r="B283" s="19" t="str">
        <f t="shared" si="257"/>
        <v>UT</v>
      </c>
      <c r="C283" s="18"/>
      <c r="D283" s="15">
        <v>9027</v>
      </c>
      <c r="E283" s="21">
        <v>0.83299999999999996</v>
      </c>
      <c r="F283" s="14">
        <v>33709.866666666669</v>
      </c>
      <c r="G283" s="13">
        <v>19422.050000001858</v>
      </c>
      <c r="H283" s="15">
        <v>1894</v>
      </c>
      <c r="I283" s="13">
        <v>60</v>
      </c>
      <c r="J283" s="214">
        <f t="shared" ref="J283:J318" si="280">P283</f>
        <v>4435.2798989547846</v>
      </c>
      <c r="K283" s="16">
        <v>3475</v>
      </c>
      <c r="L283" s="15">
        <v>9939</v>
      </c>
      <c r="M283" s="14">
        <v>8895</v>
      </c>
      <c r="N283" s="13">
        <v>7485</v>
      </c>
      <c r="P283" s="77">
        <f t="shared" ref="P283:P319" si="281">Q283*SUM(AE283:AJ283)</f>
        <v>4435.2798989547846</v>
      </c>
      <c r="Q283" s="98">
        <f t="shared" si="258"/>
        <v>0.78472751220006798</v>
      </c>
      <c r="R283" s="98">
        <f t="shared" ref="R283:R319" si="282">IFERROR(SUM(AE283:AJ283)/SUM(AK283:AP283),0)</f>
        <v>0.83264584560989985</v>
      </c>
      <c r="S283" s="199">
        <f t="shared" ref="S283:S319" si="283">IFERROR(AE283/AK283,0)</f>
        <v>0.84431137724550898</v>
      </c>
      <c r="T283" s="189">
        <f t="shared" si="259"/>
        <v>0.71231300345224391</v>
      </c>
      <c r="U283" s="189">
        <f t="shared" si="260"/>
        <v>0.58974358974358976</v>
      </c>
      <c r="V283" s="189">
        <f t="shared" si="261"/>
        <v>0.87112970711297066</v>
      </c>
      <c r="W283" s="189">
        <f t="shared" si="262"/>
        <v>0.81721034870641174</v>
      </c>
      <c r="X283" s="200">
        <f t="shared" si="263"/>
        <v>0.6875</v>
      </c>
      <c r="Y283" s="204">
        <f t="shared" ref="Y283:Y319" si="284">IFERROR(AK283/SUM($AK283:$AP283),0)</f>
        <v>7.3806717737183267E-2</v>
      </c>
      <c r="Z283" s="185">
        <f t="shared" si="264"/>
        <v>0.12802003535651149</v>
      </c>
      <c r="AA283" s="185">
        <f t="shared" si="265"/>
        <v>5.7454331172657634E-3</v>
      </c>
      <c r="AB283" s="185">
        <f t="shared" si="266"/>
        <v>0.5281378903948144</v>
      </c>
      <c r="AC283" s="185">
        <f t="shared" si="267"/>
        <v>0.26193282262816736</v>
      </c>
      <c r="AD283" s="205">
        <f t="shared" si="268"/>
        <v>2.3571007660577489E-3</v>
      </c>
      <c r="AE283" s="194">
        <v>423</v>
      </c>
      <c r="AF283" s="190">
        <v>619</v>
      </c>
      <c r="AG283" s="190">
        <v>23</v>
      </c>
      <c r="AH283" s="190">
        <v>3123</v>
      </c>
      <c r="AI283" s="190">
        <v>1453</v>
      </c>
      <c r="AJ283" s="195">
        <v>11</v>
      </c>
      <c r="AK283" s="194">
        <v>501</v>
      </c>
      <c r="AL283" s="190">
        <v>869</v>
      </c>
      <c r="AM283" s="190">
        <v>39</v>
      </c>
      <c r="AN283" s="190">
        <v>3585</v>
      </c>
      <c r="AO283" s="190">
        <v>1778</v>
      </c>
      <c r="AP283" s="195">
        <v>16</v>
      </c>
      <c r="AR283" s="77">
        <f t="shared" ref="AR283:AR319" si="285">AS283*SUM(BG283:BL283)</f>
        <v>2181.0622403622451</v>
      </c>
      <c r="AS283" s="98">
        <f t="shared" si="269"/>
        <v>0.69883442497989268</v>
      </c>
      <c r="AT283" s="98">
        <f t="shared" ref="AT283:AT319" si="286">IFERROR(SUM(BG283:BL283)/SUM(BM283:BR283),0)</f>
        <v>0.73504474799811592</v>
      </c>
      <c r="AU283" s="199">
        <f t="shared" ref="AU283:AU319" si="287">IFERROR(BG283/BM283,0)</f>
        <v>0.78224101479915431</v>
      </c>
      <c r="AV283" s="189">
        <f t="shared" si="270"/>
        <v>0.70567375886524819</v>
      </c>
      <c r="AW283" s="189">
        <f t="shared" si="271"/>
        <v>0.45238095238095238</v>
      </c>
      <c r="AX283" s="189">
        <f t="shared" si="272"/>
        <v>0.81646126760563376</v>
      </c>
      <c r="AY283" s="189">
        <f t="shared" si="273"/>
        <v>0.71180124223602481</v>
      </c>
      <c r="AZ283" s="200">
        <f t="shared" si="274"/>
        <v>0.28225806451612906</v>
      </c>
      <c r="BA283" s="204">
        <f t="shared" ref="BA283:BA319" si="288">IFERROR(BM283/SUM($BM283:$BR283),0)</f>
        <v>0.11139896373056994</v>
      </c>
      <c r="BB283" s="185">
        <f t="shared" si="275"/>
        <v>6.6415449835138959E-2</v>
      </c>
      <c r="BC283" s="185">
        <f t="shared" si="276"/>
        <v>9.8916627414036735E-3</v>
      </c>
      <c r="BD283" s="185">
        <f t="shared" si="277"/>
        <v>0.53509185115402735</v>
      </c>
      <c r="BE283" s="185">
        <f t="shared" si="278"/>
        <v>0.18959020254357042</v>
      </c>
      <c r="BF283" s="205">
        <f t="shared" si="279"/>
        <v>8.7611869995289679E-2</v>
      </c>
      <c r="BG283" s="194">
        <v>370</v>
      </c>
      <c r="BH283" s="190">
        <v>199</v>
      </c>
      <c r="BI283" s="190">
        <v>19</v>
      </c>
      <c r="BJ283" s="190">
        <v>1855</v>
      </c>
      <c r="BK283" s="190">
        <v>573</v>
      </c>
      <c r="BL283" s="195">
        <v>105</v>
      </c>
      <c r="BM283" s="194">
        <v>473</v>
      </c>
      <c r="BN283" s="190">
        <v>282</v>
      </c>
      <c r="BO283" s="190">
        <v>42</v>
      </c>
      <c r="BP283" s="190">
        <v>2272</v>
      </c>
      <c r="BQ283" s="190">
        <v>805</v>
      </c>
      <c r="BR283" s="195">
        <v>372</v>
      </c>
    </row>
    <row r="284" spans="1:70" outlineLevel="1" x14ac:dyDescent="0.2">
      <c r="A284" s="20">
        <f t="shared" si="257"/>
        <v>9741</v>
      </c>
      <c r="B284" s="19" t="str">
        <f t="shared" si="257"/>
        <v>UTD</v>
      </c>
      <c r="C284" s="18"/>
      <c r="D284" s="15">
        <v>2314</v>
      </c>
      <c r="E284" s="21">
        <v>0.68299999999999994</v>
      </c>
      <c r="F284" s="14">
        <v>8822.2000000000007</v>
      </c>
      <c r="G284" s="13">
        <v>4904.1700000000228</v>
      </c>
      <c r="H284" s="15">
        <v>424</v>
      </c>
      <c r="I284" s="13">
        <v>27</v>
      </c>
      <c r="J284" s="214">
        <f t="shared" si="280"/>
        <v>420.85011345820783</v>
      </c>
      <c r="K284" s="16">
        <v>1294</v>
      </c>
      <c r="L284" s="15">
        <v>3345</v>
      </c>
      <c r="M284" s="14">
        <v>2105</v>
      </c>
      <c r="N284" s="13">
        <v>1076</v>
      </c>
      <c r="P284" s="77">
        <f t="shared" si="281"/>
        <v>420.85011345820783</v>
      </c>
      <c r="Q284" s="98">
        <f t="shared" si="258"/>
        <v>0.59779845661677244</v>
      </c>
      <c r="R284" s="98">
        <f t="shared" si="282"/>
        <v>0.67047619047619045</v>
      </c>
      <c r="S284" s="199">
        <f t="shared" si="283"/>
        <v>0.72463768115942029</v>
      </c>
      <c r="T284" s="189">
        <f t="shared" si="259"/>
        <v>0.625</v>
      </c>
      <c r="U284" s="189">
        <f t="shared" si="260"/>
        <v>0.16666666666666666</v>
      </c>
      <c r="V284" s="189">
        <f t="shared" si="261"/>
        <v>0.69133574007220222</v>
      </c>
      <c r="W284" s="189">
        <f t="shared" si="262"/>
        <v>0.64784053156146182</v>
      </c>
      <c r="X284" s="200">
        <f t="shared" si="263"/>
        <v>0</v>
      </c>
      <c r="Y284" s="204">
        <f t="shared" si="284"/>
        <v>6.5714285714285711E-2</v>
      </c>
      <c r="Z284" s="185">
        <f t="shared" si="264"/>
        <v>0.11428571428571428</v>
      </c>
      <c r="AA284" s="185">
        <f t="shared" si="265"/>
        <v>5.7142857142857143E-3</v>
      </c>
      <c r="AB284" s="185">
        <f t="shared" si="266"/>
        <v>0.52761904761904765</v>
      </c>
      <c r="AC284" s="185">
        <f t="shared" si="267"/>
        <v>0.28666666666666668</v>
      </c>
      <c r="AD284" s="205">
        <f t="shared" si="268"/>
        <v>0</v>
      </c>
      <c r="AE284" s="194">
        <v>50</v>
      </c>
      <c r="AF284" s="190">
        <v>75</v>
      </c>
      <c r="AG284" s="190">
        <v>1</v>
      </c>
      <c r="AH284" s="190">
        <v>383</v>
      </c>
      <c r="AI284" s="190">
        <v>195</v>
      </c>
      <c r="AJ284" s="195">
        <v>0</v>
      </c>
      <c r="AK284" s="194">
        <v>69</v>
      </c>
      <c r="AL284" s="190">
        <v>120</v>
      </c>
      <c r="AM284" s="190">
        <v>6</v>
      </c>
      <c r="AN284" s="190">
        <v>554</v>
      </c>
      <c r="AO284" s="190">
        <v>301</v>
      </c>
      <c r="AP284" s="195">
        <v>0</v>
      </c>
      <c r="AR284" s="77">
        <f t="shared" si="285"/>
        <v>417.15880554630604</v>
      </c>
      <c r="AS284" s="98">
        <f t="shared" si="269"/>
        <v>0.67501424845680591</v>
      </c>
      <c r="AT284" s="98">
        <f t="shared" si="286"/>
        <v>0.72791519434628971</v>
      </c>
      <c r="AU284" s="199">
        <f t="shared" si="287"/>
        <v>0.7816091954022989</v>
      </c>
      <c r="AV284" s="189">
        <f t="shared" si="270"/>
        <v>0.58823529411764708</v>
      </c>
      <c r="AW284" s="189">
        <f t="shared" si="271"/>
        <v>0.6</v>
      </c>
      <c r="AX284" s="189">
        <f t="shared" si="272"/>
        <v>0.81233933161953731</v>
      </c>
      <c r="AY284" s="189">
        <f t="shared" si="273"/>
        <v>0.67539267015706805</v>
      </c>
      <c r="AZ284" s="200">
        <f t="shared" si="274"/>
        <v>0.56756756756756754</v>
      </c>
      <c r="BA284" s="204">
        <f t="shared" si="288"/>
        <v>0.10247349823321555</v>
      </c>
      <c r="BB284" s="185">
        <f t="shared" si="275"/>
        <v>6.0070671378091869E-2</v>
      </c>
      <c r="BC284" s="185">
        <f t="shared" si="276"/>
        <v>2.3557126030624265E-2</v>
      </c>
      <c r="BD284" s="185">
        <f t="shared" si="277"/>
        <v>0.45818610129564191</v>
      </c>
      <c r="BE284" s="185">
        <f t="shared" si="278"/>
        <v>0.22497055359246171</v>
      </c>
      <c r="BF284" s="205">
        <f t="shared" si="279"/>
        <v>0.13074204946996468</v>
      </c>
      <c r="BG284" s="194">
        <v>68</v>
      </c>
      <c r="BH284" s="190">
        <v>30</v>
      </c>
      <c r="BI284" s="190">
        <v>12</v>
      </c>
      <c r="BJ284" s="190">
        <v>316</v>
      </c>
      <c r="BK284" s="190">
        <v>129</v>
      </c>
      <c r="BL284" s="195">
        <v>63</v>
      </c>
      <c r="BM284" s="194">
        <v>87</v>
      </c>
      <c r="BN284" s="190">
        <v>51</v>
      </c>
      <c r="BO284" s="190">
        <v>20</v>
      </c>
      <c r="BP284" s="190">
        <v>389</v>
      </c>
      <c r="BQ284" s="190">
        <v>191</v>
      </c>
      <c r="BR284" s="195">
        <v>111</v>
      </c>
    </row>
    <row r="285" spans="1:70" outlineLevel="1" x14ac:dyDescent="0.2">
      <c r="A285" s="20">
        <f t="shared" si="257"/>
        <v>3661</v>
      </c>
      <c r="B285" s="19" t="str">
        <f t="shared" si="257"/>
        <v>UTEP</v>
      </c>
      <c r="C285" s="18"/>
      <c r="D285" s="15">
        <v>3008</v>
      </c>
      <c r="E285" s="21">
        <v>0.38400000000000001</v>
      </c>
      <c r="F285" s="14">
        <v>13376</v>
      </c>
      <c r="G285" s="13">
        <v>6142.7200000000885</v>
      </c>
      <c r="H285" s="15">
        <v>613</v>
      </c>
      <c r="I285" s="13">
        <v>91</v>
      </c>
      <c r="J285" s="214">
        <f t="shared" si="280"/>
        <v>284.6223773185128</v>
      </c>
      <c r="K285" s="16">
        <v>2409</v>
      </c>
      <c r="L285" s="15">
        <v>4488</v>
      </c>
      <c r="M285" s="14">
        <v>3404</v>
      </c>
      <c r="N285" s="13">
        <v>1910</v>
      </c>
      <c r="P285" s="77">
        <f t="shared" si="281"/>
        <v>284.6223773185128</v>
      </c>
      <c r="Q285" s="98">
        <f t="shared" si="258"/>
        <v>0.41979701669397168</v>
      </c>
      <c r="R285" s="98">
        <f t="shared" si="282"/>
        <v>0.36256684491978608</v>
      </c>
      <c r="S285" s="199">
        <f t="shared" si="283"/>
        <v>0.44</v>
      </c>
      <c r="T285" s="189">
        <f t="shared" si="259"/>
        <v>0.39361702127659576</v>
      </c>
      <c r="U285" s="189">
        <f t="shared" si="260"/>
        <v>0.19003115264797507</v>
      </c>
      <c r="V285" s="189">
        <f t="shared" si="261"/>
        <v>0.52380952380952384</v>
      </c>
      <c r="W285" s="189">
        <f t="shared" si="262"/>
        <v>0.44517184942716859</v>
      </c>
      <c r="X285" s="200">
        <f t="shared" si="263"/>
        <v>0.13445378151260504</v>
      </c>
      <c r="Y285" s="204">
        <f t="shared" si="284"/>
        <v>1.3368983957219251E-2</v>
      </c>
      <c r="Z285" s="185">
        <f t="shared" si="264"/>
        <v>0.4021390374331551</v>
      </c>
      <c r="AA285" s="185">
        <f t="shared" si="265"/>
        <v>0.17165775401069519</v>
      </c>
      <c r="AB285" s="185">
        <f t="shared" si="266"/>
        <v>2.2459893048128343E-2</v>
      </c>
      <c r="AC285" s="185">
        <f t="shared" si="267"/>
        <v>0.32673796791443849</v>
      </c>
      <c r="AD285" s="205">
        <f t="shared" si="268"/>
        <v>6.363636363636363E-2</v>
      </c>
      <c r="AE285" s="194">
        <v>11</v>
      </c>
      <c r="AF285" s="190">
        <v>296</v>
      </c>
      <c r="AG285" s="190">
        <v>61</v>
      </c>
      <c r="AH285" s="190">
        <v>22</v>
      </c>
      <c r="AI285" s="190">
        <v>272</v>
      </c>
      <c r="AJ285" s="195">
        <v>16</v>
      </c>
      <c r="AK285" s="194">
        <v>25</v>
      </c>
      <c r="AL285" s="190">
        <v>752</v>
      </c>
      <c r="AM285" s="190">
        <v>321</v>
      </c>
      <c r="AN285" s="190">
        <v>42</v>
      </c>
      <c r="AO285" s="190">
        <v>611</v>
      </c>
      <c r="AP285" s="195">
        <v>119</v>
      </c>
      <c r="AR285" s="77">
        <f t="shared" si="285"/>
        <v>281.2334107147156</v>
      </c>
      <c r="AS285" s="98">
        <f t="shared" si="269"/>
        <v>0.55470100732685523</v>
      </c>
      <c r="AT285" s="98">
        <f t="shared" si="286"/>
        <v>0.63454317897371715</v>
      </c>
      <c r="AU285" s="199">
        <f t="shared" si="287"/>
        <v>0.76106194690265483</v>
      </c>
      <c r="AV285" s="189">
        <f t="shared" si="270"/>
        <v>0.56578947368421051</v>
      </c>
      <c r="AW285" s="189">
        <f t="shared" si="271"/>
        <v>0.36363636363636365</v>
      </c>
      <c r="AX285" s="189">
        <f t="shared" si="272"/>
        <v>0.74384236453201968</v>
      </c>
      <c r="AY285" s="189">
        <f t="shared" si="273"/>
        <v>0.51020408163265307</v>
      </c>
      <c r="AZ285" s="200">
        <f t="shared" si="274"/>
        <v>0.30612244897959184</v>
      </c>
      <c r="BA285" s="204">
        <f t="shared" si="288"/>
        <v>0.2828535669586984</v>
      </c>
      <c r="BB285" s="185">
        <f t="shared" si="275"/>
        <v>0.1902377972465582</v>
      </c>
      <c r="BC285" s="185">
        <f t="shared" si="276"/>
        <v>2.7534418022528161E-2</v>
      </c>
      <c r="BD285" s="185">
        <f t="shared" si="277"/>
        <v>0.25406758448060074</v>
      </c>
      <c r="BE285" s="185">
        <f t="shared" si="278"/>
        <v>0.18397997496871088</v>
      </c>
      <c r="BF285" s="205">
        <f t="shared" si="279"/>
        <v>6.1326658322903627E-2</v>
      </c>
      <c r="BG285" s="194">
        <v>172</v>
      </c>
      <c r="BH285" s="190">
        <v>86</v>
      </c>
      <c r="BI285" s="190">
        <v>8</v>
      </c>
      <c r="BJ285" s="190">
        <v>151</v>
      </c>
      <c r="BK285" s="190">
        <v>75</v>
      </c>
      <c r="BL285" s="195">
        <v>15</v>
      </c>
      <c r="BM285" s="194">
        <v>226</v>
      </c>
      <c r="BN285" s="190">
        <v>152</v>
      </c>
      <c r="BO285" s="190">
        <v>22</v>
      </c>
      <c r="BP285" s="190">
        <v>203</v>
      </c>
      <c r="BQ285" s="190">
        <v>147</v>
      </c>
      <c r="BR285" s="195">
        <v>49</v>
      </c>
    </row>
    <row r="286" spans="1:70" outlineLevel="1" x14ac:dyDescent="0.2">
      <c r="A286" s="20">
        <f t="shared" si="257"/>
        <v>3599</v>
      </c>
      <c r="B286" s="19" t="str">
        <f t="shared" si="257"/>
        <v>UTPA</v>
      </c>
      <c r="C286" s="18"/>
      <c r="D286" s="15">
        <v>2658</v>
      </c>
      <c r="E286" s="21">
        <v>0.46399999999999997</v>
      </c>
      <c r="F286" s="14">
        <v>12499.266666666666</v>
      </c>
      <c r="G286" s="13">
        <v>5231.3300000001427</v>
      </c>
      <c r="H286" s="15">
        <v>534</v>
      </c>
      <c r="I286" s="13">
        <v>34</v>
      </c>
      <c r="J286" s="214">
        <f t="shared" si="280"/>
        <v>554.60255787692995</v>
      </c>
      <c r="K286" s="16">
        <v>2427</v>
      </c>
      <c r="L286" s="15">
        <v>4142</v>
      </c>
      <c r="M286" s="14">
        <v>3290</v>
      </c>
      <c r="N286" s="13">
        <v>1998</v>
      </c>
      <c r="P286" s="77">
        <f t="shared" si="281"/>
        <v>554.60255787692995</v>
      </c>
      <c r="Q286" s="98">
        <f t="shared" si="258"/>
        <v>0.53327169026627885</v>
      </c>
      <c r="R286" s="98">
        <f t="shared" si="282"/>
        <v>0.45774647887323944</v>
      </c>
      <c r="S286" s="199">
        <f t="shared" si="283"/>
        <v>0.68965517241379315</v>
      </c>
      <c r="T286" s="189">
        <f t="shared" si="259"/>
        <v>0.48021390374331552</v>
      </c>
      <c r="U286" s="189">
        <f t="shared" si="260"/>
        <v>0.34947368421052633</v>
      </c>
      <c r="V286" s="189">
        <f t="shared" si="261"/>
        <v>0.7407407407407407</v>
      </c>
      <c r="W286" s="189">
        <f t="shared" si="262"/>
        <v>0.5122349102773246</v>
      </c>
      <c r="X286" s="200">
        <f t="shared" si="263"/>
        <v>0.30722891566265059</v>
      </c>
      <c r="Y286" s="204">
        <f t="shared" si="284"/>
        <v>1.2764084507042254E-2</v>
      </c>
      <c r="Z286" s="185">
        <f t="shared" si="264"/>
        <v>0.41153169014084506</v>
      </c>
      <c r="AA286" s="185">
        <f t="shared" si="265"/>
        <v>0.20906690140845072</v>
      </c>
      <c r="AB286" s="185">
        <f t="shared" si="266"/>
        <v>2.3767605633802816E-2</v>
      </c>
      <c r="AC286" s="185">
        <f t="shared" si="267"/>
        <v>0.269806338028169</v>
      </c>
      <c r="AD286" s="205">
        <f t="shared" si="268"/>
        <v>7.3063380281690141E-2</v>
      </c>
      <c r="AE286" s="194">
        <v>20</v>
      </c>
      <c r="AF286" s="190">
        <v>449</v>
      </c>
      <c r="AG286" s="190">
        <v>166</v>
      </c>
      <c r="AH286" s="190">
        <v>40</v>
      </c>
      <c r="AI286" s="190">
        <v>314</v>
      </c>
      <c r="AJ286" s="195">
        <v>51</v>
      </c>
      <c r="AK286" s="194">
        <v>29</v>
      </c>
      <c r="AL286" s="190">
        <v>935</v>
      </c>
      <c r="AM286" s="190">
        <v>475</v>
      </c>
      <c r="AN286" s="190">
        <v>54</v>
      </c>
      <c r="AO286" s="190">
        <v>613</v>
      </c>
      <c r="AP286" s="195">
        <v>166</v>
      </c>
      <c r="AR286" s="77">
        <f t="shared" si="285"/>
        <v>278.59155828536882</v>
      </c>
      <c r="AS286" s="98">
        <f t="shared" si="269"/>
        <v>0.61228913908872273</v>
      </c>
      <c r="AT286" s="98">
        <f t="shared" si="286"/>
        <v>0.65</v>
      </c>
      <c r="AU286" s="199">
        <f t="shared" si="287"/>
        <v>0.77551020408163263</v>
      </c>
      <c r="AV286" s="189">
        <f t="shared" si="270"/>
        <v>0.61809045226130654</v>
      </c>
      <c r="AW286" s="189">
        <f t="shared" si="271"/>
        <v>0.38461538461538464</v>
      </c>
      <c r="AX286" s="189">
        <f t="shared" si="272"/>
        <v>0.7767857142857143</v>
      </c>
      <c r="AY286" s="189">
        <f t="shared" si="273"/>
        <v>0.58762886597938147</v>
      </c>
      <c r="AZ286" s="200">
        <f t="shared" si="274"/>
        <v>0.36363636363636365</v>
      </c>
      <c r="BA286" s="204">
        <f t="shared" si="288"/>
        <v>0.28000000000000003</v>
      </c>
      <c r="BB286" s="185">
        <f t="shared" si="275"/>
        <v>0.28428571428571431</v>
      </c>
      <c r="BC286" s="185">
        <f t="shared" si="276"/>
        <v>7.4285714285714288E-2</v>
      </c>
      <c r="BD286" s="185">
        <f t="shared" si="277"/>
        <v>0.16</v>
      </c>
      <c r="BE286" s="185">
        <f t="shared" si="278"/>
        <v>0.13857142857142857</v>
      </c>
      <c r="BF286" s="205">
        <f t="shared" si="279"/>
        <v>6.2857142857142861E-2</v>
      </c>
      <c r="BG286" s="194">
        <v>152</v>
      </c>
      <c r="BH286" s="190">
        <v>123</v>
      </c>
      <c r="BI286" s="190">
        <v>20</v>
      </c>
      <c r="BJ286" s="190">
        <v>87</v>
      </c>
      <c r="BK286" s="190">
        <v>57</v>
      </c>
      <c r="BL286" s="195">
        <v>16</v>
      </c>
      <c r="BM286" s="194">
        <v>196</v>
      </c>
      <c r="BN286" s="190">
        <v>199</v>
      </c>
      <c r="BO286" s="190">
        <v>52</v>
      </c>
      <c r="BP286" s="190">
        <v>112</v>
      </c>
      <c r="BQ286" s="190">
        <v>97</v>
      </c>
      <c r="BR286" s="195">
        <v>44</v>
      </c>
    </row>
    <row r="287" spans="1:70" outlineLevel="1" x14ac:dyDescent="0.2">
      <c r="A287" s="20">
        <f t="shared" si="257"/>
        <v>30646</v>
      </c>
      <c r="B287" s="19" t="str">
        <f t="shared" si="257"/>
        <v>UTB</v>
      </c>
      <c r="C287" s="18"/>
      <c r="D287" s="15">
        <v>1075</v>
      </c>
      <c r="E287" s="17">
        <v>0.55124653739612184</v>
      </c>
      <c r="F287" s="14">
        <v>3116.2</v>
      </c>
      <c r="G287" s="13">
        <v>2052.0600000000218</v>
      </c>
      <c r="H287" s="15">
        <v>132</v>
      </c>
      <c r="I287" s="13">
        <v>15</v>
      </c>
      <c r="J287" s="214">
        <f>AR287</f>
        <v>44.551636608281235</v>
      </c>
      <c r="K287" s="16">
        <v>916</v>
      </c>
      <c r="L287" s="15">
        <v>1359</v>
      </c>
      <c r="M287" s="14">
        <v>600</v>
      </c>
      <c r="N287" s="13">
        <v>131</v>
      </c>
      <c r="P287" s="77">
        <f t="shared" si="281"/>
        <v>0</v>
      </c>
      <c r="Q287" s="98">
        <f t="shared" si="258"/>
        <v>0</v>
      </c>
      <c r="R287" s="98">
        <f t="shared" si="282"/>
        <v>0</v>
      </c>
      <c r="S287" s="199">
        <f t="shared" si="283"/>
        <v>0</v>
      </c>
      <c r="T287" s="189">
        <f t="shared" si="259"/>
        <v>0</v>
      </c>
      <c r="U287" s="189">
        <f t="shared" si="260"/>
        <v>0</v>
      </c>
      <c r="V287" s="189">
        <f t="shared" si="261"/>
        <v>0</v>
      </c>
      <c r="W287" s="189">
        <f t="shared" si="262"/>
        <v>0</v>
      </c>
      <c r="X287" s="200">
        <f t="shared" si="263"/>
        <v>0</v>
      </c>
      <c r="Y287" s="204">
        <f t="shared" si="284"/>
        <v>0</v>
      </c>
      <c r="Z287" s="185">
        <f t="shared" si="264"/>
        <v>0</v>
      </c>
      <c r="AA287" s="185">
        <f t="shared" si="265"/>
        <v>0</v>
      </c>
      <c r="AB287" s="185">
        <f t="shared" si="266"/>
        <v>0</v>
      </c>
      <c r="AC287" s="185">
        <f t="shared" si="267"/>
        <v>0</v>
      </c>
      <c r="AD287" s="205">
        <f t="shared" si="268"/>
        <v>0</v>
      </c>
      <c r="AE287" s="194">
        <v>0</v>
      </c>
      <c r="AF287" s="190">
        <v>0</v>
      </c>
      <c r="AG287" s="190">
        <v>0</v>
      </c>
      <c r="AH287" s="190">
        <v>0</v>
      </c>
      <c r="AI287" s="190">
        <v>0</v>
      </c>
      <c r="AJ287" s="195">
        <v>0</v>
      </c>
      <c r="AK287" s="194">
        <v>0</v>
      </c>
      <c r="AL287" s="190">
        <v>0</v>
      </c>
      <c r="AM287" s="190">
        <v>0</v>
      </c>
      <c r="AN287" s="190">
        <v>0</v>
      </c>
      <c r="AO287" s="190">
        <v>0</v>
      </c>
      <c r="AP287" s="195">
        <v>0</v>
      </c>
      <c r="AR287" s="77">
        <f t="shared" si="285"/>
        <v>44.551636608281235</v>
      </c>
      <c r="AS287" s="98">
        <f t="shared" si="269"/>
        <v>0.6961193220043943</v>
      </c>
      <c r="AT287" s="98">
        <f t="shared" si="286"/>
        <v>0.77108433734939763</v>
      </c>
      <c r="AU287" s="199">
        <f t="shared" si="287"/>
        <v>0.90625</v>
      </c>
      <c r="AV287" s="189">
        <f t="shared" si="270"/>
        <v>0.54545454545454541</v>
      </c>
      <c r="AW287" s="189">
        <f t="shared" si="271"/>
        <v>0</v>
      </c>
      <c r="AX287" s="189">
        <f t="shared" si="272"/>
        <v>0.77777777777777779</v>
      </c>
      <c r="AY287" s="189">
        <f t="shared" si="273"/>
        <v>0.8</v>
      </c>
      <c r="AZ287" s="200">
        <f t="shared" si="274"/>
        <v>1</v>
      </c>
      <c r="BA287" s="204">
        <f t="shared" si="288"/>
        <v>0.38554216867469882</v>
      </c>
      <c r="BB287" s="185">
        <f t="shared" si="275"/>
        <v>0.26506024096385544</v>
      </c>
      <c r="BC287" s="185">
        <f t="shared" si="276"/>
        <v>0</v>
      </c>
      <c r="BD287" s="185">
        <f t="shared" si="277"/>
        <v>0.21686746987951808</v>
      </c>
      <c r="BE287" s="185">
        <f t="shared" si="278"/>
        <v>0.12048192771084337</v>
      </c>
      <c r="BF287" s="205">
        <f t="shared" si="279"/>
        <v>1.2048192771084338E-2</v>
      </c>
      <c r="BG287" s="194">
        <v>29</v>
      </c>
      <c r="BH287" s="190">
        <v>12</v>
      </c>
      <c r="BI287" s="190">
        <v>0</v>
      </c>
      <c r="BJ287" s="190">
        <v>14</v>
      </c>
      <c r="BK287" s="190">
        <v>8</v>
      </c>
      <c r="BL287" s="195">
        <v>1</v>
      </c>
      <c r="BM287" s="194">
        <v>32</v>
      </c>
      <c r="BN287" s="190">
        <v>22</v>
      </c>
      <c r="BO287" s="190">
        <v>0</v>
      </c>
      <c r="BP287" s="190">
        <v>18</v>
      </c>
      <c r="BQ287" s="190">
        <v>10</v>
      </c>
      <c r="BR287" s="195">
        <v>1</v>
      </c>
    </row>
    <row r="288" spans="1:70" outlineLevel="1" x14ac:dyDescent="0.2">
      <c r="A288" s="20">
        <f t="shared" si="257"/>
        <v>9930</v>
      </c>
      <c r="B288" s="19" t="str">
        <f t="shared" si="257"/>
        <v>UTPB</v>
      </c>
      <c r="C288" s="18"/>
      <c r="D288" s="15">
        <v>541</v>
      </c>
      <c r="E288" s="21">
        <v>0.40700000000000003</v>
      </c>
      <c r="F288" s="14">
        <v>2416</v>
      </c>
      <c r="G288" s="13">
        <v>1005.1500000000051</v>
      </c>
      <c r="H288" s="15">
        <v>40</v>
      </c>
      <c r="I288" s="13">
        <v>10</v>
      </c>
      <c r="J288" s="214">
        <f t="shared" si="280"/>
        <v>53.68297508638765</v>
      </c>
      <c r="K288" s="16">
        <v>407</v>
      </c>
      <c r="L288" s="15">
        <v>908</v>
      </c>
      <c r="M288" s="14">
        <v>490</v>
      </c>
      <c r="N288" s="13">
        <v>191</v>
      </c>
      <c r="P288" s="77">
        <f t="shared" si="281"/>
        <v>53.68297508638765</v>
      </c>
      <c r="Q288" s="98">
        <f t="shared" si="258"/>
        <v>0.43644695192185079</v>
      </c>
      <c r="R288" s="98">
        <f t="shared" si="282"/>
        <v>0.41</v>
      </c>
      <c r="S288" s="199">
        <f t="shared" si="283"/>
        <v>1</v>
      </c>
      <c r="T288" s="189">
        <f t="shared" si="259"/>
        <v>0.36274509803921567</v>
      </c>
      <c r="U288" s="189">
        <f t="shared" si="260"/>
        <v>0.46153846153846156</v>
      </c>
      <c r="V288" s="189">
        <f t="shared" si="261"/>
        <v>0.5</v>
      </c>
      <c r="W288" s="189">
        <f t="shared" si="262"/>
        <v>0.41358024691358025</v>
      </c>
      <c r="X288" s="200">
        <f t="shared" si="263"/>
        <v>0.375</v>
      </c>
      <c r="Y288" s="204">
        <f t="shared" si="284"/>
        <v>1.6666666666666666E-2</v>
      </c>
      <c r="Z288" s="185">
        <f t="shared" si="264"/>
        <v>0.34</v>
      </c>
      <c r="AA288" s="185">
        <f t="shared" si="265"/>
        <v>4.3333333333333335E-2</v>
      </c>
      <c r="AB288" s="185">
        <f t="shared" si="266"/>
        <v>3.3333333333333333E-2</v>
      </c>
      <c r="AC288" s="185">
        <f t="shared" si="267"/>
        <v>0.54</v>
      </c>
      <c r="AD288" s="205">
        <f t="shared" si="268"/>
        <v>2.6666666666666668E-2</v>
      </c>
      <c r="AE288" s="194">
        <v>5</v>
      </c>
      <c r="AF288" s="190">
        <v>37</v>
      </c>
      <c r="AG288" s="190">
        <v>6</v>
      </c>
      <c r="AH288" s="190">
        <v>5</v>
      </c>
      <c r="AI288" s="190">
        <v>67</v>
      </c>
      <c r="AJ288" s="195">
        <v>3</v>
      </c>
      <c r="AK288" s="194">
        <v>5</v>
      </c>
      <c r="AL288" s="190">
        <v>102</v>
      </c>
      <c r="AM288" s="190">
        <v>13</v>
      </c>
      <c r="AN288" s="190">
        <v>10</v>
      </c>
      <c r="AO288" s="190">
        <v>162</v>
      </c>
      <c r="AP288" s="195">
        <v>8</v>
      </c>
      <c r="AR288" s="77">
        <f t="shared" si="285"/>
        <v>76.080272981009415</v>
      </c>
      <c r="AS288" s="98">
        <f t="shared" si="269"/>
        <v>0.62876258661991247</v>
      </c>
      <c r="AT288" s="98">
        <f t="shared" si="286"/>
        <v>0.69142857142857139</v>
      </c>
      <c r="AU288" s="199">
        <f t="shared" si="287"/>
        <v>0.90909090909090906</v>
      </c>
      <c r="AV288" s="189">
        <f t="shared" si="270"/>
        <v>0.62068965517241381</v>
      </c>
      <c r="AW288" s="189">
        <f t="shared" si="271"/>
        <v>0.55555555555555558</v>
      </c>
      <c r="AX288" s="189">
        <f t="shared" si="272"/>
        <v>0.77464788732394363</v>
      </c>
      <c r="AY288" s="189">
        <f t="shared" si="273"/>
        <v>0.58333333333333337</v>
      </c>
      <c r="AZ288" s="200">
        <f t="shared" si="274"/>
        <v>0.45</v>
      </c>
      <c r="BA288" s="204">
        <f t="shared" si="288"/>
        <v>0.12571428571428572</v>
      </c>
      <c r="BB288" s="185">
        <f t="shared" si="275"/>
        <v>0.1657142857142857</v>
      </c>
      <c r="BC288" s="185">
        <f t="shared" si="276"/>
        <v>5.1428571428571428E-2</v>
      </c>
      <c r="BD288" s="185">
        <f t="shared" si="277"/>
        <v>0.40571428571428569</v>
      </c>
      <c r="BE288" s="185">
        <f t="shared" si="278"/>
        <v>0.13714285714285715</v>
      </c>
      <c r="BF288" s="205">
        <f t="shared" si="279"/>
        <v>0.11428571428571428</v>
      </c>
      <c r="BG288" s="194">
        <v>20</v>
      </c>
      <c r="BH288" s="190">
        <v>18</v>
      </c>
      <c r="BI288" s="190">
        <v>5</v>
      </c>
      <c r="BJ288" s="190">
        <v>55</v>
      </c>
      <c r="BK288" s="190">
        <v>14</v>
      </c>
      <c r="BL288" s="195">
        <v>9</v>
      </c>
      <c r="BM288" s="194">
        <v>22</v>
      </c>
      <c r="BN288" s="190">
        <v>29</v>
      </c>
      <c r="BO288" s="190">
        <v>9</v>
      </c>
      <c r="BP288" s="190">
        <v>71</v>
      </c>
      <c r="BQ288" s="190">
        <v>24</v>
      </c>
      <c r="BR288" s="195">
        <v>20</v>
      </c>
    </row>
    <row r="289" spans="1:70" outlineLevel="1" x14ac:dyDescent="0.2">
      <c r="A289" s="20">
        <f t="shared" si="257"/>
        <v>10115</v>
      </c>
      <c r="B289" s="19" t="str">
        <f t="shared" si="257"/>
        <v>UTSA</v>
      </c>
      <c r="C289" s="18"/>
      <c r="D289" s="15">
        <v>4148</v>
      </c>
      <c r="E289" s="21">
        <v>0.39400000000000002</v>
      </c>
      <c r="F289" s="14">
        <v>20284.733333333334</v>
      </c>
      <c r="G289" s="13">
        <v>8398.8499999997166</v>
      </c>
      <c r="H289" s="15">
        <v>394</v>
      </c>
      <c r="I289" s="13">
        <v>47</v>
      </c>
      <c r="J289" s="214">
        <f t="shared" si="280"/>
        <v>540.5809186766694</v>
      </c>
      <c r="K289" s="16">
        <v>3211</v>
      </c>
      <c r="L289" s="15">
        <v>6802</v>
      </c>
      <c r="M289" s="14">
        <v>4390</v>
      </c>
      <c r="N289" s="13">
        <v>2699</v>
      </c>
      <c r="P289" s="77">
        <f t="shared" si="281"/>
        <v>540.5809186766694</v>
      </c>
      <c r="Q289" s="98">
        <f t="shared" si="258"/>
        <v>0.40829374522407058</v>
      </c>
      <c r="R289" s="98">
        <f t="shared" si="282"/>
        <v>0.38906846899794301</v>
      </c>
      <c r="S289" s="199">
        <f t="shared" si="283"/>
        <v>0.53191489361702127</v>
      </c>
      <c r="T289" s="189">
        <f t="shared" si="259"/>
        <v>0.35059331175836028</v>
      </c>
      <c r="U289" s="189">
        <f t="shared" si="260"/>
        <v>0.23021582733812951</v>
      </c>
      <c r="V289" s="189">
        <f t="shared" si="261"/>
        <v>0.55319148936170215</v>
      </c>
      <c r="W289" s="189">
        <f t="shared" si="262"/>
        <v>0.40909090909090912</v>
      </c>
      <c r="X289" s="200">
        <f t="shared" si="263"/>
        <v>0.25694444444444442</v>
      </c>
      <c r="Y289" s="204">
        <f t="shared" si="284"/>
        <v>1.3811342932706435E-2</v>
      </c>
      <c r="Z289" s="185">
        <f t="shared" si="264"/>
        <v>0.27240669997061417</v>
      </c>
      <c r="AA289" s="185">
        <f t="shared" si="265"/>
        <v>4.0846312077578606E-2</v>
      </c>
      <c r="AB289" s="185">
        <f t="shared" si="266"/>
        <v>5.5245371730825742E-2</v>
      </c>
      <c r="AC289" s="185">
        <f t="shared" si="267"/>
        <v>0.57537466940934467</v>
      </c>
      <c r="AD289" s="205">
        <f t="shared" si="268"/>
        <v>4.2315603878930352E-2</v>
      </c>
      <c r="AE289" s="194">
        <v>25</v>
      </c>
      <c r="AF289" s="190">
        <v>325</v>
      </c>
      <c r="AG289" s="190">
        <v>32</v>
      </c>
      <c r="AH289" s="190">
        <v>104</v>
      </c>
      <c r="AI289" s="190">
        <v>801</v>
      </c>
      <c r="AJ289" s="195">
        <v>37</v>
      </c>
      <c r="AK289" s="194">
        <v>47</v>
      </c>
      <c r="AL289" s="190">
        <v>927</v>
      </c>
      <c r="AM289" s="190">
        <v>139</v>
      </c>
      <c r="AN289" s="190">
        <v>188</v>
      </c>
      <c r="AO289" s="190">
        <v>1958</v>
      </c>
      <c r="AP289" s="195">
        <v>144</v>
      </c>
      <c r="AR289" s="77">
        <f t="shared" si="285"/>
        <v>585.62293165576318</v>
      </c>
      <c r="AS289" s="98">
        <f t="shared" si="269"/>
        <v>0.61129742344025384</v>
      </c>
      <c r="AT289" s="98">
        <f t="shared" si="286"/>
        <v>0.63994655978623916</v>
      </c>
      <c r="AU289" s="199">
        <f t="shared" si="287"/>
        <v>0.73891625615763545</v>
      </c>
      <c r="AV289" s="189">
        <f t="shared" si="270"/>
        <v>0.61025641025641031</v>
      </c>
      <c r="AW289" s="189">
        <f t="shared" si="271"/>
        <v>0.33870967741935482</v>
      </c>
      <c r="AX289" s="189">
        <f t="shared" si="272"/>
        <v>0.79020979020979021</v>
      </c>
      <c r="AY289" s="189">
        <f t="shared" si="273"/>
        <v>0.59414225941422594</v>
      </c>
      <c r="AZ289" s="200">
        <f t="shared" si="274"/>
        <v>0.34615384615384615</v>
      </c>
      <c r="BA289" s="204">
        <f t="shared" si="288"/>
        <v>0.13560454241816966</v>
      </c>
      <c r="BB289" s="185">
        <f t="shared" si="275"/>
        <v>0.13026052104208416</v>
      </c>
      <c r="BC289" s="185">
        <f t="shared" si="276"/>
        <v>4.1416165664662656E-2</v>
      </c>
      <c r="BD289" s="185">
        <f t="shared" si="277"/>
        <v>0.28657314629258518</v>
      </c>
      <c r="BE289" s="185">
        <f t="shared" si="278"/>
        <v>0.31930527722110891</v>
      </c>
      <c r="BF289" s="205">
        <f t="shared" si="279"/>
        <v>8.6840347361389444E-2</v>
      </c>
      <c r="BG289" s="194">
        <v>150</v>
      </c>
      <c r="BH289" s="190">
        <v>119</v>
      </c>
      <c r="BI289" s="190">
        <v>21</v>
      </c>
      <c r="BJ289" s="190">
        <v>339</v>
      </c>
      <c r="BK289" s="190">
        <v>284</v>
      </c>
      <c r="BL289" s="195">
        <v>45</v>
      </c>
      <c r="BM289" s="194">
        <v>203</v>
      </c>
      <c r="BN289" s="190">
        <v>195</v>
      </c>
      <c r="BO289" s="190">
        <v>62</v>
      </c>
      <c r="BP289" s="190">
        <v>429</v>
      </c>
      <c r="BQ289" s="190">
        <v>478</v>
      </c>
      <c r="BR289" s="195">
        <v>130</v>
      </c>
    </row>
    <row r="290" spans="1:70" outlineLevel="1" x14ac:dyDescent="0.2">
      <c r="A290" s="20">
        <f t="shared" si="257"/>
        <v>11163</v>
      </c>
      <c r="B290" s="19" t="str">
        <f t="shared" si="257"/>
        <v>UTT</v>
      </c>
      <c r="C290" s="18"/>
      <c r="D290" s="15">
        <v>1188</v>
      </c>
      <c r="E290" s="21">
        <v>0.53300000000000003</v>
      </c>
      <c r="F290" s="14">
        <v>4030.7333333333331</v>
      </c>
      <c r="G290" s="13">
        <v>2364.9800000000037</v>
      </c>
      <c r="H290" s="15">
        <v>366</v>
      </c>
      <c r="I290" s="13">
        <v>9</v>
      </c>
      <c r="J290" s="214">
        <f t="shared" si="280"/>
        <v>162.18732767375138</v>
      </c>
      <c r="K290" s="16">
        <v>939</v>
      </c>
      <c r="L290" s="15">
        <v>1496</v>
      </c>
      <c r="M290" s="14">
        <v>905</v>
      </c>
      <c r="N290" s="13">
        <v>401</v>
      </c>
      <c r="P290" s="77">
        <f t="shared" si="281"/>
        <v>162.18732767375138</v>
      </c>
      <c r="Q290" s="98">
        <f t="shared" si="258"/>
        <v>0.53351094629523477</v>
      </c>
      <c r="R290" s="98">
        <f t="shared" si="282"/>
        <v>0.53146853146853146</v>
      </c>
      <c r="S290" s="199">
        <f t="shared" si="283"/>
        <v>0.53846153846153844</v>
      </c>
      <c r="T290" s="189">
        <f t="shared" si="259"/>
        <v>0.49484536082474229</v>
      </c>
      <c r="U290" s="189">
        <f t="shared" si="260"/>
        <v>0.375</v>
      </c>
      <c r="V290" s="189">
        <f t="shared" si="261"/>
        <v>0.66666666666666663</v>
      </c>
      <c r="W290" s="189">
        <f t="shared" si="262"/>
        <v>0.53581661891117482</v>
      </c>
      <c r="X290" s="200">
        <f t="shared" si="263"/>
        <v>0.3611111111111111</v>
      </c>
      <c r="Y290" s="204">
        <f t="shared" si="284"/>
        <v>2.2727272727272728E-2</v>
      </c>
      <c r="Z290" s="185">
        <f t="shared" si="264"/>
        <v>0.16958041958041958</v>
      </c>
      <c r="AA290" s="185">
        <f t="shared" si="265"/>
        <v>1.3986013986013986E-2</v>
      </c>
      <c r="AB290" s="185">
        <f t="shared" si="266"/>
        <v>0.12062937062937062</v>
      </c>
      <c r="AC290" s="185">
        <f t="shared" si="267"/>
        <v>0.6101398601398601</v>
      </c>
      <c r="AD290" s="205">
        <f t="shared" si="268"/>
        <v>6.2937062937062943E-2</v>
      </c>
      <c r="AE290" s="194">
        <v>7</v>
      </c>
      <c r="AF290" s="190">
        <v>48</v>
      </c>
      <c r="AG290" s="190">
        <v>3</v>
      </c>
      <c r="AH290" s="190">
        <v>46</v>
      </c>
      <c r="AI290" s="190">
        <v>187</v>
      </c>
      <c r="AJ290" s="195">
        <v>13</v>
      </c>
      <c r="AK290" s="194">
        <v>13</v>
      </c>
      <c r="AL290" s="190">
        <v>97</v>
      </c>
      <c r="AM290" s="190">
        <v>8</v>
      </c>
      <c r="AN290" s="190">
        <v>69</v>
      </c>
      <c r="AO290" s="190">
        <v>349</v>
      </c>
      <c r="AP290" s="195">
        <v>36</v>
      </c>
      <c r="AR290" s="77">
        <f t="shared" si="285"/>
        <v>129.0680606921207</v>
      </c>
      <c r="AS290" s="98">
        <f t="shared" si="269"/>
        <v>0.57619669951839603</v>
      </c>
      <c r="AT290" s="98">
        <f t="shared" si="286"/>
        <v>0.5879265091863517</v>
      </c>
      <c r="AU290" s="199">
        <f t="shared" si="287"/>
        <v>0.68852459016393441</v>
      </c>
      <c r="AV290" s="189">
        <f t="shared" si="270"/>
        <v>0.38461538461538464</v>
      </c>
      <c r="AW290" s="189">
        <f t="shared" si="271"/>
        <v>0.30303030303030304</v>
      </c>
      <c r="AX290" s="189">
        <f t="shared" si="272"/>
        <v>0.72477064220183485</v>
      </c>
      <c r="AY290" s="189">
        <f t="shared" si="273"/>
        <v>0.65979381443298968</v>
      </c>
      <c r="AZ290" s="200">
        <f t="shared" si="274"/>
        <v>0.33333333333333331</v>
      </c>
      <c r="BA290" s="204">
        <f t="shared" si="288"/>
        <v>0.16010498687664043</v>
      </c>
      <c r="BB290" s="185">
        <f t="shared" si="275"/>
        <v>0.10236220472440945</v>
      </c>
      <c r="BC290" s="185">
        <f t="shared" si="276"/>
        <v>8.6614173228346455E-2</v>
      </c>
      <c r="BD290" s="185">
        <f t="shared" si="277"/>
        <v>0.28608923884514437</v>
      </c>
      <c r="BE290" s="185">
        <f t="shared" si="278"/>
        <v>0.25459317585301838</v>
      </c>
      <c r="BF290" s="205">
        <f t="shared" si="279"/>
        <v>0.11023622047244094</v>
      </c>
      <c r="BG290" s="194">
        <v>42</v>
      </c>
      <c r="BH290" s="190">
        <v>15</v>
      </c>
      <c r="BI290" s="190">
        <v>10</v>
      </c>
      <c r="BJ290" s="190">
        <v>79</v>
      </c>
      <c r="BK290" s="190">
        <v>64</v>
      </c>
      <c r="BL290" s="195">
        <v>14</v>
      </c>
      <c r="BM290" s="194">
        <v>61</v>
      </c>
      <c r="BN290" s="190">
        <v>39</v>
      </c>
      <c r="BO290" s="190">
        <v>33</v>
      </c>
      <c r="BP290" s="190">
        <v>109</v>
      </c>
      <c r="BQ290" s="190">
        <v>97</v>
      </c>
      <c r="BR290" s="195">
        <v>42</v>
      </c>
    </row>
    <row r="291" spans="1:70" outlineLevel="1" x14ac:dyDescent="0.2">
      <c r="A291" s="20">
        <f t="shared" si="257"/>
        <v>3632</v>
      </c>
      <c r="B291" s="19" t="str">
        <f t="shared" si="257"/>
        <v>TAMU</v>
      </c>
      <c r="C291" s="18"/>
      <c r="D291" s="15">
        <v>8748</v>
      </c>
      <c r="E291" s="21">
        <v>0.84399999999999997</v>
      </c>
      <c r="F291" s="14">
        <v>34425.133333333331</v>
      </c>
      <c r="G291" s="13">
        <v>20060.050000001262</v>
      </c>
      <c r="H291" s="15">
        <v>1775</v>
      </c>
      <c r="I291" s="13">
        <v>133</v>
      </c>
      <c r="J291" s="214">
        <f t="shared" si="280"/>
        <v>4424.8527073455152</v>
      </c>
      <c r="K291" s="16">
        <v>3727</v>
      </c>
      <c r="L291" s="15">
        <v>9623</v>
      </c>
      <c r="M291" s="14">
        <v>8962</v>
      </c>
      <c r="N291" s="13">
        <v>6823</v>
      </c>
      <c r="P291" s="77">
        <f t="shared" si="281"/>
        <v>4424.8527073455152</v>
      </c>
      <c r="Q291" s="98">
        <f t="shared" si="258"/>
        <v>0.78804144387275432</v>
      </c>
      <c r="R291" s="98">
        <f t="shared" si="282"/>
        <v>0.83457193816884656</v>
      </c>
      <c r="S291" s="199">
        <f t="shared" si="283"/>
        <v>0.75444839857651247</v>
      </c>
      <c r="T291" s="189">
        <f t="shared" si="259"/>
        <v>0.7236061684460261</v>
      </c>
      <c r="U291" s="189">
        <f t="shared" si="260"/>
        <v>0.34782608695652173</v>
      </c>
      <c r="V291" s="189">
        <f t="shared" si="261"/>
        <v>0.86408118883653495</v>
      </c>
      <c r="W291" s="189">
        <f t="shared" si="262"/>
        <v>0.85088967971530249</v>
      </c>
      <c r="X291" s="200">
        <f t="shared" si="263"/>
        <v>0.83333333333333337</v>
      </c>
      <c r="Y291" s="204">
        <f t="shared" si="284"/>
        <v>4.1765755053507728E-2</v>
      </c>
      <c r="Z291" s="185">
        <f t="shared" si="264"/>
        <v>0.1252972651605232</v>
      </c>
      <c r="AA291" s="185">
        <f t="shared" si="265"/>
        <v>3.4185493460166467E-3</v>
      </c>
      <c r="AB291" s="185">
        <f t="shared" si="266"/>
        <v>0.41007728894173601</v>
      </c>
      <c r="AC291" s="185">
        <f t="shared" si="267"/>
        <v>0.4176575505350773</v>
      </c>
      <c r="AD291" s="205">
        <f t="shared" si="268"/>
        <v>1.7835909631391202E-3</v>
      </c>
      <c r="AE291" s="194">
        <v>212</v>
      </c>
      <c r="AF291" s="190">
        <v>610</v>
      </c>
      <c r="AG291" s="190">
        <v>8</v>
      </c>
      <c r="AH291" s="190">
        <v>2384</v>
      </c>
      <c r="AI291" s="190">
        <v>2391</v>
      </c>
      <c r="AJ291" s="195">
        <v>10</v>
      </c>
      <c r="AK291" s="194">
        <v>281</v>
      </c>
      <c r="AL291" s="190">
        <v>843</v>
      </c>
      <c r="AM291" s="190">
        <v>23</v>
      </c>
      <c r="AN291" s="190">
        <v>2759</v>
      </c>
      <c r="AO291" s="190">
        <v>2810</v>
      </c>
      <c r="AP291" s="195">
        <v>12</v>
      </c>
      <c r="AR291" s="77">
        <f t="shared" si="285"/>
        <v>2311.5370743399835</v>
      </c>
      <c r="AS291" s="98">
        <f t="shared" si="269"/>
        <v>0.78999900011619395</v>
      </c>
      <c r="AT291" s="98">
        <f t="shared" si="286"/>
        <v>0.83599999999999997</v>
      </c>
      <c r="AU291" s="199">
        <f t="shared" si="287"/>
        <v>0.81304347826086953</v>
      </c>
      <c r="AV291" s="189">
        <f t="shared" si="270"/>
        <v>0.76623376623376627</v>
      </c>
      <c r="AW291" s="189">
        <f t="shared" si="271"/>
        <v>0.45454545454545453</v>
      </c>
      <c r="AX291" s="189">
        <f t="shared" si="272"/>
        <v>0.88445503275759385</v>
      </c>
      <c r="AY291" s="189">
        <f t="shared" si="273"/>
        <v>0.83221476510067116</v>
      </c>
      <c r="AZ291" s="200">
        <f t="shared" si="274"/>
        <v>0.51369863013698636</v>
      </c>
      <c r="BA291" s="204">
        <f t="shared" si="288"/>
        <v>6.5714285714285711E-2</v>
      </c>
      <c r="BB291" s="185">
        <f t="shared" si="275"/>
        <v>6.6000000000000003E-2</v>
      </c>
      <c r="BC291" s="185">
        <f t="shared" si="276"/>
        <v>6.285714285714286E-3</v>
      </c>
      <c r="BD291" s="185">
        <f t="shared" si="277"/>
        <v>0.4797142857142857</v>
      </c>
      <c r="BE291" s="185">
        <f t="shared" si="278"/>
        <v>0.34057142857142858</v>
      </c>
      <c r="BF291" s="205">
        <f t="shared" si="279"/>
        <v>4.1714285714285718E-2</v>
      </c>
      <c r="BG291" s="194">
        <v>187</v>
      </c>
      <c r="BH291" s="190">
        <v>177</v>
      </c>
      <c r="BI291" s="190">
        <v>10</v>
      </c>
      <c r="BJ291" s="190">
        <v>1485</v>
      </c>
      <c r="BK291" s="190">
        <v>992</v>
      </c>
      <c r="BL291" s="195">
        <v>75</v>
      </c>
      <c r="BM291" s="194">
        <v>230</v>
      </c>
      <c r="BN291" s="190">
        <v>231</v>
      </c>
      <c r="BO291" s="190">
        <v>22</v>
      </c>
      <c r="BP291" s="190">
        <v>1679</v>
      </c>
      <c r="BQ291" s="190">
        <v>1192</v>
      </c>
      <c r="BR291" s="195">
        <v>146</v>
      </c>
    </row>
    <row r="292" spans="1:70" outlineLevel="1" x14ac:dyDescent="0.2">
      <c r="A292" s="20">
        <f t="shared" si="257"/>
        <v>10298</v>
      </c>
      <c r="B292" s="19" t="str">
        <f t="shared" si="257"/>
        <v>TAMUG</v>
      </c>
      <c r="C292" s="18"/>
      <c r="D292" s="15">
        <v>250</v>
      </c>
      <c r="E292" s="21">
        <v>0.66400000000000003</v>
      </c>
      <c r="F292" s="14">
        <v>1668.1333333333334</v>
      </c>
      <c r="G292" s="13">
        <v>648.89999999999895</v>
      </c>
      <c r="H292" s="15">
        <v>35</v>
      </c>
      <c r="I292" s="13">
        <v>0</v>
      </c>
      <c r="J292" s="214">
        <f t="shared" si="280"/>
        <v>194.92255427742364</v>
      </c>
      <c r="K292" s="16">
        <v>151</v>
      </c>
      <c r="L292" s="15">
        <v>600</v>
      </c>
      <c r="M292" s="14">
        <v>336</v>
      </c>
      <c r="N292" s="13">
        <v>234</v>
      </c>
      <c r="P292" s="77">
        <f t="shared" si="281"/>
        <v>194.92255427742364</v>
      </c>
      <c r="Q292" s="98">
        <f t="shared" si="258"/>
        <v>0.63700181136412959</v>
      </c>
      <c r="R292" s="98">
        <f t="shared" si="282"/>
        <v>0.66521739130434787</v>
      </c>
      <c r="S292" s="199">
        <f t="shared" si="283"/>
        <v>0.69230769230769229</v>
      </c>
      <c r="T292" s="189">
        <f t="shared" si="259"/>
        <v>0.52542372881355937</v>
      </c>
      <c r="U292" s="189">
        <f t="shared" si="260"/>
        <v>0.33333333333333331</v>
      </c>
      <c r="V292" s="189">
        <f t="shared" si="261"/>
        <v>0.82758620689655171</v>
      </c>
      <c r="W292" s="189">
        <f t="shared" si="262"/>
        <v>0.66666666666666663</v>
      </c>
      <c r="X292" s="200">
        <f t="shared" si="263"/>
        <v>0.5</v>
      </c>
      <c r="Y292" s="204">
        <f t="shared" si="284"/>
        <v>2.8260869565217391E-2</v>
      </c>
      <c r="Z292" s="185">
        <f t="shared" si="264"/>
        <v>0.1282608695652174</v>
      </c>
      <c r="AA292" s="185">
        <f t="shared" si="265"/>
        <v>6.5217391304347823E-3</v>
      </c>
      <c r="AB292" s="185">
        <f t="shared" si="266"/>
        <v>0.12608695652173912</v>
      </c>
      <c r="AC292" s="185">
        <f t="shared" si="267"/>
        <v>0.69782608695652171</v>
      </c>
      <c r="AD292" s="205">
        <f t="shared" si="268"/>
        <v>1.3043478260869565E-2</v>
      </c>
      <c r="AE292" s="194">
        <v>9</v>
      </c>
      <c r="AF292" s="190">
        <v>31</v>
      </c>
      <c r="AG292" s="190">
        <v>1</v>
      </c>
      <c r="AH292" s="190">
        <v>48</v>
      </c>
      <c r="AI292" s="190">
        <v>214</v>
      </c>
      <c r="AJ292" s="195">
        <v>3</v>
      </c>
      <c r="AK292" s="194">
        <v>13</v>
      </c>
      <c r="AL292" s="190">
        <v>59</v>
      </c>
      <c r="AM292" s="190">
        <v>3</v>
      </c>
      <c r="AN292" s="190">
        <v>58</v>
      </c>
      <c r="AO292" s="190">
        <v>321</v>
      </c>
      <c r="AP292" s="195">
        <v>6</v>
      </c>
      <c r="AR292" s="77">
        <f t="shared" si="285"/>
        <v>41.450614959226982</v>
      </c>
      <c r="AS292" s="98">
        <f t="shared" si="269"/>
        <v>0.66855830579398356</v>
      </c>
      <c r="AT292" s="98">
        <f t="shared" si="286"/>
        <v>0.72941176470588232</v>
      </c>
      <c r="AU292" s="199">
        <f t="shared" si="287"/>
        <v>0.33333333333333331</v>
      </c>
      <c r="AV292" s="189">
        <f t="shared" si="270"/>
        <v>0.5</v>
      </c>
      <c r="AW292" s="189">
        <f t="shared" si="271"/>
        <v>0</v>
      </c>
      <c r="AX292" s="189">
        <f t="shared" si="272"/>
        <v>0.88888888888888884</v>
      </c>
      <c r="AY292" s="189">
        <f t="shared" si="273"/>
        <v>0.78125</v>
      </c>
      <c r="AZ292" s="200">
        <f t="shared" si="274"/>
        <v>0.6428571428571429</v>
      </c>
      <c r="BA292" s="204">
        <f t="shared" si="288"/>
        <v>3.5294117647058823E-2</v>
      </c>
      <c r="BB292" s="185">
        <f t="shared" si="275"/>
        <v>7.0588235294117646E-2</v>
      </c>
      <c r="BC292" s="185">
        <f t="shared" si="276"/>
        <v>3.5294117647058823E-2</v>
      </c>
      <c r="BD292" s="185">
        <f t="shared" si="277"/>
        <v>0.31764705882352939</v>
      </c>
      <c r="BE292" s="185">
        <f t="shared" si="278"/>
        <v>0.37647058823529411</v>
      </c>
      <c r="BF292" s="205">
        <f t="shared" si="279"/>
        <v>0.16470588235294117</v>
      </c>
      <c r="BG292" s="194">
        <v>1</v>
      </c>
      <c r="BH292" s="190">
        <v>3</v>
      </c>
      <c r="BI292" s="190">
        <v>0</v>
      </c>
      <c r="BJ292" s="190">
        <v>24</v>
      </c>
      <c r="BK292" s="190">
        <v>25</v>
      </c>
      <c r="BL292" s="195">
        <v>9</v>
      </c>
      <c r="BM292" s="194">
        <v>3</v>
      </c>
      <c r="BN292" s="190">
        <v>6</v>
      </c>
      <c r="BO292" s="190">
        <v>3</v>
      </c>
      <c r="BP292" s="190">
        <v>27</v>
      </c>
      <c r="BQ292" s="190">
        <v>32</v>
      </c>
      <c r="BR292" s="195">
        <v>14</v>
      </c>
    </row>
    <row r="293" spans="1:70" outlineLevel="1" x14ac:dyDescent="0.2">
      <c r="A293" s="20">
        <f t="shared" si="257"/>
        <v>3630</v>
      </c>
      <c r="B293" s="19" t="str">
        <f t="shared" si="257"/>
        <v>Prairie View</v>
      </c>
      <c r="C293" s="18"/>
      <c r="D293" s="15">
        <v>904</v>
      </c>
      <c r="E293" s="21">
        <v>0.37</v>
      </c>
      <c r="F293" s="49">
        <v>6088.2666666666664</v>
      </c>
      <c r="G293" s="13">
        <v>1934.240000000003</v>
      </c>
      <c r="H293" s="15">
        <v>279</v>
      </c>
      <c r="I293" s="13">
        <v>10</v>
      </c>
      <c r="J293" s="214">
        <f t="shared" si="280"/>
        <v>157.76213401334735</v>
      </c>
      <c r="K293" s="16">
        <v>775</v>
      </c>
      <c r="L293" s="15">
        <v>1660</v>
      </c>
      <c r="M293" s="14">
        <v>1237</v>
      </c>
      <c r="N293" s="13">
        <v>905</v>
      </c>
      <c r="P293" s="77">
        <f t="shared" si="281"/>
        <v>157.76213401334735</v>
      </c>
      <c r="Q293" s="98">
        <f t="shared" si="258"/>
        <v>0.39638727139031998</v>
      </c>
      <c r="R293" s="98">
        <f t="shared" si="282"/>
        <v>0.3776091081593928</v>
      </c>
      <c r="S293" s="199">
        <f t="shared" si="283"/>
        <v>0</v>
      </c>
      <c r="T293" s="189">
        <f t="shared" si="259"/>
        <v>0.40522875816993464</v>
      </c>
      <c r="U293" s="189">
        <f t="shared" si="260"/>
        <v>0.31493506493506496</v>
      </c>
      <c r="V293" s="189">
        <f t="shared" si="261"/>
        <v>0.375</v>
      </c>
      <c r="W293" s="189">
        <f t="shared" si="262"/>
        <v>0.44137931034482758</v>
      </c>
      <c r="X293" s="200">
        <f t="shared" si="263"/>
        <v>0.32624113475177308</v>
      </c>
      <c r="Y293" s="204">
        <f t="shared" si="284"/>
        <v>9.4876660341555979E-4</v>
      </c>
      <c r="Z293" s="185">
        <f t="shared" si="264"/>
        <v>0.29032258064516131</v>
      </c>
      <c r="AA293" s="185">
        <f t="shared" si="265"/>
        <v>0.29222011385199242</v>
      </c>
      <c r="AB293" s="185">
        <f t="shared" si="266"/>
        <v>7.5901328273244783E-3</v>
      </c>
      <c r="AC293" s="185">
        <f t="shared" si="267"/>
        <v>0.27514231499051234</v>
      </c>
      <c r="AD293" s="205">
        <f t="shared" si="268"/>
        <v>0.13377609108159394</v>
      </c>
      <c r="AE293" s="194">
        <v>0</v>
      </c>
      <c r="AF293" s="190">
        <v>124</v>
      </c>
      <c r="AG293" s="190">
        <v>97</v>
      </c>
      <c r="AH293" s="190">
        <v>3</v>
      </c>
      <c r="AI293" s="190">
        <v>128</v>
      </c>
      <c r="AJ293" s="195">
        <v>46</v>
      </c>
      <c r="AK293" s="194">
        <v>1</v>
      </c>
      <c r="AL293" s="190">
        <v>306</v>
      </c>
      <c r="AM293" s="190">
        <v>308</v>
      </c>
      <c r="AN293" s="190">
        <v>8</v>
      </c>
      <c r="AO293" s="190">
        <v>290</v>
      </c>
      <c r="AP293" s="195">
        <v>141</v>
      </c>
      <c r="AR293" s="77">
        <f t="shared" si="285"/>
        <v>149.13751015847885</v>
      </c>
      <c r="AS293" s="98">
        <f t="shared" si="269"/>
        <v>0.60379558768614916</v>
      </c>
      <c r="AT293" s="98">
        <f t="shared" si="286"/>
        <v>0.64322916666666663</v>
      </c>
      <c r="AU293" s="199">
        <f t="shared" si="287"/>
        <v>0.73972602739726023</v>
      </c>
      <c r="AV293" s="189">
        <f t="shared" si="270"/>
        <v>0.63559322033898302</v>
      </c>
      <c r="AW293" s="189">
        <f t="shared" si="271"/>
        <v>0.25806451612903225</v>
      </c>
      <c r="AX293" s="189">
        <f t="shared" si="272"/>
        <v>0.81927710843373491</v>
      </c>
      <c r="AY293" s="189">
        <f t="shared" si="273"/>
        <v>0.5625</v>
      </c>
      <c r="AZ293" s="200">
        <f t="shared" si="274"/>
        <v>0.4</v>
      </c>
      <c r="BA293" s="204">
        <f t="shared" si="288"/>
        <v>0.19010416666666666</v>
      </c>
      <c r="BB293" s="185">
        <f t="shared" si="275"/>
        <v>0.30729166666666669</v>
      </c>
      <c r="BC293" s="185">
        <f t="shared" si="276"/>
        <v>8.0729166666666671E-2</v>
      </c>
      <c r="BD293" s="185">
        <f t="shared" si="277"/>
        <v>0.21614583333333334</v>
      </c>
      <c r="BE293" s="185">
        <f t="shared" si="278"/>
        <v>0.16666666666666666</v>
      </c>
      <c r="BF293" s="205">
        <f t="shared" si="279"/>
        <v>3.90625E-2</v>
      </c>
      <c r="BG293" s="194">
        <v>54</v>
      </c>
      <c r="BH293" s="190">
        <v>75</v>
      </c>
      <c r="BI293" s="190">
        <v>8</v>
      </c>
      <c r="BJ293" s="190">
        <v>68</v>
      </c>
      <c r="BK293" s="190">
        <v>36</v>
      </c>
      <c r="BL293" s="195">
        <v>6</v>
      </c>
      <c r="BM293" s="194">
        <v>73</v>
      </c>
      <c r="BN293" s="190">
        <v>118</v>
      </c>
      <c r="BO293" s="190">
        <v>31</v>
      </c>
      <c r="BP293" s="190">
        <v>83</v>
      </c>
      <c r="BQ293" s="190">
        <v>64</v>
      </c>
      <c r="BR293" s="195">
        <v>15</v>
      </c>
    </row>
    <row r="294" spans="1:70" outlineLevel="1" x14ac:dyDescent="0.2">
      <c r="A294" s="20">
        <f t="shared" si="257"/>
        <v>3631</v>
      </c>
      <c r="B294" s="19" t="str">
        <f t="shared" si="257"/>
        <v>Tarleton</v>
      </c>
      <c r="C294" s="18"/>
      <c r="D294" s="15">
        <v>1552</v>
      </c>
      <c r="E294" s="21">
        <v>0.48299999999999998</v>
      </c>
      <c r="F294" s="49">
        <v>6264.4666666666662</v>
      </c>
      <c r="G294" s="13">
        <v>3063.9600000000341</v>
      </c>
      <c r="H294" s="15">
        <v>197</v>
      </c>
      <c r="I294" s="48">
        <v>56</v>
      </c>
      <c r="J294" s="214">
        <f t="shared" si="280"/>
        <v>298.76854750134595</v>
      </c>
      <c r="K294" s="16">
        <v>1196</v>
      </c>
      <c r="L294" s="50">
        <v>2096</v>
      </c>
      <c r="M294" s="49">
        <v>1464</v>
      </c>
      <c r="N294" s="48">
        <v>840</v>
      </c>
      <c r="P294" s="77">
        <f t="shared" si="281"/>
        <v>298.76854750134595</v>
      </c>
      <c r="Q294" s="98">
        <f t="shared" si="258"/>
        <v>0.51869539496761452</v>
      </c>
      <c r="R294" s="98">
        <f t="shared" si="282"/>
        <v>0.48241206030150752</v>
      </c>
      <c r="S294" s="199">
        <f t="shared" si="283"/>
        <v>0.63636363636363635</v>
      </c>
      <c r="T294" s="189">
        <f t="shared" si="259"/>
        <v>0.45421245421245421</v>
      </c>
      <c r="U294" s="189">
        <f t="shared" si="260"/>
        <v>0.40425531914893614</v>
      </c>
      <c r="V294" s="189">
        <f t="shared" si="261"/>
        <v>0.7142857142857143</v>
      </c>
      <c r="W294" s="189">
        <f t="shared" si="262"/>
        <v>0.49447513812154698</v>
      </c>
      <c r="X294" s="200">
        <f t="shared" si="263"/>
        <v>0.36666666666666664</v>
      </c>
      <c r="Y294" s="204">
        <f t="shared" si="284"/>
        <v>9.212730318257957E-3</v>
      </c>
      <c r="Z294" s="185">
        <f t="shared" si="264"/>
        <v>0.228643216080402</v>
      </c>
      <c r="AA294" s="185">
        <f t="shared" si="265"/>
        <v>3.9363484087102177E-2</v>
      </c>
      <c r="AB294" s="185">
        <f t="shared" si="266"/>
        <v>4.1038525963149081E-2</v>
      </c>
      <c r="AC294" s="185">
        <f t="shared" si="267"/>
        <v>0.60636515912897826</v>
      </c>
      <c r="AD294" s="205">
        <f t="shared" si="268"/>
        <v>7.5376884422110546E-2</v>
      </c>
      <c r="AE294" s="194">
        <v>7</v>
      </c>
      <c r="AF294" s="190">
        <v>124</v>
      </c>
      <c r="AG294" s="190">
        <v>19</v>
      </c>
      <c r="AH294" s="190">
        <v>35</v>
      </c>
      <c r="AI294" s="190">
        <v>358</v>
      </c>
      <c r="AJ294" s="195">
        <v>33</v>
      </c>
      <c r="AK294" s="194">
        <v>11</v>
      </c>
      <c r="AL294" s="190">
        <v>273</v>
      </c>
      <c r="AM294" s="190">
        <v>47</v>
      </c>
      <c r="AN294" s="190">
        <v>49</v>
      </c>
      <c r="AO294" s="190">
        <v>724</v>
      </c>
      <c r="AP294" s="195">
        <v>90</v>
      </c>
      <c r="AR294" s="77">
        <f t="shared" si="285"/>
        <v>288.57934456079374</v>
      </c>
      <c r="AS294" s="98">
        <f t="shared" si="269"/>
        <v>0.74184921480923838</v>
      </c>
      <c r="AT294" s="98">
        <f t="shared" si="286"/>
        <v>0.75680933852140075</v>
      </c>
      <c r="AU294" s="199">
        <f t="shared" si="287"/>
        <v>0.88888888888888884</v>
      </c>
      <c r="AV294" s="189">
        <f t="shared" si="270"/>
        <v>0.74193548387096775</v>
      </c>
      <c r="AW294" s="189">
        <f t="shared" si="271"/>
        <v>0.42857142857142855</v>
      </c>
      <c r="AX294" s="189">
        <f t="shared" si="272"/>
        <v>0.81954887218045114</v>
      </c>
      <c r="AY294" s="189">
        <f t="shared" si="273"/>
        <v>0.75520833333333337</v>
      </c>
      <c r="AZ294" s="200">
        <f t="shared" si="274"/>
        <v>0.64444444444444449</v>
      </c>
      <c r="BA294" s="204">
        <f t="shared" si="288"/>
        <v>0.10505836575875487</v>
      </c>
      <c r="BB294" s="185">
        <f t="shared" si="275"/>
        <v>0.12062256809338522</v>
      </c>
      <c r="BC294" s="185">
        <f t="shared" si="276"/>
        <v>5.4474708171206226E-2</v>
      </c>
      <c r="BD294" s="185">
        <f t="shared" si="277"/>
        <v>0.2587548638132296</v>
      </c>
      <c r="BE294" s="185">
        <f t="shared" si="278"/>
        <v>0.37354085603112841</v>
      </c>
      <c r="BF294" s="205">
        <f t="shared" si="279"/>
        <v>8.7548638132295714E-2</v>
      </c>
      <c r="BG294" s="194">
        <v>48</v>
      </c>
      <c r="BH294" s="190">
        <v>46</v>
      </c>
      <c r="BI294" s="190">
        <v>12</v>
      </c>
      <c r="BJ294" s="190">
        <v>109</v>
      </c>
      <c r="BK294" s="190">
        <v>145</v>
      </c>
      <c r="BL294" s="195">
        <v>29</v>
      </c>
      <c r="BM294" s="194">
        <v>54</v>
      </c>
      <c r="BN294" s="190">
        <v>62</v>
      </c>
      <c r="BO294" s="190">
        <v>28</v>
      </c>
      <c r="BP294" s="190">
        <v>133</v>
      </c>
      <c r="BQ294" s="190">
        <v>192</v>
      </c>
      <c r="BR294" s="195">
        <v>45</v>
      </c>
    </row>
    <row r="295" spans="1:70" outlineLevel="1" x14ac:dyDescent="0.2">
      <c r="A295" s="27">
        <f t="shared" si="257"/>
        <v>103631</v>
      </c>
      <c r="B295" s="19" t="str">
        <f t="shared" si="257"/>
        <v>TAMUCT</v>
      </c>
      <c r="C295" s="18"/>
      <c r="D295" s="15">
        <v>462</v>
      </c>
      <c r="E295" s="21">
        <v>0.48299999999999998</v>
      </c>
      <c r="F295" s="49">
        <v>700.66666666666663</v>
      </c>
      <c r="G295" s="13">
        <v>846.68000000000006</v>
      </c>
      <c r="H295" s="15">
        <v>36</v>
      </c>
      <c r="I295" s="48">
        <v>0</v>
      </c>
      <c r="J295" s="214">
        <f t="shared" si="280"/>
        <v>0</v>
      </c>
      <c r="K295" s="16">
        <v>330</v>
      </c>
      <c r="L295" s="50">
        <v>555</v>
      </c>
      <c r="M295" s="49">
        <v>143</v>
      </c>
      <c r="N295" s="48">
        <v>66</v>
      </c>
      <c r="P295" s="77">
        <f t="shared" si="281"/>
        <v>0</v>
      </c>
      <c r="Q295" s="98">
        <f t="shared" si="258"/>
        <v>0</v>
      </c>
      <c r="R295" s="98">
        <f t="shared" si="282"/>
        <v>0</v>
      </c>
      <c r="S295" s="199">
        <f t="shared" si="283"/>
        <v>0</v>
      </c>
      <c r="T295" s="189">
        <f t="shared" si="259"/>
        <v>0</v>
      </c>
      <c r="U295" s="189">
        <f t="shared" si="260"/>
        <v>0</v>
      </c>
      <c r="V295" s="189">
        <f t="shared" si="261"/>
        <v>0</v>
      </c>
      <c r="W295" s="189">
        <f t="shared" si="262"/>
        <v>0</v>
      </c>
      <c r="X295" s="200">
        <f t="shared" si="263"/>
        <v>0</v>
      </c>
      <c r="Y295" s="204">
        <f t="shared" si="284"/>
        <v>0</v>
      </c>
      <c r="Z295" s="185">
        <f t="shared" si="264"/>
        <v>0</v>
      </c>
      <c r="AA295" s="185">
        <f t="shared" si="265"/>
        <v>0</v>
      </c>
      <c r="AB295" s="185">
        <f t="shared" si="266"/>
        <v>0</v>
      </c>
      <c r="AC295" s="185">
        <f t="shared" si="267"/>
        <v>0</v>
      </c>
      <c r="AD295" s="205">
        <f t="shared" si="268"/>
        <v>0</v>
      </c>
      <c r="AE295" s="194">
        <v>0</v>
      </c>
      <c r="AF295" s="190">
        <v>0</v>
      </c>
      <c r="AG295" s="190">
        <v>0</v>
      </c>
      <c r="AH295" s="190">
        <v>0</v>
      </c>
      <c r="AI295" s="190">
        <v>0</v>
      </c>
      <c r="AJ295" s="195">
        <v>0</v>
      </c>
      <c r="AK295" s="194">
        <v>0</v>
      </c>
      <c r="AL295" s="190">
        <v>0</v>
      </c>
      <c r="AM295" s="190">
        <v>0</v>
      </c>
      <c r="AN295" s="190">
        <v>0</v>
      </c>
      <c r="AO295" s="190">
        <v>0</v>
      </c>
      <c r="AP295" s="195">
        <v>0</v>
      </c>
      <c r="AR295" s="77">
        <f t="shared" si="285"/>
        <v>0</v>
      </c>
      <c r="AS295" s="98">
        <f t="shared" si="269"/>
        <v>0</v>
      </c>
      <c r="AT295" s="98">
        <f t="shared" si="286"/>
        <v>0</v>
      </c>
      <c r="AU295" s="199">
        <f t="shared" si="287"/>
        <v>0</v>
      </c>
      <c r="AV295" s="189">
        <f t="shared" si="270"/>
        <v>0</v>
      </c>
      <c r="AW295" s="189">
        <f t="shared" si="271"/>
        <v>0</v>
      </c>
      <c r="AX295" s="189">
        <f t="shared" si="272"/>
        <v>0</v>
      </c>
      <c r="AY295" s="189">
        <f t="shared" si="273"/>
        <v>0</v>
      </c>
      <c r="AZ295" s="200">
        <f t="shared" si="274"/>
        <v>0</v>
      </c>
      <c r="BA295" s="204">
        <f t="shared" si="288"/>
        <v>0</v>
      </c>
      <c r="BB295" s="185">
        <f t="shared" si="275"/>
        <v>0</v>
      </c>
      <c r="BC295" s="185">
        <f t="shared" si="276"/>
        <v>0</v>
      </c>
      <c r="BD295" s="185">
        <f t="shared" si="277"/>
        <v>0</v>
      </c>
      <c r="BE295" s="185">
        <f t="shared" si="278"/>
        <v>0</v>
      </c>
      <c r="BF295" s="205">
        <f t="shared" si="279"/>
        <v>0</v>
      </c>
      <c r="BG295" s="194"/>
      <c r="BH295" s="190"/>
      <c r="BI295" s="190"/>
      <c r="BJ295" s="190"/>
      <c r="BK295" s="190"/>
      <c r="BL295" s="195"/>
      <c r="BM295" s="194"/>
      <c r="BN295" s="190"/>
      <c r="BO295" s="190"/>
      <c r="BP295" s="190"/>
      <c r="BQ295" s="190"/>
      <c r="BR295" s="195"/>
    </row>
    <row r="296" spans="1:70" outlineLevel="1" x14ac:dyDescent="0.2">
      <c r="A296" s="20">
        <f t="shared" si="257"/>
        <v>11161</v>
      </c>
      <c r="B296" s="19" t="str">
        <f t="shared" si="257"/>
        <v>TAMUCC</v>
      </c>
      <c r="C296" s="18"/>
      <c r="D296" s="15">
        <v>1315</v>
      </c>
      <c r="E296" s="21">
        <v>0.51100000000000001</v>
      </c>
      <c r="F296" s="49">
        <v>6609.8666666666668</v>
      </c>
      <c r="G296" s="13">
        <v>2639.1300000000101</v>
      </c>
      <c r="H296" s="15">
        <v>252</v>
      </c>
      <c r="I296" s="48">
        <v>25</v>
      </c>
      <c r="J296" s="214">
        <f t="shared" si="280"/>
        <v>330.32150510885793</v>
      </c>
      <c r="K296" s="16">
        <v>1034</v>
      </c>
      <c r="L296" s="15">
        <v>2126</v>
      </c>
      <c r="M296" s="14">
        <v>1577</v>
      </c>
      <c r="N296" s="13">
        <v>864</v>
      </c>
      <c r="P296" s="77">
        <f t="shared" si="281"/>
        <v>330.32150510885793</v>
      </c>
      <c r="Q296" s="98">
        <f t="shared" si="258"/>
        <v>0.53277662114331925</v>
      </c>
      <c r="R296" s="98">
        <f t="shared" si="282"/>
        <v>0.50861361771944213</v>
      </c>
      <c r="S296" s="199">
        <f t="shared" si="283"/>
        <v>0.6</v>
      </c>
      <c r="T296" s="189">
        <f t="shared" si="259"/>
        <v>0.42441860465116277</v>
      </c>
      <c r="U296" s="189">
        <f t="shared" si="260"/>
        <v>0.29545454545454547</v>
      </c>
      <c r="V296" s="189">
        <f t="shared" si="261"/>
        <v>0.6607142857142857</v>
      </c>
      <c r="W296" s="189">
        <f t="shared" si="262"/>
        <v>0.57616892911010553</v>
      </c>
      <c r="X296" s="200">
        <f t="shared" si="263"/>
        <v>0.37735849056603776</v>
      </c>
      <c r="Y296" s="204">
        <f t="shared" si="284"/>
        <v>1.2305168170631665E-2</v>
      </c>
      <c r="Z296" s="185">
        <f t="shared" si="264"/>
        <v>0.28219852337981954</v>
      </c>
      <c r="AA296" s="185">
        <f t="shared" si="265"/>
        <v>7.2190319934372443E-2</v>
      </c>
      <c r="AB296" s="185">
        <f t="shared" si="266"/>
        <v>4.5939294503691552E-2</v>
      </c>
      <c r="AC296" s="185">
        <f t="shared" si="267"/>
        <v>0.54388843314191959</v>
      </c>
      <c r="AD296" s="205">
        <f t="shared" si="268"/>
        <v>4.3478260869565216E-2</v>
      </c>
      <c r="AE296" s="194">
        <v>9</v>
      </c>
      <c r="AF296" s="190">
        <v>146</v>
      </c>
      <c r="AG296" s="190">
        <v>26</v>
      </c>
      <c r="AH296" s="190">
        <v>37</v>
      </c>
      <c r="AI296" s="190">
        <v>382</v>
      </c>
      <c r="AJ296" s="195">
        <v>20</v>
      </c>
      <c r="AK296" s="194">
        <v>15</v>
      </c>
      <c r="AL296" s="190">
        <v>344</v>
      </c>
      <c r="AM296" s="190">
        <v>88</v>
      </c>
      <c r="AN296" s="190">
        <v>56</v>
      </c>
      <c r="AO296" s="190">
        <v>663</v>
      </c>
      <c r="AP296" s="195">
        <v>53</v>
      </c>
      <c r="AR296" s="77">
        <f t="shared" si="285"/>
        <v>187.60741996748118</v>
      </c>
      <c r="AS296" s="98">
        <f t="shared" si="269"/>
        <v>0.67484683441539994</v>
      </c>
      <c r="AT296" s="98">
        <f t="shared" si="286"/>
        <v>0.71465295629820047</v>
      </c>
      <c r="AU296" s="199">
        <f t="shared" si="287"/>
        <v>0.69230769230769229</v>
      </c>
      <c r="AV296" s="189">
        <f t="shared" si="270"/>
        <v>0.5490196078431373</v>
      </c>
      <c r="AW296" s="189">
        <f t="shared" si="271"/>
        <v>0.4</v>
      </c>
      <c r="AX296" s="189">
        <f t="shared" si="272"/>
        <v>0.88188976377952755</v>
      </c>
      <c r="AY296" s="189">
        <f t="shared" si="273"/>
        <v>0.70588235294117652</v>
      </c>
      <c r="AZ296" s="200">
        <f t="shared" si="274"/>
        <v>0.5</v>
      </c>
      <c r="BA296" s="204">
        <f t="shared" si="288"/>
        <v>0.16709511568123395</v>
      </c>
      <c r="BB296" s="185">
        <f t="shared" si="275"/>
        <v>0.13110539845758354</v>
      </c>
      <c r="BC296" s="185">
        <f t="shared" si="276"/>
        <v>2.570694087403599E-2</v>
      </c>
      <c r="BD296" s="185">
        <f t="shared" si="277"/>
        <v>0.32647814910025708</v>
      </c>
      <c r="BE296" s="185">
        <f t="shared" si="278"/>
        <v>0.26221079691516708</v>
      </c>
      <c r="BF296" s="205">
        <f t="shared" si="279"/>
        <v>8.7403598971722368E-2</v>
      </c>
      <c r="BG296" s="194">
        <v>45</v>
      </c>
      <c r="BH296" s="190">
        <v>28</v>
      </c>
      <c r="BI296" s="190">
        <v>4</v>
      </c>
      <c r="BJ296" s="190">
        <v>112</v>
      </c>
      <c r="BK296" s="190">
        <v>72</v>
      </c>
      <c r="BL296" s="195">
        <v>17</v>
      </c>
      <c r="BM296" s="194">
        <v>65</v>
      </c>
      <c r="BN296" s="190">
        <v>51</v>
      </c>
      <c r="BO296" s="190">
        <v>10</v>
      </c>
      <c r="BP296" s="190">
        <v>127</v>
      </c>
      <c r="BQ296" s="190">
        <v>102</v>
      </c>
      <c r="BR296" s="195">
        <v>34</v>
      </c>
    </row>
    <row r="297" spans="1:70" outlineLevel="1" x14ac:dyDescent="0.2">
      <c r="A297" s="20">
        <f t="shared" si="257"/>
        <v>3639</v>
      </c>
      <c r="B297" s="19" t="str">
        <f t="shared" si="257"/>
        <v>TAMUK</v>
      </c>
      <c r="C297" s="18"/>
      <c r="D297" s="15">
        <v>738</v>
      </c>
      <c r="E297" s="21">
        <v>0.39799999999999996</v>
      </c>
      <c r="F297" s="49">
        <v>4394.2</v>
      </c>
      <c r="G297" s="13">
        <v>1735.8600000000065</v>
      </c>
      <c r="H297" s="15">
        <v>246</v>
      </c>
      <c r="I297" s="48">
        <v>16</v>
      </c>
      <c r="J297" s="214">
        <f t="shared" si="280"/>
        <v>116.89154315777962</v>
      </c>
      <c r="K297" s="16">
        <v>613</v>
      </c>
      <c r="L297" s="50">
        <v>1180</v>
      </c>
      <c r="M297" s="49">
        <v>879</v>
      </c>
      <c r="N297" s="48">
        <v>555</v>
      </c>
      <c r="P297" s="77">
        <f t="shared" si="281"/>
        <v>116.89154315777962</v>
      </c>
      <c r="Q297" s="98">
        <f t="shared" si="258"/>
        <v>0.49953650922128046</v>
      </c>
      <c r="R297" s="98">
        <f t="shared" si="282"/>
        <v>0.40909090909090912</v>
      </c>
      <c r="S297" s="199">
        <f t="shared" si="283"/>
        <v>0.8</v>
      </c>
      <c r="T297" s="189">
        <f t="shared" si="259"/>
        <v>0.36893203883495146</v>
      </c>
      <c r="U297" s="189">
        <f t="shared" si="260"/>
        <v>0.21428571428571427</v>
      </c>
      <c r="V297" s="189">
        <f t="shared" si="261"/>
        <v>0.72222222222222221</v>
      </c>
      <c r="W297" s="189">
        <f t="shared" si="262"/>
        <v>0.51818181818181819</v>
      </c>
      <c r="X297" s="200">
        <f t="shared" si="263"/>
        <v>0.23076923076923078</v>
      </c>
      <c r="Y297" s="204">
        <f t="shared" si="284"/>
        <v>8.7412587412587419E-3</v>
      </c>
      <c r="Z297" s="185">
        <f t="shared" si="264"/>
        <v>0.36013986013986016</v>
      </c>
      <c r="AA297" s="185">
        <f t="shared" si="265"/>
        <v>0.14685314685314685</v>
      </c>
      <c r="AB297" s="185">
        <f t="shared" si="266"/>
        <v>3.1468531468531472E-2</v>
      </c>
      <c r="AC297" s="185">
        <f t="shared" si="267"/>
        <v>0.38461538461538464</v>
      </c>
      <c r="AD297" s="205">
        <f t="shared" si="268"/>
        <v>6.8181818181818177E-2</v>
      </c>
      <c r="AE297" s="194">
        <v>4</v>
      </c>
      <c r="AF297" s="190">
        <v>76</v>
      </c>
      <c r="AG297" s="190">
        <v>18</v>
      </c>
      <c r="AH297" s="190">
        <v>13</v>
      </c>
      <c r="AI297" s="190">
        <v>114</v>
      </c>
      <c r="AJ297" s="195">
        <v>9</v>
      </c>
      <c r="AK297" s="194">
        <v>5</v>
      </c>
      <c r="AL297" s="190">
        <v>206</v>
      </c>
      <c r="AM297" s="190">
        <v>84</v>
      </c>
      <c r="AN297" s="190">
        <v>18</v>
      </c>
      <c r="AO297" s="190">
        <v>220</v>
      </c>
      <c r="AP297" s="195">
        <v>39</v>
      </c>
      <c r="AR297" s="77">
        <f t="shared" si="285"/>
        <v>138.24670074672838</v>
      </c>
      <c r="AS297" s="98">
        <f t="shared" si="269"/>
        <v>0.69821566033701199</v>
      </c>
      <c r="AT297" s="98">
        <f t="shared" si="286"/>
        <v>0.70462633451957291</v>
      </c>
      <c r="AU297" s="199">
        <f t="shared" si="287"/>
        <v>0.81818181818181823</v>
      </c>
      <c r="AV297" s="189">
        <f t="shared" si="270"/>
        <v>0.625</v>
      </c>
      <c r="AW297" s="189">
        <f t="shared" si="271"/>
        <v>0.4642857142857143</v>
      </c>
      <c r="AX297" s="189">
        <f t="shared" si="272"/>
        <v>0.74603174603174605</v>
      </c>
      <c r="AY297" s="189">
        <f t="shared" si="273"/>
        <v>0.74193548387096775</v>
      </c>
      <c r="AZ297" s="200">
        <f t="shared" si="274"/>
        <v>0.68</v>
      </c>
      <c r="BA297" s="204">
        <f t="shared" si="288"/>
        <v>0.19572953736654805</v>
      </c>
      <c r="BB297" s="185">
        <f t="shared" si="275"/>
        <v>0.1708185053380783</v>
      </c>
      <c r="BC297" s="185">
        <f t="shared" si="276"/>
        <v>9.9644128113879002E-2</v>
      </c>
      <c r="BD297" s="185">
        <f t="shared" si="277"/>
        <v>0.22419928825622776</v>
      </c>
      <c r="BE297" s="185">
        <f t="shared" si="278"/>
        <v>0.2206405693950178</v>
      </c>
      <c r="BF297" s="205">
        <f t="shared" si="279"/>
        <v>8.8967971530249115E-2</v>
      </c>
      <c r="BG297" s="194">
        <v>45</v>
      </c>
      <c r="BH297" s="190">
        <v>30</v>
      </c>
      <c r="BI297" s="190">
        <v>13</v>
      </c>
      <c r="BJ297" s="190">
        <v>47</v>
      </c>
      <c r="BK297" s="190">
        <v>46</v>
      </c>
      <c r="BL297" s="195">
        <v>17</v>
      </c>
      <c r="BM297" s="194">
        <v>55</v>
      </c>
      <c r="BN297" s="190">
        <v>48</v>
      </c>
      <c r="BO297" s="190">
        <v>28</v>
      </c>
      <c r="BP297" s="190">
        <v>63</v>
      </c>
      <c r="BQ297" s="190">
        <v>62</v>
      </c>
      <c r="BR297" s="195">
        <v>25</v>
      </c>
    </row>
    <row r="298" spans="1:70" outlineLevel="1" x14ac:dyDescent="0.2">
      <c r="A298" s="27">
        <f t="shared" ref="A298:B313" si="289">A256</f>
        <v>103639</v>
      </c>
      <c r="B298" s="19" t="str">
        <f t="shared" si="289"/>
        <v>TAMUSA</v>
      </c>
      <c r="C298" s="18"/>
      <c r="D298" s="15">
        <v>620</v>
      </c>
      <c r="E298" s="21">
        <v>0.39799999999999996</v>
      </c>
      <c r="F298" s="49">
        <v>1492.4</v>
      </c>
      <c r="G298" s="13">
        <v>1078.0000000000073</v>
      </c>
      <c r="H298" s="15">
        <v>1</v>
      </c>
      <c r="I298" s="48">
        <v>0</v>
      </c>
      <c r="J298" s="214">
        <f t="shared" si="280"/>
        <v>0</v>
      </c>
      <c r="K298" s="16">
        <v>520</v>
      </c>
      <c r="L298" s="50">
        <v>995</v>
      </c>
      <c r="M298" s="49">
        <v>37</v>
      </c>
      <c r="N298" s="48">
        <v>2</v>
      </c>
      <c r="P298" s="77">
        <f t="shared" si="281"/>
        <v>0</v>
      </c>
      <c r="Q298" s="98">
        <f t="shared" si="258"/>
        <v>0</v>
      </c>
      <c r="R298" s="98">
        <f t="shared" si="282"/>
        <v>0</v>
      </c>
      <c r="S298" s="199">
        <f t="shared" si="283"/>
        <v>0</v>
      </c>
      <c r="T298" s="189">
        <f t="shared" si="259"/>
        <v>0</v>
      </c>
      <c r="U298" s="189">
        <f t="shared" si="260"/>
        <v>0</v>
      </c>
      <c r="V298" s="189">
        <f t="shared" si="261"/>
        <v>0</v>
      </c>
      <c r="W298" s="189">
        <f t="shared" si="262"/>
        <v>0</v>
      </c>
      <c r="X298" s="200">
        <f t="shared" si="263"/>
        <v>0</v>
      </c>
      <c r="Y298" s="204">
        <f t="shared" si="284"/>
        <v>0</v>
      </c>
      <c r="Z298" s="185">
        <f t="shared" si="264"/>
        <v>0</v>
      </c>
      <c r="AA298" s="185">
        <f t="shared" si="265"/>
        <v>0</v>
      </c>
      <c r="AB298" s="185">
        <f t="shared" si="266"/>
        <v>0</v>
      </c>
      <c r="AC298" s="185">
        <f t="shared" si="267"/>
        <v>0</v>
      </c>
      <c r="AD298" s="205">
        <f t="shared" si="268"/>
        <v>0</v>
      </c>
      <c r="AE298" s="194">
        <v>0</v>
      </c>
      <c r="AF298" s="190">
        <v>0</v>
      </c>
      <c r="AG298" s="190">
        <v>0</v>
      </c>
      <c r="AH298" s="190">
        <v>0</v>
      </c>
      <c r="AI298" s="190">
        <v>0</v>
      </c>
      <c r="AJ298" s="195">
        <v>0</v>
      </c>
      <c r="AK298" s="194">
        <v>0</v>
      </c>
      <c r="AL298" s="190">
        <v>0</v>
      </c>
      <c r="AM298" s="190">
        <v>0</v>
      </c>
      <c r="AN298" s="190">
        <v>0</v>
      </c>
      <c r="AO298" s="190">
        <v>0</v>
      </c>
      <c r="AP298" s="195">
        <v>0</v>
      </c>
      <c r="AR298" s="77">
        <f t="shared" si="285"/>
        <v>0</v>
      </c>
      <c r="AS298" s="98">
        <f t="shared" si="269"/>
        <v>0</v>
      </c>
      <c r="AT298" s="98">
        <f t="shared" si="286"/>
        <v>0</v>
      </c>
      <c r="AU298" s="199">
        <f t="shared" si="287"/>
        <v>0</v>
      </c>
      <c r="AV298" s="189">
        <f t="shared" si="270"/>
        <v>0</v>
      </c>
      <c r="AW298" s="189">
        <f t="shared" si="271"/>
        <v>0</v>
      </c>
      <c r="AX298" s="189">
        <f t="shared" si="272"/>
        <v>0</v>
      </c>
      <c r="AY298" s="189">
        <f t="shared" si="273"/>
        <v>0</v>
      </c>
      <c r="AZ298" s="200">
        <f t="shared" si="274"/>
        <v>0</v>
      </c>
      <c r="BA298" s="204">
        <f t="shared" si="288"/>
        <v>0</v>
      </c>
      <c r="BB298" s="185">
        <f t="shared" si="275"/>
        <v>0</v>
      </c>
      <c r="BC298" s="185">
        <f t="shared" si="276"/>
        <v>0</v>
      </c>
      <c r="BD298" s="185">
        <f t="shared" si="277"/>
        <v>0</v>
      </c>
      <c r="BE298" s="185">
        <f t="shared" si="278"/>
        <v>0</v>
      </c>
      <c r="BF298" s="205">
        <f t="shared" si="279"/>
        <v>0</v>
      </c>
      <c r="BG298" s="194"/>
      <c r="BH298" s="190"/>
      <c r="BI298" s="190"/>
      <c r="BJ298" s="190"/>
      <c r="BK298" s="190"/>
      <c r="BL298" s="195"/>
      <c r="BM298" s="194"/>
      <c r="BN298" s="190"/>
      <c r="BO298" s="190"/>
      <c r="BP298" s="190"/>
      <c r="BQ298" s="190"/>
      <c r="BR298" s="195"/>
    </row>
    <row r="299" spans="1:70" outlineLevel="1" x14ac:dyDescent="0.2">
      <c r="A299" s="20">
        <f t="shared" si="289"/>
        <v>9651</v>
      </c>
      <c r="B299" s="19" t="str">
        <f t="shared" si="289"/>
        <v>TAMI</v>
      </c>
      <c r="C299" s="18"/>
      <c r="D299" s="15">
        <v>766</v>
      </c>
      <c r="E299" s="21">
        <v>0.503</v>
      </c>
      <c r="F299" s="14">
        <v>4126.8</v>
      </c>
      <c r="G299" s="13">
        <v>1400.4200000000046</v>
      </c>
      <c r="H299" s="15">
        <v>120</v>
      </c>
      <c r="I299" s="13">
        <v>18</v>
      </c>
      <c r="J299" s="214">
        <f t="shared" si="280"/>
        <v>95.218442254242007</v>
      </c>
      <c r="K299" s="16">
        <v>688</v>
      </c>
      <c r="L299" s="15">
        <v>1515</v>
      </c>
      <c r="M299" s="14">
        <v>1027</v>
      </c>
      <c r="N299" s="13">
        <v>486</v>
      </c>
      <c r="P299" s="77">
        <f t="shared" si="281"/>
        <v>95.218442254242007</v>
      </c>
      <c r="Q299" s="98">
        <f t="shared" si="258"/>
        <v>0.52606874173614371</v>
      </c>
      <c r="R299" s="98">
        <f t="shared" si="282"/>
        <v>0.48787061994609165</v>
      </c>
      <c r="S299" s="199">
        <f t="shared" si="283"/>
        <v>1</v>
      </c>
      <c r="T299" s="189">
        <f t="shared" si="259"/>
        <v>0.5485714285714286</v>
      </c>
      <c r="U299" s="189">
        <f t="shared" si="260"/>
        <v>0.3611111111111111</v>
      </c>
      <c r="V299" s="189">
        <f t="shared" si="261"/>
        <v>0.66666666666666663</v>
      </c>
      <c r="W299" s="189">
        <f t="shared" si="262"/>
        <v>0.4631578947368421</v>
      </c>
      <c r="X299" s="200">
        <f t="shared" si="263"/>
        <v>0.43478260869565216</v>
      </c>
      <c r="Y299" s="204">
        <f t="shared" si="284"/>
        <v>8.0862533692722376E-3</v>
      </c>
      <c r="Z299" s="185">
        <f t="shared" si="264"/>
        <v>0.47169811320754718</v>
      </c>
      <c r="AA299" s="185">
        <f t="shared" si="265"/>
        <v>0.19407008086253369</v>
      </c>
      <c r="AB299" s="185">
        <f t="shared" si="266"/>
        <v>8.0862533692722376E-3</v>
      </c>
      <c r="AC299" s="185">
        <f t="shared" si="267"/>
        <v>0.2560646900269542</v>
      </c>
      <c r="AD299" s="205">
        <f t="shared" si="268"/>
        <v>6.1994609164420483E-2</v>
      </c>
      <c r="AE299" s="194">
        <v>3</v>
      </c>
      <c r="AF299" s="190">
        <v>96</v>
      </c>
      <c r="AG299" s="190">
        <v>26</v>
      </c>
      <c r="AH299" s="190">
        <v>2</v>
      </c>
      <c r="AI299" s="190">
        <v>44</v>
      </c>
      <c r="AJ299" s="195">
        <v>10</v>
      </c>
      <c r="AK299" s="194">
        <v>3</v>
      </c>
      <c r="AL299" s="190">
        <v>175</v>
      </c>
      <c r="AM299" s="190">
        <v>72</v>
      </c>
      <c r="AN299" s="190">
        <v>3</v>
      </c>
      <c r="AO299" s="190">
        <v>95</v>
      </c>
      <c r="AP299" s="195">
        <v>23</v>
      </c>
      <c r="AR299" s="77">
        <f t="shared" si="285"/>
        <v>104.77594922750488</v>
      </c>
      <c r="AS299" s="98">
        <f t="shared" si="269"/>
        <v>0.70794560288854647</v>
      </c>
      <c r="AT299" s="98">
        <f t="shared" si="286"/>
        <v>0.7219512195121951</v>
      </c>
      <c r="AU299" s="199">
        <f t="shared" si="287"/>
        <v>0.84444444444444444</v>
      </c>
      <c r="AV299" s="189">
        <f t="shared" si="270"/>
        <v>0.7142857142857143</v>
      </c>
      <c r="AW299" s="189">
        <f t="shared" si="271"/>
        <v>0.5</v>
      </c>
      <c r="AX299" s="189">
        <f t="shared" si="272"/>
        <v>0.84375</v>
      </c>
      <c r="AY299" s="189">
        <f t="shared" si="273"/>
        <v>0.69230769230769229</v>
      </c>
      <c r="AZ299" s="200">
        <f t="shared" si="274"/>
        <v>0.46666666666666667</v>
      </c>
      <c r="BA299" s="204">
        <f t="shared" si="288"/>
        <v>0.21951219512195122</v>
      </c>
      <c r="BB299" s="185">
        <f t="shared" si="275"/>
        <v>0.27317073170731709</v>
      </c>
      <c r="BC299" s="185">
        <f t="shared" si="276"/>
        <v>8.7804878048780483E-2</v>
      </c>
      <c r="BD299" s="185">
        <f t="shared" si="277"/>
        <v>0.15609756097560976</v>
      </c>
      <c r="BE299" s="185">
        <f t="shared" si="278"/>
        <v>0.19024390243902439</v>
      </c>
      <c r="BF299" s="205">
        <f t="shared" si="279"/>
        <v>7.3170731707317069E-2</v>
      </c>
      <c r="BG299" s="194">
        <v>38</v>
      </c>
      <c r="BH299" s="190">
        <v>40</v>
      </c>
      <c r="BI299" s="190">
        <v>9</v>
      </c>
      <c r="BJ299" s="190">
        <v>27</v>
      </c>
      <c r="BK299" s="190">
        <v>27</v>
      </c>
      <c r="BL299" s="195">
        <v>7</v>
      </c>
      <c r="BM299" s="194">
        <v>45</v>
      </c>
      <c r="BN299" s="190">
        <v>56</v>
      </c>
      <c r="BO299" s="190">
        <v>18</v>
      </c>
      <c r="BP299" s="190">
        <v>32</v>
      </c>
      <c r="BQ299" s="190">
        <v>39</v>
      </c>
      <c r="BR299" s="195">
        <v>15</v>
      </c>
    </row>
    <row r="300" spans="1:70" outlineLevel="1" x14ac:dyDescent="0.2">
      <c r="A300" s="20">
        <f t="shared" si="289"/>
        <v>3665</v>
      </c>
      <c r="B300" s="19" t="str">
        <f t="shared" si="289"/>
        <v>WTAMU</v>
      </c>
      <c r="C300" s="18"/>
      <c r="D300" s="15">
        <v>1294</v>
      </c>
      <c r="E300" s="21">
        <v>0.47399999999999998</v>
      </c>
      <c r="F300" s="14">
        <v>5457.666666666667</v>
      </c>
      <c r="G300" s="13">
        <v>2570.7800000000157</v>
      </c>
      <c r="H300" s="15">
        <v>184</v>
      </c>
      <c r="I300" s="13">
        <v>58</v>
      </c>
      <c r="J300" s="214">
        <f t="shared" si="280"/>
        <v>187.28007746380899</v>
      </c>
      <c r="K300" s="16">
        <v>913</v>
      </c>
      <c r="L300" s="15">
        <v>1871</v>
      </c>
      <c r="M300" s="14">
        <v>1264</v>
      </c>
      <c r="N300" s="13">
        <v>664</v>
      </c>
      <c r="P300" s="77">
        <f t="shared" si="281"/>
        <v>187.28007746380899</v>
      </c>
      <c r="Q300" s="98">
        <f t="shared" si="258"/>
        <v>0.51734828028676516</v>
      </c>
      <c r="R300" s="98">
        <f t="shared" si="282"/>
        <v>0.47382198952879578</v>
      </c>
      <c r="S300" s="199">
        <f t="shared" si="283"/>
        <v>0.55555555555555558</v>
      </c>
      <c r="T300" s="189">
        <f t="shared" si="259"/>
        <v>0.3891625615763547</v>
      </c>
      <c r="U300" s="189">
        <f t="shared" si="260"/>
        <v>0.21621621621621623</v>
      </c>
      <c r="V300" s="189">
        <f t="shared" si="261"/>
        <v>0.80555555555555558</v>
      </c>
      <c r="W300" s="189">
        <f t="shared" si="262"/>
        <v>0.53037383177570097</v>
      </c>
      <c r="X300" s="200">
        <f t="shared" si="263"/>
        <v>0.21428571428571427</v>
      </c>
      <c r="Y300" s="204">
        <f t="shared" si="284"/>
        <v>2.356020942408377E-2</v>
      </c>
      <c r="Z300" s="185">
        <f t="shared" si="264"/>
        <v>0.26570680628272253</v>
      </c>
      <c r="AA300" s="185">
        <f t="shared" si="265"/>
        <v>4.8429319371727751E-2</v>
      </c>
      <c r="AB300" s="185">
        <f t="shared" si="266"/>
        <v>4.712041884816754E-2</v>
      </c>
      <c r="AC300" s="185">
        <f t="shared" si="267"/>
        <v>0.56020942408376961</v>
      </c>
      <c r="AD300" s="205">
        <f t="shared" si="268"/>
        <v>5.4973821989528798E-2</v>
      </c>
      <c r="AE300" s="194">
        <v>10</v>
      </c>
      <c r="AF300" s="190">
        <v>79</v>
      </c>
      <c r="AG300" s="190">
        <v>8</v>
      </c>
      <c r="AH300" s="190">
        <v>29</v>
      </c>
      <c r="AI300" s="190">
        <v>227</v>
      </c>
      <c r="AJ300" s="195">
        <v>9</v>
      </c>
      <c r="AK300" s="194">
        <v>18</v>
      </c>
      <c r="AL300" s="190">
        <v>203</v>
      </c>
      <c r="AM300" s="190">
        <v>37</v>
      </c>
      <c r="AN300" s="190">
        <v>36</v>
      </c>
      <c r="AO300" s="190">
        <v>428</v>
      </c>
      <c r="AP300" s="195">
        <v>42</v>
      </c>
      <c r="AR300" s="77">
        <f t="shared" si="285"/>
        <v>211.12236122209626</v>
      </c>
      <c r="AS300" s="98">
        <f t="shared" si="269"/>
        <v>0.69677346937985563</v>
      </c>
      <c r="AT300" s="98">
        <f t="shared" si="286"/>
        <v>0.72836538461538458</v>
      </c>
      <c r="AU300" s="199">
        <f t="shared" si="287"/>
        <v>0.7857142857142857</v>
      </c>
      <c r="AV300" s="189">
        <f t="shared" si="270"/>
        <v>0.67307692307692313</v>
      </c>
      <c r="AW300" s="189">
        <f t="shared" si="271"/>
        <v>0.56666666666666665</v>
      </c>
      <c r="AX300" s="189">
        <f t="shared" si="272"/>
        <v>0.84172661870503596</v>
      </c>
      <c r="AY300" s="189">
        <f t="shared" si="273"/>
        <v>0.66981132075471694</v>
      </c>
      <c r="AZ300" s="200">
        <f t="shared" si="274"/>
        <v>0.63829787234042556</v>
      </c>
      <c r="BA300" s="204">
        <f t="shared" si="288"/>
        <v>0.10096153846153846</v>
      </c>
      <c r="BB300" s="185">
        <f t="shared" si="275"/>
        <v>0.125</v>
      </c>
      <c r="BC300" s="185">
        <f t="shared" si="276"/>
        <v>7.2115384615384609E-2</v>
      </c>
      <c r="BD300" s="185">
        <f t="shared" si="277"/>
        <v>0.33413461538461536</v>
      </c>
      <c r="BE300" s="185">
        <f t="shared" si="278"/>
        <v>0.25480769230769229</v>
      </c>
      <c r="BF300" s="205">
        <f t="shared" si="279"/>
        <v>0.11298076923076923</v>
      </c>
      <c r="BG300" s="194">
        <v>33</v>
      </c>
      <c r="BH300" s="190">
        <v>35</v>
      </c>
      <c r="BI300" s="190">
        <v>17</v>
      </c>
      <c r="BJ300" s="190">
        <v>117</v>
      </c>
      <c r="BK300" s="190">
        <v>71</v>
      </c>
      <c r="BL300" s="195">
        <v>30</v>
      </c>
      <c r="BM300" s="194">
        <v>42</v>
      </c>
      <c r="BN300" s="190">
        <v>52</v>
      </c>
      <c r="BO300" s="190">
        <v>30</v>
      </c>
      <c r="BP300" s="190">
        <v>139</v>
      </c>
      <c r="BQ300" s="190">
        <v>106</v>
      </c>
      <c r="BR300" s="195">
        <v>47</v>
      </c>
    </row>
    <row r="301" spans="1:70" outlineLevel="1" x14ac:dyDescent="0.2">
      <c r="A301" s="20">
        <f t="shared" si="289"/>
        <v>3565</v>
      </c>
      <c r="B301" s="19" t="str">
        <f t="shared" si="289"/>
        <v>TAMUC</v>
      </c>
      <c r="C301" s="18"/>
      <c r="D301" s="15">
        <v>1313</v>
      </c>
      <c r="E301" s="21">
        <v>0.42600000000000005</v>
      </c>
      <c r="F301" s="14">
        <v>4783.5333333333338</v>
      </c>
      <c r="G301" s="13">
        <v>2463.6900000000296</v>
      </c>
      <c r="H301" s="15">
        <v>71</v>
      </c>
      <c r="I301" s="13">
        <v>77</v>
      </c>
      <c r="J301" s="214">
        <f t="shared" si="280"/>
        <v>81.258820927789202</v>
      </c>
      <c r="K301" s="16">
        <v>1002</v>
      </c>
      <c r="L301" s="15">
        <v>1911</v>
      </c>
      <c r="M301" s="14">
        <v>1200</v>
      </c>
      <c r="N301" s="13">
        <v>477</v>
      </c>
      <c r="P301" s="77">
        <f t="shared" si="281"/>
        <v>81.258820927789202</v>
      </c>
      <c r="Q301" s="98">
        <f t="shared" si="258"/>
        <v>0.43923686987994165</v>
      </c>
      <c r="R301" s="98">
        <f t="shared" si="282"/>
        <v>0.43427230046948356</v>
      </c>
      <c r="S301" s="199">
        <f t="shared" si="283"/>
        <v>0.5714285714285714</v>
      </c>
      <c r="T301" s="189">
        <f t="shared" si="259"/>
        <v>0.32592592592592595</v>
      </c>
      <c r="U301" s="189">
        <f t="shared" si="260"/>
        <v>0.26923076923076922</v>
      </c>
      <c r="V301" s="189">
        <f t="shared" si="261"/>
        <v>0.42105263157894735</v>
      </c>
      <c r="W301" s="189">
        <f t="shared" si="262"/>
        <v>0.51801801801801806</v>
      </c>
      <c r="X301" s="200">
        <f t="shared" si="263"/>
        <v>0.41176470588235292</v>
      </c>
      <c r="Y301" s="204">
        <f t="shared" si="284"/>
        <v>1.6431924882629109E-2</v>
      </c>
      <c r="Z301" s="185">
        <f t="shared" si="264"/>
        <v>0.31690140845070425</v>
      </c>
      <c r="AA301" s="185">
        <f t="shared" si="265"/>
        <v>6.1032863849765258E-2</v>
      </c>
      <c r="AB301" s="185">
        <f t="shared" si="266"/>
        <v>4.4600938967136149E-2</v>
      </c>
      <c r="AC301" s="185">
        <f t="shared" si="267"/>
        <v>0.52112676056338025</v>
      </c>
      <c r="AD301" s="205">
        <f t="shared" si="268"/>
        <v>3.9906103286384977E-2</v>
      </c>
      <c r="AE301" s="194">
        <v>4</v>
      </c>
      <c r="AF301" s="190">
        <v>44</v>
      </c>
      <c r="AG301" s="190">
        <v>7</v>
      </c>
      <c r="AH301" s="190">
        <v>8</v>
      </c>
      <c r="AI301" s="190">
        <v>115</v>
      </c>
      <c r="AJ301" s="195">
        <v>7</v>
      </c>
      <c r="AK301" s="194">
        <v>7</v>
      </c>
      <c r="AL301" s="190">
        <v>135</v>
      </c>
      <c r="AM301" s="190">
        <v>26</v>
      </c>
      <c r="AN301" s="190">
        <v>19</v>
      </c>
      <c r="AO301" s="190">
        <v>222</v>
      </c>
      <c r="AP301" s="195">
        <v>17</v>
      </c>
      <c r="AR301" s="77">
        <f t="shared" si="285"/>
        <v>154.56250120907748</v>
      </c>
      <c r="AS301" s="98">
        <f t="shared" si="269"/>
        <v>0.66052350944050209</v>
      </c>
      <c r="AT301" s="98">
        <f t="shared" si="286"/>
        <v>0.69230769230769229</v>
      </c>
      <c r="AU301" s="199">
        <f t="shared" si="287"/>
        <v>0.82432432432432434</v>
      </c>
      <c r="AV301" s="189">
        <f t="shared" si="270"/>
        <v>0.57446808510638303</v>
      </c>
      <c r="AW301" s="189">
        <f t="shared" si="271"/>
        <v>0.39130434782608697</v>
      </c>
      <c r="AX301" s="189">
        <f t="shared" si="272"/>
        <v>0.77</v>
      </c>
      <c r="AY301" s="189">
        <f t="shared" si="273"/>
        <v>0.69841269841269837</v>
      </c>
      <c r="AZ301" s="200">
        <f t="shared" si="274"/>
        <v>0.5161290322580645</v>
      </c>
      <c r="BA301" s="204">
        <f t="shared" si="288"/>
        <v>0.21893491124260356</v>
      </c>
      <c r="BB301" s="185">
        <f t="shared" si="275"/>
        <v>0.13905325443786981</v>
      </c>
      <c r="BC301" s="185">
        <f t="shared" si="276"/>
        <v>6.8047337278106509E-2</v>
      </c>
      <c r="BD301" s="185">
        <f t="shared" si="277"/>
        <v>0.29585798816568049</v>
      </c>
      <c r="BE301" s="185">
        <f t="shared" si="278"/>
        <v>0.18639053254437871</v>
      </c>
      <c r="BF301" s="205">
        <f t="shared" si="279"/>
        <v>9.1715976331360943E-2</v>
      </c>
      <c r="BG301" s="194">
        <v>61</v>
      </c>
      <c r="BH301" s="190">
        <v>27</v>
      </c>
      <c r="BI301" s="190">
        <v>9</v>
      </c>
      <c r="BJ301" s="190">
        <v>77</v>
      </c>
      <c r="BK301" s="190">
        <v>44</v>
      </c>
      <c r="BL301" s="195">
        <v>16</v>
      </c>
      <c r="BM301" s="194">
        <v>74</v>
      </c>
      <c r="BN301" s="190">
        <v>47</v>
      </c>
      <c r="BO301" s="190">
        <v>23</v>
      </c>
      <c r="BP301" s="190">
        <v>100</v>
      </c>
      <c r="BQ301" s="190">
        <v>63</v>
      </c>
      <c r="BR301" s="195">
        <v>31</v>
      </c>
    </row>
    <row r="302" spans="1:70" outlineLevel="1" x14ac:dyDescent="0.2">
      <c r="A302" s="20">
        <f t="shared" si="289"/>
        <v>29269</v>
      </c>
      <c r="B302" s="19" t="str">
        <f t="shared" si="289"/>
        <v>TAMUT</v>
      </c>
      <c r="C302" s="18"/>
      <c r="D302" s="15">
        <v>335</v>
      </c>
      <c r="E302" s="17">
        <v>0.56028368794326244</v>
      </c>
      <c r="F302" s="14">
        <v>879.13333333333333</v>
      </c>
      <c r="G302" s="13">
        <v>609.83000000000015</v>
      </c>
      <c r="H302" s="15">
        <v>48</v>
      </c>
      <c r="I302" s="13">
        <v>18</v>
      </c>
      <c r="J302" s="214">
        <f>AR302</f>
        <v>39.029246721792411</v>
      </c>
      <c r="K302" s="16">
        <v>230</v>
      </c>
      <c r="L302" s="15">
        <v>411</v>
      </c>
      <c r="M302" s="14">
        <v>186</v>
      </c>
      <c r="N302" s="13">
        <v>1</v>
      </c>
      <c r="P302" s="77">
        <f t="shared" si="281"/>
        <v>0</v>
      </c>
      <c r="Q302" s="98">
        <f t="shared" si="258"/>
        <v>0</v>
      </c>
      <c r="R302" s="98">
        <f t="shared" si="282"/>
        <v>0</v>
      </c>
      <c r="S302" s="199">
        <f t="shared" si="283"/>
        <v>0</v>
      </c>
      <c r="T302" s="189">
        <f t="shared" si="259"/>
        <v>0</v>
      </c>
      <c r="U302" s="189">
        <f t="shared" si="260"/>
        <v>0</v>
      </c>
      <c r="V302" s="189">
        <f t="shared" si="261"/>
        <v>0</v>
      </c>
      <c r="W302" s="189">
        <f t="shared" si="262"/>
        <v>0</v>
      </c>
      <c r="X302" s="200">
        <f t="shared" si="263"/>
        <v>0</v>
      </c>
      <c r="Y302" s="204">
        <f t="shared" si="284"/>
        <v>0</v>
      </c>
      <c r="Z302" s="185">
        <f t="shared" si="264"/>
        <v>0</v>
      </c>
      <c r="AA302" s="185">
        <f t="shared" si="265"/>
        <v>0</v>
      </c>
      <c r="AB302" s="185">
        <f t="shared" si="266"/>
        <v>0</v>
      </c>
      <c r="AC302" s="185">
        <f t="shared" si="267"/>
        <v>0</v>
      </c>
      <c r="AD302" s="205">
        <f t="shared" si="268"/>
        <v>0</v>
      </c>
      <c r="AE302" s="194">
        <v>0</v>
      </c>
      <c r="AF302" s="190">
        <v>0</v>
      </c>
      <c r="AG302" s="190">
        <v>0</v>
      </c>
      <c r="AH302" s="190">
        <v>0</v>
      </c>
      <c r="AI302" s="190">
        <v>0</v>
      </c>
      <c r="AJ302" s="195">
        <v>0</v>
      </c>
      <c r="AK302" s="194">
        <v>0</v>
      </c>
      <c r="AL302" s="190">
        <v>0</v>
      </c>
      <c r="AM302" s="190">
        <v>0</v>
      </c>
      <c r="AN302" s="190">
        <v>0</v>
      </c>
      <c r="AO302" s="190">
        <v>0</v>
      </c>
      <c r="AP302" s="195">
        <v>0</v>
      </c>
      <c r="AR302" s="77">
        <f t="shared" si="285"/>
        <v>39.029246721792411</v>
      </c>
      <c r="AS302" s="98">
        <f t="shared" si="269"/>
        <v>0.67291804692745538</v>
      </c>
      <c r="AT302" s="98">
        <f t="shared" si="286"/>
        <v>0.74358974358974361</v>
      </c>
      <c r="AU302" s="199">
        <f t="shared" si="287"/>
        <v>0.85</v>
      </c>
      <c r="AV302" s="189">
        <f t="shared" si="270"/>
        <v>0.81818181818181823</v>
      </c>
      <c r="AW302" s="189">
        <f t="shared" si="271"/>
        <v>0.42857142857142855</v>
      </c>
      <c r="AX302" s="189">
        <f t="shared" si="272"/>
        <v>0.88</v>
      </c>
      <c r="AY302" s="189">
        <f t="shared" si="273"/>
        <v>0.5714285714285714</v>
      </c>
      <c r="AZ302" s="200">
        <f t="shared" si="274"/>
        <v>0.375</v>
      </c>
      <c r="BA302" s="204">
        <f t="shared" si="288"/>
        <v>0.25641025641025639</v>
      </c>
      <c r="BB302" s="185">
        <f t="shared" si="275"/>
        <v>0.14102564102564102</v>
      </c>
      <c r="BC302" s="185">
        <f t="shared" si="276"/>
        <v>8.9743589743589744E-2</v>
      </c>
      <c r="BD302" s="185">
        <f t="shared" si="277"/>
        <v>0.32051282051282054</v>
      </c>
      <c r="BE302" s="185">
        <f t="shared" si="278"/>
        <v>8.9743589743589744E-2</v>
      </c>
      <c r="BF302" s="205">
        <f t="shared" si="279"/>
        <v>0.10256410256410256</v>
      </c>
      <c r="BG302" s="194">
        <v>17</v>
      </c>
      <c r="BH302" s="190">
        <v>9</v>
      </c>
      <c r="BI302" s="190">
        <v>3</v>
      </c>
      <c r="BJ302" s="190">
        <v>22</v>
      </c>
      <c r="BK302" s="190">
        <v>4</v>
      </c>
      <c r="BL302" s="195">
        <v>3</v>
      </c>
      <c r="BM302" s="194">
        <v>20</v>
      </c>
      <c r="BN302" s="190">
        <v>11</v>
      </c>
      <c r="BO302" s="190">
        <v>7</v>
      </c>
      <c r="BP302" s="190">
        <v>25</v>
      </c>
      <c r="BQ302" s="190">
        <v>7</v>
      </c>
      <c r="BR302" s="195">
        <v>8</v>
      </c>
    </row>
    <row r="303" spans="1:70" outlineLevel="1" x14ac:dyDescent="0.2">
      <c r="A303" s="20">
        <f t="shared" si="289"/>
        <v>3652</v>
      </c>
      <c r="B303" s="19" t="str">
        <f t="shared" si="289"/>
        <v>UH</v>
      </c>
      <c r="C303" s="18"/>
      <c r="D303" s="15">
        <v>5092</v>
      </c>
      <c r="E303" s="21">
        <v>0.54200000000000004</v>
      </c>
      <c r="F303" s="14">
        <v>23853.933333333334</v>
      </c>
      <c r="G303" s="13">
        <v>10569.339999999527</v>
      </c>
      <c r="H303" s="15">
        <v>720</v>
      </c>
      <c r="I303" s="13">
        <v>74</v>
      </c>
      <c r="J303" s="214">
        <f t="shared" si="280"/>
        <v>858.25051951203159</v>
      </c>
      <c r="K303" s="16">
        <v>3340</v>
      </c>
      <c r="L303" s="15">
        <v>7467</v>
      </c>
      <c r="M303" s="14">
        <v>5804</v>
      </c>
      <c r="N303" s="13">
        <v>3314</v>
      </c>
      <c r="P303" s="77">
        <f t="shared" si="281"/>
        <v>858.25051951203159</v>
      </c>
      <c r="Q303" s="98">
        <f t="shared" si="258"/>
        <v>0.51764205036913846</v>
      </c>
      <c r="R303" s="98">
        <f t="shared" si="282"/>
        <v>0.52253387960920261</v>
      </c>
      <c r="S303" s="199">
        <f t="shared" si="283"/>
        <v>0.69230769230769229</v>
      </c>
      <c r="T303" s="189">
        <f t="shared" si="259"/>
        <v>0.5033333333333333</v>
      </c>
      <c r="U303" s="189">
        <f t="shared" si="260"/>
        <v>0.38181818181818183</v>
      </c>
      <c r="V303" s="189">
        <f t="shared" si="261"/>
        <v>0.61452513966480449</v>
      </c>
      <c r="W303" s="189">
        <f t="shared" si="262"/>
        <v>0.49316851008458035</v>
      </c>
      <c r="X303" s="200">
        <f t="shared" si="263"/>
        <v>0.55555555555555558</v>
      </c>
      <c r="Y303" s="204">
        <f t="shared" si="284"/>
        <v>3.6873621178695241E-2</v>
      </c>
      <c r="Z303" s="185">
        <f t="shared" si="264"/>
        <v>0.28364323983611722</v>
      </c>
      <c r="AA303" s="185">
        <f t="shared" si="265"/>
        <v>1.7333753545540499E-2</v>
      </c>
      <c r="AB303" s="185">
        <f t="shared" si="266"/>
        <v>0.16924046643554996</v>
      </c>
      <c r="AC303" s="185">
        <f t="shared" si="267"/>
        <v>0.48439962180901353</v>
      </c>
      <c r="AD303" s="205">
        <f t="shared" si="268"/>
        <v>8.5092971950835178E-3</v>
      </c>
      <c r="AE303" s="194">
        <v>81</v>
      </c>
      <c r="AF303" s="190">
        <v>453</v>
      </c>
      <c r="AG303" s="190">
        <v>21</v>
      </c>
      <c r="AH303" s="190">
        <v>330</v>
      </c>
      <c r="AI303" s="190">
        <v>758</v>
      </c>
      <c r="AJ303" s="195">
        <v>15</v>
      </c>
      <c r="AK303" s="194">
        <v>117</v>
      </c>
      <c r="AL303" s="190">
        <v>900</v>
      </c>
      <c r="AM303" s="190">
        <v>55</v>
      </c>
      <c r="AN303" s="190">
        <v>537</v>
      </c>
      <c r="AO303" s="190">
        <v>1537</v>
      </c>
      <c r="AP303" s="195">
        <v>27</v>
      </c>
      <c r="AR303" s="77">
        <f t="shared" si="285"/>
        <v>595.76726660447616</v>
      </c>
      <c r="AS303" s="98">
        <f t="shared" si="269"/>
        <v>0.58696282424086321</v>
      </c>
      <c r="AT303" s="98">
        <f t="shared" si="286"/>
        <v>0.60960960960960964</v>
      </c>
      <c r="AU303" s="199">
        <f t="shared" si="287"/>
        <v>0.69512195121951215</v>
      </c>
      <c r="AV303" s="189">
        <f t="shared" si="270"/>
        <v>0.55440414507772018</v>
      </c>
      <c r="AW303" s="189">
        <f t="shared" si="271"/>
        <v>0.37681159420289856</v>
      </c>
      <c r="AX303" s="189">
        <f t="shared" si="272"/>
        <v>0.75406504065040647</v>
      </c>
      <c r="AY303" s="189">
        <f t="shared" si="273"/>
        <v>0.5788336933045356</v>
      </c>
      <c r="AZ303" s="200">
        <f t="shared" si="274"/>
        <v>0.35643564356435642</v>
      </c>
      <c r="BA303" s="204">
        <f t="shared" si="288"/>
        <v>0.14774774774774774</v>
      </c>
      <c r="BB303" s="185">
        <f t="shared" si="275"/>
        <v>0.11591591591591592</v>
      </c>
      <c r="BC303" s="185">
        <f t="shared" si="276"/>
        <v>4.1441441441441441E-2</v>
      </c>
      <c r="BD303" s="185">
        <f t="shared" si="277"/>
        <v>0.29549549549549547</v>
      </c>
      <c r="BE303" s="185">
        <f t="shared" si="278"/>
        <v>0.27807807807807805</v>
      </c>
      <c r="BF303" s="205">
        <f t="shared" si="279"/>
        <v>0.12132132132132133</v>
      </c>
      <c r="BG303" s="194">
        <v>171</v>
      </c>
      <c r="BH303" s="190">
        <v>107</v>
      </c>
      <c r="BI303" s="190">
        <v>26</v>
      </c>
      <c r="BJ303" s="190">
        <v>371</v>
      </c>
      <c r="BK303" s="190">
        <v>268</v>
      </c>
      <c r="BL303" s="195">
        <v>72</v>
      </c>
      <c r="BM303" s="194">
        <v>246</v>
      </c>
      <c r="BN303" s="190">
        <v>193</v>
      </c>
      <c r="BO303" s="190">
        <v>69</v>
      </c>
      <c r="BP303" s="190">
        <v>492</v>
      </c>
      <c r="BQ303" s="190">
        <v>463</v>
      </c>
      <c r="BR303" s="195">
        <v>202</v>
      </c>
    </row>
    <row r="304" spans="1:70" outlineLevel="1" x14ac:dyDescent="0.2">
      <c r="A304" s="20">
        <f t="shared" si="289"/>
        <v>11711</v>
      </c>
      <c r="B304" s="19" t="str">
        <f t="shared" si="289"/>
        <v>UHCL</v>
      </c>
      <c r="C304" s="18"/>
      <c r="D304" s="15">
        <v>1197</v>
      </c>
      <c r="E304" s="17">
        <v>0.53820033955857383</v>
      </c>
      <c r="F304" s="14">
        <v>3046.8</v>
      </c>
      <c r="G304" s="13">
        <v>2293.9500000000248</v>
      </c>
      <c r="H304" s="15">
        <v>113</v>
      </c>
      <c r="I304" s="13">
        <v>8</v>
      </c>
      <c r="J304" s="214">
        <f>AR304</f>
        <v>146.56058617914417</v>
      </c>
      <c r="K304" s="16">
        <v>777</v>
      </c>
      <c r="L304" s="15">
        <v>1434</v>
      </c>
      <c r="M304" s="14">
        <v>959</v>
      </c>
      <c r="N304" s="13">
        <v>53</v>
      </c>
      <c r="P304" s="77">
        <f t="shared" si="281"/>
        <v>0</v>
      </c>
      <c r="Q304" s="98">
        <f t="shared" si="258"/>
        <v>0</v>
      </c>
      <c r="R304" s="98">
        <f t="shared" si="282"/>
        <v>0</v>
      </c>
      <c r="S304" s="199">
        <f t="shared" si="283"/>
        <v>0</v>
      </c>
      <c r="T304" s="189">
        <f t="shared" si="259"/>
        <v>0</v>
      </c>
      <c r="U304" s="189">
        <f t="shared" si="260"/>
        <v>0</v>
      </c>
      <c r="V304" s="189">
        <f t="shared" si="261"/>
        <v>0</v>
      </c>
      <c r="W304" s="189">
        <f t="shared" si="262"/>
        <v>0</v>
      </c>
      <c r="X304" s="200">
        <f t="shared" si="263"/>
        <v>0</v>
      </c>
      <c r="Y304" s="204">
        <f t="shared" si="284"/>
        <v>0</v>
      </c>
      <c r="Z304" s="185">
        <f t="shared" si="264"/>
        <v>0</v>
      </c>
      <c r="AA304" s="185">
        <f t="shared" si="265"/>
        <v>0</v>
      </c>
      <c r="AB304" s="185">
        <f t="shared" si="266"/>
        <v>0</v>
      </c>
      <c r="AC304" s="185">
        <f t="shared" si="267"/>
        <v>0</v>
      </c>
      <c r="AD304" s="205">
        <f t="shared" si="268"/>
        <v>0</v>
      </c>
      <c r="AE304" s="194">
        <v>0</v>
      </c>
      <c r="AF304" s="190">
        <v>0</v>
      </c>
      <c r="AG304" s="190">
        <v>0</v>
      </c>
      <c r="AH304" s="190">
        <v>0</v>
      </c>
      <c r="AI304" s="190">
        <v>0</v>
      </c>
      <c r="AJ304" s="195">
        <v>0</v>
      </c>
      <c r="AK304" s="194">
        <v>0</v>
      </c>
      <c r="AL304" s="190">
        <v>0</v>
      </c>
      <c r="AM304" s="190">
        <v>0</v>
      </c>
      <c r="AN304" s="190">
        <v>0</v>
      </c>
      <c r="AO304" s="190">
        <v>0</v>
      </c>
      <c r="AP304" s="195">
        <v>0</v>
      </c>
      <c r="AR304" s="77">
        <f t="shared" si="285"/>
        <v>146.56058617914417</v>
      </c>
      <c r="AS304" s="98">
        <f t="shared" si="269"/>
        <v>0.64564134880680246</v>
      </c>
      <c r="AT304" s="98">
        <f t="shared" si="286"/>
        <v>0.6858006042296072</v>
      </c>
      <c r="AU304" s="199">
        <f t="shared" si="287"/>
        <v>0.660377358490566</v>
      </c>
      <c r="AV304" s="189">
        <f t="shared" si="270"/>
        <v>0.55000000000000004</v>
      </c>
      <c r="AW304" s="189">
        <f t="shared" si="271"/>
        <v>0.66666666666666663</v>
      </c>
      <c r="AX304" s="189">
        <f t="shared" si="272"/>
        <v>0.80341880341880345</v>
      </c>
      <c r="AY304" s="189">
        <f t="shared" si="273"/>
        <v>0.63218390804597702</v>
      </c>
      <c r="AZ304" s="200">
        <f t="shared" si="274"/>
        <v>0.5641025641025641</v>
      </c>
      <c r="BA304" s="204">
        <f t="shared" si="288"/>
        <v>0.16012084592145015</v>
      </c>
      <c r="BB304" s="185">
        <f t="shared" si="275"/>
        <v>6.0422960725075532E-2</v>
      </c>
      <c r="BC304" s="185">
        <f t="shared" si="276"/>
        <v>4.5317220543806644E-2</v>
      </c>
      <c r="BD304" s="185">
        <f t="shared" si="277"/>
        <v>0.35347432024169184</v>
      </c>
      <c r="BE304" s="185">
        <f t="shared" si="278"/>
        <v>0.26283987915407853</v>
      </c>
      <c r="BF304" s="205">
        <f t="shared" si="279"/>
        <v>0.11782477341389729</v>
      </c>
      <c r="BG304" s="194">
        <v>35</v>
      </c>
      <c r="BH304" s="190">
        <v>11</v>
      </c>
      <c r="BI304" s="190">
        <v>10</v>
      </c>
      <c r="BJ304" s="190">
        <v>94</v>
      </c>
      <c r="BK304" s="190">
        <v>55</v>
      </c>
      <c r="BL304" s="195">
        <v>22</v>
      </c>
      <c r="BM304" s="194">
        <v>53</v>
      </c>
      <c r="BN304" s="190">
        <v>20</v>
      </c>
      <c r="BO304" s="190">
        <v>15</v>
      </c>
      <c r="BP304" s="190">
        <v>117</v>
      </c>
      <c r="BQ304" s="190">
        <v>87</v>
      </c>
      <c r="BR304" s="195">
        <v>39</v>
      </c>
    </row>
    <row r="305" spans="1:70" outlineLevel="1" x14ac:dyDescent="0.2">
      <c r="A305" s="20">
        <f t="shared" si="289"/>
        <v>12826</v>
      </c>
      <c r="B305" s="19" t="str">
        <f t="shared" si="289"/>
        <v>UHD</v>
      </c>
      <c r="C305" s="18"/>
      <c r="D305" s="15">
        <v>2437</v>
      </c>
      <c r="E305" s="21">
        <v>0.215</v>
      </c>
      <c r="F305" s="14">
        <v>7949.2666666666664</v>
      </c>
      <c r="G305" s="13">
        <v>4368.2100000000464</v>
      </c>
      <c r="H305" s="15">
        <v>143</v>
      </c>
      <c r="I305" s="13">
        <v>0</v>
      </c>
      <c r="J305" s="214">
        <f t="shared" si="280"/>
        <v>24.693123127605766</v>
      </c>
      <c r="K305" s="16">
        <v>1730</v>
      </c>
      <c r="L305" s="15">
        <v>3223</v>
      </c>
      <c r="M305" s="14">
        <v>1896</v>
      </c>
      <c r="N305" s="13">
        <v>618</v>
      </c>
      <c r="P305" s="77">
        <f t="shared" si="281"/>
        <v>24.693123127605766</v>
      </c>
      <c r="Q305" s="98">
        <f t="shared" si="258"/>
        <v>0.2444863676000571</v>
      </c>
      <c r="R305" s="98">
        <f t="shared" si="282"/>
        <v>0.25505050505050503</v>
      </c>
      <c r="S305" s="199">
        <f t="shared" si="283"/>
        <v>0</v>
      </c>
      <c r="T305" s="189">
        <f t="shared" si="259"/>
        <v>0.33333333333333331</v>
      </c>
      <c r="U305" s="189">
        <f t="shared" si="260"/>
        <v>0.21359223300970873</v>
      </c>
      <c r="V305" s="189">
        <f t="shared" si="261"/>
        <v>0.125</v>
      </c>
      <c r="W305" s="189">
        <f t="shared" si="262"/>
        <v>0.27586206896551724</v>
      </c>
      <c r="X305" s="200">
        <f t="shared" si="263"/>
        <v>0.13725490196078433</v>
      </c>
      <c r="Y305" s="204">
        <f t="shared" si="284"/>
        <v>2.5252525252525255E-3</v>
      </c>
      <c r="Z305" s="185">
        <f t="shared" si="264"/>
        <v>0.29545454545454547</v>
      </c>
      <c r="AA305" s="185">
        <f t="shared" si="265"/>
        <v>0.26010101010101011</v>
      </c>
      <c r="AB305" s="185">
        <f t="shared" si="266"/>
        <v>2.0202020202020204E-2</v>
      </c>
      <c r="AC305" s="185">
        <f t="shared" si="267"/>
        <v>0.29292929292929293</v>
      </c>
      <c r="AD305" s="205">
        <f t="shared" si="268"/>
        <v>0.12878787878787878</v>
      </c>
      <c r="AE305" s="194">
        <v>0</v>
      </c>
      <c r="AF305" s="190">
        <v>39</v>
      </c>
      <c r="AG305" s="190">
        <v>22</v>
      </c>
      <c r="AH305" s="190">
        <v>1</v>
      </c>
      <c r="AI305" s="190">
        <v>32</v>
      </c>
      <c r="AJ305" s="195">
        <v>7</v>
      </c>
      <c r="AK305" s="194">
        <v>1</v>
      </c>
      <c r="AL305" s="190">
        <v>117</v>
      </c>
      <c r="AM305" s="190">
        <v>103</v>
      </c>
      <c r="AN305" s="190">
        <v>8</v>
      </c>
      <c r="AO305" s="190">
        <v>116</v>
      </c>
      <c r="AP305" s="195">
        <v>51</v>
      </c>
      <c r="AR305" s="77">
        <f t="shared" si="285"/>
        <v>148.05692933531623</v>
      </c>
      <c r="AS305" s="98">
        <f t="shared" si="269"/>
        <v>0.59222771734126489</v>
      </c>
      <c r="AT305" s="98">
        <f t="shared" si="286"/>
        <v>0.57736720554272514</v>
      </c>
      <c r="AU305" s="199">
        <f t="shared" si="287"/>
        <v>0.67142857142857137</v>
      </c>
      <c r="AV305" s="189">
        <f t="shared" si="270"/>
        <v>0.6470588235294118</v>
      </c>
      <c r="AW305" s="189">
        <f t="shared" si="271"/>
        <v>0.41509433962264153</v>
      </c>
      <c r="AX305" s="189">
        <f t="shared" si="272"/>
        <v>0.74683544303797467</v>
      </c>
      <c r="AY305" s="189">
        <f t="shared" si="273"/>
        <v>0.54255319148936165</v>
      </c>
      <c r="AZ305" s="200">
        <f t="shared" si="274"/>
        <v>0.39130434782608697</v>
      </c>
      <c r="BA305" s="204">
        <f t="shared" si="288"/>
        <v>0.16166281755196305</v>
      </c>
      <c r="BB305" s="185">
        <f t="shared" si="275"/>
        <v>0.15704387990762125</v>
      </c>
      <c r="BC305" s="185">
        <f t="shared" si="276"/>
        <v>0.12240184757505773</v>
      </c>
      <c r="BD305" s="185">
        <f t="shared" si="277"/>
        <v>0.18244803695150116</v>
      </c>
      <c r="BE305" s="185">
        <f t="shared" si="278"/>
        <v>0.21709006928406466</v>
      </c>
      <c r="BF305" s="205">
        <f t="shared" si="279"/>
        <v>0.15935334872979215</v>
      </c>
      <c r="BG305" s="194">
        <v>47</v>
      </c>
      <c r="BH305" s="190">
        <v>44</v>
      </c>
      <c r="BI305" s="190">
        <v>22</v>
      </c>
      <c r="BJ305" s="190">
        <v>59</v>
      </c>
      <c r="BK305" s="190">
        <v>51</v>
      </c>
      <c r="BL305" s="195">
        <v>27</v>
      </c>
      <c r="BM305" s="194">
        <v>70</v>
      </c>
      <c r="BN305" s="190">
        <v>68</v>
      </c>
      <c r="BO305" s="190">
        <v>53</v>
      </c>
      <c r="BP305" s="190">
        <v>79</v>
      </c>
      <c r="BQ305" s="190">
        <v>94</v>
      </c>
      <c r="BR305" s="195">
        <v>69</v>
      </c>
    </row>
    <row r="306" spans="1:70" outlineLevel="1" x14ac:dyDescent="0.2">
      <c r="A306" s="20">
        <f t="shared" si="289"/>
        <v>13231</v>
      </c>
      <c r="B306" s="19" t="str">
        <f t="shared" si="289"/>
        <v>UHV</v>
      </c>
      <c r="C306" s="18"/>
      <c r="D306" s="15">
        <v>596</v>
      </c>
      <c r="E306" s="17">
        <v>0.5339366515837104</v>
      </c>
      <c r="F306" s="14">
        <v>1494.2</v>
      </c>
      <c r="G306" s="13">
        <v>1103.6999999999998</v>
      </c>
      <c r="H306" s="15">
        <v>118</v>
      </c>
      <c r="I306" s="13">
        <v>11</v>
      </c>
      <c r="J306" s="214">
        <f>AR306</f>
        <v>30.505823723024374</v>
      </c>
      <c r="K306" s="16">
        <v>397</v>
      </c>
      <c r="L306" s="15">
        <v>718</v>
      </c>
      <c r="M306" s="14">
        <v>286</v>
      </c>
      <c r="N306" s="13">
        <v>6</v>
      </c>
      <c r="P306" s="77">
        <f t="shared" si="281"/>
        <v>0</v>
      </c>
      <c r="Q306" s="98">
        <f t="shared" si="258"/>
        <v>0</v>
      </c>
      <c r="R306" s="98">
        <f t="shared" si="282"/>
        <v>0</v>
      </c>
      <c r="S306" s="199">
        <f t="shared" si="283"/>
        <v>0</v>
      </c>
      <c r="T306" s="189">
        <f t="shared" si="259"/>
        <v>0</v>
      </c>
      <c r="U306" s="189">
        <f t="shared" si="260"/>
        <v>0</v>
      </c>
      <c r="V306" s="189">
        <f t="shared" si="261"/>
        <v>0</v>
      </c>
      <c r="W306" s="189">
        <f t="shared" si="262"/>
        <v>0</v>
      </c>
      <c r="X306" s="200">
        <f t="shared" si="263"/>
        <v>0</v>
      </c>
      <c r="Y306" s="204">
        <f t="shared" si="284"/>
        <v>0</v>
      </c>
      <c r="Z306" s="185">
        <f t="shared" si="264"/>
        <v>0</v>
      </c>
      <c r="AA306" s="185">
        <f t="shared" si="265"/>
        <v>0</v>
      </c>
      <c r="AB306" s="185">
        <f t="shared" si="266"/>
        <v>0</v>
      </c>
      <c r="AC306" s="185">
        <f t="shared" si="267"/>
        <v>0</v>
      </c>
      <c r="AD306" s="205">
        <f t="shared" si="268"/>
        <v>0</v>
      </c>
      <c r="AE306" s="194">
        <v>0</v>
      </c>
      <c r="AF306" s="190">
        <v>0</v>
      </c>
      <c r="AG306" s="190">
        <v>0</v>
      </c>
      <c r="AH306" s="190">
        <v>0</v>
      </c>
      <c r="AI306" s="190">
        <v>0</v>
      </c>
      <c r="AJ306" s="195">
        <v>0</v>
      </c>
      <c r="AK306" s="194">
        <v>0</v>
      </c>
      <c r="AL306" s="190">
        <v>0</v>
      </c>
      <c r="AM306" s="190">
        <v>0</v>
      </c>
      <c r="AN306" s="190">
        <v>0</v>
      </c>
      <c r="AO306" s="190">
        <v>0</v>
      </c>
      <c r="AP306" s="195">
        <v>0</v>
      </c>
      <c r="AR306" s="77">
        <f t="shared" si="285"/>
        <v>30.505823723024374</v>
      </c>
      <c r="AS306" s="98">
        <f t="shared" si="269"/>
        <v>0.6225678310821301</v>
      </c>
      <c r="AT306" s="98">
        <f t="shared" si="286"/>
        <v>0.66216216216216217</v>
      </c>
      <c r="AU306" s="199">
        <f t="shared" si="287"/>
        <v>0.625</v>
      </c>
      <c r="AV306" s="189">
        <f t="shared" si="270"/>
        <v>0.5714285714285714</v>
      </c>
      <c r="AW306" s="189">
        <f t="shared" si="271"/>
        <v>0</v>
      </c>
      <c r="AX306" s="189">
        <f t="shared" si="272"/>
        <v>0.88</v>
      </c>
      <c r="AY306" s="189">
        <f t="shared" si="273"/>
        <v>0.66666666666666663</v>
      </c>
      <c r="AZ306" s="200">
        <f t="shared" si="274"/>
        <v>0.22222222222222221</v>
      </c>
      <c r="BA306" s="204">
        <f t="shared" si="288"/>
        <v>0.10810810810810811</v>
      </c>
      <c r="BB306" s="185">
        <f t="shared" si="275"/>
        <v>0.1891891891891892</v>
      </c>
      <c r="BC306" s="185">
        <f t="shared" si="276"/>
        <v>0</v>
      </c>
      <c r="BD306" s="185">
        <f t="shared" si="277"/>
        <v>0.33783783783783783</v>
      </c>
      <c r="BE306" s="185">
        <f t="shared" si="278"/>
        <v>0.24324324324324326</v>
      </c>
      <c r="BF306" s="205">
        <f t="shared" si="279"/>
        <v>0.12162162162162163</v>
      </c>
      <c r="BG306" s="194">
        <v>5</v>
      </c>
      <c r="BH306" s="190">
        <v>8</v>
      </c>
      <c r="BI306" s="190">
        <v>0</v>
      </c>
      <c r="BJ306" s="190">
        <v>22</v>
      </c>
      <c r="BK306" s="190">
        <v>12</v>
      </c>
      <c r="BL306" s="195">
        <v>2</v>
      </c>
      <c r="BM306" s="194">
        <v>8</v>
      </c>
      <c r="BN306" s="190">
        <v>14</v>
      </c>
      <c r="BO306" s="190">
        <v>0</v>
      </c>
      <c r="BP306" s="190">
        <v>25</v>
      </c>
      <c r="BQ306" s="190">
        <v>18</v>
      </c>
      <c r="BR306" s="195">
        <v>9</v>
      </c>
    </row>
    <row r="307" spans="1:70" outlineLevel="1" x14ac:dyDescent="0.2">
      <c r="A307" s="20">
        <f t="shared" si="289"/>
        <v>3592</v>
      </c>
      <c r="B307" s="19" t="str">
        <f t="shared" si="289"/>
        <v>Midwestern</v>
      </c>
      <c r="C307" s="18"/>
      <c r="D307" s="15">
        <v>1027</v>
      </c>
      <c r="E307" s="21">
        <v>0.443</v>
      </c>
      <c r="F307" s="14">
        <v>4387.7333333333336</v>
      </c>
      <c r="G307" s="13">
        <v>1924.84</v>
      </c>
      <c r="H307" s="15">
        <v>340</v>
      </c>
      <c r="I307" s="13">
        <v>11</v>
      </c>
      <c r="J307" s="214">
        <f t="shared" si="280"/>
        <v>170.91564347392017</v>
      </c>
      <c r="K307" s="16">
        <v>675</v>
      </c>
      <c r="L307" s="15">
        <v>1507</v>
      </c>
      <c r="M307" s="14">
        <v>1079</v>
      </c>
      <c r="N307" s="13">
        <v>734</v>
      </c>
      <c r="P307" s="77">
        <f t="shared" si="281"/>
        <v>170.91564347392017</v>
      </c>
      <c r="Q307" s="98">
        <f t="shared" si="258"/>
        <v>0.47608814338139321</v>
      </c>
      <c r="R307" s="98">
        <f t="shared" si="282"/>
        <v>0.45328282828282829</v>
      </c>
      <c r="S307" s="199">
        <f t="shared" si="283"/>
        <v>0.61538461538461542</v>
      </c>
      <c r="T307" s="189">
        <f t="shared" si="259"/>
        <v>0.390625</v>
      </c>
      <c r="U307" s="189">
        <f t="shared" si="260"/>
        <v>0.27272727272727271</v>
      </c>
      <c r="V307" s="189">
        <f t="shared" si="261"/>
        <v>0.625</v>
      </c>
      <c r="W307" s="189">
        <f t="shared" si="262"/>
        <v>0.48712446351931332</v>
      </c>
      <c r="X307" s="200">
        <f t="shared" si="263"/>
        <v>0.37777777777777777</v>
      </c>
      <c r="Y307" s="204">
        <f t="shared" si="284"/>
        <v>1.6414141414141416E-2</v>
      </c>
      <c r="Z307" s="185">
        <f t="shared" si="264"/>
        <v>0.24242424242424243</v>
      </c>
      <c r="AA307" s="185">
        <f t="shared" si="265"/>
        <v>5.5555555555555552E-2</v>
      </c>
      <c r="AB307" s="185">
        <f t="shared" si="266"/>
        <v>4.0404040404040407E-2</v>
      </c>
      <c r="AC307" s="185">
        <f t="shared" si="267"/>
        <v>0.58838383838383834</v>
      </c>
      <c r="AD307" s="205">
        <f t="shared" si="268"/>
        <v>5.6818181818181816E-2</v>
      </c>
      <c r="AE307" s="194">
        <v>8</v>
      </c>
      <c r="AF307" s="190">
        <v>75</v>
      </c>
      <c r="AG307" s="190">
        <v>12</v>
      </c>
      <c r="AH307" s="190">
        <v>20</v>
      </c>
      <c r="AI307" s="190">
        <v>227</v>
      </c>
      <c r="AJ307" s="195">
        <v>17</v>
      </c>
      <c r="AK307" s="194">
        <v>13</v>
      </c>
      <c r="AL307" s="190">
        <v>192</v>
      </c>
      <c r="AM307" s="190">
        <v>44</v>
      </c>
      <c r="AN307" s="190">
        <v>32</v>
      </c>
      <c r="AO307" s="190">
        <v>466</v>
      </c>
      <c r="AP307" s="195">
        <v>45</v>
      </c>
      <c r="AR307" s="77">
        <f t="shared" si="285"/>
        <v>122.25521110955937</v>
      </c>
      <c r="AS307" s="98">
        <f t="shared" si="269"/>
        <v>0.61127605554779685</v>
      </c>
      <c r="AT307" s="98">
        <f t="shared" si="286"/>
        <v>0.62695924764890287</v>
      </c>
      <c r="AU307" s="199">
        <f t="shared" si="287"/>
        <v>0.71794871794871795</v>
      </c>
      <c r="AV307" s="189">
        <f t="shared" si="270"/>
        <v>0.5714285714285714</v>
      </c>
      <c r="AW307" s="189">
        <f t="shared" si="271"/>
        <v>0.33333333333333331</v>
      </c>
      <c r="AX307" s="189">
        <f t="shared" si="272"/>
        <v>0.85897435897435892</v>
      </c>
      <c r="AY307" s="189">
        <f t="shared" si="273"/>
        <v>0.58333333333333337</v>
      </c>
      <c r="AZ307" s="200">
        <f t="shared" si="274"/>
        <v>0.40816326530612246</v>
      </c>
      <c r="BA307" s="204">
        <f t="shared" si="288"/>
        <v>0.12225705329153605</v>
      </c>
      <c r="BB307" s="185">
        <f t="shared" si="275"/>
        <v>0.13166144200626959</v>
      </c>
      <c r="BC307" s="185">
        <f t="shared" si="276"/>
        <v>4.7021943573667714E-2</v>
      </c>
      <c r="BD307" s="185">
        <f t="shared" si="277"/>
        <v>0.2445141065830721</v>
      </c>
      <c r="BE307" s="185">
        <f t="shared" si="278"/>
        <v>0.30094043887147337</v>
      </c>
      <c r="BF307" s="205">
        <f t="shared" si="279"/>
        <v>0.15360501567398119</v>
      </c>
      <c r="BG307" s="194">
        <v>28</v>
      </c>
      <c r="BH307" s="190">
        <v>24</v>
      </c>
      <c r="BI307" s="190">
        <v>5</v>
      </c>
      <c r="BJ307" s="190">
        <v>67</v>
      </c>
      <c r="BK307" s="190">
        <v>56</v>
      </c>
      <c r="BL307" s="195">
        <v>20</v>
      </c>
      <c r="BM307" s="194">
        <v>39</v>
      </c>
      <c r="BN307" s="190">
        <v>42</v>
      </c>
      <c r="BO307" s="190">
        <v>15</v>
      </c>
      <c r="BP307" s="190">
        <v>78</v>
      </c>
      <c r="BQ307" s="190">
        <v>96</v>
      </c>
      <c r="BR307" s="195">
        <v>49</v>
      </c>
    </row>
    <row r="308" spans="1:70" outlineLevel="1" x14ac:dyDescent="0.2">
      <c r="A308" s="20">
        <f t="shared" si="289"/>
        <v>3594</v>
      </c>
      <c r="B308" s="19" t="str">
        <f t="shared" si="289"/>
        <v>UNT</v>
      </c>
      <c r="C308" s="18"/>
      <c r="D308" s="15">
        <v>6183</v>
      </c>
      <c r="E308" s="21">
        <v>0.58700000000000008</v>
      </c>
      <c r="F308" s="14">
        <v>23168.733333333334</v>
      </c>
      <c r="G308" s="13">
        <v>11731.089999999795</v>
      </c>
      <c r="H308" s="15">
        <v>345</v>
      </c>
      <c r="I308" s="13">
        <v>47</v>
      </c>
      <c r="J308" s="214">
        <f t="shared" si="280"/>
        <v>1167.8968462759658</v>
      </c>
      <c r="K308" s="16">
        <v>3942</v>
      </c>
      <c r="L308" s="15">
        <v>7957</v>
      </c>
      <c r="M308" s="14">
        <v>5891</v>
      </c>
      <c r="N308" s="13">
        <v>3310</v>
      </c>
      <c r="P308" s="77">
        <f t="shared" si="281"/>
        <v>1167.8968462759658</v>
      </c>
      <c r="Q308" s="98">
        <f t="shared" si="258"/>
        <v>0.5730602778586682</v>
      </c>
      <c r="R308" s="98">
        <f t="shared" si="282"/>
        <v>0.5895284929129303</v>
      </c>
      <c r="S308" s="199">
        <f t="shared" si="283"/>
        <v>0.55555555555555558</v>
      </c>
      <c r="T308" s="189">
        <f t="shared" si="259"/>
        <v>0.49339933993399337</v>
      </c>
      <c r="U308" s="189">
        <f t="shared" si="260"/>
        <v>0.44117647058823528</v>
      </c>
      <c r="V308" s="189">
        <f t="shared" si="261"/>
        <v>0.66481481481481486</v>
      </c>
      <c r="W308" s="189">
        <f t="shared" si="262"/>
        <v>0.60304990757855825</v>
      </c>
      <c r="X308" s="200">
        <f t="shared" si="263"/>
        <v>0.46875</v>
      </c>
      <c r="Y308" s="204">
        <f t="shared" si="284"/>
        <v>2.3430720277697426E-2</v>
      </c>
      <c r="Z308" s="185">
        <f t="shared" si="264"/>
        <v>0.17529649985536591</v>
      </c>
      <c r="AA308" s="185">
        <f t="shared" si="265"/>
        <v>9.8351171536013877E-3</v>
      </c>
      <c r="AB308" s="185">
        <f t="shared" si="266"/>
        <v>0.15620480185131616</v>
      </c>
      <c r="AC308" s="185">
        <f t="shared" si="267"/>
        <v>0.62597628001157068</v>
      </c>
      <c r="AD308" s="205">
        <f t="shared" si="268"/>
        <v>9.2565808504483649E-3</v>
      </c>
      <c r="AE308" s="194">
        <v>45</v>
      </c>
      <c r="AF308" s="190">
        <v>299</v>
      </c>
      <c r="AG308" s="190">
        <v>15</v>
      </c>
      <c r="AH308" s="190">
        <v>359</v>
      </c>
      <c r="AI308" s="190">
        <v>1305</v>
      </c>
      <c r="AJ308" s="195">
        <v>15</v>
      </c>
      <c r="AK308" s="194">
        <v>81</v>
      </c>
      <c r="AL308" s="190">
        <v>606</v>
      </c>
      <c r="AM308" s="190">
        <v>34</v>
      </c>
      <c r="AN308" s="190">
        <v>540</v>
      </c>
      <c r="AO308" s="190">
        <v>2164</v>
      </c>
      <c r="AP308" s="195">
        <v>32</v>
      </c>
      <c r="AR308" s="77">
        <f t="shared" si="285"/>
        <v>887.68049526735876</v>
      </c>
      <c r="AS308" s="98">
        <f t="shared" si="269"/>
        <v>0.64000035707812453</v>
      </c>
      <c r="AT308" s="98">
        <f t="shared" si="286"/>
        <v>0.65209214856605546</v>
      </c>
      <c r="AU308" s="199">
        <f t="shared" si="287"/>
        <v>0.71627906976744182</v>
      </c>
      <c r="AV308" s="189">
        <f t="shared" si="270"/>
        <v>0.58947368421052626</v>
      </c>
      <c r="AW308" s="189">
        <f t="shared" si="271"/>
        <v>0.44594594594594594</v>
      </c>
      <c r="AX308" s="189">
        <f t="shared" si="272"/>
        <v>0.77910052910052907</v>
      </c>
      <c r="AY308" s="189">
        <f t="shared" si="273"/>
        <v>0.65306122448979587</v>
      </c>
      <c r="AZ308" s="200">
        <f t="shared" si="274"/>
        <v>0.37828947368421051</v>
      </c>
      <c r="BA308" s="204">
        <f t="shared" si="288"/>
        <v>0.10108133521391631</v>
      </c>
      <c r="BB308" s="185">
        <f t="shared" si="275"/>
        <v>8.9327691584391161E-2</v>
      </c>
      <c r="BC308" s="185">
        <f t="shared" si="276"/>
        <v>3.4790785143394454E-2</v>
      </c>
      <c r="BD308" s="185">
        <f t="shared" si="277"/>
        <v>0.35543018335684062</v>
      </c>
      <c r="BE308" s="185">
        <f t="shared" si="278"/>
        <v>0.27644569816643161</v>
      </c>
      <c r="BF308" s="205">
        <f t="shared" si="279"/>
        <v>0.14292430653502586</v>
      </c>
      <c r="BG308" s="194">
        <v>154</v>
      </c>
      <c r="BH308" s="190">
        <v>112</v>
      </c>
      <c r="BI308" s="190">
        <v>33</v>
      </c>
      <c r="BJ308" s="190">
        <v>589</v>
      </c>
      <c r="BK308" s="190">
        <v>384</v>
      </c>
      <c r="BL308" s="195">
        <v>115</v>
      </c>
      <c r="BM308" s="194">
        <v>215</v>
      </c>
      <c r="BN308" s="190">
        <v>190</v>
      </c>
      <c r="BO308" s="190">
        <v>74</v>
      </c>
      <c r="BP308" s="190">
        <v>756</v>
      </c>
      <c r="BQ308" s="190">
        <v>588</v>
      </c>
      <c r="BR308" s="195">
        <v>304</v>
      </c>
    </row>
    <row r="309" spans="1:70" outlineLevel="1" x14ac:dyDescent="0.2">
      <c r="A309" s="27">
        <f t="shared" si="289"/>
        <v>113594</v>
      </c>
      <c r="B309" s="19" t="str">
        <f t="shared" si="289"/>
        <v>UNTD</v>
      </c>
      <c r="C309" s="18"/>
      <c r="D309" s="30">
        <v>388</v>
      </c>
      <c r="E309" s="47">
        <v>0.58700000000000008</v>
      </c>
      <c r="F309" s="29">
        <v>908.8</v>
      </c>
      <c r="G309" s="28">
        <v>669.60000000000036</v>
      </c>
      <c r="H309" s="30">
        <v>10</v>
      </c>
      <c r="I309" s="28"/>
      <c r="J309" s="214">
        <f t="shared" si="280"/>
        <v>0</v>
      </c>
      <c r="K309" s="46">
        <v>304</v>
      </c>
      <c r="L309" s="30">
        <v>487</v>
      </c>
      <c r="M309" s="29">
        <v>63</v>
      </c>
      <c r="N309" s="28">
        <v>18</v>
      </c>
      <c r="P309" s="77">
        <f t="shared" si="281"/>
        <v>0</v>
      </c>
      <c r="Q309" s="98">
        <f t="shared" si="258"/>
        <v>0</v>
      </c>
      <c r="R309" s="98">
        <f t="shared" si="282"/>
        <v>0</v>
      </c>
      <c r="S309" s="199">
        <f t="shared" si="283"/>
        <v>0</v>
      </c>
      <c r="T309" s="189">
        <f t="shared" si="259"/>
        <v>0</v>
      </c>
      <c r="U309" s="189">
        <f t="shared" si="260"/>
        <v>0</v>
      </c>
      <c r="V309" s="189">
        <f t="shared" si="261"/>
        <v>0</v>
      </c>
      <c r="W309" s="189">
        <f t="shared" si="262"/>
        <v>0</v>
      </c>
      <c r="X309" s="200">
        <f t="shared" si="263"/>
        <v>0</v>
      </c>
      <c r="Y309" s="204">
        <f t="shared" si="284"/>
        <v>0</v>
      </c>
      <c r="Z309" s="185">
        <f t="shared" si="264"/>
        <v>0</v>
      </c>
      <c r="AA309" s="185">
        <f t="shared" si="265"/>
        <v>0</v>
      </c>
      <c r="AB309" s="185">
        <f t="shared" si="266"/>
        <v>0</v>
      </c>
      <c r="AC309" s="185">
        <f t="shared" si="267"/>
        <v>0</v>
      </c>
      <c r="AD309" s="205">
        <f t="shared" si="268"/>
        <v>0</v>
      </c>
      <c r="AE309" s="194">
        <v>0</v>
      </c>
      <c r="AF309" s="190">
        <v>0</v>
      </c>
      <c r="AG309" s="190">
        <v>0</v>
      </c>
      <c r="AH309" s="190">
        <v>0</v>
      </c>
      <c r="AI309" s="190">
        <v>0</v>
      </c>
      <c r="AJ309" s="195">
        <v>0</v>
      </c>
      <c r="AK309" s="194">
        <v>0</v>
      </c>
      <c r="AL309" s="190">
        <v>0</v>
      </c>
      <c r="AM309" s="190">
        <v>0</v>
      </c>
      <c r="AN309" s="190">
        <v>0</v>
      </c>
      <c r="AO309" s="190">
        <v>0</v>
      </c>
      <c r="AP309" s="195">
        <v>0</v>
      </c>
      <c r="AR309" s="77">
        <f t="shared" si="285"/>
        <v>0</v>
      </c>
      <c r="AS309" s="98">
        <f t="shared" si="269"/>
        <v>0</v>
      </c>
      <c r="AT309" s="98">
        <f t="shared" si="286"/>
        <v>0</v>
      </c>
      <c r="AU309" s="199">
        <f t="shared" si="287"/>
        <v>0</v>
      </c>
      <c r="AV309" s="189">
        <f t="shared" si="270"/>
        <v>0</v>
      </c>
      <c r="AW309" s="189">
        <f t="shared" si="271"/>
        <v>0</v>
      </c>
      <c r="AX309" s="189">
        <f t="shared" si="272"/>
        <v>0</v>
      </c>
      <c r="AY309" s="189">
        <f t="shared" si="273"/>
        <v>0</v>
      </c>
      <c r="AZ309" s="200">
        <f t="shared" si="274"/>
        <v>0</v>
      </c>
      <c r="BA309" s="204">
        <f t="shared" si="288"/>
        <v>0</v>
      </c>
      <c r="BB309" s="185">
        <f t="shared" si="275"/>
        <v>0</v>
      </c>
      <c r="BC309" s="185">
        <f t="shared" si="276"/>
        <v>0</v>
      </c>
      <c r="BD309" s="185">
        <f t="shared" si="277"/>
        <v>0</v>
      </c>
      <c r="BE309" s="185">
        <f t="shared" si="278"/>
        <v>0</v>
      </c>
      <c r="BF309" s="205">
        <f t="shared" si="279"/>
        <v>0</v>
      </c>
      <c r="BG309" s="194"/>
      <c r="BH309" s="190"/>
      <c r="BI309" s="190"/>
      <c r="BJ309" s="190"/>
      <c r="BK309" s="190"/>
      <c r="BL309" s="195"/>
      <c r="BM309" s="194"/>
      <c r="BN309" s="190"/>
      <c r="BO309" s="190"/>
      <c r="BP309" s="190"/>
      <c r="BQ309" s="190"/>
      <c r="BR309" s="195"/>
    </row>
    <row r="310" spans="1:70" outlineLevel="1" x14ac:dyDescent="0.2">
      <c r="A310" s="20">
        <f t="shared" si="289"/>
        <v>3624</v>
      </c>
      <c r="B310" s="19" t="str">
        <f t="shared" si="289"/>
        <v>SFA</v>
      </c>
      <c r="C310" s="18"/>
      <c r="D310" s="15">
        <v>1880</v>
      </c>
      <c r="E310" s="21">
        <v>0.53900000000000003</v>
      </c>
      <c r="F310" s="14">
        <v>9440.9333333333325</v>
      </c>
      <c r="G310" s="13">
        <v>3606.8600000000297</v>
      </c>
      <c r="H310" s="15">
        <v>241</v>
      </c>
      <c r="I310" s="13">
        <v>49</v>
      </c>
      <c r="J310" s="214">
        <f t="shared" si="280"/>
        <v>586.66117202011037</v>
      </c>
      <c r="K310" s="16">
        <v>1446</v>
      </c>
      <c r="L310" s="15">
        <v>3040</v>
      </c>
      <c r="M310" s="14">
        <v>2166</v>
      </c>
      <c r="N310" s="13">
        <v>1402</v>
      </c>
      <c r="P310" s="77">
        <f t="shared" si="281"/>
        <v>586.66117202011037</v>
      </c>
      <c r="Q310" s="98">
        <f t="shared" si="258"/>
        <v>0.5529323016212162</v>
      </c>
      <c r="R310" s="98">
        <f t="shared" si="282"/>
        <v>0.54438173422267833</v>
      </c>
      <c r="S310" s="199">
        <f t="shared" si="283"/>
        <v>0.45161290322580644</v>
      </c>
      <c r="T310" s="189">
        <f t="shared" si="259"/>
        <v>0.45147679324894513</v>
      </c>
      <c r="U310" s="189">
        <f t="shared" si="260"/>
        <v>0.26881720430107525</v>
      </c>
      <c r="V310" s="189">
        <f t="shared" si="261"/>
        <v>0.70629370629370625</v>
      </c>
      <c r="W310" s="189">
        <f t="shared" si="262"/>
        <v>0.59498207885304655</v>
      </c>
      <c r="X310" s="200">
        <f t="shared" si="263"/>
        <v>0.46739130434782611</v>
      </c>
      <c r="Y310" s="204">
        <f t="shared" si="284"/>
        <v>1.590559261159569E-2</v>
      </c>
      <c r="Z310" s="185">
        <f t="shared" si="264"/>
        <v>0.24320164186762441</v>
      </c>
      <c r="AA310" s="185">
        <f t="shared" si="265"/>
        <v>4.7716777834787068E-2</v>
      </c>
      <c r="AB310" s="185">
        <f t="shared" si="266"/>
        <v>7.3370959466393021E-2</v>
      </c>
      <c r="AC310" s="185">
        <f t="shared" si="267"/>
        <v>0.57260133401744484</v>
      </c>
      <c r="AD310" s="205">
        <f t="shared" si="268"/>
        <v>4.720369420215495E-2</v>
      </c>
      <c r="AE310" s="194">
        <v>14</v>
      </c>
      <c r="AF310" s="190">
        <v>214</v>
      </c>
      <c r="AG310" s="190">
        <v>25</v>
      </c>
      <c r="AH310" s="190">
        <v>101</v>
      </c>
      <c r="AI310" s="190">
        <v>664</v>
      </c>
      <c r="AJ310" s="195">
        <v>43</v>
      </c>
      <c r="AK310" s="194">
        <v>31</v>
      </c>
      <c r="AL310" s="190">
        <v>474</v>
      </c>
      <c r="AM310" s="190">
        <v>93</v>
      </c>
      <c r="AN310" s="190">
        <v>143</v>
      </c>
      <c r="AO310" s="190">
        <v>1116</v>
      </c>
      <c r="AP310" s="195">
        <v>92</v>
      </c>
      <c r="AR310" s="77">
        <f t="shared" si="285"/>
        <v>445.98251497975497</v>
      </c>
      <c r="AS310" s="98">
        <f t="shared" si="269"/>
        <v>0.75207844010076719</v>
      </c>
      <c r="AT310" s="98">
        <f t="shared" si="286"/>
        <v>0.76813471502590669</v>
      </c>
      <c r="AU310" s="199">
        <f t="shared" si="287"/>
        <v>0.82222222222222219</v>
      </c>
      <c r="AV310" s="189">
        <f t="shared" si="270"/>
        <v>0.65263157894736845</v>
      </c>
      <c r="AW310" s="189">
        <f t="shared" si="271"/>
        <v>0.4</v>
      </c>
      <c r="AX310" s="189">
        <f t="shared" si="272"/>
        <v>0.87148594377510036</v>
      </c>
      <c r="AY310" s="189">
        <f t="shared" si="273"/>
        <v>0.82304526748971196</v>
      </c>
      <c r="AZ310" s="200">
        <f t="shared" si="274"/>
        <v>0.43333333333333335</v>
      </c>
      <c r="BA310" s="204">
        <f t="shared" si="288"/>
        <v>0.11658031088082901</v>
      </c>
      <c r="BB310" s="185">
        <f t="shared" si="275"/>
        <v>0.12305699481865284</v>
      </c>
      <c r="BC310" s="185">
        <f t="shared" si="276"/>
        <v>4.5336787564766841E-2</v>
      </c>
      <c r="BD310" s="185">
        <f t="shared" si="277"/>
        <v>0.32253886010362692</v>
      </c>
      <c r="BE310" s="185">
        <f t="shared" si="278"/>
        <v>0.31476683937823835</v>
      </c>
      <c r="BF310" s="205">
        <f t="shared" si="279"/>
        <v>7.7720207253886009E-2</v>
      </c>
      <c r="BG310" s="194">
        <v>74</v>
      </c>
      <c r="BH310" s="190">
        <v>62</v>
      </c>
      <c r="BI310" s="190">
        <v>14</v>
      </c>
      <c r="BJ310" s="190">
        <v>217</v>
      </c>
      <c r="BK310" s="190">
        <v>200</v>
      </c>
      <c r="BL310" s="195">
        <v>26</v>
      </c>
      <c r="BM310" s="194">
        <v>90</v>
      </c>
      <c r="BN310" s="190">
        <v>95</v>
      </c>
      <c r="BO310" s="190">
        <v>35</v>
      </c>
      <c r="BP310" s="190">
        <v>249</v>
      </c>
      <c r="BQ310" s="190">
        <v>243</v>
      </c>
      <c r="BR310" s="195">
        <v>60</v>
      </c>
    </row>
    <row r="311" spans="1:70" outlineLevel="1" x14ac:dyDescent="0.2">
      <c r="A311" s="20">
        <f t="shared" si="289"/>
        <v>3642</v>
      </c>
      <c r="B311" s="19" t="str">
        <f t="shared" si="289"/>
        <v>TSU</v>
      </c>
      <c r="C311" s="18"/>
      <c r="D311" s="15">
        <v>721</v>
      </c>
      <c r="E311" s="21">
        <v>0.14099999999999999</v>
      </c>
      <c r="F311" s="14">
        <v>5912.8</v>
      </c>
      <c r="G311" s="13">
        <v>1385.6100000000063</v>
      </c>
      <c r="H311" s="15">
        <v>122</v>
      </c>
      <c r="I311" s="13">
        <v>2</v>
      </c>
      <c r="J311" s="214">
        <f t="shared" si="280"/>
        <v>60.314756957898446</v>
      </c>
      <c r="K311" s="16">
        <v>635</v>
      </c>
      <c r="L311" s="15">
        <v>1692</v>
      </c>
      <c r="M311" s="14">
        <v>1274</v>
      </c>
      <c r="N311" s="13">
        <v>870</v>
      </c>
      <c r="P311" s="77">
        <f t="shared" si="281"/>
        <v>60.314756957898446</v>
      </c>
      <c r="Q311" s="98">
        <f t="shared" si="258"/>
        <v>0.30772835182601249</v>
      </c>
      <c r="R311" s="98">
        <f t="shared" si="282"/>
        <v>0.17689530685920576</v>
      </c>
      <c r="S311" s="199">
        <f t="shared" si="283"/>
        <v>0</v>
      </c>
      <c r="T311" s="189">
        <f t="shared" si="259"/>
        <v>0.2</v>
      </c>
      <c r="U311" s="189">
        <f t="shared" si="260"/>
        <v>0.10810810810810811</v>
      </c>
      <c r="V311" s="189">
        <f t="shared" si="261"/>
        <v>0.5</v>
      </c>
      <c r="W311" s="189">
        <f t="shared" si="262"/>
        <v>0.34408602150537637</v>
      </c>
      <c r="X311" s="200">
        <f t="shared" si="263"/>
        <v>0.14285714285714285</v>
      </c>
      <c r="Y311" s="204">
        <f t="shared" si="284"/>
        <v>0</v>
      </c>
      <c r="Z311" s="185">
        <f t="shared" si="264"/>
        <v>0.25722021660649819</v>
      </c>
      <c r="AA311" s="185">
        <f t="shared" si="265"/>
        <v>0.43411552346570398</v>
      </c>
      <c r="AB311" s="185">
        <f t="shared" si="266"/>
        <v>1.8050541516245488E-3</v>
      </c>
      <c r="AC311" s="185">
        <f t="shared" si="267"/>
        <v>0.16787003610108303</v>
      </c>
      <c r="AD311" s="205">
        <f t="shared" si="268"/>
        <v>0.13898916967509026</v>
      </c>
      <c r="AE311" s="194">
        <v>0</v>
      </c>
      <c r="AF311" s="190">
        <v>57</v>
      </c>
      <c r="AG311" s="190">
        <v>52</v>
      </c>
      <c r="AH311" s="190">
        <v>1</v>
      </c>
      <c r="AI311" s="190">
        <v>64</v>
      </c>
      <c r="AJ311" s="195">
        <v>22</v>
      </c>
      <c r="AK311" s="194">
        <v>0</v>
      </c>
      <c r="AL311" s="190">
        <v>285</v>
      </c>
      <c r="AM311" s="190">
        <v>481</v>
      </c>
      <c r="AN311" s="190">
        <v>2</v>
      </c>
      <c r="AO311" s="190">
        <v>186</v>
      </c>
      <c r="AP311" s="195">
        <v>154</v>
      </c>
      <c r="AR311" s="77">
        <f t="shared" si="285"/>
        <v>72.3322641424311</v>
      </c>
      <c r="AS311" s="98">
        <f t="shared" si="269"/>
        <v>0.54385161009346694</v>
      </c>
      <c r="AT311" s="98">
        <f t="shared" si="286"/>
        <v>0.4907749077490775</v>
      </c>
      <c r="AU311" s="199">
        <f t="shared" si="287"/>
        <v>0.73076923076923073</v>
      </c>
      <c r="AV311" s="189">
        <f t="shared" si="270"/>
        <v>0.6097560975609756</v>
      </c>
      <c r="AW311" s="189">
        <f t="shared" si="271"/>
        <v>0.2413793103448276</v>
      </c>
      <c r="AX311" s="189">
        <f t="shared" si="272"/>
        <v>0.66666666666666663</v>
      </c>
      <c r="AY311" s="189">
        <f t="shared" si="273"/>
        <v>0.52083333333333337</v>
      </c>
      <c r="AZ311" s="200">
        <f t="shared" si="274"/>
        <v>0.23333333333333334</v>
      </c>
      <c r="BA311" s="204">
        <f t="shared" si="288"/>
        <v>9.5940959409594101E-2</v>
      </c>
      <c r="BB311" s="185">
        <f t="shared" si="275"/>
        <v>0.30258302583025831</v>
      </c>
      <c r="BC311" s="185">
        <f t="shared" si="276"/>
        <v>0.2140221402214022</v>
      </c>
      <c r="BD311" s="185">
        <f t="shared" si="277"/>
        <v>9.9630996309963096E-2</v>
      </c>
      <c r="BE311" s="185">
        <f t="shared" si="278"/>
        <v>0.17712177121771217</v>
      </c>
      <c r="BF311" s="205">
        <f t="shared" si="279"/>
        <v>0.11070110701107011</v>
      </c>
      <c r="BG311" s="194">
        <v>19</v>
      </c>
      <c r="BH311" s="190">
        <v>50</v>
      </c>
      <c r="BI311" s="190">
        <v>14</v>
      </c>
      <c r="BJ311" s="190">
        <v>18</v>
      </c>
      <c r="BK311" s="190">
        <v>25</v>
      </c>
      <c r="BL311" s="195">
        <v>7</v>
      </c>
      <c r="BM311" s="194">
        <v>26</v>
      </c>
      <c r="BN311" s="190">
        <v>82</v>
      </c>
      <c r="BO311" s="190">
        <v>58</v>
      </c>
      <c r="BP311" s="190">
        <v>27</v>
      </c>
      <c r="BQ311" s="190">
        <v>48</v>
      </c>
      <c r="BR311" s="195">
        <v>30</v>
      </c>
    </row>
    <row r="312" spans="1:70" outlineLevel="1" x14ac:dyDescent="0.2">
      <c r="A312" s="20">
        <f t="shared" si="289"/>
        <v>3644</v>
      </c>
      <c r="B312" s="19" t="str">
        <f t="shared" si="289"/>
        <v>TTU</v>
      </c>
      <c r="C312" s="18"/>
      <c r="D312" s="15">
        <v>4605</v>
      </c>
      <c r="E312" s="21">
        <v>0.7320000000000001</v>
      </c>
      <c r="F312" s="14">
        <v>22527.466666666667</v>
      </c>
      <c r="G312" s="13">
        <v>9815.7899999997753</v>
      </c>
      <c r="H312" s="15">
        <v>687</v>
      </c>
      <c r="I312" s="13">
        <v>62</v>
      </c>
      <c r="J312" s="214">
        <f t="shared" si="280"/>
        <v>1864.7115812827253</v>
      </c>
      <c r="K312" s="16">
        <v>2724</v>
      </c>
      <c r="L312" s="15">
        <v>6577</v>
      </c>
      <c r="M312" s="14">
        <v>5355</v>
      </c>
      <c r="N312" s="13">
        <v>3957</v>
      </c>
      <c r="P312" s="77">
        <f t="shared" si="281"/>
        <v>1864.7115812827253</v>
      </c>
      <c r="Q312" s="98">
        <f t="shared" si="258"/>
        <v>0.68304453526839759</v>
      </c>
      <c r="R312" s="98">
        <f t="shared" si="282"/>
        <v>0.73249262141132276</v>
      </c>
      <c r="S312" s="199">
        <f t="shared" si="283"/>
        <v>0.62365591397849462</v>
      </c>
      <c r="T312" s="189">
        <f t="shared" si="259"/>
        <v>0.6174496644295302</v>
      </c>
      <c r="U312" s="189">
        <f t="shared" si="260"/>
        <v>0.2857142857142857</v>
      </c>
      <c r="V312" s="189">
        <f t="shared" si="261"/>
        <v>0.74049803407601578</v>
      </c>
      <c r="W312" s="189">
        <f t="shared" si="262"/>
        <v>0.75984911986588433</v>
      </c>
      <c r="X312" s="200">
        <f t="shared" si="263"/>
        <v>0.58333333333333337</v>
      </c>
      <c r="Y312" s="204">
        <f t="shared" si="284"/>
        <v>2.4953045344781325E-2</v>
      </c>
      <c r="Z312" s="185">
        <f t="shared" si="264"/>
        <v>0.11993560504427153</v>
      </c>
      <c r="AA312" s="185">
        <f t="shared" si="265"/>
        <v>3.756372417493963E-3</v>
      </c>
      <c r="AB312" s="185">
        <f t="shared" si="266"/>
        <v>0.20472229675342099</v>
      </c>
      <c r="AC312" s="185">
        <f t="shared" si="267"/>
        <v>0.64019318486718535</v>
      </c>
      <c r="AD312" s="205">
        <f t="shared" si="268"/>
        <v>6.4394955728467934E-3</v>
      </c>
      <c r="AE312" s="194">
        <v>58</v>
      </c>
      <c r="AF312" s="190">
        <v>276</v>
      </c>
      <c r="AG312" s="190">
        <v>4</v>
      </c>
      <c r="AH312" s="190">
        <v>565</v>
      </c>
      <c r="AI312" s="190">
        <v>1813</v>
      </c>
      <c r="AJ312" s="195">
        <v>14</v>
      </c>
      <c r="AK312" s="194">
        <v>93</v>
      </c>
      <c r="AL312" s="190">
        <v>447</v>
      </c>
      <c r="AM312" s="190">
        <v>14</v>
      </c>
      <c r="AN312" s="190">
        <v>763</v>
      </c>
      <c r="AO312" s="190">
        <v>2386</v>
      </c>
      <c r="AP312" s="195">
        <v>24</v>
      </c>
      <c r="AR312" s="77">
        <f t="shared" si="285"/>
        <v>1042.4825040964538</v>
      </c>
      <c r="AS312" s="98">
        <f t="shared" si="269"/>
        <v>0.68856175964098665</v>
      </c>
      <c r="AT312" s="98">
        <f t="shared" si="286"/>
        <v>0.76503284487114709</v>
      </c>
      <c r="AU312" s="199">
        <f t="shared" si="287"/>
        <v>0.78666666666666663</v>
      </c>
      <c r="AV312" s="189">
        <f t="shared" si="270"/>
        <v>0.54166666666666663</v>
      </c>
      <c r="AW312" s="189">
        <f t="shared" si="271"/>
        <v>0.41463414634146339</v>
      </c>
      <c r="AX312" s="189">
        <f t="shared" si="272"/>
        <v>0.86918918918918919</v>
      </c>
      <c r="AY312" s="189">
        <f t="shared" si="273"/>
        <v>0.73684210526315785</v>
      </c>
      <c r="AZ312" s="200">
        <f t="shared" si="274"/>
        <v>0.48461538461538461</v>
      </c>
      <c r="BA312" s="204">
        <f t="shared" si="288"/>
        <v>7.5795856493178368E-2</v>
      </c>
      <c r="BB312" s="185">
        <f t="shared" si="275"/>
        <v>7.2764022233451242E-2</v>
      </c>
      <c r="BC312" s="185">
        <f t="shared" si="276"/>
        <v>2.0717534108135423E-2</v>
      </c>
      <c r="BD312" s="185">
        <f t="shared" si="277"/>
        <v>0.46740778170793329</v>
      </c>
      <c r="BE312" s="185">
        <f t="shared" si="278"/>
        <v>0.29762506316321374</v>
      </c>
      <c r="BF312" s="205">
        <f t="shared" si="279"/>
        <v>6.568974229408793E-2</v>
      </c>
      <c r="BG312" s="194">
        <v>118</v>
      </c>
      <c r="BH312" s="190">
        <v>78</v>
      </c>
      <c r="BI312" s="190">
        <v>17</v>
      </c>
      <c r="BJ312" s="190">
        <v>804</v>
      </c>
      <c r="BK312" s="190">
        <v>434</v>
      </c>
      <c r="BL312" s="195">
        <v>63</v>
      </c>
      <c r="BM312" s="194">
        <v>150</v>
      </c>
      <c r="BN312" s="190">
        <v>144</v>
      </c>
      <c r="BO312" s="190">
        <v>41</v>
      </c>
      <c r="BP312" s="190">
        <v>925</v>
      </c>
      <c r="BQ312" s="190">
        <v>589</v>
      </c>
      <c r="BR312" s="195">
        <v>130</v>
      </c>
    </row>
    <row r="313" spans="1:70" outlineLevel="1" x14ac:dyDescent="0.2">
      <c r="A313" s="20">
        <f t="shared" si="289"/>
        <v>3541</v>
      </c>
      <c r="B313" s="19" t="str">
        <f t="shared" si="289"/>
        <v>Angelo</v>
      </c>
      <c r="C313" s="18"/>
      <c r="D313" s="15">
        <v>960</v>
      </c>
      <c r="E313" s="21">
        <v>0.441</v>
      </c>
      <c r="F313" s="14">
        <v>4895.666666666667</v>
      </c>
      <c r="G313" s="13">
        <v>1856.9499999999953</v>
      </c>
      <c r="H313" s="15">
        <v>242</v>
      </c>
      <c r="I313" s="13">
        <v>21</v>
      </c>
      <c r="J313" s="214">
        <f t="shared" si="280"/>
        <v>175.5401370664176</v>
      </c>
      <c r="K313" s="16">
        <v>720</v>
      </c>
      <c r="L313" s="15">
        <v>1444</v>
      </c>
      <c r="M313" s="14">
        <v>1071</v>
      </c>
      <c r="N313" s="13">
        <v>708</v>
      </c>
      <c r="P313" s="77">
        <f t="shared" si="281"/>
        <v>175.5401370664176</v>
      </c>
      <c r="Q313" s="98">
        <f t="shared" si="258"/>
        <v>0.50881199149686263</v>
      </c>
      <c r="R313" s="98">
        <f t="shared" si="282"/>
        <v>0.45394736842105265</v>
      </c>
      <c r="S313" s="199">
        <f t="shared" si="283"/>
        <v>0.81818181818181823</v>
      </c>
      <c r="T313" s="189">
        <f t="shared" si="259"/>
        <v>0.39153439153439151</v>
      </c>
      <c r="U313" s="189">
        <f t="shared" si="260"/>
        <v>0.2558139534883721</v>
      </c>
      <c r="V313" s="189">
        <f t="shared" si="261"/>
        <v>0.80952380952380953</v>
      </c>
      <c r="W313" s="189">
        <f t="shared" si="262"/>
        <v>0.48175182481751827</v>
      </c>
      <c r="X313" s="200">
        <f t="shared" si="263"/>
        <v>0.296875</v>
      </c>
      <c r="Y313" s="204">
        <f t="shared" si="284"/>
        <v>1.4473684210526316E-2</v>
      </c>
      <c r="Z313" s="185">
        <f t="shared" si="264"/>
        <v>0.24868421052631579</v>
      </c>
      <c r="AA313" s="185">
        <f t="shared" si="265"/>
        <v>5.6578947368421055E-2</v>
      </c>
      <c r="AB313" s="185">
        <f t="shared" si="266"/>
        <v>5.526315789473684E-2</v>
      </c>
      <c r="AC313" s="185">
        <f t="shared" si="267"/>
        <v>0.54078947368421049</v>
      </c>
      <c r="AD313" s="205">
        <f t="shared" si="268"/>
        <v>8.4210526315789472E-2</v>
      </c>
      <c r="AE313" s="194">
        <v>9</v>
      </c>
      <c r="AF313" s="190">
        <v>74</v>
      </c>
      <c r="AG313" s="190">
        <v>11</v>
      </c>
      <c r="AH313" s="190">
        <v>34</v>
      </c>
      <c r="AI313" s="190">
        <v>198</v>
      </c>
      <c r="AJ313" s="195">
        <v>19</v>
      </c>
      <c r="AK313" s="194">
        <v>11</v>
      </c>
      <c r="AL313" s="190">
        <v>189</v>
      </c>
      <c r="AM313" s="190">
        <v>43</v>
      </c>
      <c r="AN313" s="190">
        <v>42</v>
      </c>
      <c r="AO313" s="190">
        <v>411</v>
      </c>
      <c r="AP313" s="195">
        <v>64</v>
      </c>
      <c r="AR313" s="77">
        <f t="shared" si="285"/>
        <v>124.79227248738478</v>
      </c>
      <c r="AS313" s="98">
        <f t="shared" si="269"/>
        <v>0.66027657400732687</v>
      </c>
      <c r="AT313" s="98">
        <f t="shared" si="286"/>
        <v>0.66549295774647887</v>
      </c>
      <c r="AU313" s="199">
        <f t="shared" si="287"/>
        <v>0.69230769230769229</v>
      </c>
      <c r="AV313" s="189">
        <f t="shared" si="270"/>
        <v>0.55555555555555558</v>
      </c>
      <c r="AW313" s="189">
        <f t="shared" si="271"/>
        <v>0.41176470588235292</v>
      </c>
      <c r="AX313" s="189">
        <f t="shared" si="272"/>
        <v>0.81521739130434778</v>
      </c>
      <c r="AY313" s="189">
        <f t="shared" si="273"/>
        <v>0.70666666666666667</v>
      </c>
      <c r="AZ313" s="200">
        <f t="shared" si="274"/>
        <v>0.35294117647058826</v>
      </c>
      <c r="BA313" s="204">
        <f t="shared" si="288"/>
        <v>0.13732394366197184</v>
      </c>
      <c r="BB313" s="185">
        <f t="shared" si="275"/>
        <v>9.5070422535211266E-2</v>
      </c>
      <c r="BC313" s="185">
        <f t="shared" si="276"/>
        <v>5.9859154929577461E-2</v>
      </c>
      <c r="BD313" s="185">
        <f t="shared" si="277"/>
        <v>0.323943661971831</v>
      </c>
      <c r="BE313" s="185">
        <f t="shared" si="278"/>
        <v>0.2640845070422535</v>
      </c>
      <c r="BF313" s="205">
        <f t="shared" si="279"/>
        <v>0.11971830985915492</v>
      </c>
      <c r="BG313" s="194">
        <v>27</v>
      </c>
      <c r="BH313" s="190">
        <v>15</v>
      </c>
      <c r="BI313" s="190">
        <v>7</v>
      </c>
      <c r="BJ313" s="190">
        <v>75</v>
      </c>
      <c r="BK313" s="190">
        <v>53</v>
      </c>
      <c r="BL313" s="195">
        <v>12</v>
      </c>
      <c r="BM313" s="194">
        <v>39</v>
      </c>
      <c r="BN313" s="190">
        <v>27</v>
      </c>
      <c r="BO313" s="190">
        <v>17</v>
      </c>
      <c r="BP313" s="190">
        <v>92</v>
      </c>
      <c r="BQ313" s="190">
        <v>75</v>
      </c>
      <c r="BR313" s="195">
        <v>34</v>
      </c>
    </row>
    <row r="314" spans="1:70" outlineLevel="1" x14ac:dyDescent="0.2">
      <c r="A314" s="20">
        <f t="shared" ref="A314:B319" si="290">A272</f>
        <v>3646</v>
      </c>
      <c r="B314" s="19" t="str">
        <f t="shared" si="290"/>
        <v>TWU</v>
      </c>
      <c r="C314" s="18"/>
      <c r="D314" s="15">
        <v>1725</v>
      </c>
      <c r="E314" s="21">
        <v>0.48399999999999999</v>
      </c>
      <c r="F314" s="14">
        <v>6598.2</v>
      </c>
      <c r="G314" s="13">
        <v>3227.0100000000139</v>
      </c>
      <c r="H314" s="15">
        <v>523</v>
      </c>
      <c r="I314" s="13">
        <v>34</v>
      </c>
      <c r="J314" s="214">
        <f t="shared" si="280"/>
        <v>171.73161131951707</v>
      </c>
      <c r="K314" s="16">
        <v>1201</v>
      </c>
      <c r="L314" s="15">
        <v>2121</v>
      </c>
      <c r="M314" s="14">
        <v>1259</v>
      </c>
      <c r="N314" s="13">
        <v>608</v>
      </c>
      <c r="P314" s="77">
        <f t="shared" si="281"/>
        <v>171.73161131951707</v>
      </c>
      <c r="Q314" s="98">
        <f t="shared" si="258"/>
        <v>0.54174009879973839</v>
      </c>
      <c r="R314" s="98">
        <f t="shared" si="282"/>
        <v>0.49608763693270735</v>
      </c>
      <c r="S314" s="199">
        <f t="shared" si="283"/>
        <v>0.5714285714285714</v>
      </c>
      <c r="T314" s="189">
        <f t="shared" si="259"/>
        <v>0.43455497382198954</v>
      </c>
      <c r="U314" s="189">
        <f t="shared" si="260"/>
        <v>0.33333333333333331</v>
      </c>
      <c r="V314" s="189">
        <f t="shared" si="261"/>
        <v>0.79411764705882348</v>
      </c>
      <c r="W314" s="189">
        <f t="shared" si="262"/>
        <v>0.54711246200607899</v>
      </c>
      <c r="X314" s="200">
        <f t="shared" si="263"/>
        <v>0.22222222222222221</v>
      </c>
      <c r="Y314" s="204">
        <f t="shared" si="284"/>
        <v>1.0954616588419406E-2</v>
      </c>
      <c r="Z314" s="185">
        <f t="shared" si="264"/>
        <v>0.29890453834115804</v>
      </c>
      <c r="AA314" s="185">
        <f t="shared" si="265"/>
        <v>7.9812206572769953E-2</v>
      </c>
      <c r="AB314" s="185">
        <f t="shared" si="266"/>
        <v>5.3208137715179966E-2</v>
      </c>
      <c r="AC314" s="185">
        <f t="shared" si="267"/>
        <v>0.51486697965571204</v>
      </c>
      <c r="AD314" s="205">
        <f t="shared" si="268"/>
        <v>4.2253521126760563E-2</v>
      </c>
      <c r="AE314" s="194">
        <v>4</v>
      </c>
      <c r="AF314" s="190">
        <v>83</v>
      </c>
      <c r="AG314" s="190">
        <v>17</v>
      </c>
      <c r="AH314" s="190">
        <v>27</v>
      </c>
      <c r="AI314" s="190">
        <v>180</v>
      </c>
      <c r="AJ314" s="195">
        <v>6</v>
      </c>
      <c r="AK314" s="194">
        <v>7</v>
      </c>
      <c r="AL314" s="190">
        <v>191</v>
      </c>
      <c r="AM314" s="190">
        <v>51</v>
      </c>
      <c r="AN314" s="190">
        <v>34</v>
      </c>
      <c r="AO314" s="190">
        <v>329</v>
      </c>
      <c r="AP314" s="195">
        <v>27</v>
      </c>
      <c r="AR314" s="77">
        <f t="shared" si="285"/>
        <v>217.67968566745222</v>
      </c>
      <c r="AS314" s="98">
        <f t="shared" si="269"/>
        <v>0.65963541111349155</v>
      </c>
      <c r="AT314" s="98">
        <f t="shared" si="286"/>
        <v>0.70512820512820518</v>
      </c>
      <c r="AU314" s="199">
        <f t="shared" si="287"/>
        <v>0.76923076923076927</v>
      </c>
      <c r="AV314" s="189">
        <f t="shared" si="270"/>
        <v>0.59523809523809523</v>
      </c>
      <c r="AW314" s="189">
        <f t="shared" si="271"/>
        <v>0.46808510638297873</v>
      </c>
      <c r="AX314" s="189">
        <f t="shared" si="272"/>
        <v>0.85051546391752575</v>
      </c>
      <c r="AY314" s="189">
        <f t="shared" si="273"/>
        <v>0.66176470588235292</v>
      </c>
      <c r="AZ314" s="200">
        <f t="shared" si="274"/>
        <v>0.33333333333333331</v>
      </c>
      <c r="BA314" s="204">
        <f t="shared" si="288"/>
        <v>0.16666666666666666</v>
      </c>
      <c r="BB314" s="185">
        <f t="shared" si="275"/>
        <v>8.9743589743589744E-2</v>
      </c>
      <c r="BC314" s="185">
        <f t="shared" si="276"/>
        <v>0.10042735042735043</v>
      </c>
      <c r="BD314" s="185">
        <f t="shared" si="277"/>
        <v>0.41452991452991456</v>
      </c>
      <c r="BE314" s="185">
        <f t="shared" si="278"/>
        <v>0.14529914529914531</v>
      </c>
      <c r="BF314" s="205">
        <f t="shared" si="279"/>
        <v>8.3333333333333329E-2</v>
      </c>
      <c r="BG314" s="194">
        <v>60</v>
      </c>
      <c r="BH314" s="190">
        <v>25</v>
      </c>
      <c r="BI314" s="190">
        <v>22</v>
      </c>
      <c r="BJ314" s="190">
        <v>165</v>
      </c>
      <c r="BK314" s="190">
        <v>45</v>
      </c>
      <c r="BL314" s="195">
        <v>13</v>
      </c>
      <c r="BM314" s="194">
        <v>78</v>
      </c>
      <c r="BN314" s="190">
        <v>42</v>
      </c>
      <c r="BO314" s="190">
        <v>47</v>
      </c>
      <c r="BP314" s="190">
        <v>194</v>
      </c>
      <c r="BQ314" s="190">
        <v>68</v>
      </c>
      <c r="BR314" s="195">
        <v>39</v>
      </c>
    </row>
    <row r="315" spans="1:70" outlineLevel="1" x14ac:dyDescent="0.2">
      <c r="A315" s="20">
        <f t="shared" si="290"/>
        <v>3581</v>
      </c>
      <c r="B315" s="19" t="str">
        <f t="shared" si="290"/>
        <v>Lamar</v>
      </c>
      <c r="C315" s="18"/>
      <c r="D315" s="15">
        <v>1340</v>
      </c>
      <c r="E315" s="21">
        <v>0.35399999999999998</v>
      </c>
      <c r="F315" s="14">
        <v>7247.8</v>
      </c>
      <c r="G315" s="13">
        <v>2695.0800000000122</v>
      </c>
      <c r="H315" s="15">
        <v>358</v>
      </c>
      <c r="I315" s="13">
        <v>16</v>
      </c>
      <c r="J315" s="214">
        <f t="shared" si="280"/>
        <v>239.43937887777332</v>
      </c>
      <c r="K315" s="16">
        <v>943</v>
      </c>
      <c r="L315" s="15">
        <v>2317</v>
      </c>
      <c r="M315" s="14">
        <v>1577</v>
      </c>
      <c r="N315" s="13">
        <v>1000</v>
      </c>
      <c r="P315" s="77">
        <f t="shared" si="281"/>
        <v>239.43937887777332</v>
      </c>
      <c r="Q315" s="98">
        <f t="shared" si="258"/>
        <v>0.42604871686436535</v>
      </c>
      <c r="R315" s="98">
        <f t="shared" si="282"/>
        <v>0.36164736164736166</v>
      </c>
      <c r="S315" s="199">
        <f t="shared" si="283"/>
        <v>0.72727272727272729</v>
      </c>
      <c r="T315" s="189">
        <f t="shared" si="259"/>
        <v>0.27806122448979592</v>
      </c>
      <c r="U315" s="189">
        <f t="shared" si="260"/>
        <v>0.21524663677130046</v>
      </c>
      <c r="V315" s="189">
        <f t="shared" si="261"/>
        <v>0.66233766233766234</v>
      </c>
      <c r="W315" s="189">
        <f t="shared" si="262"/>
        <v>0.42597765363128492</v>
      </c>
      <c r="X315" s="200">
        <f t="shared" si="263"/>
        <v>0.3037037037037037</v>
      </c>
      <c r="Y315" s="204">
        <f t="shared" si="284"/>
        <v>7.0785070785070788E-3</v>
      </c>
      <c r="Z315" s="185">
        <f t="shared" si="264"/>
        <v>0.25225225225225223</v>
      </c>
      <c r="AA315" s="185">
        <f t="shared" si="265"/>
        <v>0.14350064350064351</v>
      </c>
      <c r="AB315" s="185">
        <f t="shared" si="266"/>
        <v>4.954954954954955E-2</v>
      </c>
      <c r="AC315" s="185">
        <f t="shared" si="267"/>
        <v>0.46074646074646075</v>
      </c>
      <c r="AD315" s="205">
        <f t="shared" si="268"/>
        <v>8.6872586872586879E-2</v>
      </c>
      <c r="AE315" s="194">
        <v>8</v>
      </c>
      <c r="AF315" s="190">
        <v>109</v>
      </c>
      <c r="AG315" s="190">
        <v>48</v>
      </c>
      <c r="AH315" s="190">
        <v>51</v>
      </c>
      <c r="AI315" s="190">
        <v>305</v>
      </c>
      <c r="AJ315" s="195">
        <v>41</v>
      </c>
      <c r="AK315" s="194">
        <v>11</v>
      </c>
      <c r="AL315" s="190">
        <v>392</v>
      </c>
      <c r="AM315" s="190">
        <v>223</v>
      </c>
      <c r="AN315" s="190">
        <v>77</v>
      </c>
      <c r="AO315" s="190">
        <v>716</v>
      </c>
      <c r="AP315" s="195">
        <v>135</v>
      </c>
      <c r="AR315" s="77">
        <f t="shared" si="285"/>
        <v>152.20703038414646</v>
      </c>
      <c r="AS315" s="98">
        <f t="shared" si="269"/>
        <v>0.60640251149062341</v>
      </c>
      <c r="AT315" s="98">
        <f t="shared" si="286"/>
        <v>0.62282878411910669</v>
      </c>
      <c r="AU315" s="199">
        <f t="shared" si="287"/>
        <v>0.80769230769230771</v>
      </c>
      <c r="AV315" s="189">
        <f t="shared" si="270"/>
        <v>0.51388888888888884</v>
      </c>
      <c r="AW315" s="189">
        <f t="shared" si="271"/>
        <v>0.47222222222222221</v>
      </c>
      <c r="AX315" s="189">
        <f t="shared" si="272"/>
        <v>0.80392156862745101</v>
      </c>
      <c r="AY315" s="189">
        <f t="shared" si="273"/>
        <v>0.60204081632653061</v>
      </c>
      <c r="AZ315" s="200">
        <f t="shared" si="274"/>
        <v>0.32558139534883723</v>
      </c>
      <c r="BA315" s="204">
        <f t="shared" si="288"/>
        <v>0.12903225806451613</v>
      </c>
      <c r="BB315" s="185">
        <f t="shared" si="275"/>
        <v>0.17866004962779156</v>
      </c>
      <c r="BC315" s="185">
        <f t="shared" si="276"/>
        <v>8.9330024813895778E-2</v>
      </c>
      <c r="BD315" s="185">
        <f t="shared" si="277"/>
        <v>0.25310173697270472</v>
      </c>
      <c r="BE315" s="185">
        <f t="shared" si="278"/>
        <v>0.24317617866004962</v>
      </c>
      <c r="BF315" s="205">
        <f t="shared" si="279"/>
        <v>0.10669975186104218</v>
      </c>
      <c r="BG315" s="194">
        <v>42</v>
      </c>
      <c r="BH315" s="190">
        <v>37</v>
      </c>
      <c r="BI315" s="190">
        <v>17</v>
      </c>
      <c r="BJ315" s="190">
        <v>82</v>
      </c>
      <c r="BK315" s="190">
        <v>59</v>
      </c>
      <c r="BL315" s="195">
        <v>14</v>
      </c>
      <c r="BM315" s="194">
        <v>52</v>
      </c>
      <c r="BN315" s="190">
        <v>72</v>
      </c>
      <c r="BO315" s="190">
        <v>36</v>
      </c>
      <c r="BP315" s="190">
        <v>102</v>
      </c>
      <c r="BQ315" s="190">
        <v>98</v>
      </c>
      <c r="BR315" s="195">
        <v>43</v>
      </c>
    </row>
    <row r="316" spans="1:70" outlineLevel="1" x14ac:dyDescent="0.2">
      <c r="A316" s="20">
        <f t="shared" si="290"/>
        <v>3606</v>
      </c>
      <c r="B316" s="19" t="str">
        <f t="shared" si="290"/>
        <v>SHSU</v>
      </c>
      <c r="C316" s="18"/>
      <c r="D316" s="15">
        <v>3013</v>
      </c>
      <c r="E316" s="21">
        <v>0.60299999999999998</v>
      </c>
      <c r="F316" s="14">
        <v>12631.666666666666</v>
      </c>
      <c r="G316" s="13">
        <v>5628.5800000000427</v>
      </c>
      <c r="H316" s="15">
        <v>166</v>
      </c>
      <c r="I316" s="13">
        <v>63</v>
      </c>
      <c r="J316" s="214">
        <f t="shared" si="280"/>
        <v>785.05199871014554</v>
      </c>
      <c r="K316" s="16">
        <v>2160</v>
      </c>
      <c r="L316" s="15">
        <v>3940</v>
      </c>
      <c r="M316" s="14">
        <v>2970</v>
      </c>
      <c r="N316" s="13">
        <v>1716</v>
      </c>
      <c r="P316" s="77">
        <f t="shared" si="281"/>
        <v>785.05199871014554</v>
      </c>
      <c r="Q316" s="98">
        <f t="shared" si="258"/>
        <v>0.60249577798169263</v>
      </c>
      <c r="R316" s="98">
        <f t="shared" si="282"/>
        <v>0.60352014821676703</v>
      </c>
      <c r="S316" s="199">
        <f t="shared" si="283"/>
        <v>0.55263157894736847</v>
      </c>
      <c r="T316" s="189">
        <f t="shared" si="259"/>
        <v>0.55078125</v>
      </c>
      <c r="U316" s="189">
        <f t="shared" si="260"/>
        <v>0.40909090909090912</v>
      </c>
      <c r="V316" s="189">
        <f t="shared" si="261"/>
        <v>0.68888888888888888</v>
      </c>
      <c r="W316" s="189">
        <f t="shared" si="262"/>
        <v>0.61998541210795044</v>
      </c>
      <c r="X316" s="200">
        <f t="shared" si="263"/>
        <v>0.66101694915254239</v>
      </c>
      <c r="Y316" s="204">
        <f t="shared" si="284"/>
        <v>1.7600741083835109E-2</v>
      </c>
      <c r="Z316" s="185">
        <f t="shared" si="264"/>
        <v>0.23714682723483094</v>
      </c>
      <c r="AA316" s="185">
        <f t="shared" si="265"/>
        <v>2.0379805465493284E-2</v>
      </c>
      <c r="AB316" s="185">
        <f t="shared" si="266"/>
        <v>6.2528948587308938E-2</v>
      </c>
      <c r="AC316" s="185">
        <f t="shared" si="267"/>
        <v>0.63501621120889296</v>
      </c>
      <c r="AD316" s="205">
        <f t="shared" si="268"/>
        <v>2.7327466419638721E-2</v>
      </c>
      <c r="AE316" s="194">
        <v>21</v>
      </c>
      <c r="AF316" s="190">
        <v>282</v>
      </c>
      <c r="AG316" s="190">
        <v>18</v>
      </c>
      <c r="AH316" s="190">
        <v>93</v>
      </c>
      <c r="AI316" s="190">
        <v>850</v>
      </c>
      <c r="AJ316" s="195">
        <v>39</v>
      </c>
      <c r="AK316" s="194">
        <v>38</v>
      </c>
      <c r="AL316" s="190">
        <v>512</v>
      </c>
      <c r="AM316" s="190">
        <v>44</v>
      </c>
      <c r="AN316" s="190">
        <v>135</v>
      </c>
      <c r="AO316" s="190">
        <v>1371</v>
      </c>
      <c r="AP316" s="195">
        <v>59</v>
      </c>
      <c r="AR316" s="77">
        <f t="shared" si="285"/>
        <v>643.92724894182732</v>
      </c>
      <c r="AS316" s="98">
        <f t="shared" si="269"/>
        <v>0.76204408158796133</v>
      </c>
      <c r="AT316" s="98">
        <f t="shared" si="286"/>
        <v>0.79045837231057059</v>
      </c>
      <c r="AU316" s="199">
        <f t="shared" si="287"/>
        <v>0.88596491228070173</v>
      </c>
      <c r="AV316" s="189">
        <f t="shared" si="270"/>
        <v>0.7109375</v>
      </c>
      <c r="AW316" s="189">
        <f t="shared" si="271"/>
        <v>0.48484848484848486</v>
      </c>
      <c r="AX316" s="189">
        <f t="shared" si="272"/>
        <v>0.86904761904761907</v>
      </c>
      <c r="AY316" s="189">
        <f t="shared" si="273"/>
        <v>0.7865168539325843</v>
      </c>
      <c r="AZ316" s="200">
        <f t="shared" si="274"/>
        <v>0.63725490196078427</v>
      </c>
      <c r="BA316" s="204">
        <f t="shared" si="288"/>
        <v>0.10664172123479888</v>
      </c>
      <c r="BB316" s="185">
        <f t="shared" si="275"/>
        <v>0.11973807296538821</v>
      </c>
      <c r="BC316" s="185">
        <f t="shared" si="276"/>
        <v>3.086997193638915E-2</v>
      </c>
      <c r="BD316" s="185">
        <f t="shared" si="277"/>
        <v>0.31431244153414406</v>
      </c>
      <c r="BE316" s="185">
        <f t="shared" si="278"/>
        <v>0.33302151543498598</v>
      </c>
      <c r="BF316" s="205">
        <f t="shared" si="279"/>
        <v>9.5416276894293731E-2</v>
      </c>
      <c r="BG316" s="194">
        <v>101</v>
      </c>
      <c r="BH316" s="190">
        <v>91</v>
      </c>
      <c r="BI316" s="190">
        <v>16</v>
      </c>
      <c r="BJ316" s="190">
        <v>292</v>
      </c>
      <c r="BK316" s="190">
        <v>280</v>
      </c>
      <c r="BL316" s="195">
        <v>65</v>
      </c>
      <c r="BM316" s="194">
        <v>114</v>
      </c>
      <c r="BN316" s="190">
        <v>128</v>
      </c>
      <c r="BO316" s="190">
        <v>33</v>
      </c>
      <c r="BP316" s="190">
        <v>336</v>
      </c>
      <c r="BQ316" s="190">
        <v>356</v>
      </c>
      <c r="BR316" s="195">
        <v>102</v>
      </c>
    </row>
    <row r="317" spans="1:70" outlineLevel="1" x14ac:dyDescent="0.2">
      <c r="A317" s="20">
        <f t="shared" si="290"/>
        <v>3615</v>
      </c>
      <c r="B317" s="19" t="str">
        <f t="shared" si="290"/>
        <v>TXST</v>
      </c>
      <c r="C317" s="18"/>
      <c r="D317" s="15">
        <v>5349</v>
      </c>
      <c r="E317" s="21">
        <v>0.6409999999999999</v>
      </c>
      <c r="F317" s="14">
        <v>22917.933333333334</v>
      </c>
      <c r="G317" s="13">
        <v>10250.389999999717</v>
      </c>
      <c r="H317" s="15">
        <v>445</v>
      </c>
      <c r="I317" s="13">
        <v>65</v>
      </c>
      <c r="J317" s="214">
        <f t="shared" si="280"/>
        <v>1198.0480660030457</v>
      </c>
      <c r="K317" s="16">
        <v>3665</v>
      </c>
      <c r="L317" s="15">
        <v>7685</v>
      </c>
      <c r="M317" s="14">
        <v>5748</v>
      </c>
      <c r="N317" s="13">
        <v>3317</v>
      </c>
      <c r="P317" s="77">
        <f t="shared" si="281"/>
        <v>1198.0480660030457</v>
      </c>
      <c r="Q317" s="98">
        <f t="shared" si="258"/>
        <v>0.6175505494861061</v>
      </c>
      <c r="R317" s="98">
        <f t="shared" si="282"/>
        <v>0.64238410596026485</v>
      </c>
      <c r="S317" s="199">
        <f t="shared" si="283"/>
        <v>0.5</v>
      </c>
      <c r="T317" s="189">
        <f t="shared" si="259"/>
        <v>0.58127208480565373</v>
      </c>
      <c r="U317" s="189">
        <f t="shared" si="260"/>
        <v>0.41025641025641024</v>
      </c>
      <c r="V317" s="189">
        <f t="shared" si="261"/>
        <v>0.64375000000000004</v>
      </c>
      <c r="W317" s="189">
        <f t="shared" si="262"/>
        <v>0.6689791873141725</v>
      </c>
      <c r="X317" s="200">
        <f t="shared" si="263"/>
        <v>0.5161290322580645</v>
      </c>
      <c r="Y317" s="204">
        <f t="shared" si="284"/>
        <v>1.5231788079470199E-2</v>
      </c>
      <c r="Z317" s="185">
        <f t="shared" si="264"/>
        <v>0.18741721854304635</v>
      </c>
      <c r="AA317" s="185">
        <f t="shared" si="265"/>
        <v>1.2913907284768211E-2</v>
      </c>
      <c r="AB317" s="185">
        <f t="shared" si="266"/>
        <v>0.10596026490066225</v>
      </c>
      <c r="AC317" s="185">
        <f t="shared" si="267"/>
        <v>0.66821192052980127</v>
      </c>
      <c r="AD317" s="205">
        <f t="shared" si="268"/>
        <v>1.0264900662251655E-2</v>
      </c>
      <c r="AE317" s="194">
        <v>23</v>
      </c>
      <c r="AF317" s="190">
        <v>329</v>
      </c>
      <c r="AG317" s="190">
        <v>16</v>
      </c>
      <c r="AH317" s="190">
        <v>206</v>
      </c>
      <c r="AI317" s="190">
        <v>1350</v>
      </c>
      <c r="AJ317" s="195">
        <v>16</v>
      </c>
      <c r="AK317" s="194">
        <v>46</v>
      </c>
      <c r="AL317" s="190">
        <v>566</v>
      </c>
      <c r="AM317" s="190">
        <v>39</v>
      </c>
      <c r="AN317" s="190">
        <v>320</v>
      </c>
      <c r="AO317" s="190">
        <v>2018</v>
      </c>
      <c r="AP317" s="195">
        <v>31</v>
      </c>
      <c r="AR317" s="77">
        <f t="shared" si="285"/>
        <v>901.69017854486015</v>
      </c>
      <c r="AS317" s="98">
        <f t="shared" si="269"/>
        <v>0.68052088946781897</v>
      </c>
      <c r="AT317" s="98">
        <f t="shared" si="286"/>
        <v>0.715829281469476</v>
      </c>
      <c r="AU317" s="199">
        <f t="shared" si="287"/>
        <v>0.7277227722772277</v>
      </c>
      <c r="AV317" s="189">
        <f t="shared" si="270"/>
        <v>0.64532019704433496</v>
      </c>
      <c r="AW317" s="189">
        <f t="shared" si="271"/>
        <v>0.34615384615384615</v>
      </c>
      <c r="AX317" s="189">
        <f t="shared" si="272"/>
        <v>0.8409448818897638</v>
      </c>
      <c r="AY317" s="189">
        <f t="shared" si="273"/>
        <v>0.69741100323624594</v>
      </c>
      <c r="AZ317" s="200">
        <f t="shared" si="274"/>
        <v>0.45390070921985815</v>
      </c>
      <c r="BA317" s="204">
        <f t="shared" si="288"/>
        <v>0.1091301998919503</v>
      </c>
      <c r="BB317" s="185">
        <f t="shared" si="275"/>
        <v>0.10967044840626688</v>
      </c>
      <c r="BC317" s="185">
        <f t="shared" si="276"/>
        <v>2.8092922744462453E-2</v>
      </c>
      <c r="BD317" s="185">
        <f t="shared" si="277"/>
        <v>0.34305780659103186</v>
      </c>
      <c r="BE317" s="185">
        <f t="shared" si="278"/>
        <v>0.33387358184764993</v>
      </c>
      <c r="BF317" s="205">
        <f t="shared" si="279"/>
        <v>7.6175040518638576E-2</v>
      </c>
      <c r="BG317" s="194">
        <v>147</v>
      </c>
      <c r="BH317" s="190">
        <v>131</v>
      </c>
      <c r="BI317" s="190">
        <v>18</v>
      </c>
      <c r="BJ317" s="190">
        <v>534</v>
      </c>
      <c r="BK317" s="190">
        <v>431</v>
      </c>
      <c r="BL317" s="195">
        <v>64</v>
      </c>
      <c r="BM317" s="194">
        <v>202</v>
      </c>
      <c r="BN317" s="190">
        <v>203</v>
      </c>
      <c r="BO317" s="190">
        <v>52</v>
      </c>
      <c r="BP317" s="190">
        <v>635</v>
      </c>
      <c r="BQ317" s="190">
        <v>618</v>
      </c>
      <c r="BR317" s="195">
        <v>141</v>
      </c>
    </row>
    <row r="318" spans="1:70" outlineLevel="1" x14ac:dyDescent="0.2">
      <c r="A318" s="20">
        <f t="shared" si="290"/>
        <v>3625</v>
      </c>
      <c r="B318" s="19" t="str">
        <f t="shared" si="290"/>
        <v>SRSU</v>
      </c>
      <c r="C318" s="18"/>
      <c r="D318" s="15">
        <v>196</v>
      </c>
      <c r="E318" s="21">
        <v>0.29199999999999998</v>
      </c>
      <c r="F318" s="14">
        <v>1200.1333333333334</v>
      </c>
      <c r="G318" s="13">
        <v>405.49999999999949</v>
      </c>
      <c r="H318" s="15">
        <v>18</v>
      </c>
      <c r="I318" s="13">
        <v>4</v>
      </c>
      <c r="J318" s="214">
        <f t="shared" si="280"/>
        <v>25.078830263420208</v>
      </c>
      <c r="K318" s="16">
        <v>166</v>
      </c>
      <c r="L318" s="15">
        <v>298</v>
      </c>
      <c r="M318" s="14">
        <v>217</v>
      </c>
      <c r="N318" s="13">
        <v>136</v>
      </c>
      <c r="O318" s="41"/>
      <c r="P318" s="77">
        <f t="shared" si="281"/>
        <v>25.078830263420208</v>
      </c>
      <c r="Q318" s="98">
        <f t="shared" si="258"/>
        <v>0.35826900376314585</v>
      </c>
      <c r="R318" s="98">
        <f t="shared" si="282"/>
        <v>0.30172413793103448</v>
      </c>
      <c r="S318" s="199">
        <f t="shared" si="283"/>
        <v>1</v>
      </c>
      <c r="T318" s="189">
        <f t="shared" si="259"/>
        <v>0.30303030303030304</v>
      </c>
      <c r="U318" s="189">
        <f t="shared" si="260"/>
        <v>0.21311475409836064</v>
      </c>
      <c r="V318" s="189">
        <f t="shared" si="261"/>
        <v>0.33333333333333331</v>
      </c>
      <c r="W318" s="189">
        <f t="shared" si="262"/>
        <v>0.38961038961038963</v>
      </c>
      <c r="X318" s="200">
        <f t="shared" si="263"/>
        <v>0.17391304347826086</v>
      </c>
      <c r="Y318" s="204">
        <f t="shared" si="284"/>
        <v>8.6206896551724137E-3</v>
      </c>
      <c r="Z318" s="185">
        <f t="shared" si="264"/>
        <v>0.28448275862068967</v>
      </c>
      <c r="AA318" s="185">
        <f t="shared" si="265"/>
        <v>0.26293103448275862</v>
      </c>
      <c r="AB318" s="185">
        <f t="shared" si="266"/>
        <v>1.2931034482758621E-2</v>
      </c>
      <c r="AC318" s="185">
        <f t="shared" si="267"/>
        <v>0.33189655172413796</v>
      </c>
      <c r="AD318" s="205">
        <f t="shared" si="268"/>
        <v>9.9137931034482762E-2</v>
      </c>
      <c r="AE318" s="194">
        <v>2</v>
      </c>
      <c r="AF318" s="190">
        <v>20</v>
      </c>
      <c r="AG318" s="190">
        <v>13</v>
      </c>
      <c r="AH318" s="190">
        <v>1</v>
      </c>
      <c r="AI318" s="190">
        <v>30</v>
      </c>
      <c r="AJ318" s="195">
        <v>4</v>
      </c>
      <c r="AK318" s="194">
        <v>2</v>
      </c>
      <c r="AL318" s="190">
        <v>66</v>
      </c>
      <c r="AM318" s="190">
        <v>61</v>
      </c>
      <c r="AN318" s="190">
        <v>3</v>
      </c>
      <c r="AO318" s="190">
        <v>77</v>
      </c>
      <c r="AP318" s="195">
        <v>23</v>
      </c>
      <c r="AR318" s="77">
        <f t="shared" si="285"/>
        <v>25.809075673071948</v>
      </c>
      <c r="AS318" s="98">
        <f t="shared" si="269"/>
        <v>0.69754258575870132</v>
      </c>
      <c r="AT318" s="98">
        <f t="shared" si="286"/>
        <v>0.63793103448275867</v>
      </c>
      <c r="AU318" s="199">
        <f t="shared" si="287"/>
        <v>0.76923076923076927</v>
      </c>
      <c r="AV318" s="189">
        <f t="shared" si="270"/>
        <v>0.5</v>
      </c>
      <c r="AW318" s="189">
        <f t="shared" si="271"/>
        <v>0.66666666666666663</v>
      </c>
      <c r="AX318" s="189">
        <f t="shared" si="272"/>
        <v>0.88888888888888884</v>
      </c>
      <c r="AY318" s="189">
        <f t="shared" si="273"/>
        <v>0.76923076923076927</v>
      </c>
      <c r="AZ318" s="200">
        <f t="shared" si="274"/>
        <v>0</v>
      </c>
      <c r="BA318" s="204">
        <f t="shared" si="288"/>
        <v>0.22413793103448276</v>
      </c>
      <c r="BB318" s="185">
        <f t="shared" si="275"/>
        <v>0.17241379310344829</v>
      </c>
      <c r="BC318" s="185">
        <f t="shared" si="276"/>
        <v>0.10344827586206896</v>
      </c>
      <c r="BD318" s="185">
        <f t="shared" si="277"/>
        <v>0.15517241379310345</v>
      </c>
      <c r="BE318" s="185">
        <f t="shared" si="278"/>
        <v>0.22413793103448276</v>
      </c>
      <c r="BF318" s="205">
        <f t="shared" si="279"/>
        <v>0.1206896551724138</v>
      </c>
      <c r="BG318" s="194">
        <v>10</v>
      </c>
      <c r="BH318" s="190">
        <v>5</v>
      </c>
      <c r="BI318" s="190">
        <v>4</v>
      </c>
      <c r="BJ318" s="190">
        <v>8</v>
      </c>
      <c r="BK318" s="190">
        <v>10</v>
      </c>
      <c r="BL318" s="195">
        <v>0</v>
      </c>
      <c r="BM318" s="194">
        <v>13</v>
      </c>
      <c r="BN318" s="190">
        <v>10</v>
      </c>
      <c r="BO318" s="190">
        <v>6</v>
      </c>
      <c r="BP318" s="190">
        <v>9</v>
      </c>
      <c r="BQ318" s="190">
        <v>13</v>
      </c>
      <c r="BR318" s="195">
        <v>7</v>
      </c>
    </row>
    <row r="319" spans="1:70" ht="13.5" outlineLevel="1" thickBot="1" x14ac:dyDescent="0.25">
      <c r="A319" s="20">
        <f t="shared" si="290"/>
        <v>20</v>
      </c>
      <c r="B319" s="19" t="str">
        <f t="shared" si="290"/>
        <v>SRRG</v>
      </c>
      <c r="C319" s="18"/>
      <c r="D319" s="15">
        <v>163</v>
      </c>
      <c r="E319" s="17">
        <v>0.33750000000000002</v>
      </c>
      <c r="F319" s="14">
        <v>472.13333333333333</v>
      </c>
      <c r="G319" s="13">
        <v>281.52999999999975</v>
      </c>
      <c r="H319" s="15">
        <v>5</v>
      </c>
      <c r="I319" s="13">
        <v>7</v>
      </c>
      <c r="J319" s="214">
        <f>AR319</f>
        <v>3.5921751280857013</v>
      </c>
      <c r="K319" s="16">
        <v>145</v>
      </c>
      <c r="L319" s="15">
        <v>224</v>
      </c>
      <c r="M319" s="14">
        <v>97</v>
      </c>
      <c r="N319" s="13">
        <v>2</v>
      </c>
      <c r="P319" s="6">
        <f t="shared" si="281"/>
        <v>0</v>
      </c>
      <c r="Q319" s="239">
        <f t="shared" ref="Q319" si="291">(S319*$Y$362+T319*$Z$362+U319*$AA$362+V319*$AB$362+W319*$AC$362+X319*$AD$362)</f>
        <v>0</v>
      </c>
      <c r="R319" s="239">
        <f t="shared" si="282"/>
        <v>0</v>
      </c>
      <c r="S319" s="199">
        <f t="shared" si="283"/>
        <v>0</v>
      </c>
      <c r="T319" s="189">
        <f t="shared" si="259"/>
        <v>0</v>
      </c>
      <c r="U319" s="189">
        <f t="shared" si="260"/>
        <v>0</v>
      </c>
      <c r="V319" s="189">
        <f t="shared" si="261"/>
        <v>0</v>
      </c>
      <c r="W319" s="189">
        <f t="shared" si="262"/>
        <v>0</v>
      </c>
      <c r="X319" s="200">
        <f t="shared" si="263"/>
        <v>0</v>
      </c>
      <c r="Y319" s="204">
        <f t="shared" si="284"/>
        <v>0</v>
      </c>
      <c r="Z319" s="185">
        <f t="shared" si="264"/>
        <v>0</v>
      </c>
      <c r="AA319" s="185">
        <f t="shared" si="265"/>
        <v>0</v>
      </c>
      <c r="AB319" s="185">
        <f t="shared" si="266"/>
        <v>0</v>
      </c>
      <c r="AC319" s="185">
        <f t="shared" si="267"/>
        <v>0</v>
      </c>
      <c r="AD319" s="205">
        <f t="shared" si="268"/>
        <v>0</v>
      </c>
      <c r="AE319" s="194">
        <v>0</v>
      </c>
      <c r="AF319" s="190">
        <v>0</v>
      </c>
      <c r="AG319" s="190">
        <v>0</v>
      </c>
      <c r="AH319" s="190">
        <v>0</v>
      </c>
      <c r="AI319" s="190">
        <v>0</v>
      </c>
      <c r="AJ319" s="195">
        <v>0</v>
      </c>
      <c r="AK319" s="194">
        <v>0</v>
      </c>
      <c r="AL319" s="190">
        <v>0</v>
      </c>
      <c r="AM319" s="190">
        <v>0</v>
      </c>
      <c r="AN319" s="190">
        <v>0</v>
      </c>
      <c r="AO319" s="190">
        <v>0</v>
      </c>
      <c r="AP319" s="195">
        <v>0</v>
      </c>
      <c r="AR319" s="6">
        <f t="shared" si="285"/>
        <v>3.5921751280857013</v>
      </c>
      <c r="AS319" s="239">
        <f t="shared" si="269"/>
        <v>0.59869585468095021</v>
      </c>
      <c r="AT319" s="239">
        <f t="shared" si="286"/>
        <v>0.33333333333333331</v>
      </c>
      <c r="AU319" s="199">
        <f t="shared" si="287"/>
        <v>1</v>
      </c>
      <c r="AV319" s="189">
        <f t="shared" si="270"/>
        <v>0</v>
      </c>
      <c r="AW319" s="189">
        <f t="shared" si="271"/>
        <v>0</v>
      </c>
      <c r="AX319" s="189">
        <f t="shared" si="272"/>
        <v>0.5</v>
      </c>
      <c r="AY319" s="189">
        <f t="shared" si="273"/>
        <v>1</v>
      </c>
      <c r="AZ319" s="200">
        <f t="shared" si="274"/>
        <v>0.33333333333333331</v>
      </c>
      <c r="BA319" s="204">
        <f t="shared" si="288"/>
        <v>0.1111111111111111</v>
      </c>
      <c r="BB319" s="185">
        <f t="shared" si="275"/>
        <v>0.3888888888888889</v>
      </c>
      <c r="BC319" s="185">
        <f t="shared" si="276"/>
        <v>0.1111111111111111</v>
      </c>
      <c r="BD319" s="185">
        <f t="shared" si="277"/>
        <v>0.1111111111111111</v>
      </c>
      <c r="BE319" s="185">
        <f t="shared" si="278"/>
        <v>0.1111111111111111</v>
      </c>
      <c r="BF319" s="205">
        <f t="shared" si="279"/>
        <v>0.16666666666666666</v>
      </c>
      <c r="BG319" s="194">
        <v>2</v>
      </c>
      <c r="BH319" s="190">
        <v>0</v>
      </c>
      <c r="BI319" s="190">
        <v>0</v>
      </c>
      <c r="BJ319" s="190">
        <v>1</v>
      </c>
      <c r="BK319" s="190">
        <v>2</v>
      </c>
      <c r="BL319" s="195">
        <v>1</v>
      </c>
      <c r="BM319" s="194">
        <v>2</v>
      </c>
      <c r="BN319" s="190">
        <v>7</v>
      </c>
      <c r="BO319" s="190">
        <v>2</v>
      </c>
      <c r="BP319" s="190">
        <v>2</v>
      </c>
      <c r="BQ319" s="190">
        <v>2</v>
      </c>
      <c r="BR319" s="195">
        <v>3</v>
      </c>
    </row>
    <row r="320" spans="1:70" ht="13.5" outlineLevel="1" thickBot="1" x14ac:dyDescent="0.25">
      <c r="A320" s="12"/>
      <c r="B320" s="11" t="s">
        <v>11</v>
      </c>
      <c r="C320" s="10"/>
      <c r="D320" s="9">
        <f>SUM(D282:D319)</f>
        <v>84231</v>
      </c>
      <c r="E320" s="8">
        <v>0.58399999999999996</v>
      </c>
      <c r="F320" s="7">
        <f t="shared" ref="F320:N320" si="292">SUM(F282:F319)</f>
        <v>351171.46666666673</v>
      </c>
      <c r="G320" s="3">
        <f t="shared" si="292"/>
        <v>170914.74000000223</v>
      </c>
      <c r="H320" s="5">
        <f t="shared" si="292"/>
        <v>13857</v>
      </c>
      <c r="I320" s="3">
        <f t="shared" si="292"/>
        <v>1204</v>
      </c>
      <c r="J320" s="216">
        <f>SUM(J282:J319)</f>
        <v>20784.764971091809</v>
      </c>
      <c r="K320" s="6">
        <f t="shared" si="292"/>
        <v>54385</v>
      </c>
      <c r="L320" s="5">
        <f t="shared" si="292"/>
        <v>116139</v>
      </c>
      <c r="M320" s="4">
        <f t="shared" si="292"/>
        <v>84006</v>
      </c>
      <c r="N320" s="3">
        <f t="shared" si="292"/>
        <v>51310</v>
      </c>
      <c r="S320" s="201">
        <f t="shared" ref="S320:X320" si="293">AE320/AK320</f>
        <v>0.71316818774445889</v>
      </c>
      <c r="T320" s="202">
        <f t="shared" si="293"/>
        <v>0.48517382413087934</v>
      </c>
      <c r="U320" s="202">
        <f t="shared" si="293"/>
        <v>0.26263952724885098</v>
      </c>
      <c r="V320" s="202">
        <f t="shared" si="293"/>
        <v>0.79038628263173105</v>
      </c>
      <c r="W320" s="202">
        <f t="shared" si="293"/>
        <v>0.61133890553540449</v>
      </c>
      <c r="X320" s="203">
        <f t="shared" si="293"/>
        <v>0.31959976456739259</v>
      </c>
      <c r="Y320" s="206">
        <f t="shared" ref="Y320:AD320" si="294">AK320/SUM($AK320:$AP320)</f>
        <v>2.853422619047619E-2</v>
      </c>
      <c r="Z320" s="207">
        <f t="shared" si="294"/>
        <v>0.21830357142857143</v>
      </c>
      <c r="AA320" s="207">
        <f t="shared" si="294"/>
        <v>5.665922619047619E-2</v>
      </c>
      <c r="AB320" s="207">
        <f t="shared" si="294"/>
        <v>0.19309895833333332</v>
      </c>
      <c r="AC320" s="207">
        <f t="shared" si="294"/>
        <v>0.47180059523809526</v>
      </c>
      <c r="AD320" s="208">
        <f t="shared" si="294"/>
        <v>3.1603422619047618E-2</v>
      </c>
      <c r="AE320" s="209">
        <f t="shared" ref="AE320:AO320" si="295">SUM(AE282:AE286,AE288:AE294,AE296:AE297,AE299:AE301,AE303,AE305,AE307:AE308,AE310:AE318)</f>
        <v>1094</v>
      </c>
      <c r="AF320" s="210">
        <f t="shared" si="295"/>
        <v>5694</v>
      </c>
      <c r="AG320" s="210">
        <f t="shared" si="295"/>
        <v>800</v>
      </c>
      <c r="AH320" s="210">
        <f t="shared" si="295"/>
        <v>8205</v>
      </c>
      <c r="AI320" s="210">
        <f t="shared" si="295"/>
        <v>15506</v>
      </c>
      <c r="AJ320" s="211">
        <f t="shared" si="295"/>
        <v>543</v>
      </c>
      <c r="AK320" s="196">
        <f t="shared" si="295"/>
        <v>1534</v>
      </c>
      <c r="AL320" s="197">
        <f t="shared" si="295"/>
        <v>11736</v>
      </c>
      <c r="AM320" s="197">
        <f t="shared" si="295"/>
        <v>3046</v>
      </c>
      <c r="AN320" s="197">
        <f t="shared" si="295"/>
        <v>10381</v>
      </c>
      <c r="AO320" s="197">
        <f t="shared" si="295"/>
        <v>25364</v>
      </c>
      <c r="AP320" s="198">
        <f>SUM(AP282:AP286,AP288:AP294,AP296:AP297,AP299:AP301,AP303,AP305,AP307:AP308,AP310:AP318)</f>
        <v>1699</v>
      </c>
      <c r="AU320" s="201">
        <f t="shared" ref="AU320" si="296">IFERROR(BG320/BM320,0)</f>
        <v>0.76636568848758468</v>
      </c>
      <c r="AV320" s="202">
        <f t="shared" ref="AV320" si="297">IFERROR(BH320/BN320,0)</f>
        <v>0.62428480610298787</v>
      </c>
      <c r="AW320" s="202">
        <f t="shared" ref="AW320" si="298">IFERROR(BI320/BO320,0)</f>
        <v>0.40878701050620819</v>
      </c>
      <c r="AX320" s="202">
        <f t="shared" ref="AX320" si="299">IFERROR(BJ320/BP320,0)</f>
        <v>0.82533206831119543</v>
      </c>
      <c r="AY320" s="202">
        <f t="shared" ref="AY320" si="300">IFERROR(BK320/BQ320,0)</f>
        <v>0.69987898346107302</v>
      </c>
      <c r="AZ320" s="203">
        <f t="shared" ref="AZ320" si="301">IFERROR(BL320/BR320,0)</f>
        <v>0.41604986365407087</v>
      </c>
      <c r="BA320" s="206">
        <f t="shared" ref="BA320" si="302">IFERROR(BM320/SUM($BM320:$BR320),0)</f>
        <v>0.12531381492875074</v>
      </c>
      <c r="BB320" s="207">
        <f t="shared" ref="BB320" si="303">IFERROR(BN320/SUM($BM320:$BR320),0)</f>
        <v>0.11124076234928043</v>
      </c>
      <c r="BC320" s="207">
        <f t="shared" ref="BC320" si="304">IFERROR(BO320/SUM($BM320:$BR320),0)</f>
        <v>3.7021321735440753E-2</v>
      </c>
      <c r="BD320" s="207">
        <f t="shared" ref="BD320" si="305">IFERROR(BP320/SUM($BM320:$BR320),0)</f>
        <v>0.37268837735582194</v>
      </c>
      <c r="BE320" s="207">
        <f t="shared" ref="BE320" si="306">IFERROR(BQ320/SUM($BM320:$BR320),0)</f>
        <v>0.26296807043598175</v>
      </c>
      <c r="BF320" s="208">
        <f t="shared" ref="BF320" si="307">IFERROR(BR320/SUM($BM320:$BR320),0)</f>
        <v>9.0767653194724379E-2</v>
      </c>
      <c r="BG320" s="209">
        <f>SUM(BG282:BG319)</f>
        <v>2716</v>
      </c>
      <c r="BH320" s="210">
        <f t="shared" ref="BH320" si="308">SUM(BH282:BH319)</f>
        <v>1964</v>
      </c>
      <c r="BI320" s="210">
        <f t="shared" ref="BI320" si="309">SUM(BI282:BI319)</f>
        <v>428</v>
      </c>
      <c r="BJ320" s="210">
        <f t="shared" ref="BJ320" si="310">SUM(BJ282:BJ319)</f>
        <v>8699</v>
      </c>
      <c r="BK320" s="210">
        <f t="shared" ref="BK320" si="311">SUM(BK282:BK319)</f>
        <v>5205</v>
      </c>
      <c r="BL320" s="211">
        <f t="shared" ref="BL320" si="312">SUM(BL282:BL319)</f>
        <v>1068</v>
      </c>
      <c r="BM320" s="196">
        <f t="shared" ref="BM320" si="313">SUM(BM282:BM319)</f>
        <v>3544</v>
      </c>
      <c r="BN320" s="197">
        <f t="shared" ref="BN320" si="314">SUM(BN282:BN319)</f>
        <v>3146</v>
      </c>
      <c r="BO320" s="197">
        <f t="shared" ref="BO320" si="315">SUM(BO282:BO319)</f>
        <v>1047</v>
      </c>
      <c r="BP320" s="197">
        <f t="shared" ref="BP320" si="316">SUM(BP282:BP319)</f>
        <v>10540</v>
      </c>
      <c r="BQ320" s="197">
        <f t="shared" ref="BQ320" si="317">SUM(BQ282:BQ319)</f>
        <v>7437</v>
      </c>
      <c r="BR320" s="198">
        <f t="shared" ref="BR320" si="318">SUM(BR282:BR319)</f>
        <v>2567</v>
      </c>
    </row>
    <row r="321" spans="1:71" ht="13.5" thickBot="1" x14ac:dyDescent="0.25">
      <c r="A321" s="45" t="s">
        <v>25</v>
      </c>
      <c r="B321" s="45"/>
      <c r="C321" s="45"/>
      <c r="D321" s="45"/>
      <c r="F321" s="45"/>
      <c r="K321" s="45"/>
    </row>
    <row r="322" spans="1:71" ht="12.75" customHeight="1" outlineLevel="1" x14ac:dyDescent="0.2">
      <c r="A322" s="273" t="s">
        <v>24</v>
      </c>
      <c r="B322" s="275" t="s">
        <v>23</v>
      </c>
      <c r="C322" s="277"/>
      <c r="D322" s="306" t="s">
        <v>22</v>
      </c>
      <c r="E322" s="301" t="s">
        <v>21</v>
      </c>
      <c r="F322" s="275" t="s">
        <v>20</v>
      </c>
      <c r="G322" s="297" t="s">
        <v>19</v>
      </c>
      <c r="H322" s="299" t="s">
        <v>18</v>
      </c>
      <c r="I322" s="291" t="s">
        <v>17</v>
      </c>
      <c r="J322" s="332" t="s">
        <v>126</v>
      </c>
      <c r="K322" s="293" t="s">
        <v>16</v>
      </c>
      <c r="L322" s="295" t="s">
        <v>15</v>
      </c>
      <c r="M322" s="296"/>
      <c r="N322" s="296"/>
      <c r="P322" s="337" t="s">
        <v>142</v>
      </c>
      <c r="Q322" s="337" t="s">
        <v>141</v>
      </c>
      <c r="R322" s="337" t="s">
        <v>140</v>
      </c>
      <c r="S322" s="339" t="s">
        <v>119</v>
      </c>
      <c r="T322" s="340"/>
      <c r="U322" s="340"/>
      <c r="V322" s="340"/>
      <c r="W322" s="340"/>
      <c r="X322" s="341"/>
      <c r="Y322" s="339" t="s">
        <v>118</v>
      </c>
      <c r="Z322" s="340"/>
      <c r="AA322" s="340"/>
      <c r="AB322" s="340"/>
      <c r="AC322" s="340"/>
      <c r="AD322" s="341"/>
      <c r="AE322" s="334" t="s">
        <v>117</v>
      </c>
      <c r="AF322" s="335"/>
      <c r="AG322" s="335"/>
      <c r="AH322" s="335"/>
      <c r="AI322" s="335"/>
      <c r="AJ322" s="336"/>
      <c r="AK322" s="334" t="s">
        <v>116</v>
      </c>
      <c r="AL322" s="335"/>
      <c r="AM322" s="335"/>
      <c r="AN322" s="335"/>
      <c r="AO322" s="335"/>
      <c r="AP322" s="336"/>
      <c r="AR322" s="337" t="s">
        <v>142</v>
      </c>
      <c r="AS322" s="337" t="s">
        <v>141</v>
      </c>
      <c r="AT322" s="337" t="s">
        <v>140</v>
      </c>
      <c r="AU322" s="339" t="s">
        <v>119</v>
      </c>
      <c r="AV322" s="340"/>
      <c r="AW322" s="340"/>
      <c r="AX322" s="340"/>
      <c r="AY322" s="340"/>
      <c r="AZ322" s="341"/>
      <c r="BA322" s="339" t="s">
        <v>118</v>
      </c>
      <c r="BB322" s="340"/>
      <c r="BC322" s="340"/>
      <c r="BD322" s="340"/>
      <c r="BE322" s="340"/>
      <c r="BF322" s="341"/>
      <c r="BG322" s="334" t="s">
        <v>117</v>
      </c>
      <c r="BH322" s="335"/>
      <c r="BI322" s="335"/>
      <c r="BJ322" s="335"/>
      <c r="BK322" s="335"/>
      <c r="BL322" s="336"/>
      <c r="BM322" s="334" t="s">
        <v>116</v>
      </c>
      <c r="BN322" s="335"/>
      <c r="BO322" s="335"/>
      <c r="BP322" s="335"/>
      <c r="BQ322" s="335"/>
      <c r="BR322" s="336"/>
    </row>
    <row r="323" spans="1:71" s="41" customFormat="1" ht="39.75" customHeight="1" outlineLevel="1" thickBot="1" x14ac:dyDescent="0.25">
      <c r="A323" s="274"/>
      <c r="B323" s="276"/>
      <c r="C323" s="278"/>
      <c r="D323" s="307"/>
      <c r="E323" s="302"/>
      <c r="F323" s="276"/>
      <c r="G323" s="298"/>
      <c r="H323" s="300"/>
      <c r="I323" s="292"/>
      <c r="J323" s="333"/>
      <c r="K323" s="294"/>
      <c r="L323" s="44" t="s">
        <v>14</v>
      </c>
      <c r="M323" s="43" t="s">
        <v>13</v>
      </c>
      <c r="N323" s="42" t="s">
        <v>12</v>
      </c>
      <c r="O323" s="1"/>
      <c r="P323" s="338"/>
      <c r="Q323" s="338"/>
      <c r="R323" s="338"/>
      <c r="S323" s="192" t="s">
        <v>120</v>
      </c>
      <c r="T323" s="191" t="s">
        <v>121</v>
      </c>
      <c r="U323" s="191" t="s">
        <v>122</v>
      </c>
      <c r="V323" s="191" t="s">
        <v>123</v>
      </c>
      <c r="W323" s="191" t="s">
        <v>124</v>
      </c>
      <c r="X323" s="193" t="s">
        <v>125</v>
      </c>
      <c r="Y323" s="192" t="s">
        <v>120</v>
      </c>
      <c r="Z323" s="191" t="s">
        <v>121</v>
      </c>
      <c r="AA323" s="191" t="s">
        <v>122</v>
      </c>
      <c r="AB323" s="191" t="s">
        <v>123</v>
      </c>
      <c r="AC323" s="191" t="s">
        <v>124</v>
      </c>
      <c r="AD323" s="193" t="s">
        <v>125</v>
      </c>
      <c r="AE323" s="192" t="s">
        <v>120</v>
      </c>
      <c r="AF323" s="191" t="s">
        <v>121</v>
      </c>
      <c r="AG323" s="191" t="s">
        <v>122</v>
      </c>
      <c r="AH323" s="191" t="s">
        <v>123</v>
      </c>
      <c r="AI323" s="191" t="s">
        <v>124</v>
      </c>
      <c r="AJ323" s="193" t="s">
        <v>125</v>
      </c>
      <c r="AK323" s="192" t="s">
        <v>120</v>
      </c>
      <c r="AL323" s="191" t="s">
        <v>121</v>
      </c>
      <c r="AM323" s="191" t="s">
        <v>122</v>
      </c>
      <c r="AN323" s="191" t="s">
        <v>123</v>
      </c>
      <c r="AO323" s="191" t="s">
        <v>124</v>
      </c>
      <c r="AP323" s="193" t="s">
        <v>125</v>
      </c>
      <c r="AR323" s="338"/>
      <c r="AS323" s="338"/>
      <c r="AT323" s="338"/>
      <c r="AU323" s="192" t="s">
        <v>130</v>
      </c>
      <c r="AV323" s="191" t="s">
        <v>131</v>
      </c>
      <c r="AW323" s="191" t="s">
        <v>132</v>
      </c>
      <c r="AX323" s="191" t="s">
        <v>133</v>
      </c>
      <c r="AY323" s="191" t="s">
        <v>134</v>
      </c>
      <c r="AZ323" s="193" t="s">
        <v>135</v>
      </c>
      <c r="BA323" s="192" t="s">
        <v>130</v>
      </c>
      <c r="BB323" s="191" t="s">
        <v>131</v>
      </c>
      <c r="BC323" s="191" t="s">
        <v>132</v>
      </c>
      <c r="BD323" s="191" t="s">
        <v>133</v>
      </c>
      <c r="BE323" s="191" t="s">
        <v>134</v>
      </c>
      <c r="BF323" s="193" t="s">
        <v>135</v>
      </c>
      <c r="BG323" s="192" t="s">
        <v>130</v>
      </c>
      <c r="BH323" s="191" t="s">
        <v>131</v>
      </c>
      <c r="BI323" s="191" t="s">
        <v>132</v>
      </c>
      <c r="BJ323" s="191" t="s">
        <v>133</v>
      </c>
      <c r="BK323" s="191" t="s">
        <v>134</v>
      </c>
      <c r="BL323" s="193" t="s">
        <v>135</v>
      </c>
      <c r="BM323" s="192" t="s">
        <v>130</v>
      </c>
      <c r="BN323" s="191" t="s">
        <v>131</v>
      </c>
      <c r="BO323" s="191" t="s">
        <v>132</v>
      </c>
      <c r="BP323" s="191" t="s">
        <v>133</v>
      </c>
      <c r="BQ323" s="191" t="s">
        <v>134</v>
      </c>
      <c r="BR323" s="193" t="s">
        <v>135</v>
      </c>
    </row>
    <row r="324" spans="1:71" outlineLevel="1" x14ac:dyDescent="0.2">
      <c r="A324" s="40">
        <f t="shared" ref="A324:B339" si="319">A282</f>
        <v>3656</v>
      </c>
      <c r="B324" s="39" t="str">
        <f t="shared" si="319"/>
        <v>UTA</v>
      </c>
      <c r="C324" s="38"/>
      <c r="D324" s="33">
        <v>4178</v>
      </c>
      <c r="E324" s="37">
        <v>0.50700000000000001</v>
      </c>
      <c r="F324" s="32">
        <v>15698.133333333333</v>
      </c>
      <c r="G324" s="31">
        <v>8640.2399999998797</v>
      </c>
      <c r="H324" s="36">
        <v>834</v>
      </c>
      <c r="I324" s="35">
        <v>36</v>
      </c>
      <c r="J324" s="215">
        <f>P324</f>
        <v>840.24729301339175</v>
      </c>
      <c r="K324" s="34">
        <v>2662</v>
      </c>
      <c r="L324" s="33">
        <v>6630</v>
      </c>
      <c r="M324" s="32">
        <v>3636</v>
      </c>
      <c r="N324" s="31">
        <v>1724</v>
      </c>
      <c r="P324" s="77">
        <f>Q324*SUM(AK324:AP324)</f>
        <v>840.24729301339175</v>
      </c>
      <c r="Q324" s="98">
        <f t="shared" ref="Q324:Q360" si="320">(S324*$Y$362+T324*$Z$362+U324*$AA$362+V324*$AB$362+W324*$AC$362+X324*$AD$362)</f>
        <v>0.49748211546085952</v>
      </c>
      <c r="R324" s="98">
        <f>IFERROR(SUM(AE324:AJ324)/SUM(AK324:AP324),0)</f>
        <v>0.50858496151568977</v>
      </c>
      <c r="S324" s="199">
        <f>IFERROR(AE324/AK324,0)</f>
        <v>0.61016949152542377</v>
      </c>
      <c r="T324" s="189">
        <f t="shared" ref="T324:T361" si="321">IFERROR(AF324/AL324,0)</f>
        <v>0.47469879518072289</v>
      </c>
      <c r="U324" s="189">
        <f t="shared" ref="U324:U361" si="322">IFERROR(AG324/AM324,0)</f>
        <v>0.24561403508771928</v>
      </c>
      <c r="V324" s="189">
        <f t="shared" ref="V324:V361" si="323">IFERROR(AH324/AN324,0)</f>
        <v>0.5633187772925764</v>
      </c>
      <c r="W324" s="189">
        <f t="shared" ref="W324:W361" si="324">IFERROR(AI324/AO324,0)</f>
        <v>0.52544247787610621</v>
      </c>
      <c r="X324" s="200">
        <f t="shared" ref="X324:X361" si="325">IFERROR(AJ324/AP324,0)</f>
        <v>0.32</v>
      </c>
      <c r="Y324" s="204">
        <f>IFERROR(AK324/SUM($AK324:$AP324),0)</f>
        <v>3.4931912374185907E-2</v>
      </c>
      <c r="Z324" s="185">
        <f t="shared" ref="Z324:Z361" si="326">IFERROR(AL324/SUM($AK324:$AP324),0)</f>
        <v>0.24570751924215511</v>
      </c>
      <c r="AA324" s="185">
        <f t="shared" ref="AA324:AA361" si="327">IFERROR(AM324/SUM($AK324:$AP324),0)</f>
        <v>3.3747779751332148E-2</v>
      </c>
      <c r="AB324" s="185">
        <f t="shared" ref="AB324:AB361" si="328">IFERROR(AN324/SUM($AK324:$AP324),0)</f>
        <v>0.13558318531675548</v>
      </c>
      <c r="AC324" s="185">
        <f t="shared" ref="AC324:AC361" si="329">IFERROR(AO324/SUM($AK324:$AP324),0)</f>
        <v>0.53522794552989938</v>
      </c>
      <c r="AD324" s="205">
        <f t="shared" ref="AD324:AD361" si="330">IFERROR(AP324/SUM($AK324:$AP324),0)</f>
        <v>1.4801657785671996E-2</v>
      </c>
      <c r="AE324" s="194">
        <v>36</v>
      </c>
      <c r="AF324" s="190">
        <v>197</v>
      </c>
      <c r="AG324" s="190">
        <v>14</v>
      </c>
      <c r="AH324" s="190">
        <v>129</v>
      </c>
      <c r="AI324" s="190">
        <v>475</v>
      </c>
      <c r="AJ324" s="195">
        <v>8</v>
      </c>
      <c r="AK324" s="194">
        <v>59</v>
      </c>
      <c r="AL324" s="190">
        <v>415</v>
      </c>
      <c r="AM324" s="190">
        <v>57</v>
      </c>
      <c r="AN324" s="190">
        <v>229</v>
      </c>
      <c r="AO324" s="190">
        <v>904</v>
      </c>
      <c r="AP324" s="195">
        <v>25</v>
      </c>
      <c r="AR324" s="77">
        <f>AS324*SUM(BM324:BR324)</f>
        <v>670.31071363764374</v>
      </c>
      <c r="AS324" s="98">
        <f t="shared" ref="AS324:AS361" si="331">(AU324*$Y$362+AV324*$Z$362+AW324*$AA$362+AX324*$AB$362+AY324*$AC$362+AZ324*$AD$362)</f>
        <v>0.59110292207905091</v>
      </c>
      <c r="AT324" s="98">
        <f>IFERROR(SUM(BG324:BL324)/SUM(BM324:BR324),0)</f>
        <v>0.63668430335097004</v>
      </c>
      <c r="AU324" s="199">
        <f>IFERROR(BG324/BM324,0)</f>
        <v>0.67428571428571427</v>
      </c>
      <c r="AV324" s="189">
        <f t="shared" ref="AV324:AV361" si="332">IFERROR(BH324/BN324,0)</f>
        <v>0.46218487394957986</v>
      </c>
      <c r="AW324" s="189">
        <f t="shared" ref="AW324:AW361" si="333">IFERROR(BI324/BO324,0)</f>
        <v>0.34210526315789475</v>
      </c>
      <c r="AX324" s="189">
        <f t="shared" ref="AX324:AX361" si="334">IFERROR(BJ324/BP324,0)</f>
        <v>0.76441102756892232</v>
      </c>
      <c r="AY324" s="189">
        <f t="shared" ref="AY324:AY361" si="335">IFERROR(BK324/BQ324,0)</f>
        <v>0.62758620689655176</v>
      </c>
      <c r="AZ324" s="200">
        <f t="shared" ref="AZ324:AZ361" si="336">IFERROR(BL324/BR324,0)</f>
        <v>0.4336283185840708</v>
      </c>
      <c r="BA324" s="204">
        <f>IFERROR(BM324/SUM($BM324:$BR324),0)</f>
        <v>0.15432098765432098</v>
      </c>
      <c r="BB324" s="185">
        <f t="shared" ref="BB324:BB361" si="337">IFERROR(BN324/SUM($BM324:$BR324),0)</f>
        <v>0.10493827160493827</v>
      </c>
      <c r="BC324" s="185">
        <f t="shared" ref="BC324:BC361" si="338">IFERROR(BO324/SUM($BM324:$BR324),0)</f>
        <v>3.3509700176366841E-2</v>
      </c>
      <c r="BD324" s="185">
        <f t="shared" ref="BD324:BD361" si="339">IFERROR(BP324/SUM($BM324:$BR324),0)</f>
        <v>0.35185185185185186</v>
      </c>
      <c r="BE324" s="185">
        <f t="shared" ref="BE324:BE361" si="340">IFERROR(BQ324/SUM($BM324:$BR324),0)</f>
        <v>0.25573192239858905</v>
      </c>
      <c r="BF324" s="205">
        <f t="shared" ref="BF324:BF361" si="341">IFERROR(BR324/SUM($BM324:$BR324),0)</f>
        <v>9.9647266313932975E-2</v>
      </c>
      <c r="BG324" s="194">
        <v>118</v>
      </c>
      <c r="BH324" s="190">
        <v>55</v>
      </c>
      <c r="BI324" s="190">
        <v>13</v>
      </c>
      <c r="BJ324" s="190">
        <v>305</v>
      </c>
      <c r="BK324" s="190">
        <v>182</v>
      </c>
      <c r="BL324" s="195">
        <v>49</v>
      </c>
      <c r="BM324" s="194">
        <v>175</v>
      </c>
      <c r="BN324" s="190">
        <v>119</v>
      </c>
      <c r="BO324" s="190">
        <v>38</v>
      </c>
      <c r="BP324" s="190">
        <v>399</v>
      </c>
      <c r="BQ324" s="190">
        <v>290</v>
      </c>
      <c r="BR324" s="195">
        <v>113</v>
      </c>
      <c r="BS324" s="228"/>
    </row>
    <row r="325" spans="1:71" outlineLevel="1" x14ac:dyDescent="0.2">
      <c r="A325" s="20">
        <f t="shared" si="319"/>
        <v>3658</v>
      </c>
      <c r="B325" s="19" t="str">
        <f t="shared" si="319"/>
        <v>UT</v>
      </c>
      <c r="C325" s="18"/>
      <c r="D325" s="15">
        <v>8952</v>
      </c>
      <c r="E325" s="21">
        <v>0.82899999999999996</v>
      </c>
      <c r="F325" s="14">
        <v>33736.73333333333</v>
      </c>
      <c r="G325" s="13">
        <v>19230.319999999745</v>
      </c>
      <c r="H325" s="15">
        <v>1754</v>
      </c>
      <c r="I325" s="13">
        <v>55</v>
      </c>
      <c r="J325" s="214">
        <f>P325</f>
        <v>4284.2193285677058</v>
      </c>
      <c r="K325" s="16">
        <v>3435</v>
      </c>
      <c r="L325" s="15">
        <v>9596</v>
      </c>
      <c r="M325" s="14">
        <v>9749</v>
      </c>
      <c r="N325" s="13">
        <v>7288</v>
      </c>
      <c r="P325" s="77">
        <f t="shared" ref="P325:P361" si="342">Q325*SUM(AE325:AJ325)</f>
        <v>4284.2193285677058</v>
      </c>
      <c r="Q325" s="98">
        <f t="shared" si="320"/>
        <v>0.76681928200603289</v>
      </c>
      <c r="R325" s="98">
        <f t="shared" ref="R325:R361" si="343">IFERROR(SUM(AE325:AJ325)/SUM(AK325:AP325),0)</f>
        <v>0.82954714179658495</v>
      </c>
      <c r="S325" s="199">
        <f t="shared" ref="S325:S361" si="344">IFERROR(AE325/AK325,0)</f>
        <v>0.80566801619433204</v>
      </c>
      <c r="T325" s="189">
        <f t="shared" si="321"/>
        <v>0.72519954389965791</v>
      </c>
      <c r="U325" s="189">
        <f t="shared" si="322"/>
        <v>0.40476190476190477</v>
      </c>
      <c r="V325" s="189">
        <f t="shared" si="323"/>
        <v>0.8776722090261283</v>
      </c>
      <c r="W325" s="189">
        <f t="shared" si="324"/>
        <v>0.81040700669757859</v>
      </c>
      <c r="X325" s="200">
        <f t="shared" si="325"/>
        <v>0.53846153846153844</v>
      </c>
      <c r="Y325" s="204">
        <f t="shared" ref="Y325:Y361" si="345">IFERROR(AK325/SUM($AK325:$AP325),0)</f>
        <v>7.3348181143281371E-2</v>
      </c>
      <c r="Z325" s="185">
        <f t="shared" si="326"/>
        <v>0.13021529324424647</v>
      </c>
      <c r="AA325" s="185">
        <f t="shared" si="327"/>
        <v>6.2360801781737195E-3</v>
      </c>
      <c r="AB325" s="185">
        <f t="shared" si="328"/>
        <v>0.50007423904974013</v>
      </c>
      <c r="AC325" s="185">
        <f t="shared" si="329"/>
        <v>0.28819599109131405</v>
      </c>
      <c r="AD325" s="205">
        <f t="shared" si="330"/>
        <v>1.9302152932442465E-3</v>
      </c>
      <c r="AE325" s="194">
        <v>398</v>
      </c>
      <c r="AF325" s="190">
        <v>636</v>
      </c>
      <c r="AG325" s="190">
        <v>17</v>
      </c>
      <c r="AH325" s="190">
        <v>2956</v>
      </c>
      <c r="AI325" s="190">
        <v>1573</v>
      </c>
      <c r="AJ325" s="195">
        <v>7</v>
      </c>
      <c r="AK325" s="194">
        <v>494</v>
      </c>
      <c r="AL325" s="190">
        <v>877</v>
      </c>
      <c r="AM325" s="190">
        <v>42</v>
      </c>
      <c r="AN325" s="190">
        <v>3368</v>
      </c>
      <c r="AO325" s="190">
        <v>1941</v>
      </c>
      <c r="AP325" s="195">
        <v>13</v>
      </c>
      <c r="AR325" s="77">
        <f t="shared" ref="AR325:AR361" si="346">AS325*SUM(BG325:BL325)</f>
        <v>2204.7524289610515</v>
      </c>
      <c r="AS325" s="98">
        <f t="shared" si="331"/>
        <v>0.71351211293237915</v>
      </c>
      <c r="AT325" s="98">
        <f t="shared" ref="AT325:AT361" si="347">IFERROR(SUM(BG325:BL325)/SUM(BM325:BR325),0)</f>
        <v>0.74332451286985812</v>
      </c>
      <c r="AU325" s="199">
        <f t="shared" ref="AU325:AU361" si="348">IFERROR(BG325/BM325,0)</f>
        <v>0.8004246284501062</v>
      </c>
      <c r="AV325" s="189">
        <f t="shared" si="332"/>
        <v>0.69019607843137254</v>
      </c>
      <c r="AW325" s="189">
        <f t="shared" si="333"/>
        <v>0.42857142857142855</v>
      </c>
      <c r="AX325" s="189">
        <f t="shared" si="334"/>
        <v>0.82632293080054275</v>
      </c>
      <c r="AY325" s="189">
        <f t="shared" si="335"/>
        <v>0.75</v>
      </c>
      <c r="AZ325" s="200">
        <f t="shared" si="336"/>
        <v>0.26804123711340205</v>
      </c>
      <c r="BA325" s="204">
        <f t="shared" ref="BA325:BA361" si="349">IFERROR(BM325/SUM($BM325:$BR325),0)</f>
        <v>0.11330286264132788</v>
      </c>
      <c r="BB325" s="185">
        <f t="shared" si="337"/>
        <v>6.134231416887178E-2</v>
      </c>
      <c r="BC325" s="185">
        <f t="shared" si="338"/>
        <v>1.3471253307673804E-2</v>
      </c>
      <c r="BD325" s="185">
        <f t="shared" si="339"/>
        <v>0.53187394755833539</v>
      </c>
      <c r="BE325" s="185">
        <f t="shared" si="340"/>
        <v>0.18667308154919413</v>
      </c>
      <c r="BF325" s="205">
        <f t="shared" si="341"/>
        <v>9.3336540774597063E-2</v>
      </c>
      <c r="BG325" s="194">
        <v>377</v>
      </c>
      <c r="BH325" s="190">
        <v>176</v>
      </c>
      <c r="BI325" s="190">
        <v>24</v>
      </c>
      <c r="BJ325" s="190">
        <v>1827</v>
      </c>
      <c r="BK325" s="190">
        <v>582</v>
      </c>
      <c r="BL325" s="195">
        <v>104</v>
      </c>
      <c r="BM325" s="194">
        <v>471</v>
      </c>
      <c r="BN325" s="190">
        <v>255</v>
      </c>
      <c r="BO325" s="190">
        <v>56</v>
      </c>
      <c r="BP325" s="190">
        <v>2211</v>
      </c>
      <c r="BQ325" s="190">
        <v>776</v>
      </c>
      <c r="BR325" s="195">
        <v>388</v>
      </c>
    </row>
    <row r="326" spans="1:71" outlineLevel="1" x14ac:dyDescent="0.2">
      <c r="A326" s="20">
        <f t="shared" si="319"/>
        <v>9741</v>
      </c>
      <c r="B326" s="19" t="str">
        <f t="shared" si="319"/>
        <v>UTD</v>
      </c>
      <c r="C326" s="18"/>
      <c r="D326" s="15">
        <v>2355</v>
      </c>
      <c r="E326" s="21">
        <v>0.70699999999999996</v>
      </c>
      <c r="F326" s="14">
        <v>8108.8666666666668</v>
      </c>
      <c r="G326" s="13">
        <v>4955.5700000000443</v>
      </c>
      <c r="H326" s="15">
        <v>392</v>
      </c>
      <c r="I326" s="13">
        <v>36</v>
      </c>
      <c r="J326" s="214">
        <f>P326</f>
        <v>472.70296598868185</v>
      </c>
      <c r="K326" s="16">
        <v>1255</v>
      </c>
      <c r="L326" s="15">
        <v>3078</v>
      </c>
      <c r="M326" s="14">
        <v>1950</v>
      </c>
      <c r="N326" s="13">
        <v>923</v>
      </c>
      <c r="P326" s="77">
        <f t="shared" si="342"/>
        <v>472.70296598868185</v>
      </c>
      <c r="Q326" s="98">
        <f t="shared" si="320"/>
        <v>0.60525347757833781</v>
      </c>
      <c r="R326" s="98">
        <f t="shared" si="343"/>
        <v>0.68871252204585542</v>
      </c>
      <c r="S326" s="199">
        <f t="shared" si="344"/>
        <v>0.74358974358974361</v>
      </c>
      <c r="T326" s="189">
        <f t="shared" si="321"/>
        <v>0.6462585034013606</v>
      </c>
      <c r="U326" s="189">
        <f t="shared" si="322"/>
        <v>0</v>
      </c>
      <c r="V326" s="189">
        <f t="shared" si="323"/>
        <v>0.70050761421319796</v>
      </c>
      <c r="W326" s="189">
        <f t="shared" si="324"/>
        <v>0.67295597484276726</v>
      </c>
      <c r="X326" s="200">
        <f t="shared" si="325"/>
        <v>0</v>
      </c>
      <c r="Y326" s="204">
        <f t="shared" si="345"/>
        <v>6.8783068783068779E-2</v>
      </c>
      <c r="Z326" s="185">
        <f t="shared" si="326"/>
        <v>0.12962962962962962</v>
      </c>
      <c r="AA326" s="185">
        <f t="shared" si="327"/>
        <v>0</v>
      </c>
      <c r="AB326" s="185">
        <f t="shared" si="328"/>
        <v>0.52116402116402116</v>
      </c>
      <c r="AC326" s="185">
        <f t="shared" si="329"/>
        <v>0.28042328042328041</v>
      </c>
      <c r="AD326" s="205">
        <f t="shared" si="330"/>
        <v>0</v>
      </c>
      <c r="AE326" s="194">
        <v>58</v>
      </c>
      <c r="AF326" s="190">
        <v>95</v>
      </c>
      <c r="AG326" s="190">
        <v>0</v>
      </c>
      <c r="AH326" s="190">
        <v>414</v>
      </c>
      <c r="AI326" s="190">
        <v>214</v>
      </c>
      <c r="AJ326" s="195">
        <v>0</v>
      </c>
      <c r="AK326" s="194">
        <v>78</v>
      </c>
      <c r="AL326" s="190">
        <v>147</v>
      </c>
      <c r="AM326" s="190">
        <v>0</v>
      </c>
      <c r="AN326" s="190">
        <v>591</v>
      </c>
      <c r="AO326" s="190">
        <v>318</v>
      </c>
      <c r="AP326" s="195">
        <v>0</v>
      </c>
      <c r="AR326" s="77">
        <f t="shared" si="346"/>
        <v>432.46263665696512</v>
      </c>
      <c r="AS326" s="98">
        <f t="shared" si="331"/>
        <v>0.73423198074187623</v>
      </c>
      <c r="AT326" s="98">
        <f t="shared" si="347"/>
        <v>0.77807133421400265</v>
      </c>
      <c r="AU326" s="199">
        <f t="shared" si="348"/>
        <v>0.83908045977011492</v>
      </c>
      <c r="AV326" s="189">
        <f t="shared" si="332"/>
        <v>0.73170731707317072</v>
      </c>
      <c r="AW326" s="189">
        <f t="shared" si="333"/>
        <v>0.44827586206896552</v>
      </c>
      <c r="AX326" s="189">
        <f t="shared" si="334"/>
        <v>0.87462686567164183</v>
      </c>
      <c r="AY326" s="189">
        <f t="shared" si="335"/>
        <v>0.72727272727272729</v>
      </c>
      <c r="AZ326" s="200">
        <f t="shared" si="336"/>
        <v>0.5842696629213483</v>
      </c>
      <c r="BA326" s="204">
        <f t="shared" si="349"/>
        <v>0.11492734478203434</v>
      </c>
      <c r="BB326" s="185">
        <f t="shared" si="337"/>
        <v>5.416116248348745E-2</v>
      </c>
      <c r="BC326" s="185">
        <f t="shared" si="338"/>
        <v>3.8309114927344783E-2</v>
      </c>
      <c r="BD326" s="185">
        <f t="shared" si="339"/>
        <v>0.44253632760898282</v>
      </c>
      <c r="BE326" s="185">
        <f t="shared" si="340"/>
        <v>0.23249669749009247</v>
      </c>
      <c r="BF326" s="205">
        <f t="shared" si="341"/>
        <v>0.11756935270805813</v>
      </c>
      <c r="BG326" s="194">
        <v>73</v>
      </c>
      <c r="BH326" s="190">
        <v>30</v>
      </c>
      <c r="BI326" s="190">
        <v>13</v>
      </c>
      <c r="BJ326" s="190">
        <v>293</v>
      </c>
      <c r="BK326" s="190">
        <v>128</v>
      </c>
      <c r="BL326" s="195">
        <v>52</v>
      </c>
      <c r="BM326" s="194">
        <v>87</v>
      </c>
      <c r="BN326" s="190">
        <v>41</v>
      </c>
      <c r="BO326" s="190">
        <v>29</v>
      </c>
      <c r="BP326" s="190">
        <v>335</v>
      </c>
      <c r="BQ326" s="190">
        <v>176</v>
      </c>
      <c r="BR326" s="195">
        <v>89</v>
      </c>
    </row>
    <row r="327" spans="1:71" outlineLevel="1" x14ac:dyDescent="0.2">
      <c r="A327" s="20">
        <f t="shared" si="319"/>
        <v>3661</v>
      </c>
      <c r="B327" s="19" t="str">
        <f t="shared" si="319"/>
        <v>UTEP</v>
      </c>
      <c r="C327" s="18"/>
      <c r="D327" s="15">
        <v>3031</v>
      </c>
      <c r="E327" s="21">
        <v>0.374</v>
      </c>
      <c r="F327" s="14">
        <v>12791.933333333332</v>
      </c>
      <c r="G327" s="13">
        <v>6295.4500000000389</v>
      </c>
      <c r="H327" s="15">
        <v>709</v>
      </c>
      <c r="I327" s="13">
        <v>93</v>
      </c>
      <c r="J327" s="214">
        <f>P327</f>
        <v>303.07727292835131</v>
      </c>
      <c r="K327" s="16">
        <v>2394</v>
      </c>
      <c r="L327" s="15">
        <v>4200</v>
      </c>
      <c r="M327" s="14">
        <v>3366</v>
      </c>
      <c r="N327" s="13">
        <v>1972</v>
      </c>
      <c r="P327" s="77">
        <f t="shared" si="342"/>
        <v>303.07727292835131</v>
      </c>
      <c r="Q327" s="98">
        <f t="shared" si="320"/>
        <v>0.42152610977517568</v>
      </c>
      <c r="R327" s="98">
        <f t="shared" si="343"/>
        <v>0.37292531120331951</v>
      </c>
      <c r="S327" s="199">
        <f t="shared" si="344"/>
        <v>0.48148148148148145</v>
      </c>
      <c r="T327" s="189">
        <f t="shared" si="321"/>
        <v>0.40680100755667509</v>
      </c>
      <c r="U327" s="189">
        <f t="shared" si="322"/>
        <v>0.21597633136094674</v>
      </c>
      <c r="V327" s="189">
        <f t="shared" si="323"/>
        <v>0.55000000000000004</v>
      </c>
      <c r="W327" s="189">
        <f t="shared" si="324"/>
        <v>0.41889763779527561</v>
      </c>
      <c r="X327" s="200">
        <f t="shared" si="325"/>
        <v>0.23404255319148937</v>
      </c>
      <c r="Y327" s="204">
        <f t="shared" si="345"/>
        <v>1.4004149377593362E-2</v>
      </c>
      <c r="Z327" s="185">
        <f t="shared" si="326"/>
        <v>0.41182572614107882</v>
      </c>
      <c r="AA327" s="185">
        <f t="shared" si="327"/>
        <v>0.17531120331950206</v>
      </c>
      <c r="AB327" s="185">
        <f t="shared" si="328"/>
        <v>2.0746887966804978E-2</v>
      </c>
      <c r="AC327" s="185">
        <f t="shared" si="329"/>
        <v>0.32935684647302904</v>
      </c>
      <c r="AD327" s="205">
        <f t="shared" si="330"/>
        <v>4.8755186721991702E-2</v>
      </c>
      <c r="AE327" s="194">
        <v>13</v>
      </c>
      <c r="AF327" s="190">
        <v>323</v>
      </c>
      <c r="AG327" s="190">
        <v>73</v>
      </c>
      <c r="AH327" s="190">
        <v>22</v>
      </c>
      <c r="AI327" s="190">
        <v>266</v>
      </c>
      <c r="AJ327" s="195">
        <v>22</v>
      </c>
      <c r="AK327" s="194">
        <v>27</v>
      </c>
      <c r="AL327" s="190">
        <v>794</v>
      </c>
      <c r="AM327" s="190">
        <v>338</v>
      </c>
      <c r="AN327" s="190">
        <v>40</v>
      </c>
      <c r="AO327" s="190">
        <v>635</v>
      </c>
      <c r="AP327" s="195">
        <v>94</v>
      </c>
      <c r="AR327" s="77">
        <f t="shared" si="346"/>
        <v>294.39887454190483</v>
      </c>
      <c r="AS327" s="98">
        <f t="shared" si="331"/>
        <v>0.5772526951802055</v>
      </c>
      <c r="AT327" s="98">
        <f t="shared" si="347"/>
        <v>0.62730627306273068</v>
      </c>
      <c r="AU327" s="199">
        <f t="shared" si="348"/>
        <v>0.74439461883408076</v>
      </c>
      <c r="AV327" s="189">
        <f t="shared" si="332"/>
        <v>0.55629139072847678</v>
      </c>
      <c r="AW327" s="189">
        <f t="shared" si="333"/>
        <v>0.31428571428571428</v>
      </c>
      <c r="AX327" s="189">
        <f t="shared" si="334"/>
        <v>0.7342995169082126</v>
      </c>
      <c r="AY327" s="189">
        <f t="shared" si="335"/>
        <v>0.57553956834532372</v>
      </c>
      <c r="AZ327" s="200">
        <f t="shared" si="336"/>
        <v>0.29310344827586204</v>
      </c>
      <c r="BA327" s="204">
        <f t="shared" si="349"/>
        <v>0.27429274292742928</v>
      </c>
      <c r="BB327" s="185">
        <f t="shared" si="337"/>
        <v>0.1857318573185732</v>
      </c>
      <c r="BC327" s="185">
        <f t="shared" si="338"/>
        <v>4.3050430504305043E-2</v>
      </c>
      <c r="BD327" s="185">
        <f t="shared" si="339"/>
        <v>0.25461254612546125</v>
      </c>
      <c r="BE327" s="185">
        <f t="shared" si="340"/>
        <v>0.17097170971709716</v>
      </c>
      <c r="BF327" s="205">
        <f t="shared" si="341"/>
        <v>7.1340713407134076E-2</v>
      </c>
      <c r="BG327" s="194">
        <v>166</v>
      </c>
      <c r="BH327" s="190">
        <v>84</v>
      </c>
      <c r="BI327" s="190">
        <v>11</v>
      </c>
      <c r="BJ327" s="190">
        <v>152</v>
      </c>
      <c r="BK327" s="190">
        <v>80</v>
      </c>
      <c r="BL327" s="195">
        <v>17</v>
      </c>
      <c r="BM327" s="194">
        <v>223</v>
      </c>
      <c r="BN327" s="190">
        <v>151</v>
      </c>
      <c r="BO327" s="190">
        <v>35</v>
      </c>
      <c r="BP327" s="190">
        <v>207</v>
      </c>
      <c r="BQ327" s="190">
        <v>139</v>
      </c>
      <c r="BR327" s="195">
        <v>58</v>
      </c>
      <c r="BS327" s="228"/>
    </row>
    <row r="328" spans="1:71" outlineLevel="1" x14ac:dyDescent="0.2">
      <c r="A328" s="20">
        <f t="shared" si="319"/>
        <v>3599</v>
      </c>
      <c r="B328" s="19" t="str">
        <f t="shared" si="319"/>
        <v>UTPA</v>
      </c>
      <c r="C328" s="18"/>
      <c r="D328" s="15">
        <v>2620</v>
      </c>
      <c r="E328" s="21">
        <v>0.38900000000000001</v>
      </c>
      <c r="F328" s="14">
        <v>12572.333333333334</v>
      </c>
      <c r="G328" s="13">
        <v>5170.8900000000631</v>
      </c>
      <c r="H328" s="15">
        <v>480</v>
      </c>
      <c r="I328" s="13">
        <v>31</v>
      </c>
      <c r="J328" s="214">
        <f>P328</f>
        <v>496.16328039179905</v>
      </c>
      <c r="K328" s="16">
        <v>2341</v>
      </c>
      <c r="L328" s="15">
        <v>4354</v>
      </c>
      <c r="M328" s="14">
        <v>3136</v>
      </c>
      <c r="N328" s="13">
        <v>1924</v>
      </c>
      <c r="P328" s="77">
        <f t="shared" si="342"/>
        <v>496.16328039179905</v>
      </c>
      <c r="Q328" s="98">
        <f t="shared" si="320"/>
        <v>0.49027992133576981</v>
      </c>
      <c r="R328" s="98">
        <f t="shared" si="343"/>
        <v>0.39316239316239315</v>
      </c>
      <c r="S328" s="199">
        <f t="shared" si="344"/>
        <v>0.55555555555555558</v>
      </c>
      <c r="T328" s="189">
        <f t="shared" si="321"/>
        <v>0.44537815126050423</v>
      </c>
      <c r="U328" s="189">
        <f t="shared" si="322"/>
        <v>0.26994680851063829</v>
      </c>
      <c r="V328" s="189">
        <f t="shared" si="323"/>
        <v>0.70909090909090911</v>
      </c>
      <c r="W328" s="189">
        <f t="shared" si="324"/>
        <v>0.47018739352640543</v>
      </c>
      <c r="X328" s="200">
        <f t="shared" si="325"/>
        <v>0.2857142857142857</v>
      </c>
      <c r="Y328" s="204">
        <f t="shared" si="345"/>
        <v>6.993006993006993E-3</v>
      </c>
      <c r="Z328" s="185">
        <f t="shared" si="326"/>
        <v>0.36985236985236986</v>
      </c>
      <c r="AA328" s="185">
        <f t="shared" si="327"/>
        <v>0.29215229215229216</v>
      </c>
      <c r="AB328" s="185">
        <f t="shared" si="328"/>
        <v>2.1367521367521368E-2</v>
      </c>
      <c r="AC328" s="185">
        <f t="shared" si="329"/>
        <v>0.22804972804972806</v>
      </c>
      <c r="AD328" s="205">
        <f t="shared" si="330"/>
        <v>8.1585081585081584E-2</v>
      </c>
      <c r="AE328" s="194">
        <v>10</v>
      </c>
      <c r="AF328" s="190">
        <v>424</v>
      </c>
      <c r="AG328" s="190">
        <v>203</v>
      </c>
      <c r="AH328" s="190">
        <v>39</v>
      </c>
      <c r="AI328" s="190">
        <v>276</v>
      </c>
      <c r="AJ328" s="195">
        <v>60</v>
      </c>
      <c r="AK328" s="194">
        <v>18</v>
      </c>
      <c r="AL328" s="190">
        <v>952</v>
      </c>
      <c r="AM328" s="190">
        <v>752</v>
      </c>
      <c r="AN328" s="190">
        <v>55</v>
      </c>
      <c r="AO328" s="190">
        <v>587</v>
      </c>
      <c r="AP328" s="195">
        <v>210</v>
      </c>
      <c r="AR328" s="77">
        <f t="shared" si="346"/>
        <v>305.40350894376019</v>
      </c>
      <c r="AS328" s="98">
        <f t="shared" si="331"/>
        <v>0.61947973416584212</v>
      </c>
      <c r="AT328" s="98">
        <f t="shared" si="347"/>
        <v>0.65298013245033115</v>
      </c>
      <c r="AU328" s="199">
        <f t="shared" si="348"/>
        <v>0.72072072072072069</v>
      </c>
      <c r="AV328" s="189">
        <f t="shared" si="332"/>
        <v>0.66367713004484308</v>
      </c>
      <c r="AW328" s="189">
        <f t="shared" si="333"/>
        <v>0.44897959183673469</v>
      </c>
      <c r="AX328" s="189">
        <f t="shared" si="334"/>
        <v>0.70588235294117652</v>
      </c>
      <c r="AY328" s="189">
        <f t="shared" si="335"/>
        <v>0.59340659340659341</v>
      </c>
      <c r="AZ328" s="200">
        <f t="shared" si="336"/>
        <v>0.49019607843137253</v>
      </c>
      <c r="BA328" s="204">
        <f t="shared" si="349"/>
        <v>0.29403973509933773</v>
      </c>
      <c r="BB328" s="185">
        <f t="shared" si="337"/>
        <v>0.295364238410596</v>
      </c>
      <c r="BC328" s="185">
        <f t="shared" si="338"/>
        <v>6.4900662251655625E-2</v>
      </c>
      <c r="BD328" s="185">
        <f t="shared" si="339"/>
        <v>0.15761589403973511</v>
      </c>
      <c r="BE328" s="185">
        <f t="shared" si="340"/>
        <v>0.12052980132450331</v>
      </c>
      <c r="BF328" s="205">
        <f t="shared" si="341"/>
        <v>6.7549668874172186E-2</v>
      </c>
      <c r="BG328" s="194">
        <v>160</v>
      </c>
      <c r="BH328" s="190">
        <v>148</v>
      </c>
      <c r="BI328" s="190">
        <v>22</v>
      </c>
      <c r="BJ328" s="190">
        <v>84</v>
      </c>
      <c r="BK328" s="190">
        <v>54</v>
      </c>
      <c r="BL328" s="195">
        <v>25</v>
      </c>
      <c r="BM328" s="194">
        <v>222</v>
      </c>
      <c r="BN328" s="190">
        <v>223</v>
      </c>
      <c r="BO328" s="190">
        <v>49</v>
      </c>
      <c r="BP328" s="190">
        <v>119</v>
      </c>
      <c r="BQ328" s="190">
        <v>91</v>
      </c>
      <c r="BR328" s="195">
        <v>51</v>
      </c>
    </row>
    <row r="329" spans="1:71" outlineLevel="1" x14ac:dyDescent="0.2">
      <c r="A329" s="20">
        <f t="shared" si="319"/>
        <v>30646</v>
      </c>
      <c r="B329" s="19" t="str">
        <f t="shared" si="319"/>
        <v>UTB</v>
      </c>
      <c r="C329" s="18"/>
      <c r="D329" s="15">
        <v>1052</v>
      </c>
      <c r="E329" s="17">
        <v>0.64666666666666661</v>
      </c>
      <c r="F329" s="14">
        <v>2989.6</v>
      </c>
      <c r="G329" s="13">
        <v>2005.0100000000309</v>
      </c>
      <c r="H329" s="15">
        <v>108</v>
      </c>
      <c r="I329" s="13">
        <v>19</v>
      </c>
      <c r="J329" s="214">
        <f>AR329</f>
        <v>15.246674799092125</v>
      </c>
      <c r="K329" s="16">
        <v>916</v>
      </c>
      <c r="L329" s="15">
        <v>1377</v>
      </c>
      <c r="M329" s="14">
        <v>583</v>
      </c>
      <c r="N329" s="13">
        <v>72</v>
      </c>
      <c r="P329" s="77">
        <f t="shared" si="342"/>
        <v>0</v>
      </c>
      <c r="Q329" s="98">
        <f t="shared" si="320"/>
        <v>0</v>
      </c>
      <c r="R329" s="98">
        <f t="shared" si="343"/>
        <v>0</v>
      </c>
      <c r="S329" s="199">
        <f t="shared" si="344"/>
        <v>0</v>
      </c>
      <c r="T329" s="189">
        <f t="shared" si="321"/>
        <v>0</v>
      </c>
      <c r="U329" s="189">
        <f t="shared" si="322"/>
        <v>0</v>
      </c>
      <c r="V329" s="189">
        <f t="shared" si="323"/>
        <v>0</v>
      </c>
      <c r="W329" s="189">
        <f t="shared" si="324"/>
        <v>0</v>
      </c>
      <c r="X329" s="200">
        <f t="shared" si="325"/>
        <v>0</v>
      </c>
      <c r="Y329" s="204">
        <f t="shared" si="345"/>
        <v>0</v>
      </c>
      <c r="Z329" s="185">
        <f t="shared" si="326"/>
        <v>0</v>
      </c>
      <c r="AA329" s="185">
        <f t="shared" si="327"/>
        <v>0</v>
      </c>
      <c r="AB329" s="185">
        <f t="shared" si="328"/>
        <v>0</v>
      </c>
      <c r="AC329" s="185">
        <f t="shared" si="329"/>
        <v>1</v>
      </c>
      <c r="AD329" s="205">
        <f t="shared" si="330"/>
        <v>0</v>
      </c>
      <c r="AE329" s="194">
        <v>0</v>
      </c>
      <c r="AF329" s="190">
        <v>0</v>
      </c>
      <c r="AG329" s="190">
        <v>0</v>
      </c>
      <c r="AH329" s="190">
        <v>0</v>
      </c>
      <c r="AI329" s="190">
        <v>0</v>
      </c>
      <c r="AJ329" s="195">
        <v>0</v>
      </c>
      <c r="AK329" s="194">
        <v>0</v>
      </c>
      <c r="AL329" s="190">
        <v>0</v>
      </c>
      <c r="AM329" s="190">
        <v>0</v>
      </c>
      <c r="AN329" s="190">
        <v>0</v>
      </c>
      <c r="AO329" s="190">
        <v>1</v>
      </c>
      <c r="AP329" s="195">
        <v>0</v>
      </c>
      <c r="AR329" s="77">
        <f t="shared" si="346"/>
        <v>15.246674799092125</v>
      </c>
      <c r="AS329" s="98">
        <f t="shared" si="331"/>
        <v>0.52574740686524568</v>
      </c>
      <c r="AT329" s="98">
        <f t="shared" si="347"/>
        <v>0.76315789473684215</v>
      </c>
      <c r="AU329" s="199">
        <f t="shared" si="348"/>
        <v>0.9285714285714286</v>
      </c>
      <c r="AV329" s="189">
        <f t="shared" si="332"/>
        <v>0.75</v>
      </c>
      <c r="AW329" s="189">
        <f t="shared" si="333"/>
        <v>0</v>
      </c>
      <c r="AX329" s="189">
        <f t="shared" si="334"/>
        <v>0.88888888888888884</v>
      </c>
      <c r="AY329" s="189">
        <f t="shared" si="335"/>
        <v>0.33333333333333331</v>
      </c>
      <c r="AZ329" s="200">
        <f t="shared" si="336"/>
        <v>0.5</v>
      </c>
      <c r="BA329" s="204">
        <f t="shared" si="349"/>
        <v>0.36842105263157893</v>
      </c>
      <c r="BB329" s="185">
        <f t="shared" si="337"/>
        <v>0.21052631578947367</v>
      </c>
      <c r="BC329" s="185">
        <f t="shared" si="338"/>
        <v>5.2631578947368418E-2</v>
      </c>
      <c r="BD329" s="185">
        <f t="shared" si="339"/>
        <v>0.23684210526315788</v>
      </c>
      <c r="BE329" s="185">
        <f t="shared" si="340"/>
        <v>7.8947368421052627E-2</v>
      </c>
      <c r="BF329" s="205">
        <f t="shared" si="341"/>
        <v>5.2631578947368418E-2</v>
      </c>
      <c r="BG329" s="194">
        <v>13</v>
      </c>
      <c r="BH329" s="190">
        <v>6</v>
      </c>
      <c r="BI329" s="190">
        <v>0</v>
      </c>
      <c r="BJ329" s="190">
        <v>8</v>
      </c>
      <c r="BK329" s="190">
        <v>1</v>
      </c>
      <c r="BL329" s="195">
        <v>1</v>
      </c>
      <c r="BM329" s="194">
        <v>14</v>
      </c>
      <c r="BN329" s="190">
        <v>8</v>
      </c>
      <c r="BO329" s="190">
        <v>2</v>
      </c>
      <c r="BP329" s="190">
        <v>9</v>
      </c>
      <c r="BQ329" s="190">
        <v>3</v>
      </c>
      <c r="BR329" s="195">
        <v>2</v>
      </c>
    </row>
    <row r="330" spans="1:71" outlineLevel="1" x14ac:dyDescent="0.2">
      <c r="A330" s="20">
        <f t="shared" si="319"/>
        <v>9930</v>
      </c>
      <c r="B330" s="19" t="str">
        <f t="shared" si="319"/>
        <v>UTPB</v>
      </c>
      <c r="C330" s="18"/>
      <c r="D330" s="15">
        <v>513</v>
      </c>
      <c r="E330" s="21">
        <v>0.44600000000000001</v>
      </c>
      <c r="F330" s="14">
        <v>2159.6</v>
      </c>
      <c r="G330" s="13">
        <v>944.74000000001092</v>
      </c>
      <c r="H330" s="15">
        <v>33</v>
      </c>
      <c r="I330" s="13">
        <v>13</v>
      </c>
      <c r="J330" s="214">
        <f t="shared" ref="J330:J343" si="350">P330</f>
        <v>51.848645709295866</v>
      </c>
      <c r="K330" s="16">
        <v>379</v>
      </c>
      <c r="L330" s="15">
        <v>707</v>
      </c>
      <c r="M330" s="14">
        <v>450</v>
      </c>
      <c r="N330" s="13">
        <v>182</v>
      </c>
      <c r="P330" s="77">
        <f t="shared" si="342"/>
        <v>51.848645709295866</v>
      </c>
      <c r="Q330" s="98">
        <f t="shared" si="320"/>
        <v>0.45883757264863601</v>
      </c>
      <c r="R330" s="98">
        <f t="shared" si="343"/>
        <v>0.44664031620553357</v>
      </c>
      <c r="S330" s="199">
        <f t="shared" si="344"/>
        <v>0.75</v>
      </c>
      <c r="T330" s="189">
        <f t="shared" si="321"/>
        <v>0.34722222222222221</v>
      </c>
      <c r="U330" s="189">
        <f t="shared" si="322"/>
        <v>0.33333333333333331</v>
      </c>
      <c r="V330" s="189">
        <f t="shared" si="323"/>
        <v>0.55000000000000004</v>
      </c>
      <c r="W330" s="189">
        <f t="shared" si="324"/>
        <v>0.48461538461538461</v>
      </c>
      <c r="X330" s="200">
        <f t="shared" si="325"/>
        <v>0.35294117647058826</v>
      </c>
      <c r="Y330" s="204">
        <f t="shared" si="345"/>
        <v>3.1620553359683792E-2</v>
      </c>
      <c r="Z330" s="185">
        <f t="shared" si="326"/>
        <v>0.28458498023715417</v>
      </c>
      <c r="AA330" s="185">
        <f t="shared" si="327"/>
        <v>2.3715415019762844E-2</v>
      </c>
      <c r="AB330" s="185">
        <f t="shared" si="328"/>
        <v>7.9051383399209488E-2</v>
      </c>
      <c r="AC330" s="185">
        <f t="shared" si="329"/>
        <v>0.51383399209486169</v>
      </c>
      <c r="AD330" s="205">
        <f t="shared" si="330"/>
        <v>6.7193675889328064E-2</v>
      </c>
      <c r="AE330" s="194">
        <v>6</v>
      </c>
      <c r="AF330" s="190">
        <v>25</v>
      </c>
      <c r="AG330" s="190">
        <v>2</v>
      </c>
      <c r="AH330" s="190">
        <v>11</v>
      </c>
      <c r="AI330" s="190">
        <v>63</v>
      </c>
      <c r="AJ330" s="195">
        <v>6</v>
      </c>
      <c r="AK330" s="194">
        <v>8</v>
      </c>
      <c r="AL330" s="190">
        <v>72</v>
      </c>
      <c r="AM330" s="190">
        <v>6</v>
      </c>
      <c r="AN330" s="190">
        <v>20</v>
      </c>
      <c r="AO330" s="190">
        <v>130</v>
      </c>
      <c r="AP330" s="195">
        <v>17</v>
      </c>
      <c r="AR330" s="77">
        <f t="shared" si="346"/>
        <v>67.745534750794917</v>
      </c>
      <c r="AS330" s="98">
        <f t="shared" si="331"/>
        <v>0.63313583879247592</v>
      </c>
      <c r="AT330" s="98">
        <f t="shared" si="347"/>
        <v>0.64457831325301207</v>
      </c>
      <c r="AU330" s="199">
        <f t="shared" si="348"/>
        <v>0.75757575757575757</v>
      </c>
      <c r="AV330" s="189">
        <f t="shared" si="332"/>
        <v>0.54166666666666663</v>
      </c>
      <c r="AW330" s="189">
        <f t="shared" si="333"/>
        <v>0.45454545454545453</v>
      </c>
      <c r="AX330" s="189">
        <f t="shared" si="334"/>
        <v>0.73469387755102045</v>
      </c>
      <c r="AY330" s="189">
        <f t="shared" si="335"/>
        <v>0.66666666666666663</v>
      </c>
      <c r="AZ330" s="200">
        <f t="shared" si="336"/>
        <v>0.48</v>
      </c>
      <c r="BA330" s="204">
        <f t="shared" si="349"/>
        <v>0.19879518072289157</v>
      </c>
      <c r="BB330" s="185">
        <f t="shared" si="337"/>
        <v>0.14457831325301204</v>
      </c>
      <c r="BC330" s="185">
        <f t="shared" si="338"/>
        <v>6.6265060240963861E-2</v>
      </c>
      <c r="BD330" s="185">
        <f t="shared" si="339"/>
        <v>0.29518072289156627</v>
      </c>
      <c r="BE330" s="185">
        <f t="shared" si="340"/>
        <v>0.14457831325301204</v>
      </c>
      <c r="BF330" s="205">
        <f t="shared" si="341"/>
        <v>0.15060240963855423</v>
      </c>
      <c r="BG330" s="194">
        <v>25</v>
      </c>
      <c r="BH330" s="190">
        <v>13</v>
      </c>
      <c r="BI330" s="190">
        <v>5</v>
      </c>
      <c r="BJ330" s="190">
        <v>36</v>
      </c>
      <c r="BK330" s="190">
        <v>16</v>
      </c>
      <c r="BL330" s="195">
        <v>12</v>
      </c>
      <c r="BM330" s="194">
        <v>33</v>
      </c>
      <c r="BN330" s="190">
        <v>24</v>
      </c>
      <c r="BO330" s="190">
        <v>11</v>
      </c>
      <c r="BP330" s="190">
        <v>49</v>
      </c>
      <c r="BQ330" s="190">
        <v>24</v>
      </c>
      <c r="BR330" s="195">
        <v>25</v>
      </c>
      <c r="BS330" s="228"/>
    </row>
    <row r="331" spans="1:71" outlineLevel="1" x14ac:dyDescent="0.2">
      <c r="A331" s="20">
        <f t="shared" si="319"/>
        <v>10115</v>
      </c>
      <c r="B331" s="19" t="str">
        <f t="shared" si="319"/>
        <v>UTSA</v>
      </c>
      <c r="C331" s="18"/>
      <c r="D331" s="15">
        <v>3968</v>
      </c>
      <c r="E331" s="21">
        <v>0.44</v>
      </c>
      <c r="F331" s="14">
        <v>19707.533333333333</v>
      </c>
      <c r="G331" s="13">
        <v>8107.0899999997582</v>
      </c>
      <c r="H331" s="15">
        <v>375</v>
      </c>
      <c r="I331" s="13">
        <v>39</v>
      </c>
      <c r="J331" s="214">
        <f t="shared" si="350"/>
        <v>827.99827660510778</v>
      </c>
      <c r="K331" s="16">
        <v>2956</v>
      </c>
      <c r="L331" s="15">
        <v>6812</v>
      </c>
      <c r="M331" s="14">
        <v>4615</v>
      </c>
      <c r="N331" s="13">
        <v>2588</v>
      </c>
      <c r="P331" s="77">
        <f t="shared" si="342"/>
        <v>827.99827660510778</v>
      </c>
      <c r="Q331" s="98">
        <f t="shared" si="320"/>
        <v>0.45196412478444747</v>
      </c>
      <c r="R331" s="98">
        <f t="shared" si="343"/>
        <v>0.43744030563514802</v>
      </c>
      <c r="S331" s="199">
        <f t="shared" si="344"/>
        <v>0.43939393939393939</v>
      </c>
      <c r="T331" s="189">
        <f t="shared" si="321"/>
        <v>0.40275387263339069</v>
      </c>
      <c r="U331" s="189">
        <f t="shared" si="322"/>
        <v>0.23853211009174313</v>
      </c>
      <c r="V331" s="189">
        <f t="shared" si="323"/>
        <v>0.5957446808510638</v>
      </c>
      <c r="W331" s="189">
        <f t="shared" si="324"/>
        <v>0.46284691136974038</v>
      </c>
      <c r="X331" s="200">
        <f t="shared" si="325"/>
        <v>0.29608938547486036</v>
      </c>
      <c r="Y331" s="204">
        <f t="shared" si="345"/>
        <v>1.5759312320916905E-2</v>
      </c>
      <c r="Z331" s="185">
        <f t="shared" si="326"/>
        <v>0.27745940783190065</v>
      </c>
      <c r="AA331" s="185">
        <f t="shared" si="327"/>
        <v>5.2053486150907352E-2</v>
      </c>
      <c r="AB331" s="185">
        <f t="shared" si="328"/>
        <v>7.8557784145176696E-2</v>
      </c>
      <c r="AC331" s="185">
        <f t="shared" si="329"/>
        <v>0.53342884431709647</v>
      </c>
      <c r="AD331" s="205">
        <f t="shared" si="330"/>
        <v>4.2741165234001913E-2</v>
      </c>
      <c r="AE331" s="194">
        <v>29</v>
      </c>
      <c r="AF331" s="190">
        <v>468</v>
      </c>
      <c r="AG331" s="190">
        <v>52</v>
      </c>
      <c r="AH331" s="190">
        <v>196</v>
      </c>
      <c r="AI331" s="190">
        <v>1034</v>
      </c>
      <c r="AJ331" s="195">
        <v>53</v>
      </c>
      <c r="AK331" s="194">
        <v>66</v>
      </c>
      <c r="AL331" s="190">
        <v>1162</v>
      </c>
      <c r="AM331" s="190">
        <v>218</v>
      </c>
      <c r="AN331" s="190">
        <v>329</v>
      </c>
      <c r="AO331" s="190">
        <v>2234</v>
      </c>
      <c r="AP331" s="195">
        <v>179</v>
      </c>
      <c r="AR331" s="77">
        <f t="shared" si="346"/>
        <v>507.99785722212982</v>
      </c>
      <c r="AS331" s="98">
        <f t="shared" si="331"/>
        <v>0.59764453790838801</v>
      </c>
      <c r="AT331" s="98">
        <f t="shared" si="347"/>
        <v>0.62271062271062272</v>
      </c>
      <c r="AU331" s="199">
        <f t="shared" si="348"/>
        <v>0.7410714285714286</v>
      </c>
      <c r="AV331" s="189">
        <f t="shared" si="332"/>
        <v>0.50884955752212391</v>
      </c>
      <c r="AW331" s="189">
        <f t="shared" si="333"/>
        <v>0.36363636363636365</v>
      </c>
      <c r="AX331" s="189">
        <f t="shared" si="334"/>
        <v>0.7612359550561798</v>
      </c>
      <c r="AY331" s="189">
        <f t="shared" si="335"/>
        <v>0.6166666666666667</v>
      </c>
      <c r="AZ331" s="200">
        <f t="shared" si="336"/>
        <v>0.39344262295081966</v>
      </c>
      <c r="BA331" s="204">
        <f t="shared" si="349"/>
        <v>0.1641025641025641</v>
      </c>
      <c r="BB331" s="185">
        <f t="shared" si="337"/>
        <v>0.16556776556776556</v>
      </c>
      <c r="BC331" s="185">
        <f t="shared" si="338"/>
        <v>5.6410256410256411E-2</v>
      </c>
      <c r="BD331" s="185">
        <f t="shared" si="339"/>
        <v>0.26080586080586082</v>
      </c>
      <c r="BE331" s="185">
        <f t="shared" si="340"/>
        <v>0.26373626373626374</v>
      </c>
      <c r="BF331" s="205">
        <f t="shared" si="341"/>
        <v>8.9377289377289379E-2</v>
      </c>
      <c r="BG331" s="194">
        <v>166</v>
      </c>
      <c r="BH331" s="190">
        <v>115</v>
      </c>
      <c r="BI331" s="190">
        <v>28</v>
      </c>
      <c r="BJ331" s="190">
        <v>271</v>
      </c>
      <c r="BK331" s="190">
        <v>222</v>
      </c>
      <c r="BL331" s="195">
        <v>48</v>
      </c>
      <c r="BM331" s="194">
        <v>224</v>
      </c>
      <c r="BN331" s="190">
        <v>226</v>
      </c>
      <c r="BO331" s="190">
        <v>77</v>
      </c>
      <c r="BP331" s="190">
        <v>356</v>
      </c>
      <c r="BQ331" s="190">
        <v>360</v>
      </c>
      <c r="BR331" s="195">
        <v>122</v>
      </c>
    </row>
    <row r="332" spans="1:71" outlineLevel="1" x14ac:dyDescent="0.2">
      <c r="A332" s="20">
        <f t="shared" si="319"/>
        <v>11163</v>
      </c>
      <c r="B332" s="19" t="str">
        <f t="shared" si="319"/>
        <v>UTT</v>
      </c>
      <c r="C332" s="18"/>
      <c r="D332" s="15">
        <v>1238</v>
      </c>
      <c r="E332" s="21">
        <v>0.496</v>
      </c>
      <c r="F332" s="14">
        <v>4085.2666666666669</v>
      </c>
      <c r="G332" s="13">
        <v>2459.1300000000315</v>
      </c>
      <c r="H332" s="15">
        <v>372</v>
      </c>
      <c r="I332" s="13">
        <v>10</v>
      </c>
      <c r="J332" s="214">
        <f t="shared" si="350"/>
        <v>128.67448611007066</v>
      </c>
      <c r="K332" s="16">
        <v>1002</v>
      </c>
      <c r="L332" s="15">
        <v>1404</v>
      </c>
      <c r="M332" s="14">
        <v>921</v>
      </c>
      <c r="N332" s="13">
        <v>378</v>
      </c>
      <c r="P332" s="77">
        <f t="shared" si="342"/>
        <v>128.67448611007066</v>
      </c>
      <c r="Q332" s="98">
        <f t="shared" si="320"/>
        <v>0.51469794444028261</v>
      </c>
      <c r="R332" s="98">
        <f t="shared" si="343"/>
        <v>0.49900199600798401</v>
      </c>
      <c r="S332" s="199">
        <f t="shared" si="344"/>
        <v>0.69230769230769229</v>
      </c>
      <c r="T332" s="189">
        <f t="shared" si="321"/>
        <v>0.45454545454545453</v>
      </c>
      <c r="U332" s="189">
        <f t="shared" si="322"/>
        <v>0.35714285714285715</v>
      </c>
      <c r="V332" s="189">
        <f t="shared" si="323"/>
        <v>0.66</v>
      </c>
      <c r="W332" s="189">
        <f t="shared" si="324"/>
        <v>0.51636363636363636</v>
      </c>
      <c r="X332" s="200">
        <f t="shared" si="325"/>
        <v>0.28205128205128205</v>
      </c>
      <c r="Y332" s="204">
        <f t="shared" si="345"/>
        <v>2.5948103792415168E-2</v>
      </c>
      <c r="Z332" s="185">
        <f t="shared" si="326"/>
        <v>0.21956087824351297</v>
      </c>
      <c r="AA332" s="185">
        <f t="shared" si="327"/>
        <v>2.7944111776447105E-2</v>
      </c>
      <c r="AB332" s="185">
        <f t="shared" si="328"/>
        <v>9.9800399201596807E-2</v>
      </c>
      <c r="AC332" s="185">
        <f t="shared" si="329"/>
        <v>0.5489021956087824</v>
      </c>
      <c r="AD332" s="205">
        <f t="shared" si="330"/>
        <v>7.7844311377245512E-2</v>
      </c>
      <c r="AE332" s="194">
        <v>9</v>
      </c>
      <c r="AF332" s="190">
        <v>50</v>
      </c>
      <c r="AG332" s="190">
        <v>5</v>
      </c>
      <c r="AH332" s="190">
        <v>33</v>
      </c>
      <c r="AI332" s="190">
        <v>142</v>
      </c>
      <c r="AJ332" s="195">
        <v>11</v>
      </c>
      <c r="AK332" s="194">
        <v>13</v>
      </c>
      <c r="AL332" s="190">
        <v>110</v>
      </c>
      <c r="AM332" s="190">
        <v>14</v>
      </c>
      <c r="AN332" s="190">
        <v>50</v>
      </c>
      <c r="AO332" s="190">
        <v>275</v>
      </c>
      <c r="AP332" s="195">
        <v>39</v>
      </c>
      <c r="AR332" s="77">
        <f t="shared" si="346"/>
        <v>129.32505350654054</v>
      </c>
      <c r="AS332" s="98">
        <f t="shared" si="331"/>
        <v>0.5747780155846246</v>
      </c>
      <c r="AT332" s="98">
        <f t="shared" si="347"/>
        <v>0.6198347107438017</v>
      </c>
      <c r="AU332" s="199">
        <f t="shared" si="348"/>
        <v>0.67692307692307696</v>
      </c>
      <c r="AV332" s="189">
        <f t="shared" si="332"/>
        <v>0.55263157894736847</v>
      </c>
      <c r="AW332" s="189">
        <f t="shared" si="333"/>
        <v>0.32142857142857145</v>
      </c>
      <c r="AX332" s="189">
        <f t="shared" si="334"/>
        <v>0.80701754385964908</v>
      </c>
      <c r="AY332" s="189">
        <f t="shared" si="335"/>
        <v>0.53749999999999998</v>
      </c>
      <c r="AZ332" s="200">
        <f t="shared" si="336"/>
        <v>0.42105263157894735</v>
      </c>
      <c r="BA332" s="204">
        <f t="shared" si="349"/>
        <v>0.1790633608815427</v>
      </c>
      <c r="BB332" s="185">
        <f t="shared" si="337"/>
        <v>0.1046831955922865</v>
      </c>
      <c r="BC332" s="185">
        <f t="shared" si="338"/>
        <v>7.7134986225895319E-2</v>
      </c>
      <c r="BD332" s="185">
        <f t="shared" si="339"/>
        <v>0.31404958677685951</v>
      </c>
      <c r="BE332" s="185">
        <f t="shared" si="340"/>
        <v>0.22038567493112948</v>
      </c>
      <c r="BF332" s="205">
        <f t="shared" si="341"/>
        <v>0.1046831955922865</v>
      </c>
      <c r="BG332" s="194">
        <v>44</v>
      </c>
      <c r="BH332" s="190">
        <v>21</v>
      </c>
      <c r="BI332" s="190">
        <v>9</v>
      </c>
      <c r="BJ332" s="190">
        <v>92</v>
      </c>
      <c r="BK332" s="190">
        <v>43</v>
      </c>
      <c r="BL332" s="195">
        <v>16</v>
      </c>
      <c r="BM332" s="194">
        <v>65</v>
      </c>
      <c r="BN332" s="190">
        <v>38</v>
      </c>
      <c r="BO332" s="190">
        <v>28</v>
      </c>
      <c r="BP332" s="190">
        <v>114</v>
      </c>
      <c r="BQ332" s="190">
        <v>80</v>
      </c>
      <c r="BR332" s="195">
        <v>38</v>
      </c>
    </row>
    <row r="333" spans="1:71" outlineLevel="1" x14ac:dyDescent="0.2">
      <c r="A333" s="20">
        <f t="shared" si="319"/>
        <v>3632</v>
      </c>
      <c r="B333" s="19" t="str">
        <f t="shared" si="319"/>
        <v>TAMU</v>
      </c>
      <c r="C333" s="18"/>
      <c r="D333" s="15">
        <v>8451</v>
      </c>
      <c r="E333" s="21">
        <v>0.83599999999999997</v>
      </c>
      <c r="F333" s="14">
        <v>34329.199999999997</v>
      </c>
      <c r="G333" s="13">
        <v>19146.209999999159</v>
      </c>
      <c r="H333" s="15">
        <v>1580</v>
      </c>
      <c r="I333" s="13">
        <v>108</v>
      </c>
      <c r="J333" s="214">
        <f t="shared" si="350"/>
        <v>4385.7071070239599</v>
      </c>
      <c r="K333" s="16">
        <v>3530</v>
      </c>
      <c r="L333" s="15">
        <v>10012</v>
      </c>
      <c r="M333" s="14">
        <v>8836</v>
      </c>
      <c r="N333" s="13">
        <v>6932</v>
      </c>
      <c r="P333" s="77">
        <f t="shared" si="342"/>
        <v>4385.7071070239599</v>
      </c>
      <c r="Q333" s="98">
        <f t="shared" si="320"/>
        <v>0.79523247634160654</v>
      </c>
      <c r="R333" s="98">
        <f t="shared" si="343"/>
        <v>0.82634102487264005</v>
      </c>
      <c r="S333" s="199">
        <f t="shared" si="344"/>
        <v>0.80597014925373134</v>
      </c>
      <c r="T333" s="189">
        <f t="shared" si="321"/>
        <v>0.71510297482837526</v>
      </c>
      <c r="U333" s="189">
        <f t="shared" si="322"/>
        <v>0.59375</v>
      </c>
      <c r="V333" s="189">
        <f t="shared" si="323"/>
        <v>0.84554537885095749</v>
      </c>
      <c r="W333" s="189">
        <f t="shared" si="324"/>
        <v>0.8479038024049399</v>
      </c>
      <c r="X333" s="200">
        <f t="shared" si="325"/>
        <v>0.7142857142857143</v>
      </c>
      <c r="Y333" s="204">
        <f t="shared" si="345"/>
        <v>4.0155828588552593E-2</v>
      </c>
      <c r="Z333" s="185">
        <f t="shared" si="326"/>
        <v>0.13095594845669764</v>
      </c>
      <c r="AA333" s="185">
        <f t="shared" si="327"/>
        <v>4.7947258016182203E-3</v>
      </c>
      <c r="AB333" s="185">
        <f t="shared" si="328"/>
        <v>0.35990410548396762</v>
      </c>
      <c r="AC333" s="185">
        <f t="shared" si="329"/>
        <v>0.46104285286185198</v>
      </c>
      <c r="AD333" s="205">
        <f t="shared" si="330"/>
        <v>3.1465388073119568E-3</v>
      </c>
      <c r="AE333" s="194">
        <v>216</v>
      </c>
      <c r="AF333" s="190">
        <v>625</v>
      </c>
      <c r="AG333" s="190">
        <v>19</v>
      </c>
      <c r="AH333" s="190">
        <v>2031</v>
      </c>
      <c r="AI333" s="190">
        <v>2609</v>
      </c>
      <c r="AJ333" s="195">
        <v>15</v>
      </c>
      <c r="AK333" s="194">
        <v>268</v>
      </c>
      <c r="AL333" s="190">
        <v>874</v>
      </c>
      <c r="AM333" s="190">
        <v>32</v>
      </c>
      <c r="AN333" s="190">
        <v>2402</v>
      </c>
      <c r="AO333" s="190">
        <v>3077</v>
      </c>
      <c r="AP333" s="195">
        <v>21</v>
      </c>
      <c r="AR333" s="77">
        <f t="shared" si="346"/>
        <v>2354.1762118927873</v>
      </c>
      <c r="AS333" s="98">
        <f t="shared" si="331"/>
        <v>0.80594872026456255</v>
      </c>
      <c r="AT333" s="98">
        <f t="shared" si="347"/>
        <v>0.86114386792452835</v>
      </c>
      <c r="AU333" s="199">
        <f t="shared" si="348"/>
        <v>0.86585365853658536</v>
      </c>
      <c r="AV333" s="189">
        <f t="shared" si="332"/>
        <v>0.75206611570247939</v>
      </c>
      <c r="AW333" s="189">
        <f t="shared" si="333"/>
        <v>0.48648648648648651</v>
      </c>
      <c r="AX333" s="189">
        <f t="shared" si="334"/>
        <v>0.91768292682926833</v>
      </c>
      <c r="AY333" s="189">
        <f t="shared" si="335"/>
        <v>0.84917733089579528</v>
      </c>
      <c r="AZ333" s="200">
        <f t="shared" si="336"/>
        <v>0.55639097744360899</v>
      </c>
      <c r="BA333" s="204">
        <f t="shared" si="349"/>
        <v>7.2523584905660382E-2</v>
      </c>
      <c r="BB333" s="185">
        <f t="shared" si="337"/>
        <v>7.1344339622641514E-2</v>
      </c>
      <c r="BC333" s="185">
        <f t="shared" si="338"/>
        <v>1.0908018867924528E-2</v>
      </c>
      <c r="BD333" s="185">
        <f t="shared" si="339"/>
        <v>0.48349056603773582</v>
      </c>
      <c r="BE333" s="185">
        <f t="shared" si="340"/>
        <v>0.32252358490566035</v>
      </c>
      <c r="BF333" s="205">
        <f t="shared" si="341"/>
        <v>3.920990566037736E-2</v>
      </c>
      <c r="BG333" s="194">
        <v>213</v>
      </c>
      <c r="BH333" s="190">
        <v>182</v>
      </c>
      <c r="BI333" s="190">
        <v>18</v>
      </c>
      <c r="BJ333" s="190">
        <v>1505</v>
      </c>
      <c r="BK333" s="190">
        <v>929</v>
      </c>
      <c r="BL333" s="195">
        <v>74</v>
      </c>
      <c r="BM333" s="194">
        <v>246</v>
      </c>
      <c r="BN333" s="190">
        <v>242</v>
      </c>
      <c r="BO333" s="190">
        <v>37</v>
      </c>
      <c r="BP333" s="190">
        <v>1640</v>
      </c>
      <c r="BQ333" s="190">
        <v>1094</v>
      </c>
      <c r="BR333" s="195">
        <v>133</v>
      </c>
      <c r="BS333" s="228"/>
    </row>
    <row r="334" spans="1:71" outlineLevel="1" x14ac:dyDescent="0.2">
      <c r="A334" s="20">
        <f t="shared" si="319"/>
        <v>10298</v>
      </c>
      <c r="B334" s="19" t="str">
        <f t="shared" si="319"/>
        <v>TAMUG</v>
      </c>
      <c r="C334" s="18"/>
      <c r="D334" s="15">
        <v>262</v>
      </c>
      <c r="E334" s="21">
        <v>0.59199999999999997</v>
      </c>
      <c r="F334" s="14">
        <v>1599.2</v>
      </c>
      <c r="G334" s="13">
        <v>636.84000000000231</v>
      </c>
      <c r="H334" s="15">
        <v>31</v>
      </c>
      <c r="I334" s="13">
        <v>0</v>
      </c>
      <c r="J334" s="214">
        <f t="shared" si="350"/>
        <v>119.11906611444117</v>
      </c>
      <c r="K334" s="16">
        <v>137</v>
      </c>
      <c r="L334" s="15">
        <v>570</v>
      </c>
      <c r="M334" s="14">
        <v>322</v>
      </c>
      <c r="N334" s="13">
        <v>241</v>
      </c>
      <c r="P334" s="77">
        <f t="shared" si="342"/>
        <v>119.11906611444117</v>
      </c>
      <c r="Q334" s="98">
        <f t="shared" si="320"/>
        <v>0.53657236988487012</v>
      </c>
      <c r="R334" s="98">
        <f t="shared" si="343"/>
        <v>0.59199999999999997</v>
      </c>
      <c r="S334" s="199">
        <f t="shared" si="344"/>
        <v>0.8571428571428571</v>
      </c>
      <c r="T334" s="189">
        <f t="shared" si="321"/>
        <v>0.46511627906976744</v>
      </c>
      <c r="U334" s="189">
        <f t="shared" si="322"/>
        <v>0</v>
      </c>
      <c r="V334" s="189">
        <f t="shared" si="323"/>
        <v>0.60493827160493829</v>
      </c>
      <c r="W334" s="189">
        <f t="shared" si="324"/>
        <v>0.60416666666666663</v>
      </c>
      <c r="X334" s="200">
        <f t="shared" si="325"/>
        <v>0.5</v>
      </c>
      <c r="Y334" s="204">
        <f t="shared" si="345"/>
        <v>1.8666666666666668E-2</v>
      </c>
      <c r="Z334" s="185">
        <f t="shared" si="326"/>
        <v>0.11466666666666667</v>
      </c>
      <c r="AA334" s="185">
        <f t="shared" si="327"/>
        <v>0</v>
      </c>
      <c r="AB334" s="185">
        <f t="shared" si="328"/>
        <v>0.216</v>
      </c>
      <c r="AC334" s="185">
        <f t="shared" si="329"/>
        <v>0.64</v>
      </c>
      <c r="AD334" s="205">
        <f t="shared" si="330"/>
        <v>1.0666666666666666E-2</v>
      </c>
      <c r="AE334" s="194">
        <v>6</v>
      </c>
      <c r="AF334" s="190">
        <v>20</v>
      </c>
      <c r="AG334" s="190">
        <v>0</v>
      </c>
      <c r="AH334" s="190">
        <v>49</v>
      </c>
      <c r="AI334" s="190">
        <v>145</v>
      </c>
      <c r="AJ334" s="195">
        <v>2</v>
      </c>
      <c r="AK334" s="194">
        <v>7</v>
      </c>
      <c r="AL334" s="190">
        <v>43</v>
      </c>
      <c r="AM334" s="190">
        <v>0</v>
      </c>
      <c r="AN334" s="190">
        <v>81</v>
      </c>
      <c r="AO334" s="190">
        <v>240</v>
      </c>
      <c r="AP334" s="195">
        <v>4</v>
      </c>
      <c r="AR334" s="77">
        <f t="shared" si="346"/>
        <v>51.712398695854695</v>
      </c>
      <c r="AS334" s="98">
        <f t="shared" si="331"/>
        <v>0.74945505356311148</v>
      </c>
      <c r="AT334" s="98">
        <f t="shared" si="347"/>
        <v>0.76666666666666672</v>
      </c>
      <c r="AU334" s="199">
        <f t="shared" si="348"/>
        <v>0.33333333333333331</v>
      </c>
      <c r="AV334" s="189">
        <f t="shared" si="332"/>
        <v>0.625</v>
      </c>
      <c r="AW334" s="189">
        <f t="shared" si="333"/>
        <v>0</v>
      </c>
      <c r="AX334" s="189">
        <f t="shared" si="334"/>
        <v>0.8928571428571429</v>
      </c>
      <c r="AY334" s="189">
        <f t="shared" si="335"/>
        <v>0.91666666666666663</v>
      </c>
      <c r="AZ334" s="200">
        <f t="shared" si="336"/>
        <v>0.33333333333333331</v>
      </c>
      <c r="BA334" s="204">
        <f t="shared" si="349"/>
        <v>6.6666666666666666E-2</v>
      </c>
      <c r="BB334" s="185">
        <f t="shared" si="337"/>
        <v>8.8888888888888892E-2</v>
      </c>
      <c r="BC334" s="185">
        <f t="shared" si="338"/>
        <v>0</v>
      </c>
      <c r="BD334" s="185">
        <f t="shared" si="339"/>
        <v>0.31111111111111112</v>
      </c>
      <c r="BE334" s="185">
        <f t="shared" si="340"/>
        <v>0.4</v>
      </c>
      <c r="BF334" s="205">
        <f t="shared" si="341"/>
        <v>0.13333333333333333</v>
      </c>
      <c r="BG334" s="194">
        <v>2</v>
      </c>
      <c r="BH334" s="190">
        <v>5</v>
      </c>
      <c r="BI334" s="190">
        <v>0</v>
      </c>
      <c r="BJ334" s="190">
        <v>25</v>
      </c>
      <c r="BK334" s="190">
        <v>33</v>
      </c>
      <c r="BL334" s="195">
        <v>4</v>
      </c>
      <c r="BM334" s="194">
        <v>6</v>
      </c>
      <c r="BN334" s="190">
        <v>8</v>
      </c>
      <c r="BO334" s="190">
        <v>0</v>
      </c>
      <c r="BP334" s="190">
        <v>28</v>
      </c>
      <c r="BQ334" s="190">
        <v>36</v>
      </c>
      <c r="BR334" s="195">
        <v>12</v>
      </c>
    </row>
    <row r="335" spans="1:71" outlineLevel="1" x14ac:dyDescent="0.2">
      <c r="A335" s="20">
        <f t="shared" si="319"/>
        <v>3630</v>
      </c>
      <c r="B335" s="19" t="str">
        <f t="shared" si="319"/>
        <v>Prairie View</v>
      </c>
      <c r="C335" s="18"/>
      <c r="D335" s="15">
        <v>879</v>
      </c>
      <c r="E335" s="21">
        <v>0.34200000000000003</v>
      </c>
      <c r="F335" s="14">
        <v>5840.8</v>
      </c>
      <c r="G335" s="13">
        <v>1995.4900000000189</v>
      </c>
      <c r="H335" s="15">
        <v>295</v>
      </c>
      <c r="I335" s="13">
        <v>8</v>
      </c>
      <c r="J335" s="214">
        <f t="shared" si="350"/>
        <v>236.48171005750726</v>
      </c>
      <c r="K335" s="16">
        <v>756</v>
      </c>
      <c r="L335" s="15">
        <v>1643</v>
      </c>
      <c r="M335" s="14">
        <v>1174</v>
      </c>
      <c r="N335" s="13">
        <v>940</v>
      </c>
      <c r="P335" s="77">
        <f t="shared" si="342"/>
        <v>236.48171005750726</v>
      </c>
      <c r="Q335" s="98">
        <f t="shared" si="320"/>
        <v>0.46920974217759376</v>
      </c>
      <c r="R335" s="98">
        <f t="shared" si="343"/>
        <v>0.34169491525423729</v>
      </c>
      <c r="S335" s="199">
        <f t="shared" si="344"/>
        <v>0.6</v>
      </c>
      <c r="T335" s="189">
        <f t="shared" si="321"/>
        <v>0.40056022408963587</v>
      </c>
      <c r="U335" s="189">
        <f t="shared" si="322"/>
        <v>0.22222222222222221</v>
      </c>
      <c r="V335" s="189">
        <f t="shared" si="323"/>
        <v>0.66666666666666663</v>
      </c>
      <c r="W335" s="189">
        <f t="shared" si="324"/>
        <v>0.46178343949044587</v>
      </c>
      <c r="X335" s="200">
        <f t="shared" si="325"/>
        <v>0.35269709543568467</v>
      </c>
      <c r="Y335" s="204">
        <f t="shared" si="345"/>
        <v>3.3898305084745762E-3</v>
      </c>
      <c r="Z335" s="185">
        <f t="shared" si="326"/>
        <v>0.24203389830508473</v>
      </c>
      <c r="AA335" s="185">
        <f t="shared" si="327"/>
        <v>0.37220338983050849</v>
      </c>
      <c r="AB335" s="185">
        <f t="shared" si="328"/>
        <v>6.1016949152542374E-3</v>
      </c>
      <c r="AC335" s="185">
        <f t="shared" si="329"/>
        <v>0.21288135593220339</v>
      </c>
      <c r="AD335" s="205">
        <f t="shared" si="330"/>
        <v>0.16338983050847458</v>
      </c>
      <c r="AE335" s="194">
        <v>3</v>
      </c>
      <c r="AF335" s="190">
        <v>143</v>
      </c>
      <c r="AG335" s="190">
        <v>122</v>
      </c>
      <c r="AH335" s="190">
        <v>6</v>
      </c>
      <c r="AI335" s="190">
        <v>145</v>
      </c>
      <c r="AJ335" s="195">
        <v>85</v>
      </c>
      <c r="AK335" s="194">
        <v>5</v>
      </c>
      <c r="AL335" s="190">
        <v>357</v>
      </c>
      <c r="AM335" s="190">
        <v>549</v>
      </c>
      <c r="AN335" s="190">
        <v>9</v>
      </c>
      <c r="AO335" s="190">
        <v>314</v>
      </c>
      <c r="AP335" s="195">
        <v>241</v>
      </c>
      <c r="AR335" s="77">
        <f t="shared" si="346"/>
        <v>142.54450667702099</v>
      </c>
      <c r="AS335" s="98">
        <f t="shared" si="331"/>
        <v>0.57017802670808393</v>
      </c>
      <c r="AT335" s="98">
        <f t="shared" si="347"/>
        <v>0.589622641509434</v>
      </c>
      <c r="AU335" s="199">
        <f t="shared" si="348"/>
        <v>0.7191011235955056</v>
      </c>
      <c r="AV335" s="189">
        <f t="shared" si="332"/>
        <v>0.50943396226415094</v>
      </c>
      <c r="AW335" s="189">
        <f t="shared" si="333"/>
        <v>0.28125</v>
      </c>
      <c r="AX335" s="189">
        <f t="shared" si="334"/>
        <v>0.7640449438202247</v>
      </c>
      <c r="AY335" s="189">
        <f t="shared" si="335"/>
        <v>0.57831325301204817</v>
      </c>
      <c r="AZ335" s="200">
        <f t="shared" si="336"/>
        <v>0.28000000000000003</v>
      </c>
      <c r="BA335" s="204">
        <f t="shared" si="349"/>
        <v>0.2099056603773585</v>
      </c>
      <c r="BB335" s="185">
        <f t="shared" si="337"/>
        <v>0.25</v>
      </c>
      <c r="BC335" s="185">
        <f t="shared" si="338"/>
        <v>7.5471698113207544E-2</v>
      </c>
      <c r="BD335" s="185">
        <f t="shared" si="339"/>
        <v>0.2099056603773585</v>
      </c>
      <c r="BE335" s="185">
        <f t="shared" si="340"/>
        <v>0.19575471698113209</v>
      </c>
      <c r="BF335" s="205">
        <f t="shared" si="341"/>
        <v>5.8962264150943397E-2</v>
      </c>
      <c r="BG335" s="194">
        <v>64</v>
      </c>
      <c r="BH335" s="190">
        <v>54</v>
      </c>
      <c r="BI335" s="190">
        <v>9</v>
      </c>
      <c r="BJ335" s="190">
        <v>68</v>
      </c>
      <c r="BK335" s="190">
        <v>48</v>
      </c>
      <c r="BL335" s="195">
        <v>7</v>
      </c>
      <c r="BM335" s="194">
        <v>89</v>
      </c>
      <c r="BN335" s="190">
        <v>106</v>
      </c>
      <c r="BO335" s="190">
        <v>32</v>
      </c>
      <c r="BP335" s="190">
        <v>89</v>
      </c>
      <c r="BQ335" s="190">
        <v>83</v>
      </c>
      <c r="BR335" s="195">
        <v>25</v>
      </c>
    </row>
    <row r="336" spans="1:71" outlineLevel="1" x14ac:dyDescent="0.2">
      <c r="A336" s="20">
        <f t="shared" si="319"/>
        <v>3631</v>
      </c>
      <c r="B336" s="19" t="str">
        <f t="shared" si="319"/>
        <v>Tarleton</v>
      </c>
      <c r="C336" s="18"/>
      <c r="D336" s="15">
        <v>1422</v>
      </c>
      <c r="E336" s="21">
        <v>0.47499999999999998</v>
      </c>
      <c r="F336" s="14">
        <v>5845.5333333333338</v>
      </c>
      <c r="G336" s="13">
        <v>2966.430000000048</v>
      </c>
      <c r="H336" s="15">
        <v>183</v>
      </c>
      <c r="I336" s="13">
        <v>38</v>
      </c>
      <c r="J336" s="214">
        <f t="shared" si="350"/>
        <v>290.61483161618679</v>
      </c>
      <c r="K336" s="16">
        <v>1093</v>
      </c>
      <c r="L336" s="15">
        <v>2140</v>
      </c>
      <c r="M336" s="14">
        <v>1306</v>
      </c>
      <c r="N336" s="13">
        <v>903</v>
      </c>
      <c r="P336" s="77">
        <f t="shared" si="342"/>
        <v>290.61483161618679</v>
      </c>
      <c r="Q336" s="98">
        <f t="shared" si="320"/>
        <v>0.51345376610633708</v>
      </c>
      <c r="R336" s="98">
        <f t="shared" si="343"/>
        <v>0.47844463229078615</v>
      </c>
      <c r="S336" s="199">
        <f t="shared" si="344"/>
        <v>0.5</v>
      </c>
      <c r="T336" s="189">
        <f t="shared" si="321"/>
        <v>0.40441176470588236</v>
      </c>
      <c r="U336" s="189">
        <f t="shared" si="322"/>
        <v>0.22222222222222221</v>
      </c>
      <c r="V336" s="189">
        <f t="shared" si="323"/>
        <v>0.77083333333333337</v>
      </c>
      <c r="W336" s="189">
        <f t="shared" si="324"/>
        <v>0.51768033946251768</v>
      </c>
      <c r="X336" s="200">
        <f t="shared" si="325"/>
        <v>0.3888888888888889</v>
      </c>
      <c r="Y336" s="204">
        <f t="shared" si="345"/>
        <v>1.0143702451394759E-2</v>
      </c>
      <c r="Z336" s="185">
        <f t="shared" si="326"/>
        <v>0.22992392223161454</v>
      </c>
      <c r="AA336" s="185">
        <f t="shared" si="327"/>
        <v>4.5646661031276417E-2</v>
      </c>
      <c r="AB336" s="185">
        <f t="shared" si="328"/>
        <v>4.0574809805579037E-2</v>
      </c>
      <c r="AC336" s="185">
        <f t="shared" si="329"/>
        <v>0.59763313609467461</v>
      </c>
      <c r="AD336" s="205">
        <f t="shared" si="330"/>
        <v>7.6077768385460695E-2</v>
      </c>
      <c r="AE336" s="194">
        <v>6</v>
      </c>
      <c r="AF336" s="190">
        <v>110</v>
      </c>
      <c r="AG336" s="190">
        <v>12</v>
      </c>
      <c r="AH336" s="190">
        <v>37</v>
      </c>
      <c r="AI336" s="190">
        <v>366</v>
      </c>
      <c r="AJ336" s="195">
        <v>35</v>
      </c>
      <c r="AK336" s="194">
        <v>12</v>
      </c>
      <c r="AL336" s="190">
        <v>272</v>
      </c>
      <c r="AM336" s="190">
        <v>54</v>
      </c>
      <c r="AN336" s="190">
        <v>48</v>
      </c>
      <c r="AO336" s="190">
        <v>707</v>
      </c>
      <c r="AP336" s="195">
        <v>90</v>
      </c>
      <c r="AR336" s="77">
        <f t="shared" si="346"/>
        <v>260.09191892022494</v>
      </c>
      <c r="AS336" s="98">
        <f t="shared" si="331"/>
        <v>0.69357845045393318</v>
      </c>
      <c r="AT336" s="98">
        <f t="shared" si="347"/>
        <v>0.702247191011236</v>
      </c>
      <c r="AU336" s="199">
        <f t="shared" si="348"/>
        <v>0.77611940298507465</v>
      </c>
      <c r="AV336" s="189">
        <f t="shared" si="332"/>
        <v>0.65277777777777779</v>
      </c>
      <c r="AW336" s="189">
        <f t="shared" si="333"/>
        <v>0.4375</v>
      </c>
      <c r="AX336" s="189">
        <f t="shared" si="334"/>
        <v>0.84722222222222221</v>
      </c>
      <c r="AY336" s="189">
        <f t="shared" si="335"/>
        <v>0.70481927710843373</v>
      </c>
      <c r="AZ336" s="200">
        <f t="shared" si="336"/>
        <v>0.43396226415094341</v>
      </c>
      <c r="BA336" s="204">
        <f t="shared" si="349"/>
        <v>0.12546816479400749</v>
      </c>
      <c r="BB336" s="185">
        <f t="shared" si="337"/>
        <v>0.1348314606741573</v>
      </c>
      <c r="BC336" s="185">
        <f t="shared" si="338"/>
        <v>5.9925093632958802E-2</v>
      </c>
      <c r="BD336" s="185">
        <f t="shared" si="339"/>
        <v>0.2696629213483146</v>
      </c>
      <c r="BE336" s="185">
        <f t="shared" si="340"/>
        <v>0.31086142322097376</v>
      </c>
      <c r="BF336" s="205">
        <f t="shared" si="341"/>
        <v>9.9250936329588021E-2</v>
      </c>
      <c r="BG336" s="194">
        <v>52</v>
      </c>
      <c r="BH336" s="190">
        <v>47</v>
      </c>
      <c r="BI336" s="190">
        <v>14</v>
      </c>
      <c r="BJ336" s="190">
        <v>122</v>
      </c>
      <c r="BK336" s="190">
        <v>117</v>
      </c>
      <c r="BL336" s="195">
        <v>23</v>
      </c>
      <c r="BM336" s="194">
        <v>67</v>
      </c>
      <c r="BN336" s="190">
        <v>72</v>
      </c>
      <c r="BO336" s="190">
        <v>32</v>
      </c>
      <c r="BP336" s="190">
        <v>144</v>
      </c>
      <c r="BQ336" s="190">
        <v>166</v>
      </c>
      <c r="BR336" s="195">
        <v>53</v>
      </c>
      <c r="BS336" s="228"/>
    </row>
    <row r="337" spans="1:71" outlineLevel="1" x14ac:dyDescent="0.2">
      <c r="A337" s="27">
        <f t="shared" si="319"/>
        <v>103631</v>
      </c>
      <c r="B337" s="19" t="str">
        <f t="shared" si="319"/>
        <v>TAMUCT</v>
      </c>
      <c r="C337" s="18"/>
      <c r="D337" s="15">
        <v>450</v>
      </c>
      <c r="E337" s="21">
        <v>0.47499999999999998</v>
      </c>
      <c r="F337" s="14">
        <v>658.4666666666667</v>
      </c>
      <c r="G337" s="13">
        <v>831.96000000000549</v>
      </c>
      <c r="H337" s="15">
        <v>44</v>
      </c>
      <c r="I337" s="13"/>
      <c r="J337" s="214">
        <f t="shared" si="350"/>
        <v>0</v>
      </c>
      <c r="K337" s="16">
        <v>322</v>
      </c>
      <c r="L337" s="15">
        <v>380</v>
      </c>
      <c r="M337" s="14">
        <v>137</v>
      </c>
      <c r="N337" s="13">
        <v>31</v>
      </c>
      <c r="P337" s="77">
        <f t="shared" si="342"/>
        <v>0</v>
      </c>
      <c r="Q337" s="98">
        <f t="shared" si="320"/>
        <v>0</v>
      </c>
      <c r="R337" s="98">
        <f t="shared" si="343"/>
        <v>0</v>
      </c>
      <c r="S337" s="199">
        <f t="shared" si="344"/>
        <v>0</v>
      </c>
      <c r="T337" s="189">
        <f t="shared" si="321"/>
        <v>0</v>
      </c>
      <c r="U337" s="189">
        <f t="shared" si="322"/>
        <v>0</v>
      </c>
      <c r="V337" s="189">
        <f t="shared" si="323"/>
        <v>0</v>
      </c>
      <c r="W337" s="189">
        <f t="shared" si="324"/>
        <v>0</v>
      </c>
      <c r="X337" s="200">
        <f t="shared" si="325"/>
        <v>0</v>
      </c>
      <c r="Y337" s="204">
        <f t="shared" si="345"/>
        <v>0</v>
      </c>
      <c r="Z337" s="185">
        <f t="shared" si="326"/>
        <v>0</v>
      </c>
      <c r="AA337" s="185">
        <f t="shared" si="327"/>
        <v>0</v>
      </c>
      <c r="AB337" s="185">
        <f t="shared" si="328"/>
        <v>0</v>
      </c>
      <c r="AC337" s="185">
        <f t="shared" si="329"/>
        <v>0</v>
      </c>
      <c r="AD337" s="205">
        <f t="shared" si="330"/>
        <v>0</v>
      </c>
      <c r="AE337" s="194">
        <v>0</v>
      </c>
      <c r="AF337" s="190">
        <v>0</v>
      </c>
      <c r="AG337" s="190">
        <v>0</v>
      </c>
      <c r="AH337" s="190">
        <v>0</v>
      </c>
      <c r="AI337" s="190">
        <v>0</v>
      </c>
      <c r="AJ337" s="195">
        <v>0</v>
      </c>
      <c r="AK337" s="194">
        <v>0</v>
      </c>
      <c r="AL337" s="190">
        <v>0</v>
      </c>
      <c r="AM337" s="190">
        <v>0</v>
      </c>
      <c r="AN337" s="190">
        <v>0</v>
      </c>
      <c r="AO337" s="190">
        <v>0</v>
      </c>
      <c r="AP337" s="195">
        <v>0</v>
      </c>
      <c r="AR337" s="77">
        <f t="shared" si="346"/>
        <v>0</v>
      </c>
      <c r="AS337" s="98">
        <f t="shared" si="331"/>
        <v>0</v>
      </c>
      <c r="AT337" s="98">
        <f t="shared" si="347"/>
        <v>0</v>
      </c>
      <c r="AU337" s="199">
        <f t="shared" si="348"/>
        <v>0</v>
      </c>
      <c r="AV337" s="189">
        <f t="shared" si="332"/>
        <v>0</v>
      </c>
      <c r="AW337" s="189">
        <f t="shared" si="333"/>
        <v>0</v>
      </c>
      <c r="AX337" s="189">
        <f t="shared" si="334"/>
        <v>0</v>
      </c>
      <c r="AY337" s="189">
        <f t="shared" si="335"/>
        <v>0</v>
      </c>
      <c r="AZ337" s="200">
        <f t="shared" si="336"/>
        <v>0</v>
      </c>
      <c r="BA337" s="204">
        <f t="shared" si="349"/>
        <v>0</v>
      </c>
      <c r="BB337" s="185">
        <f t="shared" si="337"/>
        <v>0</v>
      </c>
      <c r="BC337" s="185">
        <f t="shared" si="338"/>
        <v>0</v>
      </c>
      <c r="BD337" s="185">
        <f t="shared" si="339"/>
        <v>0</v>
      </c>
      <c r="BE337" s="185">
        <f t="shared" si="340"/>
        <v>0</v>
      </c>
      <c r="BF337" s="205">
        <f t="shared" si="341"/>
        <v>0</v>
      </c>
      <c r="BG337" s="194"/>
      <c r="BH337" s="190"/>
      <c r="BI337" s="190"/>
      <c r="BJ337" s="190"/>
      <c r="BK337" s="190"/>
      <c r="BL337" s="195"/>
      <c r="BM337" s="194"/>
      <c r="BN337" s="190"/>
      <c r="BO337" s="190"/>
      <c r="BP337" s="190"/>
      <c r="BQ337" s="190"/>
      <c r="BR337" s="195"/>
    </row>
    <row r="338" spans="1:71" outlineLevel="1" x14ac:dyDescent="0.2">
      <c r="A338" s="20">
        <f t="shared" si="319"/>
        <v>11161</v>
      </c>
      <c r="B338" s="19" t="str">
        <f t="shared" si="319"/>
        <v>TAMUCC</v>
      </c>
      <c r="C338" s="18"/>
      <c r="D338" s="15">
        <v>1335</v>
      </c>
      <c r="E338" s="21">
        <v>0.503</v>
      </c>
      <c r="F338" s="14">
        <v>6131.9333333333334</v>
      </c>
      <c r="G338" s="13">
        <v>2744.5700000000347</v>
      </c>
      <c r="H338" s="15">
        <v>237</v>
      </c>
      <c r="I338" s="13">
        <v>29</v>
      </c>
      <c r="J338" s="214">
        <f t="shared" si="350"/>
        <v>300.29429302428122</v>
      </c>
      <c r="K338" s="16">
        <v>1024</v>
      </c>
      <c r="L338" s="15">
        <v>2079</v>
      </c>
      <c r="M338" s="14">
        <v>1357</v>
      </c>
      <c r="N338" s="13">
        <v>812</v>
      </c>
      <c r="P338" s="77">
        <f t="shared" si="342"/>
        <v>300.29429302428122</v>
      </c>
      <c r="Q338" s="98">
        <f t="shared" si="320"/>
        <v>0.51596957564309487</v>
      </c>
      <c r="R338" s="98">
        <f t="shared" si="343"/>
        <v>0.50259067357512954</v>
      </c>
      <c r="S338" s="199">
        <f t="shared" si="344"/>
        <v>0.26666666666666666</v>
      </c>
      <c r="T338" s="189">
        <f t="shared" si="321"/>
        <v>0.42693409742120342</v>
      </c>
      <c r="U338" s="189">
        <f t="shared" si="322"/>
        <v>0.39189189189189189</v>
      </c>
      <c r="V338" s="189">
        <f t="shared" si="323"/>
        <v>0.61403508771929827</v>
      </c>
      <c r="W338" s="189">
        <f t="shared" si="324"/>
        <v>0.56564019448946512</v>
      </c>
      <c r="X338" s="200">
        <f t="shared" si="325"/>
        <v>0.34782608695652173</v>
      </c>
      <c r="Y338" s="204">
        <f t="shared" si="345"/>
        <v>1.2953367875647668E-2</v>
      </c>
      <c r="Z338" s="185">
        <f t="shared" si="326"/>
        <v>0.30138169257340242</v>
      </c>
      <c r="AA338" s="185">
        <f t="shared" si="327"/>
        <v>6.3903281519861826E-2</v>
      </c>
      <c r="AB338" s="185">
        <f t="shared" si="328"/>
        <v>4.9222797927461141E-2</v>
      </c>
      <c r="AC338" s="185">
        <f t="shared" si="329"/>
        <v>0.5328151986183074</v>
      </c>
      <c r="AD338" s="205">
        <f t="shared" si="330"/>
        <v>3.9723661485319514E-2</v>
      </c>
      <c r="AE338" s="194">
        <v>4</v>
      </c>
      <c r="AF338" s="190">
        <v>149</v>
      </c>
      <c r="AG338" s="190">
        <v>29</v>
      </c>
      <c r="AH338" s="190">
        <v>35</v>
      </c>
      <c r="AI338" s="190">
        <v>349</v>
      </c>
      <c r="AJ338" s="195">
        <v>16</v>
      </c>
      <c r="AK338" s="194">
        <v>15</v>
      </c>
      <c r="AL338" s="190">
        <v>349</v>
      </c>
      <c r="AM338" s="190">
        <v>74</v>
      </c>
      <c r="AN338" s="190">
        <v>57</v>
      </c>
      <c r="AO338" s="190">
        <v>617</v>
      </c>
      <c r="AP338" s="195">
        <v>46</v>
      </c>
      <c r="AR338" s="77">
        <f t="shared" si="346"/>
        <v>251.31094096413094</v>
      </c>
      <c r="AS338" s="98">
        <f t="shared" si="331"/>
        <v>0.75924755578287295</v>
      </c>
      <c r="AT338" s="98">
        <f t="shared" si="347"/>
        <v>0.76443418013856812</v>
      </c>
      <c r="AU338" s="199">
        <f t="shared" si="348"/>
        <v>0.81538461538461537</v>
      </c>
      <c r="AV338" s="189">
        <f t="shared" si="332"/>
        <v>0.7068965517241379</v>
      </c>
      <c r="AW338" s="189">
        <f t="shared" si="333"/>
        <v>0.56521739130434778</v>
      </c>
      <c r="AX338" s="189">
        <f t="shared" si="334"/>
        <v>0.86046511627906974</v>
      </c>
      <c r="AY338" s="189">
        <f t="shared" si="335"/>
        <v>0.78301886792452835</v>
      </c>
      <c r="AZ338" s="200">
        <f t="shared" si="336"/>
        <v>0.57692307692307687</v>
      </c>
      <c r="BA338" s="204">
        <f t="shared" si="349"/>
        <v>0.15011547344110854</v>
      </c>
      <c r="BB338" s="185">
        <f t="shared" si="337"/>
        <v>0.13394919168591224</v>
      </c>
      <c r="BC338" s="185">
        <f t="shared" si="338"/>
        <v>5.3117782909930716E-2</v>
      </c>
      <c r="BD338" s="185">
        <f t="shared" si="339"/>
        <v>0.29792147806004621</v>
      </c>
      <c r="BE338" s="185">
        <f t="shared" si="340"/>
        <v>0.24480369515011546</v>
      </c>
      <c r="BF338" s="205">
        <f t="shared" si="341"/>
        <v>0.12009237875288684</v>
      </c>
      <c r="BG338" s="194">
        <v>53</v>
      </c>
      <c r="BH338" s="190">
        <v>41</v>
      </c>
      <c r="BI338" s="190">
        <v>13</v>
      </c>
      <c r="BJ338" s="190">
        <v>111</v>
      </c>
      <c r="BK338" s="190">
        <v>83</v>
      </c>
      <c r="BL338" s="195">
        <v>30</v>
      </c>
      <c r="BM338" s="194">
        <v>65</v>
      </c>
      <c r="BN338" s="190">
        <v>58</v>
      </c>
      <c r="BO338" s="190">
        <v>23</v>
      </c>
      <c r="BP338" s="190">
        <v>129</v>
      </c>
      <c r="BQ338" s="190">
        <v>106</v>
      </c>
      <c r="BR338" s="195">
        <v>52</v>
      </c>
    </row>
    <row r="339" spans="1:71" outlineLevel="1" x14ac:dyDescent="0.2">
      <c r="A339" s="20">
        <f t="shared" si="319"/>
        <v>3639</v>
      </c>
      <c r="B339" s="19" t="str">
        <f t="shared" si="319"/>
        <v>TAMUK</v>
      </c>
      <c r="C339" s="18"/>
      <c r="D339" s="15">
        <v>692</v>
      </c>
      <c r="E339" s="21">
        <v>0.41699999999999998</v>
      </c>
      <c r="F339" s="14">
        <v>3808.2666666666669</v>
      </c>
      <c r="G339" s="13">
        <v>1601.8800000000022</v>
      </c>
      <c r="H339" s="15">
        <v>236</v>
      </c>
      <c r="I339" s="13">
        <v>15</v>
      </c>
      <c r="J339" s="214">
        <f t="shared" si="350"/>
        <v>155.85414199577261</v>
      </c>
      <c r="K339" s="16">
        <v>590</v>
      </c>
      <c r="L339" s="15">
        <v>1159</v>
      </c>
      <c r="M339" s="14">
        <v>790</v>
      </c>
      <c r="N339" s="13">
        <v>550</v>
      </c>
      <c r="P339" s="77">
        <f t="shared" si="342"/>
        <v>155.85414199577261</v>
      </c>
      <c r="Q339" s="98">
        <f t="shared" si="320"/>
        <v>0.51267809867030467</v>
      </c>
      <c r="R339" s="98">
        <f t="shared" si="343"/>
        <v>0.43366619115549215</v>
      </c>
      <c r="S339" s="199">
        <f t="shared" si="344"/>
        <v>0.6</v>
      </c>
      <c r="T339" s="189">
        <f t="shared" si="321"/>
        <v>0.45247148288973382</v>
      </c>
      <c r="U339" s="189">
        <f t="shared" si="322"/>
        <v>0.21929824561403508</v>
      </c>
      <c r="V339" s="189">
        <f t="shared" si="323"/>
        <v>0.72222222222222221</v>
      </c>
      <c r="W339" s="189">
        <f t="shared" si="324"/>
        <v>0.51417004048582993</v>
      </c>
      <c r="X339" s="200">
        <f t="shared" si="325"/>
        <v>0.2857142857142857</v>
      </c>
      <c r="Y339" s="204">
        <f t="shared" si="345"/>
        <v>1.4265335235378032E-2</v>
      </c>
      <c r="Z339" s="185">
        <f t="shared" si="326"/>
        <v>0.37517831669044222</v>
      </c>
      <c r="AA339" s="185">
        <f t="shared" si="327"/>
        <v>0.16262482168330955</v>
      </c>
      <c r="AB339" s="185">
        <f t="shared" si="328"/>
        <v>2.5677603423680456E-2</v>
      </c>
      <c r="AC339" s="185">
        <f t="shared" si="329"/>
        <v>0.35235378031383735</v>
      </c>
      <c r="AD339" s="205">
        <f t="shared" si="330"/>
        <v>6.9900142653352357E-2</v>
      </c>
      <c r="AE339" s="194">
        <v>6</v>
      </c>
      <c r="AF339" s="190">
        <v>119</v>
      </c>
      <c r="AG339" s="190">
        <v>25</v>
      </c>
      <c r="AH339" s="190">
        <v>13</v>
      </c>
      <c r="AI339" s="190">
        <v>127</v>
      </c>
      <c r="AJ339" s="195">
        <v>14</v>
      </c>
      <c r="AK339" s="194">
        <v>10</v>
      </c>
      <c r="AL339" s="190">
        <v>263</v>
      </c>
      <c r="AM339" s="190">
        <v>114</v>
      </c>
      <c r="AN339" s="190">
        <v>18</v>
      </c>
      <c r="AO339" s="190">
        <v>247</v>
      </c>
      <c r="AP339" s="195">
        <v>49</v>
      </c>
      <c r="AR339" s="77">
        <f t="shared" si="346"/>
        <v>83.847691592587253</v>
      </c>
      <c r="AS339" s="98">
        <f t="shared" si="331"/>
        <v>0.64498224301990192</v>
      </c>
      <c r="AT339" s="98">
        <f t="shared" si="347"/>
        <v>0.67357512953367871</v>
      </c>
      <c r="AU339" s="199">
        <f t="shared" si="348"/>
        <v>0.76315789473684215</v>
      </c>
      <c r="AV339" s="189">
        <f t="shared" si="332"/>
        <v>0.67741935483870963</v>
      </c>
      <c r="AW339" s="189">
        <f t="shared" si="333"/>
        <v>0.55555555555555558</v>
      </c>
      <c r="AX339" s="189">
        <f t="shared" si="334"/>
        <v>0.76</v>
      </c>
      <c r="AY339" s="189">
        <f t="shared" si="335"/>
        <v>0.60416666666666663</v>
      </c>
      <c r="AZ339" s="200">
        <f t="shared" si="336"/>
        <v>0.47058823529411764</v>
      </c>
      <c r="BA339" s="204">
        <f t="shared" si="349"/>
        <v>0.19689119170984457</v>
      </c>
      <c r="BB339" s="185">
        <f t="shared" si="337"/>
        <v>0.16062176165803108</v>
      </c>
      <c r="BC339" s="185">
        <f t="shared" si="338"/>
        <v>4.6632124352331605E-2</v>
      </c>
      <c r="BD339" s="185">
        <f t="shared" si="339"/>
        <v>0.25906735751295334</v>
      </c>
      <c r="BE339" s="185">
        <f t="shared" si="340"/>
        <v>0.24870466321243523</v>
      </c>
      <c r="BF339" s="205">
        <f t="shared" si="341"/>
        <v>8.8082901554404139E-2</v>
      </c>
      <c r="BG339" s="194">
        <v>29</v>
      </c>
      <c r="BH339" s="190">
        <v>21</v>
      </c>
      <c r="BI339" s="190">
        <v>5</v>
      </c>
      <c r="BJ339" s="190">
        <v>38</v>
      </c>
      <c r="BK339" s="190">
        <v>29</v>
      </c>
      <c r="BL339" s="195">
        <v>8</v>
      </c>
      <c r="BM339" s="194">
        <v>38</v>
      </c>
      <c r="BN339" s="190">
        <v>31</v>
      </c>
      <c r="BO339" s="190">
        <v>9</v>
      </c>
      <c r="BP339" s="190">
        <v>50</v>
      </c>
      <c r="BQ339" s="190">
        <v>48</v>
      </c>
      <c r="BR339" s="195">
        <v>17</v>
      </c>
      <c r="BS339" s="228"/>
    </row>
    <row r="340" spans="1:71" outlineLevel="1" x14ac:dyDescent="0.2">
      <c r="A340" s="27">
        <f t="shared" ref="A340:B355" si="351">A298</f>
        <v>103639</v>
      </c>
      <c r="B340" s="19" t="str">
        <f t="shared" si="351"/>
        <v>TAMUSA</v>
      </c>
      <c r="C340" s="18"/>
      <c r="D340" s="15">
        <v>496</v>
      </c>
      <c r="E340" s="21">
        <v>0.41699999999999998</v>
      </c>
      <c r="F340" s="14">
        <v>1072.6666666666667</v>
      </c>
      <c r="G340" s="13">
        <v>844.50000000000807</v>
      </c>
      <c r="H340" s="15">
        <v>4</v>
      </c>
      <c r="I340" s="13"/>
      <c r="J340" s="214">
        <f t="shared" si="350"/>
        <v>0</v>
      </c>
      <c r="K340" s="16">
        <v>402</v>
      </c>
      <c r="L340" s="15">
        <v>307</v>
      </c>
      <c r="M340" s="14">
        <v>5</v>
      </c>
      <c r="N340" s="13">
        <v>5</v>
      </c>
      <c r="P340" s="77">
        <f t="shared" si="342"/>
        <v>0</v>
      </c>
      <c r="Q340" s="98">
        <f t="shared" si="320"/>
        <v>0</v>
      </c>
      <c r="R340" s="98">
        <f t="shared" si="343"/>
        <v>0</v>
      </c>
      <c r="S340" s="199">
        <f t="shared" si="344"/>
        <v>0</v>
      </c>
      <c r="T340" s="189">
        <f t="shared" si="321"/>
        <v>0</v>
      </c>
      <c r="U340" s="189">
        <f t="shared" si="322"/>
        <v>0</v>
      </c>
      <c r="V340" s="189">
        <f t="shared" si="323"/>
        <v>0</v>
      </c>
      <c r="W340" s="189">
        <f t="shared" si="324"/>
        <v>0</v>
      </c>
      <c r="X340" s="200">
        <f t="shared" si="325"/>
        <v>0</v>
      </c>
      <c r="Y340" s="204">
        <f t="shared" si="345"/>
        <v>0</v>
      </c>
      <c r="Z340" s="185">
        <f t="shared" si="326"/>
        <v>0</v>
      </c>
      <c r="AA340" s="185">
        <f t="shared" si="327"/>
        <v>0</v>
      </c>
      <c r="AB340" s="185">
        <f t="shared" si="328"/>
        <v>0</v>
      </c>
      <c r="AC340" s="185">
        <f t="shared" si="329"/>
        <v>0</v>
      </c>
      <c r="AD340" s="205">
        <f t="shared" si="330"/>
        <v>0</v>
      </c>
      <c r="AE340" s="194">
        <v>0</v>
      </c>
      <c r="AF340" s="190">
        <v>0</v>
      </c>
      <c r="AG340" s="190">
        <v>0</v>
      </c>
      <c r="AH340" s="190">
        <v>0</v>
      </c>
      <c r="AI340" s="190">
        <v>0</v>
      </c>
      <c r="AJ340" s="195">
        <v>0</v>
      </c>
      <c r="AK340" s="194">
        <v>0</v>
      </c>
      <c r="AL340" s="190">
        <v>0</v>
      </c>
      <c r="AM340" s="190">
        <v>0</v>
      </c>
      <c r="AN340" s="190">
        <v>0</v>
      </c>
      <c r="AO340" s="190">
        <v>0</v>
      </c>
      <c r="AP340" s="195">
        <v>0</v>
      </c>
      <c r="AR340" s="77">
        <f t="shared" si="346"/>
        <v>0</v>
      </c>
      <c r="AS340" s="98">
        <f t="shared" si="331"/>
        <v>0</v>
      </c>
      <c r="AT340" s="98">
        <f t="shared" si="347"/>
        <v>0</v>
      </c>
      <c r="AU340" s="199">
        <f t="shared" si="348"/>
        <v>0</v>
      </c>
      <c r="AV340" s="189">
        <f t="shared" si="332"/>
        <v>0</v>
      </c>
      <c r="AW340" s="189">
        <f t="shared" si="333"/>
        <v>0</v>
      </c>
      <c r="AX340" s="189">
        <f t="shared" si="334"/>
        <v>0</v>
      </c>
      <c r="AY340" s="189">
        <f t="shared" si="335"/>
        <v>0</v>
      </c>
      <c r="AZ340" s="200">
        <f t="shared" si="336"/>
        <v>0</v>
      </c>
      <c r="BA340" s="204">
        <f t="shared" si="349"/>
        <v>0</v>
      </c>
      <c r="BB340" s="185">
        <f t="shared" si="337"/>
        <v>0</v>
      </c>
      <c r="BC340" s="185">
        <f t="shared" si="338"/>
        <v>0</v>
      </c>
      <c r="BD340" s="185">
        <f t="shared" si="339"/>
        <v>0</v>
      </c>
      <c r="BE340" s="185">
        <f t="shared" si="340"/>
        <v>0</v>
      </c>
      <c r="BF340" s="205">
        <f t="shared" si="341"/>
        <v>0</v>
      </c>
      <c r="BG340" s="194"/>
      <c r="BH340" s="190"/>
      <c r="BI340" s="190"/>
      <c r="BJ340" s="190"/>
      <c r="BK340" s="190"/>
      <c r="BL340" s="195"/>
      <c r="BM340" s="194"/>
      <c r="BN340" s="190"/>
      <c r="BO340" s="190"/>
      <c r="BP340" s="190"/>
      <c r="BQ340" s="190"/>
      <c r="BR340" s="195"/>
    </row>
    <row r="341" spans="1:71" outlineLevel="1" x14ac:dyDescent="0.2">
      <c r="A341" s="20">
        <f t="shared" si="351"/>
        <v>9651</v>
      </c>
      <c r="B341" s="19" t="str">
        <f t="shared" si="351"/>
        <v>TAMI</v>
      </c>
      <c r="C341" s="18"/>
      <c r="D341" s="15">
        <v>798</v>
      </c>
      <c r="E341" s="21">
        <v>0.46</v>
      </c>
      <c r="F341" s="14">
        <v>3819.0666666666666</v>
      </c>
      <c r="G341" s="13">
        <v>1476.3000000000168</v>
      </c>
      <c r="H341" s="15">
        <v>85</v>
      </c>
      <c r="I341" s="13">
        <v>26</v>
      </c>
      <c r="J341" s="214">
        <f t="shared" si="350"/>
        <v>121.86000921184117</v>
      </c>
      <c r="K341" s="16">
        <v>713</v>
      </c>
      <c r="L341" s="15">
        <v>1413</v>
      </c>
      <c r="M341" s="14">
        <v>981</v>
      </c>
      <c r="N341" s="13">
        <v>447</v>
      </c>
      <c r="P341" s="77">
        <f t="shared" si="342"/>
        <v>121.86000921184117</v>
      </c>
      <c r="Q341" s="98">
        <f t="shared" si="320"/>
        <v>0.60626870254647347</v>
      </c>
      <c r="R341" s="98">
        <f t="shared" si="343"/>
        <v>0.48550724637681159</v>
      </c>
      <c r="S341" s="199">
        <f t="shared" si="344"/>
        <v>0.75</v>
      </c>
      <c r="T341" s="189">
        <f t="shared" si="321"/>
        <v>0.51648351648351654</v>
      </c>
      <c r="U341" s="189">
        <f t="shared" si="322"/>
        <v>0.4044943820224719</v>
      </c>
      <c r="V341" s="189">
        <f t="shared" si="323"/>
        <v>1</v>
      </c>
      <c r="W341" s="189">
        <f t="shared" si="324"/>
        <v>0.53846153846153844</v>
      </c>
      <c r="X341" s="200">
        <f t="shared" si="325"/>
        <v>0.3235294117647059</v>
      </c>
      <c r="Y341" s="204">
        <f t="shared" si="345"/>
        <v>9.6618357487922701E-3</v>
      </c>
      <c r="Z341" s="185">
        <f t="shared" si="326"/>
        <v>0.43961352657004832</v>
      </c>
      <c r="AA341" s="185">
        <f t="shared" si="327"/>
        <v>0.21497584541062803</v>
      </c>
      <c r="AB341" s="185">
        <f t="shared" si="328"/>
        <v>2.4154589371980675E-3</v>
      </c>
      <c r="AC341" s="185">
        <f t="shared" si="329"/>
        <v>0.25120772946859904</v>
      </c>
      <c r="AD341" s="205">
        <f t="shared" si="330"/>
        <v>8.2125603864734303E-2</v>
      </c>
      <c r="AE341" s="194">
        <v>3</v>
      </c>
      <c r="AF341" s="190">
        <v>94</v>
      </c>
      <c r="AG341" s="190">
        <v>36</v>
      </c>
      <c r="AH341" s="190">
        <v>1</v>
      </c>
      <c r="AI341" s="190">
        <v>56</v>
      </c>
      <c r="AJ341" s="195">
        <v>11</v>
      </c>
      <c r="AK341" s="194">
        <v>4</v>
      </c>
      <c r="AL341" s="190">
        <v>182</v>
      </c>
      <c r="AM341" s="190">
        <v>89</v>
      </c>
      <c r="AN341" s="190">
        <v>1</v>
      </c>
      <c r="AO341" s="190">
        <v>104</v>
      </c>
      <c r="AP341" s="195">
        <v>34</v>
      </c>
      <c r="AR341" s="77">
        <f t="shared" si="346"/>
        <v>113.31898113591035</v>
      </c>
      <c r="AS341" s="98">
        <f t="shared" si="331"/>
        <v>0.67052651559710263</v>
      </c>
      <c r="AT341" s="98">
        <f t="shared" si="347"/>
        <v>0.71610169491525422</v>
      </c>
      <c r="AU341" s="199">
        <f t="shared" si="348"/>
        <v>0.81632653061224492</v>
      </c>
      <c r="AV341" s="189">
        <f t="shared" si="332"/>
        <v>0.7</v>
      </c>
      <c r="AW341" s="189">
        <f t="shared" si="333"/>
        <v>0.46153846153846156</v>
      </c>
      <c r="AX341" s="189">
        <f t="shared" si="334"/>
        <v>0.82352941176470584</v>
      </c>
      <c r="AY341" s="189">
        <f t="shared" si="335"/>
        <v>0.61764705882352944</v>
      </c>
      <c r="AZ341" s="200">
        <f t="shared" si="336"/>
        <v>0.6875</v>
      </c>
      <c r="BA341" s="204">
        <f t="shared" si="349"/>
        <v>0.2076271186440678</v>
      </c>
      <c r="BB341" s="185">
        <f t="shared" si="337"/>
        <v>0.38135593220338981</v>
      </c>
      <c r="BC341" s="185">
        <f t="shared" si="338"/>
        <v>5.5084745762711863E-2</v>
      </c>
      <c r="BD341" s="185">
        <f t="shared" si="339"/>
        <v>0.1440677966101695</v>
      </c>
      <c r="BE341" s="185">
        <f t="shared" si="340"/>
        <v>0.1440677966101695</v>
      </c>
      <c r="BF341" s="205">
        <f t="shared" si="341"/>
        <v>6.7796610169491525E-2</v>
      </c>
      <c r="BG341" s="194">
        <v>40</v>
      </c>
      <c r="BH341" s="190">
        <v>63</v>
      </c>
      <c r="BI341" s="190">
        <v>6</v>
      </c>
      <c r="BJ341" s="190">
        <v>28</v>
      </c>
      <c r="BK341" s="190">
        <v>21</v>
      </c>
      <c r="BL341" s="195">
        <v>11</v>
      </c>
      <c r="BM341" s="194">
        <v>49</v>
      </c>
      <c r="BN341" s="190">
        <v>90</v>
      </c>
      <c r="BO341" s="190">
        <v>13</v>
      </c>
      <c r="BP341" s="190">
        <v>34</v>
      </c>
      <c r="BQ341" s="190">
        <v>34</v>
      </c>
      <c r="BR341" s="195">
        <v>16</v>
      </c>
    </row>
    <row r="342" spans="1:71" outlineLevel="1" x14ac:dyDescent="0.2">
      <c r="A342" s="20">
        <f t="shared" si="351"/>
        <v>3665</v>
      </c>
      <c r="B342" s="19" t="str">
        <f t="shared" si="351"/>
        <v>WTAMU</v>
      </c>
      <c r="C342" s="18"/>
      <c r="D342" s="15">
        <v>1220</v>
      </c>
      <c r="E342" s="21">
        <v>0.45600000000000002</v>
      </c>
      <c r="F342" s="14">
        <v>5264.8</v>
      </c>
      <c r="G342" s="13">
        <v>2415.9700000000216</v>
      </c>
      <c r="H342" s="15">
        <v>216</v>
      </c>
      <c r="I342" s="13">
        <v>64</v>
      </c>
      <c r="J342" s="214">
        <f t="shared" si="350"/>
        <v>182.59491686458691</v>
      </c>
      <c r="K342" s="16">
        <v>853</v>
      </c>
      <c r="L342" s="15">
        <v>1873</v>
      </c>
      <c r="M342" s="14">
        <v>1161</v>
      </c>
      <c r="N342" s="13">
        <v>631</v>
      </c>
      <c r="P342" s="77">
        <f t="shared" si="342"/>
        <v>182.59491686458691</v>
      </c>
      <c r="Q342" s="98">
        <f t="shared" si="320"/>
        <v>0.49889321547701343</v>
      </c>
      <c r="R342" s="98">
        <f t="shared" si="343"/>
        <v>0.45750000000000002</v>
      </c>
      <c r="S342" s="199">
        <f t="shared" si="344"/>
        <v>0.6</v>
      </c>
      <c r="T342" s="189">
        <f t="shared" si="321"/>
        <v>0.38604651162790699</v>
      </c>
      <c r="U342" s="189">
        <f t="shared" si="322"/>
        <v>0.2857142857142857</v>
      </c>
      <c r="V342" s="189">
        <f t="shared" si="323"/>
        <v>0.73684210526315785</v>
      </c>
      <c r="W342" s="189">
        <f t="shared" si="324"/>
        <v>0.5113122171945701</v>
      </c>
      <c r="X342" s="200">
        <f t="shared" si="325"/>
        <v>0.14634146341463414</v>
      </c>
      <c r="Y342" s="204">
        <f t="shared" si="345"/>
        <v>1.8749999999999999E-2</v>
      </c>
      <c r="Z342" s="185">
        <f t="shared" si="326"/>
        <v>0.26874999999999999</v>
      </c>
      <c r="AA342" s="185">
        <f t="shared" si="327"/>
        <v>6.1249999999999999E-2</v>
      </c>
      <c r="AB342" s="185">
        <f t="shared" si="328"/>
        <v>4.7500000000000001E-2</v>
      </c>
      <c r="AC342" s="185">
        <f t="shared" si="329"/>
        <v>0.55249999999999999</v>
      </c>
      <c r="AD342" s="205">
        <f t="shared" si="330"/>
        <v>5.1249999999999997E-2</v>
      </c>
      <c r="AE342" s="194">
        <v>9</v>
      </c>
      <c r="AF342" s="190">
        <v>83</v>
      </c>
      <c r="AG342" s="190">
        <v>14</v>
      </c>
      <c r="AH342" s="190">
        <v>28</v>
      </c>
      <c r="AI342" s="190">
        <v>226</v>
      </c>
      <c r="AJ342" s="195">
        <v>6</v>
      </c>
      <c r="AK342" s="194">
        <v>15</v>
      </c>
      <c r="AL342" s="190">
        <v>215</v>
      </c>
      <c r="AM342" s="190">
        <v>49</v>
      </c>
      <c r="AN342" s="190">
        <v>38</v>
      </c>
      <c r="AO342" s="190">
        <v>442</v>
      </c>
      <c r="AP342" s="195">
        <v>41</v>
      </c>
      <c r="AR342" s="77">
        <f t="shared" si="346"/>
        <v>203.27665375677418</v>
      </c>
      <c r="AS342" s="98">
        <f t="shared" si="331"/>
        <v>0.70337942476392445</v>
      </c>
      <c r="AT342" s="98">
        <f t="shared" si="347"/>
        <v>0.71182266009852213</v>
      </c>
      <c r="AU342" s="199">
        <f t="shared" si="348"/>
        <v>0.84905660377358494</v>
      </c>
      <c r="AV342" s="189">
        <f t="shared" si="332"/>
        <v>0.73913043478260865</v>
      </c>
      <c r="AW342" s="189">
        <f t="shared" si="333"/>
        <v>0.4838709677419355</v>
      </c>
      <c r="AX342" s="189">
        <f t="shared" si="334"/>
        <v>0.89320388349514568</v>
      </c>
      <c r="AY342" s="189">
        <f t="shared" si="335"/>
        <v>0.65137614678899081</v>
      </c>
      <c r="AZ342" s="200">
        <f t="shared" si="336"/>
        <v>0.5</v>
      </c>
      <c r="BA342" s="204">
        <f t="shared" si="349"/>
        <v>0.13054187192118227</v>
      </c>
      <c r="BB342" s="185">
        <f t="shared" si="337"/>
        <v>0.11330049261083744</v>
      </c>
      <c r="BC342" s="185">
        <f t="shared" si="338"/>
        <v>7.6354679802955669E-2</v>
      </c>
      <c r="BD342" s="185">
        <f t="shared" si="339"/>
        <v>0.2536945812807882</v>
      </c>
      <c r="BE342" s="185">
        <f t="shared" si="340"/>
        <v>0.26847290640394089</v>
      </c>
      <c r="BF342" s="205">
        <f t="shared" si="341"/>
        <v>0.15763546798029557</v>
      </c>
      <c r="BG342" s="194">
        <v>45</v>
      </c>
      <c r="BH342" s="190">
        <v>34</v>
      </c>
      <c r="BI342" s="190">
        <v>15</v>
      </c>
      <c r="BJ342" s="190">
        <v>92</v>
      </c>
      <c r="BK342" s="190">
        <v>71</v>
      </c>
      <c r="BL342" s="195">
        <v>32</v>
      </c>
      <c r="BM342" s="194">
        <v>53</v>
      </c>
      <c r="BN342" s="190">
        <v>46</v>
      </c>
      <c r="BO342" s="190">
        <v>31</v>
      </c>
      <c r="BP342" s="190">
        <v>103</v>
      </c>
      <c r="BQ342" s="190">
        <v>109</v>
      </c>
      <c r="BR342" s="195">
        <v>64</v>
      </c>
      <c r="BS342" s="228"/>
    </row>
    <row r="343" spans="1:71" outlineLevel="1" x14ac:dyDescent="0.2">
      <c r="A343" s="20">
        <f t="shared" si="351"/>
        <v>3565</v>
      </c>
      <c r="B343" s="19" t="str">
        <f t="shared" si="351"/>
        <v>TAMUC</v>
      </c>
      <c r="C343" s="18"/>
      <c r="D343" s="15">
        <v>1153</v>
      </c>
      <c r="E343" s="21">
        <v>0.44800000000000001</v>
      </c>
      <c r="F343" s="14">
        <v>4172.1333333333332</v>
      </c>
      <c r="G343" s="13">
        <v>2179.8400000000324</v>
      </c>
      <c r="H343" s="15">
        <v>59</v>
      </c>
      <c r="I343" s="13">
        <v>65</v>
      </c>
      <c r="J343" s="214">
        <f t="shared" si="350"/>
        <v>107.2521218820971</v>
      </c>
      <c r="K343" s="16">
        <v>884</v>
      </c>
      <c r="L343" s="15">
        <v>1712</v>
      </c>
      <c r="M343" s="14">
        <v>1038</v>
      </c>
      <c r="N343" s="13">
        <v>423</v>
      </c>
      <c r="P343" s="77">
        <f t="shared" si="342"/>
        <v>107.2521218820971</v>
      </c>
      <c r="Q343" s="98">
        <f t="shared" si="320"/>
        <v>0.47667609725376486</v>
      </c>
      <c r="R343" s="98">
        <f t="shared" si="343"/>
        <v>0.44910179640718562</v>
      </c>
      <c r="S343" s="199">
        <f t="shared" si="344"/>
        <v>0.45454545454545453</v>
      </c>
      <c r="T343" s="189">
        <f t="shared" si="321"/>
        <v>0.42857142857142855</v>
      </c>
      <c r="U343" s="189">
        <f t="shared" si="322"/>
        <v>0.2857142857142857</v>
      </c>
      <c r="V343" s="189">
        <f t="shared" si="323"/>
        <v>0.65517241379310343</v>
      </c>
      <c r="W343" s="189">
        <f t="shared" si="324"/>
        <v>0.46747967479674796</v>
      </c>
      <c r="X343" s="200">
        <f t="shared" si="325"/>
        <v>0.36842105263157893</v>
      </c>
      <c r="Y343" s="204">
        <f t="shared" si="345"/>
        <v>2.1956087824351298E-2</v>
      </c>
      <c r="Z343" s="185">
        <f t="shared" si="326"/>
        <v>0.32135728542914171</v>
      </c>
      <c r="AA343" s="185">
        <f t="shared" si="327"/>
        <v>6.9860279441117765E-2</v>
      </c>
      <c r="AB343" s="185">
        <f t="shared" si="328"/>
        <v>5.7884231536926151E-2</v>
      </c>
      <c r="AC343" s="185">
        <f t="shared" si="329"/>
        <v>0.49101796407185627</v>
      </c>
      <c r="AD343" s="205">
        <f t="shared" si="330"/>
        <v>3.7924151696606789E-2</v>
      </c>
      <c r="AE343" s="194">
        <v>5</v>
      </c>
      <c r="AF343" s="190">
        <v>69</v>
      </c>
      <c r="AG343" s="190">
        <v>10</v>
      </c>
      <c r="AH343" s="190">
        <v>19</v>
      </c>
      <c r="AI343" s="190">
        <v>115</v>
      </c>
      <c r="AJ343" s="195">
        <v>7</v>
      </c>
      <c r="AK343" s="194">
        <v>11</v>
      </c>
      <c r="AL343" s="190">
        <v>161</v>
      </c>
      <c r="AM343" s="190">
        <v>35</v>
      </c>
      <c r="AN343" s="190">
        <v>29</v>
      </c>
      <c r="AO343" s="190">
        <v>246</v>
      </c>
      <c r="AP343" s="195">
        <v>19</v>
      </c>
      <c r="AR343" s="77">
        <f t="shared" si="346"/>
        <v>167.15581067045747</v>
      </c>
      <c r="AS343" s="98">
        <f t="shared" si="331"/>
        <v>0.68506479782974372</v>
      </c>
      <c r="AT343" s="98">
        <f t="shared" si="347"/>
        <v>0.70724637681159419</v>
      </c>
      <c r="AU343" s="199">
        <f t="shared" si="348"/>
        <v>0.81927710843373491</v>
      </c>
      <c r="AV343" s="189">
        <f t="shared" si="332"/>
        <v>0.72222222222222221</v>
      </c>
      <c r="AW343" s="189">
        <f t="shared" si="333"/>
        <v>0.44827586206896552</v>
      </c>
      <c r="AX343" s="189">
        <f t="shared" si="334"/>
        <v>0.78125</v>
      </c>
      <c r="AY343" s="189">
        <f t="shared" si="335"/>
        <v>0.67142857142857137</v>
      </c>
      <c r="AZ343" s="200">
        <f t="shared" si="336"/>
        <v>0.4838709677419355</v>
      </c>
      <c r="BA343" s="204">
        <f t="shared" si="349"/>
        <v>0.24057971014492754</v>
      </c>
      <c r="BB343" s="185">
        <f t="shared" si="337"/>
        <v>0.10434782608695652</v>
      </c>
      <c r="BC343" s="185">
        <f t="shared" si="338"/>
        <v>8.4057971014492749E-2</v>
      </c>
      <c r="BD343" s="185">
        <f t="shared" si="339"/>
        <v>0.27826086956521739</v>
      </c>
      <c r="BE343" s="185">
        <f t="shared" si="340"/>
        <v>0.20289855072463769</v>
      </c>
      <c r="BF343" s="205">
        <f t="shared" si="341"/>
        <v>8.9855072463768115E-2</v>
      </c>
      <c r="BG343" s="194">
        <v>68</v>
      </c>
      <c r="BH343" s="190">
        <v>26</v>
      </c>
      <c r="BI343" s="190">
        <v>13</v>
      </c>
      <c r="BJ343" s="190">
        <v>75</v>
      </c>
      <c r="BK343" s="190">
        <v>47</v>
      </c>
      <c r="BL343" s="195">
        <v>15</v>
      </c>
      <c r="BM343" s="194">
        <v>83</v>
      </c>
      <c r="BN343" s="190">
        <v>36</v>
      </c>
      <c r="BO343" s="190">
        <v>29</v>
      </c>
      <c r="BP343" s="190">
        <v>96</v>
      </c>
      <c r="BQ343" s="190">
        <v>70</v>
      </c>
      <c r="BR343" s="195">
        <v>31</v>
      </c>
    </row>
    <row r="344" spans="1:71" outlineLevel="1" x14ac:dyDescent="0.2">
      <c r="A344" s="20">
        <f t="shared" si="351"/>
        <v>29269</v>
      </c>
      <c r="B344" s="19" t="str">
        <f t="shared" si="351"/>
        <v>TAMUT</v>
      </c>
      <c r="C344" s="18"/>
      <c r="D344" s="15">
        <v>326</v>
      </c>
      <c r="E344" s="17">
        <v>0.57336956521739135</v>
      </c>
      <c r="F344" s="14">
        <v>694.6</v>
      </c>
      <c r="G344" s="13">
        <v>569.46</v>
      </c>
      <c r="H344" s="15">
        <v>30</v>
      </c>
      <c r="I344" s="13">
        <v>15</v>
      </c>
      <c r="J344" s="214">
        <f>AR344</f>
        <v>29.467736734620765</v>
      </c>
      <c r="K344" s="16">
        <v>210</v>
      </c>
      <c r="L344" s="15">
        <v>403</v>
      </c>
      <c r="M344" s="14">
        <v>138</v>
      </c>
      <c r="N344" s="13">
        <v>0</v>
      </c>
      <c r="P344" s="77">
        <f t="shared" si="342"/>
        <v>0</v>
      </c>
      <c r="Q344" s="98">
        <f t="shared" si="320"/>
        <v>0</v>
      </c>
      <c r="R344" s="98">
        <f t="shared" si="343"/>
        <v>0</v>
      </c>
      <c r="S344" s="199">
        <f t="shared" si="344"/>
        <v>0</v>
      </c>
      <c r="T344" s="189">
        <f t="shared" si="321"/>
        <v>0</v>
      </c>
      <c r="U344" s="189">
        <f t="shared" si="322"/>
        <v>0</v>
      </c>
      <c r="V344" s="189">
        <f t="shared" si="323"/>
        <v>0</v>
      </c>
      <c r="W344" s="189">
        <f t="shared" si="324"/>
        <v>0</v>
      </c>
      <c r="X344" s="200">
        <f t="shared" si="325"/>
        <v>0</v>
      </c>
      <c r="Y344" s="204">
        <f t="shared" si="345"/>
        <v>0</v>
      </c>
      <c r="Z344" s="185">
        <f t="shared" si="326"/>
        <v>0</v>
      </c>
      <c r="AA344" s="185">
        <f t="shared" si="327"/>
        <v>0</v>
      </c>
      <c r="AB344" s="185">
        <f t="shared" si="328"/>
        <v>0</v>
      </c>
      <c r="AC344" s="185">
        <f t="shared" si="329"/>
        <v>0</v>
      </c>
      <c r="AD344" s="205">
        <f t="shared" si="330"/>
        <v>0</v>
      </c>
      <c r="AE344" s="194">
        <v>0</v>
      </c>
      <c r="AF344" s="190">
        <v>0</v>
      </c>
      <c r="AG344" s="190">
        <v>0</v>
      </c>
      <c r="AH344" s="190">
        <v>0</v>
      </c>
      <c r="AI344" s="190">
        <v>0</v>
      </c>
      <c r="AJ344" s="195">
        <v>0</v>
      </c>
      <c r="AK344" s="194">
        <v>0</v>
      </c>
      <c r="AL344" s="190">
        <v>0</v>
      </c>
      <c r="AM344" s="190">
        <v>0</v>
      </c>
      <c r="AN344" s="190">
        <v>0</v>
      </c>
      <c r="AO344" s="190">
        <v>0</v>
      </c>
      <c r="AP344" s="195">
        <v>0</v>
      </c>
      <c r="AR344" s="77">
        <f t="shared" si="346"/>
        <v>29.467736734620765</v>
      </c>
      <c r="AS344" s="98">
        <f t="shared" si="331"/>
        <v>0.81854824262835457</v>
      </c>
      <c r="AT344" s="98">
        <f t="shared" si="347"/>
        <v>0.69230769230769229</v>
      </c>
      <c r="AU344" s="199">
        <f t="shared" si="348"/>
        <v>0.53846153846153844</v>
      </c>
      <c r="AV344" s="189">
        <f t="shared" si="332"/>
        <v>0.66666666666666663</v>
      </c>
      <c r="AW344" s="189">
        <f t="shared" si="333"/>
        <v>1</v>
      </c>
      <c r="AX344" s="189">
        <f t="shared" si="334"/>
        <v>0.9285714285714286</v>
      </c>
      <c r="AY344" s="189">
        <f t="shared" si="335"/>
        <v>0.875</v>
      </c>
      <c r="AZ344" s="200">
        <f t="shared" si="336"/>
        <v>0.33333333333333331</v>
      </c>
      <c r="BA344" s="204">
        <f t="shared" si="349"/>
        <v>0.25</v>
      </c>
      <c r="BB344" s="185">
        <f t="shared" si="337"/>
        <v>0.11538461538461539</v>
      </c>
      <c r="BC344" s="185">
        <f t="shared" si="338"/>
        <v>3.8461538461538464E-2</v>
      </c>
      <c r="BD344" s="185">
        <f t="shared" si="339"/>
        <v>0.26923076923076922</v>
      </c>
      <c r="BE344" s="185">
        <f t="shared" si="340"/>
        <v>0.15384615384615385</v>
      </c>
      <c r="BF344" s="205">
        <f t="shared" si="341"/>
        <v>0.17307692307692307</v>
      </c>
      <c r="BG344" s="194">
        <v>7</v>
      </c>
      <c r="BH344" s="190">
        <v>4</v>
      </c>
      <c r="BI344" s="190">
        <v>2</v>
      </c>
      <c r="BJ344" s="190">
        <v>13</v>
      </c>
      <c r="BK344" s="190">
        <v>7</v>
      </c>
      <c r="BL344" s="195">
        <v>3</v>
      </c>
      <c r="BM344" s="194">
        <v>13</v>
      </c>
      <c r="BN344" s="190">
        <v>6</v>
      </c>
      <c r="BO344" s="190">
        <v>2</v>
      </c>
      <c r="BP344" s="190">
        <v>14</v>
      </c>
      <c r="BQ344" s="190">
        <v>8</v>
      </c>
      <c r="BR344" s="195">
        <v>9</v>
      </c>
    </row>
    <row r="345" spans="1:71" outlineLevel="1" x14ac:dyDescent="0.2">
      <c r="A345" s="20">
        <f t="shared" si="351"/>
        <v>3652</v>
      </c>
      <c r="B345" s="19" t="str">
        <f t="shared" si="351"/>
        <v>UH</v>
      </c>
      <c r="C345" s="18"/>
      <c r="D345" s="15">
        <v>4778</v>
      </c>
      <c r="E345" s="21">
        <v>0.53100000000000003</v>
      </c>
      <c r="F345" s="14">
        <v>22778.733333333334</v>
      </c>
      <c r="G345" s="13">
        <v>9792.4499999989821</v>
      </c>
      <c r="H345" s="15">
        <v>656</v>
      </c>
      <c r="I345" s="13">
        <v>54</v>
      </c>
      <c r="J345" s="214">
        <f>P345</f>
        <v>789.6989398180441</v>
      </c>
      <c r="K345" s="16">
        <v>3091</v>
      </c>
      <c r="L345" s="15">
        <v>7517</v>
      </c>
      <c r="M345" s="14">
        <v>5600</v>
      </c>
      <c r="N345" s="13">
        <v>3376</v>
      </c>
      <c r="P345" s="77">
        <f t="shared" si="342"/>
        <v>789.6989398180441</v>
      </c>
      <c r="Q345" s="98">
        <f t="shared" si="320"/>
        <v>0.50915470007610841</v>
      </c>
      <c r="R345" s="98">
        <f t="shared" si="343"/>
        <v>0.51323626737260097</v>
      </c>
      <c r="S345" s="199">
        <f t="shared" si="344"/>
        <v>0.61</v>
      </c>
      <c r="T345" s="189">
        <f t="shared" si="321"/>
        <v>0.48329621380846327</v>
      </c>
      <c r="U345" s="189">
        <f t="shared" si="322"/>
        <v>0.38461538461538464</v>
      </c>
      <c r="V345" s="189">
        <f t="shared" si="323"/>
        <v>0.61956521739130432</v>
      </c>
      <c r="W345" s="189">
        <f t="shared" si="324"/>
        <v>0.49732262382864795</v>
      </c>
      <c r="X345" s="200">
        <f t="shared" si="325"/>
        <v>0.41935483870967744</v>
      </c>
      <c r="Y345" s="204">
        <f t="shared" si="345"/>
        <v>3.3090668431502317E-2</v>
      </c>
      <c r="Z345" s="185">
        <f t="shared" si="326"/>
        <v>0.29715420251489078</v>
      </c>
      <c r="AA345" s="185">
        <f t="shared" si="327"/>
        <v>1.2905360688285903E-2</v>
      </c>
      <c r="AB345" s="185">
        <f t="shared" si="328"/>
        <v>0.15221707478491064</v>
      </c>
      <c r="AC345" s="185">
        <f t="shared" si="329"/>
        <v>0.49437458636664461</v>
      </c>
      <c r="AD345" s="205">
        <f t="shared" si="330"/>
        <v>1.0258107213765718E-2</v>
      </c>
      <c r="AE345" s="194">
        <v>61</v>
      </c>
      <c r="AF345" s="190">
        <v>434</v>
      </c>
      <c r="AG345" s="190">
        <v>15</v>
      </c>
      <c r="AH345" s="190">
        <v>285</v>
      </c>
      <c r="AI345" s="190">
        <v>743</v>
      </c>
      <c r="AJ345" s="195">
        <v>13</v>
      </c>
      <c r="AK345" s="194">
        <v>100</v>
      </c>
      <c r="AL345" s="190">
        <v>898</v>
      </c>
      <c r="AM345" s="190">
        <v>39</v>
      </c>
      <c r="AN345" s="190">
        <v>460</v>
      </c>
      <c r="AO345" s="190">
        <v>1494</v>
      </c>
      <c r="AP345" s="195">
        <v>31</v>
      </c>
      <c r="AR345" s="77">
        <f t="shared" si="346"/>
        <v>692.14286752790611</v>
      </c>
      <c r="AS345" s="98">
        <f t="shared" si="331"/>
        <v>0.61035526237028759</v>
      </c>
      <c r="AT345" s="98">
        <f t="shared" si="347"/>
        <v>0.63140311804008908</v>
      </c>
      <c r="AU345" s="199">
        <f t="shared" si="348"/>
        <v>0.67727272727272725</v>
      </c>
      <c r="AV345" s="189">
        <f t="shared" si="332"/>
        <v>0.54166666666666663</v>
      </c>
      <c r="AW345" s="189">
        <f t="shared" si="333"/>
        <v>0.47368421052631576</v>
      </c>
      <c r="AX345" s="189">
        <f t="shared" si="334"/>
        <v>0.74426807760141089</v>
      </c>
      <c r="AY345" s="189">
        <f t="shared" si="335"/>
        <v>0.61538461538461542</v>
      </c>
      <c r="AZ345" s="200">
        <f t="shared" si="336"/>
        <v>0.49466192170818507</v>
      </c>
      <c r="BA345" s="204">
        <f t="shared" si="349"/>
        <v>0.12249443207126949</v>
      </c>
      <c r="BB345" s="185">
        <f t="shared" si="337"/>
        <v>0.12026726057906459</v>
      </c>
      <c r="BC345" s="185">
        <f t="shared" si="338"/>
        <v>3.173719376391982E-2</v>
      </c>
      <c r="BD345" s="185">
        <f t="shared" si="339"/>
        <v>0.31570155902004454</v>
      </c>
      <c r="BE345" s="185">
        <f t="shared" si="340"/>
        <v>0.25334075723830735</v>
      </c>
      <c r="BF345" s="205">
        <f t="shared" si="341"/>
        <v>0.15645879732739421</v>
      </c>
      <c r="BG345" s="194">
        <v>149</v>
      </c>
      <c r="BH345" s="190">
        <v>117</v>
      </c>
      <c r="BI345" s="190">
        <v>27</v>
      </c>
      <c r="BJ345" s="190">
        <v>422</v>
      </c>
      <c r="BK345" s="190">
        <v>280</v>
      </c>
      <c r="BL345" s="195">
        <v>139</v>
      </c>
      <c r="BM345" s="194">
        <v>220</v>
      </c>
      <c r="BN345" s="190">
        <v>216</v>
      </c>
      <c r="BO345" s="190">
        <v>57</v>
      </c>
      <c r="BP345" s="190">
        <v>567</v>
      </c>
      <c r="BQ345" s="190">
        <v>455</v>
      </c>
      <c r="BR345" s="195">
        <v>281</v>
      </c>
      <c r="BS345" s="228"/>
    </row>
    <row r="346" spans="1:71" outlineLevel="1" x14ac:dyDescent="0.2">
      <c r="A346" s="20">
        <f t="shared" si="351"/>
        <v>11711</v>
      </c>
      <c r="B346" s="19" t="str">
        <f t="shared" si="351"/>
        <v>UHCL</v>
      </c>
      <c r="C346" s="18"/>
      <c r="D346" s="15">
        <v>1124</v>
      </c>
      <c r="E346" s="17">
        <v>0.50557620817843862</v>
      </c>
      <c r="F346" s="14">
        <v>2872.8666666666668</v>
      </c>
      <c r="G346" s="13">
        <v>2131.2100000000323</v>
      </c>
      <c r="H346" s="15">
        <v>88</v>
      </c>
      <c r="I346" s="13">
        <v>8</v>
      </c>
      <c r="J346" s="214">
        <f>AR346</f>
        <v>101.54029854953002</v>
      </c>
      <c r="K346" s="16">
        <v>707</v>
      </c>
      <c r="L346" s="15">
        <v>1349</v>
      </c>
      <c r="M346" s="14">
        <v>888</v>
      </c>
      <c r="N346" s="13">
        <v>81</v>
      </c>
      <c r="P346" s="77">
        <f t="shared" si="342"/>
        <v>0</v>
      </c>
      <c r="Q346" s="98">
        <f t="shared" si="320"/>
        <v>0</v>
      </c>
      <c r="R346" s="98">
        <f t="shared" si="343"/>
        <v>0</v>
      </c>
      <c r="S346" s="199">
        <f t="shared" si="344"/>
        <v>0</v>
      </c>
      <c r="T346" s="189">
        <f t="shared" si="321"/>
        <v>0</v>
      </c>
      <c r="U346" s="189">
        <f t="shared" si="322"/>
        <v>0</v>
      </c>
      <c r="V346" s="189">
        <f t="shared" si="323"/>
        <v>0</v>
      </c>
      <c r="W346" s="189">
        <f t="shared" si="324"/>
        <v>0</v>
      </c>
      <c r="X346" s="200">
        <f t="shared" si="325"/>
        <v>0</v>
      </c>
      <c r="Y346" s="204">
        <f t="shared" si="345"/>
        <v>0</v>
      </c>
      <c r="Z346" s="185">
        <f t="shared" si="326"/>
        <v>0</v>
      </c>
      <c r="AA346" s="185">
        <f t="shared" si="327"/>
        <v>0</v>
      </c>
      <c r="AB346" s="185">
        <f t="shared" si="328"/>
        <v>0</v>
      </c>
      <c r="AC346" s="185">
        <f t="shared" si="329"/>
        <v>0</v>
      </c>
      <c r="AD346" s="205">
        <f t="shared" si="330"/>
        <v>0</v>
      </c>
      <c r="AE346" s="194">
        <v>0</v>
      </c>
      <c r="AF346" s="190">
        <v>0</v>
      </c>
      <c r="AG346" s="190">
        <v>0</v>
      </c>
      <c r="AH346" s="190">
        <v>0</v>
      </c>
      <c r="AI346" s="190">
        <v>0</v>
      </c>
      <c r="AJ346" s="195">
        <v>0</v>
      </c>
      <c r="AK346" s="194">
        <v>0</v>
      </c>
      <c r="AL346" s="190">
        <v>0</v>
      </c>
      <c r="AM346" s="190">
        <v>0</v>
      </c>
      <c r="AN346" s="190">
        <v>0</v>
      </c>
      <c r="AO346" s="190">
        <v>0</v>
      </c>
      <c r="AP346" s="195">
        <v>0</v>
      </c>
      <c r="AR346" s="77">
        <f t="shared" si="346"/>
        <v>101.54029854953002</v>
      </c>
      <c r="AS346" s="98">
        <f t="shared" si="331"/>
        <v>0.61539574878503045</v>
      </c>
      <c r="AT346" s="98">
        <f t="shared" si="347"/>
        <v>0.625</v>
      </c>
      <c r="AU346" s="199">
        <f t="shared" si="348"/>
        <v>0.57446808510638303</v>
      </c>
      <c r="AV346" s="189">
        <f t="shared" si="332"/>
        <v>0.62068965517241381</v>
      </c>
      <c r="AW346" s="189">
        <f t="shared" si="333"/>
        <v>0.2857142857142857</v>
      </c>
      <c r="AX346" s="189">
        <f t="shared" si="334"/>
        <v>0.7640449438202247</v>
      </c>
      <c r="AY346" s="189">
        <f t="shared" si="335"/>
        <v>0.62068965517241381</v>
      </c>
      <c r="AZ346" s="200">
        <f t="shared" si="336"/>
        <v>0.41176470588235292</v>
      </c>
      <c r="BA346" s="204">
        <f t="shared" si="349"/>
        <v>0.17803030303030304</v>
      </c>
      <c r="BB346" s="185">
        <f t="shared" si="337"/>
        <v>0.10984848484848485</v>
      </c>
      <c r="BC346" s="185">
        <f t="shared" si="338"/>
        <v>2.6515151515151516E-2</v>
      </c>
      <c r="BD346" s="185">
        <f t="shared" si="339"/>
        <v>0.3371212121212121</v>
      </c>
      <c r="BE346" s="185">
        <f t="shared" si="340"/>
        <v>0.2196969696969697</v>
      </c>
      <c r="BF346" s="205">
        <f t="shared" si="341"/>
        <v>0.12878787878787878</v>
      </c>
      <c r="BG346" s="194">
        <v>27</v>
      </c>
      <c r="BH346" s="190">
        <v>18</v>
      </c>
      <c r="BI346" s="190">
        <v>2</v>
      </c>
      <c r="BJ346" s="190">
        <v>68</v>
      </c>
      <c r="BK346" s="190">
        <v>36</v>
      </c>
      <c r="BL346" s="195">
        <v>14</v>
      </c>
      <c r="BM346" s="194">
        <v>47</v>
      </c>
      <c r="BN346" s="190">
        <v>29</v>
      </c>
      <c r="BO346" s="190">
        <v>7</v>
      </c>
      <c r="BP346" s="190">
        <v>89</v>
      </c>
      <c r="BQ346" s="190">
        <v>58</v>
      </c>
      <c r="BR346" s="195">
        <v>34</v>
      </c>
    </row>
    <row r="347" spans="1:71" outlineLevel="1" x14ac:dyDescent="0.2">
      <c r="A347" s="20">
        <f t="shared" si="351"/>
        <v>12826</v>
      </c>
      <c r="B347" s="19" t="str">
        <f t="shared" si="351"/>
        <v>UHD</v>
      </c>
      <c r="C347" s="18"/>
      <c r="D347" s="15">
        <v>2359</v>
      </c>
      <c r="E347" s="21">
        <v>0.18099999999999999</v>
      </c>
      <c r="F347" s="14">
        <v>7963.6</v>
      </c>
      <c r="G347" s="13">
        <v>4153.3100000000841</v>
      </c>
      <c r="H347" s="15">
        <v>112</v>
      </c>
      <c r="I347" s="13">
        <v>2</v>
      </c>
      <c r="J347" s="214">
        <f>P347</f>
        <v>15.869899888395114</v>
      </c>
      <c r="K347" s="16">
        <v>1619</v>
      </c>
      <c r="L347" s="15">
        <v>3082</v>
      </c>
      <c r="M347" s="14">
        <v>1889</v>
      </c>
      <c r="N347" s="13">
        <v>606</v>
      </c>
      <c r="P347" s="77">
        <f t="shared" si="342"/>
        <v>15.869899888395114</v>
      </c>
      <c r="Q347" s="98">
        <f t="shared" si="320"/>
        <v>0.20610259595318331</v>
      </c>
      <c r="R347" s="98">
        <f t="shared" si="343"/>
        <v>0.22</v>
      </c>
      <c r="S347" s="199">
        <f t="shared" si="344"/>
        <v>0.5</v>
      </c>
      <c r="T347" s="189">
        <f t="shared" si="321"/>
        <v>0.28431372549019607</v>
      </c>
      <c r="U347" s="189">
        <f t="shared" si="322"/>
        <v>0.10752688172043011</v>
      </c>
      <c r="V347" s="189">
        <f t="shared" si="323"/>
        <v>0</v>
      </c>
      <c r="W347" s="189">
        <f t="shared" si="324"/>
        <v>0.2391304347826087</v>
      </c>
      <c r="X347" s="200">
        <f t="shared" si="325"/>
        <v>0.28301886792452829</v>
      </c>
      <c r="Y347" s="204">
        <f t="shared" si="345"/>
        <v>5.7142857142857143E-3</v>
      </c>
      <c r="Z347" s="185">
        <f t="shared" si="326"/>
        <v>0.29142857142857143</v>
      </c>
      <c r="AA347" s="185">
        <f t="shared" si="327"/>
        <v>0.26571428571428574</v>
      </c>
      <c r="AB347" s="185">
        <f t="shared" si="328"/>
        <v>2.2857142857142857E-2</v>
      </c>
      <c r="AC347" s="185">
        <f t="shared" si="329"/>
        <v>0.26285714285714284</v>
      </c>
      <c r="AD347" s="205">
        <f t="shared" si="330"/>
        <v>0.15142857142857144</v>
      </c>
      <c r="AE347" s="194">
        <v>1</v>
      </c>
      <c r="AF347" s="190">
        <v>29</v>
      </c>
      <c r="AG347" s="190">
        <v>10</v>
      </c>
      <c r="AH347" s="190">
        <v>0</v>
      </c>
      <c r="AI347" s="190">
        <v>22</v>
      </c>
      <c r="AJ347" s="195">
        <v>15</v>
      </c>
      <c r="AK347" s="194">
        <v>2</v>
      </c>
      <c r="AL347" s="190">
        <v>102</v>
      </c>
      <c r="AM347" s="190">
        <v>93</v>
      </c>
      <c r="AN347" s="190">
        <v>8</v>
      </c>
      <c r="AO347" s="190">
        <v>92</v>
      </c>
      <c r="AP347" s="195">
        <v>53</v>
      </c>
      <c r="AR347" s="77">
        <f t="shared" si="346"/>
        <v>164.68041783374292</v>
      </c>
      <c r="AS347" s="98">
        <f t="shared" si="331"/>
        <v>0.61447917102142879</v>
      </c>
      <c r="AT347" s="98">
        <f t="shared" si="347"/>
        <v>0.56184486373165621</v>
      </c>
      <c r="AU347" s="199">
        <f t="shared" si="348"/>
        <v>0.68852459016393441</v>
      </c>
      <c r="AV347" s="189">
        <f t="shared" si="332"/>
        <v>0.47422680412371132</v>
      </c>
      <c r="AW347" s="189">
        <f t="shared" si="333"/>
        <v>0.4</v>
      </c>
      <c r="AX347" s="189">
        <f t="shared" si="334"/>
        <v>0.72448979591836737</v>
      </c>
      <c r="AY347" s="189">
        <f t="shared" si="335"/>
        <v>0.6875</v>
      </c>
      <c r="AZ347" s="200">
        <f t="shared" si="336"/>
        <v>0.30666666666666664</v>
      </c>
      <c r="BA347" s="204">
        <f t="shared" si="349"/>
        <v>0.1278825995807128</v>
      </c>
      <c r="BB347" s="185">
        <f t="shared" si="337"/>
        <v>0.20335429769392033</v>
      </c>
      <c r="BC347" s="185">
        <f t="shared" si="338"/>
        <v>0.10482180293501048</v>
      </c>
      <c r="BD347" s="185">
        <f t="shared" si="339"/>
        <v>0.20545073375262055</v>
      </c>
      <c r="BE347" s="185">
        <f t="shared" si="340"/>
        <v>0.20125786163522014</v>
      </c>
      <c r="BF347" s="205">
        <f t="shared" si="341"/>
        <v>0.15723270440251572</v>
      </c>
      <c r="BG347" s="194">
        <v>42</v>
      </c>
      <c r="BH347" s="190">
        <v>46</v>
      </c>
      <c r="BI347" s="190">
        <v>20</v>
      </c>
      <c r="BJ347" s="190">
        <v>71</v>
      </c>
      <c r="BK347" s="190">
        <v>66</v>
      </c>
      <c r="BL347" s="195">
        <v>23</v>
      </c>
      <c r="BM347" s="194">
        <v>61</v>
      </c>
      <c r="BN347" s="190">
        <v>97</v>
      </c>
      <c r="BO347" s="190">
        <v>50</v>
      </c>
      <c r="BP347" s="190">
        <v>98</v>
      </c>
      <c r="BQ347" s="190">
        <v>96</v>
      </c>
      <c r="BR347" s="195">
        <v>75</v>
      </c>
    </row>
    <row r="348" spans="1:71" outlineLevel="1" x14ac:dyDescent="0.2">
      <c r="A348" s="20">
        <f t="shared" si="351"/>
        <v>13231</v>
      </c>
      <c r="B348" s="19" t="str">
        <f t="shared" si="351"/>
        <v>UHV</v>
      </c>
      <c r="C348" s="18"/>
      <c r="D348" s="15">
        <v>515</v>
      </c>
      <c r="E348" s="17">
        <v>0.55256723716381417</v>
      </c>
      <c r="F348" s="14">
        <v>1135.8</v>
      </c>
      <c r="G348" s="13">
        <v>962.15000000001089</v>
      </c>
      <c r="H348" s="15">
        <v>72</v>
      </c>
      <c r="I348" s="13">
        <v>2</v>
      </c>
      <c r="J348" s="214">
        <f>AR348</f>
        <v>35.788141756153294</v>
      </c>
      <c r="K348" s="16">
        <v>337</v>
      </c>
      <c r="L348" s="15">
        <v>654</v>
      </c>
      <c r="M348" s="14">
        <v>269</v>
      </c>
      <c r="N348" s="13">
        <v>8</v>
      </c>
      <c r="P348" s="77">
        <f t="shared" si="342"/>
        <v>0</v>
      </c>
      <c r="Q348" s="98">
        <f t="shared" si="320"/>
        <v>0</v>
      </c>
      <c r="R348" s="98">
        <f t="shared" si="343"/>
        <v>0</v>
      </c>
      <c r="S348" s="199">
        <f t="shared" si="344"/>
        <v>0</v>
      </c>
      <c r="T348" s="189">
        <f t="shared" si="321"/>
        <v>0</v>
      </c>
      <c r="U348" s="189">
        <f t="shared" si="322"/>
        <v>0</v>
      </c>
      <c r="V348" s="189">
        <f t="shared" si="323"/>
        <v>0</v>
      </c>
      <c r="W348" s="189">
        <f t="shared" si="324"/>
        <v>0</v>
      </c>
      <c r="X348" s="200">
        <f t="shared" si="325"/>
        <v>0</v>
      </c>
      <c r="Y348" s="204">
        <f t="shared" si="345"/>
        <v>0</v>
      </c>
      <c r="Z348" s="185">
        <f t="shared" si="326"/>
        <v>0</v>
      </c>
      <c r="AA348" s="185">
        <f t="shared" si="327"/>
        <v>0</v>
      </c>
      <c r="AB348" s="185">
        <f t="shared" si="328"/>
        <v>0</v>
      </c>
      <c r="AC348" s="185">
        <f t="shared" si="329"/>
        <v>0</v>
      </c>
      <c r="AD348" s="205">
        <f t="shared" si="330"/>
        <v>0</v>
      </c>
      <c r="AE348" s="194">
        <v>0</v>
      </c>
      <c r="AF348" s="190">
        <v>0</v>
      </c>
      <c r="AG348" s="190">
        <v>0</v>
      </c>
      <c r="AH348" s="190">
        <v>0</v>
      </c>
      <c r="AI348" s="190">
        <v>0</v>
      </c>
      <c r="AJ348" s="195">
        <v>0</v>
      </c>
      <c r="AK348" s="194">
        <v>0</v>
      </c>
      <c r="AL348" s="190">
        <v>0</v>
      </c>
      <c r="AM348" s="190">
        <v>0</v>
      </c>
      <c r="AN348" s="190">
        <v>0</v>
      </c>
      <c r="AO348" s="190">
        <v>0</v>
      </c>
      <c r="AP348" s="195">
        <v>0</v>
      </c>
      <c r="AR348" s="77">
        <f t="shared" si="346"/>
        <v>35.788141756153294</v>
      </c>
      <c r="AS348" s="98">
        <f t="shared" si="331"/>
        <v>0.58669084846152941</v>
      </c>
      <c r="AT348" s="98">
        <f t="shared" si="347"/>
        <v>0.59803921568627449</v>
      </c>
      <c r="AU348" s="199">
        <f t="shared" si="348"/>
        <v>0.72727272727272729</v>
      </c>
      <c r="AV348" s="189">
        <f t="shared" si="332"/>
        <v>0.58333333333333337</v>
      </c>
      <c r="AW348" s="189">
        <f t="shared" si="333"/>
        <v>0.25</v>
      </c>
      <c r="AX348" s="189">
        <f t="shared" si="334"/>
        <v>0.73333333333333328</v>
      </c>
      <c r="AY348" s="189">
        <f t="shared" si="335"/>
        <v>0.60869565217391308</v>
      </c>
      <c r="AZ348" s="200">
        <f t="shared" si="336"/>
        <v>9.0909090909090912E-2</v>
      </c>
      <c r="BA348" s="204">
        <f t="shared" si="349"/>
        <v>0.21568627450980393</v>
      </c>
      <c r="BB348" s="185">
        <f t="shared" si="337"/>
        <v>0.11764705882352941</v>
      </c>
      <c r="BC348" s="185">
        <f t="shared" si="338"/>
        <v>3.9215686274509803E-2</v>
      </c>
      <c r="BD348" s="185">
        <f t="shared" si="339"/>
        <v>0.29411764705882354</v>
      </c>
      <c r="BE348" s="185">
        <f t="shared" si="340"/>
        <v>0.22549019607843138</v>
      </c>
      <c r="BF348" s="205">
        <f t="shared" si="341"/>
        <v>0.10784313725490197</v>
      </c>
      <c r="BG348" s="194">
        <v>16</v>
      </c>
      <c r="BH348" s="190">
        <v>7</v>
      </c>
      <c r="BI348" s="190">
        <v>1</v>
      </c>
      <c r="BJ348" s="190">
        <v>22</v>
      </c>
      <c r="BK348" s="190">
        <v>14</v>
      </c>
      <c r="BL348" s="195">
        <v>1</v>
      </c>
      <c r="BM348" s="194">
        <v>22</v>
      </c>
      <c r="BN348" s="190">
        <v>12</v>
      </c>
      <c r="BO348" s="190">
        <v>4</v>
      </c>
      <c r="BP348" s="190">
        <v>30</v>
      </c>
      <c r="BQ348" s="190">
        <v>23</v>
      </c>
      <c r="BR348" s="195">
        <v>11</v>
      </c>
      <c r="BS348" s="228"/>
    </row>
    <row r="349" spans="1:71" outlineLevel="1" x14ac:dyDescent="0.2">
      <c r="A349" s="20">
        <f t="shared" si="351"/>
        <v>3592</v>
      </c>
      <c r="B349" s="19" t="str">
        <f t="shared" si="351"/>
        <v>Midwestern</v>
      </c>
      <c r="C349" s="18"/>
      <c r="D349" s="15">
        <v>1002</v>
      </c>
      <c r="E349" s="21">
        <v>0.41199999999999998</v>
      </c>
      <c r="F349" s="14">
        <v>4294.8666666666668</v>
      </c>
      <c r="G349" s="13">
        <v>1899.0200000000148</v>
      </c>
      <c r="H349" s="15">
        <v>302</v>
      </c>
      <c r="I349" s="13">
        <v>19</v>
      </c>
      <c r="J349" s="214">
        <f t="shared" ref="J349:J360" si="352">P349</f>
        <v>148.49397981006445</v>
      </c>
      <c r="K349" s="16">
        <v>673</v>
      </c>
      <c r="L349" s="15">
        <v>1497</v>
      </c>
      <c r="M349" s="14">
        <v>1080</v>
      </c>
      <c r="N349" s="13">
        <v>622</v>
      </c>
      <c r="P349" s="77">
        <f t="shared" si="342"/>
        <v>148.49397981006445</v>
      </c>
      <c r="Q349" s="98">
        <f t="shared" si="320"/>
        <v>0.45134948270536301</v>
      </c>
      <c r="R349" s="98">
        <f t="shared" si="343"/>
        <v>0.41176470588235292</v>
      </c>
      <c r="S349" s="199">
        <f t="shared" si="344"/>
        <v>0.7</v>
      </c>
      <c r="T349" s="189">
        <f t="shared" si="321"/>
        <v>0.37864077669902912</v>
      </c>
      <c r="U349" s="189">
        <f t="shared" si="322"/>
        <v>0.15217391304347827</v>
      </c>
      <c r="V349" s="189">
        <f t="shared" si="323"/>
        <v>0.68571428571428572</v>
      </c>
      <c r="W349" s="189">
        <f t="shared" si="324"/>
        <v>0.42919389978213507</v>
      </c>
      <c r="X349" s="200">
        <f t="shared" si="325"/>
        <v>0.37209302325581395</v>
      </c>
      <c r="Y349" s="204">
        <f t="shared" si="345"/>
        <v>1.2515644555694618E-2</v>
      </c>
      <c r="Z349" s="185">
        <f t="shared" si="326"/>
        <v>0.25782227784730916</v>
      </c>
      <c r="AA349" s="185">
        <f t="shared" si="327"/>
        <v>5.7571964956195244E-2</v>
      </c>
      <c r="AB349" s="185">
        <f t="shared" si="328"/>
        <v>4.3804755944931162E-2</v>
      </c>
      <c r="AC349" s="185">
        <f t="shared" si="329"/>
        <v>0.57446808510638303</v>
      </c>
      <c r="AD349" s="205">
        <f t="shared" si="330"/>
        <v>5.3817271589486862E-2</v>
      </c>
      <c r="AE349" s="194">
        <v>7</v>
      </c>
      <c r="AF349" s="190">
        <v>78</v>
      </c>
      <c r="AG349" s="190">
        <v>7</v>
      </c>
      <c r="AH349" s="190">
        <v>24</v>
      </c>
      <c r="AI349" s="190">
        <v>197</v>
      </c>
      <c r="AJ349" s="195">
        <v>16</v>
      </c>
      <c r="AK349" s="194">
        <v>10</v>
      </c>
      <c r="AL349" s="190">
        <v>206</v>
      </c>
      <c r="AM349" s="190">
        <v>46</v>
      </c>
      <c r="AN349" s="190">
        <v>35</v>
      </c>
      <c r="AO349" s="190">
        <v>459</v>
      </c>
      <c r="AP349" s="195">
        <v>43</v>
      </c>
      <c r="AR349" s="77">
        <f t="shared" si="346"/>
        <v>109.66116618607465</v>
      </c>
      <c r="AS349" s="98">
        <f t="shared" si="331"/>
        <v>0.59598459883736221</v>
      </c>
      <c r="AT349" s="98">
        <f t="shared" si="347"/>
        <v>0.61333333333333329</v>
      </c>
      <c r="AU349" s="199">
        <f t="shared" si="348"/>
        <v>0.74193548387096775</v>
      </c>
      <c r="AV349" s="189">
        <f t="shared" si="332"/>
        <v>0.5</v>
      </c>
      <c r="AW349" s="189">
        <f t="shared" si="333"/>
        <v>0.31578947368421051</v>
      </c>
      <c r="AX349" s="189">
        <f t="shared" si="334"/>
        <v>0.77659574468085102</v>
      </c>
      <c r="AY349" s="189">
        <f t="shared" si="335"/>
        <v>0.620253164556962</v>
      </c>
      <c r="AZ349" s="200">
        <f t="shared" si="336"/>
        <v>0.36585365853658536</v>
      </c>
      <c r="BA349" s="204">
        <f t="shared" si="349"/>
        <v>0.10333333333333333</v>
      </c>
      <c r="BB349" s="185">
        <f t="shared" si="337"/>
        <v>0.12</v>
      </c>
      <c r="BC349" s="185">
        <f t="shared" si="338"/>
        <v>6.3333333333333339E-2</v>
      </c>
      <c r="BD349" s="185">
        <f t="shared" si="339"/>
        <v>0.31333333333333335</v>
      </c>
      <c r="BE349" s="185">
        <f t="shared" si="340"/>
        <v>0.26333333333333331</v>
      </c>
      <c r="BF349" s="205">
        <f t="shared" si="341"/>
        <v>0.13666666666666666</v>
      </c>
      <c r="BG349" s="194">
        <v>23</v>
      </c>
      <c r="BH349" s="190">
        <v>18</v>
      </c>
      <c r="BI349" s="190">
        <v>6</v>
      </c>
      <c r="BJ349" s="190">
        <v>73</v>
      </c>
      <c r="BK349" s="190">
        <v>49</v>
      </c>
      <c r="BL349" s="195">
        <v>15</v>
      </c>
      <c r="BM349" s="194">
        <v>31</v>
      </c>
      <c r="BN349" s="190">
        <v>36</v>
      </c>
      <c r="BO349" s="190">
        <v>19</v>
      </c>
      <c r="BP349" s="190">
        <v>94</v>
      </c>
      <c r="BQ349" s="190">
        <v>79</v>
      </c>
      <c r="BR349" s="195">
        <v>41</v>
      </c>
    </row>
    <row r="350" spans="1:71" outlineLevel="1" x14ac:dyDescent="0.2">
      <c r="A350" s="20">
        <f t="shared" si="351"/>
        <v>3594</v>
      </c>
      <c r="B350" s="19" t="str">
        <f t="shared" si="351"/>
        <v>UNT</v>
      </c>
      <c r="C350" s="18"/>
      <c r="D350" s="15">
        <v>6024</v>
      </c>
      <c r="E350" s="21">
        <v>0.57399999999999995</v>
      </c>
      <c r="F350" s="14">
        <f>22506.0666666667+838</f>
        <v>23344.066666666698</v>
      </c>
      <c r="G350" s="13">
        <v>11164.699999998398</v>
      </c>
      <c r="H350" s="15">
        <v>297</v>
      </c>
      <c r="I350" s="13">
        <v>27</v>
      </c>
      <c r="J350" s="214">
        <f t="shared" si="352"/>
        <v>1048.864599948047</v>
      </c>
      <c r="K350" s="16">
        <v>3747</v>
      </c>
      <c r="L350" s="30">
        <v>8327</v>
      </c>
      <c r="M350" s="29">
        <v>5604</v>
      </c>
      <c r="N350" s="28">
        <v>3585</v>
      </c>
      <c r="P350" s="77">
        <f t="shared" si="342"/>
        <v>1048.864599948047</v>
      </c>
      <c r="Q350" s="98">
        <f t="shared" si="320"/>
        <v>0.57377713345079162</v>
      </c>
      <c r="R350" s="98">
        <f t="shared" si="343"/>
        <v>0.5777496839443742</v>
      </c>
      <c r="S350" s="199">
        <f t="shared" si="344"/>
        <v>0.54794520547945202</v>
      </c>
      <c r="T350" s="189">
        <f t="shared" si="321"/>
        <v>0.49393414211438474</v>
      </c>
      <c r="U350" s="189">
        <f t="shared" si="322"/>
        <v>0.55555555555555558</v>
      </c>
      <c r="V350" s="189">
        <f t="shared" si="323"/>
        <v>0.61158798283261806</v>
      </c>
      <c r="W350" s="189">
        <f t="shared" si="324"/>
        <v>0.59406438631790748</v>
      </c>
      <c r="X350" s="200">
        <f t="shared" si="325"/>
        <v>0.66666666666666663</v>
      </c>
      <c r="Y350" s="204">
        <f t="shared" si="345"/>
        <v>2.307206068268015E-2</v>
      </c>
      <c r="Z350" s="185">
        <f t="shared" si="326"/>
        <v>0.18236409608091025</v>
      </c>
      <c r="AA350" s="185">
        <f t="shared" si="327"/>
        <v>8.5335018963337544E-3</v>
      </c>
      <c r="AB350" s="185">
        <f t="shared" si="328"/>
        <v>0.1472819216182048</v>
      </c>
      <c r="AC350" s="185">
        <f t="shared" si="329"/>
        <v>0.62831858407079644</v>
      </c>
      <c r="AD350" s="205">
        <f t="shared" si="330"/>
        <v>1.0429835651074588E-2</v>
      </c>
      <c r="AE350" s="194">
        <v>40</v>
      </c>
      <c r="AF350" s="190">
        <v>285</v>
      </c>
      <c r="AG350" s="190">
        <v>15</v>
      </c>
      <c r="AH350" s="190">
        <v>285</v>
      </c>
      <c r="AI350" s="190">
        <v>1181</v>
      </c>
      <c r="AJ350" s="195">
        <v>22</v>
      </c>
      <c r="AK350" s="194">
        <v>73</v>
      </c>
      <c r="AL350" s="190">
        <v>577</v>
      </c>
      <c r="AM350" s="190">
        <v>27</v>
      </c>
      <c r="AN350" s="190">
        <v>466</v>
      </c>
      <c r="AO350" s="190">
        <v>1988</v>
      </c>
      <c r="AP350" s="195">
        <v>33</v>
      </c>
      <c r="AR350" s="77">
        <f t="shared" si="346"/>
        <v>864.89085101376077</v>
      </c>
      <c r="AS350" s="98">
        <f t="shared" si="331"/>
        <v>0.64208674908222774</v>
      </c>
      <c r="AT350" s="98">
        <f t="shared" si="347"/>
        <v>0.653566229985444</v>
      </c>
      <c r="AU350" s="199">
        <f t="shared" si="348"/>
        <v>0.71065989847715738</v>
      </c>
      <c r="AV350" s="189">
        <f t="shared" si="332"/>
        <v>0.57647058823529407</v>
      </c>
      <c r="AW350" s="189">
        <f t="shared" si="333"/>
        <v>0.47761194029850745</v>
      </c>
      <c r="AX350" s="189">
        <f t="shared" si="334"/>
        <v>0.7994616419919246</v>
      </c>
      <c r="AY350" s="189">
        <f t="shared" si="335"/>
        <v>0.65463917525773196</v>
      </c>
      <c r="AZ350" s="200">
        <f t="shared" si="336"/>
        <v>0.33774834437086093</v>
      </c>
      <c r="BA350" s="204">
        <f t="shared" si="349"/>
        <v>9.5584667637069382E-2</v>
      </c>
      <c r="BB350" s="185">
        <f t="shared" si="337"/>
        <v>8.2484230955846671E-2</v>
      </c>
      <c r="BC350" s="185">
        <f t="shared" si="338"/>
        <v>3.2508491023774864E-2</v>
      </c>
      <c r="BD350" s="185">
        <f t="shared" si="339"/>
        <v>0.36050460941290635</v>
      </c>
      <c r="BE350" s="185">
        <f t="shared" si="340"/>
        <v>0.28238719068413393</v>
      </c>
      <c r="BF350" s="205">
        <f t="shared" si="341"/>
        <v>0.1465308102862688</v>
      </c>
      <c r="BG350" s="194">
        <v>140</v>
      </c>
      <c r="BH350" s="190">
        <v>98</v>
      </c>
      <c r="BI350" s="190">
        <v>32</v>
      </c>
      <c r="BJ350" s="190">
        <v>594</v>
      </c>
      <c r="BK350" s="190">
        <v>381</v>
      </c>
      <c r="BL350" s="195">
        <v>102</v>
      </c>
      <c r="BM350" s="194">
        <v>197</v>
      </c>
      <c r="BN350" s="190">
        <v>170</v>
      </c>
      <c r="BO350" s="190">
        <v>67</v>
      </c>
      <c r="BP350" s="190">
        <v>743</v>
      </c>
      <c r="BQ350" s="190">
        <v>582</v>
      </c>
      <c r="BR350" s="195">
        <v>302</v>
      </c>
    </row>
    <row r="351" spans="1:71" outlineLevel="1" x14ac:dyDescent="0.2">
      <c r="A351" s="27">
        <f t="shared" si="351"/>
        <v>113594</v>
      </c>
      <c r="B351" s="19" t="str">
        <f t="shared" si="351"/>
        <v>UNTD</v>
      </c>
      <c r="C351" s="18"/>
      <c r="D351" s="24"/>
      <c r="E351" s="26"/>
      <c r="F351" s="23"/>
      <c r="G351" s="22"/>
      <c r="H351" s="24"/>
      <c r="I351" s="22"/>
      <c r="J351" s="219">
        <f t="shared" si="352"/>
        <v>0</v>
      </c>
      <c r="K351" s="25"/>
      <c r="L351" s="24"/>
      <c r="M351" s="23"/>
      <c r="N351" s="22"/>
      <c r="P351" s="77">
        <f t="shared" si="342"/>
        <v>0</v>
      </c>
      <c r="Q351" s="98">
        <f t="shared" si="320"/>
        <v>0</v>
      </c>
      <c r="R351" s="98">
        <f t="shared" si="343"/>
        <v>0</v>
      </c>
      <c r="S351" s="199">
        <f t="shared" si="344"/>
        <v>0</v>
      </c>
      <c r="T351" s="189">
        <f t="shared" si="321"/>
        <v>0</v>
      </c>
      <c r="U351" s="189">
        <f t="shared" si="322"/>
        <v>0</v>
      </c>
      <c r="V351" s="189">
        <f t="shared" si="323"/>
        <v>0</v>
      </c>
      <c r="W351" s="189">
        <f t="shared" si="324"/>
        <v>0</v>
      </c>
      <c r="X351" s="200">
        <f t="shared" si="325"/>
        <v>0</v>
      </c>
      <c r="Y351" s="204">
        <f t="shared" si="345"/>
        <v>0</v>
      </c>
      <c r="Z351" s="185">
        <f t="shared" si="326"/>
        <v>0</v>
      </c>
      <c r="AA351" s="185">
        <f t="shared" si="327"/>
        <v>0</v>
      </c>
      <c r="AB351" s="185">
        <f t="shared" si="328"/>
        <v>0</v>
      </c>
      <c r="AC351" s="185">
        <f t="shared" si="329"/>
        <v>0</v>
      </c>
      <c r="AD351" s="205">
        <f t="shared" si="330"/>
        <v>0</v>
      </c>
      <c r="AE351" s="194">
        <v>0</v>
      </c>
      <c r="AF351" s="190">
        <v>0</v>
      </c>
      <c r="AG351" s="190">
        <v>0</v>
      </c>
      <c r="AH351" s="190">
        <v>0</v>
      </c>
      <c r="AI351" s="190">
        <v>0</v>
      </c>
      <c r="AJ351" s="195">
        <v>0</v>
      </c>
      <c r="AK351" s="194">
        <v>0</v>
      </c>
      <c r="AL351" s="190">
        <v>0</v>
      </c>
      <c r="AM351" s="190">
        <v>0</v>
      </c>
      <c r="AN351" s="190">
        <v>0</v>
      </c>
      <c r="AO351" s="190">
        <v>0</v>
      </c>
      <c r="AP351" s="195">
        <v>0</v>
      </c>
      <c r="AR351" s="77">
        <f t="shared" si="346"/>
        <v>0</v>
      </c>
      <c r="AS351" s="98">
        <f t="shared" si="331"/>
        <v>0</v>
      </c>
      <c r="AT351" s="98">
        <f t="shared" si="347"/>
        <v>0</v>
      </c>
      <c r="AU351" s="199">
        <f t="shared" si="348"/>
        <v>0</v>
      </c>
      <c r="AV351" s="189">
        <f t="shared" si="332"/>
        <v>0</v>
      </c>
      <c r="AW351" s="189">
        <f t="shared" si="333"/>
        <v>0</v>
      </c>
      <c r="AX351" s="189">
        <f t="shared" si="334"/>
        <v>0</v>
      </c>
      <c r="AY351" s="189">
        <f t="shared" si="335"/>
        <v>0</v>
      </c>
      <c r="AZ351" s="200">
        <f t="shared" si="336"/>
        <v>0</v>
      </c>
      <c r="BA351" s="204">
        <f t="shared" si="349"/>
        <v>0</v>
      </c>
      <c r="BB351" s="185">
        <f t="shared" si="337"/>
        <v>0</v>
      </c>
      <c r="BC351" s="185">
        <f t="shared" si="338"/>
        <v>0</v>
      </c>
      <c r="BD351" s="185">
        <f t="shared" si="339"/>
        <v>0</v>
      </c>
      <c r="BE351" s="185">
        <f t="shared" si="340"/>
        <v>0</v>
      </c>
      <c r="BF351" s="205">
        <f t="shared" si="341"/>
        <v>0</v>
      </c>
      <c r="BG351" s="194"/>
      <c r="BH351" s="190"/>
      <c r="BI351" s="190"/>
      <c r="BJ351" s="190"/>
      <c r="BK351" s="190"/>
      <c r="BL351" s="195"/>
      <c r="BM351" s="194"/>
      <c r="BN351" s="190"/>
      <c r="BO351" s="190"/>
      <c r="BP351" s="190"/>
      <c r="BQ351" s="190"/>
      <c r="BR351" s="195"/>
      <c r="BS351" s="228"/>
    </row>
    <row r="352" spans="1:71" outlineLevel="1" x14ac:dyDescent="0.2">
      <c r="A352" s="20">
        <f t="shared" si="351"/>
        <v>3624</v>
      </c>
      <c r="B352" s="19" t="str">
        <f t="shared" si="351"/>
        <v>SFA</v>
      </c>
      <c r="C352" s="18"/>
      <c r="D352" s="15">
        <v>1874</v>
      </c>
      <c r="E352" s="21">
        <v>0.56999999999999995</v>
      </c>
      <c r="F352" s="14">
        <v>9510.2666666666664</v>
      </c>
      <c r="G352" s="13">
        <v>3625.4100000000203</v>
      </c>
      <c r="H352" s="15">
        <v>230</v>
      </c>
      <c r="I352" s="13">
        <v>43</v>
      </c>
      <c r="J352" s="214">
        <f t="shared" si="352"/>
        <v>570.60000849888843</v>
      </c>
      <c r="K352" s="16">
        <v>1422</v>
      </c>
      <c r="L352" s="15">
        <v>2663</v>
      </c>
      <c r="M352" s="14">
        <v>1934</v>
      </c>
      <c r="N352" s="13">
        <v>1317</v>
      </c>
      <c r="P352" s="77">
        <f t="shared" si="342"/>
        <v>570.60000849888843</v>
      </c>
      <c r="Q352" s="98">
        <f t="shared" si="320"/>
        <v>0.57520162147065368</v>
      </c>
      <c r="R352" s="98">
        <f t="shared" si="343"/>
        <v>0.57607433217189319</v>
      </c>
      <c r="S352" s="199">
        <f t="shared" si="344"/>
        <v>0.62068965517241381</v>
      </c>
      <c r="T352" s="189">
        <f t="shared" si="321"/>
        <v>0.44215938303341901</v>
      </c>
      <c r="U352" s="189">
        <f t="shared" si="322"/>
        <v>0.35185185185185186</v>
      </c>
      <c r="V352" s="189">
        <f t="shared" si="323"/>
        <v>0.69105691056910568</v>
      </c>
      <c r="W352" s="189">
        <f t="shared" si="324"/>
        <v>0.62380952380952381</v>
      </c>
      <c r="X352" s="200">
        <f t="shared" si="325"/>
        <v>0.55844155844155841</v>
      </c>
      <c r="Y352" s="204">
        <f t="shared" si="345"/>
        <v>1.6840882694541232E-2</v>
      </c>
      <c r="Z352" s="185">
        <f t="shared" si="326"/>
        <v>0.22590011614401859</v>
      </c>
      <c r="AA352" s="185">
        <f t="shared" si="327"/>
        <v>3.1358885017421602E-2</v>
      </c>
      <c r="AB352" s="185">
        <f t="shared" si="328"/>
        <v>7.1428571428571425E-2</v>
      </c>
      <c r="AC352" s="185">
        <f t="shared" si="329"/>
        <v>0.6097560975609756</v>
      </c>
      <c r="AD352" s="205">
        <f t="shared" si="330"/>
        <v>4.4715447154471545E-2</v>
      </c>
      <c r="AE352" s="194">
        <v>18</v>
      </c>
      <c r="AF352" s="190">
        <v>172</v>
      </c>
      <c r="AG352" s="190">
        <v>19</v>
      </c>
      <c r="AH352" s="190">
        <v>85</v>
      </c>
      <c r="AI352" s="190">
        <v>655</v>
      </c>
      <c r="AJ352" s="195">
        <v>43</v>
      </c>
      <c r="AK352" s="194">
        <v>29</v>
      </c>
      <c r="AL352" s="190">
        <v>389</v>
      </c>
      <c r="AM352" s="190">
        <v>54</v>
      </c>
      <c r="AN352" s="190">
        <v>123</v>
      </c>
      <c r="AO352" s="190">
        <v>1050</v>
      </c>
      <c r="AP352" s="195">
        <v>77</v>
      </c>
      <c r="AR352" s="77">
        <f t="shared" si="346"/>
        <v>438.92077243243966</v>
      </c>
      <c r="AS352" s="98">
        <f t="shared" si="331"/>
        <v>0.77274783878950648</v>
      </c>
      <c r="AT352" s="98">
        <f t="shared" si="347"/>
        <v>0.77701778385772913</v>
      </c>
      <c r="AU352" s="199">
        <f t="shared" si="348"/>
        <v>0.69318181818181823</v>
      </c>
      <c r="AV352" s="189">
        <f t="shared" si="332"/>
        <v>0.68518518518518523</v>
      </c>
      <c r="AW352" s="189">
        <f t="shared" si="333"/>
        <v>0.5</v>
      </c>
      <c r="AX352" s="189">
        <f t="shared" si="334"/>
        <v>0.93596059113300489</v>
      </c>
      <c r="AY352" s="189">
        <f t="shared" si="335"/>
        <v>0.81481481481481477</v>
      </c>
      <c r="AZ352" s="200">
        <f t="shared" si="336"/>
        <v>0.50943396226415094</v>
      </c>
      <c r="BA352" s="204">
        <f t="shared" si="349"/>
        <v>0.12038303693570451</v>
      </c>
      <c r="BB352" s="185">
        <f t="shared" si="337"/>
        <v>0.14774281805745554</v>
      </c>
      <c r="BC352" s="185">
        <f t="shared" si="338"/>
        <v>4.9247606019151846E-2</v>
      </c>
      <c r="BD352" s="185">
        <f t="shared" si="339"/>
        <v>0.27770177838577292</v>
      </c>
      <c r="BE352" s="185">
        <f t="shared" si="340"/>
        <v>0.33242134062927498</v>
      </c>
      <c r="BF352" s="205">
        <f t="shared" si="341"/>
        <v>7.2503419972640218E-2</v>
      </c>
      <c r="BG352" s="194">
        <v>61</v>
      </c>
      <c r="BH352" s="190">
        <v>74</v>
      </c>
      <c r="BI352" s="190">
        <v>18</v>
      </c>
      <c r="BJ352" s="190">
        <v>190</v>
      </c>
      <c r="BK352" s="190">
        <v>198</v>
      </c>
      <c r="BL352" s="195">
        <v>27</v>
      </c>
      <c r="BM352" s="194">
        <v>88</v>
      </c>
      <c r="BN352" s="190">
        <v>108</v>
      </c>
      <c r="BO352" s="190">
        <v>36</v>
      </c>
      <c r="BP352" s="190">
        <v>203</v>
      </c>
      <c r="BQ352" s="190">
        <v>243</v>
      </c>
      <c r="BR352" s="195">
        <v>53</v>
      </c>
    </row>
    <row r="353" spans="1:71" outlineLevel="1" x14ac:dyDescent="0.2">
      <c r="A353" s="20">
        <f t="shared" si="351"/>
        <v>3642</v>
      </c>
      <c r="B353" s="19" t="str">
        <f t="shared" si="351"/>
        <v>TSU</v>
      </c>
      <c r="C353" s="18"/>
      <c r="D353" s="15">
        <v>817</v>
      </c>
      <c r="E353" s="21">
        <v>0.14899999999999999</v>
      </c>
      <c r="F353" s="14">
        <v>5909.8</v>
      </c>
      <c r="G353" s="13">
        <v>1601.5200000000066</v>
      </c>
      <c r="H353" s="15">
        <v>127</v>
      </c>
      <c r="I353" s="13">
        <v>2</v>
      </c>
      <c r="J353" s="214">
        <f t="shared" si="352"/>
        <v>59.045374100641077</v>
      </c>
      <c r="K353" s="16">
        <v>723</v>
      </c>
      <c r="L353" s="15">
        <v>1871</v>
      </c>
      <c r="M353" s="14">
        <v>1137</v>
      </c>
      <c r="N353" s="13">
        <v>916</v>
      </c>
      <c r="P353" s="77">
        <f t="shared" si="342"/>
        <v>59.045374100641077</v>
      </c>
      <c r="Q353" s="98">
        <f t="shared" si="320"/>
        <v>0.23905009757344564</v>
      </c>
      <c r="R353" s="98">
        <f t="shared" si="343"/>
        <v>0.2</v>
      </c>
      <c r="S353" s="199">
        <f t="shared" si="344"/>
        <v>1</v>
      </c>
      <c r="T353" s="189">
        <f t="shared" si="321"/>
        <v>0.2443820224719101</v>
      </c>
      <c r="U353" s="189">
        <f t="shared" si="322"/>
        <v>0.125</v>
      </c>
      <c r="V353" s="189">
        <f t="shared" si="323"/>
        <v>0</v>
      </c>
      <c r="W353" s="189">
        <f t="shared" si="324"/>
        <v>0.30102040816326531</v>
      </c>
      <c r="X353" s="200">
        <f t="shared" si="325"/>
        <v>0.20886075949367089</v>
      </c>
      <c r="Y353" s="204">
        <f t="shared" si="345"/>
        <v>2.4291497975708503E-3</v>
      </c>
      <c r="Z353" s="185">
        <f t="shared" si="326"/>
        <v>0.28825910931174087</v>
      </c>
      <c r="AA353" s="185">
        <f t="shared" si="327"/>
        <v>0.42105263157894735</v>
      </c>
      <c r="AB353" s="185">
        <f t="shared" si="328"/>
        <v>1.6194331983805667E-3</v>
      </c>
      <c r="AC353" s="185">
        <f t="shared" si="329"/>
        <v>0.15870445344129555</v>
      </c>
      <c r="AD353" s="205">
        <f t="shared" si="330"/>
        <v>0.12793522267206478</v>
      </c>
      <c r="AE353" s="194">
        <v>3</v>
      </c>
      <c r="AF353" s="190">
        <v>87</v>
      </c>
      <c r="AG353" s="190">
        <v>65</v>
      </c>
      <c r="AH353" s="190">
        <v>0</v>
      </c>
      <c r="AI353" s="190">
        <v>59</v>
      </c>
      <c r="AJ353" s="195">
        <v>33</v>
      </c>
      <c r="AK353" s="194">
        <v>3</v>
      </c>
      <c r="AL353" s="190">
        <v>356</v>
      </c>
      <c r="AM353" s="190">
        <v>520</v>
      </c>
      <c r="AN353" s="190">
        <v>2</v>
      </c>
      <c r="AO353" s="190">
        <v>196</v>
      </c>
      <c r="AP353" s="195">
        <v>158</v>
      </c>
      <c r="AR353" s="77">
        <f t="shared" si="346"/>
        <v>82.389701259656093</v>
      </c>
      <c r="AS353" s="98">
        <f t="shared" si="331"/>
        <v>0.53849477947487645</v>
      </c>
      <c r="AT353" s="98">
        <f t="shared" si="347"/>
        <v>0.43839541547277938</v>
      </c>
      <c r="AU353" s="199">
        <f t="shared" si="348"/>
        <v>0.5</v>
      </c>
      <c r="AV353" s="189">
        <f t="shared" si="332"/>
        <v>0.4943820224719101</v>
      </c>
      <c r="AW353" s="189">
        <f t="shared" si="333"/>
        <v>0.26027397260273971</v>
      </c>
      <c r="AX353" s="189">
        <f t="shared" si="334"/>
        <v>0.73684210526315785</v>
      </c>
      <c r="AY353" s="189">
        <f t="shared" si="335"/>
        <v>0.55172413793103448</v>
      </c>
      <c r="AZ353" s="200">
        <f t="shared" si="336"/>
        <v>0.18367346938775511</v>
      </c>
      <c r="BA353" s="204">
        <f t="shared" si="349"/>
        <v>0.12034383954154727</v>
      </c>
      <c r="BB353" s="185">
        <f t="shared" si="337"/>
        <v>0.25501432664756446</v>
      </c>
      <c r="BC353" s="185">
        <f t="shared" si="338"/>
        <v>0.20916905444126074</v>
      </c>
      <c r="BD353" s="185">
        <f t="shared" si="339"/>
        <v>0.10888252148997135</v>
      </c>
      <c r="BE353" s="185">
        <f t="shared" si="340"/>
        <v>0.166189111747851</v>
      </c>
      <c r="BF353" s="205">
        <f t="shared" si="341"/>
        <v>0.14040114613180515</v>
      </c>
      <c r="BG353" s="194">
        <v>21</v>
      </c>
      <c r="BH353" s="190">
        <v>44</v>
      </c>
      <c r="BI353" s="190">
        <v>19</v>
      </c>
      <c r="BJ353" s="190">
        <v>28</v>
      </c>
      <c r="BK353" s="190">
        <v>32</v>
      </c>
      <c r="BL353" s="195">
        <v>9</v>
      </c>
      <c r="BM353" s="194">
        <v>42</v>
      </c>
      <c r="BN353" s="190">
        <v>89</v>
      </c>
      <c r="BO353" s="190">
        <v>73</v>
      </c>
      <c r="BP353" s="190">
        <v>38</v>
      </c>
      <c r="BQ353" s="190">
        <v>58</v>
      </c>
      <c r="BR353" s="195">
        <v>49</v>
      </c>
    </row>
    <row r="354" spans="1:71" outlineLevel="1" x14ac:dyDescent="0.2">
      <c r="A354" s="20">
        <f t="shared" si="351"/>
        <v>3644</v>
      </c>
      <c r="B354" s="19" t="str">
        <f t="shared" si="351"/>
        <v>TTU</v>
      </c>
      <c r="C354" s="18"/>
      <c r="D354" s="15">
        <v>4476</v>
      </c>
      <c r="E354" s="21">
        <v>0.72799999999999998</v>
      </c>
      <c r="F354" s="14">
        <v>21422.2</v>
      </c>
      <c r="G354" s="13">
        <v>9827.5299999990111</v>
      </c>
      <c r="H354" s="15">
        <v>656</v>
      </c>
      <c r="I354" s="13">
        <v>43</v>
      </c>
      <c r="J354" s="214">
        <f t="shared" si="352"/>
        <v>1870.5585912555018</v>
      </c>
      <c r="K354" s="16">
        <v>2539</v>
      </c>
      <c r="L354" s="15">
        <v>6430</v>
      </c>
      <c r="M354" s="14">
        <v>5148</v>
      </c>
      <c r="N354" s="13">
        <v>3832</v>
      </c>
      <c r="P354" s="77">
        <f t="shared" si="342"/>
        <v>1870.5585912555018</v>
      </c>
      <c r="Q354" s="98">
        <f t="shared" si="320"/>
        <v>0.67334722507397471</v>
      </c>
      <c r="R354" s="98">
        <f t="shared" si="343"/>
        <v>0.72894253476777748</v>
      </c>
      <c r="S354" s="199">
        <f t="shared" si="344"/>
        <v>0.6785714285714286</v>
      </c>
      <c r="T354" s="189">
        <f t="shared" si="321"/>
        <v>0.58574181117533719</v>
      </c>
      <c r="U354" s="189">
        <f t="shared" si="322"/>
        <v>0.16666666666666666</v>
      </c>
      <c r="V354" s="189">
        <f t="shared" si="323"/>
        <v>0.72587412587412592</v>
      </c>
      <c r="W354" s="189">
        <f t="shared" si="324"/>
        <v>0.76306196840826246</v>
      </c>
      <c r="X354" s="200">
        <f t="shared" si="325"/>
        <v>0.72222222222222221</v>
      </c>
      <c r="Y354" s="204">
        <f t="shared" si="345"/>
        <v>2.2041458934662819E-2</v>
      </c>
      <c r="Z354" s="185">
        <f t="shared" si="326"/>
        <v>0.13618472841773813</v>
      </c>
      <c r="AA354" s="185">
        <f t="shared" si="327"/>
        <v>1.574389923904487E-3</v>
      </c>
      <c r="AB354" s="185">
        <f t="shared" si="328"/>
        <v>0.18761479926528471</v>
      </c>
      <c r="AC354" s="185">
        <f t="shared" si="329"/>
        <v>0.64786145368669645</v>
      </c>
      <c r="AD354" s="205">
        <f t="shared" si="330"/>
        <v>4.7231697717134606E-3</v>
      </c>
      <c r="AE354" s="194">
        <v>57</v>
      </c>
      <c r="AF354" s="190">
        <v>304</v>
      </c>
      <c r="AG354" s="190">
        <v>1</v>
      </c>
      <c r="AH354" s="190">
        <v>519</v>
      </c>
      <c r="AI354" s="190">
        <v>1884</v>
      </c>
      <c r="AJ354" s="195">
        <v>13</v>
      </c>
      <c r="AK354" s="194">
        <v>84</v>
      </c>
      <c r="AL354" s="190">
        <v>519</v>
      </c>
      <c r="AM354" s="190">
        <v>6</v>
      </c>
      <c r="AN354" s="190">
        <v>715</v>
      </c>
      <c r="AO354" s="190">
        <v>2469</v>
      </c>
      <c r="AP354" s="195">
        <v>18</v>
      </c>
      <c r="AR354" s="77">
        <f t="shared" si="346"/>
        <v>916.57843948983862</v>
      </c>
      <c r="AS354" s="98">
        <f t="shared" si="331"/>
        <v>0.67844444077708266</v>
      </c>
      <c r="AT354" s="98">
        <f t="shared" si="347"/>
        <v>0.75686274509803919</v>
      </c>
      <c r="AU354" s="199">
        <f t="shared" si="348"/>
        <v>0.77160493827160492</v>
      </c>
      <c r="AV354" s="189">
        <f t="shared" si="332"/>
        <v>0.57936507936507942</v>
      </c>
      <c r="AW354" s="189">
        <f t="shared" si="333"/>
        <v>0.40425531914893614</v>
      </c>
      <c r="AX354" s="189">
        <f t="shared" si="334"/>
        <v>0.87069988137603793</v>
      </c>
      <c r="AY354" s="189">
        <f t="shared" si="335"/>
        <v>0.7002012072434608</v>
      </c>
      <c r="AZ354" s="200">
        <f t="shared" si="336"/>
        <v>0.47272727272727272</v>
      </c>
      <c r="BA354" s="204">
        <f t="shared" si="349"/>
        <v>9.07563025210084E-2</v>
      </c>
      <c r="BB354" s="185">
        <f t="shared" si="337"/>
        <v>7.0588235294117646E-2</v>
      </c>
      <c r="BC354" s="185">
        <f t="shared" si="338"/>
        <v>2.6330532212885154E-2</v>
      </c>
      <c r="BD354" s="185">
        <f t="shared" si="339"/>
        <v>0.4722689075630252</v>
      </c>
      <c r="BE354" s="185">
        <f t="shared" si="340"/>
        <v>0.27843137254901962</v>
      </c>
      <c r="BF354" s="205">
        <f t="shared" si="341"/>
        <v>6.1624649859943981E-2</v>
      </c>
      <c r="BG354" s="194">
        <v>125</v>
      </c>
      <c r="BH354" s="190">
        <v>73</v>
      </c>
      <c r="BI354" s="190">
        <v>19</v>
      </c>
      <c r="BJ354" s="190">
        <v>734</v>
      </c>
      <c r="BK354" s="190">
        <v>348</v>
      </c>
      <c r="BL354" s="195">
        <v>52</v>
      </c>
      <c r="BM354" s="194">
        <v>162</v>
      </c>
      <c r="BN354" s="190">
        <v>126</v>
      </c>
      <c r="BO354" s="190">
        <v>47</v>
      </c>
      <c r="BP354" s="190">
        <v>843</v>
      </c>
      <c r="BQ354" s="190">
        <v>497</v>
      </c>
      <c r="BR354" s="195">
        <v>110</v>
      </c>
      <c r="BS354" s="228"/>
    </row>
    <row r="355" spans="1:71" outlineLevel="1" x14ac:dyDescent="0.2">
      <c r="A355" s="20">
        <f t="shared" si="351"/>
        <v>3541</v>
      </c>
      <c r="B355" s="19" t="str">
        <f t="shared" si="351"/>
        <v>Angelo</v>
      </c>
      <c r="C355" s="18"/>
      <c r="D355" s="15">
        <v>941</v>
      </c>
      <c r="E355" s="21">
        <v>0.44</v>
      </c>
      <c r="F355" s="14">
        <v>4829.1333333333332</v>
      </c>
      <c r="G355" s="13">
        <v>1933.5900000000179</v>
      </c>
      <c r="H355" s="15">
        <v>217</v>
      </c>
      <c r="I355" s="13">
        <v>18</v>
      </c>
      <c r="J355" s="214">
        <f t="shared" si="352"/>
        <v>164.40313502783664</v>
      </c>
      <c r="K355" s="16">
        <v>676</v>
      </c>
      <c r="L355" s="15">
        <v>1474</v>
      </c>
      <c r="M355" s="14">
        <v>1008</v>
      </c>
      <c r="N355" s="13">
        <v>708</v>
      </c>
      <c r="P355" s="77">
        <f t="shared" si="342"/>
        <v>164.40313502783664</v>
      </c>
      <c r="Q355" s="98">
        <f t="shared" si="320"/>
        <v>0.49668620854331308</v>
      </c>
      <c r="R355" s="98">
        <f t="shared" si="343"/>
        <v>0.45655172413793105</v>
      </c>
      <c r="S355" s="199">
        <f t="shared" si="344"/>
        <v>0.625</v>
      </c>
      <c r="T355" s="189">
        <f t="shared" si="321"/>
        <v>0.33695652173913043</v>
      </c>
      <c r="U355" s="189">
        <f t="shared" si="322"/>
        <v>0.17948717948717949</v>
      </c>
      <c r="V355" s="189">
        <f t="shared" si="323"/>
        <v>0.74</v>
      </c>
      <c r="W355" s="189">
        <f t="shared" si="324"/>
        <v>0.53600000000000003</v>
      </c>
      <c r="X355" s="200">
        <f t="shared" si="325"/>
        <v>0.22950819672131148</v>
      </c>
      <c r="Y355" s="204">
        <f t="shared" si="345"/>
        <v>2.2068965517241378E-2</v>
      </c>
      <c r="Z355" s="185">
        <f t="shared" si="326"/>
        <v>0.25379310344827588</v>
      </c>
      <c r="AA355" s="185">
        <f t="shared" si="327"/>
        <v>5.3793103448275863E-2</v>
      </c>
      <c r="AB355" s="185">
        <f t="shared" si="328"/>
        <v>6.8965517241379309E-2</v>
      </c>
      <c r="AC355" s="185">
        <f t="shared" si="329"/>
        <v>0.51724137931034486</v>
      </c>
      <c r="AD355" s="205">
        <f t="shared" si="330"/>
        <v>8.4137931034482763E-2</v>
      </c>
      <c r="AE355" s="194">
        <v>10</v>
      </c>
      <c r="AF355" s="190">
        <v>62</v>
      </c>
      <c r="AG355" s="190">
        <v>7</v>
      </c>
      <c r="AH355" s="190">
        <v>37</v>
      </c>
      <c r="AI355" s="190">
        <v>201</v>
      </c>
      <c r="AJ355" s="195">
        <v>14</v>
      </c>
      <c r="AK355" s="194">
        <v>16</v>
      </c>
      <c r="AL355" s="190">
        <v>184</v>
      </c>
      <c r="AM355" s="190">
        <v>39</v>
      </c>
      <c r="AN355" s="190">
        <v>50</v>
      </c>
      <c r="AO355" s="190">
        <v>375</v>
      </c>
      <c r="AP355" s="195">
        <v>61</v>
      </c>
      <c r="AR355" s="77">
        <f t="shared" si="346"/>
        <v>120.46792713920989</v>
      </c>
      <c r="AS355" s="98">
        <f t="shared" si="331"/>
        <v>0.59637587692678162</v>
      </c>
      <c r="AT355" s="98">
        <f t="shared" si="347"/>
        <v>0.62538699690402477</v>
      </c>
      <c r="AU355" s="199">
        <f t="shared" si="348"/>
        <v>0.5957446808510638</v>
      </c>
      <c r="AV355" s="189">
        <f t="shared" si="332"/>
        <v>0.46341463414634149</v>
      </c>
      <c r="AW355" s="189">
        <f t="shared" si="333"/>
        <v>0.33333333333333331</v>
      </c>
      <c r="AX355" s="189">
        <f t="shared" si="334"/>
        <v>0.79569892473118276</v>
      </c>
      <c r="AY355" s="189">
        <f t="shared" si="335"/>
        <v>0.62365591397849462</v>
      </c>
      <c r="AZ355" s="200">
        <f t="shared" si="336"/>
        <v>0.54838709677419351</v>
      </c>
      <c r="BA355" s="204">
        <f t="shared" si="349"/>
        <v>0.14551083591331268</v>
      </c>
      <c r="BB355" s="185">
        <f t="shared" si="337"/>
        <v>0.12693498452012383</v>
      </c>
      <c r="BC355" s="185">
        <f t="shared" si="338"/>
        <v>5.5727554179566562E-2</v>
      </c>
      <c r="BD355" s="185">
        <f t="shared" si="339"/>
        <v>0.28792569659442724</v>
      </c>
      <c r="BE355" s="185">
        <f t="shared" si="340"/>
        <v>0.28792569659442724</v>
      </c>
      <c r="BF355" s="205">
        <f t="shared" si="341"/>
        <v>9.5975232198142413E-2</v>
      </c>
      <c r="BG355" s="194">
        <v>28</v>
      </c>
      <c r="BH355" s="190">
        <v>19</v>
      </c>
      <c r="BI355" s="190">
        <v>6</v>
      </c>
      <c r="BJ355" s="190">
        <v>74</v>
      </c>
      <c r="BK355" s="190">
        <v>58</v>
      </c>
      <c r="BL355" s="195">
        <v>17</v>
      </c>
      <c r="BM355" s="194">
        <v>47</v>
      </c>
      <c r="BN355" s="190">
        <v>41</v>
      </c>
      <c r="BO355" s="190">
        <v>18</v>
      </c>
      <c r="BP355" s="190">
        <v>93</v>
      </c>
      <c r="BQ355" s="190">
        <v>93</v>
      </c>
      <c r="BR355" s="195">
        <v>31</v>
      </c>
    </row>
    <row r="356" spans="1:71" outlineLevel="1" x14ac:dyDescent="0.2">
      <c r="A356" s="20">
        <f t="shared" ref="A356:B361" si="353">A314</f>
        <v>3646</v>
      </c>
      <c r="B356" s="19" t="str">
        <f t="shared" si="353"/>
        <v>TWU</v>
      </c>
      <c r="C356" s="18"/>
      <c r="D356" s="15">
        <v>1774</v>
      </c>
      <c r="E356" s="21">
        <v>0.54500000000000004</v>
      </c>
      <c r="F356" s="14">
        <v>6071.4666666666662</v>
      </c>
      <c r="G356" s="13">
        <v>3425.2000000000221</v>
      </c>
      <c r="H356" s="15">
        <v>614</v>
      </c>
      <c r="I356" s="13">
        <v>31</v>
      </c>
      <c r="J356" s="214">
        <f t="shared" si="352"/>
        <v>178.92807323204167</v>
      </c>
      <c r="K356" s="16">
        <v>1214</v>
      </c>
      <c r="L356" s="15">
        <v>2042</v>
      </c>
      <c r="M356" s="14">
        <v>1371</v>
      </c>
      <c r="N356" s="13">
        <v>668</v>
      </c>
      <c r="P356" s="77">
        <f t="shared" si="342"/>
        <v>178.92807323204167</v>
      </c>
      <c r="Q356" s="98">
        <f t="shared" si="320"/>
        <v>0.55740832782567495</v>
      </c>
      <c r="R356" s="98">
        <f t="shared" si="343"/>
        <v>0.54499151103565369</v>
      </c>
      <c r="S356" s="199">
        <f t="shared" si="344"/>
        <v>0.7</v>
      </c>
      <c r="T356" s="189">
        <f t="shared" si="321"/>
        <v>0.5641025641025641</v>
      </c>
      <c r="U356" s="189">
        <f t="shared" si="322"/>
        <v>0.33333333333333331</v>
      </c>
      <c r="V356" s="189">
        <f t="shared" si="323"/>
        <v>0.58620689655172409</v>
      </c>
      <c r="W356" s="189">
        <f t="shared" si="324"/>
        <v>0.57095709570957098</v>
      </c>
      <c r="X356" s="200">
        <f t="shared" si="325"/>
        <v>0.5</v>
      </c>
      <c r="Y356" s="204">
        <f t="shared" si="345"/>
        <v>1.6977928692699491E-2</v>
      </c>
      <c r="Z356" s="185">
        <f t="shared" si="326"/>
        <v>0.26485568760611206</v>
      </c>
      <c r="AA356" s="185">
        <f t="shared" si="327"/>
        <v>9.6774193548387094E-2</v>
      </c>
      <c r="AB356" s="185">
        <f t="shared" si="328"/>
        <v>4.9235993208828523E-2</v>
      </c>
      <c r="AC356" s="185">
        <f t="shared" si="329"/>
        <v>0.51443123938879454</v>
      </c>
      <c r="AD356" s="205">
        <f t="shared" si="330"/>
        <v>5.7724957555178265E-2</v>
      </c>
      <c r="AE356" s="194">
        <v>7</v>
      </c>
      <c r="AF356" s="190">
        <v>88</v>
      </c>
      <c r="AG356" s="190">
        <v>19</v>
      </c>
      <c r="AH356" s="190">
        <v>17</v>
      </c>
      <c r="AI356" s="190">
        <v>173</v>
      </c>
      <c r="AJ356" s="195">
        <v>17</v>
      </c>
      <c r="AK356" s="194">
        <v>10</v>
      </c>
      <c r="AL356" s="190">
        <v>156</v>
      </c>
      <c r="AM356" s="190">
        <v>57</v>
      </c>
      <c r="AN356" s="190">
        <v>29</v>
      </c>
      <c r="AO356" s="190">
        <v>303</v>
      </c>
      <c r="AP356" s="195">
        <v>34</v>
      </c>
      <c r="AR356" s="77">
        <f t="shared" si="346"/>
        <v>245.15950862767195</v>
      </c>
      <c r="AS356" s="98">
        <f t="shared" si="331"/>
        <v>0.68480309672534068</v>
      </c>
      <c r="AT356" s="98">
        <f t="shared" si="347"/>
        <v>0.73210633946830261</v>
      </c>
      <c r="AU356" s="199">
        <f t="shared" si="348"/>
        <v>0.76237623762376239</v>
      </c>
      <c r="AV356" s="189">
        <f t="shared" si="332"/>
        <v>0.60784313725490191</v>
      </c>
      <c r="AW356" s="189">
        <f t="shared" si="333"/>
        <v>0.51851851851851849</v>
      </c>
      <c r="AX356" s="189">
        <f t="shared" si="334"/>
        <v>0.85128205128205126</v>
      </c>
      <c r="AY356" s="189">
        <f t="shared" si="335"/>
        <v>0.69620253164556967</v>
      </c>
      <c r="AZ356" s="200">
        <f t="shared" si="336"/>
        <v>0.41666666666666669</v>
      </c>
      <c r="BA356" s="204">
        <f t="shared" si="349"/>
        <v>0.20654396728016361</v>
      </c>
      <c r="BB356" s="185">
        <f t="shared" si="337"/>
        <v>0.10429447852760736</v>
      </c>
      <c r="BC356" s="185">
        <f t="shared" si="338"/>
        <v>5.5214723926380369E-2</v>
      </c>
      <c r="BD356" s="185">
        <f t="shared" si="339"/>
        <v>0.3987730061349693</v>
      </c>
      <c r="BE356" s="185">
        <f t="shared" si="340"/>
        <v>0.16155419222903886</v>
      </c>
      <c r="BF356" s="205">
        <f t="shared" si="341"/>
        <v>7.3619631901840496E-2</v>
      </c>
      <c r="BG356" s="194">
        <v>77</v>
      </c>
      <c r="BH356" s="190">
        <v>31</v>
      </c>
      <c r="BI356" s="190">
        <v>14</v>
      </c>
      <c r="BJ356" s="190">
        <v>166</v>
      </c>
      <c r="BK356" s="190">
        <v>55</v>
      </c>
      <c r="BL356" s="195">
        <v>15</v>
      </c>
      <c r="BM356" s="194">
        <v>101</v>
      </c>
      <c r="BN356" s="190">
        <v>51</v>
      </c>
      <c r="BO356" s="190">
        <v>27</v>
      </c>
      <c r="BP356" s="190">
        <v>195</v>
      </c>
      <c r="BQ356" s="190">
        <v>79</v>
      </c>
      <c r="BR356" s="195">
        <v>36</v>
      </c>
    </row>
    <row r="357" spans="1:71" outlineLevel="1" x14ac:dyDescent="0.2">
      <c r="A357" s="20">
        <f t="shared" si="353"/>
        <v>3581</v>
      </c>
      <c r="B357" s="19" t="str">
        <f t="shared" si="353"/>
        <v>Lamar</v>
      </c>
      <c r="C357" s="18"/>
      <c r="D357" s="15">
        <v>1286</v>
      </c>
      <c r="E357" s="21">
        <v>0.33800000000000002</v>
      </c>
      <c r="F357" s="14">
        <v>7172.9333333333334</v>
      </c>
      <c r="G357" s="13">
        <v>2638.0900000000311</v>
      </c>
      <c r="H357" s="15">
        <v>314</v>
      </c>
      <c r="I357" s="13">
        <v>17</v>
      </c>
      <c r="J357" s="214">
        <f t="shared" si="352"/>
        <v>149.92665483363217</v>
      </c>
      <c r="K357" s="16">
        <v>908</v>
      </c>
      <c r="L357" s="15">
        <v>2043</v>
      </c>
      <c r="M357" s="14">
        <v>1404</v>
      </c>
      <c r="N357" s="13">
        <v>1031</v>
      </c>
      <c r="P357" s="77">
        <f t="shared" si="342"/>
        <v>149.92665483363217</v>
      </c>
      <c r="Q357" s="98">
        <f t="shared" si="320"/>
        <v>0.43082372078629932</v>
      </c>
      <c r="R357" s="98">
        <f t="shared" si="343"/>
        <v>0.35080645161290325</v>
      </c>
      <c r="S357" s="199">
        <f t="shared" si="344"/>
        <v>0.75</v>
      </c>
      <c r="T357" s="189">
        <f t="shared" si="321"/>
        <v>0.3359375</v>
      </c>
      <c r="U357" s="189">
        <f t="shared" si="322"/>
        <v>0.17796610169491525</v>
      </c>
      <c r="V357" s="189">
        <f t="shared" si="323"/>
        <v>0.72</v>
      </c>
      <c r="W357" s="189">
        <f t="shared" si="324"/>
        <v>0.39511201629327902</v>
      </c>
      <c r="X357" s="200">
        <f t="shared" si="325"/>
        <v>0.24468085106382978</v>
      </c>
      <c r="Y357" s="204">
        <f t="shared" si="345"/>
        <v>8.0645161290322578E-3</v>
      </c>
      <c r="Z357" s="185">
        <f t="shared" si="326"/>
        <v>0.25806451612903225</v>
      </c>
      <c r="AA357" s="185">
        <f t="shared" si="327"/>
        <v>0.11895161290322581</v>
      </c>
      <c r="AB357" s="185">
        <f t="shared" si="328"/>
        <v>2.5201612903225805E-2</v>
      </c>
      <c r="AC357" s="185">
        <f t="shared" si="329"/>
        <v>0.49495967741935482</v>
      </c>
      <c r="AD357" s="205">
        <f t="shared" si="330"/>
        <v>9.4758064516129031E-2</v>
      </c>
      <c r="AE357" s="194">
        <v>6</v>
      </c>
      <c r="AF357" s="190">
        <v>86</v>
      </c>
      <c r="AG357" s="190">
        <v>21</v>
      </c>
      <c r="AH357" s="190">
        <v>18</v>
      </c>
      <c r="AI357" s="190">
        <v>194</v>
      </c>
      <c r="AJ357" s="195">
        <v>23</v>
      </c>
      <c r="AK357" s="194">
        <v>8</v>
      </c>
      <c r="AL357" s="190">
        <v>256</v>
      </c>
      <c r="AM357" s="190">
        <v>118</v>
      </c>
      <c r="AN357" s="190">
        <v>25</v>
      </c>
      <c r="AO357" s="190">
        <v>491</v>
      </c>
      <c r="AP357" s="195">
        <v>94</v>
      </c>
      <c r="AR357" s="77">
        <f t="shared" si="346"/>
        <v>138.27527456991376</v>
      </c>
      <c r="AS357" s="98">
        <f t="shared" si="331"/>
        <v>0.57375632601623971</v>
      </c>
      <c r="AT357" s="98">
        <f t="shared" si="347"/>
        <v>0.58212560386473433</v>
      </c>
      <c r="AU357" s="199">
        <f t="shared" si="348"/>
        <v>0.70370370370370372</v>
      </c>
      <c r="AV357" s="189">
        <f t="shared" si="332"/>
        <v>0.57692307692307687</v>
      </c>
      <c r="AW357" s="189">
        <f t="shared" si="333"/>
        <v>0.375</v>
      </c>
      <c r="AX357" s="189">
        <f t="shared" si="334"/>
        <v>0.66019417475728159</v>
      </c>
      <c r="AY357" s="189">
        <f t="shared" si="335"/>
        <v>0.57627118644067798</v>
      </c>
      <c r="AZ357" s="200">
        <f t="shared" si="336"/>
        <v>0.35135135135135137</v>
      </c>
      <c r="BA357" s="204">
        <f t="shared" si="349"/>
        <v>0.13043478260869565</v>
      </c>
      <c r="BB357" s="185">
        <f t="shared" si="337"/>
        <v>0.18840579710144928</v>
      </c>
      <c r="BC357" s="185">
        <f t="shared" si="338"/>
        <v>5.7971014492753624E-2</v>
      </c>
      <c r="BD357" s="185">
        <f t="shared" si="339"/>
        <v>0.24879227053140096</v>
      </c>
      <c r="BE357" s="185">
        <f t="shared" si="340"/>
        <v>0.28502415458937197</v>
      </c>
      <c r="BF357" s="205">
        <f t="shared" si="341"/>
        <v>8.9371980676328497E-2</v>
      </c>
      <c r="BG357" s="194">
        <v>38</v>
      </c>
      <c r="BH357" s="190">
        <v>45</v>
      </c>
      <c r="BI357" s="190">
        <v>9</v>
      </c>
      <c r="BJ357" s="190">
        <v>68</v>
      </c>
      <c r="BK357" s="190">
        <v>68</v>
      </c>
      <c r="BL357" s="195">
        <v>13</v>
      </c>
      <c r="BM357" s="194">
        <v>54</v>
      </c>
      <c r="BN357" s="190">
        <v>78</v>
      </c>
      <c r="BO357" s="190">
        <v>24</v>
      </c>
      <c r="BP357" s="190">
        <v>103</v>
      </c>
      <c r="BQ357" s="190">
        <v>118</v>
      </c>
      <c r="BR357" s="195">
        <v>37</v>
      </c>
      <c r="BS357" s="228"/>
    </row>
    <row r="358" spans="1:71" outlineLevel="1" x14ac:dyDescent="0.2">
      <c r="A358" s="20">
        <f t="shared" si="353"/>
        <v>3606</v>
      </c>
      <c r="B358" s="19" t="str">
        <f t="shared" si="353"/>
        <v>SHSU</v>
      </c>
      <c r="C358" s="18"/>
      <c r="D358" s="15">
        <v>3242</v>
      </c>
      <c r="E358" s="21">
        <v>0.57899999999999996</v>
      </c>
      <c r="F358" s="14">
        <v>12517.066666666668</v>
      </c>
      <c r="G358" s="13">
        <v>6188.6300000000374</v>
      </c>
      <c r="H358" s="15">
        <v>163</v>
      </c>
      <c r="I358" s="13">
        <v>69</v>
      </c>
      <c r="J358" s="214">
        <f t="shared" si="352"/>
        <v>693.54784965793419</v>
      </c>
      <c r="K358" s="16">
        <v>2318</v>
      </c>
      <c r="L358" s="15">
        <v>3849</v>
      </c>
      <c r="M358" s="14">
        <v>3011</v>
      </c>
      <c r="N358" s="13">
        <v>1870</v>
      </c>
      <c r="P358" s="77">
        <f t="shared" si="342"/>
        <v>693.54784965793419</v>
      </c>
      <c r="Q358" s="98">
        <f t="shared" si="320"/>
        <v>0.579889506402955</v>
      </c>
      <c r="R358" s="98">
        <f t="shared" si="343"/>
        <v>0.57833655705996134</v>
      </c>
      <c r="S358" s="199">
        <f t="shared" si="344"/>
        <v>0.36</v>
      </c>
      <c r="T358" s="189">
        <f t="shared" si="321"/>
        <v>0.50113378684807253</v>
      </c>
      <c r="U358" s="189">
        <f t="shared" si="322"/>
        <v>0.56730769230769229</v>
      </c>
      <c r="V358" s="189">
        <f t="shared" si="323"/>
        <v>0.65454545454545454</v>
      </c>
      <c r="W358" s="189">
        <f t="shared" si="324"/>
        <v>0.60636645962732916</v>
      </c>
      <c r="X358" s="200">
        <f t="shared" si="325"/>
        <v>0.54</v>
      </c>
      <c r="Y358" s="204">
        <f t="shared" si="345"/>
        <v>1.2088974854932301E-2</v>
      </c>
      <c r="Z358" s="185">
        <f t="shared" si="326"/>
        <v>0.21324951644100582</v>
      </c>
      <c r="AA358" s="185">
        <f t="shared" si="327"/>
        <v>5.0290135396518373E-2</v>
      </c>
      <c r="AB358" s="185">
        <f t="shared" si="328"/>
        <v>5.3191489361702128E-2</v>
      </c>
      <c r="AC358" s="185">
        <f t="shared" si="329"/>
        <v>0.62282398452611221</v>
      </c>
      <c r="AD358" s="205">
        <f t="shared" si="330"/>
        <v>4.8355899419729204E-2</v>
      </c>
      <c r="AE358" s="194">
        <v>9</v>
      </c>
      <c r="AF358" s="190">
        <v>221</v>
      </c>
      <c r="AG358" s="190">
        <v>59</v>
      </c>
      <c r="AH358" s="190">
        <v>72</v>
      </c>
      <c r="AI358" s="190">
        <v>781</v>
      </c>
      <c r="AJ358" s="195">
        <v>54</v>
      </c>
      <c r="AK358" s="194">
        <v>25</v>
      </c>
      <c r="AL358" s="190">
        <v>441</v>
      </c>
      <c r="AM358" s="190">
        <v>104</v>
      </c>
      <c r="AN358" s="190">
        <v>110</v>
      </c>
      <c r="AO358" s="190">
        <v>1288</v>
      </c>
      <c r="AP358" s="195">
        <v>100</v>
      </c>
      <c r="AR358" s="77">
        <f t="shared" si="346"/>
        <v>569.08325439214025</v>
      </c>
      <c r="AS358" s="98">
        <f t="shared" si="331"/>
        <v>0.76387014012367815</v>
      </c>
      <c r="AT358" s="98">
        <f t="shared" si="347"/>
        <v>0.79255319148936165</v>
      </c>
      <c r="AU358" s="199">
        <f t="shared" si="348"/>
        <v>0.87610619469026552</v>
      </c>
      <c r="AV358" s="189">
        <f t="shared" si="332"/>
        <v>0.67889908256880738</v>
      </c>
      <c r="AW358" s="189">
        <f t="shared" si="333"/>
        <v>0.61764705882352944</v>
      </c>
      <c r="AX358" s="189">
        <f t="shared" si="334"/>
        <v>0.88581314878892736</v>
      </c>
      <c r="AY358" s="189">
        <f t="shared" si="335"/>
        <v>0.77966101694915257</v>
      </c>
      <c r="AZ358" s="200">
        <f t="shared" si="336"/>
        <v>0.65</v>
      </c>
      <c r="BA358" s="204">
        <f t="shared" si="349"/>
        <v>0.1202127659574468</v>
      </c>
      <c r="BB358" s="185">
        <f t="shared" si="337"/>
        <v>0.11595744680851064</v>
      </c>
      <c r="BC358" s="185">
        <f t="shared" si="338"/>
        <v>3.6170212765957444E-2</v>
      </c>
      <c r="BD358" s="185">
        <f t="shared" si="339"/>
        <v>0.30744680851063833</v>
      </c>
      <c r="BE358" s="185">
        <f t="shared" si="340"/>
        <v>0.31382978723404253</v>
      </c>
      <c r="BF358" s="205">
        <f t="shared" si="341"/>
        <v>0.10638297872340426</v>
      </c>
      <c r="BG358" s="194">
        <v>99</v>
      </c>
      <c r="BH358" s="190">
        <v>74</v>
      </c>
      <c r="BI358" s="190">
        <v>21</v>
      </c>
      <c r="BJ358" s="190">
        <v>256</v>
      </c>
      <c r="BK358" s="190">
        <v>230</v>
      </c>
      <c r="BL358" s="195">
        <v>65</v>
      </c>
      <c r="BM358" s="194">
        <v>113</v>
      </c>
      <c r="BN358" s="190">
        <v>109</v>
      </c>
      <c r="BO358" s="190">
        <v>34</v>
      </c>
      <c r="BP358" s="190">
        <v>289</v>
      </c>
      <c r="BQ358" s="190">
        <v>295</v>
      </c>
      <c r="BR358" s="195">
        <v>100</v>
      </c>
    </row>
    <row r="359" spans="1:71" outlineLevel="1" x14ac:dyDescent="0.2">
      <c r="A359" s="20">
        <f t="shared" si="353"/>
        <v>3615</v>
      </c>
      <c r="B359" s="19" t="str">
        <f t="shared" si="353"/>
        <v>TXST</v>
      </c>
      <c r="C359" s="18"/>
      <c r="D359" s="15">
        <v>5299</v>
      </c>
      <c r="E359" s="21">
        <v>0.64400000000000002</v>
      </c>
      <c r="F359" s="14">
        <v>21764.6</v>
      </c>
      <c r="G359" s="13">
        <v>10384.469999998846</v>
      </c>
      <c r="H359" s="15">
        <v>439</v>
      </c>
      <c r="I359" s="13">
        <v>68</v>
      </c>
      <c r="J359" s="214">
        <f t="shared" si="352"/>
        <v>1105.8973984288464</v>
      </c>
      <c r="K359" s="16">
        <v>3545</v>
      </c>
      <c r="L359" s="15">
        <v>7301</v>
      </c>
      <c r="M359" s="14">
        <v>5428</v>
      </c>
      <c r="N359" s="13">
        <v>3302</v>
      </c>
      <c r="P359" s="77">
        <f t="shared" si="342"/>
        <v>1105.8973984288464</v>
      </c>
      <c r="Q359" s="98">
        <f t="shared" si="320"/>
        <v>0.62657076398234923</v>
      </c>
      <c r="R359" s="98">
        <f t="shared" si="343"/>
        <v>0.64604685212298685</v>
      </c>
      <c r="S359" s="199">
        <f t="shared" si="344"/>
        <v>0.5490196078431373</v>
      </c>
      <c r="T359" s="189">
        <f t="shared" si="321"/>
        <v>0.5675105485232067</v>
      </c>
      <c r="U359" s="189">
        <f t="shared" si="322"/>
        <v>0.55555555555555558</v>
      </c>
      <c r="V359" s="189">
        <f t="shared" si="323"/>
        <v>0.61619718309859151</v>
      </c>
      <c r="W359" s="189">
        <f t="shared" si="324"/>
        <v>0.67524115755627012</v>
      </c>
      <c r="X359" s="200">
        <f t="shared" si="325"/>
        <v>0.6</v>
      </c>
      <c r="Y359" s="204">
        <f t="shared" si="345"/>
        <v>1.8667642752562226E-2</v>
      </c>
      <c r="Z359" s="185">
        <f t="shared" si="326"/>
        <v>0.17349926793557832</v>
      </c>
      <c r="AA359" s="185">
        <f t="shared" si="327"/>
        <v>9.8828696925329432E-3</v>
      </c>
      <c r="AB359" s="185">
        <f t="shared" si="328"/>
        <v>0.10395314787701318</v>
      </c>
      <c r="AC359" s="185">
        <f t="shared" si="329"/>
        <v>0.68301610541727675</v>
      </c>
      <c r="AD359" s="205">
        <f t="shared" si="330"/>
        <v>1.0980966325036604E-2</v>
      </c>
      <c r="AE359" s="194">
        <v>28</v>
      </c>
      <c r="AF359" s="190">
        <v>269</v>
      </c>
      <c r="AG359" s="190">
        <v>15</v>
      </c>
      <c r="AH359" s="190">
        <v>175</v>
      </c>
      <c r="AI359" s="190">
        <v>1260</v>
      </c>
      <c r="AJ359" s="195">
        <v>18</v>
      </c>
      <c r="AK359" s="194">
        <v>51</v>
      </c>
      <c r="AL359" s="190">
        <v>474</v>
      </c>
      <c r="AM359" s="190">
        <v>27</v>
      </c>
      <c r="AN359" s="190">
        <v>284</v>
      </c>
      <c r="AO359" s="190">
        <v>1866</v>
      </c>
      <c r="AP359" s="195">
        <v>30</v>
      </c>
      <c r="AR359" s="77">
        <f t="shared" si="346"/>
        <v>922.76207631109276</v>
      </c>
      <c r="AS359" s="98">
        <f t="shared" si="331"/>
        <v>0.66915306476511438</v>
      </c>
      <c r="AT359" s="98">
        <f t="shared" si="347"/>
        <v>0.71413775245986533</v>
      </c>
      <c r="AU359" s="199">
        <f t="shared" si="348"/>
        <v>0.76851851851851849</v>
      </c>
      <c r="AV359" s="189">
        <f t="shared" si="332"/>
        <v>0.5964125560538116</v>
      </c>
      <c r="AW359" s="189">
        <f t="shared" si="333"/>
        <v>0.42222222222222222</v>
      </c>
      <c r="AX359" s="189">
        <f t="shared" si="334"/>
        <v>0.82087447108603662</v>
      </c>
      <c r="AY359" s="189">
        <f t="shared" si="335"/>
        <v>0.69634340222575519</v>
      </c>
      <c r="AZ359" s="200">
        <f t="shared" si="336"/>
        <v>0.37614678899082571</v>
      </c>
      <c r="BA359" s="204">
        <f t="shared" si="349"/>
        <v>0.11185914034179181</v>
      </c>
      <c r="BB359" s="185">
        <f t="shared" si="337"/>
        <v>0.11548420507509062</v>
      </c>
      <c r="BC359" s="185">
        <f t="shared" si="338"/>
        <v>2.3303987571206629E-2</v>
      </c>
      <c r="BD359" s="185">
        <f t="shared" si="339"/>
        <v>0.36716727084412221</v>
      </c>
      <c r="BE359" s="185">
        <f t="shared" si="340"/>
        <v>0.32573795960642155</v>
      </c>
      <c r="BF359" s="205">
        <f t="shared" si="341"/>
        <v>5.6447436561367165E-2</v>
      </c>
      <c r="BG359" s="194">
        <v>166</v>
      </c>
      <c r="BH359" s="190">
        <v>133</v>
      </c>
      <c r="BI359" s="190">
        <v>19</v>
      </c>
      <c r="BJ359" s="190">
        <v>582</v>
      </c>
      <c r="BK359" s="190">
        <v>438</v>
      </c>
      <c r="BL359" s="195">
        <v>41</v>
      </c>
      <c r="BM359" s="194">
        <v>216</v>
      </c>
      <c r="BN359" s="190">
        <v>223</v>
      </c>
      <c r="BO359" s="190">
        <v>45</v>
      </c>
      <c r="BP359" s="190">
        <v>709</v>
      </c>
      <c r="BQ359" s="190">
        <v>629</v>
      </c>
      <c r="BR359" s="195">
        <v>109</v>
      </c>
    </row>
    <row r="360" spans="1:71" outlineLevel="1" x14ac:dyDescent="0.2">
      <c r="A360" s="20">
        <f t="shared" si="353"/>
        <v>3625</v>
      </c>
      <c r="B360" s="19" t="str">
        <f t="shared" si="353"/>
        <v>SRSU</v>
      </c>
      <c r="C360" s="18"/>
      <c r="D360" s="15">
        <v>181</v>
      </c>
      <c r="E360" s="21">
        <v>0.28499999999999998</v>
      </c>
      <c r="F360" s="14">
        <v>1230.9333333333334</v>
      </c>
      <c r="G360" s="13">
        <v>368.43999999999954</v>
      </c>
      <c r="H360" s="15">
        <v>10</v>
      </c>
      <c r="I360" s="13">
        <v>10</v>
      </c>
      <c r="J360" s="214">
        <f t="shared" si="352"/>
        <v>26.372958628162202</v>
      </c>
      <c r="K360" s="16">
        <v>156</v>
      </c>
      <c r="L360" s="15">
        <v>318</v>
      </c>
      <c r="M360" s="14">
        <v>176</v>
      </c>
      <c r="N360" s="13">
        <v>115</v>
      </c>
      <c r="P360" s="77">
        <f t="shared" si="342"/>
        <v>26.372958628162202</v>
      </c>
      <c r="Q360" s="98">
        <f t="shared" si="320"/>
        <v>0.47950833869385823</v>
      </c>
      <c r="R360" s="98">
        <f t="shared" si="343"/>
        <v>0.30054644808743169</v>
      </c>
      <c r="S360" s="199">
        <f t="shared" si="344"/>
        <v>0.5</v>
      </c>
      <c r="T360" s="189">
        <f t="shared" si="321"/>
        <v>0.26829268292682928</v>
      </c>
      <c r="U360" s="189">
        <f t="shared" si="322"/>
        <v>0.15384615384615385</v>
      </c>
      <c r="V360" s="189">
        <f t="shared" si="323"/>
        <v>1</v>
      </c>
      <c r="W360" s="189">
        <f t="shared" si="324"/>
        <v>0.44067796610169491</v>
      </c>
      <c r="X360" s="200">
        <f t="shared" si="325"/>
        <v>0.25925925925925924</v>
      </c>
      <c r="Y360" s="204">
        <f t="shared" si="345"/>
        <v>1.092896174863388E-2</v>
      </c>
      <c r="Z360" s="185">
        <f t="shared" si="326"/>
        <v>0.22404371584699453</v>
      </c>
      <c r="AA360" s="185">
        <f t="shared" si="327"/>
        <v>0.28415300546448086</v>
      </c>
      <c r="AB360" s="185">
        <f t="shared" si="328"/>
        <v>1.092896174863388E-2</v>
      </c>
      <c r="AC360" s="185">
        <f t="shared" si="329"/>
        <v>0.32240437158469948</v>
      </c>
      <c r="AD360" s="205">
        <f t="shared" si="330"/>
        <v>0.14754098360655737</v>
      </c>
      <c r="AE360" s="194">
        <v>1</v>
      </c>
      <c r="AF360" s="190">
        <v>11</v>
      </c>
      <c r="AG360" s="190">
        <v>8</v>
      </c>
      <c r="AH360" s="190">
        <v>2</v>
      </c>
      <c r="AI360" s="190">
        <v>26</v>
      </c>
      <c r="AJ360" s="195">
        <v>7</v>
      </c>
      <c r="AK360" s="194">
        <v>2</v>
      </c>
      <c r="AL360" s="190">
        <v>41</v>
      </c>
      <c r="AM360" s="190">
        <v>52</v>
      </c>
      <c r="AN360" s="190">
        <v>2</v>
      </c>
      <c r="AO360" s="190">
        <v>59</v>
      </c>
      <c r="AP360" s="195">
        <v>27</v>
      </c>
      <c r="AR360" s="77">
        <f t="shared" si="346"/>
        <v>27.931755432709434</v>
      </c>
      <c r="AS360" s="98">
        <f t="shared" si="331"/>
        <v>0.66504179601689128</v>
      </c>
      <c r="AT360" s="98">
        <f t="shared" si="347"/>
        <v>0.63636363636363635</v>
      </c>
      <c r="AU360" s="199">
        <f t="shared" si="348"/>
        <v>0.66666666666666663</v>
      </c>
      <c r="AV360" s="189">
        <f t="shared" si="332"/>
        <v>0.46153846153846156</v>
      </c>
      <c r="AW360" s="189">
        <f t="shared" si="333"/>
        <v>0.4</v>
      </c>
      <c r="AX360" s="189">
        <f t="shared" si="334"/>
        <v>0.7857142857142857</v>
      </c>
      <c r="AY360" s="189">
        <f t="shared" si="335"/>
        <v>0.76470588235294112</v>
      </c>
      <c r="AZ360" s="200">
        <f t="shared" si="336"/>
        <v>0.5</v>
      </c>
      <c r="BA360" s="204">
        <f t="shared" si="349"/>
        <v>0.13636363636363635</v>
      </c>
      <c r="BB360" s="185">
        <f t="shared" si="337"/>
        <v>0.19696969696969696</v>
      </c>
      <c r="BC360" s="185">
        <f t="shared" si="338"/>
        <v>7.575757575757576E-2</v>
      </c>
      <c r="BD360" s="185">
        <f t="shared" si="339"/>
        <v>0.21212121212121213</v>
      </c>
      <c r="BE360" s="185">
        <f t="shared" si="340"/>
        <v>0.25757575757575757</v>
      </c>
      <c r="BF360" s="205">
        <f t="shared" si="341"/>
        <v>0.12121212121212122</v>
      </c>
      <c r="BG360" s="194">
        <v>6</v>
      </c>
      <c r="BH360" s="190">
        <v>6</v>
      </c>
      <c r="BI360" s="190">
        <v>2</v>
      </c>
      <c r="BJ360" s="190">
        <v>11</v>
      </c>
      <c r="BK360" s="190">
        <v>13</v>
      </c>
      <c r="BL360" s="195">
        <v>4</v>
      </c>
      <c r="BM360" s="194">
        <v>9</v>
      </c>
      <c r="BN360" s="190">
        <v>13</v>
      </c>
      <c r="BO360" s="190">
        <v>5</v>
      </c>
      <c r="BP360" s="190">
        <v>14</v>
      </c>
      <c r="BQ360" s="190">
        <v>17</v>
      </c>
      <c r="BR360" s="195">
        <v>8</v>
      </c>
      <c r="BS360" s="228"/>
    </row>
    <row r="361" spans="1:71" ht="13.5" outlineLevel="1" thickBot="1" x14ac:dyDescent="0.25">
      <c r="A361" s="20">
        <f t="shared" si="353"/>
        <v>20</v>
      </c>
      <c r="B361" s="19" t="str">
        <f t="shared" si="353"/>
        <v>SRRG</v>
      </c>
      <c r="C361" s="18"/>
      <c r="D361" s="15">
        <v>168</v>
      </c>
      <c r="E361" s="17">
        <v>0.36144578313253012</v>
      </c>
      <c r="F361" s="14">
        <v>416.33333333333331</v>
      </c>
      <c r="G361" s="13">
        <v>287.9199999999995</v>
      </c>
      <c r="H361" s="15">
        <v>8</v>
      </c>
      <c r="I361" s="13">
        <v>9</v>
      </c>
      <c r="J361" s="214">
        <f>AR361</f>
        <v>7.9151727992547736</v>
      </c>
      <c r="K361" s="16">
        <v>149</v>
      </c>
      <c r="L361" s="15">
        <v>251</v>
      </c>
      <c r="M361" s="14">
        <v>90</v>
      </c>
      <c r="N361" s="13">
        <v>5</v>
      </c>
      <c r="P361" s="6">
        <f t="shared" si="342"/>
        <v>0</v>
      </c>
      <c r="Q361" s="239">
        <f t="shared" ref="Q361" si="354">(S361*$Y$362+T361*$Z$362+U361*$AA$362+V361*$AB$362+W361*$AC$362+X361*$AD$362)</f>
        <v>0</v>
      </c>
      <c r="R361" s="239">
        <f t="shared" si="343"/>
        <v>0</v>
      </c>
      <c r="S361" s="199">
        <f t="shared" si="344"/>
        <v>0</v>
      </c>
      <c r="T361" s="189">
        <f t="shared" si="321"/>
        <v>0</v>
      </c>
      <c r="U361" s="189">
        <f t="shared" si="322"/>
        <v>0</v>
      </c>
      <c r="V361" s="189">
        <f t="shared" si="323"/>
        <v>0</v>
      </c>
      <c r="W361" s="189">
        <f t="shared" si="324"/>
        <v>0</v>
      </c>
      <c r="X361" s="200">
        <f t="shared" si="325"/>
        <v>0</v>
      </c>
      <c r="Y361" s="204">
        <f t="shared" si="345"/>
        <v>0</v>
      </c>
      <c r="Z361" s="185">
        <f t="shared" si="326"/>
        <v>0</v>
      </c>
      <c r="AA361" s="185">
        <f t="shared" si="327"/>
        <v>0</v>
      </c>
      <c r="AB361" s="185">
        <f t="shared" si="328"/>
        <v>0</v>
      </c>
      <c r="AC361" s="185">
        <f t="shared" si="329"/>
        <v>0</v>
      </c>
      <c r="AD361" s="205">
        <f t="shared" si="330"/>
        <v>0</v>
      </c>
      <c r="AE361" s="194">
        <v>0</v>
      </c>
      <c r="AF361" s="190">
        <v>0</v>
      </c>
      <c r="AG361" s="190">
        <v>0</v>
      </c>
      <c r="AH361" s="190">
        <v>0</v>
      </c>
      <c r="AI361" s="190">
        <v>0</v>
      </c>
      <c r="AJ361" s="195">
        <v>0</v>
      </c>
      <c r="AK361" s="194">
        <v>0</v>
      </c>
      <c r="AL361" s="190">
        <v>0</v>
      </c>
      <c r="AM361" s="190">
        <v>0</v>
      </c>
      <c r="AN361" s="190">
        <v>0</v>
      </c>
      <c r="AO361" s="190">
        <v>0</v>
      </c>
      <c r="AP361" s="195">
        <v>0</v>
      </c>
      <c r="AR361" s="6">
        <f t="shared" si="346"/>
        <v>7.9151727992547736</v>
      </c>
      <c r="AS361" s="239">
        <f t="shared" si="331"/>
        <v>0.56536948566105527</v>
      </c>
      <c r="AT361" s="239">
        <f t="shared" si="347"/>
        <v>0.5</v>
      </c>
      <c r="AU361" s="199">
        <f t="shared" si="348"/>
        <v>0.7142857142857143</v>
      </c>
      <c r="AV361" s="189">
        <f t="shared" si="332"/>
        <v>0.4</v>
      </c>
      <c r="AW361" s="189">
        <f t="shared" si="333"/>
        <v>0.5</v>
      </c>
      <c r="AX361" s="189">
        <f t="shared" si="334"/>
        <v>1</v>
      </c>
      <c r="AY361" s="189">
        <f t="shared" si="335"/>
        <v>0.5</v>
      </c>
      <c r="AZ361" s="200">
        <f t="shared" si="336"/>
        <v>0.25</v>
      </c>
      <c r="BA361" s="204">
        <f t="shared" si="349"/>
        <v>0.25</v>
      </c>
      <c r="BB361" s="185">
        <f t="shared" si="337"/>
        <v>0.35714285714285715</v>
      </c>
      <c r="BC361" s="185">
        <f t="shared" si="338"/>
        <v>0.14285714285714285</v>
      </c>
      <c r="BD361" s="185">
        <f t="shared" si="339"/>
        <v>3.5714285714285712E-2</v>
      </c>
      <c r="BE361" s="185">
        <f t="shared" si="340"/>
        <v>7.1428571428571425E-2</v>
      </c>
      <c r="BF361" s="205">
        <f t="shared" si="341"/>
        <v>0.14285714285714285</v>
      </c>
      <c r="BG361" s="194">
        <v>5</v>
      </c>
      <c r="BH361" s="190">
        <v>4</v>
      </c>
      <c r="BI361" s="190">
        <v>2</v>
      </c>
      <c r="BJ361" s="190">
        <v>1</v>
      </c>
      <c r="BK361" s="190">
        <v>1</v>
      </c>
      <c r="BL361" s="195">
        <v>1</v>
      </c>
      <c r="BM361" s="194">
        <v>7</v>
      </c>
      <c r="BN361" s="190">
        <v>10</v>
      </c>
      <c r="BO361" s="190">
        <v>4</v>
      </c>
      <c r="BP361" s="190">
        <v>1</v>
      </c>
      <c r="BQ361" s="190">
        <v>2</v>
      </c>
      <c r="BR361" s="195">
        <v>4</v>
      </c>
    </row>
    <row r="362" spans="1:71" ht="13.5" outlineLevel="1" thickBot="1" x14ac:dyDescent="0.25">
      <c r="A362" s="12"/>
      <c r="B362" s="11" t="s">
        <v>11</v>
      </c>
      <c r="C362" s="10"/>
      <c r="D362" s="9">
        <f>SUM(D324:D361)</f>
        <v>81251</v>
      </c>
      <c r="E362" s="8">
        <v>0.56799999999999995</v>
      </c>
      <c r="F362" s="7">
        <f t="shared" ref="F362:N362" si="355">SUM(F324:F361)</f>
        <v>338321.33333333337</v>
      </c>
      <c r="G362" s="3">
        <f t="shared" si="355"/>
        <v>165601.52999999447</v>
      </c>
      <c r="H362" s="5">
        <f t="shared" si="355"/>
        <v>12362</v>
      </c>
      <c r="I362" s="3">
        <f t="shared" si="355"/>
        <v>1122</v>
      </c>
      <c r="J362" s="216">
        <f>SUM(J324:J361)</f>
        <v>20316.875234871764</v>
      </c>
      <c r="K362" s="6">
        <f t="shared" si="355"/>
        <v>51678</v>
      </c>
      <c r="L362" s="5">
        <f t="shared" si="355"/>
        <v>112517</v>
      </c>
      <c r="M362" s="4">
        <f t="shared" si="355"/>
        <v>81688</v>
      </c>
      <c r="N362" s="3">
        <f t="shared" si="355"/>
        <v>51008</v>
      </c>
      <c r="S362" s="201">
        <f t="shared" ref="S362:X362" si="356">AE362/AK362</f>
        <v>0.6992777413000657</v>
      </c>
      <c r="T362" s="202">
        <f t="shared" si="356"/>
        <v>0.48598446470786899</v>
      </c>
      <c r="U362" s="202">
        <f t="shared" si="356"/>
        <v>0.24798890429958392</v>
      </c>
      <c r="V362" s="202">
        <f t="shared" si="356"/>
        <v>0.77920198470126112</v>
      </c>
      <c r="W362" s="202">
        <f t="shared" si="356"/>
        <v>0.61861778272626056</v>
      </c>
      <c r="X362" s="203">
        <f t="shared" si="356"/>
        <v>0.34343434343434343</v>
      </c>
      <c r="Y362" s="206">
        <f t="shared" ref="Y362:AD362" si="357">AK362/SUM($AK362:$AP362)</f>
        <v>2.8374476013041453E-2</v>
      </c>
      <c r="Z362" s="207">
        <f t="shared" si="357"/>
        <v>0.22066138798323243</v>
      </c>
      <c r="AA362" s="207">
        <f t="shared" si="357"/>
        <v>6.7163483931066609E-2</v>
      </c>
      <c r="AB362" s="207">
        <f t="shared" si="357"/>
        <v>0.18023288309268748</v>
      </c>
      <c r="AC362" s="207">
        <f t="shared" si="357"/>
        <v>0.46852352119236146</v>
      </c>
      <c r="AD362" s="208">
        <f t="shared" si="357"/>
        <v>3.5044247787610616E-2</v>
      </c>
      <c r="AE362" s="209">
        <f t="shared" ref="AE362:AO362" si="358">SUM(AE324:AE328,AE330:AE336,AE338:AE339,AE341:AE343,AE345,AE347,AE349:AE350,AE352:AE360)</f>
        <v>1065</v>
      </c>
      <c r="AF362" s="210">
        <f t="shared" si="358"/>
        <v>5756</v>
      </c>
      <c r="AG362" s="210">
        <f t="shared" si="358"/>
        <v>894</v>
      </c>
      <c r="AH362" s="210">
        <f t="shared" si="358"/>
        <v>7538</v>
      </c>
      <c r="AI362" s="210">
        <f t="shared" si="358"/>
        <v>15557</v>
      </c>
      <c r="AJ362" s="211">
        <f t="shared" si="358"/>
        <v>646</v>
      </c>
      <c r="AK362" s="196">
        <f t="shared" si="358"/>
        <v>1523</v>
      </c>
      <c r="AL362" s="197">
        <f t="shared" si="358"/>
        <v>11844</v>
      </c>
      <c r="AM362" s="197">
        <f t="shared" si="358"/>
        <v>3605</v>
      </c>
      <c r="AN362" s="197">
        <f t="shared" si="358"/>
        <v>9674</v>
      </c>
      <c r="AO362" s="197">
        <f t="shared" si="358"/>
        <v>25148</v>
      </c>
      <c r="AP362" s="198">
        <f>SUM(AP324:AP328,AP330:AP336,AP338:AP339,AP341:AP343,AP345,AP347,AP349:AP350,AP352:AP360)</f>
        <v>1881</v>
      </c>
      <c r="AU362" s="201">
        <f t="shared" ref="AU362" si="359">IFERROR(BG362/BM362,0)</f>
        <v>0.75219780219780219</v>
      </c>
      <c r="AV362" s="202">
        <f t="shared" ref="AV362" si="360">IFERROR(BH362/BN362,0)</f>
        <v>0.60602258469259729</v>
      </c>
      <c r="AW362" s="202">
        <f t="shared" ref="AW362" si="361">IFERROR(BI362/BO362,0)</f>
        <v>0.41619047619047617</v>
      </c>
      <c r="AX362" s="202">
        <f t="shared" ref="AX362" si="362">IFERROR(BJ362/BP362,0)</f>
        <v>0.83097215437225203</v>
      </c>
      <c r="AY362" s="202">
        <f t="shared" ref="AY362" si="363">IFERROR(BK362/BQ362,0)</f>
        <v>0.70685478124554657</v>
      </c>
      <c r="AZ362" s="203">
        <f t="shared" ref="AZ362" si="364">IFERROR(BL362/BR362,0)</f>
        <v>0.41450174486234975</v>
      </c>
      <c r="BA362" s="206">
        <f t="shared" ref="BA362" si="365">IFERROR(BM362/SUM($BM362:$BR362),0)</f>
        <v>0.13136526038471255</v>
      </c>
      <c r="BB362" s="207">
        <f t="shared" ref="BB362" si="366">IFERROR(BN362/SUM($BM362:$BR362),0)</f>
        <v>0.11505287090836912</v>
      </c>
      <c r="BC362" s="207">
        <f t="shared" ref="BC362" si="367">IFERROR(BO362/SUM($BM362:$BR362),0)</f>
        <v>3.789382511097477E-2</v>
      </c>
      <c r="BD362" s="207">
        <f t="shared" ref="BD362" si="368">IFERROR(BP362/SUM($BM362:$BR362),0)</f>
        <v>0.36937457143888269</v>
      </c>
      <c r="BE362" s="207">
        <f t="shared" ref="BE362" si="369">IFERROR(BQ362/SUM($BM362:$BR362),0)</f>
        <v>0.25323901981305713</v>
      </c>
      <c r="BF362" s="208">
        <f t="shared" ref="BF362" si="370">IFERROR(BR362/SUM($BM362:$BR362),0)</f>
        <v>9.3074452344003758E-2</v>
      </c>
      <c r="BG362" s="209">
        <f>SUM(BG324:BG361)</f>
        <v>2738</v>
      </c>
      <c r="BH362" s="210">
        <f t="shared" ref="BH362" si="371">SUM(BH324:BH361)</f>
        <v>1932</v>
      </c>
      <c r="BI362" s="210">
        <f t="shared" ref="BI362" si="372">SUM(BI324:BI361)</f>
        <v>437</v>
      </c>
      <c r="BJ362" s="210">
        <f t="shared" ref="BJ362" si="373">SUM(BJ324:BJ361)</f>
        <v>8505</v>
      </c>
      <c r="BK362" s="210">
        <f t="shared" ref="BK362" si="374">SUM(BK324:BK361)</f>
        <v>4960</v>
      </c>
      <c r="BL362" s="211">
        <f t="shared" ref="BL362" si="375">SUM(BL324:BL361)</f>
        <v>1069</v>
      </c>
      <c r="BM362" s="196">
        <f t="shared" ref="BM362" si="376">SUM(BM324:BM361)</f>
        <v>3640</v>
      </c>
      <c r="BN362" s="197">
        <f t="shared" ref="BN362" si="377">SUM(BN324:BN361)</f>
        <v>3188</v>
      </c>
      <c r="BO362" s="197">
        <f t="shared" ref="BO362" si="378">SUM(BO324:BO361)</f>
        <v>1050</v>
      </c>
      <c r="BP362" s="197">
        <f t="shared" ref="BP362" si="379">SUM(BP324:BP361)</f>
        <v>10235</v>
      </c>
      <c r="BQ362" s="197">
        <f t="shared" ref="BQ362" si="380">SUM(BQ324:BQ361)</f>
        <v>7017</v>
      </c>
      <c r="BR362" s="198">
        <f t="shared" ref="BR362" si="381">SUM(BR324:BR361)</f>
        <v>2579</v>
      </c>
    </row>
    <row r="365" spans="1:71" x14ac:dyDescent="0.2">
      <c r="A365" s="1" t="s">
        <v>10</v>
      </c>
    </row>
    <row r="366" spans="1:71" x14ac:dyDescent="0.2">
      <c r="A366" s="1" t="s">
        <v>9</v>
      </c>
    </row>
    <row r="367" spans="1:71" x14ac:dyDescent="0.2">
      <c r="A367" s="1" t="s">
        <v>8</v>
      </c>
    </row>
    <row r="368" spans="1:71" x14ac:dyDescent="0.2">
      <c r="A368" s="1" t="s">
        <v>7</v>
      </c>
    </row>
    <row r="369" spans="1:1" x14ac:dyDescent="0.2">
      <c r="A369" s="1" t="s">
        <v>6</v>
      </c>
    </row>
    <row r="370" spans="1:1" x14ac:dyDescent="0.2">
      <c r="A370" s="1" t="s">
        <v>5</v>
      </c>
    </row>
    <row r="371" spans="1:1" x14ac:dyDescent="0.2">
      <c r="A371" s="1" t="s">
        <v>4</v>
      </c>
    </row>
    <row r="372" spans="1:1" x14ac:dyDescent="0.2">
      <c r="A372" s="1" t="s">
        <v>3</v>
      </c>
    </row>
    <row r="373" spans="1:1" x14ac:dyDescent="0.2">
      <c r="A373" s="1" t="s">
        <v>2</v>
      </c>
    </row>
    <row r="374" spans="1:1" x14ac:dyDescent="0.2">
      <c r="A374" s="1" t="s">
        <v>1</v>
      </c>
    </row>
    <row r="375" spans="1:1" x14ac:dyDescent="0.2">
      <c r="A375" s="1" t="s">
        <v>0</v>
      </c>
    </row>
    <row r="387" spans="5:18" x14ac:dyDescent="0.2">
      <c r="O387"/>
      <c r="P387"/>
      <c r="Q387"/>
      <c r="R387"/>
    </row>
    <row r="388" spans="5:18" x14ac:dyDescent="0.2">
      <c r="O388"/>
      <c r="P388"/>
      <c r="Q388"/>
      <c r="R388"/>
    </row>
    <row r="390" spans="5:18" x14ac:dyDescent="0.2">
      <c r="E390" s="55"/>
      <c r="F390" s="55"/>
      <c r="G390" s="55"/>
      <c r="K390" s="55"/>
      <c r="L390" s="55"/>
      <c r="M390" s="55"/>
    </row>
    <row r="391" spans="5:18" x14ac:dyDescent="0.2">
      <c r="L391" s="55"/>
      <c r="M391" s="55"/>
    </row>
    <row r="393" spans="5:18" x14ac:dyDescent="0.2">
      <c r="E393" s="55"/>
      <c r="F393" s="55"/>
      <c r="G393" s="55"/>
      <c r="K393" s="55"/>
      <c r="L393" s="55"/>
      <c r="M393" s="55"/>
    </row>
    <row r="394" spans="5:18" x14ac:dyDescent="0.2">
      <c r="E394" s="55"/>
      <c r="F394" s="55"/>
      <c r="G394" s="55"/>
      <c r="K394" s="55"/>
      <c r="L394" s="55"/>
      <c r="M394" s="55"/>
    </row>
  </sheetData>
  <autoFilter ref="A88:O362">
    <filterColumn colId="3" showButton="0"/>
    <filterColumn colId="4" showButton="0"/>
    <filterColumn colId="5" showButton="0"/>
    <filterColumn colId="11" showButton="0"/>
    <filterColumn colId="12" showButton="0"/>
  </autoFilter>
  <mergeCells count="140">
    <mergeCell ref="P3:R3"/>
    <mergeCell ref="AS238:AS239"/>
    <mergeCell ref="AT238:AT239"/>
    <mergeCell ref="AU238:AZ238"/>
    <mergeCell ref="BA238:BF238"/>
    <mergeCell ref="BG238:BL238"/>
    <mergeCell ref="BM238:BR238"/>
    <mergeCell ref="AS322:AS323"/>
    <mergeCell ref="AT322:AT323"/>
    <mergeCell ref="AU322:AZ322"/>
    <mergeCell ref="BA322:BF322"/>
    <mergeCell ref="BG322:BL322"/>
    <mergeCell ref="BM322:BR322"/>
    <mergeCell ref="AS280:AS281"/>
    <mergeCell ref="AT280:AT281"/>
    <mergeCell ref="AU280:AZ280"/>
    <mergeCell ref="BA280:BF280"/>
    <mergeCell ref="BG280:BL280"/>
    <mergeCell ref="BM280:BR280"/>
    <mergeCell ref="AR322:AR323"/>
    <mergeCell ref="AR238:AR239"/>
    <mergeCell ref="AR280:AR281"/>
    <mergeCell ref="AE322:AJ322"/>
    <mergeCell ref="AK322:AP322"/>
    <mergeCell ref="A1:N1"/>
    <mergeCell ref="A3:A4"/>
    <mergeCell ref="B3:B4"/>
    <mergeCell ref="C3:C4"/>
    <mergeCell ref="D3:G3"/>
    <mergeCell ref="H3:H4"/>
    <mergeCell ref="I3:I4"/>
    <mergeCell ref="K3:K4"/>
    <mergeCell ref="L3:N3"/>
    <mergeCell ref="J3:J4"/>
    <mergeCell ref="K129:K130"/>
    <mergeCell ref="L129:N129"/>
    <mergeCell ref="O129:O130"/>
    <mergeCell ref="K46:K47"/>
    <mergeCell ref="L46:N46"/>
    <mergeCell ref="O46:O47"/>
    <mergeCell ref="A88:A89"/>
    <mergeCell ref="B88:B89"/>
    <mergeCell ref="C88:C89"/>
    <mergeCell ref="D88:G88"/>
    <mergeCell ref="H88:H89"/>
    <mergeCell ref="I88:I89"/>
    <mergeCell ref="K88:K89"/>
    <mergeCell ref="A46:A47"/>
    <mergeCell ref="B46:B47"/>
    <mergeCell ref="C46:C47"/>
    <mergeCell ref="D46:G46"/>
    <mergeCell ref="H46:H47"/>
    <mergeCell ref="I46:I47"/>
    <mergeCell ref="H153:H154"/>
    <mergeCell ref="I153:I154"/>
    <mergeCell ref="F238:F239"/>
    <mergeCell ref="G238:G239"/>
    <mergeCell ref="H238:H239"/>
    <mergeCell ref="G196:G197"/>
    <mergeCell ref="H196:H197"/>
    <mergeCell ref="I196:I197"/>
    <mergeCell ref="C129:C130"/>
    <mergeCell ref="D129:G129"/>
    <mergeCell ref="H129:H130"/>
    <mergeCell ref="I129:I130"/>
    <mergeCell ref="A155:C155"/>
    <mergeCell ref="A196:A197"/>
    <mergeCell ref="B196:B197"/>
    <mergeCell ref="C196:C197"/>
    <mergeCell ref="D196:D197"/>
    <mergeCell ref="E196:E197"/>
    <mergeCell ref="F196:F197"/>
    <mergeCell ref="A153:A154"/>
    <mergeCell ref="B153:B154"/>
    <mergeCell ref="C153:C154"/>
    <mergeCell ref="D153:G153"/>
    <mergeCell ref="F322:F323"/>
    <mergeCell ref="G322:G323"/>
    <mergeCell ref="H322:H323"/>
    <mergeCell ref="I322:I323"/>
    <mergeCell ref="K322:K323"/>
    <mergeCell ref="L322:N322"/>
    <mergeCell ref="A238:A239"/>
    <mergeCell ref="B238:B239"/>
    <mergeCell ref="C238:C239"/>
    <mergeCell ref="G280:G281"/>
    <mergeCell ref="H280:H281"/>
    <mergeCell ref="I280:I281"/>
    <mergeCell ref="D238:D239"/>
    <mergeCell ref="E238:E239"/>
    <mergeCell ref="A322:A323"/>
    <mergeCell ref="B322:B323"/>
    <mergeCell ref="C322:C323"/>
    <mergeCell ref="D322:D323"/>
    <mergeCell ref="E322:E323"/>
    <mergeCell ref="A280:A281"/>
    <mergeCell ref="B280:B281"/>
    <mergeCell ref="C280:C281"/>
    <mergeCell ref="D280:D281"/>
    <mergeCell ref="E280:E281"/>
    <mergeCell ref="F280:F281"/>
    <mergeCell ref="AK280:AP280"/>
    <mergeCell ref="S238:X238"/>
    <mergeCell ref="Y238:AD238"/>
    <mergeCell ref="AE238:AJ238"/>
    <mergeCell ref="AK238:AP238"/>
    <mergeCell ref="I238:I239"/>
    <mergeCell ref="K238:K239"/>
    <mergeCell ref="L238:N238"/>
    <mergeCell ref="J280:J281"/>
    <mergeCell ref="P280:P281"/>
    <mergeCell ref="Q280:Q281"/>
    <mergeCell ref="R280:R281"/>
    <mergeCell ref="P238:P239"/>
    <mergeCell ref="Q238:Q239"/>
    <mergeCell ref="R238:R239"/>
    <mergeCell ref="J322:J323"/>
    <mergeCell ref="J46:J47"/>
    <mergeCell ref="J88:J89"/>
    <mergeCell ref="J129:J130"/>
    <mergeCell ref="J153:J154"/>
    <mergeCell ref="J196:J197"/>
    <mergeCell ref="J238:J239"/>
    <mergeCell ref="AE280:AJ280"/>
    <mergeCell ref="L88:N88"/>
    <mergeCell ref="O88:O89"/>
    <mergeCell ref="P322:P323"/>
    <mergeCell ref="Q322:Q323"/>
    <mergeCell ref="R322:R323"/>
    <mergeCell ref="S280:X280"/>
    <mergeCell ref="Y280:AD280"/>
    <mergeCell ref="S322:X322"/>
    <mergeCell ref="Y322:AD322"/>
    <mergeCell ref="K280:K281"/>
    <mergeCell ref="L280:N280"/>
    <mergeCell ref="K196:K197"/>
    <mergeCell ref="L196:N196"/>
    <mergeCell ref="K153:K154"/>
    <mergeCell ref="L153:N153"/>
    <mergeCell ref="O153:O154"/>
  </mergeCells>
  <conditionalFormatting sqref="D142:N142">
    <cfRule type="colorScale" priority="45">
      <colorScale>
        <cfvo type="min"/>
        <cfvo type="max"/>
        <color theme="6" tint="0.79998168889431442"/>
        <color theme="6" tint="-0.499984740745262"/>
      </colorScale>
    </cfRule>
  </conditionalFormatting>
  <conditionalFormatting sqref="D131:N135">
    <cfRule type="cellIs" dxfId="26" priority="47" operator="equal">
      <formula>$D$150</formula>
    </cfRule>
    <cfRule type="cellIs" dxfId="25" priority="48" operator="equal">
      <formula>$E$150</formula>
    </cfRule>
    <cfRule type="cellIs" dxfId="24" priority="49" operator="equal">
      <formula>$F$150</formula>
    </cfRule>
    <cfRule type="cellIs" dxfId="23" priority="50" operator="equal">
      <formula>$G$150</formula>
    </cfRule>
    <cfRule type="cellIs" dxfId="22" priority="51" operator="equal">
      <formula>$H$150</formula>
    </cfRule>
    <cfRule type="cellIs" dxfId="21" priority="52" operator="equal">
      <formula>$I$150</formula>
    </cfRule>
    <cfRule type="cellIs" dxfId="20" priority="53" operator="equal">
      <formula>$K$150</formula>
    </cfRule>
    <cfRule type="cellIs" dxfId="19" priority="54" operator="equal">
      <formula>$L$150</formula>
    </cfRule>
    <cfRule type="cellIs" dxfId="18" priority="55" operator="equal">
      <formula>#REF!</formula>
    </cfRule>
  </conditionalFormatting>
  <pageMargins left="0.25" right="0.25" top="0.5" bottom="0.2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Below="0" summaryRight="0"/>
  </sheetPr>
  <dimension ref="A1:U394"/>
  <sheetViews>
    <sheetView showGridLines="0" zoomScale="70" zoomScaleNormal="70" workbookViewId="0">
      <pane xSplit="2" ySplit="4" topLeftCell="C143" activePane="bottomRight" state="frozen"/>
      <selection pane="topRight" activeCell="C1" sqref="C1"/>
      <selection pane="bottomLeft" activeCell="A6" sqref="A6"/>
      <selection pane="bottomRight" activeCell="J156" sqref="J156"/>
    </sheetView>
  </sheetViews>
  <sheetFormatPr defaultRowHeight="12.75" outlineLevelRow="1" x14ac:dyDescent="0.2"/>
  <cols>
    <col min="1" max="1" width="7.28515625" style="1" customWidth="1"/>
    <col min="2" max="2" width="10.85546875" style="1" bestFit="1" customWidth="1"/>
    <col min="3" max="3" width="13.7109375" style="1" bestFit="1" customWidth="1"/>
    <col min="4" max="4" width="13.140625" style="1" customWidth="1"/>
    <col min="5" max="5" width="12.5703125" style="1" customWidth="1"/>
    <col min="6" max="6" width="13" style="1" customWidth="1"/>
    <col min="7" max="7" width="13.7109375" style="1" customWidth="1"/>
    <col min="8" max="8" width="12.85546875" style="1" customWidth="1"/>
    <col min="9" max="9" width="12.28515625" style="1" customWidth="1"/>
    <col min="10" max="10" width="12.85546875" style="1" bestFit="1" customWidth="1"/>
    <col min="11" max="11" width="12.42578125" style="1" customWidth="1"/>
    <col min="12" max="14" width="12.5703125" style="1" bestFit="1" customWidth="1"/>
    <col min="15" max="15" width="16.85546875" style="1" customWidth="1"/>
    <col min="16" max="16" width="17.7109375" style="1" customWidth="1"/>
    <col min="17" max="17" width="12.7109375" style="1" customWidth="1"/>
    <col min="18" max="18" width="13.5703125" style="1" customWidth="1"/>
    <col min="19" max="53" width="11.28515625" style="1" customWidth="1"/>
    <col min="54" max="54" width="2.42578125" style="1" customWidth="1"/>
    <col min="55" max="16384" width="9.140625" style="1"/>
  </cols>
  <sheetData>
    <row r="1" spans="1:18" ht="41.25" customHeight="1" x14ac:dyDescent="0.2">
      <c r="A1" s="284" t="s">
        <v>137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18" ht="13.5" thickBot="1" x14ac:dyDescent="0.25">
      <c r="A2" s="86"/>
      <c r="B2" s="85"/>
      <c r="C2" s="85"/>
      <c r="D2" s="85"/>
      <c r="E2" s="85"/>
      <c r="F2" s="85"/>
      <c r="G2" s="85"/>
      <c r="H2" s="85"/>
    </row>
    <row r="3" spans="1:18" ht="12.75" customHeight="1" x14ac:dyDescent="0.2">
      <c r="A3" s="315" t="s">
        <v>24</v>
      </c>
      <c r="B3" s="317" t="s">
        <v>23</v>
      </c>
      <c r="C3" s="319" t="s">
        <v>74</v>
      </c>
      <c r="D3" s="321" t="s">
        <v>35</v>
      </c>
      <c r="E3" s="321"/>
      <c r="F3" s="321"/>
      <c r="G3" s="321"/>
      <c r="H3" s="322" t="s">
        <v>18</v>
      </c>
      <c r="I3" s="324" t="s">
        <v>17</v>
      </c>
      <c r="J3" s="269"/>
      <c r="K3" s="326" t="s">
        <v>16</v>
      </c>
      <c r="L3" s="328" t="s">
        <v>34</v>
      </c>
      <c r="M3" s="329"/>
      <c r="N3" s="329"/>
      <c r="P3" s="312" t="s">
        <v>150</v>
      </c>
      <c r="Q3" s="313"/>
      <c r="R3" s="314"/>
    </row>
    <row r="4" spans="1:18" ht="54" customHeight="1" thickBot="1" x14ac:dyDescent="0.25">
      <c r="A4" s="316"/>
      <c r="B4" s="318"/>
      <c r="C4" s="320"/>
      <c r="D4" s="264"/>
      <c r="E4" s="265" t="s">
        <v>33</v>
      </c>
      <c r="F4" s="265" t="s">
        <v>32</v>
      </c>
      <c r="G4" s="266" t="s">
        <v>31</v>
      </c>
      <c r="H4" s="323"/>
      <c r="I4" s="325"/>
      <c r="J4" s="270" t="s">
        <v>127</v>
      </c>
      <c r="K4" s="327"/>
      <c r="L4" s="267" t="s">
        <v>14</v>
      </c>
      <c r="M4" s="268" t="s">
        <v>13</v>
      </c>
      <c r="N4" s="266" t="s">
        <v>12</v>
      </c>
      <c r="P4" s="261" t="s">
        <v>103</v>
      </c>
      <c r="Q4" s="262" t="s">
        <v>148</v>
      </c>
      <c r="R4" s="263" t="s">
        <v>149</v>
      </c>
    </row>
    <row r="5" spans="1:18" x14ac:dyDescent="0.2">
      <c r="A5" s="40">
        <v>3656</v>
      </c>
      <c r="B5" s="39" t="s">
        <v>73</v>
      </c>
      <c r="C5" s="83">
        <f t="shared" ref="C5:C42" si="0">SUM(D5:N5)</f>
        <v>13624729.791159937</v>
      </c>
      <c r="D5" s="103">
        <f>D48/$C$86*$C$43</f>
        <v>7127811.5208515208</v>
      </c>
      <c r="E5" s="80">
        <f t="shared" ref="E5:N20" si="1">E48/$C$86*$C$43</f>
        <v>2216749.3829848231</v>
      </c>
      <c r="F5" s="80">
        <f t="shared" si="1"/>
        <v>0</v>
      </c>
      <c r="G5" s="79">
        <f t="shared" si="1"/>
        <v>49330.06807489018</v>
      </c>
      <c r="H5" s="81">
        <f t="shared" si="1"/>
        <v>82528.675811786437</v>
      </c>
      <c r="I5" s="79">
        <f t="shared" si="1"/>
        <v>1886.2670788501475</v>
      </c>
      <c r="J5" s="82">
        <f t="shared" si="1"/>
        <v>20751.17706836628</v>
      </c>
      <c r="K5" s="82">
        <f t="shared" si="1"/>
        <v>44261.181145821727</v>
      </c>
      <c r="L5" s="81">
        <f t="shared" si="1"/>
        <v>3884264.288060152</v>
      </c>
      <c r="M5" s="80">
        <f t="shared" si="1"/>
        <v>163365.80370927331</v>
      </c>
      <c r="N5" s="79">
        <f t="shared" si="1"/>
        <v>33781.426374453295</v>
      </c>
      <c r="P5" s="92">
        <v>5.3941374102444546E-2</v>
      </c>
      <c r="Q5" s="257">
        <f t="shared" ref="Q5:Q42" si="2">MIN(0,C48/$C$86-P5+$Q$44)*-1*$R$43</f>
        <v>0</v>
      </c>
      <c r="R5" s="257">
        <f t="shared" ref="R5:R42" si="3">C5+Q5</f>
        <v>13624729.791159937</v>
      </c>
    </row>
    <row r="6" spans="1:18" x14ac:dyDescent="0.2">
      <c r="A6" s="20">
        <v>3658</v>
      </c>
      <c r="B6" s="19" t="s">
        <v>72</v>
      </c>
      <c r="C6" s="58">
        <f t="shared" si="0"/>
        <v>25267701.086867508</v>
      </c>
      <c r="D6" s="15">
        <f t="shared" ref="D6:N21" si="4">D49/$C$86*$C$43</f>
        <v>12707807.453708915</v>
      </c>
      <c r="E6" s="14">
        <f t="shared" si="4"/>
        <v>6320863.4274748145</v>
      </c>
      <c r="F6" s="14">
        <f t="shared" si="4"/>
        <v>0</v>
      </c>
      <c r="G6" s="13">
        <f t="shared" si="4"/>
        <v>91847.869413786248</v>
      </c>
      <c r="H6" s="15">
        <f t="shared" si="4"/>
        <v>101121.87987473789</v>
      </c>
      <c r="I6" s="13">
        <f t="shared" si="4"/>
        <v>3556.9607772602781</v>
      </c>
      <c r="J6" s="16">
        <f t="shared" si="1"/>
        <v>11695.02753853013</v>
      </c>
      <c r="K6" s="16">
        <f t="shared" si="4"/>
        <v>49294.304333456348</v>
      </c>
      <c r="L6" s="15">
        <f t="shared" si="4"/>
        <v>5453575.9995461553</v>
      </c>
      <c r="M6" s="14">
        <f t="shared" si="4"/>
        <v>127920.87409249738</v>
      </c>
      <c r="N6" s="13">
        <f t="shared" si="4"/>
        <v>400017.29010736005</v>
      </c>
      <c r="P6" s="92">
        <v>9.7535367886092073E-2</v>
      </c>
      <c r="Q6" s="258">
        <f t="shared" si="2"/>
        <v>0</v>
      </c>
      <c r="R6" s="258">
        <f t="shared" si="3"/>
        <v>25267701.086867508</v>
      </c>
    </row>
    <row r="7" spans="1:18" x14ac:dyDescent="0.2">
      <c r="A7" s="20">
        <v>9741</v>
      </c>
      <c r="B7" s="19" t="s">
        <v>71</v>
      </c>
      <c r="C7" s="58">
        <f t="shared" si="0"/>
        <v>6904301.7249797257</v>
      </c>
      <c r="D7" s="15">
        <f t="shared" si="4"/>
        <v>3399133.7125144857</v>
      </c>
      <c r="E7" s="14">
        <f t="shared" si="4"/>
        <v>1433754.5999386101</v>
      </c>
      <c r="F7" s="14">
        <f t="shared" si="4"/>
        <v>0</v>
      </c>
      <c r="G7" s="13">
        <f t="shared" si="4"/>
        <v>24153.32528865436</v>
      </c>
      <c r="H7" s="15">
        <f t="shared" si="4"/>
        <v>22725.027188051776</v>
      </c>
      <c r="I7" s="13">
        <f t="shared" si="4"/>
        <v>1724.5870435201346</v>
      </c>
      <c r="J7" s="16">
        <f t="shared" si="1"/>
        <v>10255.63953378796</v>
      </c>
      <c r="K7" s="16">
        <f t="shared" si="4"/>
        <v>18745.187864388983</v>
      </c>
      <c r="L7" s="15">
        <f t="shared" si="4"/>
        <v>1883514.9614685364</v>
      </c>
      <c r="M7" s="14">
        <f t="shared" si="4"/>
        <v>90951.329549645845</v>
      </c>
      <c r="N7" s="13">
        <f t="shared" si="4"/>
        <v>19343.354590043898</v>
      </c>
      <c r="P7" s="92">
        <v>3.0845130992374833E-2</v>
      </c>
      <c r="Q7" s="258">
        <f t="shared" si="2"/>
        <v>0</v>
      </c>
      <c r="R7" s="258">
        <f t="shared" si="3"/>
        <v>6904301.7249797257</v>
      </c>
    </row>
    <row r="8" spans="1:18" x14ac:dyDescent="0.2">
      <c r="A8" s="20">
        <v>3661</v>
      </c>
      <c r="B8" s="19" t="s">
        <v>70</v>
      </c>
      <c r="C8" s="58">
        <f t="shared" si="0"/>
        <v>8133051.8812047439</v>
      </c>
      <c r="D8" s="15">
        <f t="shared" si="4"/>
        <v>4342311.6419376442</v>
      </c>
      <c r="E8" s="14">
        <f t="shared" si="4"/>
        <v>1016100.9242134086</v>
      </c>
      <c r="F8" s="14">
        <f t="shared" si="4"/>
        <v>0</v>
      </c>
      <c r="G8" s="13">
        <f t="shared" si="4"/>
        <v>29820.315812324865</v>
      </c>
      <c r="H8" s="15">
        <f t="shared" si="4"/>
        <v>35300.141047052763</v>
      </c>
      <c r="I8" s="13">
        <f t="shared" si="4"/>
        <v>4850.4010599003786</v>
      </c>
      <c r="J8" s="16">
        <f t="shared" si="1"/>
        <v>10744.905193294619</v>
      </c>
      <c r="K8" s="16">
        <f t="shared" si="4"/>
        <v>35004.590523219944</v>
      </c>
      <c r="L8" s="15">
        <f t="shared" si="4"/>
        <v>2478777.6586928312</v>
      </c>
      <c r="M8" s="14">
        <f t="shared" si="4"/>
        <v>143096.00091880871</v>
      </c>
      <c r="N8" s="13">
        <f t="shared" si="4"/>
        <v>37045.301806258998</v>
      </c>
      <c r="P8" s="92">
        <v>3.8067899960727944E-2</v>
      </c>
      <c r="Q8" s="258">
        <f t="shared" si="2"/>
        <v>0</v>
      </c>
      <c r="R8" s="258">
        <f t="shared" si="3"/>
        <v>8133051.8812047439</v>
      </c>
    </row>
    <row r="9" spans="1:18" x14ac:dyDescent="0.2">
      <c r="A9" s="20">
        <v>3599</v>
      </c>
      <c r="B9" s="19" t="s">
        <v>69</v>
      </c>
      <c r="C9" s="58">
        <f t="shared" si="0"/>
        <v>7526727.7086973358</v>
      </c>
      <c r="D9" s="15">
        <f t="shared" si="4"/>
        <v>3664757.6173369717</v>
      </c>
      <c r="E9" s="14">
        <f t="shared" si="4"/>
        <v>94770.63198433409</v>
      </c>
      <c r="F9" s="14">
        <f t="shared" si="4"/>
        <v>0</v>
      </c>
      <c r="G9" s="13">
        <f t="shared" si="4"/>
        <v>24309.401034037015</v>
      </c>
      <c r="H9" s="15">
        <f t="shared" si="4"/>
        <v>28042.503905572194</v>
      </c>
      <c r="I9" s="13">
        <f t="shared" si="4"/>
        <v>1509.013663080118</v>
      </c>
      <c r="J9" s="16">
        <f t="shared" si="1"/>
        <v>8560.570765045537</v>
      </c>
      <c r="K9" s="16">
        <f t="shared" si="4"/>
        <v>33214.82517521816</v>
      </c>
      <c r="L9" s="15">
        <f t="shared" si="4"/>
        <v>2315520.7560497061</v>
      </c>
      <c r="M9" s="14">
        <f t="shared" si="4"/>
        <v>1319312.74224131</v>
      </c>
      <c r="N9" s="13">
        <f t="shared" si="4"/>
        <v>36729.646542061164</v>
      </c>
      <c r="P9" s="92">
        <v>3.6041180893975448E-2</v>
      </c>
      <c r="Q9" s="258">
        <f t="shared" si="2"/>
        <v>0</v>
      </c>
      <c r="R9" s="258">
        <f t="shared" si="3"/>
        <v>7526727.7086973358</v>
      </c>
    </row>
    <row r="10" spans="1:18" x14ac:dyDescent="0.2">
      <c r="A10" s="20">
        <v>30646</v>
      </c>
      <c r="B10" s="19" t="s">
        <v>68</v>
      </c>
      <c r="C10" s="58">
        <f t="shared" si="0"/>
        <v>2915925.9712180072</v>
      </c>
      <c r="D10" s="15">
        <f t="shared" si="4"/>
        <v>1551129.9682682066</v>
      </c>
      <c r="E10" s="14">
        <f t="shared" si="4"/>
        <v>535370.73967411579</v>
      </c>
      <c r="F10" s="14">
        <f t="shared" si="4"/>
        <v>0</v>
      </c>
      <c r="G10" s="13">
        <f t="shared" si="4"/>
        <v>9932.6926329872495</v>
      </c>
      <c r="H10" s="15">
        <f t="shared" si="4"/>
        <v>6700.7392420105234</v>
      </c>
      <c r="I10" s="13">
        <f t="shared" si="4"/>
        <v>988.04466035007715</v>
      </c>
      <c r="J10" s="16">
        <f t="shared" si="1"/>
        <v>8484.8135016380547</v>
      </c>
      <c r="K10" s="16">
        <f t="shared" si="4"/>
        <v>39914.608157817405</v>
      </c>
      <c r="L10" s="15">
        <f t="shared" si="4"/>
        <v>753595.37774593325</v>
      </c>
      <c r="M10" s="14">
        <f t="shared" si="4"/>
        <v>7902.4295391930318</v>
      </c>
      <c r="N10" s="13">
        <f t="shared" si="4"/>
        <v>1906.5577957549797</v>
      </c>
      <c r="P10" s="92">
        <v>1.3127311227878089E-2</v>
      </c>
      <c r="Q10" s="258">
        <f t="shared" si="2"/>
        <v>0</v>
      </c>
      <c r="R10" s="258">
        <f t="shared" si="3"/>
        <v>2915925.9712180072</v>
      </c>
    </row>
    <row r="11" spans="1:18" x14ac:dyDescent="0.2">
      <c r="A11" s="20">
        <v>9930</v>
      </c>
      <c r="B11" s="19" t="s">
        <v>67</v>
      </c>
      <c r="C11" s="58">
        <f t="shared" si="0"/>
        <v>1443317.0092153745</v>
      </c>
      <c r="D11" s="15">
        <f t="shared" si="4"/>
        <v>757572.63407482626</v>
      </c>
      <c r="E11" s="14">
        <f t="shared" si="4"/>
        <v>201817.34971753374</v>
      </c>
      <c r="F11" s="14">
        <f t="shared" si="4"/>
        <v>0</v>
      </c>
      <c r="G11" s="13">
        <f t="shared" si="4"/>
        <v>4742.0101202281821</v>
      </c>
      <c r="H11" s="15">
        <f t="shared" si="4"/>
        <v>2227.591597880174</v>
      </c>
      <c r="I11" s="13">
        <f t="shared" si="4"/>
        <v>538.93345110004213</v>
      </c>
      <c r="J11" s="16">
        <f t="shared" si="1"/>
        <v>2351.6317182739394</v>
      </c>
      <c r="K11" s="16">
        <f t="shared" si="4"/>
        <v>17002.770806016877</v>
      </c>
      <c r="L11" s="15">
        <f t="shared" si="4"/>
        <v>446399.67462859128</v>
      </c>
      <c r="M11" s="14">
        <f t="shared" si="4"/>
        <v>6983.8727203773042</v>
      </c>
      <c r="N11" s="13">
        <f t="shared" si="4"/>
        <v>3680.5403805468641</v>
      </c>
      <c r="P11" s="92">
        <v>6.658597974462911E-3</v>
      </c>
      <c r="Q11" s="258">
        <f t="shared" si="2"/>
        <v>0</v>
      </c>
      <c r="R11" s="258">
        <f t="shared" si="3"/>
        <v>1443317.0092153745</v>
      </c>
    </row>
    <row r="12" spans="1:18" x14ac:dyDescent="0.2">
      <c r="A12" s="20">
        <v>10115</v>
      </c>
      <c r="B12" s="19" t="s">
        <v>66</v>
      </c>
      <c r="C12" s="58">
        <f t="shared" si="0"/>
        <v>11562255.54156848</v>
      </c>
      <c r="D12" s="15">
        <f t="shared" si="4"/>
        <v>5851775.1153317364</v>
      </c>
      <c r="E12" s="14">
        <f t="shared" si="4"/>
        <v>1480499.1041789292</v>
      </c>
      <c r="F12" s="14">
        <f t="shared" si="4"/>
        <v>0</v>
      </c>
      <c r="G12" s="13">
        <f t="shared" si="4"/>
        <v>39839.860991254842</v>
      </c>
      <c r="H12" s="15">
        <f t="shared" si="4"/>
        <v>21126.19128312165</v>
      </c>
      <c r="I12" s="13">
        <f t="shared" si="4"/>
        <v>2676.7028071302093</v>
      </c>
      <c r="J12" s="16">
        <f t="shared" si="1"/>
        <v>13317.495596507049</v>
      </c>
      <c r="K12" s="16">
        <f t="shared" si="4"/>
        <v>44370.082211969981</v>
      </c>
      <c r="L12" s="15">
        <f t="shared" si="4"/>
        <v>3869112.8353786566</v>
      </c>
      <c r="M12" s="14">
        <f t="shared" si="4"/>
        <v>189999.21662596639</v>
      </c>
      <c r="N12" s="13">
        <f t="shared" si="4"/>
        <v>49538.937163209674</v>
      </c>
      <c r="P12" s="92">
        <v>5.1993931386758195E-2</v>
      </c>
      <c r="Q12" s="258">
        <f t="shared" si="2"/>
        <v>0</v>
      </c>
      <c r="R12" s="258">
        <f t="shared" si="3"/>
        <v>11562255.54156848</v>
      </c>
    </row>
    <row r="13" spans="1:18" x14ac:dyDescent="0.2">
      <c r="A13" s="20">
        <v>11163</v>
      </c>
      <c r="B13" s="19" t="s">
        <v>65</v>
      </c>
      <c r="C13" s="58">
        <f t="shared" si="0"/>
        <v>3127819.2703911611</v>
      </c>
      <c r="D13" s="15">
        <f t="shared" si="4"/>
        <v>1690333.939779456</v>
      </c>
      <c r="E13" s="14">
        <f t="shared" si="4"/>
        <v>522989.32096776378</v>
      </c>
      <c r="F13" s="14">
        <f t="shared" si="4"/>
        <v>0</v>
      </c>
      <c r="G13" s="13">
        <f t="shared" si="4"/>
        <v>11186.79099764523</v>
      </c>
      <c r="H13" s="15">
        <f t="shared" si="4"/>
        <v>20299.826658101585</v>
      </c>
      <c r="I13" s="13">
        <f t="shared" si="4"/>
        <v>754.50683154005901</v>
      </c>
      <c r="J13" s="16">
        <f t="shared" si="1"/>
        <v>6025.8589935368473</v>
      </c>
      <c r="K13" s="16">
        <f t="shared" si="4"/>
        <v>40156.084434928758</v>
      </c>
      <c r="L13" s="15">
        <f t="shared" si="4"/>
        <v>816095.12005710648</v>
      </c>
      <c r="M13" s="14">
        <f t="shared" si="4"/>
        <v>12641.993331123662</v>
      </c>
      <c r="N13" s="13">
        <f t="shared" si="4"/>
        <v>7335.8283399578995</v>
      </c>
      <c r="P13" s="92">
        <v>1.2069401585431769E-2</v>
      </c>
      <c r="Q13" s="258">
        <f t="shared" si="2"/>
        <v>0</v>
      </c>
      <c r="R13" s="258">
        <f t="shared" si="3"/>
        <v>3127819.2703911611</v>
      </c>
    </row>
    <row r="14" spans="1:18" x14ac:dyDescent="0.2">
      <c r="A14" s="20">
        <v>3632</v>
      </c>
      <c r="B14" s="19" t="s">
        <v>64</v>
      </c>
      <c r="C14" s="58">
        <f t="shared" si="0"/>
        <v>25182991.411781061</v>
      </c>
      <c r="D14" s="15">
        <f t="shared" si="4"/>
        <v>12414248.058004916</v>
      </c>
      <c r="E14" s="14">
        <f t="shared" si="4"/>
        <v>6261746.7204576787</v>
      </c>
      <c r="F14" s="14">
        <f t="shared" si="4"/>
        <v>0</v>
      </c>
      <c r="G14" s="13">
        <f t="shared" si="4"/>
        <v>95192.868248488972</v>
      </c>
      <c r="H14" s="15">
        <f t="shared" si="4"/>
        <v>95013.967428937423</v>
      </c>
      <c r="I14" s="13">
        <f t="shared" si="4"/>
        <v>6790.5614838605297</v>
      </c>
      <c r="J14" s="16">
        <f t="shared" si="1"/>
        <v>22402.054100121008</v>
      </c>
      <c r="K14" s="16">
        <f t="shared" si="4"/>
        <v>52897.509174274739</v>
      </c>
      <c r="L14" s="15">
        <f t="shared" si="4"/>
        <v>5716264.3104116004</v>
      </c>
      <c r="M14" s="14">
        <f t="shared" si="4"/>
        <v>126524.09954842193</v>
      </c>
      <c r="N14" s="13">
        <f t="shared" si="4"/>
        <v>391911.26292275946</v>
      </c>
      <c r="P14" s="92">
        <v>0.10514316433214833</v>
      </c>
      <c r="Q14" s="258">
        <f t="shared" si="2"/>
        <v>0</v>
      </c>
      <c r="R14" s="258">
        <f t="shared" si="3"/>
        <v>25182991.411781061</v>
      </c>
    </row>
    <row r="15" spans="1:18" x14ac:dyDescent="0.2">
      <c r="A15" s="20">
        <v>10298</v>
      </c>
      <c r="B15" s="19" t="s">
        <v>63</v>
      </c>
      <c r="C15" s="58">
        <f t="shared" si="0"/>
        <v>1345133.7058531221</v>
      </c>
      <c r="D15" s="15">
        <f t="shared" si="4"/>
        <v>586645.30851169338</v>
      </c>
      <c r="E15" s="14">
        <f t="shared" si="4"/>
        <v>220813.29412380143</v>
      </c>
      <c r="F15" s="14">
        <f t="shared" si="4"/>
        <v>0</v>
      </c>
      <c r="G15" s="13">
        <f t="shared" si="4"/>
        <v>5000.1687780523562</v>
      </c>
      <c r="H15" s="15">
        <f t="shared" si="4"/>
        <v>3018.0273261602356</v>
      </c>
      <c r="I15" s="13">
        <f t="shared" si="4"/>
        <v>0</v>
      </c>
      <c r="J15" s="16">
        <f t="shared" si="1"/>
        <v>965.90510844540347</v>
      </c>
      <c r="K15" s="16">
        <f t="shared" si="4"/>
        <v>10099.390178010026</v>
      </c>
      <c r="L15" s="15">
        <f t="shared" si="4"/>
        <v>504827.46403161233</v>
      </c>
      <c r="M15" s="14">
        <f t="shared" si="4"/>
        <v>6775.5402460067262</v>
      </c>
      <c r="N15" s="13">
        <f t="shared" si="4"/>
        <v>6988.6075493402714</v>
      </c>
      <c r="P15" s="92">
        <v>7.0859752523080169E-3</v>
      </c>
      <c r="Q15" s="258">
        <f t="shared" si="2"/>
        <v>0</v>
      </c>
      <c r="R15" s="258">
        <f t="shared" si="3"/>
        <v>1345133.7058531221</v>
      </c>
    </row>
    <row r="16" spans="1:18" x14ac:dyDescent="0.2">
      <c r="A16" s="20">
        <v>3630</v>
      </c>
      <c r="B16" s="19" t="s">
        <v>62</v>
      </c>
      <c r="C16" s="58">
        <f t="shared" si="0"/>
        <v>2868100.6363635515</v>
      </c>
      <c r="D16" s="15">
        <f t="shared" si="4"/>
        <v>1330013.4556976168</v>
      </c>
      <c r="E16" s="14">
        <f t="shared" si="4"/>
        <v>29659.300062056849</v>
      </c>
      <c r="F16" s="14">
        <f t="shared" si="4"/>
        <v>0</v>
      </c>
      <c r="G16" s="13">
        <f t="shared" si="4"/>
        <v>9814.8269573357138</v>
      </c>
      <c r="H16" s="15">
        <f t="shared" si="4"/>
        <v>17012.33260639133</v>
      </c>
      <c r="I16" s="13">
        <f t="shared" si="4"/>
        <v>520.96900273004064</v>
      </c>
      <c r="J16" s="16">
        <f t="shared" si="1"/>
        <v>1543.5542419274584</v>
      </c>
      <c r="K16" s="16">
        <f t="shared" si="4"/>
        <v>11401.468142826136</v>
      </c>
      <c r="L16" s="15">
        <f t="shared" si="4"/>
        <v>947723.36522760754</v>
      </c>
      <c r="M16" s="14">
        <f t="shared" si="4"/>
        <v>503264.97047383286</v>
      </c>
      <c r="N16" s="13">
        <f t="shared" si="4"/>
        <v>17146.393951226903</v>
      </c>
      <c r="P16" s="92">
        <v>1.5279410782616385E-2</v>
      </c>
      <c r="Q16" s="258">
        <f t="shared" si="2"/>
        <v>0</v>
      </c>
      <c r="R16" s="258">
        <f t="shared" si="3"/>
        <v>2868100.6363635515</v>
      </c>
    </row>
    <row r="17" spans="1:18" x14ac:dyDescent="0.2">
      <c r="A17" s="20">
        <v>3631</v>
      </c>
      <c r="B17" s="19" t="s">
        <v>61</v>
      </c>
      <c r="C17" s="58">
        <f t="shared" si="0"/>
        <v>4115772.6133805816</v>
      </c>
      <c r="D17" s="15">
        <f t="shared" si="4"/>
        <v>2195066.7072318085</v>
      </c>
      <c r="E17" s="14">
        <f t="shared" si="4"/>
        <v>62954.513163408286</v>
      </c>
      <c r="F17" s="14">
        <f t="shared" si="4"/>
        <v>0</v>
      </c>
      <c r="G17" s="13">
        <f t="shared" si="4"/>
        <v>14784.708612788387</v>
      </c>
      <c r="H17" s="15">
        <f t="shared" si="4"/>
        <v>10940.349057330855</v>
      </c>
      <c r="I17" s="13">
        <f t="shared" si="4"/>
        <v>2568.9161169102008</v>
      </c>
      <c r="J17" s="16">
        <f t="shared" si="1"/>
        <v>5905.9099931416658</v>
      </c>
      <c r="K17" s="16">
        <f t="shared" si="4"/>
        <v>16974.361832239076</v>
      </c>
      <c r="L17" s="15">
        <f t="shared" si="4"/>
        <v>1224047.9835064006</v>
      </c>
      <c r="M17" s="14">
        <f t="shared" si="4"/>
        <v>566190.84739167325</v>
      </c>
      <c r="N17" s="13">
        <f t="shared" si="4"/>
        <v>16338.316474880419</v>
      </c>
      <c r="P17" s="92">
        <v>1.9985241623354359E-2</v>
      </c>
      <c r="Q17" s="258">
        <f t="shared" si="2"/>
        <v>0</v>
      </c>
      <c r="R17" s="258">
        <f t="shared" si="3"/>
        <v>4115772.6133805816</v>
      </c>
    </row>
    <row r="18" spans="1:18" x14ac:dyDescent="0.2">
      <c r="A18" s="78">
        <v>103631</v>
      </c>
      <c r="B18" s="19" t="s">
        <v>60</v>
      </c>
      <c r="C18" s="58">
        <f t="shared" si="0"/>
        <v>1147493.2694929733</v>
      </c>
      <c r="D18" s="15">
        <f t="shared" si="4"/>
        <v>653879.87978583435</v>
      </c>
      <c r="E18" s="14">
        <f t="shared" si="4"/>
        <v>187532.74952257727</v>
      </c>
      <c r="F18" s="14">
        <f t="shared" si="4"/>
        <v>0</v>
      </c>
      <c r="G18" s="13">
        <f t="shared" si="4"/>
        <v>4041.7289166052442</v>
      </c>
      <c r="H18" s="15">
        <f t="shared" si="4"/>
        <v>2191.6627011401715</v>
      </c>
      <c r="I18" s="13">
        <f t="shared" si="4"/>
        <v>0</v>
      </c>
      <c r="J18" s="16">
        <f t="shared" si="1"/>
        <v>2130.6730333354485</v>
      </c>
      <c r="K18" s="16">
        <f t="shared" si="4"/>
        <v>13934.601638013834</v>
      </c>
      <c r="L18" s="15">
        <f t="shared" si="4"/>
        <v>281248.84040027921</v>
      </c>
      <c r="M18" s="14">
        <f t="shared" si="4"/>
        <v>1889.196756224098</v>
      </c>
      <c r="N18" s="13">
        <f t="shared" si="4"/>
        <v>643.93673896360235</v>
      </c>
      <c r="P18" s="92">
        <v>3.4527219750504121E-3</v>
      </c>
      <c r="Q18" s="258">
        <f t="shared" si="2"/>
        <v>0</v>
      </c>
      <c r="R18" s="258">
        <f t="shared" si="3"/>
        <v>1147493.2694929733</v>
      </c>
    </row>
    <row r="19" spans="1:18" x14ac:dyDescent="0.2">
      <c r="A19" s="20">
        <v>11161</v>
      </c>
      <c r="B19" s="19" t="s">
        <v>59</v>
      </c>
      <c r="C19" s="58">
        <f t="shared" si="0"/>
        <v>3890341.0836509732</v>
      </c>
      <c r="D19" s="15">
        <f t="shared" si="4"/>
        <v>1972056.2630760316</v>
      </c>
      <c r="E19" s="14">
        <f t="shared" si="4"/>
        <v>60108.274898557436</v>
      </c>
      <c r="F19" s="14">
        <f t="shared" si="4"/>
        <v>0</v>
      </c>
      <c r="G19" s="13">
        <f t="shared" si="4"/>
        <v>13277.407377953989</v>
      </c>
      <c r="H19" s="15">
        <f t="shared" si="4"/>
        <v>14353.594247631119</v>
      </c>
      <c r="I19" s="13">
        <f t="shared" si="4"/>
        <v>1383.262524490108</v>
      </c>
      <c r="J19" s="16">
        <f t="shared" si="1"/>
        <v>4580.1578835107202</v>
      </c>
      <c r="K19" s="16">
        <f t="shared" si="4"/>
        <v>15340.84584001523</v>
      </c>
      <c r="L19" s="15">
        <f t="shared" si="4"/>
        <v>1167040.6427922696</v>
      </c>
      <c r="M19" s="14">
        <f t="shared" si="4"/>
        <v>625565.60258728778</v>
      </c>
      <c r="N19" s="13">
        <f t="shared" si="4"/>
        <v>16635.032423226392</v>
      </c>
      <c r="P19" s="92">
        <v>1.9224284187157891E-2</v>
      </c>
      <c r="Q19" s="258">
        <f t="shared" si="2"/>
        <v>0</v>
      </c>
      <c r="R19" s="258">
        <f t="shared" si="3"/>
        <v>3890341.0836509732</v>
      </c>
    </row>
    <row r="20" spans="1:18" x14ac:dyDescent="0.2">
      <c r="A20" s="20">
        <v>3639</v>
      </c>
      <c r="B20" s="19" t="s">
        <v>58</v>
      </c>
      <c r="C20" s="58">
        <f t="shared" si="0"/>
        <v>2217173.0819574855</v>
      </c>
      <c r="D20" s="15">
        <f t="shared" si="4"/>
        <v>1081908.4180381109</v>
      </c>
      <c r="E20" s="14">
        <f t="shared" si="4"/>
        <v>26117.269211440005</v>
      </c>
      <c r="F20" s="14">
        <f t="shared" si="4"/>
        <v>0</v>
      </c>
      <c r="G20" s="13">
        <f t="shared" si="4"/>
        <v>8349.6499175085646</v>
      </c>
      <c r="H20" s="15">
        <f t="shared" si="4"/>
        <v>14012.269728601095</v>
      </c>
      <c r="I20" s="13">
        <f t="shared" si="4"/>
        <v>898.22241850007026</v>
      </c>
      <c r="J20" s="16">
        <f t="shared" si="1"/>
        <v>2417.9193237554873</v>
      </c>
      <c r="K20" s="16">
        <f t="shared" si="4"/>
        <v>9209.2423329721041</v>
      </c>
      <c r="L20" s="15">
        <f t="shared" si="4"/>
        <v>697345.60966587754</v>
      </c>
      <c r="M20" s="14">
        <f t="shared" si="4"/>
        <v>366333.71686480811</v>
      </c>
      <c r="N20" s="13">
        <f t="shared" si="4"/>
        <v>10580.764455911738</v>
      </c>
      <c r="P20" s="92">
        <v>1.296528221607569E-2</v>
      </c>
      <c r="Q20" s="258">
        <f t="shared" si="2"/>
        <v>0</v>
      </c>
      <c r="R20" s="258">
        <f t="shared" si="3"/>
        <v>2217173.0819574855</v>
      </c>
    </row>
    <row r="21" spans="1:18" x14ac:dyDescent="0.2">
      <c r="A21" s="78">
        <v>103639</v>
      </c>
      <c r="B21" s="19" t="s">
        <v>57</v>
      </c>
      <c r="C21" s="58">
        <f t="shared" si="0"/>
        <v>1481333.1107619933</v>
      </c>
      <c r="D21" s="15">
        <f t="shared" si="4"/>
        <v>834750.34617119899</v>
      </c>
      <c r="E21" s="14">
        <f t="shared" si="4"/>
        <v>201508.73356572745</v>
      </c>
      <c r="F21" s="14">
        <f t="shared" si="4"/>
        <v>0</v>
      </c>
      <c r="G21" s="13">
        <f t="shared" si="4"/>
        <v>4857.9976470576839</v>
      </c>
      <c r="H21" s="15">
        <f t="shared" si="4"/>
        <v>269.46672555002107</v>
      </c>
      <c r="I21" s="13">
        <f t="shared" si="4"/>
        <v>107.78669022000841</v>
      </c>
      <c r="J21" s="16">
        <f t="shared" si="4"/>
        <v>3213.3705895340545</v>
      </c>
      <c r="K21" s="16">
        <f t="shared" si="4"/>
        <v>20894.800213576298</v>
      </c>
      <c r="L21" s="15">
        <f t="shared" si="4"/>
        <v>414581.62399744859</v>
      </c>
      <c r="M21" s="14">
        <f t="shared" si="4"/>
        <v>1098.480319408498</v>
      </c>
      <c r="N21" s="13">
        <f t="shared" si="4"/>
        <v>50.504842271655079</v>
      </c>
      <c r="P21" s="92">
        <v>5.939285915308113E-3</v>
      </c>
      <c r="Q21" s="258">
        <f t="shared" si="2"/>
        <v>0</v>
      </c>
      <c r="R21" s="258">
        <f t="shared" si="3"/>
        <v>1481333.1107619933</v>
      </c>
    </row>
    <row r="22" spans="1:18" x14ac:dyDescent="0.2">
      <c r="A22" s="20">
        <v>9651</v>
      </c>
      <c r="B22" s="19" t="s">
        <v>56</v>
      </c>
      <c r="C22" s="58">
        <f t="shared" si="0"/>
        <v>2422713.5765052489</v>
      </c>
      <c r="D22" s="15">
        <f t="shared" ref="D22:N37" si="5">D65/$C$86*$C$43</f>
        <v>1121680.9813270394</v>
      </c>
      <c r="E22" s="14">
        <f t="shared" si="5"/>
        <v>31855.739869687917</v>
      </c>
      <c r="F22" s="14">
        <f t="shared" si="5"/>
        <v>0</v>
      </c>
      <c r="G22" s="13">
        <f t="shared" si="5"/>
        <v>6905.7322597251514</v>
      </c>
      <c r="H22" s="15">
        <f t="shared" si="5"/>
        <v>6233.6635843904869</v>
      </c>
      <c r="I22" s="13">
        <f t="shared" si="5"/>
        <v>1203.618040790094</v>
      </c>
      <c r="J22" s="16">
        <f t="shared" si="5"/>
        <v>3690.0100384727998</v>
      </c>
      <c r="K22" s="16">
        <f t="shared" si="5"/>
        <v>10123.064322824865</v>
      </c>
      <c r="L22" s="15">
        <f t="shared" si="5"/>
        <v>799239.12894894159</v>
      </c>
      <c r="M22" s="14">
        <f t="shared" si="5"/>
        <v>432810.71550487413</v>
      </c>
      <c r="N22" s="13">
        <f t="shared" si="5"/>
        <v>8970.9226085027349</v>
      </c>
      <c r="P22" s="92">
        <v>1.0886031395541047E-2</v>
      </c>
      <c r="Q22" s="258">
        <f t="shared" si="2"/>
        <v>0</v>
      </c>
      <c r="R22" s="258">
        <f t="shared" si="3"/>
        <v>2422713.5765052489</v>
      </c>
    </row>
    <row r="23" spans="1:18" x14ac:dyDescent="0.2">
      <c r="A23" s="20">
        <v>3665</v>
      </c>
      <c r="B23" s="19" t="s">
        <v>55</v>
      </c>
      <c r="C23" s="58">
        <f t="shared" si="0"/>
        <v>3423491.5213547852</v>
      </c>
      <c r="D23" s="15">
        <f t="shared" si="5"/>
        <v>1783610.0703499189</v>
      </c>
      <c r="E23" s="14">
        <f t="shared" si="5"/>
        <v>50369.1483866817</v>
      </c>
      <c r="F23" s="14">
        <f t="shared" si="5"/>
        <v>0</v>
      </c>
      <c r="G23" s="13">
        <f t="shared" si="5"/>
        <v>11854.007312343454</v>
      </c>
      <c r="H23" s="15">
        <f t="shared" si="5"/>
        <v>10329.557812750805</v>
      </c>
      <c r="I23" s="13">
        <f t="shared" si="5"/>
        <v>3269.529603340256</v>
      </c>
      <c r="J23" s="16">
        <f t="shared" si="5"/>
        <v>4154.0232768436299</v>
      </c>
      <c r="K23" s="16">
        <f t="shared" si="5"/>
        <v>12632.523673197727</v>
      </c>
      <c r="L23" s="15">
        <f t="shared" si="5"/>
        <v>1017988.2270380477</v>
      </c>
      <c r="M23" s="14">
        <f t="shared" si="5"/>
        <v>516759.23301829078</v>
      </c>
      <c r="N23" s="13">
        <f t="shared" si="5"/>
        <v>12525.200883370462</v>
      </c>
      <c r="P23" s="92">
        <v>1.5183466872892367E-2</v>
      </c>
      <c r="Q23" s="258">
        <f t="shared" si="2"/>
        <v>0</v>
      </c>
      <c r="R23" s="258">
        <f t="shared" si="3"/>
        <v>3423491.5213547852</v>
      </c>
    </row>
    <row r="24" spans="1:18" x14ac:dyDescent="0.2">
      <c r="A24" s="20">
        <v>3565</v>
      </c>
      <c r="B24" s="19" t="s">
        <v>54</v>
      </c>
      <c r="C24" s="58">
        <f t="shared" si="0"/>
        <v>3540993.3329031286</v>
      </c>
      <c r="D24" s="15">
        <f t="shared" si="5"/>
        <v>1881147.5469870528</v>
      </c>
      <c r="E24" s="14">
        <f t="shared" si="5"/>
        <v>49662.295240458188</v>
      </c>
      <c r="F24" s="14">
        <f t="shared" si="5"/>
        <v>0</v>
      </c>
      <c r="G24" s="13">
        <f t="shared" si="5"/>
        <v>11845.721361658298</v>
      </c>
      <c r="H24" s="15">
        <f t="shared" si="5"/>
        <v>3934.2141930303069</v>
      </c>
      <c r="I24" s="13">
        <f t="shared" si="5"/>
        <v>4006.0719865103124</v>
      </c>
      <c r="J24" s="16">
        <f t="shared" si="5"/>
        <v>7130.6524182293015</v>
      </c>
      <c r="K24" s="16">
        <f t="shared" si="5"/>
        <v>14479.106968755117</v>
      </c>
      <c r="L24" s="15">
        <f t="shared" si="5"/>
        <v>1075563.7472277344</v>
      </c>
      <c r="M24" s="14">
        <f t="shared" si="5"/>
        <v>484657.09264937002</v>
      </c>
      <c r="N24" s="13">
        <f t="shared" si="5"/>
        <v>8566.8838703294932</v>
      </c>
      <c r="P24" s="92">
        <v>1.411122580581306E-2</v>
      </c>
      <c r="Q24" s="258">
        <f t="shared" si="2"/>
        <v>0</v>
      </c>
      <c r="R24" s="258">
        <f t="shared" si="3"/>
        <v>3540993.3329031286</v>
      </c>
    </row>
    <row r="25" spans="1:18" x14ac:dyDescent="0.2">
      <c r="A25" s="20">
        <v>29269</v>
      </c>
      <c r="B25" s="19" t="s">
        <v>53</v>
      </c>
      <c r="C25" s="58">
        <f t="shared" si="0"/>
        <v>917570.76952670654</v>
      </c>
      <c r="D25" s="15">
        <f t="shared" si="5"/>
        <v>491001.76345974673</v>
      </c>
      <c r="E25" s="14">
        <f t="shared" si="5"/>
        <v>159681.38357087856</v>
      </c>
      <c r="F25" s="14">
        <f t="shared" si="5"/>
        <v>0</v>
      </c>
      <c r="G25" s="13">
        <f t="shared" si="5"/>
        <v>2935.1678224332763</v>
      </c>
      <c r="H25" s="15">
        <f t="shared" si="5"/>
        <v>2245.5560462501753</v>
      </c>
      <c r="I25" s="13">
        <f t="shared" si="5"/>
        <v>1041.9380054600813</v>
      </c>
      <c r="J25" s="16">
        <f t="shared" si="5"/>
        <v>2064.3854278539015</v>
      </c>
      <c r="K25" s="16">
        <f t="shared" si="5"/>
        <v>10184.617099343444</v>
      </c>
      <c r="L25" s="15">
        <f t="shared" si="5"/>
        <v>245832.31975728113</v>
      </c>
      <c r="M25" s="14">
        <f t="shared" si="5"/>
        <v>2571.0121268914413</v>
      </c>
      <c r="N25" s="13">
        <f t="shared" si="5"/>
        <v>12.62621056791377</v>
      </c>
      <c r="P25" s="92">
        <v>2.885126155730112E-3</v>
      </c>
      <c r="Q25" s="258">
        <f t="shared" si="2"/>
        <v>0</v>
      </c>
      <c r="R25" s="258">
        <f t="shared" si="3"/>
        <v>917570.76952670654</v>
      </c>
    </row>
    <row r="26" spans="1:18" x14ac:dyDescent="0.2">
      <c r="A26" s="20">
        <v>3652</v>
      </c>
      <c r="B26" s="19" t="s">
        <v>52</v>
      </c>
      <c r="C26" s="58">
        <f t="shared" si="0"/>
        <v>14355595.434246104</v>
      </c>
      <c r="D26" s="15">
        <f t="shared" si="5"/>
        <v>7242394.3817553381</v>
      </c>
      <c r="E26" s="14">
        <f t="shared" si="5"/>
        <v>2330602.512048868</v>
      </c>
      <c r="F26" s="14">
        <f t="shared" si="5"/>
        <v>0</v>
      </c>
      <c r="G26" s="13">
        <f t="shared" si="5"/>
        <v>50095.658352671991</v>
      </c>
      <c r="H26" s="15">
        <f t="shared" si="5"/>
        <v>39719.395346073106</v>
      </c>
      <c r="I26" s="13">
        <f t="shared" si="5"/>
        <v>3377.3162935602636</v>
      </c>
      <c r="J26" s="16">
        <f t="shared" si="5"/>
        <v>16881.243529300711</v>
      </c>
      <c r="K26" s="16">
        <f t="shared" si="5"/>
        <v>47911.734276269788</v>
      </c>
      <c r="L26" s="15">
        <f t="shared" si="5"/>
        <v>4319489.7663361393</v>
      </c>
      <c r="M26" s="14">
        <f t="shared" si="5"/>
        <v>242484.79568046294</v>
      </c>
      <c r="N26" s="13">
        <f t="shared" si="5"/>
        <v>62638.630627420222</v>
      </c>
      <c r="P26" s="92">
        <v>6.680079885949769E-2</v>
      </c>
      <c r="Q26" s="258">
        <f t="shared" si="2"/>
        <v>156727.0783701617</v>
      </c>
      <c r="R26" s="258">
        <f t="shared" si="3"/>
        <v>14512322.512616266</v>
      </c>
    </row>
    <row r="27" spans="1:18" x14ac:dyDescent="0.2">
      <c r="A27" s="20">
        <v>11711</v>
      </c>
      <c r="B27" s="19" t="s">
        <v>51</v>
      </c>
      <c r="C27" s="58">
        <f t="shared" si="0"/>
        <v>3081923.542705236</v>
      </c>
      <c r="D27" s="15">
        <f t="shared" si="5"/>
        <v>1691280.9055720496</v>
      </c>
      <c r="E27" s="14">
        <f t="shared" si="5"/>
        <v>527846.69812156784</v>
      </c>
      <c r="F27" s="14">
        <f t="shared" si="5"/>
        <v>0</v>
      </c>
      <c r="G27" s="13">
        <f t="shared" si="5"/>
        <v>10809.393563770331</v>
      </c>
      <c r="H27" s="15">
        <f t="shared" si="5"/>
        <v>5748.6234784004491</v>
      </c>
      <c r="I27" s="13">
        <f t="shared" si="5"/>
        <v>449.11120925003513</v>
      </c>
      <c r="J27" s="16">
        <f t="shared" si="5"/>
        <v>7638.8573935878303</v>
      </c>
      <c r="K27" s="16">
        <f t="shared" si="5"/>
        <v>32997.023042921654</v>
      </c>
      <c r="L27" s="15">
        <f t="shared" si="5"/>
        <v>790527.0436570812</v>
      </c>
      <c r="M27" s="14">
        <f t="shared" si="5"/>
        <v>13546.345663050486</v>
      </c>
      <c r="N27" s="13">
        <f t="shared" si="5"/>
        <v>1079.5410035566274</v>
      </c>
      <c r="P27" s="92">
        <v>1.0972897764284933E-2</v>
      </c>
      <c r="Q27" s="258">
        <f t="shared" si="2"/>
        <v>0</v>
      </c>
      <c r="R27" s="258">
        <f t="shared" si="3"/>
        <v>3081923.542705236</v>
      </c>
    </row>
    <row r="28" spans="1:18" x14ac:dyDescent="0.2">
      <c r="A28" s="20">
        <v>12826</v>
      </c>
      <c r="B28" s="19" t="s">
        <v>50</v>
      </c>
      <c r="C28" s="58">
        <f t="shared" si="0"/>
        <v>5681005.5931555592</v>
      </c>
      <c r="D28" s="15">
        <f t="shared" si="5"/>
        <v>3383982.2598329899</v>
      </c>
      <c r="E28" s="14">
        <f t="shared" si="5"/>
        <v>385773.97762096085</v>
      </c>
      <c r="F28" s="14">
        <f t="shared" si="5"/>
        <v>0</v>
      </c>
      <c r="G28" s="13">
        <f t="shared" si="5"/>
        <v>20223.953863340092</v>
      </c>
      <c r="H28" s="15">
        <f t="shared" si="5"/>
        <v>6988.1704159305464</v>
      </c>
      <c r="I28" s="13">
        <f t="shared" si="5"/>
        <v>89.822241850007018</v>
      </c>
      <c r="J28" s="16">
        <f t="shared" si="5"/>
        <v>9936.8277169481371</v>
      </c>
      <c r="K28" s="16">
        <f t="shared" si="5"/>
        <v>71633.227380737779</v>
      </c>
      <c r="L28" s="15">
        <f t="shared" si="5"/>
        <v>1764386.6647602702</v>
      </c>
      <c r="M28" s="14">
        <f t="shared" si="5"/>
        <v>26538.716337433758</v>
      </c>
      <c r="N28" s="13">
        <f t="shared" si="5"/>
        <v>11451.972985097791</v>
      </c>
      <c r="P28" s="92">
        <v>2.262163232206927E-2</v>
      </c>
      <c r="Q28" s="258">
        <f t="shared" si="2"/>
        <v>0</v>
      </c>
      <c r="R28" s="258">
        <f t="shared" si="3"/>
        <v>5681005.5931555592</v>
      </c>
    </row>
    <row r="29" spans="1:18" x14ac:dyDescent="0.2">
      <c r="A29" s="20">
        <v>13231</v>
      </c>
      <c r="B29" s="19" t="s">
        <v>49</v>
      </c>
      <c r="C29" s="58">
        <f t="shared" si="0"/>
        <v>1517771.9510432114</v>
      </c>
      <c r="D29" s="15">
        <f t="shared" si="5"/>
        <v>819125.41059340572</v>
      </c>
      <c r="E29" s="14">
        <f t="shared" si="5"/>
        <v>255847.3509601657</v>
      </c>
      <c r="F29" s="14">
        <f t="shared" si="5"/>
        <v>0</v>
      </c>
      <c r="G29" s="13">
        <f t="shared" si="5"/>
        <v>5134.8273137591777</v>
      </c>
      <c r="H29" s="15">
        <f t="shared" si="5"/>
        <v>5820.4812718804551</v>
      </c>
      <c r="I29" s="13">
        <f t="shared" si="5"/>
        <v>395.21786414003083</v>
      </c>
      <c r="J29" s="16">
        <f t="shared" si="5"/>
        <v>3933.0645919051394</v>
      </c>
      <c r="K29" s="16">
        <f t="shared" si="5"/>
        <v>16363.568896016248</v>
      </c>
      <c r="L29" s="15">
        <f t="shared" si="5"/>
        <v>406816.50449818163</v>
      </c>
      <c r="M29" s="14">
        <f t="shared" si="5"/>
        <v>4209.2629480782534</v>
      </c>
      <c r="N29" s="13">
        <f t="shared" si="5"/>
        <v>126.2621056791377</v>
      </c>
      <c r="P29" s="92">
        <v>5.6229417841748381E-3</v>
      </c>
      <c r="Q29" s="258">
        <f t="shared" si="2"/>
        <v>0</v>
      </c>
      <c r="R29" s="258">
        <f t="shared" si="3"/>
        <v>1517771.9510432114</v>
      </c>
    </row>
    <row r="30" spans="1:18" x14ac:dyDescent="0.2">
      <c r="A30" s="20">
        <v>3592</v>
      </c>
      <c r="B30" s="19" t="s">
        <v>48</v>
      </c>
      <c r="C30" s="58">
        <f t="shared" si="0"/>
        <v>2756349.3139394829</v>
      </c>
      <c r="D30" s="15">
        <f t="shared" si="5"/>
        <v>1465429.5640384923</v>
      </c>
      <c r="E30" s="14">
        <f t="shared" si="5"/>
        <v>386287.23308054649</v>
      </c>
      <c r="F30" s="14">
        <f t="shared" si="5"/>
        <v>0</v>
      </c>
      <c r="G30" s="13">
        <f t="shared" si="5"/>
        <v>9289.7344253425726</v>
      </c>
      <c r="H30" s="15">
        <f t="shared" si="5"/>
        <v>17964.448370001403</v>
      </c>
      <c r="I30" s="13">
        <f t="shared" si="5"/>
        <v>808.40017665006303</v>
      </c>
      <c r="J30" s="16">
        <f t="shared" si="5"/>
        <v>2380.0406920517457</v>
      </c>
      <c r="K30" s="16">
        <f t="shared" si="5"/>
        <v>29417.49234691809</v>
      </c>
      <c r="L30" s="15">
        <f t="shared" si="5"/>
        <v>817042.08584970003</v>
      </c>
      <c r="M30" s="14">
        <f t="shared" si="5"/>
        <v>14857.893285792527</v>
      </c>
      <c r="N30" s="13">
        <f t="shared" si="5"/>
        <v>12872.421673988089</v>
      </c>
      <c r="P30" s="92">
        <v>1.0364568727977754E-2</v>
      </c>
      <c r="Q30" s="258">
        <f t="shared" si="2"/>
        <v>0</v>
      </c>
      <c r="R30" s="258">
        <f t="shared" si="3"/>
        <v>2756349.3139394829</v>
      </c>
    </row>
    <row r="31" spans="1:18" x14ac:dyDescent="0.2">
      <c r="A31" s="20">
        <v>3594</v>
      </c>
      <c r="B31" s="19" t="s">
        <v>47</v>
      </c>
      <c r="C31" s="58">
        <f t="shared" si="0"/>
        <v>16424339.646742625</v>
      </c>
      <c r="D31" s="15">
        <f t="shared" si="5"/>
        <v>8546366.2781566326</v>
      </c>
      <c r="E31" s="14">
        <f t="shared" si="5"/>
        <v>2955333.4589865641</v>
      </c>
      <c r="F31" s="14">
        <f t="shared" si="5"/>
        <v>0</v>
      </c>
      <c r="G31" s="13">
        <f t="shared" si="5"/>
        <v>54031.753235113043</v>
      </c>
      <c r="H31" s="15">
        <f t="shared" si="5"/>
        <v>18144.092853701419</v>
      </c>
      <c r="I31" s="13">
        <f t="shared" si="5"/>
        <v>2335.3782881001825</v>
      </c>
      <c r="J31" s="16">
        <f t="shared" si="5"/>
        <v>21685.516650391899</v>
      </c>
      <c r="K31" s="16">
        <f t="shared" si="5"/>
        <v>54261.139915609427</v>
      </c>
      <c r="L31" s="15">
        <f t="shared" si="5"/>
        <v>4468542.1820903625</v>
      </c>
      <c r="M31" s="14">
        <f t="shared" si="5"/>
        <v>240439.34956846092</v>
      </c>
      <c r="N31" s="13">
        <f t="shared" si="5"/>
        <v>63200.496997692375</v>
      </c>
      <c r="P31" s="92">
        <v>5.9972196847224775E-2</v>
      </c>
      <c r="Q31" s="258">
        <f t="shared" si="2"/>
        <v>0</v>
      </c>
      <c r="R31" s="258">
        <f t="shared" si="3"/>
        <v>16424339.646742625</v>
      </c>
    </row>
    <row r="32" spans="1:18" x14ac:dyDescent="0.2">
      <c r="A32" s="78">
        <v>113594</v>
      </c>
      <c r="B32" s="19" t="s">
        <v>46</v>
      </c>
      <c r="C32" s="58">
        <f t="shared" si="0"/>
        <v>1061696.7251264353</v>
      </c>
      <c r="D32" s="15">
        <f t="shared" si="5"/>
        <v>573151.0459672357</v>
      </c>
      <c r="E32" s="14">
        <f t="shared" si="5"/>
        <v>198596.83742764717</v>
      </c>
      <c r="F32" s="14">
        <f t="shared" si="5"/>
        <v>0</v>
      </c>
      <c r="G32" s="13">
        <f t="shared" si="5"/>
        <v>3342.1263718003415</v>
      </c>
      <c r="H32" s="15">
        <f t="shared" si="5"/>
        <v>646.72014132005052</v>
      </c>
      <c r="I32" s="13">
        <f t="shared" si="5"/>
        <v>0</v>
      </c>
      <c r="J32" s="16">
        <f t="shared" si="5"/>
        <v>0</v>
      </c>
      <c r="K32" s="16">
        <f t="shared" si="5"/>
        <v>13146.252615679719</v>
      </c>
      <c r="L32" s="15">
        <f t="shared" si="5"/>
        <v>271589.78931582521</v>
      </c>
      <c r="M32" s="14">
        <f t="shared" si="5"/>
        <v>1015.6208125565639</v>
      </c>
      <c r="N32" s="13">
        <f t="shared" si="5"/>
        <v>208.33247437057719</v>
      </c>
      <c r="P32" s="92">
        <v>2.8602942419239919E-3</v>
      </c>
      <c r="Q32" s="258">
        <f t="shared" si="2"/>
        <v>0</v>
      </c>
      <c r="R32" s="258">
        <f t="shared" si="3"/>
        <v>1061696.7251264353</v>
      </c>
    </row>
    <row r="33" spans="1:18" x14ac:dyDescent="0.2">
      <c r="A33" s="20">
        <v>3624</v>
      </c>
      <c r="B33" s="19" t="s">
        <v>45</v>
      </c>
      <c r="C33" s="58">
        <f t="shared" si="0"/>
        <v>5364006.4007325629</v>
      </c>
      <c r="D33" s="15">
        <f t="shared" si="5"/>
        <v>2729628.8971508583</v>
      </c>
      <c r="E33" s="14">
        <f t="shared" si="5"/>
        <v>90732.864541294504</v>
      </c>
      <c r="F33" s="14">
        <f t="shared" si="5"/>
        <v>0</v>
      </c>
      <c r="G33" s="13">
        <f t="shared" si="5"/>
        <v>17621.786561872075</v>
      </c>
      <c r="H33" s="15">
        <f t="shared" si="5"/>
        <v>13365.549587281044</v>
      </c>
      <c r="I33" s="13">
        <f t="shared" si="5"/>
        <v>2407.2360815801881</v>
      </c>
      <c r="J33" s="16">
        <f t="shared" si="5"/>
        <v>5334.5739649435682</v>
      </c>
      <c r="K33" s="16">
        <f t="shared" si="5"/>
        <v>20743.285686761337</v>
      </c>
      <c r="L33" s="15">
        <f t="shared" si="5"/>
        <v>1573478.3609734143</v>
      </c>
      <c r="M33" s="14">
        <f t="shared" si="5"/>
        <v>884229.3088342112</v>
      </c>
      <c r="N33" s="13">
        <f t="shared" si="5"/>
        <v>26464.537350347262</v>
      </c>
      <c r="P33" s="92">
        <v>2.3435865298122357E-2</v>
      </c>
      <c r="Q33" s="258">
        <f t="shared" si="2"/>
        <v>0</v>
      </c>
      <c r="R33" s="258">
        <f t="shared" si="3"/>
        <v>5364006.4007325629</v>
      </c>
    </row>
    <row r="34" spans="1:18" x14ac:dyDescent="0.2">
      <c r="A34" s="20">
        <v>3642</v>
      </c>
      <c r="B34" s="19" t="s">
        <v>44</v>
      </c>
      <c r="C34" s="58">
        <f t="shared" si="0"/>
        <v>2540626.5615531537</v>
      </c>
      <c r="D34" s="15">
        <f t="shared" si="5"/>
        <v>1077173.5890751434</v>
      </c>
      <c r="E34" s="14">
        <f t="shared" si="5"/>
        <v>9285.236337827735</v>
      </c>
      <c r="F34" s="14">
        <f t="shared" si="5"/>
        <v>0</v>
      </c>
      <c r="G34" s="13">
        <f t="shared" si="5"/>
        <v>7048.5189184850315</v>
      </c>
      <c r="H34" s="15">
        <f t="shared" si="5"/>
        <v>7239.6726931105668</v>
      </c>
      <c r="I34" s="13">
        <f t="shared" si="5"/>
        <v>161.68003533001263</v>
      </c>
      <c r="J34" s="16">
        <f t="shared" si="5"/>
        <v>1070.0713456306921</v>
      </c>
      <c r="K34" s="16">
        <f t="shared" si="5"/>
        <v>9464.9230969723612</v>
      </c>
      <c r="L34" s="15">
        <f t="shared" si="5"/>
        <v>930299.19464388641</v>
      </c>
      <c r="M34" s="14">
        <f t="shared" si="5"/>
        <v>482810.50935381261</v>
      </c>
      <c r="N34" s="13">
        <f t="shared" si="5"/>
        <v>16073.16605295423</v>
      </c>
      <c r="P34" s="92">
        <v>1.3524899052819646E-2</v>
      </c>
      <c r="Q34" s="258">
        <f t="shared" si="2"/>
        <v>0</v>
      </c>
      <c r="R34" s="258">
        <f t="shared" si="3"/>
        <v>2540626.5615531537</v>
      </c>
    </row>
    <row r="35" spans="1:18" x14ac:dyDescent="0.2">
      <c r="A35" s="20">
        <v>3644</v>
      </c>
      <c r="B35" s="19" t="s">
        <v>43</v>
      </c>
      <c r="C35" s="58">
        <f t="shared" si="0"/>
        <v>13679937.35437927</v>
      </c>
      <c r="D35" s="15">
        <f t="shared" si="5"/>
        <v>6639177.1718732584</v>
      </c>
      <c r="E35" s="14">
        <f t="shared" si="5"/>
        <v>2915926.6138867345</v>
      </c>
      <c r="F35" s="14">
        <f t="shared" si="5"/>
        <v>0</v>
      </c>
      <c r="G35" s="13">
        <f t="shared" si="5"/>
        <v>47954.884350882552</v>
      </c>
      <c r="H35" s="15">
        <f t="shared" si="5"/>
        <v>39198.426343343068</v>
      </c>
      <c r="I35" s="13">
        <f t="shared" si="5"/>
        <v>3089.8851196402416</v>
      </c>
      <c r="J35" s="16">
        <f t="shared" si="5"/>
        <v>10640.738956109331</v>
      </c>
      <c r="K35" s="16">
        <f t="shared" si="5"/>
        <v>39460.064577372512</v>
      </c>
      <c r="L35" s="15">
        <f t="shared" si="5"/>
        <v>3684833.2921399544</v>
      </c>
      <c r="M35" s="14">
        <f t="shared" si="5"/>
        <v>224928.04988577883</v>
      </c>
      <c r="N35" s="13">
        <f t="shared" si="5"/>
        <v>74728.227246197639</v>
      </c>
      <c r="P35" s="92">
        <v>6.3345925146063756E-2</v>
      </c>
      <c r="Q35" s="258">
        <f t="shared" si="2"/>
        <v>21001.216197260288</v>
      </c>
      <c r="R35" s="258">
        <f t="shared" si="3"/>
        <v>13700938.57057653</v>
      </c>
    </row>
    <row r="36" spans="1:18" x14ac:dyDescent="0.2">
      <c r="A36" s="20">
        <v>3541</v>
      </c>
      <c r="B36" s="19" t="s">
        <v>42</v>
      </c>
      <c r="C36" s="58">
        <f t="shared" si="0"/>
        <v>2673423.4721379448</v>
      </c>
      <c r="D36" s="15">
        <f t="shared" si="5"/>
        <v>1408138.1335865832</v>
      </c>
      <c r="E36" s="14">
        <f t="shared" si="5"/>
        <v>363018.01083862118</v>
      </c>
      <c r="F36" s="14">
        <f t="shared" si="5"/>
        <v>0</v>
      </c>
      <c r="G36" s="13">
        <f t="shared" si="5"/>
        <v>9362.4140499241348</v>
      </c>
      <c r="H36" s="15">
        <f t="shared" si="5"/>
        <v>13706.874106311072</v>
      </c>
      <c r="I36" s="13">
        <f t="shared" si="5"/>
        <v>1041.9380054600813</v>
      </c>
      <c r="J36" s="16">
        <f t="shared" si="5"/>
        <v>1840.270190273432</v>
      </c>
      <c r="K36" s="16">
        <f t="shared" si="5"/>
        <v>30809.532062030583</v>
      </c>
      <c r="L36" s="15">
        <f t="shared" si="5"/>
        <v>817420.87216673756</v>
      </c>
      <c r="M36" s="14">
        <f t="shared" si="5"/>
        <v>14682.704614162727</v>
      </c>
      <c r="N36" s="13">
        <f t="shared" si="5"/>
        <v>13402.722517840466</v>
      </c>
      <c r="P36" s="92">
        <v>1.2561069385453944E-2</v>
      </c>
      <c r="Q36" s="258">
        <f t="shared" si="2"/>
        <v>0</v>
      </c>
      <c r="R36" s="258">
        <f t="shared" si="3"/>
        <v>2673423.4721379448</v>
      </c>
    </row>
    <row r="37" spans="1:18" x14ac:dyDescent="0.2">
      <c r="A37" s="20">
        <v>3646</v>
      </c>
      <c r="B37" s="19" t="s">
        <v>41</v>
      </c>
      <c r="C37" s="58">
        <f t="shared" si="0"/>
        <v>4530912.385027905</v>
      </c>
      <c r="D37" s="15">
        <f t="shared" si="5"/>
        <v>2565330.3321358804</v>
      </c>
      <c r="E37" s="14">
        <f t="shared" si="5"/>
        <v>80602.679035709356</v>
      </c>
      <c r="F37" s="14">
        <f t="shared" si="5"/>
        <v>0</v>
      </c>
      <c r="G37" s="13">
        <f t="shared" si="5"/>
        <v>16345.466066614494</v>
      </c>
      <c r="H37" s="15">
        <f t="shared" si="5"/>
        <v>30683.277815962399</v>
      </c>
      <c r="I37" s="13">
        <f t="shared" si="5"/>
        <v>1706.6225951501333</v>
      </c>
      <c r="J37" s="16">
        <f t="shared" si="5"/>
        <v>7607.2918671680463</v>
      </c>
      <c r="K37" s="16">
        <f t="shared" si="5"/>
        <v>17712.995150462033</v>
      </c>
      <c r="L37" s="15">
        <f t="shared" si="5"/>
        <v>1247722.1283212388</v>
      </c>
      <c r="M37" s="14">
        <f t="shared" si="5"/>
        <v>550707.956682769</v>
      </c>
      <c r="N37" s="13">
        <f t="shared" si="5"/>
        <v>12493.635356950675</v>
      </c>
      <c r="P37" s="92">
        <v>1.8983457031793705E-2</v>
      </c>
      <c r="Q37" s="258">
        <f t="shared" si="2"/>
        <v>0</v>
      </c>
      <c r="R37" s="258">
        <f t="shared" si="3"/>
        <v>4530912.385027905</v>
      </c>
    </row>
    <row r="38" spans="1:18" x14ac:dyDescent="0.2">
      <c r="A38" s="20">
        <v>3581</v>
      </c>
      <c r="B38" s="19" t="s">
        <v>40</v>
      </c>
      <c r="C38" s="58">
        <f t="shared" si="0"/>
        <v>3855961.8993777311</v>
      </c>
      <c r="D38" s="15">
        <f t="shared" ref="D38:N42" si="6">D81/$C$86*$C$43</f>
        <v>1896772.4825648458</v>
      </c>
      <c r="E38" s="14">
        <f t="shared" si="6"/>
        <v>39870.157583513064</v>
      </c>
      <c r="F38" s="14">
        <f t="shared" si="6"/>
        <v>0</v>
      </c>
      <c r="G38" s="13">
        <f t="shared" si="6"/>
        <v>12712.542282671959</v>
      </c>
      <c r="H38" s="15">
        <f t="shared" si="6"/>
        <v>17784.803886301386</v>
      </c>
      <c r="I38" s="13">
        <f t="shared" si="6"/>
        <v>916.18686687007175</v>
      </c>
      <c r="J38" s="16">
        <f t="shared" si="6"/>
        <v>2212.7434020268879</v>
      </c>
      <c r="K38" s="16">
        <f t="shared" si="6"/>
        <v>13475.323228605972</v>
      </c>
      <c r="L38" s="15">
        <f t="shared" si="6"/>
        <v>1218555.581909358</v>
      </c>
      <c r="M38" s="14">
        <f t="shared" si="6"/>
        <v>634514.42932729656</v>
      </c>
      <c r="N38" s="13">
        <f t="shared" si="6"/>
        <v>19147.648326241233</v>
      </c>
      <c r="P38" s="92">
        <v>1.8519296567582645E-2</v>
      </c>
      <c r="Q38" s="258">
        <f t="shared" si="2"/>
        <v>0</v>
      </c>
      <c r="R38" s="258">
        <f t="shared" si="3"/>
        <v>3855961.8993777311</v>
      </c>
    </row>
    <row r="39" spans="1:18" x14ac:dyDescent="0.2">
      <c r="A39" s="20">
        <v>3606</v>
      </c>
      <c r="B39" s="19" t="s">
        <v>39</v>
      </c>
      <c r="C39" s="58">
        <f t="shared" si="0"/>
        <v>8118764.2183370711</v>
      </c>
      <c r="D39" s="15">
        <f t="shared" si="6"/>
        <v>4371667.5815080432</v>
      </c>
      <c r="E39" s="14">
        <f t="shared" si="6"/>
        <v>153882.69886908316</v>
      </c>
      <c r="F39" s="14">
        <f t="shared" si="6"/>
        <v>0</v>
      </c>
      <c r="G39" s="13">
        <f t="shared" si="6"/>
        <v>27637.559660396662</v>
      </c>
      <c r="H39" s="15">
        <f t="shared" si="6"/>
        <v>9000.1886333707025</v>
      </c>
      <c r="I39" s="13">
        <f t="shared" si="6"/>
        <v>3287.4940517102568</v>
      </c>
      <c r="J39" s="16">
        <f t="shared" si="6"/>
        <v>12136.944908407113</v>
      </c>
      <c r="K39" s="16">
        <f t="shared" si="6"/>
        <v>31443.999143068253</v>
      </c>
      <c r="L39" s="15">
        <f t="shared" si="6"/>
        <v>2212680.2709740489</v>
      </c>
      <c r="M39" s="14">
        <f t="shared" si="6"/>
        <v>1263631.1536368101</v>
      </c>
      <c r="N39" s="13">
        <f t="shared" si="6"/>
        <v>33396.326952131923</v>
      </c>
      <c r="P39" s="92">
        <v>3.2554270941238916E-2</v>
      </c>
      <c r="Q39" s="258">
        <f t="shared" si="2"/>
        <v>0</v>
      </c>
      <c r="R39" s="258">
        <f t="shared" si="3"/>
        <v>8118764.2183370711</v>
      </c>
    </row>
    <row r="40" spans="1:18" x14ac:dyDescent="0.2">
      <c r="A40" s="20">
        <v>3615</v>
      </c>
      <c r="B40" s="19" t="s">
        <v>95</v>
      </c>
      <c r="C40" s="58">
        <f t="shared" si="0"/>
        <v>15202874.340506356</v>
      </c>
      <c r="D40" s="15">
        <f t="shared" si="6"/>
        <v>7615025.4211408934</v>
      </c>
      <c r="E40" s="14">
        <f t="shared" si="6"/>
        <v>2892186.6549493116</v>
      </c>
      <c r="F40" s="14">
        <f t="shared" si="6"/>
        <v>0</v>
      </c>
      <c r="G40" s="13">
        <f t="shared" si="6"/>
        <v>49418.877683468985</v>
      </c>
      <c r="H40" s="15">
        <f t="shared" si="6"/>
        <v>26335.881310422057</v>
      </c>
      <c r="I40" s="13">
        <f t="shared" si="6"/>
        <v>3592.889674000281</v>
      </c>
      <c r="J40" s="16">
        <f t="shared" si="6"/>
        <v>19049.795194339898</v>
      </c>
      <c r="K40" s="16">
        <f t="shared" si="6"/>
        <v>52206.224145681466</v>
      </c>
      <c r="L40" s="15">
        <f t="shared" si="6"/>
        <v>4244490.0755627323</v>
      </c>
      <c r="M40" s="14">
        <f t="shared" si="6"/>
        <v>237740.49705956934</v>
      </c>
      <c r="N40" s="13">
        <f t="shared" si="6"/>
        <v>62828.023785938916</v>
      </c>
      <c r="P40" s="92">
        <v>6.1387457427191858E-2</v>
      </c>
      <c r="Q40" s="258">
        <f t="shared" si="2"/>
        <v>0</v>
      </c>
      <c r="R40" s="258">
        <f t="shared" si="3"/>
        <v>15202874.340506356</v>
      </c>
    </row>
    <row r="41" spans="1:18" x14ac:dyDescent="0.2">
      <c r="A41" s="20">
        <v>3625</v>
      </c>
      <c r="B41" s="19" t="s">
        <v>38</v>
      </c>
      <c r="C41" s="58">
        <f t="shared" si="0"/>
        <v>503454.39886067359</v>
      </c>
      <c r="D41" s="15">
        <f t="shared" si="6"/>
        <v>268938.28509656328</v>
      </c>
      <c r="E41" s="14">
        <f t="shared" si="6"/>
        <v>48570.254288439333</v>
      </c>
      <c r="F41" s="14">
        <f t="shared" si="6"/>
        <v>0</v>
      </c>
      <c r="G41" s="13">
        <f t="shared" si="6"/>
        <v>1867.0851049670373</v>
      </c>
      <c r="H41" s="15">
        <f t="shared" si="6"/>
        <v>682.64903806005327</v>
      </c>
      <c r="I41" s="13">
        <f t="shared" si="6"/>
        <v>341.32451903002664</v>
      </c>
      <c r="J41" s="16">
        <f t="shared" si="6"/>
        <v>410.35184345719756</v>
      </c>
      <c r="K41" s="16">
        <f t="shared" si="6"/>
        <v>6945.9940886735621</v>
      </c>
      <c r="L41" s="15">
        <f t="shared" si="6"/>
        <v>170453.8426668359</v>
      </c>
      <c r="M41" s="14">
        <f t="shared" si="6"/>
        <v>2750.9356274842125</v>
      </c>
      <c r="N41" s="13">
        <f t="shared" si="6"/>
        <v>2493.6765871629696</v>
      </c>
      <c r="P41" s="92">
        <v>2.5717361648878246E-3</v>
      </c>
      <c r="Q41" s="258">
        <f t="shared" si="2"/>
        <v>0</v>
      </c>
      <c r="R41" s="258">
        <f t="shared" si="3"/>
        <v>503454.39886067359</v>
      </c>
    </row>
    <row r="42" spans="1:18" x14ac:dyDescent="0.2">
      <c r="A42" s="20">
        <v>20</v>
      </c>
      <c r="B42" s="19" t="s">
        <v>37</v>
      </c>
      <c r="C42" s="77">
        <f t="shared" si="0"/>
        <v>414690.36872728867</v>
      </c>
      <c r="D42" s="15">
        <f t="shared" si="6"/>
        <v>229639.20470393167</v>
      </c>
      <c r="E42" s="14">
        <f t="shared" si="6"/>
        <v>43777.640484652577</v>
      </c>
      <c r="F42" s="14">
        <f t="shared" si="6"/>
        <v>0</v>
      </c>
      <c r="G42" s="13">
        <f t="shared" si="6"/>
        <v>1321.8222015916817</v>
      </c>
      <c r="H42" s="15">
        <f t="shared" si="6"/>
        <v>341.32451903002664</v>
      </c>
      <c r="I42" s="13">
        <f t="shared" si="6"/>
        <v>305.39562229002388</v>
      </c>
      <c r="J42" s="16">
        <f t="shared" si="6"/>
        <v>1089.0106614825629</v>
      </c>
      <c r="K42" s="16">
        <f t="shared" si="6"/>
        <v>6136.3383360060916</v>
      </c>
      <c r="L42" s="15">
        <f t="shared" si="6"/>
        <v>130681.27937790753</v>
      </c>
      <c r="M42" s="14">
        <f t="shared" si="6"/>
        <v>1316.2824517050105</v>
      </c>
      <c r="N42" s="13">
        <f t="shared" si="6"/>
        <v>82.070368691439498</v>
      </c>
      <c r="P42" s="92">
        <v>1.4792799135503695E-3</v>
      </c>
      <c r="Q42" s="258">
        <f t="shared" si="2"/>
        <v>0</v>
      </c>
      <c r="R42" s="258">
        <f t="shared" si="3"/>
        <v>414690.36872728867</v>
      </c>
    </row>
    <row r="43" spans="1:18" ht="13.5" thickBot="1" x14ac:dyDescent="0.25">
      <c r="A43" s="12"/>
      <c r="B43" s="11" t="s">
        <v>11</v>
      </c>
      <c r="C43" s="75">
        <f>R43-Q43</f>
        <v>234822271.70543256</v>
      </c>
      <c r="D43" s="75">
        <f t="shared" ref="D43:N43" si="7">SUM(D5:D42)</f>
        <v>119961863.34719689</v>
      </c>
      <c r="E43" s="74">
        <f t="shared" si="7"/>
        <v>34843065.782268807</v>
      </c>
      <c r="F43" s="74">
        <f t="shared" si="7"/>
        <v>0</v>
      </c>
      <c r="G43" s="73">
        <f t="shared" si="7"/>
        <v>818240.72358443122</v>
      </c>
      <c r="H43" s="75">
        <f t="shared" si="7"/>
        <v>752997.81787697889</v>
      </c>
      <c r="I43" s="73">
        <f t="shared" si="7"/>
        <v>64582.191890155053</v>
      </c>
      <c r="J43" s="76">
        <f t="shared" ref="J43" si="8">SUM(J5:J42)</f>
        <v>276233.07825217547</v>
      </c>
      <c r="K43" s="76">
        <f t="shared" si="7"/>
        <v>1014264.2840586739</v>
      </c>
      <c r="L43" s="75">
        <f t="shared" si="7"/>
        <v>65061568.869876444</v>
      </c>
      <c r="M43" s="74">
        <f t="shared" si="7"/>
        <v>10537018.581984719</v>
      </c>
      <c r="N43" s="73">
        <f t="shared" si="7"/>
        <v>1492437.0284432592</v>
      </c>
      <c r="P43" s="248">
        <f>SUM(P5:P42)</f>
        <v>1.0000000000000002</v>
      </c>
      <c r="Q43" s="257">
        <f>SUM(Q5:Q42)</f>
        <v>177728.29456742198</v>
      </c>
      <c r="R43" s="259">
        <v>235000000</v>
      </c>
    </row>
    <row r="44" spans="1:18" x14ac:dyDescent="0.2">
      <c r="A44" s="72"/>
      <c r="C44" s="154"/>
      <c r="D44" s="155"/>
      <c r="E44" s="70"/>
      <c r="F44" s="70"/>
      <c r="G44" s="70"/>
      <c r="H44" s="70"/>
      <c r="I44" s="70"/>
      <c r="J44" s="70"/>
      <c r="K44" s="70"/>
      <c r="L44" s="70"/>
      <c r="M44" s="70"/>
      <c r="N44" s="70"/>
      <c r="P44" s="249" t="s">
        <v>147</v>
      </c>
      <c r="Q44" s="260">
        <v>5.0000000000000001E-3</v>
      </c>
    </row>
    <row r="45" spans="1:18" ht="13.5" thickBot="1" x14ac:dyDescent="0.25">
      <c r="A45" s="69" t="s">
        <v>76</v>
      </c>
    </row>
    <row r="46" spans="1:18" ht="12.75" customHeight="1" outlineLevel="1" x14ac:dyDescent="0.2">
      <c r="A46" s="273" t="s">
        <v>24</v>
      </c>
      <c r="B46" s="275" t="s">
        <v>23</v>
      </c>
      <c r="C46" s="277" t="s">
        <v>36</v>
      </c>
      <c r="D46" s="279" t="s">
        <v>35</v>
      </c>
      <c r="E46" s="280"/>
      <c r="F46" s="280"/>
      <c r="G46" s="281"/>
      <c r="H46" s="282" t="s">
        <v>18</v>
      </c>
      <c r="I46" s="291" t="s">
        <v>17</v>
      </c>
      <c r="J46" s="212"/>
      <c r="K46" s="293" t="s">
        <v>16</v>
      </c>
      <c r="L46" s="295" t="s">
        <v>34</v>
      </c>
      <c r="M46" s="296"/>
      <c r="N46" s="296"/>
      <c r="O46" s="308" t="s">
        <v>99</v>
      </c>
    </row>
    <row r="47" spans="1:18" ht="51.75" outlineLevel="1" thickBot="1" x14ac:dyDescent="0.25">
      <c r="A47" s="274"/>
      <c r="B47" s="276"/>
      <c r="C47" s="278"/>
      <c r="D47" s="68"/>
      <c r="E47" s="67" t="s">
        <v>33</v>
      </c>
      <c r="F47" s="67" t="s">
        <v>32</v>
      </c>
      <c r="G47" s="153" t="s">
        <v>31</v>
      </c>
      <c r="H47" s="283"/>
      <c r="I47" s="292"/>
      <c r="J47" s="213" t="s">
        <v>127</v>
      </c>
      <c r="K47" s="294"/>
      <c r="L47" s="44" t="s">
        <v>14</v>
      </c>
      <c r="M47" s="43" t="s">
        <v>13</v>
      </c>
      <c r="N47" s="42" t="s">
        <v>12</v>
      </c>
      <c r="O47" s="309"/>
    </row>
    <row r="48" spans="1:18" outlineLevel="1" x14ac:dyDescent="0.2">
      <c r="A48" s="20">
        <f t="shared" ref="A48:B63" si="9">A5</f>
        <v>3656</v>
      </c>
      <c r="B48" s="19" t="str">
        <f t="shared" si="9"/>
        <v>UTA</v>
      </c>
      <c r="C48" s="58">
        <f t="shared" ref="C48:C85" si="10">SUM(D48:N48)</f>
        <v>28775.547961124921</v>
      </c>
      <c r="D48" s="15">
        <f t="shared" ref="D48:N63" si="11">D90*D156</f>
        <v>15054</v>
      </c>
      <c r="E48" s="14">
        <f t="shared" si="11"/>
        <v>4681.7939999999999</v>
      </c>
      <c r="F48" s="14">
        <f t="shared" si="11"/>
        <v>0</v>
      </c>
      <c r="G48" s="13">
        <f t="shared" si="11"/>
        <v>104.18553333333379</v>
      </c>
      <c r="H48" s="36">
        <f t="shared" si="11"/>
        <v>174.30128196237882</v>
      </c>
      <c r="I48" s="35">
        <f t="shared" si="11"/>
        <v>3.9838124958750059</v>
      </c>
      <c r="J48" s="34">
        <f t="shared" si="11"/>
        <v>43.826666666666668</v>
      </c>
      <c r="K48" s="34">
        <f t="shared" si="11"/>
        <v>93.48</v>
      </c>
      <c r="L48" s="36">
        <f t="shared" si="11"/>
        <v>8203.5999999999985</v>
      </c>
      <c r="M48" s="59">
        <f t="shared" si="11"/>
        <v>345.03</v>
      </c>
      <c r="N48" s="35">
        <f t="shared" si="11"/>
        <v>71.346666666666678</v>
      </c>
      <c r="O48" s="88" t="s">
        <v>83</v>
      </c>
    </row>
    <row r="49" spans="1:15" outlineLevel="1" x14ac:dyDescent="0.2">
      <c r="A49" s="20">
        <f t="shared" si="9"/>
        <v>3658</v>
      </c>
      <c r="B49" s="19" t="str">
        <f t="shared" si="9"/>
        <v>UT</v>
      </c>
      <c r="C49" s="58">
        <f t="shared" si="10"/>
        <v>53365.604722985365</v>
      </c>
      <c r="D49" s="15">
        <f t="shared" si="11"/>
        <v>26839.000000000004</v>
      </c>
      <c r="E49" s="14">
        <f t="shared" si="11"/>
        <v>13349.718600000002</v>
      </c>
      <c r="F49" s="14">
        <f t="shared" si="11"/>
        <v>0</v>
      </c>
      <c r="G49" s="13">
        <f t="shared" si="11"/>
        <v>193.98350000000519</v>
      </c>
      <c r="H49" s="15">
        <f t="shared" si="11"/>
        <v>213.57029085028958</v>
      </c>
      <c r="I49" s="13">
        <f t="shared" si="11"/>
        <v>7.5123321350785819</v>
      </c>
      <c r="J49" s="16">
        <f t="shared" si="11"/>
        <v>24.7</v>
      </c>
      <c r="K49" s="16">
        <f t="shared" si="11"/>
        <v>104.11</v>
      </c>
      <c r="L49" s="15">
        <f t="shared" si="11"/>
        <v>11518</v>
      </c>
      <c r="M49" s="14">
        <f t="shared" si="11"/>
        <v>270.17</v>
      </c>
      <c r="N49" s="13">
        <f t="shared" si="11"/>
        <v>844.83999999999992</v>
      </c>
      <c r="O49" s="89" t="s">
        <v>82</v>
      </c>
    </row>
    <row r="50" spans="1:15" outlineLevel="1" x14ac:dyDescent="0.2">
      <c r="A50" s="20">
        <f t="shared" si="9"/>
        <v>9741</v>
      </c>
      <c r="B50" s="19" t="str">
        <f t="shared" si="9"/>
        <v>UTD</v>
      </c>
      <c r="C50" s="58">
        <f t="shared" si="10"/>
        <v>14581.945364827483</v>
      </c>
      <c r="D50" s="15">
        <f t="shared" si="11"/>
        <v>7179</v>
      </c>
      <c r="E50" s="14">
        <f t="shared" si="11"/>
        <v>3028.1021999999998</v>
      </c>
      <c r="F50" s="14">
        <f t="shared" si="11"/>
        <v>0</v>
      </c>
      <c r="G50" s="13">
        <f t="shared" si="11"/>
        <v>51.012033333334394</v>
      </c>
      <c r="H50" s="15">
        <f t="shared" si="11"/>
        <v>47.995455307446498</v>
      </c>
      <c r="I50" s="13">
        <f t="shared" si="11"/>
        <v>3.6423428533714337</v>
      </c>
      <c r="J50" s="16">
        <f t="shared" si="11"/>
        <v>21.66</v>
      </c>
      <c r="K50" s="16">
        <f t="shared" si="11"/>
        <v>39.590000000000003</v>
      </c>
      <c r="L50" s="15">
        <f t="shared" si="11"/>
        <v>3978</v>
      </c>
      <c r="M50" s="14">
        <f t="shared" si="11"/>
        <v>192.09</v>
      </c>
      <c r="N50" s="13">
        <f t="shared" si="11"/>
        <v>40.853333333333339</v>
      </c>
      <c r="O50" s="89" t="s">
        <v>83</v>
      </c>
    </row>
    <row r="51" spans="1:15" outlineLevel="1" x14ac:dyDescent="0.2">
      <c r="A51" s="20">
        <f t="shared" si="9"/>
        <v>3661</v>
      </c>
      <c r="B51" s="19" t="str">
        <f t="shared" si="9"/>
        <v>UTEP</v>
      </c>
      <c r="C51" s="58">
        <f t="shared" si="10"/>
        <v>17177.076394555057</v>
      </c>
      <c r="D51" s="15">
        <f t="shared" si="11"/>
        <v>9171</v>
      </c>
      <c r="E51" s="14">
        <f t="shared" si="11"/>
        <v>2146.0139999999997</v>
      </c>
      <c r="F51" s="14">
        <f t="shared" si="11"/>
        <v>0</v>
      </c>
      <c r="G51" s="13">
        <f t="shared" si="11"/>
        <v>62.980766666668131</v>
      </c>
      <c r="H51" s="15">
        <f t="shared" si="11"/>
        <v>74.554205279946544</v>
      </c>
      <c r="I51" s="13">
        <f t="shared" si="11"/>
        <v>10.244089275107157</v>
      </c>
      <c r="J51" s="16">
        <f t="shared" si="11"/>
        <v>22.693333333333335</v>
      </c>
      <c r="K51" s="16">
        <f t="shared" si="11"/>
        <v>73.930000000000007</v>
      </c>
      <c r="L51" s="15">
        <f t="shared" si="11"/>
        <v>5235.2</v>
      </c>
      <c r="M51" s="14">
        <f t="shared" si="11"/>
        <v>302.21999999999997</v>
      </c>
      <c r="N51" s="13">
        <f t="shared" si="11"/>
        <v>78.239999999999995</v>
      </c>
      <c r="O51" s="89" t="s">
        <v>83</v>
      </c>
    </row>
    <row r="52" spans="1:15" outlineLevel="1" x14ac:dyDescent="0.2">
      <c r="A52" s="20">
        <f t="shared" si="9"/>
        <v>3599</v>
      </c>
      <c r="B52" s="19" t="str">
        <f t="shared" si="9"/>
        <v>UTPA</v>
      </c>
      <c r="C52" s="58">
        <f t="shared" si="10"/>
        <v>15896.514462435376</v>
      </c>
      <c r="D52" s="15">
        <f t="shared" si="11"/>
        <v>7740</v>
      </c>
      <c r="E52" s="14">
        <f t="shared" si="11"/>
        <v>200.15639999999999</v>
      </c>
      <c r="F52" s="14">
        <f t="shared" si="11"/>
        <v>0</v>
      </c>
      <c r="G52" s="13">
        <f t="shared" si="11"/>
        <v>51.341666666667798</v>
      </c>
      <c r="H52" s="15">
        <f t="shared" si="11"/>
        <v>59.226012438675092</v>
      </c>
      <c r="I52" s="13">
        <f t="shared" si="11"/>
        <v>3.1870499967000048</v>
      </c>
      <c r="J52" s="16">
        <f t="shared" si="11"/>
        <v>18.080000000000002</v>
      </c>
      <c r="K52" s="16">
        <f t="shared" si="11"/>
        <v>70.150000000000006</v>
      </c>
      <c r="L52" s="15">
        <f t="shared" si="11"/>
        <v>4890.3999999999996</v>
      </c>
      <c r="M52" s="14">
        <f t="shared" si="11"/>
        <v>2786.4</v>
      </c>
      <c r="N52" s="13">
        <f t="shared" si="11"/>
        <v>77.573333333333338</v>
      </c>
      <c r="O52" s="89" t="s">
        <v>84</v>
      </c>
    </row>
    <row r="53" spans="1:15" outlineLevel="1" x14ac:dyDescent="0.2">
      <c r="A53" s="20">
        <f t="shared" si="9"/>
        <v>30646</v>
      </c>
      <c r="B53" s="19" t="str">
        <f t="shared" si="9"/>
        <v>UTB</v>
      </c>
      <c r="C53" s="58">
        <f t="shared" si="10"/>
        <v>6158.46104267805</v>
      </c>
      <c r="D53" s="15">
        <f t="shared" si="11"/>
        <v>3276</v>
      </c>
      <c r="E53" s="14">
        <f t="shared" si="11"/>
        <v>1130.707664123436</v>
      </c>
      <c r="F53" s="14">
        <f t="shared" si="11"/>
        <v>0</v>
      </c>
      <c r="G53" s="13">
        <f t="shared" si="11"/>
        <v>20.977933333333553</v>
      </c>
      <c r="H53" s="15">
        <f t="shared" si="11"/>
        <v>14.152019628203591</v>
      </c>
      <c r="I53" s="13">
        <f t="shared" si="11"/>
        <v>2.0867589264107171</v>
      </c>
      <c r="J53" s="16">
        <f t="shared" si="11"/>
        <v>17.920000000000002</v>
      </c>
      <c r="K53" s="16">
        <f t="shared" si="11"/>
        <v>84.3</v>
      </c>
      <c r="L53" s="15">
        <f t="shared" si="11"/>
        <v>1591.6</v>
      </c>
      <c r="M53" s="14">
        <f t="shared" si="11"/>
        <v>16.690000000000001</v>
      </c>
      <c r="N53" s="13">
        <f t="shared" si="11"/>
        <v>4.0266666666666673</v>
      </c>
      <c r="O53" s="89" t="s">
        <v>85</v>
      </c>
    </row>
    <row r="54" spans="1:15" outlineLevel="1" x14ac:dyDescent="0.2">
      <c r="A54" s="20">
        <f t="shared" si="9"/>
        <v>9930</v>
      </c>
      <c r="B54" s="19" t="str">
        <f t="shared" si="9"/>
        <v>UTPB</v>
      </c>
      <c r="C54" s="58">
        <f t="shared" si="10"/>
        <v>3048.2980916606175</v>
      </c>
      <c r="D54" s="15">
        <f t="shared" si="11"/>
        <v>1600.0000000000002</v>
      </c>
      <c r="E54" s="14">
        <f t="shared" si="11"/>
        <v>426.24000000000007</v>
      </c>
      <c r="F54" s="14">
        <f t="shared" si="11"/>
        <v>0</v>
      </c>
      <c r="G54" s="13">
        <f t="shared" si="11"/>
        <v>10.015166666666705</v>
      </c>
      <c r="H54" s="15">
        <f t="shared" si="11"/>
        <v>4.7046928522714353</v>
      </c>
      <c r="I54" s="13">
        <f t="shared" si="11"/>
        <v>1.138232141678573</v>
      </c>
      <c r="J54" s="16">
        <f t="shared" si="11"/>
        <v>4.9666666666666668</v>
      </c>
      <c r="K54" s="16">
        <f t="shared" si="11"/>
        <v>35.909999999999997</v>
      </c>
      <c r="L54" s="15">
        <f t="shared" si="11"/>
        <v>942.8</v>
      </c>
      <c r="M54" s="14">
        <f t="shared" si="11"/>
        <v>14.75</v>
      </c>
      <c r="N54" s="13">
        <f t="shared" si="11"/>
        <v>7.7733333333333343</v>
      </c>
      <c r="O54" s="89" t="s">
        <v>85</v>
      </c>
    </row>
    <row r="55" spans="1:15" outlineLevel="1" x14ac:dyDescent="0.2">
      <c r="A55" s="20">
        <f t="shared" si="9"/>
        <v>10115</v>
      </c>
      <c r="B55" s="19" t="str">
        <f t="shared" si="9"/>
        <v>UTSA</v>
      </c>
      <c r="C55" s="58">
        <f t="shared" si="10"/>
        <v>24419.584386257473</v>
      </c>
      <c r="D55" s="15">
        <f t="shared" si="11"/>
        <v>12359.000000000002</v>
      </c>
      <c r="E55" s="14">
        <f t="shared" si="11"/>
        <v>3126.8270000000002</v>
      </c>
      <c r="F55" s="14">
        <f t="shared" si="11"/>
        <v>0</v>
      </c>
      <c r="G55" s="13">
        <f t="shared" si="11"/>
        <v>84.142133333332239</v>
      </c>
      <c r="H55" s="15">
        <f t="shared" si="11"/>
        <v>44.618699953800061</v>
      </c>
      <c r="I55" s="13">
        <f t="shared" si="11"/>
        <v>5.6532196370035797</v>
      </c>
      <c r="J55" s="16">
        <f t="shared" si="11"/>
        <v>28.126666666666665</v>
      </c>
      <c r="K55" s="16">
        <f t="shared" si="11"/>
        <v>93.710000000000008</v>
      </c>
      <c r="L55" s="15">
        <f t="shared" si="11"/>
        <v>8171.6</v>
      </c>
      <c r="M55" s="14">
        <f t="shared" si="11"/>
        <v>401.28</v>
      </c>
      <c r="N55" s="13">
        <f t="shared" si="11"/>
        <v>104.62666666666667</v>
      </c>
      <c r="O55" s="89" t="s">
        <v>83</v>
      </c>
    </row>
    <row r="56" spans="1:15" outlineLevel="1" x14ac:dyDescent="0.2">
      <c r="A56" s="20">
        <f t="shared" si="9"/>
        <v>11163</v>
      </c>
      <c r="B56" s="19" t="str">
        <f t="shared" si="9"/>
        <v>UTT</v>
      </c>
      <c r="C56" s="58">
        <f t="shared" si="10"/>
        <v>6605.9815356682429</v>
      </c>
      <c r="D56" s="15">
        <f t="shared" si="11"/>
        <v>3570</v>
      </c>
      <c r="E56" s="14">
        <f t="shared" si="11"/>
        <v>1104.5580000000002</v>
      </c>
      <c r="F56" s="14">
        <f t="shared" si="11"/>
        <v>0</v>
      </c>
      <c r="G56" s="13">
        <f t="shared" si="11"/>
        <v>23.626600000000103</v>
      </c>
      <c r="H56" s="15">
        <f t="shared" si="11"/>
        <v>42.87341066989292</v>
      </c>
      <c r="I56" s="13">
        <f t="shared" si="11"/>
        <v>1.5935249983500024</v>
      </c>
      <c r="J56" s="16">
        <f t="shared" si="11"/>
        <v>12.726666666666668</v>
      </c>
      <c r="K56" s="16">
        <f t="shared" si="11"/>
        <v>84.81</v>
      </c>
      <c r="L56" s="15">
        <f t="shared" si="11"/>
        <v>1723.6</v>
      </c>
      <c r="M56" s="14">
        <f t="shared" si="11"/>
        <v>26.7</v>
      </c>
      <c r="N56" s="13">
        <f t="shared" si="11"/>
        <v>15.493333333333332</v>
      </c>
      <c r="O56" s="89" t="s">
        <v>85</v>
      </c>
    </row>
    <row r="57" spans="1:15" outlineLevel="1" x14ac:dyDescent="0.2">
      <c r="A57" s="20">
        <f t="shared" si="9"/>
        <v>3632</v>
      </c>
      <c r="B57" s="19" t="str">
        <f t="shared" si="9"/>
        <v>TAMU</v>
      </c>
      <c r="C57" s="58">
        <f t="shared" si="10"/>
        <v>53186.697151563072</v>
      </c>
      <c r="D57" s="15">
        <f t="shared" si="11"/>
        <v>26218.999999999996</v>
      </c>
      <c r="E57" s="14">
        <f t="shared" si="11"/>
        <v>13224.863599999997</v>
      </c>
      <c r="F57" s="14">
        <f t="shared" si="11"/>
        <v>0</v>
      </c>
      <c r="G57" s="13">
        <f t="shared" si="11"/>
        <v>201.04816666666801</v>
      </c>
      <c r="H57" s="15">
        <f t="shared" si="11"/>
        <v>200.67032657793243</v>
      </c>
      <c r="I57" s="13">
        <f t="shared" si="11"/>
        <v>14.341724985150019</v>
      </c>
      <c r="J57" s="16">
        <f t="shared" si="11"/>
        <v>47.313333333333333</v>
      </c>
      <c r="K57" s="16">
        <f t="shared" si="11"/>
        <v>111.72</v>
      </c>
      <c r="L57" s="15">
        <f t="shared" si="11"/>
        <v>12072.8</v>
      </c>
      <c r="M57" s="14">
        <f t="shared" si="11"/>
        <v>267.22000000000003</v>
      </c>
      <c r="N57" s="13">
        <f t="shared" si="11"/>
        <v>827.72</v>
      </c>
      <c r="O57" s="89" t="s">
        <v>82</v>
      </c>
    </row>
    <row r="58" spans="1:15" outlineLevel="1" x14ac:dyDescent="0.2">
      <c r="A58" s="20">
        <f t="shared" si="9"/>
        <v>10298</v>
      </c>
      <c r="B58" s="19" t="str">
        <f t="shared" si="9"/>
        <v>TAMUG</v>
      </c>
      <c r="C58" s="58">
        <f t="shared" si="10"/>
        <v>2840.9340999933997</v>
      </c>
      <c r="D58" s="15">
        <f t="shared" si="11"/>
        <v>1238.9999999999998</v>
      </c>
      <c r="E58" s="14">
        <f t="shared" si="11"/>
        <v>466.35959999999994</v>
      </c>
      <c r="F58" s="14">
        <f t="shared" si="11"/>
        <v>0</v>
      </c>
      <c r="G58" s="13">
        <f t="shared" si="11"/>
        <v>10.560399999999968</v>
      </c>
      <c r="H58" s="15">
        <f t="shared" si="11"/>
        <v>6.3740999934000087</v>
      </c>
      <c r="I58" s="13">
        <f t="shared" si="11"/>
        <v>0</v>
      </c>
      <c r="J58" s="16">
        <f t="shared" si="11"/>
        <v>2.04</v>
      </c>
      <c r="K58" s="16">
        <f t="shared" si="11"/>
        <v>21.33</v>
      </c>
      <c r="L58" s="15">
        <f t="shared" si="11"/>
        <v>1066.2</v>
      </c>
      <c r="M58" s="14">
        <f t="shared" si="11"/>
        <v>14.309999999999999</v>
      </c>
      <c r="N58" s="13">
        <f t="shared" si="11"/>
        <v>14.76</v>
      </c>
      <c r="O58" s="89" t="s">
        <v>85</v>
      </c>
    </row>
    <row r="59" spans="1:15" outlineLevel="1" x14ac:dyDescent="0.2">
      <c r="A59" s="20">
        <f t="shared" si="9"/>
        <v>3630</v>
      </c>
      <c r="B59" s="19" t="str">
        <f t="shared" si="9"/>
        <v>Prairie View</v>
      </c>
      <c r="C59" s="58">
        <f t="shared" si="10"/>
        <v>6057.4535190092756</v>
      </c>
      <c r="D59" s="15">
        <f t="shared" si="11"/>
        <v>2809</v>
      </c>
      <c r="E59" s="14">
        <f t="shared" si="11"/>
        <v>62.640699999999988</v>
      </c>
      <c r="F59" s="14">
        <f t="shared" si="11"/>
        <v>0</v>
      </c>
      <c r="G59" s="13">
        <f t="shared" si="11"/>
        <v>20.729000000000092</v>
      </c>
      <c r="H59" s="15">
        <f t="shared" si="11"/>
        <v>35.930194605653625</v>
      </c>
      <c r="I59" s="13">
        <f t="shared" si="11"/>
        <v>1.1002910702892872</v>
      </c>
      <c r="J59" s="16">
        <f t="shared" si="11"/>
        <v>3.2600000000000002</v>
      </c>
      <c r="K59" s="16">
        <f t="shared" si="11"/>
        <v>24.080000000000002</v>
      </c>
      <c r="L59" s="15">
        <f t="shared" si="11"/>
        <v>2001.6</v>
      </c>
      <c r="M59" s="14">
        <f t="shared" si="11"/>
        <v>1062.8999999999999</v>
      </c>
      <c r="N59" s="13">
        <f t="shared" si="11"/>
        <v>36.213333333333338</v>
      </c>
      <c r="O59" s="89" t="s">
        <v>86</v>
      </c>
    </row>
    <row r="60" spans="1:15" outlineLevel="1" x14ac:dyDescent="0.2">
      <c r="A60" s="20">
        <f t="shared" si="9"/>
        <v>3631</v>
      </c>
      <c r="B60" s="19" t="str">
        <f t="shared" si="9"/>
        <v>Tarleton</v>
      </c>
      <c r="C60" s="58">
        <f t="shared" si="10"/>
        <v>8692.5475990180748</v>
      </c>
      <c r="D60" s="15">
        <f t="shared" si="11"/>
        <v>4635.9999999999991</v>
      </c>
      <c r="E60" s="14">
        <f t="shared" si="11"/>
        <v>132.96048000000002</v>
      </c>
      <c r="F60" s="14">
        <f t="shared" si="11"/>
        <v>0</v>
      </c>
      <c r="G60" s="13">
        <f t="shared" si="11"/>
        <v>31.225433333333601</v>
      </c>
      <c r="H60" s="15">
        <f t="shared" si="11"/>
        <v>23.106112476075033</v>
      </c>
      <c r="I60" s="13">
        <f t="shared" si="11"/>
        <v>5.4255732086678643</v>
      </c>
      <c r="J60" s="16">
        <f t="shared" si="11"/>
        <v>12.473333333333333</v>
      </c>
      <c r="K60" s="16">
        <f t="shared" si="11"/>
        <v>35.85</v>
      </c>
      <c r="L60" s="15">
        <f t="shared" si="11"/>
        <v>2585.2000000000003</v>
      </c>
      <c r="M60" s="14">
        <f t="shared" si="11"/>
        <v>1195.8</v>
      </c>
      <c r="N60" s="13">
        <f t="shared" si="11"/>
        <v>34.506666666666668</v>
      </c>
      <c r="O60" s="89" t="s">
        <v>86</v>
      </c>
    </row>
    <row r="61" spans="1:15" outlineLevel="1" x14ac:dyDescent="0.2">
      <c r="A61" s="27">
        <f t="shared" si="9"/>
        <v>103631</v>
      </c>
      <c r="B61" s="19" t="str">
        <f t="shared" si="9"/>
        <v>TAMUCT</v>
      </c>
      <c r="C61" s="58">
        <f t="shared" si="10"/>
        <v>2423.5157773761593</v>
      </c>
      <c r="D61" s="15">
        <f t="shared" si="11"/>
        <v>1380.9999999999998</v>
      </c>
      <c r="E61" s="14">
        <f t="shared" si="11"/>
        <v>396.07079999999996</v>
      </c>
      <c r="F61" s="14">
        <f t="shared" si="11"/>
        <v>0</v>
      </c>
      <c r="G61" s="13">
        <f t="shared" si="11"/>
        <v>8.5361666666666594</v>
      </c>
      <c r="H61" s="15">
        <f t="shared" si="11"/>
        <v>4.6288107094928641</v>
      </c>
      <c r="I61" s="13">
        <f t="shared" si="11"/>
        <v>0</v>
      </c>
      <c r="J61" s="16">
        <f t="shared" si="11"/>
        <v>4.5</v>
      </c>
      <c r="K61" s="16">
        <f t="shared" si="11"/>
        <v>29.43</v>
      </c>
      <c r="L61" s="15">
        <f t="shared" si="11"/>
        <v>594</v>
      </c>
      <c r="M61" s="14">
        <f t="shared" si="11"/>
        <v>3.99</v>
      </c>
      <c r="N61" s="13">
        <f t="shared" si="11"/>
        <v>1.36</v>
      </c>
      <c r="O61" s="89" t="s">
        <v>85</v>
      </c>
    </row>
    <row r="62" spans="1:15" outlineLevel="1" x14ac:dyDescent="0.2">
      <c r="A62" s="20">
        <f t="shared" si="9"/>
        <v>11161</v>
      </c>
      <c r="B62" s="19" t="str">
        <f t="shared" si="9"/>
        <v>TAMUCC</v>
      </c>
      <c r="C62" s="58">
        <f t="shared" si="10"/>
        <v>8216.4342452036799</v>
      </c>
      <c r="D62" s="15">
        <f t="shared" si="11"/>
        <v>4164.9999999999991</v>
      </c>
      <c r="E62" s="14">
        <f t="shared" si="11"/>
        <v>126.94919999999998</v>
      </c>
      <c r="F62" s="14">
        <f t="shared" si="11"/>
        <v>0</v>
      </c>
      <c r="G62" s="13">
        <f t="shared" si="11"/>
        <v>28.04200000000014</v>
      </c>
      <c r="H62" s="15">
        <f t="shared" si="11"/>
        <v>30.314916040039325</v>
      </c>
      <c r="I62" s="13">
        <f t="shared" si="11"/>
        <v>2.9214624969750043</v>
      </c>
      <c r="J62" s="16">
        <f t="shared" si="11"/>
        <v>9.6733333333333338</v>
      </c>
      <c r="K62" s="16">
        <f t="shared" si="11"/>
        <v>32.4</v>
      </c>
      <c r="L62" s="15">
        <f t="shared" si="11"/>
        <v>2464.7999999999997</v>
      </c>
      <c r="M62" s="14">
        <f t="shared" si="11"/>
        <v>1321.2</v>
      </c>
      <c r="N62" s="13">
        <f t="shared" si="11"/>
        <v>35.133333333333333</v>
      </c>
      <c r="O62" s="89" t="s">
        <v>84</v>
      </c>
    </row>
    <row r="63" spans="1:15" outlineLevel="1" x14ac:dyDescent="0.2">
      <c r="A63" s="20">
        <f t="shared" si="9"/>
        <v>3639</v>
      </c>
      <c r="B63" s="19" t="str">
        <f t="shared" si="9"/>
        <v>TAMUK</v>
      </c>
      <c r="C63" s="58">
        <f t="shared" si="10"/>
        <v>4682.6888559197723</v>
      </c>
      <c r="D63" s="15">
        <f t="shared" si="11"/>
        <v>2284.9999999999995</v>
      </c>
      <c r="E63" s="14">
        <f t="shared" si="11"/>
        <v>55.1599</v>
      </c>
      <c r="F63" s="14">
        <f t="shared" si="11"/>
        <v>0</v>
      </c>
      <c r="G63" s="13">
        <f t="shared" si="11"/>
        <v>17.634533333333394</v>
      </c>
      <c r="H63" s="15">
        <f t="shared" si="11"/>
        <v>29.5940356836429</v>
      </c>
      <c r="I63" s="13">
        <f t="shared" si="11"/>
        <v>1.8970535694642885</v>
      </c>
      <c r="J63" s="16">
        <f t="shared" si="11"/>
        <v>5.1066666666666674</v>
      </c>
      <c r="K63" s="16">
        <f t="shared" si="11"/>
        <v>19.45</v>
      </c>
      <c r="L63" s="15">
        <f t="shared" si="11"/>
        <v>1472.8</v>
      </c>
      <c r="M63" s="14">
        <f t="shared" si="11"/>
        <v>773.69999999999993</v>
      </c>
      <c r="N63" s="13">
        <f t="shared" si="11"/>
        <v>22.346666666666664</v>
      </c>
      <c r="O63" s="89" t="s">
        <v>84</v>
      </c>
    </row>
    <row r="64" spans="1:15" outlineLevel="1" x14ac:dyDescent="0.2">
      <c r="A64" s="27">
        <f t="shared" ref="A64:B79" si="12">A21</f>
        <v>103639</v>
      </c>
      <c r="B64" s="19" t="str">
        <f t="shared" si="12"/>
        <v>TAMUSA</v>
      </c>
      <c r="C64" s="58">
        <f t="shared" si="10"/>
        <v>3128.5884291658417</v>
      </c>
      <c r="D64" s="15">
        <f t="shared" ref="D64:N79" si="13">D106*D172</f>
        <v>1762.9999999999998</v>
      </c>
      <c r="E64" s="14">
        <f t="shared" si="13"/>
        <v>425.58819999999997</v>
      </c>
      <c r="F64" s="14">
        <f t="shared" si="13"/>
        <v>0</v>
      </c>
      <c r="G64" s="13">
        <f t="shared" si="13"/>
        <v>10.260133333333378</v>
      </c>
      <c r="H64" s="15">
        <f t="shared" si="13"/>
        <v>0.5691160708392865</v>
      </c>
      <c r="I64" s="13">
        <f t="shared" si="13"/>
        <v>0.22764642833571461</v>
      </c>
      <c r="J64" s="16">
        <f t="shared" si="13"/>
        <v>6.7866666666666662</v>
      </c>
      <c r="K64" s="16">
        <f t="shared" si="13"/>
        <v>44.129999999999995</v>
      </c>
      <c r="L64" s="15">
        <f t="shared" si="13"/>
        <v>875.59999999999991</v>
      </c>
      <c r="M64" s="14">
        <f t="shared" si="13"/>
        <v>2.3199999999999998</v>
      </c>
      <c r="N64" s="13">
        <f t="shared" si="13"/>
        <v>0.10666666666666666</v>
      </c>
      <c r="O64" s="89" t="s">
        <v>85</v>
      </c>
    </row>
    <row r="65" spans="1:15" outlineLevel="1" x14ac:dyDescent="0.2">
      <c r="A65" s="20">
        <f t="shared" si="12"/>
        <v>9651</v>
      </c>
      <c r="B65" s="19" t="str">
        <f t="shared" si="12"/>
        <v>TAMI</v>
      </c>
      <c r="C65" s="58">
        <f t="shared" si="10"/>
        <v>5116.7921702218318</v>
      </c>
      <c r="D65" s="15">
        <f t="shared" si="13"/>
        <v>2368.9999999999995</v>
      </c>
      <c r="E65" s="14">
        <f t="shared" si="13"/>
        <v>67.279599999999988</v>
      </c>
      <c r="F65" s="14">
        <f t="shared" si="13"/>
        <v>0</v>
      </c>
      <c r="G65" s="13">
        <f t="shared" si="13"/>
        <v>14.584966666666716</v>
      </c>
      <c r="H65" s="15">
        <f t="shared" si="13"/>
        <v>13.165551772082162</v>
      </c>
      <c r="I65" s="13">
        <f t="shared" si="13"/>
        <v>2.5420517830821465</v>
      </c>
      <c r="J65" s="16">
        <f t="shared" si="13"/>
        <v>7.7933333333333339</v>
      </c>
      <c r="K65" s="16">
        <f t="shared" si="13"/>
        <v>21.38</v>
      </c>
      <c r="L65" s="15">
        <f t="shared" si="13"/>
        <v>1688</v>
      </c>
      <c r="M65" s="14">
        <f t="shared" si="13"/>
        <v>914.1</v>
      </c>
      <c r="N65" s="13">
        <f t="shared" si="13"/>
        <v>18.946666666666669</v>
      </c>
      <c r="O65" s="89" t="s">
        <v>86</v>
      </c>
    </row>
    <row r="66" spans="1:15" outlineLevel="1" x14ac:dyDescent="0.2">
      <c r="A66" s="20">
        <f t="shared" si="12"/>
        <v>3665</v>
      </c>
      <c r="B66" s="19" t="str">
        <f t="shared" si="12"/>
        <v>WTAMU</v>
      </c>
      <c r="C66" s="58">
        <f t="shared" si="10"/>
        <v>7230.4439043750226</v>
      </c>
      <c r="D66" s="15">
        <f t="shared" si="13"/>
        <v>3767</v>
      </c>
      <c r="E66" s="14">
        <f t="shared" si="13"/>
        <v>106.38007999999998</v>
      </c>
      <c r="F66" s="14">
        <f t="shared" si="13"/>
        <v>0</v>
      </c>
      <c r="G66" s="13">
        <f t="shared" si="13"/>
        <v>25.035766666666838</v>
      </c>
      <c r="H66" s="15">
        <f t="shared" si="13"/>
        <v>21.816116048839316</v>
      </c>
      <c r="I66" s="13">
        <f t="shared" si="13"/>
        <v>6.9052749928500106</v>
      </c>
      <c r="J66" s="16">
        <f t="shared" si="13"/>
        <v>8.7733333333333334</v>
      </c>
      <c r="K66" s="16">
        <f t="shared" si="13"/>
        <v>26.68</v>
      </c>
      <c r="L66" s="15">
        <f t="shared" si="13"/>
        <v>2150</v>
      </c>
      <c r="M66" s="14">
        <f t="shared" si="13"/>
        <v>1091.3999999999999</v>
      </c>
      <c r="N66" s="13">
        <f t="shared" si="13"/>
        <v>26.453333333333337</v>
      </c>
      <c r="O66" s="89" t="s">
        <v>86</v>
      </c>
    </row>
    <row r="67" spans="1:15" outlineLevel="1" x14ac:dyDescent="0.2">
      <c r="A67" s="20">
        <f t="shared" si="12"/>
        <v>3565</v>
      </c>
      <c r="B67" s="19" t="str">
        <f t="shared" si="12"/>
        <v>TAMUC</v>
      </c>
      <c r="C67" s="58">
        <f t="shared" si="10"/>
        <v>7478.6087535540637</v>
      </c>
      <c r="D67" s="15">
        <f t="shared" si="13"/>
        <v>3972.9999999999995</v>
      </c>
      <c r="E67" s="14">
        <f t="shared" si="13"/>
        <v>104.88719999999999</v>
      </c>
      <c r="F67" s="14">
        <f t="shared" si="13"/>
        <v>0</v>
      </c>
      <c r="G67" s="13">
        <f t="shared" si="13"/>
        <v>25.018266666666914</v>
      </c>
      <c r="H67" s="15">
        <f t="shared" si="13"/>
        <v>8.309094634253583</v>
      </c>
      <c r="I67" s="13">
        <f t="shared" si="13"/>
        <v>8.4608589198107254</v>
      </c>
      <c r="J67" s="16">
        <f t="shared" si="13"/>
        <v>15.06</v>
      </c>
      <c r="K67" s="16">
        <f t="shared" si="13"/>
        <v>30.580000000000002</v>
      </c>
      <c r="L67" s="15">
        <f t="shared" si="13"/>
        <v>2271.6</v>
      </c>
      <c r="M67" s="14">
        <f t="shared" si="13"/>
        <v>1023.5999999999999</v>
      </c>
      <c r="N67" s="13">
        <f t="shared" si="13"/>
        <v>18.093333333333334</v>
      </c>
      <c r="O67" s="89" t="s">
        <v>84</v>
      </c>
    </row>
    <row r="68" spans="1:15" outlineLevel="1" x14ac:dyDescent="0.2">
      <c r="A68" s="20">
        <f t="shared" si="12"/>
        <v>29269</v>
      </c>
      <c r="B68" s="19" t="str">
        <f t="shared" si="12"/>
        <v>TAMUT</v>
      </c>
      <c r="C68" s="58">
        <f t="shared" si="10"/>
        <v>1937.9174553152136</v>
      </c>
      <c r="D68" s="15">
        <f t="shared" si="13"/>
        <v>1037</v>
      </c>
      <c r="E68" s="14">
        <f t="shared" si="13"/>
        <v>337.24847258430754</v>
      </c>
      <c r="F68" s="14">
        <f t="shared" si="13"/>
        <v>0</v>
      </c>
      <c r="G68" s="13">
        <f t="shared" si="13"/>
        <v>6.1990999999999827</v>
      </c>
      <c r="H68" s="15">
        <f t="shared" si="13"/>
        <v>4.7426339236607209</v>
      </c>
      <c r="I68" s="13">
        <f t="shared" si="13"/>
        <v>2.2005821405785744</v>
      </c>
      <c r="J68" s="16">
        <f t="shared" si="13"/>
        <v>4.3600000000000003</v>
      </c>
      <c r="K68" s="16">
        <f t="shared" si="13"/>
        <v>21.509999999999998</v>
      </c>
      <c r="L68" s="15">
        <f t="shared" si="13"/>
        <v>519.20000000000005</v>
      </c>
      <c r="M68" s="14">
        <f t="shared" si="13"/>
        <v>5.43</v>
      </c>
      <c r="N68" s="13">
        <f t="shared" si="13"/>
        <v>2.6666666666666665E-2</v>
      </c>
      <c r="O68" s="89" t="s">
        <v>85</v>
      </c>
    </row>
    <row r="69" spans="1:15" outlineLevel="1" x14ac:dyDescent="0.2">
      <c r="A69" s="20">
        <f t="shared" si="12"/>
        <v>3652</v>
      </c>
      <c r="B69" s="19" t="str">
        <f t="shared" si="12"/>
        <v>UH</v>
      </c>
      <c r="C69" s="58">
        <f t="shared" si="10"/>
        <v>30319.142563596226</v>
      </c>
      <c r="D69" s="15">
        <f t="shared" si="13"/>
        <v>15296</v>
      </c>
      <c r="E69" s="14">
        <f t="shared" si="13"/>
        <v>4922.2528000000002</v>
      </c>
      <c r="F69" s="14">
        <f t="shared" si="13"/>
        <v>0</v>
      </c>
      <c r="G69" s="13">
        <f t="shared" si="13"/>
        <v>105.80246666665944</v>
      </c>
      <c r="H69" s="15">
        <f t="shared" si="13"/>
        <v>83.887708841710833</v>
      </c>
      <c r="I69" s="13">
        <f t="shared" si="13"/>
        <v>7.1329214211857241</v>
      </c>
      <c r="J69" s="16">
        <f t="shared" si="13"/>
        <v>35.653333333333336</v>
      </c>
      <c r="K69" s="16">
        <f t="shared" si="13"/>
        <v>101.19</v>
      </c>
      <c r="L69" s="15">
        <f t="shared" si="13"/>
        <v>9122.7999999999993</v>
      </c>
      <c r="M69" s="14">
        <f t="shared" si="13"/>
        <v>512.13</v>
      </c>
      <c r="N69" s="13">
        <f t="shared" si="13"/>
        <v>132.29333333333335</v>
      </c>
      <c r="O69" s="89" t="s">
        <v>83</v>
      </c>
    </row>
    <row r="70" spans="1:15" outlineLevel="1" x14ac:dyDescent="0.2">
      <c r="A70" s="20">
        <f t="shared" si="12"/>
        <v>11711</v>
      </c>
      <c r="B70" s="19" t="str">
        <f t="shared" si="12"/>
        <v>UHCL</v>
      </c>
      <c r="C70" s="58">
        <f t="shared" si="10"/>
        <v>6509.0493591421491</v>
      </c>
      <c r="D70" s="15">
        <f t="shared" si="13"/>
        <v>3572.0000000000005</v>
      </c>
      <c r="E70" s="14">
        <f t="shared" si="13"/>
        <v>1114.8168228461789</v>
      </c>
      <c r="F70" s="14">
        <f t="shared" si="13"/>
        <v>0</v>
      </c>
      <c r="G70" s="13">
        <f t="shared" si="13"/>
        <v>22.829533333333529</v>
      </c>
      <c r="H70" s="15">
        <f t="shared" si="13"/>
        <v>12.141142844571446</v>
      </c>
      <c r="I70" s="13">
        <f t="shared" si="13"/>
        <v>0.94852678473214425</v>
      </c>
      <c r="J70" s="16">
        <f t="shared" si="13"/>
        <v>16.133333333333333</v>
      </c>
      <c r="K70" s="16">
        <f t="shared" si="13"/>
        <v>69.69</v>
      </c>
      <c r="L70" s="15">
        <f t="shared" si="13"/>
        <v>1669.6</v>
      </c>
      <c r="M70" s="14">
        <f t="shared" si="13"/>
        <v>28.61</v>
      </c>
      <c r="N70" s="13">
        <f t="shared" si="13"/>
        <v>2.2800000000000002</v>
      </c>
      <c r="O70" s="89" t="s">
        <v>85</v>
      </c>
    </row>
    <row r="71" spans="1:15" outlineLevel="1" x14ac:dyDescent="0.2">
      <c r="A71" s="20">
        <f t="shared" si="12"/>
        <v>12826</v>
      </c>
      <c r="B71" s="19" t="str">
        <f t="shared" si="12"/>
        <v>UHD</v>
      </c>
      <c r="C71" s="58">
        <f t="shared" si="10"/>
        <v>11998.33328212738</v>
      </c>
      <c r="D71" s="15">
        <f t="shared" si="13"/>
        <v>7147.0000000000009</v>
      </c>
      <c r="E71" s="14">
        <f t="shared" si="13"/>
        <v>814.75800000000015</v>
      </c>
      <c r="F71" s="14">
        <f t="shared" si="13"/>
        <v>0</v>
      </c>
      <c r="G71" s="13">
        <f t="shared" si="13"/>
        <v>42.713166666667213</v>
      </c>
      <c r="H71" s="15">
        <f t="shared" si="13"/>
        <v>14.759076770432165</v>
      </c>
      <c r="I71" s="13">
        <f t="shared" si="13"/>
        <v>0.18970535694642884</v>
      </c>
      <c r="J71" s="16">
        <f t="shared" si="13"/>
        <v>20.986666666666665</v>
      </c>
      <c r="K71" s="16">
        <f t="shared" si="13"/>
        <v>151.29</v>
      </c>
      <c r="L71" s="15">
        <f t="shared" si="13"/>
        <v>3726.4</v>
      </c>
      <c r="M71" s="14">
        <f t="shared" si="13"/>
        <v>56.050000000000004</v>
      </c>
      <c r="N71" s="13">
        <f t="shared" si="13"/>
        <v>24.186666666666667</v>
      </c>
      <c r="O71" s="89" t="s">
        <v>85</v>
      </c>
    </row>
    <row r="72" spans="1:15" outlineLevel="1" x14ac:dyDescent="0.2">
      <c r="A72" s="20">
        <f t="shared" si="12"/>
        <v>13231</v>
      </c>
      <c r="B72" s="19" t="str">
        <f t="shared" si="12"/>
        <v>UHV</v>
      </c>
      <c r="C72" s="58">
        <f t="shared" si="10"/>
        <v>3205.5475771439751</v>
      </c>
      <c r="D72" s="15">
        <f t="shared" si="13"/>
        <v>1729.9999999999998</v>
      </c>
      <c r="E72" s="14">
        <f t="shared" si="13"/>
        <v>540.35183310994921</v>
      </c>
      <c r="F72" s="14">
        <f t="shared" si="13"/>
        <v>0</v>
      </c>
      <c r="G72" s="13">
        <f t="shared" si="13"/>
        <v>10.844800000000012</v>
      </c>
      <c r="H72" s="15">
        <f t="shared" si="13"/>
        <v>12.29290713012859</v>
      </c>
      <c r="I72" s="13">
        <f t="shared" si="13"/>
        <v>0.83470357056428679</v>
      </c>
      <c r="J72" s="16">
        <f t="shared" si="13"/>
        <v>8.3066666666666666</v>
      </c>
      <c r="K72" s="16">
        <f t="shared" si="13"/>
        <v>34.56</v>
      </c>
      <c r="L72" s="15">
        <f t="shared" si="13"/>
        <v>859.19999999999993</v>
      </c>
      <c r="M72" s="14">
        <f t="shared" si="13"/>
        <v>8.89</v>
      </c>
      <c r="N72" s="13">
        <f t="shared" si="13"/>
        <v>0.26666666666666666</v>
      </c>
      <c r="O72" s="89" t="s">
        <v>85</v>
      </c>
    </row>
    <row r="73" spans="1:15" outlineLevel="1" x14ac:dyDescent="0.2">
      <c r="A73" s="20">
        <f t="shared" si="12"/>
        <v>3592</v>
      </c>
      <c r="B73" s="19" t="str">
        <f t="shared" si="12"/>
        <v>Midwestern</v>
      </c>
      <c r="C73" s="58">
        <f t="shared" si="10"/>
        <v>5821.4337529351369</v>
      </c>
      <c r="D73" s="15">
        <f t="shared" si="13"/>
        <v>3095.0000000000005</v>
      </c>
      <c r="E73" s="14">
        <f t="shared" si="13"/>
        <v>815.84199999999998</v>
      </c>
      <c r="F73" s="14">
        <f t="shared" si="13"/>
        <v>0</v>
      </c>
      <c r="G73" s="13">
        <f t="shared" si="13"/>
        <v>19.620000000000033</v>
      </c>
      <c r="H73" s="15">
        <f t="shared" si="13"/>
        <v>37.941071389285767</v>
      </c>
      <c r="I73" s="13">
        <f t="shared" si="13"/>
        <v>1.7073482125178594</v>
      </c>
      <c r="J73" s="16">
        <f t="shared" si="13"/>
        <v>5.0266666666666673</v>
      </c>
      <c r="K73" s="16">
        <f t="shared" si="13"/>
        <v>62.129999999999995</v>
      </c>
      <c r="L73" s="15">
        <f t="shared" si="13"/>
        <v>1725.6</v>
      </c>
      <c r="M73" s="14">
        <f t="shared" si="13"/>
        <v>31.38</v>
      </c>
      <c r="N73" s="13">
        <f t="shared" si="13"/>
        <v>27.186666666666667</v>
      </c>
      <c r="O73" s="89" t="s">
        <v>85</v>
      </c>
    </row>
    <row r="74" spans="1:15" outlineLevel="1" x14ac:dyDescent="0.2">
      <c r="A74" s="20">
        <f t="shared" si="12"/>
        <v>3594</v>
      </c>
      <c r="B74" s="19" t="str">
        <f t="shared" si="12"/>
        <v>UNT</v>
      </c>
      <c r="C74" s="58">
        <f t="shared" si="10"/>
        <v>34688.348354717113</v>
      </c>
      <c r="D74" s="15">
        <f t="shared" si="13"/>
        <v>18050</v>
      </c>
      <c r="E74" s="14">
        <f t="shared" si="13"/>
        <v>6241.6900000000005</v>
      </c>
      <c r="F74" s="14">
        <f t="shared" si="13"/>
        <v>0</v>
      </c>
      <c r="G74" s="13">
        <f t="shared" si="13"/>
        <v>114.11553333332529</v>
      </c>
      <c r="H74" s="15">
        <f t="shared" si="13"/>
        <v>38.320482103178627</v>
      </c>
      <c r="I74" s="13">
        <f t="shared" si="13"/>
        <v>4.9323392806071507</v>
      </c>
      <c r="J74" s="16">
        <f t="shared" si="13"/>
        <v>45.800000000000004</v>
      </c>
      <c r="K74" s="16">
        <f t="shared" si="13"/>
        <v>114.60000000000001</v>
      </c>
      <c r="L74" s="15">
        <f t="shared" si="13"/>
        <v>9437.6</v>
      </c>
      <c r="M74" s="14">
        <f t="shared" si="13"/>
        <v>507.81</v>
      </c>
      <c r="N74" s="13">
        <f t="shared" si="13"/>
        <v>133.47999999999999</v>
      </c>
      <c r="O74" s="89" t="s">
        <v>83</v>
      </c>
    </row>
    <row r="75" spans="1:15" outlineLevel="1" x14ac:dyDescent="0.2">
      <c r="A75" s="27">
        <f t="shared" si="12"/>
        <v>113594</v>
      </c>
      <c r="B75" s="19" t="str">
        <f t="shared" si="12"/>
        <v>UNTD</v>
      </c>
      <c r="C75" s="58">
        <f t="shared" si="10"/>
        <v>2242.3127285700143</v>
      </c>
      <c r="D75" s="15">
        <f t="shared" si="13"/>
        <v>1210.5</v>
      </c>
      <c r="E75" s="14">
        <f t="shared" si="13"/>
        <v>419.43824999999998</v>
      </c>
      <c r="F75" s="14">
        <f t="shared" si="13"/>
        <v>0</v>
      </c>
      <c r="G75" s="13">
        <f t="shared" si="13"/>
        <v>7.0585999999999718</v>
      </c>
      <c r="H75" s="15">
        <f t="shared" si="13"/>
        <v>1.3658785700142877</v>
      </c>
      <c r="I75" s="13">
        <f t="shared" si="13"/>
        <v>0</v>
      </c>
      <c r="J75" s="16">
        <f t="shared" si="13"/>
        <v>0</v>
      </c>
      <c r="K75" s="16">
        <f t="shared" si="13"/>
        <v>27.765000000000001</v>
      </c>
      <c r="L75" s="15">
        <f t="shared" si="13"/>
        <v>573.6</v>
      </c>
      <c r="M75" s="14">
        <f t="shared" si="13"/>
        <v>2.145</v>
      </c>
      <c r="N75" s="13">
        <f t="shared" si="13"/>
        <v>0.44</v>
      </c>
      <c r="O75" s="89" t="s">
        <v>85</v>
      </c>
    </row>
    <row r="76" spans="1:15" outlineLevel="1" x14ac:dyDescent="0.2">
      <c r="A76" s="20">
        <f t="shared" si="12"/>
        <v>3624</v>
      </c>
      <c r="B76" s="19" t="str">
        <f t="shared" si="12"/>
        <v>SFA</v>
      </c>
      <c r="C76" s="58">
        <f t="shared" si="10"/>
        <v>11328.828227346459</v>
      </c>
      <c r="D76" s="15">
        <f t="shared" si="13"/>
        <v>5765</v>
      </c>
      <c r="E76" s="14">
        <f t="shared" si="13"/>
        <v>191.62859999999995</v>
      </c>
      <c r="F76" s="14">
        <f t="shared" si="13"/>
        <v>0</v>
      </c>
      <c r="G76" s="13">
        <f t="shared" si="13"/>
        <v>37.217366666666692</v>
      </c>
      <c r="H76" s="15">
        <f t="shared" si="13"/>
        <v>28.228157113628612</v>
      </c>
      <c r="I76" s="13">
        <f t="shared" si="13"/>
        <v>5.084103566164293</v>
      </c>
      <c r="J76" s="16">
        <f t="shared" si="13"/>
        <v>11.266666666666667</v>
      </c>
      <c r="K76" s="16">
        <f t="shared" si="13"/>
        <v>43.81</v>
      </c>
      <c r="L76" s="15">
        <f t="shared" si="13"/>
        <v>3323.2000000000003</v>
      </c>
      <c r="M76" s="14">
        <f t="shared" si="13"/>
        <v>1867.5</v>
      </c>
      <c r="N76" s="13">
        <f t="shared" si="13"/>
        <v>55.893333333333331</v>
      </c>
      <c r="O76" s="89" t="s">
        <v>86</v>
      </c>
    </row>
    <row r="77" spans="1:15" outlineLevel="1" x14ac:dyDescent="0.2">
      <c r="A77" s="20">
        <f t="shared" si="12"/>
        <v>3642</v>
      </c>
      <c r="B77" s="19" t="str">
        <f t="shared" si="12"/>
        <v>TSU</v>
      </c>
      <c r="C77" s="58">
        <f t="shared" si="10"/>
        <v>5365.8254214123854</v>
      </c>
      <c r="D77" s="15">
        <f t="shared" si="13"/>
        <v>2275</v>
      </c>
      <c r="E77" s="14">
        <f t="shared" si="13"/>
        <v>19.610499999999998</v>
      </c>
      <c r="F77" s="14">
        <f t="shared" si="13"/>
        <v>0</v>
      </c>
      <c r="G77" s="13">
        <f t="shared" si="13"/>
        <v>14.886533333333352</v>
      </c>
      <c r="H77" s="15">
        <f t="shared" si="13"/>
        <v>15.290251769882166</v>
      </c>
      <c r="I77" s="13">
        <f t="shared" si="13"/>
        <v>0.34146964250357192</v>
      </c>
      <c r="J77" s="16">
        <f t="shared" si="13"/>
        <v>2.2600000000000002</v>
      </c>
      <c r="K77" s="16">
        <f t="shared" si="13"/>
        <v>19.990000000000002</v>
      </c>
      <c r="L77" s="15">
        <f t="shared" si="13"/>
        <v>1964.7999999999997</v>
      </c>
      <c r="M77" s="14">
        <f t="shared" si="13"/>
        <v>1019.6999999999999</v>
      </c>
      <c r="N77" s="13">
        <f t="shared" si="13"/>
        <v>33.946666666666665</v>
      </c>
      <c r="O77" s="89" t="s">
        <v>84</v>
      </c>
    </row>
    <row r="78" spans="1:15" outlineLevel="1" x14ac:dyDescent="0.2">
      <c r="A78" s="20">
        <f t="shared" si="12"/>
        <v>3644</v>
      </c>
      <c r="B78" s="19" t="str">
        <f t="shared" si="12"/>
        <v>TTU</v>
      </c>
      <c r="C78" s="58">
        <f t="shared" si="10"/>
        <v>28892.146815383701</v>
      </c>
      <c r="D78" s="15">
        <f t="shared" si="13"/>
        <v>14022</v>
      </c>
      <c r="E78" s="14">
        <f t="shared" si="13"/>
        <v>6158.4623999999994</v>
      </c>
      <c r="F78" s="14">
        <f t="shared" si="13"/>
        <v>0</v>
      </c>
      <c r="G78" s="13">
        <f t="shared" si="13"/>
        <v>101.28113333332682</v>
      </c>
      <c r="H78" s="15">
        <f t="shared" si="13"/>
        <v>82.787417771421559</v>
      </c>
      <c r="I78" s="13">
        <f t="shared" si="13"/>
        <v>6.5258642789571528</v>
      </c>
      <c r="J78" s="16">
        <f t="shared" si="13"/>
        <v>22.473333333333336</v>
      </c>
      <c r="K78" s="16">
        <f t="shared" si="13"/>
        <v>83.34</v>
      </c>
      <c r="L78" s="15">
        <f t="shared" si="13"/>
        <v>7782.4</v>
      </c>
      <c r="M78" s="14">
        <f t="shared" si="13"/>
        <v>475.04999999999995</v>
      </c>
      <c r="N78" s="13">
        <f t="shared" si="13"/>
        <v>157.82666666666665</v>
      </c>
      <c r="O78" s="89" t="s">
        <v>83</v>
      </c>
    </row>
    <row r="79" spans="1:15" outlineLevel="1" x14ac:dyDescent="0.2">
      <c r="A79" s="20">
        <f t="shared" si="12"/>
        <v>3541</v>
      </c>
      <c r="B79" s="19" t="str">
        <f t="shared" si="12"/>
        <v>Angelo</v>
      </c>
      <c r="C79" s="58">
        <f t="shared" si="10"/>
        <v>5646.2936529439376</v>
      </c>
      <c r="D79" s="15">
        <f t="shared" si="13"/>
        <v>2974</v>
      </c>
      <c r="E79" s="14">
        <f t="shared" si="13"/>
        <v>766.69720000000007</v>
      </c>
      <c r="F79" s="14">
        <f t="shared" si="13"/>
        <v>0</v>
      </c>
      <c r="G79" s="13">
        <f t="shared" si="13"/>
        <v>19.773500000000052</v>
      </c>
      <c r="H79" s="15">
        <f t="shared" si="13"/>
        <v>28.949037470025043</v>
      </c>
      <c r="I79" s="13">
        <f t="shared" si="13"/>
        <v>2.2005821405785744</v>
      </c>
      <c r="J79" s="16">
        <f t="shared" si="13"/>
        <v>3.8866666666666672</v>
      </c>
      <c r="K79" s="16">
        <f t="shared" si="13"/>
        <v>65.069999999999993</v>
      </c>
      <c r="L79" s="15">
        <f t="shared" si="13"/>
        <v>1726.4</v>
      </c>
      <c r="M79" s="14">
        <f t="shared" si="13"/>
        <v>31.01</v>
      </c>
      <c r="N79" s="13">
        <f t="shared" si="13"/>
        <v>28.306666666666665</v>
      </c>
      <c r="O79" s="89" t="s">
        <v>85</v>
      </c>
    </row>
    <row r="80" spans="1:15" outlineLevel="1" x14ac:dyDescent="0.2">
      <c r="A80" s="20">
        <f t="shared" ref="A80:B85" si="14">A37</f>
        <v>3646</v>
      </c>
      <c r="B80" s="19" t="str">
        <f t="shared" si="14"/>
        <v>TWU</v>
      </c>
      <c r="C80" s="58">
        <f t="shared" si="10"/>
        <v>9569.3264117148829</v>
      </c>
      <c r="D80" s="15">
        <f t="shared" ref="D80:N85" si="15">D122*D188</f>
        <v>5418</v>
      </c>
      <c r="E80" s="14">
        <f t="shared" si="15"/>
        <v>170.23356000000001</v>
      </c>
      <c r="F80" s="14">
        <f t="shared" si="15"/>
        <v>0</v>
      </c>
      <c r="G80" s="13">
        <f t="shared" si="15"/>
        <v>34.521766666666657</v>
      </c>
      <c r="H80" s="15">
        <f t="shared" si="15"/>
        <v>64.803349932900105</v>
      </c>
      <c r="I80" s="13">
        <f t="shared" si="15"/>
        <v>3.6044017819821481</v>
      </c>
      <c r="J80" s="16">
        <f t="shared" si="15"/>
        <v>16.066666666666666</v>
      </c>
      <c r="K80" s="16">
        <f t="shared" si="15"/>
        <v>37.410000000000004</v>
      </c>
      <c r="L80" s="15">
        <f t="shared" si="15"/>
        <v>2635.2</v>
      </c>
      <c r="M80" s="14">
        <f t="shared" si="15"/>
        <v>1163.0999999999999</v>
      </c>
      <c r="N80" s="13">
        <f t="shared" si="15"/>
        <v>26.386666666666667</v>
      </c>
      <c r="O80" s="89" t="s">
        <v>84</v>
      </c>
    </row>
    <row r="81" spans="1:15" outlineLevel="1" x14ac:dyDescent="0.2">
      <c r="A81" s="20">
        <f t="shared" si="14"/>
        <v>3581</v>
      </c>
      <c r="B81" s="19" t="str">
        <f t="shared" si="14"/>
        <v>Lamar</v>
      </c>
      <c r="C81" s="58">
        <f t="shared" si="10"/>
        <v>8143.8251086495793</v>
      </c>
      <c r="D81" s="15">
        <f t="shared" si="15"/>
        <v>4005.9999999999995</v>
      </c>
      <c r="E81" s="14">
        <f t="shared" si="15"/>
        <v>84.206119999999999</v>
      </c>
      <c r="F81" s="14">
        <f t="shared" si="15"/>
        <v>0</v>
      </c>
      <c r="G81" s="13">
        <f t="shared" si="15"/>
        <v>26.849000000000164</v>
      </c>
      <c r="H81" s="15">
        <f t="shared" si="15"/>
        <v>37.561660675392908</v>
      </c>
      <c r="I81" s="13">
        <f t="shared" si="15"/>
        <v>1.9349946408535743</v>
      </c>
      <c r="J81" s="16">
        <f t="shared" si="15"/>
        <v>4.6733333333333329</v>
      </c>
      <c r="K81" s="16">
        <f t="shared" si="15"/>
        <v>28.46</v>
      </c>
      <c r="L81" s="15">
        <f t="shared" si="15"/>
        <v>2573.6</v>
      </c>
      <c r="M81" s="14">
        <f t="shared" si="15"/>
        <v>1340.1</v>
      </c>
      <c r="N81" s="13">
        <f t="shared" si="15"/>
        <v>40.44</v>
      </c>
      <c r="O81" s="89" t="s">
        <v>86</v>
      </c>
    </row>
    <row r="82" spans="1:15" outlineLevel="1" x14ac:dyDescent="0.2">
      <c r="A82" s="20">
        <f t="shared" si="14"/>
        <v>3606</v>
      </c>
      <c r="B82" s="19" t="str">
        <f t="shared" si="14"/>
        <v>SHSU</v>
      </c>
      <c r="C82" s="58">
        <f t="shared" si="10"/>
        <v>17146.900726163603</v>
      </c>
      <c r="D82" s="15">
        <f t="shared" si="15"/>
        <v>9232.9999999999982</v>
      </c>
      <c r="E82" s="14">
        <f t="shared" si="15"/>
        <v>325.0016</v>
      </c>
      <c r="F82" s="14">
        <f t="shared" si="15"/>
        <v>0</v>
      </c>
      <c r="G82" s="13">
        <f t="shared" si="15"/>
        <v>58.37076666666789</v>
      </c>
      <c r="H82" s="15">
        <f t="shared" si="15"/>
        <v>19.008476766032171</v>
      </c>
      <c r="I82" s="13">
        <f t="shared" si="15"/>
        <v>6.9432160642392953</v>
      </c>
      <c r="J82" s="16">
        <f t="shared" si="15"/>
        <v>25.633333333333336</v>
      </c>
      <c r="K82" s="16">
        <f t="shared" si="15"/>
        <v>66.41</v>
      </c>
      <c r="L82" s="15">
        <f t="shared" si="15"/>
        <v>4673.2</v>
      </c>
      <c r="M82" s="14">
        <f t="shared" si="15"/>
        <v>2668.7999999999997</v>
      </c>
      <c r="N82" s="13">
        <f t="shared" si="15"/>
        <v>70.533333333333331</v>
      </c>
      <c r="O82" s="89" t="s">
        <v>84</v>
      </c>
    </row>
    <row r="83" spans="1:15" outlineLevel="1" x14ac:dyDescent="0.2">
      <c r="A83" s="20">
        <f t="shared" si="14"/>
        <v>3615</v>
      </c>
      <c r="B83" s="19" t="str">
        <f t="shared" si="14"/>
        <v>TXST</v>
      </c>
      <c r="C83" s="58">
        <f t="shared" si="10"/>
        <v>32108.602991601208</v>
      </c>
      <c r="D83" s="15">
        <f t="shared" si="15"/>
        <v>16083</v>
      </c>
      <c r="E83" s="14">
        <f t="shared" si="15"/>
        <v>6108.3234000000002</v>
      </c>
      <c r="F83" s="14">
        <f t="shared" si="15"/>
        <v>0</v>
      </c>
      <c r="G83" s="13">
        <f t="shared" si="15"/>
        <v>104.37309999999357</v>
      </c>
      <c r="H83" s="15">
        <f t="shared" si="15"/>
        <v>55.621610656692937</v>
      </c>
      <c r="I83" s="13">
        <f t="shared" si="15"/>
        <v>7.588214277857154</v>
      </c>
      <c r="J83" s="16">
        <f t="shared" si="15"/>
        <v>40.233333333333334</v>
      </c>
      <c r="K83" s="16">
        <f t="shared" si="15"/>
        <v>110.26</v>
      </c>
      <c r="L83" s="15">
        <f t="shared" si="15"/>
        <v>8964.4</v>
      </c>
      <c r="M83" s="14">
        <f t="shared" si="15"/>
        <v>502.10999999999996</v>
      </c>
      <c r="N83" s="13">
        <f t="shared" si="15"/>
        <v>132.69333333333333</v>
      </c>
      <c r="O83" s="89" t="s">
        <v>83</v>
      </c>
    </row>
    <row r="84" spans="1:15" outlineLevel="1" x14ac:dyDescent="0.2">
      <c r="A84" s="20">
        <f t="shared" si="14"/>
        <v>3625</v>
      </c>
      <c r="B84" s="19" t="str">
        <f t="shared" si="14"/>
        <v>SRSU</v>
      </c>
      <c r="C84" s="58">
        <f t="shared" si="10"/>
        <v>1063.3000744025223</v>
      </c>
      <c r="D84" s="15">
        <f t="shared" si="15"/>
        <v>568</v>
      </c>
      <c r="E84" s="14">
        <f t="shared" si="15"/>
        <v>102.58080000000001</v>
      </c>
      <c r="F84" s="14">
        <f t="shared" si="15"/>
        <v>0</v>
      </c>
      <c r="G84" s="13">
        <f t="shared" si="15"/>
        <v>3.9432999999999967</v>
      </c>
      <c r="H84" s="15">
        <f t="shared" si="15"/>
        <v>1.4417607127928591</v>
      </c>
      <c r="I84" s="13">
        <f t="shared" si="15"/>
        <v>0.72088035639642956</v>
      </c>
      <c r="J84" s="16">
        <f t="shared" si="15"/>
        <v>0.8666666666666667</v>
      </c>
      <c r="K84" s="16">
        <f t="shared" si="15"/>
        <v>14.67</v>
      </c>
      <c r="L84" s="15">
        <f t="shared" si="15"/>
        <v>360</v>
      </c>
      <c r="M84" s="14">
        <f t="shared" si="15"/>
        <v>5.8100000000000005</v>
      </c>
      <c r="N84" s="13">
        <f t="shared" si="15"/>
        <v>5.2666666666666666</v>
      </c>
      <c r="O84" s="89" t="s">
        <v>85</v>
      </c>
    </row>
    <row r="85" spans="1:15" outlineLevel="1" x14ac:dyDescent="0.2">
      <c r="A85" s="20">
        <f t="shared" si="14"/>
        <v>20</v>
      </c>
      <c r="B85" s="19" t="str">
        <f t="shared" si="14"/>
        <v>SRRG</v>
      </c>
      <c r="C85" s="58">
        <f t="shared" si="10"/>
        <v>875.82966981635548</v>
      </c>
      <c r="D85" s="15">
        <f t="shared" si="15"/>
        <v>484.99999999999994</v>
      </c>
      <c r="E85" s="14">
        <f t="shared" si="15"/>
        <v>92.458757913007958</v>
      </c>
      <c r="F85" s="14">
        <f t="shared" si="15"/>
        <v>0</v>
      </c>
      <c r="G85" s="13">
        <f t="shared" si="15"/>
        <v>2.7916999999999978</v>
      </c>
      <c r="H85" s="15">
        <f t="shared" si="15"/>
        <v>0.72088035639642956</v>
      </c>
      <c r="I85" s="13">
        <f t="shared" si="15"/>
        <v>0.64499821361785803</v>
      </c>
      <c r="J85" s="16">
        <f t="shared" si="15"/>
        <v>2.3000000000000003</v>
      </c>
      <c r="K85" s="16">
        <f t="shared" si="15"/>
        <v>12.959999999999999</v>
      </c>
      <c r="L85" s="15">
        <f t="shared" si="15"/>
        <v>276</v>
      </c>
      <c r="M85" s="14">
        <f t="shared" si="15"/>
        <v>2.7800000000000002</v>
      </c>
      <c r="N85" s="13">
        <f t="shared" si="15"/>
        <v>0.17333333333333331</v>
      </c>
      <c r="O85" s="89" t="s">
        <v>85</v>
      </c>
    </row>
    <row r="86" spans="1:15" ht="13.5" outlineLevel="1" thickBot="1" x14ac:dyDescent="0.25">
      <c r="A86" s="12"/>
      <c r="B86" s="11" t="s">
        <v>11</v>
      </c>
      <c r="C86" s="57">
        <f t="shared" ref="C86:N86" si="16">SUM(C48:C85)</f>
        <v>495946.68264057476</v>
      </c>
      <c r="D86" s="9">
        <f t="shared" si="16"/>
        <v>253360.5</v>
      </c>
      <c r="E86" s="7">
        <f t="shared" si="16"/>
        <v>73588.858340576873</v>
      </c>
      <c r="F86" s="7">
        <f t="shared" si="16"/>
        <v>0</v>
      </c>
      <c r="G86" s="3">
        <f t="shared" si="16"/>
        <v>1728.131533333318</v>
      </c>
      <c r="H86" s="5">
        <f t="shared" si="16"/>
        <v>1590.3379483533024</v>
      </c>
      <c r="I86" s="3">
        <f t="shared" si="16"/>
        <v>136.39815164448237</v>
      </c>
      <c r="J86" s="6">
        <f t="shared" si="16"/>
        <v>583.40666666666664</v>
      </c>
      <c r="K86" s="6">
        <f t="shared" si="16"/>
        <v>2142.1350000000002</v>
      </c>
      <c r="L86" s="5">
        <f t="shared" si="16"/>
        <v>137410.6</v>
      </c>
      <c r="M86" s="4">
        <f t="shared" si="16"/>
        <v>22254.274999999994</v>
      </c>
      <c r="N86" s="3">
        <f t="shared" si="16"/>
        <v>3152.0400000000004</v>
      </c>
    </row>
    <row r="87" spans="1:15" ht="13.5" thickBot="1" x14ac:dyDescent="0.25">
      <c r="A87" s="69" t="s">
        <v>30</v>
      </c>
    </row>
    <row r="88" spans="1:15" ht="12.75" customHeight="1" outlineLevel="1" x14ac:dyDescent="0.2">
      <c r="A88" s="273" t="s">
        <v>24</v>
      </c>
      <c r="B88" s="275" t="s">
        <v>23</v>
      </c>
      <c r="C88" s="277" t="s">
        <v>77</v>
      </c>
      <c r="D88" s="279" t="s">
        <v>35</v>
      </c>
      <c r="E88" s="280"/>
      <c r="F88" s="280"/>
      <c r="G88" s="281"/>
      <c r="H88" s="282" t="s">
        <v>18</v>
      </c>
      <c r="I88" s="291" t="s">
        <v>17</v>
      </c>
      <c r="J88" s="212"/>
      <c r="K88" s="293" t="s">
        <v>16</v>
      </c>
      <c r="L88" s="295" t="s">
        <v>34</v>
      </c>
      <c r="M88" s="296"/>
      <c r="N88" s="296"/>
      <c r="O88" s="308" t="s">
        <v>99</v>
      </c>
    </row>
    <row r="89" spans="1:15" ht="51.75" outlineLevel="1" thickBot="1" x14ac:dyDescent="0.25">
      <c r="A89" s="274"/>
      <c r="B89" s="276"/>
      <c r="C89" s="278"/>
      <c r="D89" s="68"/>
      <c r="E89" s="67" t="s">
        <v>33</v>
      </c>
      <c r="F89" s="67" t="s">
        <v>32</v>
      </c>
      <c r="G89" s="153" t="s">
        <v>31</v>
      </c>
      <c r="H89" s="283"/>
      <c r="I89" s="292"/>
      <c r="J89" s="213" t="s">
        <v>127</v>
      </c>
      <c r="K89" s="294"/>
      <c r="L89" s="44" t="s">
        <v>14</v>
      </c>
      <c r="M89" s="43" t="s">
        <v>13</v>
      </c>
      <c r="N89" s="42" t="s">
        <v>12</v>
      </c>
      <c r="O89" s="309"/>
    </row>
    <row r="90" spans="1:15" outlineLevel="1" x14ac:dyDescent="0.2">
      <c r="A90" s="20">
        <f t="shared" ref="A90:B105" si="17">A5</f>
        <v>3656</v>
      </c>
      <c r="B90" s="19" t="str">
        <f t="shared" si="17"/>
        <v>UTA</v>
      </c>
      <c r="C90" s="90">
        <f t="shared" ref="C90:C127" si="18">D90+E90+F90+L90+M90+N90</f>
        <v>0.95</v>
      </c>
      <c r="D90" s="91">
        <f t="shared" ref="D90:N99" si="19">SUMIF($O$131:$O$135,$O90,D$131:D$135)</f>
        <v>0.3</v>
      </c>
      <c r="E90" s="92">
        <f t="shared" si="19"/>
        <v>0.3</v>
      </c>
      <c r="F90" s="92">
        <f t="shared" si="19"/>
        <v>0.01</v>
      </c>
      <c r="G90" s="93">
        <f t="shared" si="19"/>
        <v>0.01</v>
      </c>
      <c r="H90" s="91">
        <f t="shared" si="19"/>
        <v>0.01</v>
      </c>
      <c r="I90" s="93">
        <f t="shared" si="19"/>
        <v>0.01</v>
      </c>
      <c r="J90" s="98">
        <f t="shared" si="19"/>
        <v>0.01</v>
      </c>
      <c r="K90" s="98">
        <f t="shared" si="19"/>
        <v>0.01</v>
      </c>
      <c r="L90" s="91">
        <f t="shared" si="19"/>
        <v>0.3</v>
      </c>
      <c r="M90" s="92">
        <f t="shared" si="19"/>
        <v>0.03</v>
      </c>
      <c r="N90" s="93">
        <f t="shared" si="19"/>
        <v>0.01</v>
      </c>
      <c r="O90" s="88" t="s">
        <v>83</v>
      </c>
    </row>
    <row r="91" spans="1:15" outlineLevel="1" x14ac:dyDescent="0.2">
      <c r="A91" s="20">
        <f t="shared" si="17"/>
        <v>3658</v>
      </c>
      <c r="B91" s="19" t="str">
        <f t="shared" si="17"/>
        <v>UT</v>
      </c>
      <c r="C91" s="90">
        <f t="shared" si="18"/>
        <v>0.95</v>
      </c>
      <c r="D91" s="91">
        <f t="shared" si="19"/>
        <v>0.3</v>
      </c>
      <c r="E91" s="92">
        <f t="shared" si="19"/>
        <v>0.3</v>
      </c>
      <c r="F91" s="92">
        <f t="shared" si="19"/>
        <v>0.01</v>
      </c>
      <c r="G91" s="93">
        <f t="shared" si="19"/>
        <v>0.01</v>
      </c>
      <c r="H91" s="94">
        <f t="shared" si="19"/>
        <v>0.01</v>
      </c>
      <c r="I91" s="95">
        <f t="shared" si="19"/>
        <v>0.01</v>
      </c>
      <c r="J91" s="96">
        <f t="shared" si="19"/>
        <v>0.01</v>
      </c>
      <c r="K91" s="96">
        <f t="shared" si="19"/>
        <v>0.01</v>
      </c>
      <c r="L91" s="94">
        <f t="shared" si="19"/>
        <v>0.3</v>
      </c>
      <c r="M91" s="97">
        <f t="shared" si="19"/>
        <v>0.01</v>
      </c>
      <c r="N91" s="95">
        <f t="shared" si="19"/>
        <v>0.03</v>
      </c>
      <c r="O91" s="89" t="s">
        <v>82</v>
      </c>
    </row>
    <row r="92" spans="1:15" outlineLevel="1" x14ac:dyDescent="0.2">
      <c r="A92" s="20">
        <f t="shared" si="17"/>
        <v>9741</v>
      </c>
      <c r="B92" s="19" t="str">
        <f t="shared" si="17"/>
        <v>UTD</v>
      </c>
      <c r="C92" s="90">
        <f t="shared" si="18"/>
        <v>0.95</v>
      </c>
      <c r="D92" s="91">
        <f t="shared" si="19"/>
        <v>0.3</v>
      </c>
      <c r="E92" s="92">
        <f t="shared" si="19"/>
        <v>0.3</v>
      </c>
      <c r="F92" s="92">
        <f t="shared" si="19"/>
        <v>0.01</v>
      </c>
      <c r="G92" s="93">
        <f t="shared" si="19"/>
        <v>0.01</v>
      </c>
      <c r="H92" s="91">
        <f t="shared" si="19"/>
        <v>0.01</v>
      </c>
      <c r="I92" s="93">
        <f t="shared" si="19"/>
        <v>0.01</v>
      </c>
      <c r="J92" s="98">
        <f t="shared" si="19"/>
        <v>0.01</v>
      </c>
      <c r="K92" s="98">
        <f t="shared" si="19"/>
        <v>0.01</v>
      </c>
      <c r="L92" s="91">
        <f t="shared" si="19"/>
        <v>0.3</v>
      </c>
      <c r="M92" s="92">
        <f t="shared" si="19"/>
        <v>0.03</v>
      </c>
      <c r="N92" s="93">
        <f t="shared" si="19"/>
        <v>0.01</v>
      </c>
      <c r="O92" s="89" t="s">
        <v>83</v>
      </c>
    </row>
    <row r="93" spans="1:15" outlineLevel="1" x14ac:dyDescent="0.2">
      <c r="A93" s="20">
        <f t="shared" si="17"/>
        <v>3661</v>
      </c>
      <c r="B93" s="19" t="str">
        <f t="shared" si="17"/>
        <v>UTEP</v>
      </c>
      <c r="C93" s="90">
        <f t="shared" si="18"/>
        <v>0.95</v>
      </c>
      <c r="D93" s="91">
        <f t="shared" si="19"/>
        <v>0.3</v>
      </c>
      <c r="E93" s="92">
        <f t="shared" si="19"/>
        <v>0.3</v>
      </c>
      <c r="F93" s="92">
        <f t="shared" si="19"/>
        <v>0.01</v>
      </c>
      <c r="G93" s="93">
        <f t="shared" si="19"/>
        <v>0.01</v>
      </c>
      <c r="H93" s="91">
        <f t="shared" si="19"/>
        <v>0.01</v>
      </c>
      <c r="I93" s="93">
        <f t="shared" si="19"/>
        <v>0.01</v>
      </c>
      <c r="J93" s="98">
        <f t="shared" si="19"/>
        <v>0.01</v>
      </c>
      <c r="K93" s="98">
        <f t="shared" si="19"/>
        <v>0.01</v>
      </c>
      <c r="L93" s="91">
        <f t="shared" si="19"/>
        <v>0.3</v>
      </c>
      <c r="M93" s="92">
        <f t="shared" si="19"/>
        <v>0.03</v>
      </c>
      <c r="N93" s="93">
        <f t="shared" si="19"/>
        <v>0.01</v>
      </c>
      <c r="O93" s="89" t="s">
        <v>83</v>
      </c>
    </row>
    <row r="94" spans="1:15" outlineLevel="1" x14ac:dyDescent="0.2">
      <c r="A94" s="20">
        <f t="shared" si="17"/>
        <v>3599</v>
      </c>
      <c r="B94" s="19" t="str">
        <f t="shared" si="17"/>
        <v>UTPA</v>
      </c>
      <c r="C94" s="90">
        <f t="shared" si="18"/>
        <v>0.95</v>
      </c>
      <c r="D94" s="91">
        <f t="shared" si="19"/>
        <v>0.3</v>
      </c>
      <c r="E94" s="92">
        <f t="shared" si="19"/>
        <v>0.03</v>
      </c>
      <c r="F94" s="92">
        <f t="shared" si="19"/>
        <v>0.01</v>
      </c>
      <c r="G94" s="93">
        <f t="shared" si="19"/>
        <v>0.01</v>
      </c>
      <c r="H94" s="91">
        <f t="shared" si="19"/>
        <v>0.01</v>
      </c>
      <c r="I94" s="93">
        <f t="shared" si="19"/>
        <v>0.01</v>
      </c>
      <c r="J94" s="98">
        <f t="shared" si="19"/>
        <v>0.01</v>
      </c>
      <c r="K94" s="98">
        <f t="shared" si="19"/>
        <v>0.01</v>
      </c>
      <c r="L94" s="91">
        <f t="shared" si="19"/>
        <v>0.3</v>
      </c>
      <c r="M94" s="92">
        <f t="shared" si="19"/>
        <v>0.3</v>
      </c>
      <c r="N94" s="93">
        <f t="shared" si="19"/>
        <v>0.01</v>
      </c>
      <c r="O94" s="89" t="s">
        <v>84</v>
      </c>
    </row>
    <row r="95" spans="1:15" outlineLevel="1" x14ac:dyDescent="0.2">
      <c r="A95" s="20">
        <f t="shared" si="17"/>
        <v>30646</v>
      </c>
      <c r="B95" s="19" t="str">
        <f t="shared" si="17"/>
        <v>UTB</v>
      </c>
      <c r="C95" s="90">
        <f t="shared" si="18"/>
        <v>0.92999999999999994</v>
      </c>
      <c r="D95" s="91">
        <f t="shared" si="19"/>
        <v>0.3</v>
      </c>
      <c r="E95" s="92">
        <f t="shared" si="19"/>
        <v>0.3</v>
      </c>
      <c r="F95" s="92">
        <f t="shared" si="19"/>
        <v>0.01</v>
      </c>
      <c r="G95" s="93">
        <f t="shared" si="19"/>
        <v>0.01</v>
      </c>
      <c r="H95" s="91">
        <f t="shared" si="19"/>
        <v>0.01</v>
      </c>
      <c r="I95" s="93">
        <f t="shared" si="19"/>
        <v>0.01</v>
      </c>
      <c r="J95" s="98">
        <f t="shared" si="19"/>
        <v>0.01</v>
      </c>
      <c r="K95" s="98">
        <f t="shared" si="19"/>
        <v>0.03</v>
      </c>
      <c r="L95" s="91">
        <f t="shared" si="19"/>
        <v>0.3</v>
      </c>
      <c r="M95" s="92">
        <f t="shared" si="19"/>
        <v>0.01</v>
      </c>
      <c r="N95" s="93">
        <f t="shared" si="19"/>
        <v>0.01</v>
      </c>
      <c r="O95" s="89" t="s">
        <v>85</v>
      </c>
    </row>
    <row r="96" spans="1:15" outlineLevel="1" x14ac:dyDescent="0.2">
      <c r="A96" s="20">
        <f t="shared" si="17"/>
        <v>9930</v>
      </c>
      <c r="B96" s="19" t="str">
        <f t="shared" si="17"/>
        <v>UTPB</v>
      </c>
      <c r="C96" s="90">
        <f t="shared" si="18"/>
        <v>0.92999999999999994</v>
      </c>
      <c r="D96" s="91">
        <f t="shared" si="19"/>
        <v>0.3</v>
      </c>
      <c r="E96" s="92">
        <f t="shared" si="19"/>
        <v>0.3</v>
      </c>
      <c r="F96" s="92">
        <f t="shared" si="19"/>
        <v>0.01</v>
      </c>
      <c r="G96" s="93">
        <f t="shared" si="19"/>
        <v>0.01</v>
      </c>
      <c r="H96" s="91">
        <f t="shared" si="19"/>
        <v>0.01</v>
      </c>
      <c r="I96" s="93">
        <f t="shared" si="19"/>
        <v>0.01</v>
      </c>
      <c r="J96" s="98">
        <f t="shared" si="19"/>
        <v>0.01</v>
      </c>
      <c r="K96" s="98">
        <f t="shared" si="19"/>
        <v>0.03</v>
      </c>
      <c r="L96" s="91">
        <f t="shared" si="19"/>
        <v>0.3</v>
      </c>
      <c r="M96" s="92">
        <f t="shared" si="19"/>
        <v>0.01</v>
      </c>
      <c r="N96" s="93">
        <f t="shared" si="19"/>
        <v>0.01</v>
      </c>
      <c r="O96" s="89" t="s">
        <v>85</v>
      </c>
    </row>
    <row r="97" spans="1:15" outlineLevel="1" x14ac:dyDescent="0.2">
      <c r="A97" s="20">
        <f t="shared" si="17"/>
        <v>10115</v>
      </c>
      <c r="B97" s="19" t="str">
        <f t="shared" si="17"/>
        <v>UTSA</v>
      </c>
      <c r="C97" s="90">
        <f t="shared" si="18"/>
        <v>0.95</v>
      </c>
      <c r="D97" s="91">
        <f t="shared" si="19"/>
        <v>0.3</v>
      </c>
      <c r="E97" s="92">
        <f t="shared" si="19"/>
        <v>0.3</v>
      </c>
      <c r="F97" s="92">
        <f t="shared" si="19"/>
        <v>0.01</v>
      </c>
      <c r="G97" s="93">
        <f t="shared" si="19"/>
        <v>0.01</v>
      </c>
      <c r="H97" s="91">
        <f t="shared" si="19"/>
        <v>0.01</v>
      </c>
      <c r="I97" s="93">
        <f t="shared" si="19"/>
        <v>0.01</v>
      </c>
      <c r="J97" s="98">
        <f t="shared" si="19"/>
        <v>0.01</v>
      </c>
      <c r="K97" s="98">
        <f t="shared" si="19"/>
        <v>0.01</v>
      </c>
      <c r="L97" s="91">
        <f t="shared" si="19"/>
        <v>0.3</v>
      </c>
      <c r="M97" s="92">
        <f t="shared" si="19"/>
        <v>0.03</v>
      </c>
      <c r="N97" s="93">
        <f t="shared" si="19"/>
        <v>0.01</v>
      </c>
      <c r="O97" s="89" t="s">
        <v>83</v>
      </c>
    </row>
    <row r="98" spans="1:15" outlineLevel="1" x14ac:dyDescent="0.2">
      <c r="A98" s="20">
        <f t="shared" si="17"/>
        <v>11163</v>
      </c>
      <c r="B98" s="19" t="str">
        <f t="shared" si="17"/>
        <v>UTT</v>
      </c>
      <c r="C98" s="90">
        <f t="shared" si="18"/>
        <v>0.92999999999999994</v>
      </c>
      <c r="D98" s="91">
        <f t="shared" si="19"/>
        <v>0.3</v>
      </c>
      <c r="E98" s="92">
        <f t="shared" si="19"/>
        <v>0.3</v>
      </c>
      <c r="F98" s="92">
        <f t="shared" si="19"/>
        <v>0.01</v>
      </c>
      <c r="G98" s="93">
        <f t="shared" si="19"/>
        <v>0.01</v>
      </c>
      <c r="H98" s="91">
        <f t="shared" si="19"/>
        <v>0.01</v>
      </c>
      <c r="I98" s="93">
        <f t="shared" si="19"/>
        <v>0.01</v>
      </c>
      <c r="J98" s="98">
        <f t="shared" si="19"/>
        <v>0.01</v>
      </c>
      <c r="K98" s="98">
        <f t="shared" si="19"/>
        <v>0.03</v>
      </c>
      <c r="L98" s="91">
        <f t="shared" si="19"/>
        <v>0.3</v>
      </c>
      <c r="M98" s="92">
        <f t="shared" si="19"/>
        <v>0.01</v>
      </c>
      <c r="N98" s="93">
        <f t="shared" si="19"/>
        <v>0.01</v>
      </c>
      <c r="O98" s="89" t="s">
        <v>85</v>
      </c>
    </row>
    <row r="99" spans="1:15" outlineLevel="1" x14ac:dyDescent="0.2">
      <c r="A99" s="20">
        <f t="shared" si="17"/>
        <v>3632</v>
      </c>
      <c r="B99" s="19" t="str">
        <f t="shared" si="17"/>
        <v>TAMU</v>
      </c>
      <c r="C99" s="90">
        <f t="shared" si="18"/>
        <v>0.95</v>
      </c>
      <c r="D99" s="91">
        <f t="shared" si="19"/>
        <v>0.3</v>
      </c>
      <c r="E99" s="92">
        <f t="shared" si="19"/>
        <v>0.3</v>
      </c>
      <c r="F99" s="92">
        <f t="shared" si="19"/>
        <v>0.01</v>
      </c>
      <c r="G99" s="93">
        <f t="shared" si="19"/>
        <v>0.01</v>
      </c>
      <c r="H99" s="94">
        <f t="shared" si="19"/>
        <v>0.01</v>
      </c>
      <c r="I99" s="95">
        <f t="shared" si="19"/>
        <v>0.01</v>
      </c>
      <c r="J99" s="96">
        <f t="shared" si="19"/>
        <v>0.01</v>
      </c>
      <c r="K99" s="96">
        <f t="shared" si="19"/>
        <v>0.01</v>
      </c>
      <c r="L99" s="94">
        <f t="shared" si="19"/>
        <v>0.3</v>
      </c>
      <c r="M99" s="97">
        <f t="shared" si="19"/>
        <v>0.01</v>
      </c>
      <c r="N99" s="95">
        <f t="shared" si="19"/>
        <v>0.03</v>
      </c>
      <c r="O99" s="89" t="s">
        <v>82</v>
      </c>
    </row>
    <row r="100" spans="1:15" outlineLevel="1" x14ac:dyDescent="0.2">
      <c r="A100" s="20">
        <f t="shared" si="17"/>
        <v>10298</v>
      </c>
      <c r="B100" s="19" t="str">
        <f t="shared" si="17"/>
        <v>TAMUG</v>
      </c>
      <c r="C100" s="90">
        <f t="shared" si="18"/>
        <v>1.3949999999999996</v>
      </c>
      <c r="D100" s="91">
        <f t="shared" ref="D100:N100" si="20">SUMIF($O$131:$O$135,$O100,D$131:D$135)*1.5</f>
        <v>0.44999999999999996</v>
      </c>
      <c r="E100" s="92">
        <f t="shared" si="20"/>
        <v>0.44999999999999996</v>
      </c>
      <c r="F100" s="92">
        <f t="shared" si="20"/>
        <v>1.4999999999999999E-2</v>
      </c>
      <c r="G100" s="93">
        <f t="shared" si="20"/>
        <v>1.4999999999999999E-2</v>
      </c>
      <c r="H100" s="91">
        <f t="shared" si="20"/>
        <v>1.4999999999999999E-2</v>
      </c>
      <c r="I100" s="93">
        <f t="shared" si="20"/>
        <v>1.4999999999999999E-2</v>
      </c>
      <c r="J100" s="98">
        <f t="shared" si="20"/>
        <v>1.4999999999999999E-2</v>
      </c>
      <c r="K100" s="98">
        <f t="shared" si="20"/>
        <v>4.4999999999999998E-2</v>
      </c>
      <c r="L100" s="91">
        <f t="shared" si="20"/>
        <v>0.44999999999999996</v>
      </c>
      <c r="M100" s="92">
        <f t="shared" si="20"/>
        <v>1.4999999999999999E-2</v>
      </c>
      <c r="N100" s="93">
        <f t="shared" si="20"/>
        <v>1.4999999999999999E-2</v>
      </c>
      <c r="O100" s="89" t="s">
        <v>85</v>
      </c>
    </row>
    <row r="101" spans="1:15" outlineLevel="1" x14ac:dyDescent="0.2">
      <c r="A101" s="20">
        <f t="shared" si="17"/>
        <v>3630</v>
      </c>
      <c r="B101" s="19" t="str">
        <f t="shared" si="17"/>
        <v>Prairie View</v>
      </c>
      <c r="C101" s="90">
        <f t="shared" si="18"/>
        <v>0.95</v>
      </c>
      <c r="D101" s="91">
        <f t="shared" ref="D101:N110" si="21">SUMIF($O$131:$O$135,$O101,D$131:D$135)</f>
        <v>0.3</v>
      </c>
      <c r="E101" s="92">
        <f t="shared" si="21"/>
        <v>0.03</v>
      </c>
      <c r="F101" s="92">
        <f t="shared" si="21"/>
        <v>0.01</v>
      </c>
      <c r="G101" s="93">
        <f t="shared" si="21"/>
        <v>0.01</v>
      </c>
      <c r="H101" s="91">
        <f t="shared" si="21"/>
        <v>0.01</v>
      </c>
      <c r="I101" s="93">
        <f t="shared" si="21"/>
        <v>0.01</v>
      </c>
      <c r="J101" s="98">
        <f t="shared" si="21"/>
        <v>0.01</v>
      </c>
      <c r="K101" s="98">
        <f t="shared" si="21"/>
        <v>0.01</v>
      </c>
      <c r="L101" s="91">
        <f t="shared" si="21"/>
        <v>0.3</v>
      </c>
      <c r="M101" s="92">
        <f t="shared" si="21"/>
        <v>0.3</v>
      </c>
      <c r="N101" s="93">
        <f t="shared" si="21"/>
        <v>0.01</v>
      </c>
      <c r="O101" s="89" t="s">
        <v>86</v>
      </c>
    </row>
    <row r="102" spans="1:15" outlineLevel="1" x14ac:dyDescent="0.2">
      <c r="A102" s="20">
        <f t="shared" si="17"/>
        <v>3631</v>
      </c>
      <c r="B102" s="19" t="str">
        <f t="shared" si="17"/>
        <v>Tarleton</v>
      </c>
      <c r="C102" s="90">
        <f t="shared" si="18"/>
        <v>0.95</v>
      </c>
      <c r="D102" s="91">
        <f t="shared" si="21"/>
        <v>0.3</v>
      </c>
      <c r="E102" s="92">
        <f t="shared" si="21"/>
        <v>0.03</v>
      </c>
      <c r="F102" s="92">
        <f t="shared" si="21"/>
        <v>0.01</v>
      </c>
      <c r="G102" s="93">
        <f t="shared" si="21"/>
        <v>0.01</v>
      </c>
      <c r="H102" s="91">
        <f t="shared" si="21"/>
        <v>0.01</v>
      </c>
      <c r="I102" s="93">
        <f t="shared" si="21"/>
        <v>0.01</v>
      </c>
      <c r="J102" s="98">
        <f t="shared" si="21"/>
        <v>0.01</v>
      </c>
      <c r="K102" s="98">
        <f t="shared" si="21"/>
        <v>0.01</v>
      </c>
      <c r="L102" s="91">
        <f t="shared" si="21"/>
        <v>0.3</v>
      </c>
      <c r="M102" s="92">
        <f t="shared" si="21"/>
        <v>0.3</v>
      </c>
      <c r="N102" s="93">
        <f t="shared" si="21"/>
        <v>0.01</v>
      </c>
      <c r="O102" s="89" t="s">
        <v>86</v>
      </c>
    </row>
    <row r="103" spans="1:15" outlineLevel="1" x14ac:dyDescent="0.2">
      <c r="A103" s="27">
        <f t="shared" si="17"/>
        <v>103631</v>
      </c>
      <c r="B103" s="19" t="str">
        <f t="shared" si="17"/>
        <v>TAMUCT</v>
      </c>
      <c r="C103" s="90">
        <f t="shared" si="18"/>
        <v>0.92999999999999994</v>
      </c>
      <c r="D103" s="91">
        <f t="shared" si="21"/>
        <v>0.3</v>
      </c>
      <c r="E103" s="92">
        <f t="shared" si="21"/>
        <v>0.3</v>
      </c>
      <c r="F103" s="92">
        <f t="shared" si="21"/>
        <v>0.01</v>
      </c>
      <c r="G103" s="93">
        <f t="shared" si="21"/>
        <v>0.01</v>
      </c>
      <c r="H103" s="91">
        <f t="shared" si="21"/>
        <v>0.01</v>
      </c>
      <c r="I103" s="93">
        <f t="shared" si="21"/>
        <v>0.01</v>
      </c>
      <c r="J103" s="98">
        <f t="shared" si="21"/>
        <v>0.01</v>
      </c>
      <c r="K103" s="98">
        <f t="shared" si="21"/>
        <v>0.03</v>
      </c>
      <c r="L103" s="91">
        <f t="shared" si="21"/>
        <v>0.3</v>
      </c>
      <c r="M103" s="92">
        <f t="shared" si="21"/>
        <v>0.01</v>
      </c>
      <c r="N103" s="93">
        <f t="shared" si="21"/>
        <v>0.01</v>
      </c>
      <c r="O103" s="89" t="s">
        <v>85</v>
      </c>
    </row>
    <row r="104" spans="1:15" outlineLevel="1" x14ac:dyDescent="0.2">
      <c r="A104" s="20">
        <f t="shared" si="17"/>
        <v>11161</v>
      </c>
      <c r="B104" s="19" t="str">
        <f t="shared" si="17"/>
        <v>TAMUCC</v>
      </c>
      <c r="C104" s="90">
        <f t="shared" si="18"/>
        <v>0.95</v>
      </c>
      <c r="D104" s="91">
        <f t="shared" si="21"/>
        <v>0.3</v>
      </c>
      <c r="E104" s="92">
        <f t="shared" si="21"/>
        <v>0.03</v>
      </c>
      <c r="F104" s="92">
        <f t="shared" si="21"/>
        <v>0.01</v>
      </c>
      <c r="G104" s="93">
        <f t="shared" si="21"/>
        <v>0.01</v>
      </c>
      <c r="H104" s="91">
        <f t="shared" si="21"/>
        <v>0.01</v>
      </c>
      <c r="I104" s="93">
        <f t="shared" si="21"/>
        <v>0.01</v>
      </c>
      <c r="J104" s="98">
        <f t="shared" si="21"/>
        <v>0.01</v>
      </c>
      <c r="K104" s="98">
        <f t="shared" si="21"/>
        <v>0.01</v>
      </c>
      <c r="L104" s="91">
        <f t="shared" si="21"/>
        <v>0.3</v>
      </c>
      <c r="M104" s="92">
        <f t="shared" si="21"/>
        <v>0.3</v>
      </c>
      <c r="N104" s="93">
        <f t="shared" si="21"/>
        <v>0.01</v>
      </c>
      <c r="O104" s="89" t="s">
        <v>84</v>
      </c>
    </row>
    <row r="105" spans="1:15" outlineLevel="1" x14ac:dyDescent="0.2">
      <c r="A105" s="20">
        <f t="shared" si="17"/>
        <v>3639</v>
      </c>
      <c r="B105" s="19" t="str">
        <f t="shared" si="17"/>
        <v>TAMUK</v>
      </c>
      <c r="C105" s="90">
        <f t="shared" si="18"/>
        <v>0.95</v>
      </c>
      <c r="D105" s="91">
        <f t="shared" si="21"/>
        <v>0.3</v>
      </c>
      <c r="E105" s="92">
        <f t="shared" si="21"/>
        <v>0.03</v>
      </c>
      <c r="F105" s="92">
        <f t="shared" si="21"/>
        <v>0.01</v>
      </c>
      <c r="G105" s="93">
        <f t="shared" si="21"/>
        <v>0.01</v>
      </c>
      <c r="H105" s="91">
        <f t="shared" si="21"/>
        <v>0.01</v>
      </c>
      <c r="I105" s="93">
        <f t="shared" si="21"/>
        <v>0.01</v>
      </c>
      <c r="J105" s="98">
        <f t="shared" si="21"/>
        <v>0.01</v>
      </c>
      <c r="K105" s="98">
        <f t="shared" si="21"/>
        <v>0.01</v>
      </c>
      <c r="L105" s="91">
        <f t="shared" si="21"/>
        <v>0.3</v>
      </c>
      <c r="M105" s="92">
        <f t="shared" si="21"/>
        <v>0.3</v>
      </c>
      <c r="N105" s="93">
        <f t="shared" si="21"/>
        <v>0.01</v>
      </c>
      <c r="O105" s="89" t="s">
        <v>84</v>
      </c>
    </row>
    <row r="106" spans="1:15" outlineLevel="1" x14ac:dyDescent="0.2">
      <c r="A106" s="27">
        <f t="shared" ref="A106:B121" si="22">A21</f>
        <v>103639</v>
      </c>
      <c r="B106" s="19" t="str">
        <f t="shared" si="22"/>
        <v>TAMUSA</v>
      </c>
      <c r="C106" s="90">
        <f t="shared" si="18"/>
        <v>0.92999999999999994</v>
      </c>
      <c r="D106" s="91">
        <f t="shared" si="21"/>
        <v>0.3</v>
      </c>
      <c r="E106" s="92">
        <f t="shared" si="21"/>
        <v>0.3</v>
      </c>
      <c r="F106" s="92">
        <f t="shared" si="21"/>
        <v>0.01</v>
      </c>
      <c r="G106" s="93">
        <f t="shared" si="21"/>
        <v>0.01</v>
      </c>
      <c r="H106" s="91">
        <f t="shared" si="21"/>
        <v>0.01</v>
      </c>
      <c r="I106" s="93">
        <f t="shared" si="21"/>
        <v>0.01</v>
      </c>
      <c r="J106" s="98">
        <f t="shared" si="21"/>
        <v>0.01</v>
      </c>
      <c r="K106" s="98">
        <f t="shared" si="21"/>
        <v>0.03</v>
      </c>
      <c r="L106" s="91">
        <f t="shared" si="21"/>
        <v>0.3</v>
      </c>
      <c r="M106" s="92">
        <f t="shared" si="21"/>
        <v>0.01</v>
      </c>
      <c r="N106" s="93">
        <f t="shared" si="21"/>
        <v>0.01</v>
      </c>
      <c r="O106" s="89" t="s">
        <v>85</v>
      </c>
    </row>
    <row r="107" spans="1:15" outlineLevel="1" x14ac:dyDescent="0.2">
      <c r="A107" s="20">
        <f t="shared" si="22"/>
        <v>9651</v>
      </c>
      <c r="B107" s="19" t="str">
        <f t="shared" si="22"/>
        <v>TAMI</v>
      </c>
      <c r="C107" s="90">
        <f t="shared" si="18"/>
        <v>0.95</v>
      </c>
      <c r="D107" s="91">
        <f t="shared" si="21"/>
        <v>0.3</v>
      </c>
      <c r="E107" s="92">
        <f t="shared" si="21"/>
        <v>0.03</v>
      </c>
      <c r="F107" s="92">
        <f t="shared" si="21"/>
        <v>0.01</v>
      </c>
      <c r="G107" s="93">
        <f t="shared" si="21"/>
        <v>0.01</v>
      </c>
      <c r="H107" s="91">
        <f t="shared" si="21"/>
        <v>0.01</v>
      </c>
      <c r="I107" s="93">
        <f t="shared" si="21"/>
        <v>0.01</v>
      </c>
      <c r="J107" s="98">
        <f t="shared" si="21"/>
        <v>0.01</v>
      </c>
      <c r="K107" s="98">
        <f t="shared" si="21"/>
        <v>0.01</v>
      </c>
      <c r="L107" s="91">
        <f t="shared" si="21"/>
        <v>0.3</v>
      </c>
      <c r="M107" s="92">
        <f t="shared" si="21"/>
        <v>0.3</v>
      </c>
      <c r="N107" s="93">
        <f t="shared" si="21"/>
        <v>0.01</v>
      </c>
      <c r="O107" s="89" t="s">
        <v>86</v>
      </c>
    </row>
    <row r="108" spans="1:15" outlineLevel="1" x14ac:dyDescent="0.2">
      <c r="A108" s="20">
        <f t="shared" si="22"/>
        <v>3665</v>
      </c>
      <c r="B108" s="19" t="str">
        <f t="shared" si="22"/>
        <v>WTAMU</v>
      </c>
      <c r="C108" s="90">
        <f t="shared" si="18"/>
        <v>0.95</v>
      </c>
      <c r="D108" s="91">
        <f t="shared" si="21"/>
        <v>0.3</v>
      </c>
      <c r="E108" s="92">
        <f t="shared" si="21"/>
        <v>0.03</v>
      </c>
      <c r="F108" s="92">
        <f t="shared" si="21"/>
        <v>0.01</v>
      </c>
      <c r="G108" s="93">
        <f t="shared" si="21"/>
        <v>0.01</v>
      </c>
      <c r="H108" s="91">
        <f t="shared" si="21"/>
        <v>0.01</v>
      </c>
      <c r="I108" s="93">
        <f t="shared" si="21"/>
        <v>0.01</v>
      </c>
      <c r="J108" s="98">
        <f t="shared" si="21"/>
        <v>0.01</v>
      </c>
      <c r="K108" s="98">
        <f t="shared" si="21"/>
        <v>0.01</v>
      </c>
      <c r="L108" s="91">
        <f t="shared" si="21"/>
        <v>0.3</v>
      </c>
      <c r="M108" s="92">
        <f t="shared" si="21"/>
        <v>0.3</v>
      </c>
      <c r="N108" s="93">
        <f t="shared" si="21"/>
        <v>0.01</v>
      </c>
      <c r="O108" s="89" t="s">
        <v>86</v>
      </c>
    </row>
    <row r="109" spans="1:15" outlineLevel="1" x14ac:dyDescent="0.2">
      <c r="A109" s="20">
        <f t="shared" si="22"/>
        <v>3565</v>
      </c>
      <c r="B109" s="19" t="str">
        <f t="shared" si="22"/>
        <v>TAMUC</v>
      </c>
      <c r="C109" s="90">
        <f t="shared" si="18"/>
        <v>0.95</v>
      </c>
      <c r="D109" s="91">
        <f t="shared" si="21"/>
        <v>0.3</v>
      </c>
      <c r="E109" s="92">
        <f t="shared" si="21"/>
        <v>0.03</v>
      </c>
      <c r="F109" s="92">
        <f t="shared" si="21"/>
        <v>0.01</v>
      </c>
      <c r="G109" s="93">
        <f t="shared" si="21"/>
        <v>0.01</v>
      </c>
      <c r="H109" s="91">
        <f t="shared" si="21"/>
        <v>0.01</v>
      </c>
      <c r="I109" s="93">
        <f t="shared" si="21"/>
        <v>0.01</v>
      </c>
      <c r="J109" s="98">
        <f t="shared" si="21"/>
        <v>0.01</v>
      </c>
      <c r="K109" s="98">
        <f t="shared" si="21"/>
        <v>0.01</v>
      </c>
      <c r="L109" s="91">
        <f t="shared" si="21"/>
        <v>0.3</v>
      </c>
      <c r="M109" s="92">
        <f t="shared" si="21"/>
        <v>0.3</v>
      </c>
      <c r="N109" s="93">
        <f t="shared" si="21"/>
        <v>0.01</v>
      </c>
      <c r="O109" s="89" t="s">
        <v>84</v>
      </c>
    </row>
    <row r="110" spans="1:15" outlineLevel="1" x14ac:dyDescent="0.2">
      <c r="A110" s="20">
        <f t="shared" si="22"/>
        <v>29269</v>
      </c>
      <c r="B110" s="19" t="str">
        <f t="shared" si="22"/>
        <v>TAMUT</v>
      </c>
      <c r="C110" s="90">
        <f t="shared" si="18"/>
        <v>0.92999999999999994</v>
      </c>
      <c r="D110" s="91">
        <f t="shared" si="21"/>
        <v>0.3</v>
      </c>
      <c r="E110" s="92">
        <f t="shared" si="21"/>
        <v>0.3</v>
      </c>
      <c r="F110" s="92">
        <f t="shared" si="21"/>
        <v>0.01</v>
      </c>
      <c r="G110" s="93">
        <f t="shared" si="21"/>
        <v>0.01</v>
      </c>
      <c r="H110" s="91">
        <f t="shared" si="21"/>
        <v>0.01</v>
      </c>
      <c r="I110" s="93">
        <f t="shared" si="21"/>
        <v>0.01</v>
      </c>
      <c r="J110" s="98">
        <f t="shared" si="21"/>
        <v>0.01</v>
      </c>
      <c r="K110" s="98">
        <f t="shared" si="21"/>
        <v>0.03</v>
      </c>
      <c r="L110" s="91">
        <f t="shared" si="21"/>
        <v>0.3</v>
      </c>
      <c r="M110" s="92">
        <f t="shared" si="21"/>
        <v>0.01</v>
      </c>
      <c r="N110" s="93">
        <f t="shared" si="21"/>
        <v>0.01</v>
      </c>
      <c r="O110" s="89" t="s">
        <v>85</v>
      </c>
    </row>
    <row r="111" spans="1:15" outlineLevel="1" x14ac:dyDescent="0.2">
      <c r="A111" s="20">
        <f t="shared" si="22"/>
        <v>3652</v>
      </c>
      <c r="B111" s="19" t="str">
        <f t="shared" si="22"/>
        <v>UH</v>
      </c>
      <c r="C111" s="90">
        <f t="shared" si="18"/>
        <v>0.95</v>
      </c>
      <c r="D111" s="91">
        <f t="shared" ref="D111:N120" si="23">SUMIF($O$131:$O$135,$O111,D$131:D$135)</f>
        <v>0.3</v>
      </c>
      <c r="E111" s="92">
        <f t="shared" si="23"/>
        <v>0.3</v>
      </c>
      <c r="F111" s="92">
        <f t="shared" si="23"/>
        <v>0.01</v>
      </c>
      <c r="G111" s="93">
        <f t="shared" si="23"/>
        <v>0.01</v>
      </c>
      <c r="H111" s="91">
        <f t="shared" si="23"/>
        <v>0.01</v>
      </c>
      <c r="I111" s="93">
        <f t="shared" si="23"/>
        <v>0.01</v>
      </c>
      <c r="J111" s="98">
        <f t="shared" si="23"/>
        <v>0.01</v>
      </c>
      <c r="K111" s="98">
        <f t="shared" si="23"/>
        <v>0.01</v>
      </c>
      <c r="L111" s="91">
        <f t="shared" si="23"/>
        <v>0.3</v>
      </c>
      <c r="M111" s="92">
        <f t="shared" si="23"/>
        <v>0.03</v>
      </c>
      <c r="N111" s="93">
        <f t="shared" si="23"/>
        <v>0.01</v>
      </c>
      <c r="O111" s="89" t="s">
        <v>83</v>
      </c>
    </row>
    <row r="112" spans="1:15" outlineLevel="1" x14ac:dyDescent="0.2">
      <c r="A112" s="20">
        <f t="shared" si="22"/>
        <v>11711</v>
      </c>
      <c r="B112" s="19" t="str">
        <f t="shared" si="22"/>
        <v>UHCL</v>
      </c>
      <c r="C112" s="90">
        <f t="shared" si="18"/>
        <v>0.92999999999999994</v>
      </c>
      <c r="D112" s="91">
        <f t="shared" si="23"/>
        <v>0.3</v>
      </c>
      <c r="E112" s="92">
        <f t="shared" si="23"/>
        <v>0.3</v>
      </c>
      <c r="F112" s="92">
        <f t="shared" si="23"/>
        <v>0.01</v>
      </c>
      <c r="G112" s="93">
        <f t="shared" si="23"/>
        <v>0.01</v>
      </c>
      <c r="H112" s="91">
        <f t="shared" si="23"/>
        <v>0.01</v>
      </c>
      <c r="I112" s="93">
        <f t="shared" si="23"/>
        <v>0.01</v>
      </c>
      <c r="J112" s="98">
        <f t="shared" si="23"/>
        <v>0.01</v>
      </c>
      <c r="K112" s="98">
        <f t="shared" si="23"/>
        <v>0.03</v>
      </c>
      <c r="L112" s="91">
        <f t="shared" si="23"/>
        <v>0.3</v>
      </c>
      <c r="M112" s="92">
        <f t="shared" si="23"/>
        <v>0.01</v>
      </c>
      <c r="N112" s="93">
        <f t="shared" si="23"/>
        <v>0.01</v>
      </c>
      <c r="O112" s="89" t="s">
        <v>85</v>
      </c>
    </row>
    <row r="113" spans="1:21" outlineLevel="1" x14ac:dyDescent="0.2">
      <c r="A113" s="20">
        <f t="shared" si="22"/>
        <v>12826</v>
      </c>
      <c r="B113" s="19" t="str">
        <f t="shared" si="22"/>
        <v>UHD</v>
      </c>
      <c r="C113" s="90">
        <f t="shared" si="18"/>
        <v>0.92999999999999994</v>
      </c>
      <c r="D113" s="91">
        <f t="shared" si="23"/>
        <v>0.3</v>
      </c>
      <c r="E113" s="92">
        <f t="shared" si="23"/>
        <v>0.3</v>
      </c>
      <c r="F113" s="92">
        <f t="shared" si="23"/>
        <v>0.01</v>
      </c>
      <c r="G113" s="93">
        <f t="shared" si="23"/>
        <v>0.01</v>
      </c>
      <c r="H113" s="91">
        <f t="shared" si="23"/>
        <v>0.01</v>
      </c>
      <c r="I113" s="93">
        <f t="shared" si="23"/>
        <v>0.01</v>
      </c>
      <c r="J113" s="98">
        <f t="shared" si="23"/>
        <v>0.01</v>
      </c>
      <c r="K113" s="98">
        <f t="shared" si="23"/>
        <v>0.03</v>
      </c>
      <c r="L113" s="91">
        <f t="shared" si="23"/>
        <v>0.3</v>
      </c>
      <c r="M113" s="92">
        <f t="shared" si="23"/>
        <v>0.01</v>
      </c>
      <c r="N113" s="93">
        <f t="shared" si="23"/>
        <v>0.01</v>
      </c>
      <c r="O113" s="89" t="s">
        <v>85</v>
      </c>
    </row>
    <row r="114" spans="1:21" outlineLevel="1" x14ac:dyDescent="0.2">
      <c r="A114" s="20">
        <f t="shared" si="22"/>
        <v>13231</v>
      </c>
      <c r="B114" s="19" t="str">
        <f t="shared" si="22"/>
        <v>UHV</v>
      </c>
      <c r="C114" s="90">
        <f t="shared" si="18"/>
        <v>0.92999999999999994</v>
      </c>
      <c r="D114" s="91">
        <f t="shared" si="23"/>
        <v>0.3</v>
      </c>
      <c r="E114" s="92">
        <f t="shared" si="23"/>
        <v>0.3</v>
      </c>
      <c r="F114" s="92">
        <f t="shared" si="23"/>
        <v>0.01</v>
      </c>
      <c r="G114" s="93">
        <f t="shared" si="23"/>
        <v>0.01</v>
      </c>
      <c r="H114" s="91">
        <f t="shared" si="23"/>
        <v>0.01</v>
      </c>
      <c r="I114" s="93">
        <f t="shared" si="23"/>
        <v>0.01</v>
      </c>
      <c r="J114" s="98">
        <f t="shared" si="23"/>
        <v>0.01</v>
      </c>
      <c r="K114" s="98">
        <f t="shared" si="23"/>
        <v>0.03</v>
      </c>
      <c r="L114" s="91">
        <f t="shared" si="23"/>
        <v>0.3</v>
      </c>
      <c r="M114" s="92">
        <f t="shared" si="23"/>
        <v>0.01</v>
      </c>
      <c r="N114" s="93">
        <f t="shared" si="23"/>
        <v>0.01</v>
      </c>
      <c r="O114" s="89" t="s">
        <v>85</v>
      </c>
    </row>
    <row r="115" spans="1:21" outlineLevel="1" x14ac:dyDescent="0.2">
      <c r="A115" s="20">
        <f t="shared" si="22"/>
        <v>3592</v>
      </c>
      <c r="B115" s="19" t="str">
        <f t="shared" si="22"/>
        <v>Midwestern</v>
      </c>
      <c r="C115" s="90">
        <f t="shared" si="18"/>
        <v>0.92999999999999994</v>
      </c>
      <c r="D115" s="91">
        <f t="shared" si="23"/>
        <v>0.3</v>
      </c>
      <c r="E115" s="92">
        <f t="shared" si="23"/>
        <v>0.3</v>
      </c>
      <c r="F115" s="92">
        <f t="shared" si="23"/>
        <v>0.01</v>
      </c>
      <c r="G115" s="93">
        <f t="shared" si="23"/>
        <v>0.01</v>
      </c>
      <c r="H115" s="91">
        <f t="shared" si="23"/>
        <v>0.01</v>
      </c>
      <c r="I115" s="93">
        <f t="shared" si="23"/>
        <v>0.01</v>
      </c>
      <c r="J115" s="98">
        <f t="shared" si="23"/>
        <v>0.01</v>
      </c>
      <c r="K115" s="98">
        <f t="shared" si="23"/>
        <v>0.03</v>
      </c>
      <c r="L115" s="91">
        <f t="shared" si="23"/>
        <v>0.3</v>
      </c>
      <c r="M115" s="92">
        <f t="shared" si="23"/>
        <v>0.01</v>
      </c>
      <c r="N115" s="93">
        <f t="shared" si="23"/>
        <v>0.01</v>
      </c>
      <c r="O115" s="89" t="s">
        <v>85</v>
      </c>
    </row>
    <row r="116" spans="1:21" outlineLevel="1" x14ac:dyDescent="0.2">
      <c r="A116" s="20">
        <f t="shared" si="22"/>
        <v>3594</v>
      </c>
      <c r="B116" s="19" t="str">
        <f t="shared" si="22"/>
        <v>UNT</v>
      </c>
      <c r="C116" s="90">
        <f t="shared" si="18"/>
        <v>0.95</v>
      </c>
      <c r="D116" s="91">
        <f t="shared" si="23"/>
        <v>0.3</v>
      </c>
      <c r="E116" s="92">
        <f t="shared" si="23"/>
        <v>0.3</v>
      </c>
      <c r="F116" s="92">
        <f t="shared" si="23"/>
        <v>0.01</v>
      </c>
      <c r="G116" s="93">
        <f t="shared" si="23"/>
        <v>0.01</v>
      </c>
      <c r="H116" s="91">
        <f t="shared" si="23"/>
        <v>0.01</v>
      </c>
      <c r="I116" s="93">
        <f t="shared" si="23"/>
        <v>0.01</v>
      </c>
      <c r="J116" s="98">
        <f t="shared" si="23"/>
        <v>0.01</v>
      </c>
      <c r="K116" s="98">
        <f t="shared" si="23"/>
        <v>0.01</v>
      </c>
      <c r="L116" s="91">
        <f t="shared" si="23"/>
        <v>0.3</v>
      </c>
      <c r="M116" s="92">
        <f t="shared" si="23"/>
        <v>0.03</v>
      </c>
      <c r="N116" s="93">
        <f t="shared" si="23"/>
        <v>0.01</v>
      </c>
      <c r="O116" s="89" t="s">
        <v>83</v>
      </c>
      <c r="S116" s="151"/>
      <c r="U116" s="151"/>
    </row>
    <row r="117" spans="1:21" outlineLevel="1" x14ac:dyDescent="0.2">
      <c r="A117" s="27">
        <f t="shared" si="22"/>
        <v>113594</v>
      </c>
      <c r="B117" s="19" t="str">
        <f t="shared" si="22"/>
        <v>UNTD</v>
      </c>
      <c r="C117" s="90">
        <f t="shared" si="18"/>
        <v>0.92999999999999994</v>
      </c>
      <c r="D117" s="91">
        <f t="shared" si="23"/>
        <v>0.3</v>
      </c>
      <c r="E117" s="92">
        <f t="shared" si="23"/>
        <v>0.3</v>
      </c>
      <c r="F117" s="92">
        <f t="shared" si="23"/>
        <v>0.01</v>
      </c>
      <c r="G117" s="93">
        <f t="shared" si="23"/>
        <v>0.01</v>
      </c>
      <c r="H117" s="91">
        <f t="shared" si="23"/>
        <v>0.01</v>
      </c>
      <c r="I117" s="93">
        <f t="shared" si="23"/>
        <v>0.01</v>
      </c>
      <c r="J117" s="98">
        <f t="shared" si="23"/>
        <v>0.01</v>
      </c>
      <c r="K117" s="98">
        <f t="shared" si="23"/>
        <v>0.03</v>
      </c>
      <c r="L117" s="91">
        <f t="shared" si="23"/>
        <v>0.3</v>
      </c>
      <c r="M117" s="92">
        <f t="shared" si="23"/>
        <v>0.01</v>
      </c>
      <c r="N117" s="93">
        <f t="shared" si="23"/>
        <v>0.01</v>
      </c>
      <c r="O117" s="89" t="s">
        <v>85</v>
      </c>
    </row>
    <row r="118" spans="1:21" outlineLevel="1" x14ac:dyDescent="0.2">
      <c r="A118" s="20">
        <f t="shared" si="22"/>
        <v>3624</v>
      </c>
      <c r="B118" s="19" t="str">
        <f t="shared" si="22"/>
        <v>SFA</v>
      </c>
      <c r="C118" s="90">
        <f t="shared" si="18"/>
        <v>0.95</v>
      </c>
      <c r="D118" s="91">
        <f t="shared" si="23"/>
        <v>0.3</v>
      </c>
      <c r="E118" s="92">
        <f t="shared" si="23"/>
        <v>0.03</v>
      </c>
      <c r="F118" s="92">
        <f t="shared" si="23"/>
        <v>0.01</v>
      </c>
      <c r="G118" s="93">
        <f t="shared" si="23"/>
        <v>0.01</v>
      </c>
      <c r="H118" s="91">
        <f t="shared" si="23"/>
        <v>0.01</v>
      </c>
      <c r="I118" s="93">
        <f t="shared" si="23"/>
        <v>0.01</v>
      </c>
      <c r="J118" s="98">
        <f t="shared" si="23"/>
        <v>0.01</v>
      </c>
      <c r="K118" s="98">
        <f t="shared" si="23"/>
        <v>0.01</v>
      </c>
      <c r="L118" s="91">
        <f t="shared" si="23"/>
        <v>0.3</v>
      </c>
      <c r="M118" s="92">
        <f t="shared" si="23"/>
        <v>0.3</v>
      </c>
      <c r="N118" s="93">
        <f t="shared" si="23"/>
        <v>0.01</v>
      </c>
      <c r="O118" s="89" t="s">
        <v>86</v>
      </c>
    </row>
    <row r="119" spans="1:21" outlineLevel="1" x14ac:dyDescent="0.2">
      <c r="A119" s="20">
        <f t="shared" si="22"/>
        <v>3642</v>
      </c>
      <c r="B119" s="19" t="str">
        <f t="shared" si="22"/>
        <v>TSU</v>
      </c>
      <c r="C119" s="90">
        <f t="shared" si="18"/>
        <v>0.95</v>
      </c>
      <c r="D119" s="91">
        <f t="shared" si="23"/>
        <v>0.3</v>
      </c>
      <c r="E119" s="92">
        <f t="shared" si="23"/>
        <v>0.03</v>
      </c>
      <c r="F119" s="92">
        <f t="shared" si="23"/>
        <v>0.01</v>
      </c>
      <c r="G119" s="93">
        <f t="shared" si="23"/>
        <v>0.01</v>
      </c>
      <c r="H119" s="91">
        <f t="shared" si="23"/>
        <v>0.01</v>
      </c>
      <c r="I119" s="93">
        <f t="shared" si="23"/>
        <v>0.01</v>
      </c>
      <c r="J119" s="98">
        <f t="shared" si="23"/>
        <v>0.01</v>
      </c>
      <c r="K119" s="98">
        <f t="shared" si="23"/>
        <v>0.01</v>
      </c>
      <c r="L119" s="91">
        <f t="shared" si="23"/>
        <v>0.3</v>
      </c>
      <c r="M119" s="92">
        <f t="shared" si="23"/>
        <v>0.3</v>
      </c>
      <c r="N119" s="93">
        <f t="shared" si="23"/>
        <v>0.01</v>
      </c>
      <c r="O119" s="89" t="s">
        <v>84</v>
      </c>
    </row>
    <row r="120" spans="1:21" outlineLevel="1" x14ac:dyDescent="0.2">
      <c r="A120" s="20">
        <f t="shared" si="22"/>
        <v>3644</v>
      </c>
      <c r="B120" s="19" t="str">
        <f t="shared" si="22"/>
        <v>TTU</v>
      </c>
      <c r="C120" s="90">
        <f t="shared" si="18"/>
        <v>0.95</v>
      </c>
      <c r="D120" s="91">
        <f t="shared" si="23"/>
        <v>0.3</v>
      </c>
      <c r="E120" s="92">
        <f t="shared" si="23"/>
        <v>0.3</v>
      </c>
      <c r="F120" s="92">
        <f t="shared" si="23"/>
        <v>0.01</v>
      </c>
      <c r="G120" s="93">
        <f t="shared" si="23"/>
        <v>0.01</v>
      </c>
      <c r="H120" s="91">
        <f t="shared" si="23"/>
        <v>0.01</v>
      </c>
      <c r="I120" s="93">
        <f t="shared" si="23"/>
        <v>0.01</v>
      </c>
      <c r="J120" s="98">
        <f t="shared" si="23"/>
        <v>0.01</v>
      </c>
      <c r="K120" s="98">
        <f t="shared" si="23"/>
        <v>0.01</v>
      </c>
      <c r="L120" s="91">
        <f t="shared" si="23"/>
        <v>0.3</v>
      </c>
      <c r="M120" s="92">
        <f t="shared" si="23"/>
        <v>0.03</v>
      </c>
      <c r="N120" s="93">
        <f t="shared" si="23"/>
        <v>0.01</v>
      </c>
      <c r="O120" s="89" t="s">
        <v>83</v>
      </c>
    </row>
    <row r="121" spans="1:21" outlineLevel="1" x14ac:dyDescent="0.2">
      <c r="A121" s="20">
        <f t="shared" si="22"/>
        <v>3541</v>
      </c>
      <c r="B121" s="19" t="str">
        <f t="shared" si="22"/>
        <v>Angelo</v>
      </c>
      <c r="C121" s="90">
        <f t="shared" si="18"/>
        <v>0.92999999999999994</v>
      </c>
      <c r="D121" s="91">
        <f t="shared" ref="D121:N127" si="24">SUMIF($O$131:$O$135,$O121,D$131:D$135)</f>
        <v>0.3</v>
      </c>
      <c r="E121" s="92">
        <f t="shared" si="24"/>
        <v>0.3</v>
      </c>
      <c r="F121" s="92">
        <f t="shared" si="24"/>
        <v>0.01</v>
      </c>
      <c r="G121" s="93">
        <f t="shared" si="24"/>
        <v>0.01</v>
      </c>
      <c r="H121" s="91">
        <f t="shared" si="24"/>
        <v>0.01</v>
      </c>
      <c r="I121" s="93">
        <f t="shared" si="24"/>
        <v>0.01</v>
      </c>
      <c r="J121" s="98">
        <f t="shared" si="24"/>
        <v>0.01</v>
      </c>
      <c r="K121" s="98">
        <f t="shared" si="24"/>
        <v>0.03</v>
      </c>
      <c r="L121" s="91">
        <f t="shared" si="24"/>
        <v>0.3</v>
      </c>
      <c r="M121" s="92">
        <f t="shared" si="24"/>
        <v>0.01</v>
      </c>
      <c r="N121" s="93">
        <f t="shared" si="24"/>
        <v>0.01</v>
      </c>
      <c r="O121" s="89" t="s">
        <v>85</v>
      </c>
    </row>
    <row r="122" spans="1:21" outlineLevel="1" x14ac:dyDescent="0.2">
      <c r="A122" s="20">
        <f t="shared" ref="A122:B127" si="25">A37</f>
        <v>3646</v>
      </c>
      <c r="B122" s="19" t="str">
        <f t="shared" si="25"/>
        <v>TWU</v>
      </c>
      <c r="C122" s="90">
        <f t="shared" si="18"/>
        <v>0.95</v>
      </c>
      <c r="D122" s="91">
        <f t="shared" si="24"/>
        <v>0.3</v>
      </c>
      <c r="E122" s="92">
        <f t="shared" si="24"/>
        <v>0.03</v>
      </c>
      <c r="F122" s="92">
        <f t="shared" si="24"/>
        <v>0.01</v>
      </c>
      <c r="G122" s="93">
        <f t="shared" si="24"/>
        <v>0.01</v>
      </c>
      <c r="H122" s="91">
        <f t="shared" si="24"/>
        <v>0.01</v>
      </c>
      <c r="I122" s="93">
        <f t="shared" si="24"/>
        <v>0.01</v>
      </c>
      <c r="J122" s="98">
        <f t="shared" si="24"/>
        <v>0.01</v>
      </c>
      <c r="K122" s="98">
        <f t="shared" si="24"/>
        <v>0.01</v>
      </c>
      <c r="L122" s="91">
        <f t="shared" si="24"/>
        <v>0.3</v>
      </c>
      <c r="M122" s="92">
        <f t="shared" si="24"/>
        <v>0.3</v>
      </c>
      <c r="N122" s="93">
        <f t="shared" si="24"/>
        <v>0.01</v>
      </c>
      <c r="O122" s="89" t="s">
        <v>84</v>
      </c>
    </row>
    <row r="123" spans="1:21" outlineLevel="1" x14ac:dyDescent="0.2">
      <c r="A123" s="20">
        <f t="shared" si="25"/>
        <v>3581</v>
      </c>
      <c r="B123" s="19" t="str">
        <f t="shared" si="25"/>
        <v>Lamar</v>
      </c>
      <c r="C123" s="90">
        <f t="shared" si="18"/>
        <v>0.95</v>
      </c>
      <c r="D123" s="91">
        <f t="shared" si="24"/>
        <v>0.3</v>
      </c>
      <c r="E123" s="92">
        <f t="shared" si="24"/>
        <v>0.03</v>
      </c>
      <c r="F123" s="92">
        <f t="shared" si="24"/>
        <v>0.01</v>
      </c>
      <c r="G123" s="93">
        <f t="shared" si="24"/>
        <v>0.01</v>
      </c>
      <c r="H123" s="91">
        <f t="shared" si="24"/>
        <v>0.01</v>
      </c>
      <c r="I123" s="93">
        <f t="shared" si="24"/>
        <v>0.01</v>
      </c>
      <c r="J123" s="98">
        <f t="shared" si="24"/>
        <v>0.01</v>
      </c>
      <c r="K123" s="98">
        <f t="shared" si="24"/>
        <v>0.01</v>
      </c>
      <c r="L123" s="91">
        <f t="shared" si="24"/>
        <v>0.3</v>
      </c>
      <c r="M123" s="92">
        <f t="shared" si="24"/>
        <v>0.3</v>
      </c>
      <c r="N123" s="93">
        <f t="shared" si="24"/>
        <v>0.01</v>
      </c>
      <c r="O123" s="89" t="s">
        <v>86</v>
      </c>
    </row>
    <row r="124" spans="1:21" outlineLevel="1" x14ac:dyDescent="0.2">
      <c r="A124" s="20">
        <f t="shared" si="25"/>
        <v>3606</v>
      </c>
      <c r="B124" s="19" t="str">
        <f t="shared" si="25"/>
        <v>SHSU</v>
      </c>
      <c r="C124" s="90">
        <f t="shared" si="18"/>
        <v>0.95</v>
      </c>
      <c r="D124" s="91">
        <f t="shared" si="24"/>
        <v>0.3</v>
      </c>
      <c r="E124" s="92">
        <f t="shared" si="24"/>
        <v>0.03</v>
      </c>
      <c r="F124" s="92">
        <f t="shared" si="24"/>
        <v>0.01</v>
      </c>
      <c r="G124" s="93">
        <f t="shared" si="24"/>
        <v>0.01</v>
      </c>
      <c r="H124" s="91">
        <f t="shared" si="24"/>
        <v>0.01</v>
      </c>
      <c r="I124" s="93">
        <f t="shared" si="24"/>
        <v>0.01</v>
      </c>
      <c r="J124" s="98">
        <f t="shared" si="24"/>
        <v>0.01</v>
      </c>
      <c r="K124" s="98">
        <f t="shared" si="24"/>
        <v>0.01</v>
      </c>
      <c r="L124" s="91">
        <f t="shared" si="24"/>
        <v>0.3</v>
      </c>
      <c r="M124" s="92">
        <f t="shared" si="24"/>
        <v>0.3</v>
      </c>
      <c r="N124" s="93">
        <f t="shared" si="24"/>
        <v>0.01</v>
      </c>
      <c r="O124" s="89" t="s">
        <v>84</v>
      </c>
    </row>
    <row r="125" spans="1:21" outlineLevel="1" x14ac:dyDescent="0.2">
      <c r="A125" s="20">
        <f t="shared" si="25"/>
        <v>3615</v>
      </c>
      <c r="B125" s="19" t="str">
        <f t="shared" si="25"/>
        <v>TXST</v>
      </c>
      <c r="C125" s="90">
        <f t="shared" si="18"/>
        <v>0.95</v>
      </c>
      <c r="D125" s="91">
        <f t="shared" si="24"/>
        <v>0.3</v>
      </c>
      <c r="E125" s="92">
        <f t="shared" si="24"/>
        <v>0.3</v>
      </c>
      <c r="F125" s="92">
        <f t="shared" si="24"/>
        <v>0.01</v>
      </c>
      <c r="G125" s="93">
        <f t="shared" si="24"/>
        <v>0.01</v>
      </c>
      <c r="H125" s="91">
        <f t="shared" si="24"/>
        <v>0.01</v>
      </c>
      <c r="I125" s="93">
        <f t="shared" si="24"/>
        <v>0.01</v>
      </c>
      <c r="J125" s="98">
        <f t="shared" si="24"/>
        <v>0.01</v>
      </c>
      <c r="K125" s="98">
        <f t="shared" si="24"/>
        <v>0.01</v>
      </c>
      <c r="L125" s="91">
        <f t="shared" si="24"/>
        <v>0.3</v>
      </c>
      <c r="M125" s="92">
        <f t="shared" si="24"/>
        <v>0.03</v>
      </c>
      <c r="N125" s="93">
        <f t="shared" si="24"/>
        <v>0.01</v>
      </c>
      <c r="O125" s="89" t="s">
        <v>83</v>
      </c>
    </row>
    <row r="126" spans="1:21" outlineLevel="1" x14ac:dyDescent="0.2">
      <c r="A126" s="20">
        <f t="shared" si="25"/>
        <v>3625</v>
      </c>
      <c r="B126" s="19" t="str">
        <f t="shared" si="25"/>
        <v>SRSU</v>
      </c>
      <c r="C126" s="90">
        <f t="shared" si="18"/>
        <v>0.92999999999999994</v>
      </c>
      <c r="D126" s="91">
        <f t="shared" si="24"/>
        <v>0.3</v>
      </c>
      <c r="E126" s="92">
        <f t="shared" si="24"/>
        <v>0.3</v>
      </c>
      <c r="F126" s="92">
        <f t="shared" si="24"/>
        <v>0.01</v>
      </c>
      <c r="G126" s="93">
        <f t="shared" si="24"/>
        <v>0.01</v>
      </c>
      <c r="H126" s="91">
        <f t="shared" si="24"/>
        <v>0.01</v>
      </c>
      <c r="I126" s="93">
        <f t="shared" si="24"/>
        <v>0.01</v>
      </c>
      <c r="J126" s="98">
        <f t="shared" si="24"/>
        <v>0.01</v>
      </c>
      <c r="K126" s="98">
        <f t="shared" si="24"/>
        <v>0.03</v>
      </c>
      <c r="L126" s="91">
        <f t="shared" si="24"/>
        <v>0.3</v>
      </c>
      <c r="M126" s="92">
        <f t="shared" si="24"/>
        <v>0.01</v>
      </c>
      <c r="N126" s="93">
        <f t="shared" si="24"/>
        <v>0.01</v>
      </c>
      <c r="O126" s="89" t="s">
        <v>85</v>
      </c>
    </row>
    <row r="127" spans="1:21" outlineLevel="1" x14ac:dyDescent="0.2">
      <c r="A127" s="20">
        <f t="shared" si="25"/>
        <v>20</v>
      </c>
      <c r="B127" s="19" t="str">
        <f t="shared" si="25"/>
        <v>SRRG</v>
      </c>
      <c r="C127" s="90">
        <f t="shared" si="18"/>
        <v>0.92999999999999994</v>
      </c>
      <c r="D127" s="91">
        <f t="shared" si="24"/>
        <v>0.3</v>
      </c>
      <c r="E127" s="92">
        <f t="shared" si="24"/>
        <v>0.3</v>
      </c>
      <c r="F127" s="92">
        <f t="shared" si="24"/>
        <v>0.01</v>
      </c>
      <c r="G127" s="93">
        <f t="shared" si="24"/>
        <v>0.01</v>
      </c>
      <c r="H127" s="91">
        <f t="shared" si="24"/>
        <v>0.01</v>
      </c>
      <c r="I127" s="93">
        <f t="shared" si="24"/>
        <v>0.01</v>
      </c>
      <c r="J127" s="98">
        <f t="shared" si="24"/>
        <v>0.01</v>
      </c>
      <c r="K127" s="98">
        <f t="shared" si="24"/>
        <v>0.03</v>
      </c>
      <c r="L127" s="91">
        <f t="shared" si="24"/>
        <v>0.3</v>
      </c>
      <c r="M127" s="92">
        <f t="shared" si="24"/>
        <v>0.01</v>
      </c>
      <c r="N127" s="93">
        <f t="shared" si="24"/>
        <v>0.01</v>
      </c>
      <c r="O127" s="89" t="s">
        <v>85</v>
      </c>
    </row>
    <row r="128" spans="1:21" ht="13.5" thickBot="1" x14ac:dyDescent="0.25">
      <c r="A128" s="121" t="s">
        <v>89</v>
      </c>
      <c r="B128" s="72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20"/>
    </row>
    <row r="129" spans="1:15" ht="12.75" customHeight="1" x14ac:dyDescent="0.2">
      <c r="A129" s="118"/>
      <c r="B129" s="72"/>
      <c r="C129" s="277" t="s">
        <v>77</v>
      </c>
      <c r="D129" s="279" t="s">
        <v>35</v>
      </c>
      <c r="E129" s="280"/>
      <c r="F129" s="280"/>
      <c r="G129" s="281"/>
      <c r="H129" s="282" t="s">
        <v>18</v>
      </c>
      <c r="I129" s="291" t="s">
        <v>17</v>
      </c>
      <c r="J129" s="212"/>
      <c r="K129" s="293" t="s">
        <v>16</v>
      </c>
      <c r="L129" s="295" t="s">
        <v>34</v>
      </c>
      <c r="M129" s="296"/>
      <c r="N129" s="296"/>
      <c r="O129" s="308" t="s">
        <v>99</v>
      </c>
    </row>
    <row r="130" spans="1:15" ht="51.75" thickBot="1" x14ac:dyDescent="0.25">
      <c r="A130" s="118"/>
      <c r="B130" s="72"/>
      <c r="C130" s="278"/>
      <c r="D130" s="68"/>
      <c r="E130" s="67" t="s">
        <v>33</v>
      </c>
      <c r="F130" s="67" t="s">
        <v>32</v>
      </c>
      <c r="G130" s="153" t="s">
        <v>31</v>
      </c>
      <c r="H130" s="283"/>
      <c r="I130" s="292"/>
      <c r="J130" s="213" t="s">
        <v>127</v>
      </c>
      <c r="K130" s="294"/>
      <c r="L130" s="44" t="s">
        <v>14</v>
      </c>
      <c r="M130" s="43" t="s">
        <v>13</v>
      </c>
      <c r="N130" s="42" t="s">
        <v>12</v>
      </c>
      <c r="O130" s="309"/>
    </row>
    <row r="131" spans="1:15" x14ac:dyDescent="0.2">
      <c r="A131" s="118"/>
      <c r="B131" s="72"/>
      <c r="C131" s="122">
        <f>SUM(D131:N131)-I131</f>
        <v>0.99</v>
      </c>
      <c r="D131" s="158">
        <f t="shared" ref="D131:H135" si="26">HLOOKUP(D143,$D$149:$N$150,2,0)</f>
        <v>0.3</v>
      </c>
      <c r="E131" s="159">
        <f t="shared" si="26"/>
        <v>0.3</v>
      </c>
      <c r="F131" s="159">
        <f t="shared" si="26"/>
        <v>0.01</v>
      </c>
      <c r="G131" s="160">
        <f t="shared" si="26"/>
        <v>0.01</v>
      </c>
      <c r="H131" s="158">
        <f t="shared" si="26"/>
        <v>0.01</v>
      </c>
      <c r="I131" s="160">
        <f>H131</f>
        <v>0.01</v>
      </c>
      <c r="J131" s="161">
        <f t="shared" ref="J131:N135" si="27">HLOOKUP(J143,$D$149:$N$150,2,0)</f>
        <v>0.01</v>
      </c>
      <c r="K131" s="161">
        <f t="shared" si="27"/>
        <v>0.01</v>
      </c>
      <c r="L131" s="158">
        <f t="shared" si="27"/>
        <v>0.3</v>
      </c>
      <c r="M131" s="159">
        <f t="shared" si="27"/>
        <v>0.01</v>
      </c>
      <c r="N131" s="160">
        <f t="shared" si="27"/>
        <v>0.03</v>
      </c>
      <c r="O131" s="88" t="s">
        <v>82</v>
      </c>
    </row>
    <row r="132" spans="1:15" x14ac:dyDescent="0.2">
      <c r="A132" s="118"/>
      <c r="B132" s="72"/>
      <c r="C132" s="122">
        <f>SUM(D132:N132)-I132</f>
        <v>0.99</v>
      </c>
      <c r="D132" s="161">
        <f t="shared" si="26"/>
        <v>0.3</v>
      </c>
      <c r="E132" s="162">
        <f t="shared" si="26"/>
        <v>0.3</v>
      </c>
      <c r="F132" s="162">
        <f t="shared" si="26"/>
        <v>0.01</v>
      </c>
      <c r="G132" s="163">
        <f t="shared" si="26"/>
        <v>0.01</v>
      </c>
      <c r="H132" s="161">
        <f t="shared" si="26"/>
        <v>0.01</v>
      </c>
      <c r="I132" s="163">
        <f t="shared" ref="I132:I135" si="28">H132</f>
        <v>0.01</v>
      </c>
      <c r="J132" s="161">
        <f t="shared" si="27"/>
        <v>0.01</v>
      </c>
      <c r="K132" s="161">
        <f t="shared" si="27"/>
        <v>0.01</v>
      </c>
      <c r="L132" s="161">
        <f t="shared" si="27"/>
        <v>0.3</v>
      </c>
      <c r="M132" s="162">
        <f t="shared" si="27"/>
        <v>0.03</v>
      </c>
      <c r="N132" s="163">
        <f t="shared" si="27"/>
        <v>0.01</v>
      </c>
      <c r="O132" s="89" t="s">
        <v>83</v>
      </c>
    </row>
    <row r="133" spans="1:15" x14ac:dyDescent="0.2">
      <c r="A133" s="118"/>
      <c r="B133" s="72"/>
      <c r="C133" s="122">
        <f>SUM(D133:N133)-I133</f>
        <v>0.99</v>
      </c>
      <c r="D133" s="161">
        <f t="shared" si="26"/>
        <v>0.3</v>
      </c>
      <c r="E133" s="162">
        <f t="shared" si="26"/>
        <v>0.03</v>
      </c>
      <c r="F133" s="162">
        <f t="shared" si="26"/>
        <v>0.01</v>
      </c>
      <c r="G133" s="163">
        <f t="shared" si="26"/>
        <v>0.01</v>
      </c>
      <c r="H133" s="161">
        <f t="shared" si="26"/>
        <v>0.01</v>
      </c>
      <c r="I133" s="163">
        <f t="shared" si="28"/>
        <v>0.01</v>
      </c>
      <c r="J133" s="161">
        <f t="shared" si="27"/>
        <v>0.01</v>
      </c>
      <c r="K133" s="161">
        <f t="shared" si="27"/>
        <v>0.01</v>
      </c>
      <c r="L133" s="161">
        <f t="shared" si="27"/>
        <v>0.3</v>
      </c>
      <c r="M133" s="162">
        <f t="shared" si="27"/>
        <v>0.3</v>
      </c>
      <c r="N133" s="163">
        <f t="shared" si="27"/>
        <v>0.01</v>
      </c>
      <c r="O133" s="89" t="s">
        <v>84</v>
      </c>
    </row>
    <row r="134" spans="1:15" x14ac:dyDescent="0.2">
      <c r="A134" s="118"/>
      <c r="B134" s="72"/>
      <c r="C134" s="122">
        <f>SUM(D134:N134)-I134</f>
        <v>0.99</v>
      </c>
      <c r="D134" s="161">
        <f t="shared" si="26"/>
        <v>0.3</v>
      </c>
      <c r="E134" s="162">
        <f t="shared" si="26"/>
        <v>0.03</v>
      </c>
      <c r="F134" s="162">
        <f t="shared" si="26"/>
        <v>0.01</v>
      </c>
      <c r="G134" s="163">
        <f t="shared" si="26"/>
        <v>0.01</v>
      </c>
      <c r="H134" s="161">
        <f t="shared" si="26"/>
        <v>0.01</v>
      </c>
      <c r="I134" s="163">
        <f t="shared" si="28"/>
        <v>0.01</v>
      </c>
      <c r="J134" s="161">
        <f t="shared" si="27"/>
        <v>0.01</v>
      </c>
      <c r="K134" s="161">
        <f t="shared" si="27"/>
        <v>0.01</v>
      </c>
      <c r="L134" s="161">
        <f t="shared" si="27"/>
        <v>0.3</v>
      </c>
      <c r="M134" s="162">
        <f t="shared" si="27"/>
        <v>0.3</v>
      </c>
      <c r="N134" s="163">
        <f t="shared" si="27"/>
        <v>0.01</v>
      </c>
      <c r="O134" s="89" t="s">
        <v>86</v>
      </c>
    </row>
    <row r="135" spans="1:15" x14ac:dyDescent="0.2">
      <c r="A135" s="118"/>
      <c r="B135" s="72"/>
      <c r="C135" s="122">
        <f>SUM(D135:N135)-I135</f>
        <v>0.99</v>
      </c>
      <c r="D135" s="161">
        <f t="shared" si="26"/>
        <v>0.3</v>
      </c>
      <c r="E135" s="162">
        <f t="shared" si="26"/>
        <v>0.3</v>
      </c>
      <c r="F135" s="162">
        <f t="shared" si="26"/>
        <v>0.01</v>
      </c>
      <c r="G135" s="163">
        <f t="shared" si="26"/>
        <v>0.01</v>
      </c>
      <c r="H135" s="161">
        <f t="shared" si="26"/>
        <v>0.01</v>
      </c>
      <c r="I135" s="163">
        <f t="shared" si="28"/>
        <v>0.01</v>
      </c>
      <c r="J135" s="161">
        <f t="shared" si="27"/>
        <v>0.01</v>
      </c>
      <c r="K135" s="161">
        <f t="shared" si="27"/>
        <v>0.03</v>
      </c>
      <c r="L135" s="161">
        <f t="shared" si="27"/>
        <v>0.3</v>
      </c>
      <c r="M135" s="162">
        <f t="shared" si="27"/>
        <v>0.01</v>
      </c>
      <c r="N135" s="163">
        <f t="shared" si="27"/>
        <v>0.01</v>
      </c>
      <c r="O135" s="89" t="s">
        <v>85</v>
      </c>
    </row>
    <row r="136" spans="1:15" ht="13.5" thickBot="1" x14ac:dyDescent="0.25">
      <c r="A136" s="121" t="s">
        <v>112</v>
      </c>
      <c r="B136" s="72"/>
      <c r="C136" s="156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20"/>
    </row>
    <row r="137" spans="1:15" x14ac:dyDescent="0.2">
      <c r="A137" s="118"/>
      <c r="B137" s="72"/>
      <c r="C137" s="156"/>
      <c r="D137" s="164">
        <f t="shared" ref="D137:G141" si="29">SUMIF($O$156:$O$193,$O137,D$156:D$193)/COUNTIF($O$156:$O$193,$O137)</f>
        <v>88430</v>
      </c>
      <c r="E137" s="165">
        <f t="shared" si="29"/>
        <v>44290.970333333331</v>
      </c>
      <c r="F137" s="165">
        <f t="shared" si="29"/>
        <v>0</v>
      </c>
      <c r="G137" s="166">
        <f t="shared" si="29"/>
        <v>19751.58333333366</v>
      </c>
      <c r="H137" s="164">
        <f>(SUMIF($O$156:$O$193,$O137,H$156:H$193)+SUMIF($O$156:$O$193,$O137,I$156:I$193))/COUNTIF($O$156:$O$193,$O137)</f>
        <v>21804.733727422532</v>
      </c>
      <c r="I137" s="166"/>
      <c r="J137" s="167">
        <f t="shared" ref="J137:N141" si="30">SUMIF($O$156:$O$193,$O137,J$156:J$193)/COUNTIF($O$156:$O$193,$O137)</f>
        <v>3600.6666666666665</v>
      </c>
      <c r="K137" s="167">
        <f t="shared" si="30"/>
        <v>10791.5</v>
      </c>
      <c r="L137" s="164">
        <f t="shared" si="30"/>
        <v>39318</v>
      </c>
      <c r="M137" s="165">
        <f t="shared" si="30"/>
        <v>26869.5</v>
      </c>
      <c r="N137" s="166">
        <f t="shared" si="30"/>
        <v>27876</v>
      </c>
      <c r="O137" s="88" t="s">
        <v>82</v>
      </c>
    </row>
    <row r="138" spans="1:15" x14ac:dyDescent="0.2">
      <c r="A138" s="118"/>
      <c r="B138" s="72"/>
      <c r="C138" s="156"/>
      <c r="D138" s="168">
        <f t="shared" si="29"/>
        <v>44672.500000000007</v>
      </c>
      <c r="E138" s="169">
        <f t="shared" si="29"/>
        <v>15172.277416666668</v>
      </c>
      <c r="F138" s="169">
        <f t="shared" si="29"/>
        <v>0</v>
      </c>
      <c r="G138" s="170">
        <f t="shared" si="29"/>
        <v>9098.6587499996713</v>
      </c>
      <c r="H138" s="168">
        <f>(SUMIF($O$156:$O$193,$O138,H$156:H$193)+SUMIF($O$156:$O$193,$O138,I$156:I$193))/COUNTIF($O$156:$O$193,$O138)</f>
        <v>8147.3708174567537</v>
      </c>
      <c r="I138" s="170"/>
      <c r="J138" s="168">
        <f t="shared" si="30"/>
        <v>3255.833333333333</v>
      </c>
      <c r="K138" s="168">
        <f t="shared" si="30"/>
        <v>8876.25</v>
      </c>
      <c r="L138" s="168">
        <f t="shared" si="30"/>
        <v>25373.166666666668</v>
      </c>
      <c r="M138" s="169">
        <f t="shared" si="30"/>
        <v>13490.5</v>
      </c>
      <c r="N138" s="170">
        <f t="shared" si="30"/>
        <v>10642</v>
      </c>
      <c r="O138" s="89" t="s">
        <v>83</v>
      </c>
    </row>
    <row r="139" spans="1:15" x14ac:dyDescent="0.2">
      <c r="A139" s="118"/>
      <c r="B139" s="72"/>
      <c r="C139" s="156"/>
      <c r="D139" s="168">
        <f t="shared" si="29"/>
        <v>16709.047619047615</v>
      </c>
      <c r="E139" s="169">
        <f t="shared" si="29"/>
        <v>4771.420761904762</v>
      </c>
      <c r="F139" s="169">
        <f t="shared" si="29"/>
        <v>0</v>
      </c>
      <c r="G139" s="170">
        <f t="shared" si="29"/>
        <v>3283.0790476190878</v>
      </c>
      <c r="H139" s="168">
        <f>(SUMIF($O$156:$O$193,$O139,H$156:H$193)+SUMIF($O$156:$O$193,$O139,I$156:I$193))/COUNTIF($O$156:$O$193,$O139)</f>
        <v>3627.1664248157199</v>
      </c>
      <c r="I139" s="170"/>
      <c r="J139" s="168">
        <f t="shared" si="30"/>
        <v>1312.5714285714287</v>
      </c>
      <c r="K139" s="168">
        <f t="shared" si="30"/>
        <v>3948.4285714285716</v>
      </c>
      <c r="L139" s="168">
        <f t="shared" si="30"/>
        <v>9701.3333333333339</v>
      </c>
      <c r="M139" s="169">
        <f t="shared" si="30"/>
        <v>5122.1428571428569</v>
      </c>
      <c r="N139" s="170">
        <f t="shared" si="30"/>
        <v>4057.333333333333</v>
      </c>
      <c r="O139" s="89" t="s">
        <v>84</v>
      </c>
    </row>
    <row r="140" spans="1:15" x14ac:dyDescent="0.2">
      <c r="A140" s="118"/>
      <c r="B140" s="72"/>
      <c r="C140" s="156"/>
      <c r="D140" s="168">
        <f t="shared" si="29"/>
        <v>12973.333333333334</v>
      </c>
      <c r="E140" s="169">
        <f t="shared" si="29"/>
        <v>3583.864333333333</v>
      </c>
      <c r="F140" s="169">
        <f t="shared" si="29"/>
        <v>0</v>
      </c>
      <c r="G140" s="170">
        <f t="shared" si="29"/>
        <v>2594.0255555555682</v>
      </c>
      <c r="H140" s="168">
        <f>(SUMIF($O$156:$O$193,$O140,H$156:H$193)+SUMIF($O$156:$O$193,$O140,I$156:I$193))/COUNTIF($O$156:$O$193,$O140)</f>
        <v>3046.6680325596476</v>
      </c>
      <c r="I140" s="170"/>
      <c r="J140" s="168">
        <f t="shared" si="30"/>
        <v>804</v>
      </c>
      <c r="K140" s="168">
        <f t="shared" si="30"/>
        <v>3004.3333333333335</v>
      </c>
      <c r="L140" s="168">
        <f t="shared" si="30"/>
        <v>7956.4444444444443</v>
      </c>
      <c r="M140" s="169">
        <f t="shared" si="30"/>
        <v>4151</v>
      </c>
      <c r="N140" s="170">
        <f t="shared" si="30"/>
        <v>3540.8888888888887</v>
      </c>
      <c r="O140" s="89" t="s">
        <v>86</v>
      </c>
    </row>
    <row r="141" spans="1:15" x14ac:dyDescent="0.2">
      <c r="A141" s="118"/>
      <c r="B141" s="72"/>
      <c r="C141" s="156"/>
      <c r="D141" s="168">
        <f t="shared" si="29"/>
        <v>7607.6666666666679</v>
      </c>
      <c r="E141" s="169">
        <f t="shared" si="29"/>
        <v>1955.1696001281955</v>
      </c>
      <c r="F141" s="169">
        <f t="shared" si="29"/>
        <v>0</v>
      </c>
      <c r="G141" s="170">
        <f t="shared" si="29"/>
        <v>1441.5331111111186</v>
      </c>
      <c r="H141" s="168">
        <f>(SUMIF($O$156:$O$193,$O141,H$156:H$193)+SUMIF($O$156:$O$193,$O141,I$156:I$193))/COUNTIF($O$156:$O$193,$O141)</f>
        <v>1333.5021890954306</v>
      </c>
      <c r="I141" s="170"/>
      <c r="J141" s="168">
        <f t="shared" si="30"/>
        <v>734.17777777777758</v>
      </c>
      <c r="K141" s="168">
        <f t="shared" si="30"/>
        <v>1672.1</v>
      </c>
      <c r="L141" s="168">
        <f t="shared" si="30"/>
        <v>3972.0888888888885</v>
      </c>
      <c r="M141" s="169">
        <f t="shared" si="30"/>
        <v>1640.6333333333334</v>
      </c>
      <c r="N141" s="170">
        <f t="shared" si="30"/>
        <v>844.8888888888888</v>
      </c>
      <c r="O141" s="89" t="s">
        <v>85</v>
      </c>
    </row>
    <row r="142" spans="1:15" ht="13.5" thickBot="1" x14ac:dyDescent="0.25">
      <c r="A142" s="121" t="s">
        <v>113</v>
      </c>
      <c r="B142" s="72"/>
      <c r="C142" s="156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20"/>
    </row>
    <row r="143" spans="1:15" x14ac:dyDescent="0.2">
      <c r="A143" s="118"/>
      <c r="B143" s="72"/>
      <c r="C143" s="156"/>
      <c r="D143" s="164">
        <f t="shared" ref="D143:H147" si="31">RANK(D137,$D137:$N137)</f>
        <v>1</v>
      </c>
      <c r="E143" s="165">
        <f t="shared" si="31"/>
        <v>2</v>
      </c>
      <c r="F143" s="165">
        <f t="shared" si="31"/>
        <v>10</v>
      </c>
      <c r="G143" s="166">
        <f t="shared" si="31"/>
        <v>7</v>
      </c>
      <c r="H143" s="164">
        <f t="shared" si="31"/>
        <v>6</v>
      </c>
      <c r="I143" s="166"/>
      <c r="J143" s="167">
        <f t="shared" ref="J143:N147" si="32">RANK(J137,$D137:$N137)</f>
        <v>9</v>
      </c>
      <c r="K143" s="167">
        <f t="shared" si="32"/>
        <v>8</v>
      </c>
      <c r="L143" s="164">
        <f t="shared" si="32"/>
        <v>3</v>
      </c>
      <c r="M143" s="165">
        <f t="shared" si="32"/>
        <v>5</v>
      </c>
      <c r="N143" s="166">
        <f t="shared" si="32"/>
        <v>4</v>
      </c>
      <c r="O143" s="120"/>
    </row>
    <row r="144" spans="1:15" x14ac:dyDescent="0.2">
      <c r="A144" s="118"/>
      <c r="B144" s="72"/>
      <c r="C144" s="156"/>
      <c r="D144" s="168">
        <f t="shared" si="31"/>
        <v>1</v>
      </c>
      <c r="E144" s="169">
        <f t="shared" si="31"/>
        <v>3</v>
      </c>
      <c r="F144" s="169">
        <f t="shared" si="31"/>
        <v>10</v>
      </c>
      <c r="G144" s="170">
        <f t="shared" si="31"/>
        <v>6</v>
      </c>
      <c r="H144" s="168">
        <f t="shared" si="31"/>
        <v>8</v>
      </c>
      <c r="I144" s="170"/>
      <c r="J144" s="168">
        <f t="shared" si="32"/>
        <v>9</v>
      </c>
      <c r="K144" s="168">
        <f t="shared" si="32"/>
        <v>7</v>
      </c>
      <c r="L144" s="168">
        <f t="shared" si="32"/>
        <v>2</v>
      </c>
      <c r="M144" s="169">
        <f t="shared" si="32"/>
        <v>4</v>
      </c>
      <c r="N144" s="170">
        <f t="shared" si="32"/>
        <v>5</v>
      </c>
      <c r="O144" s="120"/>
    </row>
    <row r="145" spans="1:15" x14ac:dyDescent="0.2">
      <c r="A145" s="118"/>
      <c r="B145" s="72"/>
      <c r="C145" s="156"/>
      <c r="D145" s="168">
        <f t="shared" si="31"/>
        <v>1</v>
      </c>
      <c r="E145" s="169">
        <f t="shared" si="31"/>
        <v>4</v>
      </c>
      <c r="F145" s="169">
        <f t="shared" si="31"/>
        <v>10</v>
      </c>
      <c r="G145" s="170">
        <f t="shared" si="31"/>
        <v>8</v>
      </c>
      <c r="H145" s="168">
        <f t="shared" si="31"/>
        <v>7</v>
      </c>
      <c r="I145" s="170"/>
      <c r="J145" s="168">
        <f t="shared" si="32"/>
        <v>9</v>
      </c>
      <c r="K145" s="168">
        <f t="shared" si="32"/>
        <v>6</v>
      </c>
      <c r="L145" s="168">
        <f t="shared" si="32"/>
        <v>2</v>
      </c>
      <c r="M145" s="169">
        <f t="shared" si="32"/>
        <v>3</v>
      </c>
      <c r="N145" s="170">
        <f t="shared" si="32"/>
        <v>5</v>
      </c>
      <c r="O145" s="120"/>
    </row>
    <row r="146" spans="1:15" x14ac:dyDescent="0.2">
      <c r="A146" s="118"/>
      <c r="B146" s="72"/>
      <c r="C146" s="156"/>
      <c r="D146" s="168">
        <f t="shared" si="31"/>
        <v>1</v>
      </c>
      <c r="E146" s="169">
        <f t="shared" si="31"/>
        <v>4</v>
      </c>
      <c r="F146" s="169">
        <f t="shared" si="31"/>
        <v>10</v>
      </c>
      <c r="G146" s="170">
        <f t="shared" si="31"/>
        <v>8</v>
      </c>
      <c r="H146" s="168">
        <f t="shared" si="31"/>
        <v>6</v>
      </c>
      <c r="I146" s="170"/>
      <c r="J146" s="168">
        <f t="shared" si="32"/>
        <v>9</v>
      </c>
      <c r="K146" s="168">
        <f t="shared" si="32"/>
        <v>7</v>
      </c>
      <c r="L146" s="168">
        <f t="shared" si="32"/>
        <v>2</v>
      </c>
      <c r="M146" s="169">
        <f t="shared" si="32"/>
        <v>3</v>
      </c>
      <c r="N146" s="170">
        <f t="shared" si="32"/>
        <v>5</v>
      </c>
      <c r="O146" s="120"/>
    </row>
    <row r="147" spans="1:15" x14ac:dyDescent="0.2">
      <c r="A147" s="118"/>
      <c r="B147" s="72"/>
      <c r="C147" s="156"/>
      <c r="D147" s="168">
        <f t="shared" si="31"/>
        <v>1</v>
      </c>
      <c r="E147" s="169">
        <f t="shared" si="31"/>
        <v>3</v>
      </c>
      <c r="F147" s="169">
        <f t="shared" si="31"/>
        <v>10</v>
      </c>
      <c r="G147" s="170">
        <f t="shared" si="31"/>
        <v>6</v>
      </c>
      <c r="H147" s="168">
        <f t="shared" si="31"/>
        <v>7</v>
      </c>
      <c r="I147" s="170"/>
      <c r="J147" s="168">
        <f t="shared" si="32"/>
        <v>9</v>
      </c>
      <c r="K147" s="168">
        <f t="shared" si="32"/>
        <v>4</v>
      </c>
      <c r="L147" s="168">
        <f t="shared" si="32"/>
        <v>2</v>
      </c>
      <c r="M147" s="169">
        <f t="shared" si="32"/>
        <v>5</v>
      </c>
      <c r="N147" s="170">
        <f t="shared" si="32"/>
        <v>8</v>
      </c>
      <c r="O147" s="120"/>
    </row>
    <row r="148" spans="1:15" ht="13.5" thickBot="1" x14ac:dyDescent="0.25">
      <c r="A148" s="121" t="s">
        <v>114</v>
      </c>
      <c r="B148" s="72"/>
      <c r="C148" s="156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20"/>
    </row>
    <row r="149" spans="1:15" x14ac:dyDescent="0.2">
      <c r="A149" s="118"/>
      <c r="B149" s="72"/>
      <c r="D149" s="182">
        <v>1</v>
      </c>
      <c r="E149" s="183">
        <v>2</v>
      </c>
      <c r="F149" s="183">
        <v>3</v>
      </c>
      <c r="G149" s="183">
        <v>4</v>
      </c>
      <c r="H149" s="183">
        <v>5</v>
      </c>
      <c r="I149" s="183">
        <v>6</v>
      </c>
      <c r="J149" s="183">
        <v>7</v>
      </c>
      <c r="K149" s="183">
        <v>8</v>
      </c>
      <c r="L149" s="183">
        <v>9</v>
      </c>
      <c r="M149" s="183">
        <v>10</v>
      </c>
      <c r="N149" s="183">
        <v>11</v>
      </c>
      <c r="O149" s="184" t="s">
        <v>11</v>
      </c>
    </row>
    <row r="150" spans="1:15" ht="13.5" thickBot="1" x14ac:dyDescent="0.25">
      <c r="A150" s="118"/>
      <c r="B150" s="72"/>
      <c r="D150" s="181">
        <v>0.3</v>
      </c>
      <c r="E150" s="180">
        <v>0.3</v>
      </c>
      <c r="F150" s="180">
        <v>0.3</v>
      </c>
      <c r="G150" s="180">
        <v>0.03</v>
      </c>
      <c r="H150" s="180">
        <v>0.01</v>
      </c>
      <c r="I150" s="180">
        <v>0.01</v>
      </c>
      <c r="J150" s="180">
        <v>0.01</v>
      </c>
      <c r="K150" s="180">
        <v>0.01</v>
      </c>
      <c r="L150" s="180">
        <v>0.01</v>
      </c>
      <c r="M150" s="180">
        <v>0.01</v>
      </c>
      <c r="N150" s="180">
        <v>0.01</v>
      </c>
      <c r="O150" s="179">
        <f>SUM(D150:N150)</f>
        <v>1</v>
      </c>
    </row>
    <row r="151" spans="1:15" x14ac:dyDescent="0.2">
      <c r="A151" s="118"/>
      <c r="B151" s="72"/>
      <c r="C151" s="156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20"/>
    </row>
    <row r="152" spans="1:15" ht="13.5" thickBot="1" x14ac:dyDescent="0.25">
      <c r="A152" s="69" t="s">
        <v>75</v>
      </c>
    </row>
    <row r="153" spans="1:15" ht="12.75" customHeight="1" outlineLevel="1" x14ac:dyDescent="0.2">
      <c r="A153" s="273" t="s">
        <v>24</v>
      </c>
      <c r="B153" s="275" t="s">
        <v>23</v>
      </c>
      <c r="C153" s="277" t="s">
        <v>36</v>
      </c>
      <c r="D153" s="279" t="s">
        <v>35</v>
      </c>
      <c r="E153" s="280"/>
      <c r="F153" s="280"/>
      <c r="G153" s="281"/>
      <c r="H153" s="282" t="s">
        <v>18</v>
      </c>
      <c r="I153" s="291" t="s">
        <v>17</v>
      </c>
      <c r="J153" s="212"/>
      <c r="K153" s="293" t="s">
        <v>16</v>
      </c>
      <c r="L153" s="295" t="s">
        <v>34</v>
      </c>
      <c r="M153" s="296"/>
      <c r="N153" s="296"/>
      <c r="O153" s="330" t="s">
        <v>99</v>
      </c>
    </row>
    <row r="154" spans="1:15" ht="51.75" outlineLevel="1" thickBot="1" x14ac:dyDescent="0.25">
      <c r="A154" s="274"/>
      <c r="B154" s="276"/>
      <c r="C154" s="278"/>
      <c r="D154" s="68"/>
      <c r="E154" s="67" t="s">
        <v>33</v>
      </c>
      <c r="F154" s="67" t="s">
        <v>32</v>
      </c>
      <c r="G154" s="153" t="s">
        <v>31</v>
      </c>
      <c r="H154" s="283"/>
      <c r="I154" s="292"/>
      <c r="J154" s="213" t="s">
        <v>127</v>
      </c>
      <c r="K154" s="294"/>
      <c r="L154" s="44" t="s">
        <v>14</v>
      </c>
      <c r="M154" s="43" t="s">
        <v>13</v>
      </c>
      <c r="N154" s="42" t="s">
        <v>12</v>
      </c>
      <c r="O154" s="331"/>
    </row>
    <row r="155" spans="1:15" outlineLevel="1" x14ac:dyDescent="0.2">
      <c r="A155" s="303" t="s">
        <v>79</v>
      </c>
      <c r="B155" s="304"/>
      <c r="C155" s="305"/>
      <c r="D155" s="220">
        <v>10</v>
      </c>
      <c r="E155" s="229">
        <v>6</v>
      </c>
      <c r="F155" s="229">
        <v>0</v>
      </c>
      <c r="G155" s="230">
        <v>1</v>
      </c>
      <c r="H155" s="227">
        <v>11.382321416785731</v>
      </c>
      <c r="I155" s="223">
        <v>11.382321416785731</v>
      </c>
      <c r="J155" s="231">
        <v>2</v>
      </c>
      <c r="K155" s="231">
        <v>3</v>
      </c>
      <c r="L155" s="232">
        <v>4</v>
      </c>
      <c r="M155" s="229">
        <v>3</v>
      </c>
      <c r="N155" s="233">
        <v>4</v>
      </c>
      <c r="O155" s="177"/>
    </row>
    <row r="156" spans="1:15" outlineLevel="1" x14ac:dyDescent="0.2">
      <c r="A156" s="20">
        <f t="shared" ref="A156:B171" si="33">A5</f>
        <v>3656</v>
      </c>
      <c r="B156" s="19" t="str">
        <f t="shared" si="33"/>
        <v>UTA</v>
      </c>
      <c r="C156" s="58">
        <f t="shared" ref="C156:C193" si="34">SUM(D156:N156)</f>
        <v>153744.70944582543</v>
      </c>
      <c r="D156" s="15">
        <f t="shared" ref="D156:F171" si="35">D198*D$155</f>
        <v>50180</v>
      </c>
      <c r="E156" s="14">
        <f>E198*E$155</f>
        <v>15605.980000000001</v>
      </c>
      <c r="F156" s="14">
        <f>F198*F$155</f>
        <v>0</v>
      </c>
      <c r="G156" s="13">
        <f t="shared" ref="G156:N171" si="36">G198*G$155</f>
        <v>10418.553333333379</v>
      </c>
      <c r="H156" s="36">
        <f t="shared" si="36"/>
        <v>17430.128196237882</v>
      </c>
      <c r="I156" s="35">
        <f t="shared" si="36"/>
        <v>398.38124958750058</v>
      </c>
      <c r="J156" s="34">
        <f t="shared" si="36"/>
        <v>4382.666666666667</v>
      </c>
      <c r="K156" s="34">
        <f t="shared" si="36"/>
        <v>9348</v>
      </c>
      <c r="L156" s="36">
        <f t="shared" si="36"/>
        <v>27345.333333333332</v>
      </c>
      <c r="M156" s="59">
        <f t="shared" si="36"/>
        <v>11501</v>
      </c>
      <c r="N156" s="171">
        <f t="shared" si="36"/>
        <v>7134.666666666667</v>
      </c>
      <c r="O156" s="176" t="s">
        <v>83</v>
      </c>
    </row>
    <row r="157" spans="1:15" outlineLevel="1" x14ac:dyDescent="0.2">
      <c r="A157" s="20">
        <f t="shared" si="33"/>
        <v>3658</v>
      </c>
      <c r="B157" s="19" t="str">
        <f t="shared" si="33"/>
        <v>UT</v>
      </c>
      <c r="C157" s="58">
        <f t="shared" si="34"/>
        <v>281921.67429853737</v>
      </c>
      <c r="D157" s="15">
        <f t="shared" si="35"/>
        <v>89463.333333333343</v>
      </c>
      <c r="E157" s="14">
        <f t="shared" si="35"/>
        <v>44499.062000000005</v>
      </c>
      <c r="F157" s="14">
        <f t="shared" si="35"/>
        <v>0</v>
      </c>
      <c r="G157" s="13">
        <f t="shared" si="36"/>
        <v>19398.350000000519</v>
      </c>
      <c r="H157" s="15">
        <f t="shared" si="36"/>
        <v>21357.029085028957</v>
      </c>
      <c r="I157" s="13">
        <f t="shared" si="36"/>
        <v>751.23321350785818</v>
      </c>
      <c r="J157" s="16">
        <f t="shared" si="36"/>
        <v>2470</v>
      </c>
      <c r="K157" s="16">
        <f t="shared" si="36"/>
        <v>10411</v>
      </c>
      <c r="L157" s="15">
        <f t="shared" si="36"/>
        <v>38393.333333333336</v>
      </c>
      <c r="M157" s="14">
        <f t="shared" si="36"/>
        <v>27017</v>
      </c>
      <c r="N157" s="172">
        <f t="shared" si="36"/>
        <v>28161.333333333332</v>
      </c>
      <c r="O157" s="174" t="s">
        <v>82</v>
      </c>
    </row>
    <row r="158" spans="1:15" outlineLevel="1" x14ac:dyDescent="0.2">
      <c r="A158" s="20">
        <f t="shared" si="33"/>
        <v>9741</v>
      </c>
      <c r="B158" s="19" t="str">
        <f t="shared" si="33"/>
        <v>UTD</v>
      </c>
      <c r="C158" s="58">
        <f t="shared" si="34"/>
        <v>74161.990482748559</v>
      </c>
      <c r="D158" s="15">
        <f t="shared" si="35"/>
        <v>23930</v>
      </c>
      <c r="E158" s="14">
        <f t="shared" si="35"/>
        <v>10093.673999999999</v>
      </c>
      <c r="F158" s="14">
        <f t="shared" si="35"/>
        <v>0</v>
      </c>
      <c r="G158" s="13">
        <f t="shared" si="36"/>
        <v>5101.2033333334393</v>
      </c>
      <c r="H158" s="15">
        <f t="shared" si="36"/>
        <v>4799.54553074465</v>
      </c>
      <c r="I158" s="13">
        <f t="shared" si="36"/>
        <v>364.23428533714338</v>
      </c>
      <c r="J158" s="16">
        <f t="shared" si="36"/>
        <v>2166</v>
      </c>
      <c r="K158" s="16">
        <f t="shared" si="36"/>
        <v>3959</v>
      </c>
      <c r="L158" s="15">
        <f t="shared" si="36"/>
        <v>13260</v>
      </c>
      <c r="M158" s="14">
        <f t="shared" si="36"/>
        <v>6403</v>
      </c>
      <c r="N158" s="172">
        <f t="shared" si="36"/>
        <v>4085.3333333333335</v>
      </c>
      <c r="O158" s="174" t="s">
        <v>83</v>
      </c>
    </row>
    <row r="159" spans="1:15" outlineLevel="1" x14ac:dyDescent="0.2">
      <c r="A159" s="20">
        <f t="shared" si="33"/>
        <v>3661</v>
      </c>
      <c r="B159" s="19" t="str">
        <f t="shared" si="33"/>
        <v>UTEP</v>
      </c>
      <c r="C159" s="58">
        <f t="shared" si="34"/>
        <v>97512.286122172183</v>
      </c>
      <c r="D159" s="15">
        <f t="shared" si="35"/>
        <v>30570</v>
      </c>
      <c r="E159" s="14">
        <f t="shared" si="35"/>
        <v>7153.3799999999992</v>
      </c>
      <c r="F159" s="14">
        <f t="shared" si="35"/>
        <v>0</v>
      </c>
      <c r="G159" s="13">
        <f t="shared" si="36"/>
        <v>6298.0766666668133</v>
      </c>
      <c r="H159" s="15">
        <f t="shared" si="36"/>
        <v>7455.4205279946536</v>
      </c>
      <c r="I159" s="13">
        <f t="shared" si="36"/>
        <v>1024.4089275107158</v>
      </c>
      <c r="J159" s="16">
        <f t="shared" si="36"/>
        <v>2269.3333333333335</v>
      </c>
      <c r="K159" s="16">
        <f t="shared" si="36"/>
        <v>7393</v>
      </c>
      <c r="L159" s="15">
        <f t="shared" si="36"/>
        <v>17450.666666666668</v>
      </c>
      <c r="M159" s="14">
        <f t="shared" si="36"/>
        <v>10074</v>
      </c>
      <c r="N159" s="172">
        <f t="shared" si="36"/>
        <v>7824</v>
      </c>
      <c r="O159" s="174" t="s">
        <v>83</v>
      </c>
    </row>
    <row r="160" spans="1:15" outlineLevel="1" x14ac:dyDescent="0.2">
      <c r="A160" s="20">
        <f t="shared" si="33"/>
        <v>3599</v>
      </c>
      <c r="B160" s="19" t="str">
        <f t="shared" si="33"/>
        <v>UTPA</v>
      </c>
      <c r="C160" s="58">
        <f t="shared" si="34"/>
        <v>86017.019576870953</v>
      </c>
      <c r="D160" s="15">
        <f t="shared" si="35"/>
        <v>25800</v>
      </c>
      <c r="E160" s="14">
        <f t="shared" si="35"/>
        <v>6671.88</v>
      </c>
      <c r="F160" s="14">
        <f t="shared" si="35"/>
        <v>0</v>
      </c>
      <c r="G160" s="13">
        <f t="shared" si="36"/>
        <v>5134.1666666667797</v>
      </c>
      <c r="H160" s="15">
        <f t="shared" si="36"/>
        <v>5922.6012438675089</v>
      </c>
      <c r="I160" s="13">
        <f t="shared" si="36"/>
        <v>318.70499967000046</v>
      </c>
      <c r="J160" s="16">
        <f t="shared" si="36"/>
        <v>1808</v>
      </c>
      <c r="K160" s="16">
        <f t="shared" si="36"/>
        <v>7015</v>
      </c>
      <c r="L160" s="15">
        <f t="shared" si="36"/>
        <v>16301.333333333334</v>
      </c>
      <c r="M160" s="14">
        <f t="shared" si="36"/>
        <v>9288</v>
      </c>
      <c r="N160" s="172">
        <f t="shared" si="36"/>
        <v>7757.333333333333</v>
      </c>
      <c r="O160" s="174" t="s">
        <v>84</v>
      </c>
    </row>
    <row r="161" spans="1:15" outlineLevel="1" x14ac:dyDescent="0.2">
      <c r="A161" s="20">
        <f t="shared" si="33"/>
        <v>30646</v>
      </c>
      <c r="B161" s="19" t="str">
        <f t="shared" si="33"/>
        <v>UTB</v>
      </c>
      <c r="C161" s="58">
        <f t="shared" si="34"/>
        <v>30389.696735872909</v>
      </c>
      <c r="D161" s="15">
        <f t="shared" si="35"/>
        <v>10920</v>
      </c>
      <c r="E161" s="14">
        <f t="shared" si="35"/>
        <v>3769.0255470781203</v>
      </c>
      <c r="F161" s="14">
        <f t="shared" si="35"/>
        <v>0</v>
      </c>
      <c r="G161" s="13">
        <f t="shared" si="36"/>
        <v>2097.7933333333553</v>
      </c>
      <c r="H161" s="15">
        <f t="shared" si="36"/>
        <v>1415.2019628203591</v>
      </c>
      <c r="I161" s="13">
        <f t="shared" si="36"/>
        <v>208.67589264107173</v>
      </c>
      <c r="J161" s="16">
        <f t="shared" si="36"/>
        <v>1792</v>
      </c>
      <c r="K161" s="16">
        <f t="shared" si="36"/>
        <v>2810</v>
      </c>
      <c r="L161" s="15">
        <f t="shared" si="36"/>
        <v>5305.333333333333</v>
      </c>
      <c r="M161" s="14">
        <f t="shared" si="36"/>
        <v>1669</v>
      </c>
      <c r="N161" s="172">
        <f t="shared" si="36"/>
        <v>402.66666666666669</v>
      </c>
      <c r="O161" s="174" t="s">
        <v>85</v>
      </c>
    </row>
    <row r="162" spans="1:15" outlineLevel="1" x14ac:dyDescent="0.2">
      <c r="A162" s="20">
        <f t="shared" si="33"/>
        <v>9930</v>
      </c>
      <c r="B162" s="19" t="str">
        <f t="shared" si="33"/>
        <v>UTPB</v>
      </c>
      <c r="C162" s="58">
        <f t="shared" si="34"/>
        <v>15428.609166061671</v>
      </c>
      <c r="D162" s="15">
        <f t="shared" si="35"/>
        <v>5333.3333333333339</v>
      </c>
      <c r="E162" s="14">
        <f t="shared" si="35"/>
        <v>1420.8000000000002</v>
      </c>
      <c r="F162" s="14">
        <f t="shared" si="35"/>
        <v>0</v>
      </c>
      <c r="G162" s="13">
        <f t="shared" si="36"/>
        <v>1001.5166666666704</v>
      </c>
      <c r="H162" s="15">
        <f t="shared" si="36"/>
        <v>470.46928522714353</v>
      </c>
      <c r="I162" s="13">
        <f t="shared" si="36"/>
        <v>113.8232141678573</v>
      </c>
      <c r="J162" s="16">
        <f t="shared" si="36"/>
        <v>496.66666666666669</v>
      </c>
      <c r="K162" s="16">
        <f t="shared" si="36"/>
        <v>1197</v>
      </c>
      <c r="L162" s="15">
        <f t="shared" si="36"/>
        <v>3142.6666666666665</v>
      </c>
      <c r="M162" s="14">
        <f t="shared" si="36"/>
        <v>1475</v>
      </c>
      <c r="N162" s="172">
        <f t="shared" si="36"/>
        <v>777.33333333333337</v>
      </c>
      <c r="O162" s="174" t="s">
        <v>85</v>
      </c>
    </row>
    <row r="163" spans="1:15" outlineLevel="1" x14ac:dyDescent="0.2">
      <c r="A163" s="20">
        <f t="shared" si="33"/>
        <v>10115</v>
      </c>
      <c r="B163" s="19" t="str">
        <f t="shared" si="33"/>
        <v>UTSA</v>
      </c>
      <c r="C163" s="58">
        <f t="shared" si="34"/>
        <v>128321.82862574693</v>
      </c>
      <c r="D163" s="15">
        <f t="shared" si="35"/>
        <v>41196.666666666672</v>
      </c>
      <c r="E163" s="14">
        <f t="shared" si="35"/>
        <v>10422.756666666668</v>
      </c>
      <c r="F163" s="14">
        <f t="shared" si="35"/>
        <v>0</v>
      </c>
      <c r="G163" s="13">
        <f t="shared" si="36"/>
        <v>8414.213333333224</v>
      </c>
      <c r="H163" s="15">
        <f t="shared" si="36"/>
        <v>4461.869995380006</v>
      </c>
      <c r="I163" s="13">
        <f t="shared" si="36"/>
        <v>565.32196370035797</v>
      </c>
      <c r="J163" s="16">
        <f t="shared" si="36"/>
        <v>2812.6666666666665</v>
      </c>
      <c r="K163" s="16">
        <f t="shared" si="36"/>
        <v>9371</v>
      </c>
      <c r="L163" s="15">
        <f t="shared" si="36"/>
        <v>27238.666666666668</v>
      </c>
      <c r="M163" s="14">
        <f t="shared" si="36"/>
        <v>13376</v>
      </c>
      <c r="N163" s="172">
        <f t="shared" si="36"/>
        <v>10462.666666666666</v>
      </c>
      <c r="O163" s="174" t="s">
        <v>83</v>
      </c>
    </row>
    <row r="164" spans="1:15" outlineLevel="1" x14ac:dyDescent="0.2">
      <c r="A164" s="20">
        <f t="shared" si="33"/>
        <v>11163</v>
      </c>
      <c r="B164" s="19" t="str">
        <f t="shared" si="33"/>
        <v>UTT</v>
      </c>
      <c r="C164" s="58">
        <f t="shared" si="34"/>
        <v>36455.546900157635</v>
      </c>
      <c r="D164" s="15">
        <f t="shared" si="35"/>
        <v>11900</v>
      </c>
      <c r="E164" s="14">
        <f t="shared" si="35"/>
        <v>3681.8600000000006</v>
      </c>
      <c r="F164" s="14">
        <f t="shared" si="35"/>
        <v>0</v>
      </c>
      <c r="G164" s="13">
        <f t="shared" si="36"/>
        <v>2362.6600000000103</v>
      </c>
      <c r="H164" s="15">
        <f t="shared" si="36"/>
        <v>4287.3410669892919</v>
      </c>
      <c r="I164" s="13">
        <f t="shared" si="36"/>
        <v>159.35249983500023</v>
      </c>
      <c r="J164" s="16">
        <f t="shared" si="36"/>
        <v>1272.6666666666667</v>
      </c>
      <c r="K164" s="16">
        <f t="shared" si="36"/>
        <v>2827</v>
      </c>
      <c r="L164" s="15">
        <f t="shared" si="36"/>
        <v>5745.333333333333</v>
      </c>
      <c r="M164" s="14">
        <f t="shared" si="36"/>
        <v>2670</v>
      </c>
      <c r="N164" s="172">
        <f t="shared" si="36"/>
        <v>1549.3333333333333</v>
      </c>
      <c r="O164" s="174" t="s">
        <v>85</v>
      </c>
    </row>
    <row r="165" spans="1:15" outlineLevel="1" x14ac:dyDescent="0.2">
      <c r="A165" s="20">
        <f t="shared" si="33"/>
        <v>3632</v>
      </c>
      <c r="B165" s="19" t="str">
        <f t="shared" si="33"/>
        <v>TAMU</v>
      </c>
      <c r="C165" s="58">
        <f t="shared" si="34"/>
        <v>283544.23382297502</v>
      </c>
      <c r="D165" s="15">
        <f t="shared" si="35"/>
        <v>87396.666666666657</v>
      </c>
      <c r="E165" s="14">
        <f t="shared" si="35"/>
        <v>44082.878666666656</v>
      </c>
      <c r="F165" s="14">
        <f t="shared" si="35"/>
        <v>0</v>
      </c>
      <c r="G165" s="13">
        <f t="shared" si="36"/>
        <v>20104.8166666668</v>
      </c>
      <c r="H165" s="15">
        <f t="shared" si="36"/>
        <v>20067.032657793243</v>
      </c>
      <c r="I165" s="13">
        <f t="shared" si="36"/>
        <v>1434.172498515002</v>
      </c>
      <c r="J165" s="16">
        <f t="shared" si="36"/>
        <v>4731.333333333333</v>
      </c>
      <c r="K165" s="16">
        <f t="shared" si="36"/>
        <v>11172</v>
      </c>
      <c r="L165" s="15">
        <f t="shared" si="36"/>
        <v>40242.666666666664</v>
      </c>
      <c r="M165" s="14">
        <f t="shared" si="36"/>
        <v>26722</v>
      </c>
      <c r="N165" s="172">
        <f t="shared" si="36"/>
        <v>27590.666666666668</v>
      </c>
      <c r="O165" s="174" t="s">
        <v>82</v>
      </c>
    </row>
    <row r="166" spans="1:15" outlineLevel="1" x14ac:dyDescent="0.2">
      <c r="A166" s="20">
        <f t="shared" si="33"/>
        <v>10298</v>
      </c>
      <c r="B166" s="19" t="str">
        <f t="shared" si="33"/>
        <v>TAMUG</v>
      </c>
      <c r="C166" s="58">
        <f t="shared" si="34"/>
        <v>9835.9879995599986</v>
      </c>
      <c r="D166" s="15">
        <f>D208*D$155</f>
        <v>2753.333333333333</v>
      </c>
      <c r="E166" s="14">
        <f t="shared" si="35"/>
        <v>1036.3546666666666</v>
      </c>
      <c r="F166" s="14">
        <f t="shared" si="35"/>
        <v>0</v>
      </c>
      <c r="G166" s="13">
        <f t="shared" si="36"/>
        <v>704.02666666666448</v>
      </c>
      <c r="H166" s="15">
        <f t="shared" si="36"/>
        <v>424.93999956000062</v>
      </c>
      <c r="I166" s="13">
        <f t="shared" si="36"/>
        <v>0</v>
      </c>
      <c r="J166" s="16">
        <f t="shared" si="36"/>
        <v>136</v>
      </c>
      <c r="K166" s="16">
        <f t="shared" si="36"/>
        <v>474</v>
      </c>
      <c r="L166" s="15">
        <f t="shared" si="36"/>
        <v>2369.3333333333335</v>
      </c>
      <c r="M166" s="14">
        <f t="shared" si="36"/>
        <v>954</v>
      </c>
      <c r="N166" s="172">
        <f t="shared" si="36"/>
        <v>984</v>
      </c>
      <c r="O166" s="174" t="s">
        <v>85</v>
      </c>
    </row>
    <row r="167" spans="1:15" outlineLevel="1" x14ac:dyDescent="0.2">
      <c r="A167" s="20">
        <f t="shared" si="33"/>
        <v>3630</v>
      </c>
      <c r="B167" s="19" t="str">
        <f t="shared" si="33"/>
        <v>Prairie View</v>
      </c>
      <c r="C167" s="58">
        <f t="shared" si="34"/>
        <v>33797.638567594302</v>
      </c>
      <c r="D167" s="15">
        <f t="shared" ref="D167:N182" si="37">D209*D$155</f>
        <v>9363.3333333333339</v>
      </c>
      <c r="E167" s="14">
        <f t="shared" si="35"/>
        <v>2088.0233333333331</v>
      </c>
      <c r="F167" s="14">
        <f t="shared" si="35"/>
        <v>0</v>
      </c>
      <c r="G167" s="13">
        <f t="shared" si="36"/>
        <v>2072.9000000000092</v>
      </c>
      <c r="H167" s="15">
        <f t="shared" si="36"/>
        <v>3593.0194605653624</v>
      </c>
      <c r="I167" s="13">
        <f t="shared" si="36"/>
        <v>110.02910702892872</v>
      </c>
      <c r="J167" s="16">
        <f t="shared" si="36"/>
        <v>326</v>
      </c>
      <c r="K167" s="16">
        <f t="shared" si="36"/>
        <v>2408</v>
      </c>
      <c r="L167" s="15">
        <f t="shared" si="36"/>
        <v>6672</v>
      </c>
      <c r="M167" s="14">
        <f t="shared" si="36"/>
        <v>3543</v>
      </c>
      <c r="N167" s="172">
        <f t="shared" si="36"/>
        <v>3621.3333333333335</v>
      </c>
      <c r="O167" s="174" t="s">
        <v>86</v>
      </c>
    </row>
    <row r="168" spans="1:15" outlineLevel="1" x14ac:dyDescent="0.2">
      <c r="A168" s="20">
        <f t="shared" si="33"/>
        <v>3631</v>
      </c>
      <c r="B168" s="19" t="str">
        <f t="shared" si="33"/>
        <v>Tarleton</v>
      </c>
      <c r="C168" s="58">
        <f t="shared" si="34"/>
        <v>46747.394568474308</v>
      </c>
      <c r="D168" s="15">
        <f t="shared" si="37"/>
        <v>15453.333333333332</v>
      </c>
      <c r="E168" s="14">
        <f t="shared" si="35"/>
        <v>4432.0160000000005</v>
      </c>
      <c r="F168" s="14">
        <f t="shared" si="35"/>
        <v>0</v>
      </c>
      <c r="G168" s="13">
        <f t="shared" si="36"/>
        <v>3122.5433333333599</v>
      </c>
      <c r="H168" s="15">
        <f t="shared" si="36"/>
        <v>2310.6112476075032</v>
      </c>
      <c r="I168" s="13">
        <f t="shared" si="36"/>
        <v>542.55732086678643</v>
      </c>
      <c r="J168" s="16">
        <f t="shared" si="36"/>
        <v>1247.3333333333333</v>
      </c>
      <c r="K168" s="16">
        <f t="shared" si="36"/>
        <v>3585</v>
      </c>
      <c r="L168" s="15">
        <f t="shared" si="36"/>
        <v>8617.3333333333339</v>
      </c>
      <c r="M168" s="14">
        <f t="shared" si="36"/>
        <v>3986</v>
      </c>
      <c r="N168" s="172">
        <f t="shared" si="36"/>
        <v>3450.6666666666665</v>
      </c>
      <c r="O168" s="174" t="s">
        <v>86</v>
      </c>
    </row>
    <row r="169" spans="1:15" outlineLevel="1" x14ac:dyDescent="0.2">
      <c r="A169" s="27">
        <f t="shared" si="33"/>
        <v>103631</v>
      </c>
      <c r="B169" s="19" t="str">
        <f t="shared" si="33"/>
        <v>TAMUCT</v>
      </c>
      <c r="C169" s="58">
        <f t="shared" si="34"/>
        <v>11186.067070949284</v>
      </c>
      <c r="D169" s="15">
        <f t="shared" si="37"/>
        <v>4603.333333333333</v>
      </c>
      <c r="E169" s="14">
        <f t="shared" si="35"/>
        <v>1320.2359999999999</v>
      </c>
      <c r="F169" s="14">
        <f t="shared" si="35"/>
        <v>0</v>
      </c>
      <c r="G169" s="13">
        <f t="shared" si="36"/>
        <v>853.61666666666588</v>
      </c>
      <c r="H169" s="15">
        <f t="shared" si="36"/>
        <v>462.88107094928637</v>
      </c>
      <c r="I169" s="13">
        <f t="shared" si="36"/>
        <v>0</v>
      </c>
      <c r="J169" s="16">
        <f t="shared" si="36"/>
        <v>450</v>
      </c>
      <c r="K169" s="16">
        <f t="shared" si="36"/>
        <v>981</v>
      </c>
      <c r="L169" s="15">
        <f t="shared" si="36"/>
        <v>1980</v>
      </c>
      <c r="M169" s="14">
        <f t="shared" si="36"/>
        <v>399</v>
      </c>
      <c r="N169" s="172">
        <f t="shared" si="36"/>
        <v>136</v>
      </c>
      <c r="O169" s="174" t="s">
        <v>85</v>
      </c>
    </row>
    <row r="170" spans="1:15" outlineLevel="1" x14ac:dyDescent="0.2">
      <c r="A170" s="20">
        <f t="shared" si="33"/>
        <v>11161</v>
      </c>
      <c r="B170" s="19" t="str">
        <f t="shared" si="33"/>
        <v>TAMUCC</v>
      </c>
      <c r="C170" s="58">
        <f t="shared" si="34"/>
        <v>44583.477853701443</v>
      </c>
      <c r="D170" s="15">
        <f t="shared" si="37"/>
        <v>13883.333333333332</v>
      </c>
      <c r="E170" s="14">
        <f t="shared" si="35"/>
        <v>4231.6399999999994</v>
      </c>
      <c r="F170" s="14">
        <f t="shared" si="35"/>
        <v>0</v>
      </c>
      <c r="G170" s="13">
        <f t="shared" si="36"/>
        <v>2804.2000000000139</v>
      </c>
      <c r="H170" s="15">
        <f t="shared" si="36"/>
        <v>3031.4916040039325</v>
      </c>
      <c r="I170" s="13">
        <f t="shared" si="36"/>
        <v>292.14624969750042</v>
      </c>
      <c r="J170" s="16">
        <f t="shared" si="36"/>
        <v>967.33333333333337</v>
      </c>
      <c r="K170" s="16">
        <f t="shared" si="36"/>
        <v>3240</v>
      </c>
      <c r="L170" s="15">
        <f t="shared" si="36"/>
        <v>8216</v>
      </c>
      <c r="M170" s="14">
        <f t="shared" si="36"/>
        <v>4404</v>
      </c>
      <c r="N170" s="172">
        <f t="shared" si="36"/>
        <v>3513.3333333333335</v>
      </c>
      <c r="O170" s="174" t="s">
        <v>84</v>
      </c>
    </row>
    <row r="171" spans="1:15" outlineLevel="1" x14ac:dyDescent="0.2">
      <c r="A171" s="20">
        <f t="shared" si="33"/>
        <v>3639</v>
      </c>
      <c r="B171" s="19" t="str">
        <f t="shared" si="33"/>
        <v>TAMUK</v>
      </c>
      <c r="C171" s="58">
        <f t="shared" si="34"/>
        <v>26546.558925310725</v>
      </c>
      <c r="D171" s="15">
        <f t="shared" si="37"/>
        <v>7616.6666666666661</v>
      </c>
      <c r="E171" s="14">
        <f t="shared" si="35"/>
        <v>1838.6633333333334</v>
      </c>
      <c r="F171" s="14">
        <f t="shared" si="35"/>
        <v>0</v>
      </c>
      <c r="G171" s="13">
        <f t="shared" si="36"/>
        <v>1763.4533333333395</v>
      </c>
      <c r="H171" s="15">
        <f t="shared" si="36"/>
        <v>2959.4035683642901</v>
      </c>
      <c r="I171" s="13">
        <f t="shared" si="36"/>
        <v>189.70535694642885</v>
      </c>
      <c r="J171" s="16">
        <f t="shared" si="36"/>
        <v>510.66666666666669</v>
      </c>
      <c r="K171" s="16">
        <f t="shared" si="36"/>
        <v>1945</v>
      </c>
      <c r="L171" s="15">
        <f t="shared" si="36"/>
        <v>4909.333333333333</v>
      </c>
      <c r="M171" s="14">
        <f t="shared" si="36"/>
        <v>2579</v>
      </c>
      <c r="N171" s="172">
        <f t="shared" si="36"/>
        <v>2234.6666666666665</v>
      </c>
      <c r="O171" s="174" t="s">
        <v>84</v>
      </c>
    </row>
    <row r="172" spans="1:15" outlineLevel="1" x14ac:dyDescent="0.2">
      <c r="A172" s="27">
        <f t="shared" ref="A172:B187" si="38">A21</f>
        <v>103639</v>
      </c>
      <c r="B172" s="19" t="str">
        <f t="shared" si="38"/>
        <v>TAMUSA</v>
      </c>
      <c r="C172" s="58">
        <f t="shared" si="34"/>
        <v>13711.983583250836</v>
      </c>
      <c r="D172" s="15">
        <f t="shared" si="37"/>
        <v>5876.6666666666661</v>
      </c>
      <c r="E172" s="14">
        <f t="shared" si="37"/>
        <v>1418.6273333333334</v>
      </c>
      <c r="F172" s="14">
        <f t="shared" si="37"/>
        <v>0</v>
      </c>
      <c r="G172" s="13">
        <f t="shared" si="37"/>
        <v>1026.0133333333379</v>
      </c>
      <c r="H172" s="15">
        <f t="shared" si="37"/>
        <v>56.911607083928651</v>
      </c>
      <c r="I172" s="13">
        <f t="shared" si="37"/>
        <v>22.764642833571461</v>
      </c>
      <c r="J172" s="16">
        <f t="shared" si="37"/>
        <v>678.66666666666663</v>
      </c>
      <c r="K172" s="16">
        <f t="shared" si="37"/>
        <v>1471</v>
      </c>
      <c r="L172" s="15">
        <f t="shared" si="37"/>
        <v>2918.6666666666665</v>
      </c>
      <c r="M172" s="14">
        <f t="shared" si="37"/>
        <v>232</v>
      </c>
      <c r="N172" s="172">
        <f t="shared" si="37"/>
        <v>10.666666666666666</v>
      </c>
      <c r="O172" s="174" t="s">
        <v>85</v>
      </c>
    </row>
    <row r="173" spans="1:15" outlineLevel="1" x14ac:dyDescent="0.2">
      <c r="A173" s="20">
        <f t="shared" si="38"/>
        <v>9651</v>
      </c>
      <c r="B173" s="19" t="str">
        <f t="shared" si="38"/>
        <v>TAMI</v>
      </c>
      <c r="C173" s="58">
        <f t="shared" si="34"/>
        <v>26654.243688849772</v>
      </c>
      <c r="D173" s="15">
        <f t="shared" si="37"/>
        <v>7896.6666666666661</v>
      </c>
      <c r="E173" s="14">
        <f t="shared" si="37"/>
        <v>2242.6533333333332</v>
      </c>
      <c r="F173" s="14">
        <f t="shared" si="37"/>
        <v>0</v>
      </c>
      <c r="G173" s="13">
        <f t="shared" si="37"/>
        <v>1458.4966666666717</v>
      </c>
      <c r="H173" s="15">
        <f t="shared" si="37"/>
        <v>1316.5551772082163</v>
      </c>
      <c r="I173" s="13">
        <f t="shared" si="37"/>
        <v>254.20517830821464</v>
      </c>
      <c r="J173" s="16">
        <f t="shared" si="37"/>
        <v>779.33333333333337</v>
      </c>
      <c r="K173" s="16">
        <f t="shared" si="37"/>
        <v>2138</v>
      </c>
      <c r="L173" s="15">
        <f t="shared" si="37"/>
        <v>5626.666666666667</v>
      </c>
      <c r="M173" s="14">
        <f t="shared" si="37"/>
        <v>3047</v>
      </c>
      <c r="N173" s="172">
        <f t="shared" si="37"/>
        <v>1894.6666666666667</v>
      </c>
      <c r="O173" s="174" t="s">
        <v>86</v>
      </c>
    </row>
    <row r="174" spans="1:15" outlineLevel="1" x14ac:dyDescent="0.2">
      <c r="A174" s="20">
        <f t="shared" si="38"/>
        <v>3665</v>
      </c>
      <c r="B174" s="19" t="str">
        <f t="shared" si="38"/>
        <v>WTAMU</v>
      </c>
      <c r="C174" s="58">
        <f t="shared" si="34"/>
        <v>38473.718437502284</v>
      </c>
      <c r="D174" s="15">
        <f t="shared" si="37"/>
        <v>12556.666666666668</v>
      </c>
      <c r="E174" s="14">
        <f t="shared" si="37"/>
        <v>3546.0026666666663</v>
      </c>
      <c r="F174" s="14">
        <f t="shared" si="37"/>
        <v>0</v>
      </c>
      <c r="G174" s="13">
        <f t="shared" si="37"/>
        <v>2503.5766666666836</v>
      </c>
      <c r="H174" s="15">
        <f t="shared" si="37"/>
        <v>2181.6116048839317</v>
      </c>
      <c r="I174" s="13">
        <f t="shared" si="37"/>
        <v>690.527499285001</v>
      </c>
      <c r="J174" s="16">
        <f t="shared" si="37"/>
        <v>877.33333333333337</v>
      </c>
      <c r="K174" s="16">
        <f t="shared" si="37"/>
        <v>2668</v>
      </c>
      <c r="L174" s="15">
        <f t="shared" si="37"/>
        <v>7166.666666666667</v>
      </c>
      <c r="M174" s="14">
        <f t="shared" si="37"/>
        <v>3638</v>
      </c>
      <c r="N174" s="172">
        <f t="shared" si="37"/>
        <v>2645.3333333333335</v>
      </c>
      <c r="O174" s="174" t="s">
        <v>86</v>
      </c>
    </row>
    <row r="175" spans="1:15" outlineLevel="1" x14ac:dyDescent="0.2">
      <c r="A175" s="20">
        <f t="shared" si="38"/>
        <v>3565</v>
      </c>
      <c r="B175" s="19" t="str">
        <f t="shared" si="38"/>
        <v>TAMUC</v>
      </c>
      <c r="C175" s="58">
        <f t="shared" si="34"/>
        <v>38275.728688739793</v>
      </c>
      <c r="D175" s="15">
        <f t="shared" si="37"/>
        <v>13243.333333333332</v>
      </c>
      <c r="E175" s="14">
        <f t="shared" si="37"/>
        <v>3496.24</v>
      </c>
      <c r="F175" s="14">
        <f t="shared" si="37"/>
        <v>0</v>
      </c>
      <c r="G175" s="13">
        <f t="shared" si="37"/>
        <v>2501.8266666666914</v>
      </c>
      <c r="H175" s="15">
        <f t="shared" si="37"/>
        <v>830.90946342535835</v>
      </c>
      <c r="I175" s="13">
        <f t="shared" si="37"/>
        <v>846.08589198107256</v>
      </c>
      <c r="J175" s="16">
        <f t="shared" si="37"/>
        <v>1506</v>
      </c>
      <c r="K175" s="16">
        <f t="shared" si="37"/>
        <v>3058</v>
      </c>
      <c r="L175" s="15">
        <f t="shared" si="37"/>
        <v>7572</v>
      </c>
      <c r="M175" s="14">
        <f t="shared" si="37"/>
        <v>3412</v>
      </c>
      <c r="N175" s="172">
        <f t="shared" si="37"/>
        <v>1809.3333333333333</v>
      </c>
      <c r="O175" s="174" t="s">
        <v>84</v>
      </c>
    </row>
    <row r="176" spans="1:15" outlineLevel="1" x14ac:dyDescent="0.2">
      <c r="A176" s="20">
        <f t="shared" si="38"/>
        <v>29269</v>
      </c>
      <c r="B176" s="19" t="str">
        <f t="shared" si="38"/>
        <v>TAMUT</v>
      </c>
      <c r="C176" s="58">
        <f t="shared" si="34"/>
        <v>9324.3931817049524</v>
      </c>
      <c r="D176" s="15">
        <f t="shared" si="37"/>
        <v>3456.666666666667</v>
      </c>
      <c r="E176" s="14">
        <f t="shared" si="37"/>
        <v>1124.1615752810251</v>
      </c>
      <c r="F176" s="14">
        <f t="shared" si="37"/>
        <v>0</v>
      </c>
      <c r="G176" s="13">
        <f t="shared" si="37"/>
        <v>619.90999999999826</v>
      </c>
      <c r="H176" s="15">
        <f t="shared" si="37"/>
        <v>474.26339236607208</v>
      </c>
      <c r="I176" s="13">
        <f t="shared" si="37"/>
        <v>220.05821405785744</v>
      </c>
      <c r="J176" s="16">
        <f t="shared" si="37"/>
        <v>436</v>
      </c>
      <c r="K176" s="16">
        <f t="shared" si="37"/>
        <v>717</v>
      </c>
      <c r="L176" s="15">
        <f t="shared" si="37"/>
        <v>1730.6666666666667</v>
      </c>
      <c r="M176" s="14">
        <f t="shared" si="37"/>
        <v>543</v>
      </c>
      <c r="N176" s="172">
        <f t="shared" si="37"/>
        <v>2.6666666666666665</v>
      </c>
      <c r="O176" s="174" t="s">
        <v>85</v>
      </c>
    </row>
    <row r="177" spans="1:15" outlineLevel="1" x14ac:dyDescent="0.2">
      <c r="A177" s="20">
        <f t="shared" si="38"/>
        <v>3652</v>
      </c>
      <c r="B177" s="19" t="str">
        <f t="shared" si="38"/>
        <v>UH</v>
      </c>
      <c r="C177" s="58">
        <f t="shared" si="34"/>
        <v>161470.48569295561</v>
      </c>
      <c r="D177" s="15">
        <f t="shared" si="37"/>
        <v>50986.666666666672</v>
      </c>
      <c r="E177" s="14">
        <f t="shared" si="37"/>
        <v>16407.509333333335</v>
      </c>
      <c r="F177" s="14">
        <f t="shared" si="37"/>
        <v>0</v>
      </c>
      <c r="G177" s="13">
        <f t="shared" si="37"/>
        <v>10580.246666665944</v>
      </c>
      <c r="H177" s="15">
        <f t="shared" si="37"/>
        <v>8388.7708841710828</v>
      </c>
      <c r="I177" s="13">
        <f t="shared" si="37"/>
        <v>713.29214211857243</v>
      </c>
      <c r="J177" s="16">
        <f t="shared" si="37"/>
        <v>3565.3333333333335</v>
      </c>
      <c r="K177" s="16">
        <f t="shared" si="37"/>
        <v>10119</v>
      </c>
      <c r="L177" s="15">
        <f t="shared" si="37"/>
        <v>30409.333333333332</v>
      </c>
      <c r="M177" s="14">
        <f t="shared" si="37"/>
        <v>17071</v>
      </c>
      <c r="N177" s="172">
        <f t="shared" si="37"/>
        <v>13229.333333333334</v>
      </c>
      <c r="O177" s="174" t="s">
        <v>83</v>
      </c>
    </row>
    <row r="178" spans="1:15" outlineLevel="1" x14ac:dyDescent="0.2">
      <c r="A178" s="20">
        <f t="shared" si="38"/>
        <v>11711</v>
      </c>
      <c r="B178" s="19" t="str">
        <f t="shared" si="38"/>
        <v>UHCL</v>
      </c>
      <c r="C178" s="58">
        <f t="shared" si="34"/>
        <v>31805.309705750973</v>
      </c>
      <c r="D178" s="15">
        <f t="shared" si="37"/>
        <v>11906.666666666668</v>
      </c>
      <c r="E178" s="14">
        <f t="shared" si="37"/>
        <v>3716.05607615393</v>
      </c>
      <c r="F178" s="14">
        <f t="shared" si="37"/>
        <v>0</v>
      </c>
      <c r="G178" s="13">
        <f t="shared" si="37"/>
        <v>2282.9533333333529</v>
      </c>
      <c r="H178" s="15">
        <f t="shared" si="37"/>
        <v>1214.1142844571445</v>
      </c>
      <c r="I178" s="13">
        <f t="shared" si="37"/>
        <v>94.852678473214425</v>
      </c>
      <c r="J178" s="16">
        <f t="shared" si="37"/>
        <v>1613.3333333333333</v>
      </c>
      <c r="K178" s="16">
        <f t="shared" si="37"/>
        <v>2323</v>
      </c>
      <c r="L178" s="15">
        <f t="shared" si="37"/>
        <v>5565.333333333333</v>
      </c>
      <c r="M178" s="14">
        <f t="shared" si="37"/>
        <v>2861</v>
      </c>
      <c r="N178" s="172">
        <f t="shared" si="37"/>
        <v>228</v>
      </c>
      <c r="O178" s="174" t="s">
        <v>85</v>
      </c>
    </row>
    <row r="179" spans="1:15" outlineLevel="1" x14ac:dyDescent="0.2">
      <c r="A179" s="20">
        <f t="shared" si="38"/>
        <v>12826</v>
      </c>
      <c r="B179" s="19" t="str">
        <f t="shared" si="38"/>
        <v>UHD</v>
      </c>
      <c r="C179" s="58">
        <f t="shared" si="34"/>
        <v>59892.054879404583</v>
      </c>
      <c r="D179" s="15">
        <f t="shared" si="37"/>
        <v>23823.333333333336</v>
      </c>
      <c r="E179" s="14">
        <f t="shared" si="37"/>
        <v>2715.8600000000006</v>
      </c>
      <c r="F179" s="14">
        <f t="shared" si="37"/>
        <v>0</v>
      </c>
      <c r="G179" s="13">
        <f t="shared" si="37"/>
        <v>4271.3166666667212</v>
      </c>
      <c r="H179" s="15">
        <f t="shared" si="37"/>
        <v>1475.9076770432164</v>
      </c>
      <c r="I179" s="13">
        <f t="shared" si="37"/>
        <v>18.970535694642884</v>
      </c>
      <c r="J179" s="16">
        <f t="shared" si="37"/>
        <v>2098.6666666666665</v>
      </c>
      <c r="K179" s="16">
        <f t="shared" si="37"/>
        <v>5043</v>
      </c>
      <c r="L179" s="15">
        <f t="shared" si="37"/>
        <v>12421.333333333334</v>
      </c>
      <c r="M179" s="14">
        <f t="shared" si="37"/>
        <v>5605</v>
      </c>
      <c r="N179" s="172">
        <f t="shared" si="37"/>
        <v>2418.6666666666665</v>
      </c>
      <c r="O179" s="174" t="s">
        <v>85</v>
      </c>
    </row>
    <row r="180" spans="1:15" outlineLevel="1" x14ac:dyDescent="0.2">
      <c r="A180" s="20">
        <f t="shared" si="38"/>
        <v>13231</v>
      </c>
      <c r="B180" s="19" t="str">
        <f t="shared" si="38"/>
        <v>UHV</v>
      </c>
      <c r="C180" s="58">
        <f t="shared" si="34"/>
        <v>15727.413847102451</v>
      </c>
      <c r="D180" s="15">
        <f t="shared" si="37"/>
        <v>5766.6666666666661</v>
      </c>
      <c r="E180" s="14">
        <f t="shared" si="37"/>
        <v>1801.172777033164</v>
      </c>
      <c r="F180" s="14">
        <f t="shared" si="37"/>
        <v>0</v>
      </c>
      <c r="G180" s="13">
        <f t="shared" si="37"/>
        <v>1084.4800000000012</v>
      </c>
      <c r="H180" s="15">
        <f t="shared" si="37"/>
        <v>1229.290713012859</v>
      </c>
      <c r="I180" s="13">
        <f t="shared" si="37"/>
        <v>83.470357056428682</v>
      </c>
      <c r="J180" s="16">
        <f t="shared" si="37"/>
        <v>830.66666666666663</v>
      </c>
      <c r="K180" s="16">
        <f t="shared" si="37"/>
        <v>1152</v>
      </c>
      <c r="L180" s="15">
        <f t="shared" si="37"/>
        <v>2864</v>
      </c>
      <c r="M180" s="14">
        <f t="shared" si="37"/>
        <v>889</v>
      </c>
      <c r="N180" s="172">
        <f t="shared" si="37"/>
        <v>26.666666666666668</v>
      </c>
      <c r="O180" s="174" t="s">
        <v>85</v>
      </c>
    </row>
    <row r="181" spans="1:15" outlineLevel="1" x14ac:dyDescent="0.2">
      <c r="A181" s="20">
        <f t="shared" si="38"/>
        <v>3592</v>
      </c>
      <c r="B181" s="19" t="str">
        <f t="shared" si="38"/>
        <v>Midwestern</v>
      </c>
      <c r="C181" s="58">
        <f t="shared" si="34"/>
        <v>33145.315293513704</v>
      </c>
      <c r="D181" s="15">
        <f t="shared" si="37"/>
        <v>10316.666666666668</v>
      </c>
      <c r="E181" s="14">
        <f t="shared" si="37"/>
        <v>2719.4733333333334</v>
      </c>
      <c r="F181" s="14">
        <f t="shared" si="37"/>
        <v>0</v>
      </c>
      <c r="G181" s="13">
        <f t="shared" si="37"/>
        <v>1962.0000000000034</v>
      </c>
      <c r="H181" s="15">
        <f t="shared" si="37"/>
        <v>3794.1071389285767</v>
      </c>
      <c r="I181" s="13">
        <f t="shared" si="37"/>
        <v>170.73482125178595</v>
      </c>
      <c r="J181" s="16">
        <f t="shared" si="37"/>
        <v>502.66666666666669</v>
      </c>
      <c r="K181" s="16">
        <f t="shared" si="37"/>
        <v>2071</v>
      </c>
      <c r="L181" s="15">
        <f t="shared" si="37"/>
        <v>5752</v>
      </c>
      <c r="M181" s="14">
        <f t="shared" si="37"/>
        <v>3138</v>
      </c>
      <c r="N181" s="172">
        <f t="shared" si="37"/>
        <v>2718.6666666666665</v>
      </c>
      <c r="O181" s="174" t="s">
        <v>85</v>
      </c>
    </row>
    <row r="182" spans="1:15" outlineLevel="1" x14ac:dyDescent="0.2">
      <c r="A182" s="20">
        <f t="shared" si="38"/>
        <v>3594</v>
      </c>
      <c r="B182" s="19" t="str">
        <f t="shared" si="38"/>
        <v>UNT</v>
      </c>
      <c r="C182" s="58">
        <f t="shared" si="34"/>
        <v>174482.80213837777</v>
      </c>
      <c r="D182" s="15">
        <f t="shared" si="37"/>
        <v>60166.666666666672</v>
      </c>
      <c r="E182" s="14">
        <f t="shared" si="37"/>
        <v>20805.633333333335</v>
      </c>
      <c r="F182" s="14">
        <f t="shared" si="37"/>
        <v>0</v>
      </c>
      <c r="G182" s="13">
        <f t="shared" si="37"/>
        <v>11411.553333332529</v>
      </c>
      <c r="H182" s="15">
        <f t="shared" si="37"/>
        <v>3832.0482103178629</v>
      </c>
      <c r="I182" s="13">
        <f t="shared" si="37"/>
        <v>493.23392806071502</v>
      </c>
      <c r="J182" s="16">
        <f t="shared" si="37"/>
        <v>4580</v>
      </c>
      <c r="K182" s="16">
        <f t="shared" si="37"/>
        <v>11460</v>
      </c>
      <c r="L182" s="15">
        <f t="shared" si="37"/>
        <v>31458.666666666668</v>
      </c>
      <c r="M182" s="14">
        <f t="shared" si="37"/>
        <v>16927</v>
      </c>
      <c r="N182" s="172">
        <f t="shared" si="37"/>
        <v>13348</v>
      </c>
      <c r="O182" s="174" t="s">
        <v>83</v>
      </c>
    </row>
    <row r="183" spans="1:15" outlineLevel="1" x14ac:dyDescent="0.2">
      <c r="A183" s="27">
        <f t="shared" si="38"/>
        <v>113594</v>
      </c>
      <c r="B183" s="19" t="str">
        <f t="shared" si="38"/>
        <v>UNTD</v>
      </c>
      <c r="C183" s="58">
        <f t="shared" si="34"/>
        <v>9371.5753570014258</v>
      </c>
      <c r="D183" s="15">
        <f t="shared" ref="D183:N193" si="39">D225*D$155</f>
        <v>4035</v>
      </c>
      <c r="E183" s="14">
        <f t="shared" si="39"/>
        <v>1398.1275000000001</v>
      </c>
      <c r="F183" s="14">
        <f t="shared" si="39"/>
        <v>0</v>
      </c>
      <c r="G183" s="13">
        <f t="shared" si="39"/>
        <v>705.85999999999717</v>
      </c>
      <c r="H183" s="15">
        <f t="shared" si="39"/>
        <v>136.58785700142877</v>
      </c>
      <c r="I183" s="13">
        <f t="shared" si="39"/>
        <v>0</v>
      </c>
      <c r="J183" s="16">
        <f t="shared" si="39"/>
        <v>0</v>
      </c>
      <c r="K183" s="16">
        <f t="shared" si="39"/>
        <v>925.5</v>
      </c>
      <c r="L183" s="15">
        <f t="shared" si="39"/>
        <v>1912</v>
      </c>
      <c r="M183" s="14">
        <f t="shared" si="39"/>
        <v>214.5</v>
      </c>
      <c r="N183" s="172">
        <f t="shared" si="39"/>
        <v>44</v>
      </c>
      <c r="O183" s="174" t="s">
        <v>85</v>
      </c>
    </row>
    <row r="184" spans="1:15" outlineLevel="1" x14ac:dyDescent="0.2">
      <c r="A184" s="20">
        <f t="shared" si="38"/>
        <v>3624</v>
      </c>
      <c r="B184" s="19" t="str">
        <f t="shared" si="38"/>
        <v>SFA</v>
      </c>
      <c r="C184" s="58">
        <f t="shared" si="34"/>
        <v>61056.582734645963</v>
      </c>
      <c r="D184" s="15">
        <f t="shared" si="39"/>
        <v>19216.666666666668</v>
      </c>
      <c r="E184" s="14">
        <f t="shared" si="39"/>
        <v>6387.619999999999</v>
      </c>
      <c r="F184" s="14">
        <f t="shared" si="39"/>
        <v>0</v>
      </c>
      <c r="G184" s="13">
        <f t="shared" si="39"/>
        <v>3721.736666666669</v>
      </c>
      <c r="H184" s="15">
        <f t="shared" si="39"/>
        <v>2822.8157113628613</v>
      </c>
      <c r="I184" s="13">
        <f t="shared" si="39"/>
        <v>508.41035661642928</v>
      </c>
      <c r="J184" s="16">
        <f t="shared" si="39"/>
        <v>1126.6666666666667</v>
      </c>
      <c r="K184" s="16">
        <f t="shared" si="39"/>
        <v>4381</v>
      </c>
      <c r="L184" s="15">
        <f t="shared" si="39"/>
        <v>11077.333333333334</v>
      </c>
      <c r="M184" s="14">
        <f t="shared" si="39"/>
        <v>6225</v>
      </c>
      <c r="N184" s="172">
        <f t="shared" si="39"/>
        <v>5589.333333333333</v>
      </c>
      <c r="O184" s="174" t="s">
        <v>86</v>
      </c>
    </row>
    <row r="185" spans="1:15" outlineLevel="1" x14ac:dyDescent="0.2">
      <c r="A185" s="20">
        <f t="shared" si="38"/>
        <v>3642</v>
      </c>
      <c r="B185" s="19" t="str">
        <f t="shared" si="38"/>
        <v>TSU</v>
      </c>
      <c r="C185" s="58">
        <f t="shared" si="34"/>
        <v>26856.842141238576</v>
      </c>
      <c r="D185" s="15">
        <f t="shared" si="39"/>
        <v>7583.3333333333339</v>
      </c>
      <c r="E185" s="14">
        <f t="shared" si="39"/>
        <v>653.68333333333328</v>
      </c>
      <c r="F185" s="14">
        <f t="shared" si="39"/>
        <v>0</v>
      </c>
      <c r="G185" s="13">
        <f t="shared" si="39"/>
        <v>1488.6533333333352</v>
      </c>
      <c r="H185" s="15">
        <f t="shared" si="39"/>
        <v>1529.0251769882166</v>
      </c>
      <c r="I185" s="13">
        <f t="shared" si="39"/>
        <v>34.146964250357193</v>
      </c>
      <c r="J185" s="16">
        <f t="shared" si="39"/>
        <v>226</v>
      </c>
      <c r="K185" s="16">
        <f t="shared" si="39"/>
        <v>1999</v>
      </c>
      <c r="L185" s="15">
        <f t="shared" si="39"/>
        <v>6549.333333333333</v>
      </c>
      <c r="M185" s="14">
        <f t="shared" si="39"/>
        <v>3399</v>
      </c>
      <c r="N185" s="172">
        <f t="shared" si="39"/>
        <v>3394.6666666666665</v>
      </c>
      <c r="O185" s="174" t="s">
        <v>84</v>
      </c>
    </row>
    <row r="186" spans="1:15" outlineLevel="1" x14ac:dyDescent="0.2">
      <c r="A186" s="20">
        <f t="shared" si="38"/>
        <v>3644</v>
      </c>
      <c r="B186" s="19" t="str">
        <f t="shared" si="38"/>
        <v>TTU</v>
      </c>
      <c r="C186" s="58">
        <f t="shared" si="34"/>
        <v>154467.98287170389</v>
      </c>
      <c r="D186" s="15">
        <f t="shared" si="39"/>
        <v>46740</v>
      </c>
      <c r="E186" s="14">
        <f t="shared" si="39"/>
        <v>20528.207999999999</v>
      </c>
      <c r="F186" s="14">
        <f t="shared" si="39"/>
        <v>0</v>
      </c>
      <c r="G186" s="13">
        <f t="shared" si="39"/>
        <v>10128.113333332682</v>
      </c>
      <c r="H186" s="15">
        <f t="shared" si="39"/>
        <v>8278.7417771421551</v>
      </c>
      <c r="I186" s="13">
        <f t="shared" si="39"/>
        <v>652.58642789571525</v>
      </c>
      <c r="J186" s="16">
        <f t="shared" si="39"/>
        <v>2247.3333333333335</v>
      </c>
      <c r="K186" s="16">
        <f t="shared" si="39"/>
        <v>8334</v>
      </c>
      <c r="L186" s="15">
        <f t="shared" si="39"/>
        <v>25941.333333333332</v>
      </c>
      <c r="M186" s="14">
        <f t="shared" si="39"/>
        <v>15835</v>
      </c>
      <c r="N186" s="172">
        <f t="shared" si="39"/>
        <v>15782.666666666666</v>
      </c>
      <c r="O186" s="174" t="s">
        <v>83</v>
      </c>
    </row>
    <row r="187" spans="1:15" outlineLevel="1" x14ac:dyDescent="0.2">
      <c r="A187" s="20">
        <f t="shared" si="38"/>
        <v>3541</v>
      </c>
      <c r="B187" s="19" t="str">
        <f t="shared" si="38"/>
        <v>Angelo</v>
      </c>
      <c r="C187" s="58">
        <f t="shared" si="34"/>
        <v>31805.30262772704</v>
      </c>
      <c r="D187" s="15">
        <f t="shared" si="39"/>
        <v>9913.3333333333339</v>
      </c>
      <c r="E187" s="14">
        <f t="shared" si="39"/>
        <v>2555.6573333333336</v>
      </c>
      <c r="F187" s="14">
        <f t="shared" si="39"/>
        <v>0</v>
      </c>
      <c r="G187" s="13">
        <f t="shared" si="39"/>
        <v>1977.3500000000051</v>
      </c>
      <c r="H187" s="15">
        <f t="shared" si="39"/>
        <v>2894.9037470025041</v>
      </c>
      <c r="I187" s="13">
        <f t="shared" si="39"/>
        <v>220.05821405785744</v>
      </c>
      <c r="J187" s="16">
        <f t="shared" si="39"/>
        <v>388.66666666666669</v>
      </c>
      <c r="K187" s="16">
        <f t="shared" si="39"/>
        <v>2169</v>
      </c>
      <c r="L187" s="15">
        <f t="shared" si="39"/>
        <v>5754.666666666667</v>
      </c>
      <c r="M187" s="14">
        <f t="shared" si="39"/>
        <v>3101</v>
      </c>
      <c r="N187" s="172">
        <f t="shared" si="39"/>
        <v>2830.6666666666665</v>
      </c>
      <c r="O187" s="174" t="s">
        <v>85</v>
      </c>
    </row>
    <row r="188" spans="1:15" outlineLevel="1" x14ac:dyDescent="0.2">
      <c r="A188" s="20">
        <f t="shared" ref="A188:B193" si="40">A37</f>
        <v>3646</v>
      </c>
      <c r="B188" s="19" t="str">
        <f t="shared" si="40"/>
        <v>TWU</v>
      </c>
      <c r="C188" s="58">
        <f t="shared" si="34"/>
        <v>54674.737171488225</v>
      </c>
      <c r="D188" s="15">
        <f t="shared" si="39"/>
        <v>18060</v>
      </c>
      <c r="E188" s="14">
        <f t="shared" si="39"/>
        <v>5674.4520000000002</v>
      </c>
      <c r="F188" s="14">
        <f t="shared" si="39"/>
        <v>0</v>
      </c>
      <c r="G188" s="13">
        <f t="shared" si="39"/>
        <v>3452.1766666666658</v>
      </c>
      <c r="H188" s="15">
        <f t="shared" si="39"/>
        <v>6480.3349932900101</v>
      </c>
      <c r="I188" s="13">
        <f t="shared" si="39"/>
        <v>360.44017819821482</v>
      </c>
      <c r="J188" s="16">
        <f t="shared" si="39"/>
        <v>1606.6666666666667</v>
      </c>
      <c r="K188" s="16">
        <f t="shared" si="39"/>
        <v>3741</v>
      </c>
      <c r="L188" s="15">
        <f t="shared" si="39"/>
        <v>8784</v>
      </c>
      <c r="M188" s="14">
        <f t="shared" si="39"/>
        <v>3877</v>
      </c>
      <c r="N188" s="172">
        <f t="shared" si="39"/>
        <v>2638.6666666666665</v>
      </c>
      <c r="O188" s="174" t="s">
        <v>84</v>
      </c>
    </row>
    <row r="189" spans="1:15" outlineLevel="1" x14ac:dyDescent="0.2">
      <c r="A189" s="20">
        <f t="shared" si="40"/>
        <v>3581</v>
      </c>
      <c r="B189" s="19" t="str">
        <f t="shared" si="40"/>
        <v>Lamar</v>
      </c>
      <c r="C189" s="58">
        <f t="shared" si="34"/>
        <v>43197.769531624661</v>
      </c>
      <c r="D189" s="15">
        <f t="shared" si="39"/>
        <v>13353.333333333332</v>
      </c>
      <c r="E189" s="14">
        <f t="shared" si="39"/>
        <v>2806.8706666666667</v>
      </c>
      <c r="F189" s="14">
        <f t="shared" si="39"/>
        <v>0</v>
      </c>
      <c r="G189" s="13">
        <f t="shared" si="39"/>
        <v>2684.9000000000165</v>
      </c>
      <c r="H189" s="15">
        <f t="shared" si="39"/>
        <v>3756.1660675392909</v>
      </c>
      <c r="I189" s="13">
        <f t="shared" si="39"/>
        <v>193.49946408535743</v>
      </c>
      <c r="J189" s="16">
        <f t="shared" si="39"/>
        <v>467.33333333333331</v>
      </c>
      <c r="K189" s="16">
        <f t="shared" si="39"/>
        <v>2846</v>
      </c>
      <c r="L189" s="15">
        <f t="shared" si="39"/>
        <v>8578.6666666666661</v>
      </c>
      <c r="M189" s="14">
        <f t="shared" si="39"/>
        <v>4467</v>
      </c>
      <c r="N189" s="172">
        <f t="shared" si="39"/>
        <v>4044</v>
      </c>
      <c r="O189" s="174" t="s">
        <v>86</v>
      </c>
    </row>
    <row r="190" spans="1:15" outlineLevel="1" x14ac:dyDescent="0.2">
      <c r="A190" s="20">
        <f t="shared" si="40"/>
        <v>3606</v>
      </c>
      <c r="B190" s="19" t="str">
        <f t="shared" si="40"/>
        <v>SHSU</v>
      </c>
      <c r="C190" s="58">
        <f t="shared" si="34"/>
        <v>90773.299283027271</v>
      </c>
      <c r="D190" s="15">
        <f t="shared" si="39"/>
        <v>30776.666666666664</v>
      </c>
      <c r="E190" s="14">
        <f t="shared" si="39"/>
        <v>10833.386666666667</v>
      </c>
      <c r="F190" s="14">
        <f t="shared" si="39"/>
        <v>0</v>
      </c>
      <c r="G190" s="13">
        <f t="shared" si="39"/>
        <v>5837.0766666667887</v>
      </c>
      <c r="H190" s="15">
        <f t="shared" si="39"/>
        <v>1900.847676603217</v>
      </c>
      <c r="I190" s="13">
        <f t="shared" si="39"/>
        <v>694.32160642392955</v>
      </c>
      <c r="J190" s="16">
        <f t="shared" si="39"/>
        <v>2563.3333333333335</v>
      </c>
      <c r="K190" s="16">
        <f t="shared" si="39"/>
        <v>6641</v>
      </c>
      <c r="L190" s="15">
        <f t="shared" si="39"/>
        <v>15577.333333333334</v>
      </c>
      <c r="M190" s="14">
        <f t="shared" si="39"/>
        <v>8896</v>
      </c>
      <c r="N190" s="172">
        <f t="shared" si="39"/>
        <v>7053.333333333333</v>
      </c>
      <c r="O190" s="174" t="s">
        <v>84</v>
      </c>
    </row>
    <row r="191" spans="1:15" outlineLevel="1" x14ac:dyDescent="0.2">
      <c r="A191" s="20">
        <f t="shared" si="40"/>
        <v>3615</v>
      </c>
      <c r="B191" s="19" t="str">
        <f t="shared" si="40"/>
        <v>TXST</v>
      </c>
      <c r="C191" s="58">
        <f t="shared" si="34"/>
        <v>165666.37049345439</v>
      </c>
      <c r="D191" s="15">
        <f t="shared" si="39"/>
        <v>53610</v>
      </c>
      <c r="E191" s="14">
        <f t="shared" si="39"/>
        <v>20361.078000000001</v>
      </c>
      <c r="F191" s="14">
        <f t="shared" si="39"/>
        <v>0</v>
      </c>
      <c r="G191" s="13">
        <f t="shared" si="39"/>
        <v>10437.309999999357</v>
      </c>
      <c r="H191" s="15">
        <f t="shared" si="39"/>
        <v>5562.1610656692937</v>
      </c>
      <c r="I191" s="13">
        <f t="shared" si="39"/>
        <v>758.8214277857154</v>
      </c>
      <c r="J191" s="16">
        <f t="shared" si="39"/>
        <v>4023.3333333333335</v>
      </c>
      <c r="K191" s="16">
        <f t="shared" si="39"/>
        <v>11026</v>
      </c>
      <c r="L191" s="15">
        <f t="shared" si="39"/>
        <v>29881.333333333332</v>
      </c>
      <c r="M191" s="14">
        <f t="shared" si="39"/>
        <v>16737</v>
      </c>
      <c r="N191" s="172">
        <f t="shared" si="39"/>
        <v>13269.333333333334</v>
      </c>
      <c r="O191" s="174" t="s">
        <v>83</v>
      </c>
    </row>
    <row r="192" spans="1:15" outlineLevel="1" x14ac:dyDescent="0.2">
      <c r="A192" s="20">
        <f t="shared" si="40"/>
        <v>3625</v>
      </c>
      <c r="B192" s="19" t="str">
        <f t="shared" si="40"/>
        <v>SRSU</v>
      </c>
      <c r="C192" s="58">
        <f t="shared" si="34"/>
        <v>5729.1967735855951</v>
      </c>
      <c r="D192" s="15">
        <f t="shared" si="39"/>
        <v>1893.3333333333335</v>
      </c>
      <c r="E192" s="14">
        <f t="shared" si="39"/>
        <v>341.93600000000004</v>
      </c>
      <c r="F192" s="14">
        <f t="shared" si="39"/>
        <v>0</v>
      </c>
      <c r="G192" s="13">
        <f t="shared" si="39"/>
        <v>394.32999999999964</v>
      </c>
      <c r="H192" s="15">
        <f t="shared" si="39"/>
        <v>144.17607127928591</v>
      </c>
      <c r="I192" s="13">
        <f t="shared" si="39"/>
        <v>72.088035639642953</v>
      </c>
      <c r="J192" s="16">
        <f t="shared" si="39"/>
        <v>86.666666666666671</v>
      </c>
      <c r="K192" s="16">
        <f t="shared" si="39"/>
        <v>489</v>
      </c>
      <c r="L192" s="15">
        <f t="shared" si="39"/>
        <v>1200</v>
      </c>
      <c r="M192" s="14">
        <f t="shared" si="39"/>
        <v>581</v>
      </c>
      <c r="N192" s="172">
        <f t="shared" si="39"/>
        <v>526.66666666666663</v>
      </c>
      <c r="O192" s="174" t="s">
        <v>85</v>
      </c>
    </row>
    <row r="193" spans="1:15" outlineLevel="1" x14ac:dyDescent="0.2">
      <c r="A193" s="20">
        <f t="shared" si="40"/>
        <v>20</v>
      </c>
      <c r="B193" s="19" t="str">
        <f t="shared" si="40"/>
        <v>SRRG</v>
      </c>
      <c r="C193" s="58">
        <f t="shared" si="34"/>
        <v>4217.9537167114549</v>
      </c>
      <c r="D193" s="15">
        <f t="shared" si="39"/>
        <v>1616.6666666666665</v>
      </c>
      <c r="E193" s="14">
        <f t="shared" si="39"/>
        <v>308.19585971002653</v>
      </c>
      <c r="F193" s="14">
        <f t="shared" si="39"/>
        <v>0</v>
      </c>
      <c r="G193" s="13">
        <f t="shared" si="39"/>
        <v>279.16999999999979</v>
      </c>
      <c r="H193" s="15">
        <f t="shared" si="39"/>
        <v>72.088035639642953</v>
      </c>
      <c r="I193" s="13">
        <f t="shared" si="39"/>
        <v>64.499821361785806</v>
      </c>
      <c r="J193" s="16">
        <f t="shared" si="39"/>
        <v>230</v>
      </c>
      <c r="K193" s="16">
        <f t="shared" si="39"/>
        <v>432</v>
      </c>
      <c r="L193" s="15">
        <f t="shared" si="39"/>
        <v>920</v>
      </c>
      <c r="M193" s="14">
        <f t="shared" si="39"/>
        <v>278</v>
      </c>
      <c r="N193" s="172">
        <f t="shared" si="39"/>
        <v>17.333333333333332</v>
      </c>
      <c r="O193" s="174" t="s">
        <v>85</v>
      </c>
    </row>
    <row r="194" spans="1:15" ht="13.5" outlineLevel="1" thickBot="1" x14ac:dyDescent="0.25">
      <c r="A194" s="12"/>
      <c r="B194" s="11" t="s">
        <v>11</v>
      </c>
      <c r="C194" s="57">
        <f t="shared" ref="C194:N194" si="41">SUM(C156:C193)</f>
        <v>2610975.78200192</v>
      </c>
      <c r="D194" s="9">
        <f t="shared" si="41"/>
        <v>843158.33333333326</v>
      </c>
      <c r="E194" s="7">
        <f t="shared" ref="E194:F194" si="42">SUM(E156:E193)</f>
        <v>294190.83533525624</v>
      </c>
      <c r="F194" s="7">
        <f t="shared" si="42"/>
        <v>0</v>
      </c>
      <c r="G194" s="3">
        <f t="shared" si="41"/>
        <v>172461.13999999844</v>
      </c>
      <c r="H194" s="5">
        <f t="shared" si="41"/>
        <v>158821.32483555019</v>
      </c>
      <c r="I194" s="3">
        <f t="shared" si="41"/>
        <v>13639.815164448233</v>
      </c>
      <c r="J194" s="6">
        <f t="shared" ref="J194" si="43">SUM(J156:J193)</f>
        <v>58272.666666666664</v>
      </c>
      <c r="K194" s="6">
        <f t="shared" si="41"/>
        <v>163339.5</v>
      </c>
      <c r="L194" s="5">
        <f t="shared" si="41"/>
        <v>456850.66666666657</v>
      </c>
      <c r="M194" s="4">
        <f t="shared" si="41"/>
        <v>247033.5</v>
      </c>
      <c r="N194" s="173">
        <f t="shared" si="41"/>
        <v>203207.99999999997</v>
      </c>
      <c r="O194" s="175"/>
    </row>
    <row r="195" spans="1:15" ht="13.5" thickBot="1" x14ac:dyDescent="0.25">
      <c r="A195" s="45" t="s">
        <v>29</v>
      </c>
      <c r="B195" s="45"/>
      <c r="C195" s="54"/>
      <c r="D195" s="54"/>
      <c r="E195" s="54"/>
      <c r="F195" s="56"/>
      <c r="H195" s="56"/>
      <c r="O195" s="55"/>
    </row>
    <row r="196" spans="1:15" ht="12.75" customHeight="1" outlineLevel="1" x14ac:dyDescent="0.2">
      <c r="A196" s="273" t="s">
        <v>24</v>
      </c>
      <c r="B196" s="275" t="s">
        <v>23</v>
      </c>
      <c r="C196" s="277"/>
      <c r="D196" s="306" t="s">
        <v>28</v>
      </c>
      <c r="E196" s="301" t="s">
        <v>21</v>
      </c>
      <c r="F196" s="275" t="s">
        <v>20</v>
      </c>
      <c r="G196" s="297" t="s">
        <v>19</v>
      </c>
      <c r="H196" s="299" t="s">
        <v>18</v>
      </c>
      <c r="I196" s="291" t="s">
        <v>17</v>
      </c>
      <c r="J196" s="212"/>
      <c r="K196" s="293" t="s">
        <v>16</v>
      </c>
      <c r="L196" s="295" t="s">
        <v>15</v>
      </c>
      <c r="M196" s="296"/>
      <c r="N196" s="296"/>
      <c r="O196" s="55"/>
    </row>
    <row r="197" spans="1:15" s="41" customFormat="1" ht="41.25" customHeight="1" outlineLevel="1" thickBot="1" x14ac:dyDescent="0.25">
      <c r="A197" s="274"/>
      <c r="B197" s="276"/>
      <c r="C197" s="278"/>
      <c r="D197" s="307"/>
      <c r="E197" s="302"/>
      <c r="F197" s="276"/>
      <c r="G197" s="298"/>
      <c r="H197" s="300"/>
      <c r="I197" s="292"/>
      <c r="J197" s="213" t="s">
        <v>127</v>
      </c>
      <c r="K197" s="294"/>
      <c r="L197" s="44" t="s">
        <v>14</v>
      </c>
      <c r="M197" s="43" t="s">
        <v>13</v>
      </c>
      <c r="N197" s="42" t="s">
        <v>12</v>
      </c>
      <c r="O197" s="55"/>
    </row>
    <row r="198" spans="1:15" outlineLevel="1" x14ac:dyDescent="0.2">
      <c r="A198" s="20">
        <f t="shared" ref="A198:B213" si="44">A156</f>
        <v>3656</v>
      </c>
      <c r="B198" s="19" t="str">
        <f t="shared" si="44"/>
        <v>UTA</v>
      </c>
      <c r="C198" s="38"/>
      <c r="D198" s="33">
        <f t="shared" ref="D198:N213" si="45">AVERAGE(D240,D282,D324)</f>
        <v>5018</v>
      </c>
      <c r="E198" s="226">
        <f>AVERAGE(E240,E282,E324)*D198</f>
        <v>2600.9966666666669</v>
      </c>
      <c r="F198" s="32">
        <f>D198/AVERAGE(F240,F282,F324)*100</f>
        <v>29.603788278048281</v>
      </c>
      <c r="G198" s="31">
        <f t="shared" si="45"/>
        <v>10418.553333333379</v>
      </c>
      <c r="H198" s="36">
        <f t="shared" si="45"/>
        <v>1531.3333333333333</v>
      </c>
      <c r="I198" s="35">
        <f t="shared" si="45"/>
        <v>35</v>
      </c>
      <c r="J198" s="34">
        <f t="shared" si="45"/>
        <v>2191.3333333333335</v>
      </c>
      <c r="K198" s="34">
        <f t="shared" si="45"/>
        <v>3116</v>
      </c>
      <c r="L198" s="33">
        <f t="shared" si="45"/>
        <v>6836.333333333333</v>
      </c>
      <c r="M198" s="32">
        <f t="shared" si="45"/>
        <v>3833.6666666666665</v>
      </c>
      <c r="N198" s="31">
        <f t="shared" si="45"/>
        <v>1783.6666666666667</v>
      </c>
      <c r="O198" s="55"/>
    </row>
    <row r="199" spans="1:15" outlineLevel="1" x14ac:dyDescent="0.2">
      <c r="A199" s="20">
        <f t="shared" si="44"/>
        <v>3658</v>
      </c>
      <c r="B199" s="19" t="str">
        <f t="shared" si="44"/>
        <v>UT</v>
      </c>
      <c r="C199" s="18"/>
      <c r="D199" s="15">
        <f t="shared" si="45"/>
        <v>8946.3333333333339</v>
      </c>
      <c r="E199" s="188">
        <f t="shared" ref="E199:E235" si="46">AVERAGE(E241,E283,E325)*D199</f>
        <v>7416.5103333333345</v>
      </c>
      <c r="F199" s="14">
        <f t="shared" ref="F199:F235" si="47">D199/AVERAGE(F241,F283,F325)*100</f>
        <v>26.497692061124674</v>
      </c>
      <c r="G199" s="13">
        <f t="shared" si="45"/>
        <v>19398.350000000519</v>
      </c>
      <c r="H199" s="15">
        <f t="shared" si="45"/>
        <v>1876.3333333333333</v>
      </c>
      <c r="I199" s="13">
        <f t="shared" si="45"/>
        <v>66</v>
      </c>
      <c r="J199" s="16">
        <f t="shared" si="45"/>
        <v>1235</v>
      </c>
      <c r="K199" s="16">
        <f t="shared" si="45"/>
        <v>3470.3333333333335</v>
      </c>
      <c r="L199" s="15">
        <f t="shared" si="45"/>
        <v>9598.3333333333339</v>
      </c>
      <c r="M199" s="14">
        <f t="shared" si="45"/>
        <v>9005.6666666666661</v>
      </c>
      <c r="N199" s="13">
        <f t="shared" si="45"/>
        <v>7040.333333333333</v>
      </c>
      <c r="O199" s="55"/>
    </row>
    <row r="200" spans="1:15" outlineLevel="1" x14ac:dyDescent="0.2">
      <c r="A200" s="20">
        <f t="shared" si="44"/>
        <v>9741</v>
      </c>
      <c r="B200" s="19" t="str">
        <f t="shared" si="44"/>
        <v>UTD</v>
      </c>
      <c r="C200" s="18"/>
      <c r="D200" s="15">
        <f t="shared" si="45"/>
        <v>2393</v>
      </c>
      <c r="E200" s="188">
        <f t="shared" si="46"/>
        <v>1682.279</v>
      </c>
      <c r="F200" s="14">
        <f t="shared" si="47"/>
        <v>26.829760516638267</v>
      </c>
      <c r="G200" s="13">
        <f t="shared" si="45"/>
        <v>5101.2033333334393</v>
      </c>
      <c r="H200" s="15">
        <f t="shared" si="45"/>
        <v>421.66666666666669</v>
      </c>
      <c r="I200" s="13">
        <f t="shared" si="45"/>
        <v>32</v>
      </c>
      <c r="J200" s="16">
        <f t="shared" si="45"/>
        <v>1083</v>
      </c>
      <c r="K200" s="16">
        <f t="shared" si="45"/>
        <v>1319.6666666666667</v>
      </c>
      <c r="L200" s="15">
        <f t="shared" si="45"/>
        <v>3315</v>
      </c>
      <c r="M200" s="14">
        <f t="shared" si="45"/>
        <v>2134.3333333333335</v>
      </c>
      <c r="N200" s="13">
        <f t="shared" si="45"/>
        <v>1021.3333333333334</v>
      </c>
      <c r="O200" s="55"/>
    </row>
    <row r="201" spans="1:15" outlineLevel="1" x14ac:dyDescent="0.2">
      <c r="A201" s="20">
        <f t="shared" si="44"/>
        <v>3661</v>
      </c>
      <c r="B201" s="19" t="str">
        <f t="shared" si="44"/>
        <v>UTEP</v>
      </c>
      <c r="C201" s="18"/>
      <c r="D201" s="15">
        <f t="shared" si="45"/>
        <v>3057</v>
      </c>
      <c r="E201" s="188">
        <f t="shared" si="46"/>
        <v>1192.2299999999998</v>
      </c>
      <c r="F201" s="14">
        <f t="shared" si="47"/>
        <v>22.870894536023343</v>
      </c>
      <c r="G201" s="13">
        <f t="shared" si="45"/>
        <v>6298.0766666668133</v>
      </c>
      <c r="H201" s="15">
        <f t="shared" si="45"/>
        <v>655</v>
      </c>
      <c r="I201" s="13">
        <f t="shared" si="45"/>
        <v>90</v>
      </c>
      <c r="J201" s="16">
        <f t="shared" si="45"/>
        <v>1134.6666666666667</v>
      </c>
      <c r="K201" s="16">
        <f t="shared" si="45"/>
        <v>2464.3333333333335</v>
      </c>
      <c r="L201" s="15">
        <f t="shared" si="45"/>
        <v>4362.666666666667</v>
      </c>
      <c r="M201" s="14">
        <f t="shared" si="45"/>
        <v>3358</v>
      </c>
      <c r="N201" s="13">
        <f t="shared" si="45"/>
        <v>1956</v>
      </c>
      <c r="O201" s="55"/>
    </row>
    <row r="202" spans="1:15" outlineLevel="1" x14ac:dyDescent="0.2">
      <c r="A202" s="20">
        <f t="shared" si="44"/>
        <v>3599</v>
      </c>
      <c r="B202" s="19" t="str">
        <f t="shared" si="44"/>
        <v>UTPA</v>
      </c>
      <c r="C202" s="18"/>
      <c r="D202" s="15">
        <f t="shared" si="45"/>
        <v>2580</v>
      </c>
      <c r="E202" s="188">
        <f t="shared" si="46"/>
        <v>1111.98</v>
      </c>
      <c r="F202" s="14">
        <f t="shared" si="47"/>
        <v>20.492490499497837</v>
      </c>
      <c r="G202" s="13">
        <f t="shared" si="45"/>
        <v>5134.1666666667797</v>
      </c>
      <c r="H202" s="15">
        <f t="shared" si="45"/>
        <v>520.33333333333337</v>
      </c>
      <c r="I202" s="13">
        <f t="shared" si="45"/>
        <v>28</v>
      </c>
      <c r="J202" s="16">
        <f t="shared" si="45"/>
        <v>904</v>
      </c>
      <c r="K202" s="16">
        <f t="shared" si="45"/>
        <v>2338.3333333333335</v>
      </c>
      <c r="L202" s="15">
        <f t="shared" si="45"/>
        <v>4075.3333333333335</v>
      </c>
      <c r="M202" s="14">
        <f t="shared" si="45"/>
        <v>3096</v>
      </c>
      <c r="N202" s="13">
        <f t="shared" si="45"/>
        <v>1939.3333333333333</v>
      </c>
      <c r="O202" s="55"/>
    </row>
    <row r="203" spans="1:15" outlineLevel="1" x14ac:dyDescent="0.2">
      <c r="A203" s="20">
        <f t="shared" si="44"/>
        <v>30646</v>
      </c>
      <c r="B203" s="19" t="str">
        <f t="shared" si="44"/>
        <v>UTB</v>
      </c>
      <c r="C203" s="18"/>
      <c r="D203" s="15">
        <f t="shared" si="45"/>
        <v>1092</v>
      </c>
      <c r="E203" s="188">
        <f t="shared" si="46"/>
        <v>628.17092451302005</v>
      </c>
      <c r="F203" s="14">
        <f t="shared" si="47"/>
        <v>34.461236368736628</v>
      </c>
      <c r="G203" s="13">
        <f t="shared" si="45"/>
        <v>2097.7933333333553</v>
      </c>
      <c r="H203" s="15">
        <f t="shared" si="45"/>
        <v>124.33333333333333</v>
      </c>
      <c r="I203" s="13">
        <f t="shared" si="45"/>
        <v>18.333333333333332</v>
      </c>
      <c r="J203" s="16">
        <f t="shared" si="45"/>
        <v>896</v>
      </c>
      <c r="K203" s="16">
        <f t="shared" si="45"/>
        <v>936.66666666666663</v>
      </c>
      <c r="L203" s="15">
        <f t="shared" si="45"/>
        <v>1326.3333333333333</v>
      </c>
      <c r="M203" s="14">
        <f t="shared" si="45"/>
        <v>556.33333333333337</v>
      </c>
      <c r="N203" s="13">
        <f t="shared" si="45"/>
        <v>100.66666666666667</v>
      </c>
      <c r="O203" s="55"/>
    </row>
    <row r="204" spans="1:15" outlineLevel="1" x14ac:dyDescent="0.2">
      <c r="A204" s="20">
        <f t="shared" si="44"/>
        <v>9930</v>
      </c>
      <c r="B204" s="19" t="str">
        <f t="shared" si="44"/>
        <v>UTPB</v>
      </c>
      <c r="C204" s="18"/>
      <c r="D204" s="15">
        <f t="shared" si="45"/>
        <v>533.33333333333337</v>
      </c>
      <c r="E204" s="188">
        <f t="shared" si="46"/>
        <v>236.8</v>
      </c>
      <c r="F204" s="14">
        <f t="shared" si="47"/>
        <v>23.125174643246009</v>
      </c>
      <c r="G204" s="13">
        <f t="shared" si="45"/>
        <v>1001.5166666666704</v>
      </c>
      <c r="H204" s="15">
        <f t="shared" si="45"/>
        <v>41.333333333333336</v>
      </c>
      <c r="I204" s="13">
        <f t="shared" si="45"/>
        <v>10</v>
      </c>
      <c r="J204" s="16">
        <f t="shared" si="45"/>
        <v>248.33333333333334</v>
      </c>
      <c r="K204" s="16">
        <f t="shared" si="45"/>
        <v>399</v>
      </c>
      <c r="L204" s="15">
        <f t="shared" si="45"/>
        <v>785.66666666666663</v>
      </c>
      <c r="M204" s="14">
        <f t="shared" si="45"/>
        <v>491.66666666666669</v>
      </c>
      <c r="N204" s="13">
        <f t="shared" si="45"/>
        <v>194.33333333333334</v>
      </c>
      <c r="O204" s="55"/>
    </row>
    <row r="205" spans="1:15" outlineLevel="1" x14ac:dyDescent="0.2">
      <c r="A205" s="20">
        <f t="shared" si="44"/>
        <v>10115</v>
      </c>
      <c r="B205" s="19" t="str">
        <f t="shared" si="44"/>
        <v>UTSA</v>
      </c>
      <c r="C205" s="18"/>
      <c r="D205" s="15">
        <f t="shared" si="45"/>
        <v>4119.666666666667</v>
      </c>
      <c r="E205" s="188">
        <f t="shared" si="46"/>
        <v>1737.1261111111112</v>
      </c>
      <c r="F205" s="14">
        <f t="shared" si="47"/>
        <v>20.241034101368403</v>
      </c>
      <c r="G205" s="13">
        <f t="shared" si="45"/>
        <v>8414.213333333224</v>
      </c>
      <c r="H205" s="15">
        <f t="shared" si="45"/>
        <v>392</v>
      </c>
      <c r="I205" s="13">
        <f t="shared" si="45"/>
        <v>49.666666666666664</v>
      </c>
      <c r="J205" s="16">
        <f t="shared" si="45"/>
        <v>1406.3333333333333</v>
      </c>
      <c r="K205" s="16">
        <f t="shared" si="45"/>
        <v>3123.6666666666665</v>
      </c>
      <c r="L205" s="15">
        <f t="shared" si="45"/>
        <v>6809.666666666667</v>
      </c>
      <c r="M205" s="14">
        <f t="shared" si="45"/>
        <v>4458.666666666667</v>
      </c>
      <c r="N205" s="13">
        <f t="shared" si="45"/>
        <v>2615.6666666666665</v>
      </c>
      <c r="O205" s="55"/>
    </row>
    <row r="206" spans="1:15" outlineLevel="1" x14ac:dyDescent="0.2">
      <c r="A206" s="20">
        <f t="shared" si="44"/>
        <v>11163</v>
      </c>
      <c r="B206" s="19" t="str">
        <f t="shared" si="44"/>
        <v>UTT</v>
      </c>
      <c r="C206" s="18"/>
      <c r="D206" s="15">
        <f t="shared" si="45"/>
        <v>1190</v>
      </c>
      <c r="E206" s="188">
        <f t="shared" si="46"/>
        <v>613.64333333333343</v>
      </c>
      <c r="F206" s="14">
        <f t="shared" si="47"/>
        <v>29.255740517151896</v>
      </c>
      <c r="G206" s="13">
        <f t="shared" si="45"/>
        <v>2362.6600000000103</v>
      </c>
      <c r="H206" s="15">
        <f t="shared" si="45"/>
        <v>376.66666666666669</v>
      </c>
      <c r="I206" s="13">
        <f t="shared" si="45"/>
        <v>14</v>
      </c>
      <c r="J206" s="16">
        <f t="shared" si="45"/>
        <v>636.33333333333337</v>
      </c>
      <c r="K206" s="16">
        <f t="shared" si="45"/>
        <v>942.33333333333337</v>
      </c>
      <c r="L206" s="15">
        <f t="shared" si="45"/>
        <v>1436.3333333333333</v>
      </c>
      <c r="M206" s="14">
        <f t="shared" si="45"/>
        <v>890</v>
      </c>
      <c r="N206" s="13">
        <f t="shared" si="45"/>
        <v>387.33333333333331</v>
      </c>
      <c r="O206" s="55"/>
    </row>
    <row r="207" spans="1:15" outlineLevel="1" x14ac:dyDescent="0.2">
      <c r="A207" s="20">
        <f t="shared" si="44"/>
        <v>3632</v>
      </c>
      <c r="B207" s="19" t="str">
        <f t="shared" si="44"/>
        <v>TAMU</v>
      </c>
      <c r="C207" s="18"/>
      <c r="D207" s="15">
        <f t="shared" si="45"/>
        <v>8739.6666666666661</v>
      </c>
      <c r="E207" s="188">
        <f t="shared" si="46"/>
        <v>7347.1464444444427</v>
      </c>
      <c r="F207" s="14">
        <f t="shared" si="47"/>
        <v>25.241886570842681</v>
      </c>
      <c r="G207" s="13">
        <f t="shared" si="45"/>
        <v>20104.8166666668</v>
      </c>
      <c r="H207" s="15">
        <f t="shared" si="45"/>
        <v>1763</v>
      </c>
      <c r="I207" s="13">
        <f t="shared" si="45"/>
        <v>126</v>
      </c>
      <c r="J207" s="16">
        <f t="shared" si="45"/>
        <v>2365.6666666666665</v>
      </c>
      <c r="K207" s="16">
        <f t="shared" si="45"/>
        <v>3724</v>
      </c>
      <c r="L207" s="15">
        <f t="shared" si="45"/>
        <v>10060.666666666666</v>
      </c>
      <c r="M207" s="14">
        <f t="shared" si="45"/>
        <v>8907.3333333333339</v>
      </c>
      <c r="N207" s="13">
        <f t="shared" si="45"/>
        <v>6897.666666666667</v>
      </c>
      <c r="O207" s="55"/>
    </row>
    <row r="208" spans="1:15" outlineLevel="1" x14ac:dyDescent="0.2">
      <c r="A208" s="20">
        <f t="shared" si="44"/>
        <v>10298</v>
      </c>
      <c r="B208" s="19" t="str">
        <f t="shared" si="44"/>
        <v>TAMUG</v>
      </c>
      <c r="C208" s="18"/>
      <c r="D208" s="15">
        <f t="shared" si="45"/>
        <v>275.33333333333331</v>
      </c>
      <c r="E208" s="188">
        <f t="shared" si="46"/>
        <v>172.72577777777778</v>
      </c>
      <c r="F208" s="14">
        <f t="shared" si="47"/>
        <v>16.399301143583227</v>
      </c>
      <c r="G208" s="13">
        <f t="shared" si="45"/>
        <v>704.02666666666448</v>
      </c>
      <c r="H208" s="15">
        <f t="shared" si="45"/>
        <v>37.333333333333336</v>
      </c>
      <c r="I208" s="13">
        <f t="shared" si="45"/>
        <v>0</v>
      </c>
      <c r="J208" s="16">
        <f t="shared" si="45"/>
        <v>68</v>
      </c>
      <c r="K208" s="16">
        <f t="shared" si="45"/>
        <v>158</v>
      </c>
      <c r="L208" s="15">
        <f t="shared" si="45"/>
        <v>592.33333333333337</v>
      </c>
      <c r="M208" s="14">
        <f t="shared" si="45"/>
        <v>318</v>
      </c>
      <c r="N208" s="13">
        <f t="shared" si="45"/>
        <v>246</v>
      </c>
      <c r="O208" s="55"/>
    </row>
    <row r="209" spans="1:15" outlineLevel="1" x14ac:dyDescent="0.2">
      <c r="A209" s="20">
        <f t="shared" si="44"/>
        <v>3630</v>
      </c>
      <c r="B209" s="19" t="str">
        <f t="shared" si="44"/>
        <v>Prairie View</v>
      </c>
      <c r="C209" s="18"/>
      <c r="D209" s="15">
        <f t="shared" si="45"/>
        <v>936.33333333333337</v>
      </c>
      <c r="E209" s="188">
        <f t="shared" si="46"/>
        <v>348.00388888888887</v>
      </c>
      <c r="F209" s="14">
        <f t="shared" si="47"/>
        <v>15.823688025296873</v>
      </c>
      <c r="G209" s="13">
        <f t="shared" si="45"/>
        <v>2072.9000000000092</v>
      </c>
      <c r="H209" s="15">
        <f t="shared" si="45"/>
        <v>315.66666666666669</v>
      </c>
      <c r="I209" s="13">
        <f t="shared" si="45"/>
        <v>9.6666666666666661</v>
      </c>
      <c r="J209" s="16">
        <f t="shared" si="45"/>
        <v>163</v>
      </c>
      <c r="K209" s="16">
        <f t="shared" si="45"/>
        <v>802.66666666666663</v>
      </c>
      <c r="L209" s="15">
        <f t="shared" si="45"/>
        <v>1668</v>
      </c>
      <c r="M209" s="14">
        <f t="shared" si="45"/>
        <v>1181</v>
      </c>
      <c r="N209" s="13">
        <f t="shared" si="45"/>
        <v>905.33333333333337</v>
      </c>
      <c r="O209" s="55"/>
    </row>
    <row r="210" spans="1:15" outlineLevel="1" x14ac:dyDescent="0.2">
      <c r="A210" s="20">
        <f t="shared" si="44"/>
        <v>3631</v>
      </c>
      <c r="B210" s="19" t="str">
        <f t="shared" si="44"/>
        <v>Tarleton</v>
      </c>
      <c r="C210" s="18"/>
      <c r="D210" s="15">
        <f t="shared" si="45"/>
        <v>1545.3333333333333</v>
      </c>
      <c r="E210" s="188">
        <f t="shared" si="46"/>
        <v>738.66933333333338</v>
      </c>
      <c r="F210" s="14">
        <f t="shared" si="47"/>
        <v>24.559767752325659</v>
      </c>
      <c r="G210" s="13">
        <f t="shared" si="45"/>
        <v>3122.5433333333599</v>
      </c>
      <c r="H210" s="15">
        <f t="shared" si="45"/>
        <v>203</v>
      </c>
      <c r="I210" s="13">
        <f t="shared" si="45"/>
        <v>47.666666666666664</v>
      </c>
      <c r="J210" s="16">
        <f t="shared" si="45"/>
        <v>623.66666666666663</v>
      </c>
      <c r="K210" s="16">
        <f t="shared" si="45"/>
        <v>1195</v>
      </c>
      <c r="L210" s="15">
        <f t="shared" si="45"/>
        <v>2154.3333333333335</v>
      </c>
      <c r="M210" s="14">
        <f t="shared" si="45"/>
        <v>1328.6666666666667</v>
      </c>
      <c r="N210" s="13">
        <f t="shared" si="45"/>
        <v>862.66666666666663</v>
      </c>
      <c r="O210" s="55"/>
    </row>
    <row r="211" spans="1:15" outlineLevel="1" x14ac:dyDescent="0.2">
      <c r="A211" s="27">
        <f t="shared" si="44"/>
        <v>103631</v>
      </c>
      <c r="B211" s="19" t="str">
        <f t="shared" si="44"/>
        <v>TAMUCT</v>
      </c>
      <c r="C211" s="18"/>
      <c r="D211" s="15">
        <f t="shared" si="45"/>
        <v>460.33333333333331</v>
      </c>
      <c r="E211" s="188">
        <f t="shared" si="46"/>
        <v>220.03933333333333</v>
      </c>
      <c r="F211" s="14">
        <f t="shared" si="47"/>
        <v>67.587849522007247</v>
      </c>
      <c r="G211" s="13">
        <f t="shared" si="45"/>
        <v>853.61666666666588</v>
      </c>
      <c r="H211" s="15">
        <f t="shared" si="45"/>
        <v>40.666666666666664</v>
      </c>
      <c r="I211" s="13">
        <f t="shared" si="45"/>
        <v>0</v>
      </c>
      <c r="J211" s="16">
        <f t="shared" si="45"/>
        <v>225</v>
      </c>
      <c r="K211" s="16">
        <f t="shared" si="45"/>
        <v>327</v>
      </c>
      <c r="L211" s="15">
        <f t="shared" si="45"/>
        <v>495</v>
      </c>
      <c r="M211" s="14">
        <f t="shared" si="45"/>
        <v>133</v>
      </c>
      <c r="N211" s="13">
        <f t="shared" si="45"/>
        <v>34</v>
      </c>
      <c r="O211" s="55"/>
    </row>
    <row r="212" spans="1:15" outlineLevel="1" x14ac:dyDescent="0.2">
      <c r="A212" s="20">
        <f t="shared" si="44"/>
        <v>11161</v>
      </c>
      <c r="B212" s="19" t="str">
        <f t="shared" si="44"/>
        <v>TAMUCC</v>
      </c>
      <c r="C212" s="18"/>
      <c r="D212" s="15">
        <f t="shared" si="45"/>
        <v>1388.3333333333333</v>
      </c>
      <c r="E212" s="188">
        <f t="shared" si="46"/>
        <v>705.27333333333331</v>
      </c>
      <c r="F212" s="14">
        <f t="shared" si="47"/>
        <v>21.376514062820775</v>
      </c>
      <c r="G212" s="13">
        <f t="shared" si="45"/>
        <v>2804.2000000000139</v>
      </c>
      <c r="H212" s="15">
        <f t="shared" si="45"/>
        <v>266.33333333333331</v>
      </c>
      <c r="I212" s="13">
        <f t="shared" si="45"/>
        <v>25.666666666666668</v>
      </c>
      <c r="J212" s="16">
        <f t="shared" si="45"/>
        <v>483.66666666666669</v>
      </c>
      <c r="K212" s="16">
        <f t="shared" si="45"/>
        <v>1080</v>
      </c>
      <c r="L212" s="15">
        <f t="shared" si="45"/>
        <v>2054</v>
      </c>
      <c r="M212" s="14">
        <f t="shared" si="45"/>
        <v>1468</v>
      </c>
      <c r="N212" s="13">
        <f t="shared" si="45"/>
        <v>878.33333333333337</v>
      </c>
      <c r="O212" s="55"/>
    </row>
    <row r="213" spans="1:15" outlineLevel="1" x14ac:dyDescent="0.2">
      <c r="A213" s="20">
        <f t="shared" si="44"/>
        <v>3639</v>
      </c>
      <c r="B213" s="19" t="str">
        <f t="shared" si="44"/>
        <v>TAMUK</v>
      </c>
      <c r="C213" s="18"/>
      <c r="D213" s="15">
        <f t="shared" si="45"/>
        <v>761.66666666666663</v>
      </c>
      <c r="E213" s="188">
        <f t="shared" si="46"/>
        <v>306.44388888888892</v>
      </c>
      <c r="F213" s="14">
        <f t="shared" si="47"/>
        <v>17.879499217527385</v>
      </c>
      <c r="G213" s="13">
        <f t="shared" si="45"/>
        <v>1763.4533333333395</v>
      </c>
      <c r="H213" s="15">
        <f t="shared" si="45"/>
        <v>260</v>
      </c>
      <c r="I213" s="13">
        <f t="shared" si="45"/>
        <v>16.666666666666668</v>
      </c>
      <c r="J213" s="16">
        <f t="shared" si="45"/>
        <v>255.33333333333334</v>
      </c>
      <c r="K213" s="16">
        <f t="shared" si="45"/>
        <v>648.33333333333337</v>
      </c>
      <c r="L213" s="15">
        <f t="shared" si="45"/>
        <v>1227.3333333333333</v>
      </c>
      <c r="M213" s="14">
        <f t="shared" si="45"/>
        <v>859.66666666666663</v>
      </c>
      <c r="N213" s="13">
        <f t="shared" si="45"/>
        <v>558.66666666666663</v>
      </c>
      <c r="O213" s="55"/>
    </row>
    <row r="214" spans="1:15" outlineLevel="1" x14ac:dyDescent="0.2">
      <c r="A214" s="27">
        <f t="shared" ref="A214:B229" si="48">A172</f>
        <v>103639</v>
      </c>
      <c r="B214" s="19" t="str">
        <f t="shared" si="48"/>
        <v>TAMUSA</v>
      </c>
      <c r="C214" s="18"/>
      <c r="D214" s="15">
        <f t="shared" ref="D214:N229" si="49">AVERAGE(D256,D298,D340)</f>
        <v>587.66666666666663</v>
      </c>
      <c r="E214" s="188">
        <f t="shared" si="46"/>
        <v>236.43788888888889</v>
      </c>
      <c r="F214" s="14">
        <f t="shared" si="47"/>
        <v>41.598502485370922</v>
      </c>
      <c r="G214" s="13">
        <f t="shared" si="49"/>
        <v>1026.0133333333379</v>
      </c>
      <c r="H214" s="15">
        <f t="shared" si="49"/>
        <v>5</v>
      </c>
      <c r="I214" s="13">
        <f t="shared" si="49"/>
        <v>2</v>
      </c>
      <c r="J214" s="16">
        <f t="shared" si="49"/>
        <v>339.33333333333331</v>
      </c>
      <c r="K214" s="16">
        <f t="shared" si="49"/>
        <v>490.33333333333331</v>
      </c>
      <c r="L214" s="15">
        <f t="shared" si="49"/>
        <v>729.66666666666663</v>
      </c>
      <c r="M214" s="14">
        <f t="shared" si="49"/>
        <v>77.333333333333329</v>
      </c>
      <c r="N214" s="13">
        <f t="shared" si="49"/>
        <v>2.6666666666666665</v>
      </c>
      <c r="O214" s="55"/>
    </row>
    <row r="215" spans="1:15" outlineLevel="1" x14ac:dyDescent="0.2">
      <c r="A215" s="20">
        <f t="shared" si="48"/>
        <v>9651</v>
      </c>
      <c r="B215" s="19" t="str">
        <f t="shared" si="48"/>
        <v>TAMI</v>
      </c>
      <c r="C215" s="18"/>
      <c r="D215" s="15">
        <f t="shared" si="49"/>
        <v>789.66666666666663</v>
      </c>
      <c r="E215" s="188">
        <f t="shared" si="46"/>
        <v>373.77555555555551</v>
      </c>
      <c r="F215" s="14">
        <f t="shared" si="47"/>
        <v>19.326154348180779</v>
      </c>
      <c r="G215" s="13">
        <f t="shared" si="49"/>
        <v>1458.4966666666717</v>
      </c>
      <c r="H215" s="15">
        <f t="shared" si="49"/>
        <v>115.66666666666667</v>
      </c>
      <c r="I215" s="13">
        <f t="shared" si="49"/>
        <v>22.333333333333332</v>
      </c>
      <c r="J215" s="16">
        <f t="shared" si="49"/>
        <v>389.66666666666669</v>
      </c>
      <c r="K215" s="16">
        <f t="shared" si="49"/>
        <v>712.66666666666663</v>
      </c>
      <c r="L215" s="15">
        <f t="shared" si="49"/>
        <v>1406.6666666666667</v>
      </c>
      <c r="M215" s="14">
        <f t="shared" si="49"/>
        <v>1015.6666666666666</v>
      </c>
      <c r="N215" s="13">
        <f t="shared" si="49"/>
        <v>473.66666666666669</v>
      </c>
      <c r="O215" s="55"/>
    </row>
    <row r="216" spans="1:15" outlineLevel="1" x14ac:dyDescent="0.2">
      <c r="A216" s="20">
        <f t="shared" si="48"/>
        <v>3665</v>
      </c>
      <c r="B216" s="19" t="str">
        <f t="shared" si="48"/>
        <v>WTAMU</v>
      </c>
      <c r="C216" s="18"/>
      <c r="D216" s="15">
        <f t="shared" si="49"/>
        <v>1255.6666666666667</v>
      </c>
      <c r="E216" s="188">
        <f t="shared" si="46"/>
        <v>591.00044444444438</v>
      </c>
      <c r="F216" s="14">
        <f t="shared" si="47"/>
        <v>23.187721854032869</v>
      </c>
      <c r="G216" s="13">
        <f t="shared" si="49"/>
        <v>2503.5766666666836</v>
      </c>
      <c r="H216" s="15">
        <f t="shared" si="49"/>
        <v>191.66666666666666</v>
      </c>
      <c r="I216" s="13">
        <f t="shared" si="49"/>
        <v>60.666666666666664</v>
      </c>
      <c r="J216" s="16">
        <f t="shared" si="49"/>
        <v>438.66666666666669</v>
      </c>
      <c r="K216" s="16">
        <f t="shared" si="49"/>
        <v>889.33333333333337</v>
      </c>
      <c r="L216" s="15">
        <f t="shared" si="49"/>
        <v>1791.6666666666667</v>
      </c>
      <c r="M216" s="14">
        <f t="shared" si="49"/>
        <v>1212.6666666666667</v>
      </c>
      <c r="N216" s="13">
        <f t="shared" si="49"/>
        <v>661.33333333333337</v>
      </c>
      <c r="O216" s="55"/>
    </row>
    <row r="217" spans="1:15" outlineLevel="1" x14ac:dyDescent="0.2">
      <c r="A217" s="20">
        <f t="shared" si="48"/>
        <v>3565</v>
      </c>
      <c r="B217" s="19" t="str">
        <f t="shared" si="48"/>
        <v>TAMUC</v>
      </c>
      <c r="C217" s="18"/>
      <c r="D217" s="15">
        <f t="shared" si="49"/>
        <v>1324.3333333333333</v>
      </c>
      <c r="E217" s="188">
        <f t="shared" si="46"/>
        <v>582.70666666666659</v>
      </c>
      <c r="F217" s="14">
        <f t="shared" si="47"/>
        <v>28.19543536269185</v>
      </c>
      <c r="G217" s="13">
        <f t="shared" si="49"/>
        <v>2501.8266666666914</v>
      </c>
      <c r="H217" s="15">
        <f t="shared" si="49"/>
        <v>73</v>
      </c>
      <c r="I217" s="13">
        <f t="shared" si="49"/>
        <v>74.333333333333329</v>
      </c>
      <c r="J217" s="16">
        <f t="shared" si="49"/>
        <v>753</v>
      </c>
      <c r="K217" s="16">
        <f t="shared" si="49"/>
        <v>1019.3333333333334</v>
      </c>
      <c r="L217" s="15">
        <f t="shared" si="49"/>
        <v>1893</v>
      </c>
      <c r="M217" s="14">
        <f t="shared" si="49"/>
        <v>1137.3333333333333</v>
      </c>
      <c r="N217" s="13">
        <f t="shared" si="49"/>
        <v>452.33333333333331</v>
      </c>
      <c r="O217" s="55"/>
    </row>
    <row r="218" spans="1:15" outlineLevel="1" x14ac:dyDescent="0.2">
      <c r="A218" s="20">
        <f t="shared" si="48"/>
        <v>29269</v>
      </c>
      <c r="B218" s="19" t="str">
        <f t="shared" si="48"/>
        <v>TAMUT</v>
      </c>
      <c r="C218" s="18"/>
      <c r="D218" s="15">
        <f t="shared" si="49"/>
        <v>345.66666666666669</v>
      </c>
      <c r="E218" s="188">
        <f t="shared" si="46"/>
        <v>187.3602625468375</v>
      </c>
      <c r="F218" s="14">
        <f t="shared" si="47"/>
        <v>38.766355140186917</v>
      </c>
      <c r="G218" s="13">
        <f t="shared" si="49"/>
        <v>619.90999999999826</v>
      </c>
      <c r="H218" s="15">
        <f t="shared" si="49"/>
        <v>41.666666666666664</v>
      </c>
      <c r="I218" s="13">
        <f t="shared" si="49"/>
        <v>19.333333333333332</v>
      </c>
      <c r="J218" s="16">
        <f t="shared" si="49"/>
        <v>218</v>
      </c>
      <c r="K218" s="16">
        <f t="shared" si="49"/>
        <v>239</v>
      </c>
      <c r="L218" s="15">
        <f t="shared" si="49"/>
        <v>432.66666666666669</v>
      </c>
      <c r="M218" s="14">
        <f t="shared" si="49"/>
        <v>181</v>
      </c>
      <c r="N218" s="13">
        <f t="shared" si="49"/>
        <v>0.66666666666666663</v>
      </c>
      <c r="O218" s="55"/>
    </row>
    <row r="219" spans="1:15" outlineLevel="1" x14ac:dyDescent="0.2">
      <c r="A219" s="20">
        <f t="shared" si="48"/>
        <v>3652</v>
      </c>
      <c r="B219" s="19" t="str">
        <f t="shared" si="48"/>
        <v>UH</v>
      </c>
      <c r="C219" s="18"/>
      <c r="D219" s="15">
        <f t="shared" si="49"/>
        <v>5098.666666666667</v>
      </c>
      <c r="E219" s="188">
        <f t="shared" si="46"/>
        <v>2734.5848888888891</v>
      </c>
      <c r="F219" s="14">
        <f t="shared" si="47"/>
        <v>21.425049678026625</v>
      </c>
      <c r="G219" s="13">
        <f t="shared" si="49"/>
        <v>10580.246666665944</v>
      </c>
      <c r="H219" s="15">
        <f t="shared" si="49"/>
        <v>737</v>
      </c>
      <c r="I219" s="13">
        <f t="shared" si="49"/>
        <v>62.666666666666664</v>
      </c>
      <c r="J219" s="16">
        <f t="shared" si="49"/>
        <v>1782.6666666666667</v>
      </c>
      <c r="K219" s="16">
        <f t="shared" si="49"/>
        <v>3373</v>
      </c>
      <c r="L219" s="15">
        <f t="shared" si="49"/>
        <v>7602.333333333333</v>
      </c>
      <c r="M219" s="14">
        <f t="shared" si="49"/>
        <v>5690.333333333333</v>
      </c>
      <c r="N219" s="13">
        <f t="shared" si="49"/>
        <v>3307.3333333333335</v>
      </c>
      <c r="O219" s="55"/>
    </row>
    <row r="220" spans="1:15" outlineLevel="1" x14ac:dyDescent="0.2">
      <c r="A220" s="20">
        <f t="shared" si="48"/>
        <v>11711</v>
      </c>
      <c r="B220" s="19" t="str">
        <f t="shared" si="48"/>
        <v>UHCL</v>
      </c>
      <c r="C220" s="18"/>
      <c r="D220" s="15">
        <f t="shared" si="49"/>
        <v>1190.6666666666667</v>
      </c>
      <c r="E220" s="188">
        <f t="shared" si="46"/>
        <v>619.34267935898833</v>
      </c>
      <c r="F220" s="14">
        <f t="shared" si="47"/>
        <v>39.693593314763234</v>
      </c>
      <c r="G220" s="13">
        <f t="shared" si="49"/>
        <v>2282.9533333333529</v>
      </c>
      <c r="H220" s="15">
        <f t="shared" si="49"/>
        <v>106.66666666666667</v>
      </c>
      <c r="I220" s="13">
        <f t="shared" si="49"/>
        <v>8.3333333333333339</v>
      </c>
      <c r="J220" s="16">
        <f t="shared" si="49"/>
        <v>806.66666666666663</v>
      </c>
      <c r="K220" s="16">
        <f t="shared" si="49"/>
        <v>774.33333333333337</v>
      </c>
      <c r="L220" s="15">
        <f t="shared" si="49"/>
        <v>1391.3333333333333</v>
      </c>
      <c r="M220" s="14">
        <f t="shared" si="49"/>
        <v>953.66666666666663</v>
      </c>
      <c r="N220" s="13">
        <f t="shared" si="49"/>
        <v>57</v>
      </c>
      <c r="O220" s="55"/>
    </row>
    <row r="221" spans="1:15" outlineLevel="1" x14ac:dyDescent="0.2">
      <c r="A221" s="20">
        <f t="shared" si="48"/>
        <v>12826</v>
      </c>
      <c r="B221" s="19" t="str">
        <f t="shared" si="48"/>
        <v>UHD</v>
      </c>
      <c r="C221" s="18"/>
      <c r="D221" s="15">
        <f t="shared" si="49"/>
        <v>2382.3333333333335</v>
      </c>
      <c r="E221" s="188">
        <f t="shared" si="46"/>
        <v>452.64333333333343</v>
      </c>
      <c r="F221" s="14">
        <f t="shared" si="47"/>
        <v>29.833031863086134</v>
      </c>
      <c r="G221" s="13">
        <f t="shared" si="49"/>
        <v>4271.3166666667212</v>
      </c>
      <c r="H221" s="15">
        <f t="shared" si="49"/>
        <v>129.66666666666666</v>
      </c>
      <c r="I221" s="13">
        <f t="shared" si="49"/>
        <v>1.6666666666666667</v>
      </c>
      <c r="J221" s="16">
        <f t="shared" si="49"/>
        <v>1049.3333333333333</v>
      </c>
      <c r="K221" s="16">
        <f t="shared" si="49"/>
        <v>1681</v>
      </c>
      <c r="L221" s="15">
        <f t="shared" si="49"/>
        <v>3105.3333333333335</v>
      </c>
      <c r="M221" s="14">
        <f t="shared" si="49"/>
        <v>1868.3333333333333</v>
      </c>
      <c r="N221" s="13">
        <f t="shared" si="49"/>
        <v>604.66666666666663</v>
      </c>
      <c r="O221" s="55"/>
    </row>
    <row r="222" spans="1:15" outlineLevel="1" x14ac:dyDescent="0.2">
      <c r="A222" s="20">
        <f t="shared" si="48"/>
        <v>13231</v>
      </c>
      <c r="B222" s="19" t="str">
        <f t="shared" si="48"/>
        <v>UHV</v>
      </c>
      <c r="C222" s="18"/>
      <c r="D222" s="15">
        <f t="shared" si="49"/>
        <v>576.66666666666663</v>
      </c>
      <c r="E222" s="188">
        <f t="shared" si="46"/>
        <v>300.19546283886069</v>
      </c>
      <c r="F222" s="14">
        <f t="shared" si="47"/>
        <v>40.08464889245883</v>
      </c>
      <c r="G222" s="13">
        <f t="shared" si="49"/>
        <v>1084.4800000000012</v>
      </c>
      <c r="H222" s="15">
        <f t="shared" si="49"/>
        <v>108</v>
      </c>
      <c r="I222" s="13">
        <f t="shared" si="49"/>
        <v>7.333333333333333</v>
      </c>
      <c r="J222" s="16">
        <f t="shared" si="49"/>
        <v>415.33333333333331</v>
      </c>
      <c r="K222" s="16">
        <f t="shared" si="49"/>
        <v>384</v>
      </c>
      <c r="L222" s="15">
        <f t="shared" si="49"/>
        <v>716</v>
      </c>
      <c r="M222" s="14">
        <f t="shared" si="49"/>
        <v>296.33333333333331</v>
      </c>
      <c r="N222" s="13">
        <f t="shared" si="49"/>
        <v>6.666666666666667</v>
      </c>
      <c r="O222" s="55"/>
    </row>
    <row r="223" spans="1:15" outlineLevel="1" x14ac:dyDescent="0.2">
      <c r="A223" s="20">
        <f t="shared" si="48"/>
        <v>3592</v>
      </c>
      <c r="B223" s="19" t="str">
        <f t="shared" si="48"/>
        <v>Midwestern</v>
      </c>
      <c r="C223" s="18"/>
      <c r="D223" s="15">
        <f t="shared" si="49"/>
        <v>1031.6666666666667</v>
      </c>
      <c r="E223" s="188">
        <f t="shared" si="46"/>
        <v>453.24555555555554</v>
      </c>
      <c r="F223" s="14">
        <f t="shared" si="47"/>
        <v>24.122522148034601</v>
      </c>
      <c r="G223" s="13">
        <f t="shared" si="49"/>
        <v>1962.0000000000034</v>
      </c>
      <c r="H223" s="15">
        <f t="shared" si="49"/>
        <v>333.33333333333331</v>
      </c>
      <c r="I223" s="13">
        <f t="shared" si="49"/>
        <v>15</v>
      </c>
      <c r="J223" s="16">
        <f t="shared" si="49"/>
        <v>251.33333333333334</v>
      </c>
      <c r="K223" s="16">
        <f t="shared" si="49"/>
        <v>690.33333333333337</v>
      </c>
      <c r="L223" s="15">
        <f t="shared" si="49"/>
        <v>1438</v>
      </c>
      <c r="M223" s="14">
        <f t="shared" si="49"/>
        <v>1046</v>
      </c>
      <c r="N223" s="13">
        <f t="shared" si="49"/>
        <v>679.66666666666663</v>
      </c>
      <c r="O223" s="55"/>
    </row>
    <row r="224" spans="1:15" outlineLevel="1" x14ac:dyDescent="0.2">
      <c r="A224" s="20">
        <f t="shared" si="48"/>
        <v>3594</v>
      </c>
      <c r="B224" s="19" t="str">
        <f t="shared" si="48"/>
        <v>UNT</v>
      </c>
      <c r="C224" s="18"/>
      <c r="D224" s="15">
        <f t="shared" si="49"/>
        <v>6016.666666666667</v>
      </c>
      <c r="E224" s="188">
        <f t="shared" si="46"/>
        <v>3467.6055555555558</v>
      </c>
      <c r="F224" s="14">
        <f t="shared" si="47"/>
        <v>25.886944566084125</v>
      </c>
      <c r="G224" s="13">
        <f t="shared" si="49"/>
        <v>11411.553333332529</v>
      </c>
      <c r="H224" s="15">
        <f t="shared" si="49"/>
        <v>336.66666666666669</v>
      </c>
      <c r="I224" s="13">
        <f t="shared" si="49"/>
        <v>43.333333333333336</v>
      </c>
      <c r="J224" s="16">
        <f t="shared" si="49"/>
        <v>2290</v>
      </c>
      <c r="K224" s="16">
        <f t="shared" si="49"/>
        <v>3820</v>
      </c>
      <c r="L224" s="15">
        <f t="shared" si="49"/>
        <v>7864.666666666667</v>
      </c>
      <c r="M224" s="14">
        <f t="shared" si="49"/>
        <v>5642.333333333333</v>
      </c>
      <c r="N224" s="13">
        <f t="shared" si="49"/>
        <v>3337</v>
      </c>
      <c r="O224" s="55"/>
    </row>
    <row r="225" spans="1:15" outlineLevel="1" x14ac:dyDescent="0.2">
      <c r="A225" s="27">
        <f t="shared" si="48"/>
        <v>113594</v>
      </c>
      <c r="B225" s="19" t="str">
        <f t="shared" si="48"/>
        <v>UNTD</v>
      </c>
      <c r="C225" s="18"/>
      <c r="D225" s="15">
        <f t="shared" si="49"/>
        <v>403.5</v>
      </c>
      <c r="E225" s="188">
        <f t="shared" si="46"/>
        <v>233.02125000000001</v>
      </c>
      <c r="F225" s="14">
        <f t="shared" si="47"/>
        <v>42.647266065388948</v>
      </c>
      <c r="G225" s="13">
        <f t="shared" si="49"/>
        <v>705.85999999999717</v>
      </c>
      <c r="H225" s="15">
        <f t="shared" si="49"/>
        <v>12</v>
      </c>
      <c r="I225" s="13">
        <f t="shared" si="49"/>
        <v>0</v>
      </c>
      <c r="J225" s="16">
        <f t="shared" si="49"/>
        <v>0</v>
      </c>
      <c r="K225" s="16">
        <f t="shared" si="49"/>
        <v>308.5</v>
      </c>
      <c r="L225" s="15">
        <f t="shared" si="49"/>
        <v>478</v>
      </c>
      <c r="M225" s="14">
        <f t="shared" si="49"/>
        <v>71.5</v>
      </c>
      <c r="N225" s="13">
        <f t="shared" si="49"/>
        <v>11</v>
      </c>
      <c r="O225" s="55"/>
    </row>
    <row r="226" spans="1:15" outlineLevel="1" x14ac:dyDescent="0.2">
      <c r="A226" s="20">
        <f t="shared" si="48"/>
        <v>3624</v>
      </c>
      <c r="B226" s="19" t="str">
        <f t="shared" si="48"/>
        <v>SFA</v>
      </c>
      <c r="C226" s="18"/>
      <c r="D226" s="15">
        <f t="shared" si="49"/>
        <v>1921.6666666666667</v>
      </c>
      <c r="E226" s="188">
        <f t="shared" si="46"/>
        <v>1064.6033333333332</v>
      </c>
      <c r="F226" s="14">
        <f t="shared" si="47"/>
        <v>20.257544310083915</v>
      </c>
      <c r="G226" s="13">
        <f t="shared" si="49"/>
        <v>3721.736666666669</v>
      </c>
      <c r="H226" s="15">
        <f t="shared" si="49"/>
        <v>248</v>
      </c>
      <c r="I226" s="13">
        <f t="shared" si="49"/>
        <v>44.666666666666664</v>
      </c>
      <c r="J226" s="16">
        <f t="shared" si="49"/>
        <v>563.33333333333337</v>
      </c>
      <c r="K226" s="16">
        <f t="shared" si="49"/>
        <v>1460.3333333333333</v>
      </c>
      <c r="L226" s="15">
        <f t="shared" si="49"/>
        <v>2769.3333333333335</v>
      </c>
      <c r="M226" s="14">
        <f t="shared" si="49"/>
        <v>2075</v>
      </c>
      <c r="N226" s="13">
        <f t="shared" si="49"/>
        <v>1397.3333333333333</v>
      </c>
      <c r="O226" s="55"/>
    </row>
    <row r="227" spans="1:15" outlineLevel="1" x14ac:dyDescent="0.2">
      <c r="A227" s="20">
        <f t="shared" si="48"/>
        <v>3642</v>
      </c>
      <c r="B227" s="19" t="str">
        <f t="shared" si="48"/>
        <v>TSU</v>
      </c>
      <c r="C227" s="18"/>
      <c r="D227" s="15">
        <f t="shared" si="49"/>
        <v>758.33333333333337</v>
      </c>
      <c r="E227" s="188">
        <f t="shared" si="46"/>
        <v>108.94722222222221</v>
      </c>
      <c r="F227" s="14">
        <f t="shared" si="47"/>
        <v>12.933681010892716</v>
      </c>
      <c r="G227" s="13">
        <f t="shared" si="49"/>
        <v>1488.6533333333352</v>
      </c>
      <c r="H227" s="15">
        <f t="shared" si="49"/>
        <v>134.33333333333334</v>
      </c>
      <c r="I227" s="13">
        <f t="shared" si="49"/>
        <v>3</v>
      </c>
      <c r="J227" s="16">
        <f t="shared" si="49"/>
        <v>113</v>
      </c>
      <c r="K227" s="16">
        <f t="shared" si="49"/>
        <v>666.33333333333337</v>
      </c>
      <c r="L227" s="15">
        <f t="shared" si="49"/>
        <v>1637.3333333333333</v>
      </c>
      <c r="M227" s="14">
        <f t="shared" si="49"/>
        <v>1133</v>
      </c>
      <c r="N227" s="13">
        <f t="shared" si="49"/>
        <v>848.66666666666663</v>
      </c>
      <c r="O227" s="55"/>
    </row>
    <row r="228" spans="1:15" outlineLevel="1" x14ac:dyDescent="0.2">
      <c r="A228" s="20">
        <f t="shared" si="48"/>
        <v>3644</v>
      </c>
      <c r="B228" s="19" t="str">
        <f t="shared" si="48"/>
        <v>TTU</v>
      </c>
      <c r="C228" s="18"/>
      <c r="D228" s="15">
        <f t="shared" si="49"/>
        <v>4674</v>
      </c>
      <c r="E228" s="188">
        <f t="shared" si="46"/>
        <v>3421.3679999999995</v>
      </c>
      <c r="F228" s="14">
        <f t="shared" si="47"/>
        <v>21.061243127033354</v>
      </c>
      <c r="G228" s="13">
        <f t="shared" si="49"/>
        <v>10128.113333332682</v>
      </c>
      <c r="H228" s="15">
        <f t="shared" si="49"/>
        <v>727.33333333333337</v>
      </c>
      <c r="I228" s="13">
        <f t="shared" si="49"/>
        <v>57.333333333333336</v>
      </c>
      <c r="J228" s="16">
        <f t="shared" si="49"/>
        <v>1123.6666666666667</v>
      </c>
      <c r="K228" s="16">
        <f t="shared" si="49"/>
        <v>2778</v>
      </c>
      <c r="L228" s="15">
        <f t="shared" si="49"/>
        <v>6485.333333333333</v>
      </c>
      <c r="M228" s="14">
        <f t="shared" si="49"/>
        <v>5278.333333333333</v>
      </c>
      <c r="N228" s="13">
        <f t="shared" si="49"/>
        <v>3945.6666666666665</v>
      </c>
      <c r="O228" s="55"/>
    </row>
    <row r="229" spans="1:15" outlineLevel="1" x14ac:dyDescent="0.2">
      <c r="A229" s="20">
        <f t="shared" si="48"/>
        <v>3541</v>
      </c>
      <c r="B229" s="19" t="str">
        <f t="shared" si="48"/>
        <v>Angelo</v>
      </c>
      <c r="C229" s="18"/>
      <c r="D229" s="15">
        <f t="shared" si="49"/>
        <v>991.33333333333337</v>
      </c>
      <c r="E229" s="188">
        <f t="shared" si="46"/>
        <v>425.94288888888889</v>
      </c>
      <c r="F229" s="14">
        <f t="shared" si="47"/>
        <v>20.305700708264297</v>
      </c>
      <c r="G229" s="13">
        <f t="shared" si="49"/>
        <v>1977.3500000000051</v>
      </c>
      <c r="H229" s="15">
        <f t="shared" si="49"/>
        <v>254.33333333333334</v>
      </c>
      <c r="I229" s="13">
        <f t="shared" si="49"/>
        <v>19.333333333333332</v>
      </c>
      <c r="J229" s="16">
        <f t="shared" si="49"/>
        <v>194.33333333333334</v>
      </c>
      <c r="K229" s="16">
        <f t="shared" si="49"/>
        <v>723</v>
      </c>
      <c r="L229" s="15">
        <f t="shared" si="49"/>
        <v>1438.6666666666667</v>
      </c>
      <c r="M229" s="14">
        <f t="shared" si="49"/>
        <v>1033.6666666666667</v>
      </c>
      <c r="N229" s="13">
        <f t="shared" si="49"/>
        <v>707.66666666666663</v>
      </c>
      <c r="O229" s="55"/>
    </row>
    <row r="230" spans="1:15" outlineLevel="1" x14ac:dyDescent="0.2">
      <c r="A230" s="20">
        <f t="shared" ref="A230:B235" si="50">A188</f>
        <v>3646</v>
      </c>
      <c r="B230" s="19" t="str">
        <f t="shared" si="50"/>
        <v>TWU</v>
      </c>
      <c r="C230" s="18"/>
      <c r="D230" s="15">
        <f t="shared" ref="D230:N235" si="51">AVERAGE(D272,D314,D356)</f>
        <v>1806</v>
      </c>
      <c r="E230" s="188">
        <f t="shared" si="46"/>
        <v>945.74200000000008</v>
      </c>
      <c r="F230" s="14">
        <f t="shared" si="47"/>
        <v>27.545604295039961</v>
      </c>
      <c r="G230" s="13">
        <f t="shared" si="51"/>
        <v>3452.1766666666658</v>
      </c>
      <c r="H230" s="15">
        <f t="shared" si="51"/>
        <v>569.33333333333337</v>
      </c>
      <c r="I230" s="13">
        <f t="shared" si="51"/>
        <v>31.666666666666668</v>
      </c>
      <c r="J230" s="16">
        <f t="shared" si="51"/>
        <v>803.33333333333337</v>
      </c>
      <c r="K230" s="16">
        <f t="shared" si="51"/>
        <v>1247</v>
      </c>
      <c r="L230" s="15">
        <f t="shared" si="51"/>
        <v>2196</v>
      </c>
      <c r="M230" s="14">
        <f t="shared" si="51"/>
        <v>1292.3333333333333</v>
      </c>
      <c r="N230" s="13">
        <f t="shared" si="51"/>
        <v>659.66666666666663</v>
      </c>
      <c r="O230" s="55"/>
    </row>
    <row r="231" spans="1:15" outlineLevel="1" x14ac:dyDescent="0.2">
      <c r="A231" s="20">
        <f t="shared" si="50"/>
        <v>3581</v>
      </c>
      <c r="B231" s="19" t="str">
        <f t="shared" si="50"/>
        <v>Lamar</v>
      </c>
      <c r="C231" s="18"/>
      <c r="D231" s="15">
        <f t="shared" si="51"/>
        <v>1335.3333333333333</v>
      </c>
      <c r="E231" s="188">
        <f t="shared" si="46"/>
        <v>467.81177777777776</v>
      </c>
      <c r="F231" s="14">
        <f t="shared" si="47"/>
        <v>18.354929164452098</v>
      </c>
      <c r="G231" s="13">
        <f t="shared" si="51"/>
        <v>2684.9000000000165</v>
      </c>
      <c r="H231" s="15">
        <f t="shared" si="51"/>
        <v>330</v>
      </c>
      <c r="I231" s="13">
        <f t="shared" si="51"/>
        <v>17</v>
      </c>
      <c r="J231" s="16">
        <f t="shared" si="51"/>
        <v>233.66666666666666</v>
      </c>
      <c r="K231" s="16">
        <f t="shared" si="51"/>
        <v>948.66666666666663</v>
      </c>
      <c r="L231" s="15">
        <f t="shared" si="51"/>
        <v>2144.6666666666665</v>
      </c>
      <c r="M231" s="14">
        <f t="shared" si="51"/>
        <v>1489</v>
      </c>
      <c r="N231" s="13">
        <f t="shared" si="51"/>
        <v>1011</v>
      </c>
      <c r="O231" s="55"/>
    </row>
    <row r="232" spans="1:15" outlineLevel="1" x14ac:dyDescent="0.2">
      <c r="A232" s="20">
        <f t="shared" si="50"/>
        <v>3606</v>
      </c>
      <c r="B232" s="19" t="str">
        <f t="shared" si="50"/>
        <v>SHSU</v>
      </c>
      <c r="C232" s="18"/>
      <c r="D232" s="15">
        <f t="shared" si="51"/>
        <v>3077.6666666666665</v>
      </c>
      <c r="E232" s="188">
        <f t="shared" si="46"/>
        <v>1805.5644444444445</v>
      </c>
      <c r="F232" s="14">
        <f t="shared" si="47"/>
        <v>24.475654239301015</v>
      </c>
      <c r="G232" s="13">
        <f t="shared" si="51"/>
        <v>5837.0766666667887</v>
      </c>
      <c r="H232" s="15">
        <f t="shared" si="51"/>
        <v>167</v>
      </c>
      <c r="I232" s="13">
        <f t="shared" si="51"/>
        <v>61</v>
      </c>
      <c r="J232" s="16">
        <f t="shared" si="51"/>
        <v>1281.6666666666667</v>
      </c>
      <c r="K232" s="16">
        <f t="shared" si="51"/>
        <v>2213.6666666666665</v>
      </c>
      <c r="L232" s="15">
        <f t="shared" si="51"/>
        <v>3894.3333333333335</v>
      </c>
      <c r="M232" s="14">
        <f t="shared" si="51"/>
        <v>2965.3333333333335</v>
      </c>
      <c r="N232" s="13">
        <f t="shared" si="51"/>
        <v>1763.3333333333333</v>
      </c>
    </row>
    <row r="233" spans="1:15" outlineLevel="1" x14ac:dyDescent="0.2">
      <c r="A233" s="20">
        <f t="shared" si="50"/>
        <v>3615</v>
      </c>
      <c r="B233" s="19" t="str">
        <f t="shared" si="50"/>
        <v>TXST</v>
      </c>
      <c r="C233" s="18"/>
      <c r="D233" s="15">
        <f t="shared" si="51"/>
        <v>5361</v>
      </c>
      <c r="E233" s="188">
        <f t="shared" si="46"/>
        <v>3393.5129999999999</v>
      </c>
      <c r="F233" s="14">
        <f t="shared" si="47"/>
        <v>23.406891519786395</v>
      </c>
      <c r="G233" s="13">
        <f t="shared" si="51"/>
        <v>10437.309999999357</v>
      </c>
      <c r="H233" s="15">
        <f t="shared" si="51"/>
        <v>488.66666666666669</v>
      </c>
      <c r="I233" s="13">
        <f t="shared" si="51"/>
        <v>66.666666666666671</v>
      </c>
      <c r="J233" s="16">
        <f t="shared" si="51"/>
        <v>2011.6666666666667</v>
      </c>
      <c r="K233" s="16">
        <f t="shared" si="51"/>
        <v>3675.3333333333335</v>
      </c>
      <c r="L233" s="15">
        <f t="shared" si="51"/>
        <v>7470.333333333333</v>
      </c>
      <c r="M233" s="14">
        <f t="shared" si="51"/>
        <v>5579</v>
      </c>
      <c r="N233" s="13">
        <f t="shared" si="51"/>
        <v>3317.3333333333335</v>
      </c>
    </row>
    <row r="234" spans="1:15" outlineLevel="1" x14ac:dyDescent="0.2">
      <c r="A234" s="20">
        <f t="shared" si="50"/>
        <v>3625</v>
      </c>
      <c r="B234" s="19" t="str">
        <f t="shared" si="50"/>
        <v>SRSU</v>
      </c>
      <c r="C234" s="18"/>
      <c r="D234" s="15">
        <f t="shared" si="51"/>
        <v>189.33333333333334</v>
      </c>
      <c r="E234" s="188">
        <f t="shared" si="46"/>
        <v>56.989333333333335</v>
      </c>
      <c r="F234" s="14">
        <f t="shared" si="47"/>
        <v>15.518843008324076</v>
      </c>
      <c r="G234" s="13">
        <f t="shared" si="51"/>
        <v>394.32999999999964</v>
      </c>
      <c r="H234" s="15">
        <f t="shared" si="51"/>
        <v>12.666666666666666</v>
      </c>
      <c r="I234" s="13">
        <f t="shared" si="51"/>
        <v>6.333333333333333</v>
      </c>
      <c r="J234" s="16">
        <f t="shared" si="51"/>
        <v>43.333333333333336</v>
      </c>
      <c r="K234" s="16">
        <f t="shared" si="51"/>
        <v>163</v>
      </c>
      <c r="L234" s="15">
        <f t="shared" si="51"/>
        <v>300</v>
      </c>
      <c r="M234" s="14">
        <f t="shared" si="51"/>
        <v>193.66666666666666</v>
      </c>
      <c r="N234" s="13">
        <f t="shared" si="51"/>
        <v>131.66666666666666</v>
      </c>
      <c r="O234" s="41"/>
    </row>
    <row r="235" spans="1:15" outlineLevel="1" x14ac:dyDescent="0.2">
      <c r="A235" s="20">
        <f t="shared" si="50"/>
        <v>20</v>
      </c>
      <c r="B235" s="19" t="str">
        <f t="shared" si="50"/>
        <v>SRRG</v>
      </c>
      <c r="C235" s="18"/>
      <c r="D235" s="15">
        <f t="shared" si="51"/>
        <v>161.66666666666666</v>
      </c>
      <c r="E235" s="188">
        <f t="shared" si="46"/>
        <v>51.365976618337754</v>
      </c>
      <c r="F235" s="14">
        <f t="shared" si="47"/>
        <v>36.596408270033706</v>
      </c>
      <c r="G235" s="13">
        <f t="shared" si="51"/>
        <v>279.16999999999979</v>
      </c>
      <c r="H235" s="15">
        <f t="shared" si="51"/>
        <v>6.333333333333333</v>
      </c>
      <c r="I235" s="13">
        <f t="shared" si="51"/>
        <v>5.666666666666667</v>
      </c>
      <c r="J235" s="16">
        <f t="shared" si="51"/>
        <v>115</v>
      </c>
      <c r="K235" s="16">
        <f t="shared" si="51"/>
        <v>144</v>
      </c>
      <c r="L235" s="15">
        <f t="shared" si="51"/>
        <v>230</v>
      </c>
      <c r="M235" s="14">
        <f t="shared" si="51"/>
        <v>92.666666666666671</v>
      </c>
      <c r="N235" s="13">
        <f t="shared" si="51"/>
        <v>4.333333333333333</v>
      </c>
    </row>
    <row r="236" spans="1:15" ht="13.5" outlineLevel="1" thickBot="1" x14ac:dyDescent="0.25">
      <c r="A236" s="12"/>
      <c r="B236" s="11" t="s">
        <v>11</v>
      </c>
      <c r="C236" s="10"/>
      <c r="D236" s="9">
        <f>SUM(D198:D235)</f>
        <v>84315.833333333314</v>
      </c>
      <c r="E236" s="210">
        <f>SUM(E198:E235)</f>
        <v>49031.80588920939</v>
      </c>
      <c r="F236" s="7">
        <f t="shared" ref="F236:N236" si="52">SUM(F198:F235)</f>
        <v>1017.4700431877567</v>
      </c>
      <c r="G236" s="3">
        <f t="shared" si="52"/>
        <v>172461.13999999844</v>
      </c>
      <c r="H236" s="5">
        <f t="shared" si="52"/>
        <v>13953.333333333332</v>
      </c>
      <c r="I236" s="3">
        <f t="shared" si="52"/>
        <v>1198.3333333333335</v>
      </c>
      <c r="J236" s="6">
        <f t="shared" si="52"/>
        <v>29136.333333333332</v>
      </c>
      <c r="K236" s="6">
        <f t="shared" si="52"/>
        <v>54446.500000000007</v>
      </c>
      <c r="L236" s="5">
        <f t="shared" si="52"/>
        <v>114212.66666666664</v>
      </c>
      <c r="M236" s="4">
        <f t="shared" si="52"/>
        <v>82344.5</v>
      </c>
      <c r="N236" s="3">
        <f t="shared" si="52"/>
        <v>50801.999999999993</v>
      </c>
    </row>
    <row r="237" spans="1:15" ht="13.5" thickBot="1" x14ac:dyDescent="0.25">
      <c r="A237" s="45" t="s">
        <v>27</v>
      </c>
      <c r="B237" s="45"/>
      <c r="C237" s="45"/>
      <c r="D237" s="54"/>
      <c r="F237" s="54"/>
      <c r="K237" s="54"/>
    </row>
    <row r="238" spans="1:15" ht="12.75" customHeight="1" outlineLevel="1" x14ac:dyDescent="0.2">
      <c r="A238" s="273" t="s">
        <v>24</v>
      </c>
      <c r="B238" s="275" t="s">
        <v>23</v>
      </c>
      <c r="C238" s="277"/>
      <c r="D238" s="306" t="s">
        <v>22</v>
      </c>
      <c r="E238" s="301" t="s">
        <v>21</v>
      </c>
      <c r="F238" s="275" t="s">
        <v>20</v>
      </c>
      <c r="G238" s="297" t="s">
        <v>19</v>
      </c>
      <c r="H238" s="299" t="s">
        <v>18</v>
      </c>
      <c r="I238" s="291" t="s">
        <v>17</v>
      </c>
      <c r="J238" s="212"/>
      <c r="K238" s="293" t="s">
        <v>16</v>
      </c>
      <c r="L238" s="295" t="s">
        <v>15</v>
      </c>
      <c r="M238" s="296"/>
      <c r="N238" s="296"/>
    </row>
    <row r="239" spans="1:15" s="41" customFormat="1" ht="36" customHeight="1" outlineLevel="1" thickBot="1" x14ac:dyDescent="0.25">
      <c r="A239" s="274"/>
      <c r="B239" s="276"/>
      <c r="C239" s="278"/>
      <c r="D239" s="307"/>
      <c r="E239" s="302"/>
      <c r="F239" s="276"/>
      <c r="G239" s="298"/>
      <c r="H239" s="300"/>
      <c r="I239" s="292"/>
      <c r="J239" s="213" t="s">
        <v>127</v>
      </c>
      <c r="K239" s="294"/>
      <c r="L239" s="44" t="s">
        <v>14</v>
      </c>
      <c r="M239" s="43" t="s">
        <v>13</v>
      </c>
      <c r="N239" s="42" t="s">
        <v>12</v>
      </c>
      <c r="O239" s="1"/>
    </row>
    <row r="240" spans="1:15" outlineLevel="1" x14ac:dyDescent="0.2">
      <c r="A240" s="40">
        <f t="shared" ref="A240:B255" si="53">A198</f>
        <v>3656</v>
      </c>
      <c r="B240" s="39" t="str">
        <f t="shared" si="53"/>
        <v>UTA</v>
      </c>
      <c r="C240" s="38"/>
      <c r="D240" s="33">
        <v>5773</v>
      </c>
      <c r="E240" s="37">
        <v>0.55500000000000005</v>
      </c>
      <c r="F240" s="32">
        <v>17781.466666666667</v>
      </c>
      <c r="G240" s="51">
        <v>12087.560000000249</v>
      </c>
      <c r="H240" s="36">
        <v>2140</v>
      </c>
      <c r="I240" s="35">
        <v>43</v>
      </c>
      <c r="J240" s="215">
        <v>2471</v>
      </c>
      <c r="K240" s="34">
        <v>3528</v>
      </c>
      <c r="L240" s="53">
        <v>6893</v>
      </c>
      <c r="M240" s="52">
        <v>3962</v>
      </c>
      <c r="N240" s="51">
        <v>1894</v>
      </c>
    </row>
    <row r="241" spans="1:14" outlineLevel="1" x14ac:dyDescent="0.2">
      <c r="A241" s="20">
        <f t="shared" si="53"/>
        <v>3658</v>
      </c>
      <c r="B241" s="19" t="str">
        <f t="shared" si="53"/>
        <v>UT</v>
      </c>
      <c r="C241" s="18"/>
      <c r="D241" s="15">
        <v>8860</v>
      </c>
      <c r="E241" s="21">
        <v>0.82499999999999996</v>
      </c>
      <c r="F241" s="14">
        <v>33841.466666666667</v>
      </c>
      <c r="G241" s="28">
        <v>19542.67999999996</v>
      </c>
      <c r="H241" s="15">
        <v>1981</v>
      </c>
      <c r="I241" s="13">
        <v>83</v>
      </c>
      <c r="J241" s="214">
        <v>1223</v>
      </c>
      <c r="K241" s="16">
        <v>3501</v>
      </c>
      <c r="L241" s="30">
        <v>9260</v>
      </c>
      <c r="M241" s="29">
        <v>8373</v>
      </c>
      <c r="N241" s="28">
        <v>6348</v>
      </c>
    </row>
    <row r="242" spans="1:14" outlineLevel="1" x14ac:dyDescent="0.2">
      <c r="A242" s="20">
        <f t="shared" si="53"/>
        <v>9741</v>
      </c>
      <c r="B242" s="19" t="str">
        <f t="shared" si="53"/>
        <v>UTD</v>
      </c>
      <c r="C242" s="18"/>
      <c r="D242" s="15">
        <v>2510</v>
      </c>
      <c r="E242" s="21">
        <v>0.71900000000000008</v>
      </c>
      <c r="F242" s="14">
        <v>9826.5333333333328</v>
      </c>
      <c r="G242" s="28">
        <v>5443.8700000002518</v>
      </c>
      <c r="H242" s="15">
        <v>449</v>
      </c>
      <c r="I242" s="13">
        <v>33</v>
      </c>
      <c r="J242" s="214">
        <v>1107</v>
      </c>
      <c r="K242" s="16">
        <v>1410</v>
      </c>
      <c r="L242" s="30">
        <v>3522</v>
      </c>
      <c r="M242" s="29">
        <v>2348</v>
      </c>
      <c r="N242" s="28">
        <v>1065</v>
      </c>
    </row>
    <row r="243" spans="1:14" outlineLevel="1" x14ac:dyDescent="0.2">
      <c r="A243" s="20">
        <f t="shared" si="53"/>
        <v>3661</v>
      </c>
      <c r="B243" s="19" t="str">
        <f t="shared" si="53"/>
        <v>UTEP</v>
      </c>
      <c r="C243" s="18"/>
      <c r="D243" s="15">
        <v>3132</v>
      </c>
      <c r="E243" s="21">
        <v>0.41200000000000003</v>
      </c>
      <c r="F243" s="14">
        <v>13931.066666666668</v>
      </c>
      <c r="G243" s="28">
        <v>6456.0600000003096</v>
      </c>
      <c r="H243" s="15">
        <v>643</v>
      </c>
      <c r="I243" s="13">
        <v>86</v>
      </c>
      <c r="J243" s="214">
        <v>1212</v>
      </c>
      <c r="K243" s="16">
        <v>2590</v>
      </c>
      <c r="L243" s="30">
        <v>4400</v>
      </c>
      <c r="M243" s="29">
        <v>3304</v>
      </c>
      <c r="N243" s="28">
        <v>1986</v>
      </c>
    </row>
    <row r="244" spans="1:14" outlineLevel="1" x14ac:dyDescent="0.2">
      <c r="A244" s="20">
        <f t="shared" si="53"/>
        <v>3599</v>
      </c>
      <c r="B244" s="19" t="str">
        <f t="shared" si="53"/>
        <v>UTPA</v>
      </c>
      <c r="C244" s="18"/>
      <c r="D244" s="15">
        <v>2462</v>
      </c>
      <c r="E244" s="21">
        <v>0.44</v>
      </c>
      <c r="F244" s="14">
        <v>12698.333333333334</v>
      </c>
      <c r="G244" s="28">
        <v>5000.2800000001325</v>
      </c>
      <c r="H244" s="15">
        <v>547</v>
      </c>
      <c r="I244" s="13">
        <v>19</v>
      </c>
      <c r="J244" s="214">
        <v>876</v>
      </c>
      <c r="K244" s="16">
        <v>2247</v>
      </c>
      <c r="L244" s="30">
        <v>3730</v>
      </c>
      <c r="M244" s="29">
        <v>2862</v>
      </c>
      <c r="N244" s="28">
        <v>1896</v>
      </c>
    </row>
    <row r="245" spans="1:14" outlineLevel="1" x14ac:dyDescent="0.2">
      <c r="A245" s="20">
        <f t="shared" si="53"/>
        <v>30646</v>
      </c>
      <c r="B245" s="19" t="str">
        <f t="shared" si="53"/>
        <v>UTB</v>
      </c>
      <c r="C245" s="18"/>
      <c r="D245" s="15">
        <v>1149</v>
      </c>
      <c r="E245" s="17">
        <v>0.52783109404990403</v>
      </c>
      <c r="F245" s="14">
        <v>3400.5333333333333</v>
      </c>
      <c r="G245" s="28">
        <v>2236.3100000000127</v>
      </c>
      <c r="H245" s="15">
        <v>133</v>
      </c>
      <c r="I245" s="13">
        <v>21</v>
      </c>
      <c r="J245" s="214">
        <v>910</v>
      </c>
      <c r="K245" s="16">
        <v>978</v>
      </c>
      <c r="L245" s="30">
        <v>1243</v>
      </c>
      <c r="M245" s="29">
        <v>486</v>
      </c>
      <c r="N245" s="28">
        <v>99</v>
      </c>
    </row>
    <row r="246" spans="1:14" outlineLevel="1" x14ac:dyDescent="0.2">
      <c r="A246" s="20">
        <f t="shared" si="53"/>
        <v>9930</v>
      </c>
      <c r="B246" s="19" t="str">
        <f t="shared" si="53"/>
        <v>UTPB</v>
      </c>
      <c r="C246" s="18"/>
      <c r="D246" s="15">
        <v>546</v>
      </c>
      <c r="E246" s="21">
        <v>0.47899999999999998</v>
      </c>
      <c r="F246" s="14">
        <v>2343.2666666666669</v>
      </c>
      <c r="G246" s="28">
        <v>1054.6599999999951</v>
      </c>
      <c r="H246" s="15">
        <v>51</v>
      </c>
      <c r="I246" s="13">
        <v>7</v>
      </c>
      <c r="J246" s="214">
        <v>248</v>
      </c>
      <c r="K246" s="16">
        <v>411</v>
      </c>
      <c r="L246" s="30">
        <v>742</v>
      </c>
      <c r="M246" s="29">
        <v>535</v>
      </c>
      <c r="N246" s="28">
        <v>210</v>
      </c>
    </row>
    <row r="247" spans="1:14" outlineLevel="1" x14ac:dyDescent="0.2">
      <c r="A247" s="20">
        <f t="shared" si="53"/>
        <v>10115</v>
      </c>
      <c r="B247" s="19" t="str">
        <f t="shared" si="53"/>
        <v>UTSA</v>
      </c>
      <c r="C247" s="18"/>
      <c r="D247" s="15">
        <v>4243</v>
      </c>
      <c r="E247" s="21">
        <v>0.43099999999999999</v>
      </c>
      <c r="F247" s="14">
        <v>21066.866666666665</v>
      </c>
      <c r="G247" s="28">
        <v>8736.7000000001954</v>
      </c>
      <c r="H247" s="15">
        <v>407</v>
      </c>
      <c r="I247" s="13">
        <v>63</v>
      </c>
      <c r="J247" s="214">
        <v>1404</v>
      </c>
      <c r="K247" s="16">
        <v>3204</v>
      </c>
      <c r="L247" s="30">
        <v>6815</v>
      </c>
      <c r="M247" s="29">
        <v>4371</v>
      </c>
      <c r="N247" s="28">
        <v>2560</v>
      </c>
    </row>
    <row r="248" spans="1:14" outlineLevel="1" x14ac:dyDescent="0.2">
      <c r="A248" s="20">
        <f t="shared" si="53"/>
        <v>11163</v>
      </c>
      <c r="B248" s="19" t="str">
        <f t="shared" si="53"/>
        <v>UTT</v>
      </c>
      <c r="C248" s="18"/>
      <c r="D248" s="15">
        <v>1144</v>
      </c>
      <c r="E248" s="21">
        <v>0.51800000000000002</v>
      </c>
      <c r="F248" s="14">
        <v>4086.7333333333331</v>
      </c>
      <c r="G248" s="28">
        <v>2263.8699999999944</v>
      </c>
      <c r="H248" s="15">
        <v>392</v>
      </c>
      <c r="I248" s="13">
        <v>23</v>
      </c>
      <c r="J248" s="214">
        <v>599</v>
      </c>
      <c r="K248" s="16">
        <v>886</v>
      </c>
      <c r="L248" s="30">
        <v>1409</v>
      </c>
      <c r="M248" s="29">
        <v>844</v>
      </c>
      <c r="N248" s="28">
        <v>383</v>
      </c>
    </row>
    <row r="249" spans="1:14" outlineLevel="1" x14ac:dyDescent="0.2">
      <c r="A249" s="20">
        <f t="shared" si="53"/>
        <v>3632</v>
      </c>
      <c r="B249" s="19" t="str">
        <f t="shared" si="53"/>
        <v>TAMU</v>
      </c>
      <c r="C249" s="18"/>
      <c r="D249" s="15">
        <v>9020</v>
      </c>
      <c r="E249" s="21">
        <v>0.84200000000000008</v>
      </c>
      <c r="F249" s="14">
        <v>35116.666666666664</v>
      </c>
      <c r="G249" s="28">
        <v>21108.189999999984</v>
      </c>
      <c r="H249" s="15">
        <v>1934</v>
      </c>
      <c r="I249" s="13">
        <v>137</v>
      </c>
      <c r="J249" s="214">
        <v>2462</v>
      </c>
      <c r="K249" s="16">
        <v>3915</v>
      </c>
      <c r="L249" s="30">
        <v>10547</v>
      </c>
      <c r="M249" s="29">
        <v>8924</v>
      </c>
      <c r="N249" s="28">
        <v>6938</v>
      </c>
    </row>
    <row r="250" spans="1:14" outlineLevel="1" x14ac:dyDescent="0.2">
      <c r="A250" s="20">
        <f t="shared" si="53"/>
        <v>10298</v>
      </c>
      <c r="B250" s="19" t="str">
        <f t="shared" si="53"/>
        <v>TAMUG</v>
      </c>
      <c r="C250" s="18"/>
      <c r="D250" s="15">
        <v>314</v>
      </c>
      <c r="E250" s="21">
        <v>0.626</v>
      </c>
      <c r="F250" s="14">
        <v>1769.4666666666667</v>
      </c>
      <c r="G250" s="28">
        <v>826.3399999999923</v>
      </c>
      <c r="H250" s="15">
        <v>46</v>
      </c>
      <c r="I250" s="13">
        <v>0</v>
      </c>
      <c r="J250" s="214">
        <v>86</v>
      </c>
      <c r="K250" s="16">
        <v>186</v>
      </c>
      <c r="L250" s="30">
        <v>607</v>
      </c>
      <c r="M250" s="29">
        <v>296</v>
      </c>
      <c r="N250" s="28">
        <v>263</v>
      </c>
    </row>
    <row r="251" spans="1:14" outlineLevel="1" x14ac:dyDescent="0.2">
      <c r="A251" s="20">
        <f t="shared" si="53"/>
        <v>3630</v>
      </c>
      <c r="B251" s="19" t="str">
        <f t="shared" si="53"/>
        <v>Prairie View</v>
      </c>
      <c r="C251" s="18"/>
      <c r="D251" s="15">
        <v>1026</v>
      </c>
      <c r="E251" s="21">
        <v>0.40299999999999997</v>
      </c>
      <c r="F251" s="14">
        <v>5822.8</v>
      </c>
      <c r="G251" s="28">
        <v>2288.9700000000062</v>
      </c>
      <c r="H251" s="15">
        <v>373</v>
      </c>
      <c r="I251" s="13">
        <v>11</v>
      </c>
      <c r="J251" s="214">
        <v>183</v>
      </c>
      <c r="K251" s="16">
        <v>877</v>
      </c>
      <c r="L251" s="30">
        <v>1701</v>
      </c>
      <c r="M251" s="29">
        <v>1132</v>
      </c>
      <c r="N251" s="28">
        <v>871</v>
      </c>
    </row>
    <row r="252" spans="1:14" outlineLevel="1" x14ac:dyDescent="0.2">
      <c r="A252" s="20">
        <f t="shared" si="53"/>
        <v>3631</v>
      </c>
      <c r="B252" s="19" t="str">
        <f t="shared" si="53"/>
        <v>Tarleton</v>
      </c>
      <c r="C252" s="18"/>
      <c r="D252" s="15">
        <v>1662</v>
      </c>
      <c r="E252" s="21">
        <v>0.47600000000000003</v>
      </c>
      <c r="F252" s="14">
        <v>6766.4</v>
      </c>
      <c r="G252" s="28">
        <v>3337.2399999999966</v>
      </c>
      <c r="H252" s="15">
        <v>229</v>
      </c>
      <c r="I252" s="13">
        <v>49</v>
      </c>
      <c r="J252" s="214">
        <v>645</v>
      </c>
      <c r="K252" s="16">
        <v>1296</v>
      </c>
      <c r="L252" s="30">
        <v>2227</v>
      </c>
      <c r="M252" s="29">
        <v>1216</v>
      </c>
      <c r="N252" s="28">
        <v>845</v>
      </c>
    </row>
    <row r="253" spans="1:14" outlineLevel="1" x14ac:dyDescent="0.2">
      <c r="A253" s="27">
        <f t="shared" si="53"/>
        <v>103631</v>
      </c>
      <c r="B253" s="19" t="str">
        <f t="shared" si="53"/>
        <v>TAMUCT</v>
      </c>
      <c r="C253" s="18"/>
      <c r="D253" s="15">
        <v>469</v>
      </c>
      <c r="E253" s="21">
        <f>E252</f>
        <v>0.47600000000000003</v>
      </c>
      <c r="F253" s="14">
        <v>684.13333333333333</v>
      </c>
      <c r="G253" s="28">
        <v>882.20999999999208</v>
      </c>
      <c r="H253" s="15">
        <v>42</v>
      </c>
      <c r="I253" s="13">
        <v>0</v>
      </c>
      <c r="J253" s="214">
        <v>335</v>
      </c>
      <c r="K253" s="16">
        <v>329</v>
      </c>
      <c r="L253" s="30">
        <v>550</v>
      </c>
      <c r="M253" s="29">
        <v>119</v>
      </c>
      <c r="N253" s="28">
        <v>5</v>
      </c>
    </row>
    <row r="254" spans="1:14" outlineLevel="1" x14ac:dyDescent="0.2">
      <c r="A254" s="20">
        <f t="shared" si="53"/>
        <v>11161</v>
      </c>
      <c r="B254" s="19" t="str">
        <f t="shared" si="53"/>
        <v>TAMUCC</v>
      </c>
      <c r="C254" s="18"/>
      <c r="D254" s="15">
        <v>1515</v>
      </c>
      <c r="E254" s="21">
        <v>0.51</v>
      </c>
      <c r="F254" s="14">
        <v>6742.2</v>
      </c>
      <c r="G254" s="28">
        <v>3028.8999999999978</v>
      </c>
      <c r="H254" s="15">
        <v>310</v>
      </c>
      <c r="I254" s="13">
        <v>23</v>
      </c>
      <c r="J254" s="214">
        <v>538</v>
      </c>
      <c r="K254" s="16">
        <v>1182</v>
      </c>
      <c r="L254" s="30">
        <v>1957</v>
      </c>
      <c r="M254" s="29">
        <v>1470</v>
      </c>
      <c r="N254" s="28">
        <v>959</v>
      </c>
    </row>
    <row r="255" spans="1:14" outlineLevel="1" x14ac:dyDescent="0.2">
      <c r="A255" s="20">
        <f t="shared" si="53"/>
        <v>3639</v>
      </c>
      <c r="B255" s="19" t="str">
        <f t="shared" si="53"/>
        <v>TAMUK</v>
      </c>
      <c r="C255" s="18"/>
      <c r="D255" s="15">
        <v>855</v>
      </c>
      <c r="E255" s="21">
        <v>0.39200000000000002</v>
      </c>
      <c r="F255" s="14">
        <v>4577.5333333333338</v>
      </c>
      <c r="G255" s="28">
        <v>1952.6200000000099</v>
      </c>
      <c r="H255" s="15">
        <v>298</v>
      </c>
      <c r="I255" s="13">
        <v>19</v>
      </c>
      <c r="J255" s="214">
        <v>251</v>
      </c>
      <c r="K255" s="16">
        <v>742</v>
      </c>
      <c r="L255" s="30">
        <v>1343</v>
      </c>
      <c r="M255" s="29">
        <v>910</v>
      </c>
      <c r="N255" s="28">
        <v>571</v>
      </c>
    </row>
    <row r="256" spans="1:14" outlineLevel="1" x14ac:dyDescent="0.2">
      <c r="A256" s="27">
        <f t="shared" ref="A256:B271" si="54">A214</f>
        <v>103639</v>
      </c>
      <c r="B256" s="19" t="str">
        <f t="shared" si="54"/>
        <v>TAMUSA</v>
      </c>
      <c r="C256" s="18"/>
      <c r="D256" s="15">
        <v>647</v>
      </c>
      <c r="E256" s="21">
        <f>E255</f>
        <v>0.39200000000000002</v>
      </c>
      <c r="F256" s="14">
        <v>1673.0666666666666</v>
      </c>
      <c r="G256" s="28">
        <v>1155.5399999999984</v>
      </c>
      <c r="H256" s="15">
        <v>10</v>
      </c>
      <c r="I256" s="13">
        <v>4</v>
      </c>
      <c r="J256" s="214">
        <v>505</v>
      </c>
      <c r="K256" s="16">
        <v>549</v>
      </c>
      <c r="L256" s="30">
        <v>887</v>
      </c>
      <c r="M256" s="29">
        <v>190</v>
      </c>
      <c r="N256" s="28">
        <v>1</v>
      </c>
    </row>
    <row r="257" spans="1:14" outlineLevel="1" x14ac:dyDescent="0.2">
      <c r="A257" s="20">
        <f t="shared" si="54"/>
        <v>9651</v>
      </c>
      <c r="B257" s="19" t="str">
        <f t="shared" si="54"/>
        <v>TAMI</v>
      </c>
      <c r="C257" s="18"/>
      <c r="D257" s="15">
        <v>805</v>
      </c>
      <c r="E257" s="21">
        <v>0.45700000000000002</v>
      </c>
      <c r="F257" s="14">
        <v>4312.1333333333332</v>
      </c>
      <c r="G257" s="28">
        <v>1498.7699999999936</v>
      </c>
      <c r="H257" s="15">
        <v>142</v>
      </c>
      <c r="I257" s="13">
        <v>23</v>
      </c>
      <c r="J257" s="214">
        <v>382</v>
      </c>
      <c r="K257" s="16">
        <v>737</v>
      </c>
      <c r="L257" s="30">
        <v>1292</v>
      </c>
      <c r="M257" s="29">
        <v>1039</v>
      </c>
      <c r="N257" s="28">
        <v>488</v>
      </c>
    </row>
    <row r="258" spans="1:14" outlineLevel="1" x14ac:dyDescent="0.2">
      <c r="A258" s="20">
        <f t="shared" si="54"/>
        <v>3665</v>
      </c>
      <c r="B258" s="19" t="str">
        <f t="shared" si="54"/>
        <v>WTAMU</v>
      </c>
      <c r="C258" s="18"/>
      <c r="D258" s="15">
        <v>1253</v>
      </c>
      <c r="E258" s="21">
        <v>0.48200000000000004</v>
      </c>
      <c r="F258" s="14">
        <v>5523.2</v>
      </c>
      <c r="G258" s="28">
        <v>2523.9800000000132</v>
      </c>
      <c r="H258" s="15">
        <v>175</v>
      </c>
      <c r="I258" s="13">
        <v>60</v>
      </c>
      <c r="J258" s="214">
        <v>435</v>
      </c>
      <c r="K258" s="16">
        <v>902</v>
      </c>
      <c r="L258" s="30">
        <v>1631</v>
      </c>
      <c r="M258" s="29">
        <v>1213</v>
      </c>
      <c r="N258" s="28">
        <v>689</v>
      </c>
    </row>
    <row r="259" spans="1:14" outlineLevel="1" x14ac:dyDescent="0.2">
      <c r="A259" s="20">
        <f t="shared" si="54"/>
        <v>3565</v>
      </c>
      <c r="B259" s="19" t="str">
        <f t="shared" si="54"/>
        <v>TAMUC</v>
      </c>
      <c r="C259" s="18"/>
      <c r="D259" s="15">
        <v>1507</v>
      </c>
      <c r="E259" s="21">
        <v>0.44600000000000001</v>
      </c>
      <c r="F259" s="14">
        <v>5135.2666666666664</v>
      </c>
      <c r="G259" s="28">
        <v>2861.9500000000121</v>
      </c>
      <c r="H259" s="15">
        <v>89</v>
      </c>
      <c r="I259" s="13">
        <v>81</v>
      </c>
      <c r="J259" s="214">
        <v>851</v>
      </c>
      <c r="K259" s="16">
        <v>1172</v>
      </c>
      <c r="L259" s="30">
        <v>2056</v>
      </c>
      <c r="M259" s="29">
        <v>1174</v>
      </c>
      <c r="N259" s="28">
        <v>457</v>
      </c>
    </row>
    <row r="260" spans="1:14" outlineLevel="1" x14ac:dyDescent="0.2">
      <c r="A260" s="20">
        <f t="shared" si="54"/>
        <v>29269</v>
      </c>
      <c r="B260" s="19" t="str">
        <f t="shared" si="54"/>
        <v>TAMUT</v>
      </c>
      <c r="C260" s="18"/>
      <c r="D260" s="15">
        <v>376</v>
      </c>
      <c r="E260" s="17">
        <v>0.49242424242424243</v>
      </c>
      <c r="F260" s="14">
        <v>1101.2666666666667</v>
      </c>
      <c r="G260" s="28">
        <v>680.4399999999946</v>
      </c>
      <c r="H260" s="15">
        <v>47</v>
      </c>
      <c r="I260" s="13">
        <v>25</v>
      </c>
      <c r="J260" s="214">
        <v>222</v>
      </c>
      <c r="K260" s="16">
        <v>277</v>
      </c>
      <c r="L260" s="30">
        <v>484</v>
      </c>
      <c r="M260" s="29">
        <v>219</v>
      </c>
      <c r="N260" s="28">
        <v>1</v>
      </c>
    </row>
    <row r="261" spans="1:14" outlineLevel="1" x14ac:dyDescent="0.2">
      <c r="A261" s="20">
        <f t="shared" si="54"/>
        <v>3652</v>
      </c>
      <c r="B261" s="19" t="str">
        <f t="shared" si="54"/>
        <v>UH</v>
      </c>
      <c r="C261" s="18"/>
      <c r="D261" s="15">
        <v>5426</v>
      </c>
      <c r="E261" s="21">
        <v>0.53600000000000003</v>
      </c>
      <c r="F261" s="14">
        <v>24760.400000000001</v>
      </c>
      <c r="G261" s="28">
        <v>11378.949999999324</v>
      </c>
      <c r="H261" s="15">
        <v>835</v>
      </c>
      <c r="I261" s="13">
        <v>60</v>
      </c>
      <c r="J261" s="214">
        <v>1975</v>
      </c>
      <c r="K261" s="16">
        <v>3688</v>
      </c>
      <c r="L261" s="30">
        <v>7823</v>
      </c>
      <c r="M261" s="29">
        <v>5667</v>
      </c>
      <c r="N261" s="28">
        <v>3232</v>
      </c>
    </row>
    <row r="262" spans="1:14" outlineLevel="1" x14ac:dyDescent="0.2">
      <c r="A262" s="20">
        <f t="shared" si="54"/>
        <v>11711</v>
      </c>
      <c r="B262" s="19" t="str">
        <f t="shared" si="54"/>
        <v>UHCL</v>
      </c>
      <c r="C262" s="18"/>
      <c r="D262" s="15">
        <v>1251</v>
      </c>
      <c r="E262" s="17">
        <v>0.51671732522796354</v>
      </c>
      <c r="F262" s="14">
        <v>3079.2666666666669</v>
      </c>
      <c r="G262" s="28">
        <v>2423.7000000000025</v>
      </c>
      <c r="H262" s="15">
        <v>119</v>
      </c>
      <c r="I262" s="13">
        <v>9</v>
      </c>
      <c r="J262" s="214">
        <v>831</v>
      </c>
      <c r="K262" s="16">
        <v>839</v>
      </c>
      <c r="L262" s="30">
        <v>1391</v>
      </c>
      <c r="M262" s="29">
        <v>1014</v>
      </c>
      <c r="N262" s="28">
        <v>37</v>
      </c>
    </row>
    <row r="263" spans="1:14" outlineLevel="1" x14ac:dyDescent="0.2">
      <c r="A263" s="20">
        <f t="shared" si="54"/>
        <v>12826</v>
      </c>
      <c r="B263" s="19" t="str">
        <f t="shared" si="54"/>
        <v>UHD</v>
      </c>
      <c r="C263" s="18"/>
      <c r="D263" s="15">
        <v>2351</v>
      </c>
      <c r="E263" s="21">
        <v>0.17399999999999999</v>
      </c>
      <c r="F263" s="14">
        <v>8043.8</v>
      </c>
      <c r="G263" s="28">
        <v>4292.430000000033</v>
      </c>
      <c r="H263" s="15">
        <v>134</v>
      </c>
      <c r="I263" s="13">
        <v>3</v>
      </c>
      <c r="J263" s="214">
        <v>1034</v>
      </c>
      <c r="K263" s="16">
        <v>1694</v>
      </c>
      <c r="L263" s="30">
        <v>3011</v>
      </c>
      <c r="M263" s="29">
        <v>1820</v>
      </c>
      <c r="N263" s="28">
        <v>590</v>
      </c>
    </row>
    <row r="264" spans="1:14" outlineLevel="1" x14ac:dyDescent="0.2">
      <c r="A264" s="20">
        <f t="shared" si="54"/>
        <v>13231</v>
      </c>
      <c r="B264" s="19" t="str">
        <f t="shared" si="54"/>
        <v>UHV</v>
      </c>
      <c r="C264" s="18"/>
      <c r="D264" s="15">
        <v>619</v>
      </c>
      <c r="E264" s="17">
        <v>0.47520661157024796</v>
      </c>
      <c r="F264" s="14">
        <v>1685.8666666666666</v>
      </c>
      <c r="G264" s="28">
        <v>1187.5899999999924</v>
      </c>
      <c r="H264" s="15">
        <v>134</v>
      </c>
      <c r="I264" s="13">
        <v>9</v>
      </c>
      <c r="J264" s="214">
        <v>432</v>
      </c>
      <c r="K264" s="16">
        <v>418</v>
      </c>
      <c r="L264" s="30">
        <v>776</v>
      </c>
      <c r="M264" s="29">
        <v>334</v>
      </c>
      <c r="N264" s="28">
        <v>6</v>
      </c>
    </row>
    <row r="265" spans="1:14" outlineLevel="1" x14ac:dyDescent="0.2">
      <c r="A265" s="20">
        <f t="shared" si="54"/>
        <v>3592</v>
      </c>
      <c r="B265" s="19" t="str">
        <f t="shared" si="54"/>
        <v>Midwestern</v>
      </c>
      <c r="C265" s="18"/>
      <c r="D265" s="15">
        <v>1066</v>
      </c>
      <c r="E265" s="21">
        <v>0.46299999999999997</v>
      </c>
      <c r="F265" s="14">
        <v>4147.7333333333336</v>
      </c>
      <c r="G265" s="28">
        <v>2062.1399999999949</v>
      </c>
      <c r="H265" s="15">
        <v>358</v>
      </c>
      <c r="I265" s="13">
        <v>15</v>
      </c>
      <c r="J265" s="214">
        <v>276</v>
      </c>
      <c r="K265" s="16">
        <v>723</v>
      </c>
      <c r="L265" s="30">
        <v>1310</v>
      </c>
      <c r="M265" s="29">
        <v>979</v>
      </c>
      <c r="N265" s="28">
        <v>683</v>
      </c>
    </row>
    <row r="266" spans="1:14" outlineLevel="1" x14ac:dyDescent="0.2">
      <c r="A266" s="20">
        <f t="shared" si="54"/>
        <v>3594</v>
      </c>
      <c r="B266" s="19" t="str">
        <f t="shared" si="54"/>
        <v>UNT</v>
      </c>
      <c r="C266" s="18"/>
      <c r="D266" s="15">
        <v>5843</v>
      </c>
      <c r="E266" s="21">
        <v>0.56799999999999995</v>
      </c>
      <c r="F266" s="14">
        <v>23213.466666666667</v>
      </c>
      <c r="G266" s="28">
        <v>11338.869999999399</v>
      </c>
      <c r="H266" s="15">
        <v>368</v>
      </c>
      <c r="I266" s="13">
        <v>56</v>
      </c>
      <c r="J266" s="214">
        <v>2267</v>
      </c>
      <c r="K266" s="16">
        <v>3771</v>
      </c>
      <c r="L266" s="30">
        <v>7310</v>
      </c>
      <c r="M266" s="29">
        <v>5432</v>
      </c>
      <c r="N266" s="28">
        <v>3116</v>
      </c>
    </row>
    <row r="267" spans="1:14" outlineLevel="1" x14ac:dyDescent="0.2">
      <c r="A267" s="27">
        <f t="shared" si="54"/>
        <v>113594</v>
      </c>
      <c r="B267" s="19" t="str">
        <f t="shared" si="54"/>
        <v>UNTD</v>
      </c>
      <c r="C267" s="18"/>
      <c r="D267" s="15">
        <v>419</v>
      </c>
      <c r="E267" s="21">
        <f>E266</f>
        <v>0.56799999999999995</v>
      </c>
      <c r="F267" s="14">
        <v>983.4666666666667</v>
      </c>
      <c r="G267" s="28">
        <v>742.11999999999398</v>
      </c>
      <c r="H267" s="15">
        <v>14</v>
      </c>
      <c r="I267" s="13">
        <v>0</v>
      </c>
      <c r="J267" s="214">
        <v>0</v>
      </c>
      <c r="K267" s="16">
        <v>313</v>
      </c>
      <c r="L267" s="30">
        <v>469</v>
      </c>
      <c r="M267" s="29">
        <v>80</v>
      </c>
      <c r="N267" s="28">
        <v>4</v>
      </c>
    </row>
    <row r="268" spans="1:14" outlineLevel="1" x14ac:dyDescent="0.2">
      <c r="A268" s="20">
        <f t="shared" si="54"/>
        <v>3624</v>
      </c>
      <c r="B268" s="19" t="str">
        <f t="shared" si="54"/>
        <v>SFA</v>
      </c>
      <c r="C268" s="18"/>
      <c r="D268" s="15">
        <v>2011</v>
      </c>
      <c r="E268" s="21">
        <v>0.55299999999999994</v>
      </c>
      <c r="F268" s="14">
        <v>9507.3333333333339</v>
      </c>
      <c r="G268" s="28">
        <v>3932.9399999999569</v>
      </c>
      <c r="H268" s="15">
        <v>273</v>
      </c>
      <c r="I268" s="13">
        <v>42</v>
      </c>
      <c r="J268" s="214">
        <v>607</v>
      </c>
      <c r="K268" s="16">
        <v>1513</v>
      </c>
      <c r="L268" s="30">
        <v>2605</v>
      </c>
      <c r="M268" s="29">
        <v>2125</v>
      </c>
      <c r="N268" s="28">
        <v>1473</v>
      </c>
    </row>
    <row r="269" spans="1:14" outlineLevel="1" x14ac:dyDescent="0.2">
      <c r="A269" s="20">
        <f t="shared" si="54"/>
        <v>3642</v>
      </c>
      <c r="B269" s="19" t="str">
        <f t="shared" si="54"/>
        <v>TSU</v>
      </c>
      <c r="C269" s="18"/>
      <c r="D269" s="15">
        <v>737</v>
      </c>
      <c r="E269" s="21">
        <v>0.14099999999999999</v>
      </c>
      <c r="F269" s="14">
        <v>5767.1333333333332</v>
      </c>
      <c r="G269" s="28">
        <v>1478.8299999999929</v>
      </c>
      <c r="H269" s="15">
        <v>154</v>
      </c>
      <c r="I269" s="13">
        <v>5</v>
      </c>
      <c r="J269" s="214">
        <v>106</v>
      </c>
      <c r="K269" s="16">
        <v>641</v>
      </c>
      <c r="L269" s="30">
        <v>1349</v>
      </c>
      <c r="M269" s="29">
        <v>988</v>
      </c>
      <c r="N269" s="28">
        <v>760</v>
      </c>
    </row>
    <row r="270" spans="1:14" outlineLevel="1" x14ac:dyDescent="0.2">
      <c r="A270" s="20">
        <f t="shared" si="54"/>
        <v>3644</v>
      </c>
      <c r="B270" s="19" t="str">
        <f t="shared" si="54"/>
        <v>TTU</v>
      </c>
      <c r="C270" s="18"/>
      <c r="D270" s="15">
        <v>4941</v>
      </c>
      <c r="E270" s="21">
        <v>0.73599999999999999</v>
      </c>
      <c r="F270" s="14">
        <v>22627.599999999999</v>
      </c>
      <c r="G270" s="28">
        <v>10741.019999999262</v>
      </c>
      <c r="H270" s="15">
        <v>839</v>
      </c>
      <c r="I270" s="13">
        <v>67</v>
      </c>
      <c r="J270" s="214">
        <v>1250</v>
      </c>
      <c r="K270" s="16">
        <v>3071</v>
      </c>
      <c r="L270" s="30">
        <v>6449</v>
      </c>
      <c r="M270" s="29">
        <v>5332</v>
      </c>
      <c r="N270" s="28">
        <v>4048</v>
      </c>
    </row>
    <row r="271" spans="1:14" outlineLevel="1" x14ac:dyDescent="0.2">
      <c r="A271" s="20">
        <f t="shared" si="54"/>
        <v>3541</v>
      </c>
      <c r="B271" s="19" t="str">
        <f t="shared" si="54"/>
        <v>Angelo</v>
      </c>
      <c r="C271" s="18"/>
      <c r="D271" s="15">
        <v>1073</v>
      </c>
      <c r="E271" s="21">
        <v>0.40799999999999997</v>
      </c>
      <c r="F271" s="14">
        <v>4921.333333333333</v>
      </c>
      <c r="G271" s="28">
        <v>2141.5100000000025</v>
      </c>
      <c r="H271" s="15">
        <v>304</v>
      </c>
      <c r="I271" s="13">
        <v>19</v>
      </c>
      <c r="J271" s="214">
        <v>187</v>
      </c>
      <c r="K271" s="16">
        <v>773</v>
      </c>
      <c r="L271" s="30">
        <v>1398</v>
      </c>
      <c r="M271" s="29">
        <v>1022</v>
      </c>
      <c r="N271" s="28">
        <v>707</v>
      </c>
    </row>
    <row r="272" spans="1:14" outlineLevel="1" x14ac:dyDescent="0.2">
      <c r="A272" s="20">
        <f t="shared" ref="A272:B277" si="55">A230</f>
        <v>3646</v>
      </c>
      <c r="B272" s="19" t="str">
        <f t="shared" si="55"/>
        <v>TWU</v>
      </c>
      <c r="C272" s="18"/>
      <c r="D272" s="15">
        <v>1919</v>
      </c>
      <c r="E272" s="21">
        <v>0.54200000000000004</v>
      </c>
      <c r="F272" s="14">
        <v>6999.5333333333338</v>
      </c>
      <c r="G272" s="28">
        <v>3704.3199999999606</v>
      </c>
      <c r="H272" s="15">
        <v>571</v>
      </c>
      <c r="I272" s="13">
        <v>30</v>
      </c>
      <c r="J272" s="214">
        <v>831</v>
      </c>
      <c r="K272" s="16">
        <v>1326</v>
      </c>
      <c r="L272" s="30">
        <v>2425</v>
      </c>
      <c r="M272" s="29">
        <v>1247</v>
      </c>
      <c r="N272" s="28">
        <v>703</v>
      </c>
    </row>
    <row r="273" spans="1:15" outlineLevel="1" x14ac:dyDescent="0.2">
      <c r="A273" s="20">
        <f t="shared" si="55"/>
        <v>3581</v>
      </c>
      <c r="B273" s="19" t="str">
        <f t="shared" si="55"/>
        <v>Lamar</v>
      </c>
      <c r="C273" s="18"/>
      <c r="D273" s="15">
        <v>1380</v>
      </c>
      <c r="E273" s="21">
        <v>0.35899999999999999</v>
      </c>
      <c r="F273" s="14">
        <v>7404.4666666666662</v>
      </c>
      <c r="G273" s="28">
        <v>2721.5300000000057</v>
      </c>
      <c r="H273" s="15">
        <v>318</v>
      </c>
      <c r="I273" s="13">
        <v>18</v>
      </c>
      <c r="J273" s="214">
        <v>247</v>
      </c>
      <c r="K273" s="16">
        <v>995</v>
      </c>
      <c r="L273" s="30">
        <v>2074</v>
      </c>
      <c r="M273" s="29">
        <v>1486</v>
      </c>
      <c r="N273" s="28">
        <v>1002</v>
      </c>
    </row>
    <row r="274" spans="1:15" outlineLevel="1" x14ac:dyDescent="0.2">
      <c r="A274" s="20">
        <f t="shared" si="55"/>
        <v>3606</v>
      </c>
      <c r="B274" s="19" t="str">
        <f t="shared" si="55"/>
        <v>SHSU</v>
      </c>
      <c r="C274" s="18"/>
      <c r="D274" s="15">
        <v>2978</v>
      </c>
      <c r="E274" s="21">
        <v>0.57799999999999996</v>
      </c>
      <c r="F274" s="14">
        <v>12574.466666666667</v>
      </c>
      <c r="G274" s="28">
        <v>5694.020000000286</v>
      </c>
      <c r="H274" s="15">
        <v>172</v>
      </c>
      <c r="I274" s="13">
        <v>51</v>
      </c>
      <c r="J274" s="214">
        <v>1263</v>
      </c>
      <c r="K274" s="16">
        <v>2163</v>
      </c>
      <c r="L274" s="30">
        <v>3894</v>
      </c>
      <c r="M274" s="29">
        <v>2915</v>
      </c>
      <c r="N274" s="28">
        <v>1704</v>
      </c>
    </row>
    <row r="275" spans="1:15" outlineLevel="1" x14ac:dyDescent="0.2">
      <c r="A275" s="20">
        <f t="shared" si="55"/>
        <v>3615</v>
      </c>
      <c r="B275" s="19" t="str">
        <f t="shared" si="55"/>
        <v>TXST</v>
      </c>
      <c r="C275" s="18"/>
      <c r="D275" s="15">
        <v>5435</v>
      </c>
      <c r="E275" s="21">
        <v>0.61399999999999999</v>
      </c>
      <c r="F275" s="14">
        <v>24028</v>
      </c>
      <c r="G275" s="28">
        <v>10677.06999999951</v>
      </c>
      <c r="H275" s="15">
        <v>582</v>
      </c>
      <c r="I275" s="13">
        <v>67</v>
      </c>
      <c r="J275" s="214">
        <v>2016</v>
      </c>
      <c r="K275" s="16">
        <v>3816</v>
      </c>
      <c r="L275" s="30">
        <v>7425</v>
      </c>
      <c r="M275" s="29">
        <v>5561</v>
      </c>
      <c r="N275" s="28">
        <v>3333</v>
      </c>
    </row>
    <row r="276" spans="1:15" outlineLevel="1" x14ac:dyDescent="0.2">
      <c r="A276" s="20">
        <f t="shared" si="55"/>
        <v>3625</v>
      </c>
      <c r="B276" s="19" t="str">
        <f t="shared" si="55"/>
        <v>SRSU</v>
      </c>
      <c r="C276" s="18"/>
      <c r="D276" s="15">
        <v>191</v>
      </c>
      <c r="E276" s="21">
        <v>0.32600000000000001</v>
      </c>
      <c r="F276" s="14">
        <v>1229</v>
      </c>
      <c r="G276" s="28">
        <v>409.0499999999999</v>
      </c>
      <c r="H276" s="15">
        <v>10</v>
      </c>
      <c r="I276" s="13">
        <v>5</v>
      </c>
      <c r="J276" s="214">
        <v>43</v>
      </c>
      <c r="K276" s="16">
        <v>167</v>
      </c>
      <c r="L276" s="30">
        <v>284</v>
      </c>
      <c r="M276" s="29">
        <v>188</v>
      </c>
      <c r="N276" s="28">
        <v>144</v>
      </c>
      <c r="O276" s="41"/>
    </row>
    <row r="277" spans="1:15" outlineLevel="1" x14ac:dyDescent="0.2">
      <c r="A277" s="20">
        <f t="shared" si="55"/>
        <v>20</v>
      </c>
      <c r="B277" s="19" t="str">
        <f t="shared" si="55"/>
        <v>SRRG</v>
      </c>
      <c r="C277" s="18"/>
      <c r="D277" s="15">
        <v>154</v>
      </c>
      <c r="E277" s="17">
        <v>0.25423728813559321</v>
      </c>
      <c r="F277" s="14">
        <v>436.8</v>
      </c>
      <c r="G277" s="28">
        <v>268.06000000000023</v>
      </c>
      <c r="H277" s="15">
        <v>6</v>
      </c>
      <c r="I277" s="13">
        <v>1</v>
      </c>
      <c r="J277" s="214">
        <v>104</v>
      </c>
      <c r="K277" s="16">
        <v>138</v>
      </c>
      <c r="L277" s="30">
        <v>215</v>
      </c>
      <c r="M277" s="29">
        <v>91</v>
      </c>
      <c r="N277" s="28">
        <v>6</v>
      </c>
    </row>
    <row r="278" spans="1:15" ht="13.5" outlineLevel="1" thickBot="1" x14ac:dyDescent="0.25">
      <c r="A278" s="12"/>
      <c r="B278" s="11" t="s">
        <v>11</v>
      </c>
      <c r="C278" s="10"/>
      <c r="D278" s="9">
        <f>SUM(D240:D277)</f>
        <v>87062</v>
      </c>
      <c r="E278" s="8">
        <v>0.58700000000000008</v>
      </c>
      <c r="F278" s="7">
        <f t="shared" ref="F278:N278" si="56">SUM(F240:F277)</f>
        <v>359610.06666666665</v>
      </c>
      <c r="G278" s="3">
        <f t="shared" si="56"/>
        <v>180161.28999999876</v>
      </c>
      <c r="H278" s="5">
        <f t="shared" si="56"/>
        <v>15629</v>
      </c>
      <c r="I278" s="3">
        <f t="shared" si="56"/>
        <v>1267</v>
      </c>
      <c r="J278" s="216">
        <f>SUM(J240:J277)</f>
        <v>30414</v>
      </c>
      <c r="K278" s="6">
        <f t="shared" si="56"/>
        <v>56968</v>
      </c>
      <c r="L278" s="5">
        <f t="shared" si="56"/>
        <v>113504</v>
      </c>
      <c r="M278" s="4">
        <f t="shared" si="56"/>
        <v>81268</v>
      </c>
      <c r="N278" s="3">
        <f t="shared" si="56"/>
        <v>50077</v>
      </c>
    </row>
    <row r="279" spans="1:15" ht="13.5" thickBot="1" x14ac:dyDescent="0.25">
      <c r="A279" s="45" t="s">
        <v>26</v>
      </c>
      <c r="B279" s="45"/>
      <c r="C279" s="45"/>
      <c r="D279" s="45"/>
      <c r="F279" s="45"/>
      <c r="K279" s="45"/>
    </row>
    <row r="280" spans="1:15" ht="12.75" customHeight="1" outlineLevel="1" x14ac:dyDescent="0.2">
      <c r="A280" s="273" t="s">
        <v>24</v>
      </c>
      <c r="B280" s="275" t="s">
        <v>23</v>
      </c>
      <c r="C280" s="277"/>
      <c r="D280" s="306" t="s">
        <v>22</v>
      </c>
      <c r="E280" s="301" t="s">
        <v>21</v>
      </c>
      <c r="F280" s="275" t="s">
        <v>20</v>
      </c>
      <c r="G280" s="297" t="s">
        <v>19</v>
      </c>
      <c r="H280" s="299" t="s">
        <v>18</v>
      </c>
      <c r="I280" s="291" t="s">
        <v>17</v>
      </c>
      <c r="J280" s="212"/>
      <c r="K280" s="293" t="s">
        <v>16</v>
      </c>
      <c r="L280" s="295" t="s">
        <v>15</v>
      </c>
      <c r="M280" s="296"/>
      <c r="N280" s="296"/>
    </row>
    <row r="281" spans="1:15" s="41" customFormat="1" ht="40.5" customHeight="1" outlineLevel="1" thickBot="1" x14ac:dyDescent="0.25">
      <c r="A281" s="274"/>
      <c r="B281" s="276"/>
      <c r="C281" s="278"/>
      <c r="D281" s="307"/>
      <c r="E281" s="302"/>
      <c r="F281" s="276"/>
      <c r="G281" s="298"/>
      <c r="H281" s="300"/>
      <c r="I281" s="292"/>
      <c r="J281" s="213" t="s">
        <v>127</v>
      </c>
      <c r="K281" s="294"/>
      <c r="L281" s="44" t="s">
        <v>14</v>
      </c>
      <c r="M281" s="43" t="s">
        <v>13</v>
      </c>
      <c r="N281" s="42" t="s">
        <v>12</v>
      </c>
      <c r="O281" s="1"/>
    </row>
    <row r="282" spans="1:15" outlineLevel="1" x14ac:dyDescent="0.2">
      <c r="A282" s="40">
        <f t="shared" ref="A282:B297" si="57">A240</f>
        <v>3656</v>
      </c>
      <c r="B282" s="39" t="str">
        <f t="shared" si="57"/>
        <v>UTA</v>
      </c>
      <c r="C282" s="38"/>
      <c r="D282" s="33">
        <v>5103</v>
      </c>
      <c r="E282" s="37">
        <v>0.49299999999999999</v>
      </c>
      <c r="F282" s="32">
        <v>17372</v>
      </c>
      <c r="G282" s="31">
        <v>10527.860000000002</v>
      </c>
      <c r="H282" s="36">
        <v>1620</v>
      </c>
      <c r="I282" s="35">
        <v>26</v>
      </c>
      <c r="J282" s="215">
        <v>2286</v>
      </c>
      <c r="K282" s="34">
        <v>3158</v>
      </c>
      <c r="L282" s="33">
        <v>6986</v>
      </c>
      <c r="M282" s="32">
        <v>3903</v>
      </c>
      <c r="N282" s="31">
        <v>1733</v>
      </c>
    </row>
    <row r="283" spans="1:15" outlineLevel="1" x14ac:dyDescent="0.2">
      <c r="A283" s="20">
        <f t="shared" si="57"/>
        <v>3658</v>
      </c>
      <c r="B283" s="19" t="str">
        <f t="shared" si="57"/>
        <v>UT</v>
      </c>
      <c r="C283" s="18"/>
      <c r="D283" s="15">
        <v>9027</v>
      </c>
      <c r="E283" s="21">
        <v>0.83299999999999996</v>
      </c>
      <c r="F283" s="14">
        <v>33709.866666666669</v>
      </c>
      <c r="G283" s="13">
        <v>19422.050000001858</v>
      </c>
      <c r="H283" s="15">
        <v>1894</v>
      </c>
      <c r="I283" s="13">
        <v>60</v>
      </c>
      <c r="J283" s="214">
        <v>1291</v>
      </c>
      <c r="K283" s="16">
        <v>3475</v>
      </c>
      <c r="L283" s="15">
        <v>9939</v>
      </c>
      <c r="M283" s="14">
        <v>8895</v>
      </c>
      <c r="N283" s="13">
        <v>7485</v>
      </c>
    </row>
    <row r="284" spans="1:15" outlineLevel="1" x14ac:dyDescent="0.2">
      <c r="A284" s="20">
        <f t="shared" si="57"/>
        <v>9741</v>
      </c>
      <c r="B284" s="19" t="str">
        <f t="shared" si="57"/>
        <v>UTD</v>
      </c>
      <c r="C284" s="18"/>
      <c r="D284" s="15">
        <v>2314</v>
      </c>
      <c r="E284" s="21">
        <v>0.68299999999999994</v>
      </c>
      <c r="F284" s="14">
        <v>8822.2000000000007</v>
      </c>
      <c r="G284" s="13">
        <v>4904.1700000000228</v>
      </c>
      <c r="H284" s="15">
        <v>424</v>
      </c>
      <c r="I284" s="13">
        <v>27</v>
      </c>
      <c r="J284" s="214">
        <v>1078</v>
      </c>
      <c r="K284" s="16">
        <v>1294</v>
      </c>
      <c r="L284" s="15">
        <v>3345</v>
      </c>
      <c r="M284" s="14">
        <v>2105</v>
      </c>
      <c r="N284" s="13">
        <v>1076</v>
      </c>
    </row>
    <row r="285" spans="1:15" outlineLevel="1" x14ac:dyDescent="0.2">
      <c r="A285" s="20">
        <f t="shared" si="57"/>
        <v>3661</v>
      </c>
      <c r="B285" s="19" t="str">
        <f t="shared" si="57"/>
        <v>UTEP</v>
      </c>
      <c r="C285" s="18"/>
      <c r="D285" s="15">
        <v>3008</v>
      </c>
      <c r="E285" s="21">
        <v>0.38400000000000001</v>
      </c>
      <c r="F285" s="14">
        <v>13376</v>
      </c>
      <c r="G285" s="13">
        <v>6142.7200000000885</v>
      </c>
      <c r="H285" s="15">
        <v>613</v>
      </c>
      <c r="I285" s="13">
        <v>91</v>
      </c>
      <c r="J285" s="214">
        <v>1098</v>
      </c>
      <c r="K285" s="16">
        <v>2409</v>
      </c>
      <c r="L285" s="15">
        <v>4488</v>
      </c>
      <c r="M285" s="14">
        <v>3404</v>
      </c>
      <c r="N285" s="13">
        <v>1910</v>
      </c>
    </row>
    <row r="286" spans="1:15" outlineLevel="1" x14ac:dyDescent="0.2">
      <c r="A286" s="20">
        <f t="shared" si="57"/>
        <v>3599</v>
      </c>
      <c r="B286" s="19" t="str">
        <f t="shared" si="57"/>
        <v>UTPA</v>
      </c>
      <c r="C286" s="18"/>
      <c r="D286" s="15">
        <v>2658</v>
      </c>
      <c r="E286" s="21">
        <v>0.46399999999999997</v>
      </c>
      <c r="F286" s="14">
        <v>12499.266666666666</v>
      </c>
      <c r="G286" s="13">
        <v>5231.3300000001427</v>
      </c>
      <c r="H286" s="15">
        <v>534</v>
      </c>
      <c r="I286" s="13">
        <v>34</v>
      </c>
      <c r="J286" s="214">
        <v>885</v>
      </c>
      <c r="K286" s="16">
        <v>2427</v>
      </c>
      <c r="L286" s="15">
        <v>4142</v>
      </c>
      <c r="M286" s="14">
        <v>3290</v>
      </c>
      <c r="N286" s="13">
        <v>1998</v>
      </c>
    </row>
    <row r="287" spans="1:15" outlineLevel="1" x14ac:dyDescent="0.2">
      <c r="A287" s="20">
        <f t="shared" si="57"/>
        <v>30646</v>
      </c>
      <c r="B287" s="19" t="str">
        <f t="shared" si="57"/>
        <v>UTB</v>
      </c>
      <c r="C287" s="18"/>
      <c r="D287" s="15">
        <v>1075</v>
      </c>
      <c r="E287" s="17">
        <v>0.55124653739612184</v>
      </c>
      <c r="F287" s="14">
        <v>3116.2</v>
      </c>
      <c r="G287" s="13">
        <v>2052.0600000000218</v>
      </c>
      <c r="H287" s="15">
        <v>132</v>
      </c>
      <c r="I287" s="13">
        <v>15</v>
      </c>
      <c r="J287" s="214">
        <v>904</v>
      </c>
      <c r="K287" s="16">
        <v>916</v>
      </c>
      <c r="L287" s="15">
        <v>1359</v>
      </c>
      <c r="M287" s="14">
        <v>600</v>
      </c>
      <c r="N287" s="13">
        <v>131</v>
      </c>
    </row>
    <row r="288" spans="1:15" outlineLevel="1" x14ac:dyDescent="0.2">
      <c r="A288" s="20">
        <f t="shared" si="57"/>
        <v>9930</v>
      </c>
      <c r="B288" s="19" t="str">
        <f t="shared" si="57"/>
        <v>UTPB</v>
      </c>
      <c r="C288" s="18"/>
      <c r="D288" s="15">
        <v>541</v>
      </c>
      <c r="E288" s="21">
        <v>0.40700000000000003</v>
      </c>
      <c r="F288" s="14">
        <v>2416</v>
      </c>
      <c r="G288" s="13">
        <v>1005.1500000000051</v>
      </c>
      <c r="H288" s="15">
        <v>40</v>
      </c>
      <c r="I288" s="13">
        <v>10</v>
      </c>
      <c r="J288" s="214">
        <v>247</v>
      </c>
      <c r="K288" s="16">
        <v>407</v>
      </c>
      <c r="L288" s="15">
        <v>908</v>
      </c>
      <c r="M288" s="14">
        <v>490</v>
      </c>
      <c r="N288" s="13">
        <v>191</v>
      </c>
    </row>
    <row r="289" spans="1:14" outlineLevel="1" x14ac:dyDescent="0.2">
      <c r="A289" s="20">
        <f t="shared" si="57"/>
        <v>10115</v>
      </c>
      <c r="B289" s="19" t="str">
        <f t="shared" si="57"/>
        <v>UTSA</v>
      </c>
      <c r="C289" s="18"/>
      <c r="D289" s="15">
        <v>4148</v>
      </c>
      <c r="E289" s="21">
        <v>0.39400000000000002</v>
      </c>
      <c r="F289" s="14">
        <v>20284.733333333334</v>
      </c>
      <c r="G289" s="13">
        <v>8398.8499999997166</v>
      </c>
      <c r="H289" s="15">
        <v>394</v>
      </c>
      <c r="I289" s="13">
        <v>47</v>
      </c>
      <c r="J289" s="214">
        <v>1398</v>
      </c>
      <c r="K289" s="16">
        <v>3211</v>
      </c>
      <c r="L289" s="15">
        <v>6802</v>
      </c>
      <c r="M289" s="14">
        <v>4390</v>
      </c>
      <c r="N289" s="13">
        <v>2699</v>
      </c>
    </row>
    <row r="290" spans="1:14" outlineLevel="1" x14ac:dyDescent="0.2">
      <c r="A290" s="20">
        <f t="shared" si="57"/>
        <v>11163</v>
      </c>
      <c r="B290" s="19" t="str">
        <f t="shared" si="57"/>
        <v>UTT</v>
      </c>
      <c r="C290" s="18"/>
      <c r="D290" s="15">
        <v>1188</v>
      </c>
      <c r="E290" s="21">
        <v>0.53300000000000003</v>
      </c>
      <c r="F290" s="14">
        <v>4030.7333333333331</v>
      </c>
      <c r="G290" s="13">
        <v>2364.9800000000037</v>
      </c>
      <c r="H290" s="15">
        <v>366</v>
      </c>
      <c r="I290" s="13">
        <v>9</v>
      </c>
      <c r="J290" s="214">
        <v>634</v>
      </c>
      <c r="K290" s="16">
        <v>939</v>
      </c>
      <c r="L290" s="15">
        <v>1496</v>
      </c>
      <c r="M290" s="14">
        <v>905</v>
      </c>
      <c r="N290" s="13">
        <v>401</v>
      </c>
    </row>
    <row r="291" spans="1:14" outlineLevel="1" x14ac:dyDescent="0.2">
      <c r="A291" s="20">
        <f t="shared" si="57"/>
        <v>3632</v>
      </c>
      <c r="B291" s="19" t="str">
        <f t="shared" si="57"/>
        <v>TAMU</v>
      </c>
      <c r="C291" s="18"/>
      <c r="D291" s="15">
        <v>8748</v>
      </c>
      <c r="E291" s="21">
        <v>0.84399999999999997</v>
      </c>
      <c r="F291" s="14">
        <v>34425.133333333331</v>
      </c>
      <c r="G291" s="13">
        <v>20060.050000001262</v>
      </c>
      <c r="H291" s="15">
        <v>1775</v>
      </c>
      <c r="I291" s="13">
        <v>133</v>
      </c>
      <c r="J291" s="214">
        <v>2353</v>
      </c>
      <c r="K291" s="16">
        <v>3727</v>
      </c>
      <c r="L291" s="15">
        <v>9623</v>
      </c>
      <c r="M291" s="14">
        <v>8962</v>
      </c>
      <c r="N291" s="13">
        <v>6823</v>
      </c>
    </row>
    <row r="292" spans="1:14" outlineLevel="1" x14ac:dyDescent="0.2">
      <c r="A292" s="20">
        <f t="shared" si="57"/>
        <v>10298</v>
      </c>
      <c r="B292" s="19" t="str">
        <f t="shared" si="57"/>
        <v>TAMUG</v>
      </c>
      <c r="C292" s="18"/>
      <c r="D292" s="15">
        <v>250</v>
      </c>
      <c r="E292" s="21">
        <v>0.66400000000000003</v>
      </c>
      <c r="F292" s="14">
        <v>1668.1333333333334</v>
      </c>
      <c r="G292" s="13">
        <v>648.89999999999895</v>
      </c>
      <c r="H292" s="15">
        <v>35</v>
      </c>
      <c r="I292" s="13">
        <v>0</v>
      </c>
      <c r="J292" s="214">
        <v>58</v>
      </c>
      <c r="K292" s="16">
        <v>151</v>
      </c>
      <c r="L292" s="15">
        <v>600</v>
      </c>
      <c r="M292" s="14">
        <v>336</v>
      </c>
      <c r="N292" s="13">
        <v>234</v>
      </c>
    </row>
    <row r="293" spans="1:14" outlineLevel="1" x14ac:dyDescent="0.2">
      <c r="A293" s="20">
        <f t="shared" si="57"/>
        <v>3630</v>
      </c>
      <c r="B293" s="19" t="str">
        <f t="shared" si="57"/>
        <v>Prairie View</v>
      </c>
      <c r="C293" s="18"/>
      <c r="D293" s="15">
        <v>904</v>
      </c>
      <c r="E293" s="21">
        <v>0.37</v>
      </c>
      <c r="F293" s="49">
        <v>6088.2666666666664</v>
      </c>
      <c r="G293" s="13">
        <v>1934.240000000003</v>
      </c>
      <c r="H293" s="15">
        <v>279</v>
      </c>
      <c r="I293" s="13">
        <v>10</v>
      </c>
      <c r="J293" s="214">
        <v>161</v>
      </c>
      <c r="K293" s="16">
        <v>775</v>
      </c>
      <c r="L293" s="15">
        <v>1660</v>
      </c>
      <c r="M293" s="14">
        <v>1237</v>
      </c>
      <c r="N293" s="13">
        <v>905</v>
      </c>
    </row>
    <row r="294" spans="1:14" outlineLevel="1" x14ac:dyDescent="0.2">
      <c r="A294" s="20">
        <f t="shared" si="57"/>
        <v>3631</v>
      </c>
      <c r="B294" s="19" t="str">
        <f t="shared" si="57"/>
        <v>Tarleton</v>
      </c>
      <c r="C294" s="18"/>
      <c r="D294" s="15">
        <v>1552</v>
      </c>
      <c r="E294" s="21">
        <v>0.48299999999999998</v>
      </c>
      <c r="F294" s="49">
        <v>6264.4666666666662</v>
      </c>
      <c r="G294" s="13">
        <v>3063.9600000000341</v>
      </c>
      <c r="H294" s="15">
        <v>197</v>
      </c>
      <c r="I294" s="48">
        <v>56</v>
      </c>
      <c r="J294" s="217">
        <v>580</v>
      </c>
      <c r="K294" s="16">
        <v>1196</v>
      </c>
      <c r="L294" s="50">
        <v>2096</v>
      </c>
      <c r="M294" s="49">
        <v>1464</v>
      </c>
      <c r="N294" s="48">
        <v>840</v>
      </c>
    </row>
    <row r="295" spans="1:14" outlineLevel="1" x14ac:dyDescent="0.2">
      <c r="A295" s="27">
        <f t="shared" si="57"/>
        <v>103631</v>
      </c>
      <c r="B295" s="19" t="str">
        <f t="shared" si="57"/>
        <v>TAMUCT</v>
      </c>
      <c r="C295" s="18"/>
      <c r="D295" s="15">
        <v>462</v>
      </c>
      <c r="E295" s="21">
        <v>0.48299999999999998</v>
      </c>
      <c r="F295" s="49">
        <v>700.66666666666663</v>
      </c>
      <c r="G295" s="13">
        <v>846.68000000000006</v>
      </c>
      <c r="H295" s="15">
        <v>36</v>
      </c>
      <c r="I295" s="48">
        <v>0</v>
      </c>
      <c r="J295" s="217">
        <v>340</v>
      </c>
      <c r="K295" s="16">
        <v>330</v>
      </c>
      <c r="L295" s="50">
        <v>555</v>
      </c>
      <c r="M295" s="49">
        <v>143</v>
      </c>
      <c r="N295" s="48">
        <v>66</v>
      </c>
    </row>
    <row r="296" spans="1:14" outlineLevel="1" x14ac:dyDescent="0.2">
      <c r="A296" s="20">
        <f t="shared" si="57"/>
        <v>11161</v>
      </c>
      <c r="B296" s="19" t="str">
        <f t="shared" si="57"/>
        <v>TAMUCC</v>
      </c>
      <c r="C296" s="18"/>
      <c r="D296" s="15">
        <v>1315</v>
      </c>
      <c r="E296" s="21">
        <v>0.51100000000000001</v>
      </c>
      <c r="F296" s="49">
        <v>6609.8666666666668</v>
      </c>
      <c r="G296" s="13">
        <v>2639.1300000000101</v>
      </c>
      <c r="H296" s="15">
        <v>252</v>
      </c>
      <c r="I296" s="48">
        <v>25</v>
      </c>
      <c r="J296" s="217">
        <v>459</v>
      </c>
      <c r="K296" s="16">
        <v>1034</v>
      </c>
      <c r="L296" s="15">
        <v>2126</v>
      </c>
      <c r="M296" s="14">
        <v>1577</v>
      </c>
      <c r="N296" s="13">
        <v>864</v>
      </c>
    </row>
    <row r="297" spans="1:14" outlineLevel="1" x14ac:dyDescent="0.2">
      <c r="A297" s="20">
        <f t="shared" si="57"/>
        <v>3639</v>
      </c>
      <c r="B297" s="19" t="str">
        <f t="shared" si="57"/>
        <v>TAMUK</v>
      </c>
      <c r="C297" s="18"/>
      <c r="D297" s="15">
        <v>738</v>
      </c>
      <c r="E297" s="21">
        <v>0.39799999999999996</v>
      </c>
      <c r="F297" s="49">
        <v>4394.2</v>
      </c>
      <c r="G297" s="13">
        <v>1735.8600000000065</v>
      </c>
      <c r="H297" s="15">
        <v>246</v>
      </c>
      <c r="I297" s="48">
        <v>16</v>
      </c>
      <c r="J297" s="217">
        <v>190</v>
      </c>
      <c r="K297" s="16">
        <v>613</v>
      </c>
      <c r="L297" s="50">
        <v>1180</v>
      </c>
      <c r="M297" s="49">
        <v>879</v>
      </c>
      <c r="N297" s="48">
        <v>555</v>
      </c>
    </row>
    <row r="298" spans="1:14" outlineLevel="1" x14ac:dyDescent="0.2">
      <c r="A298" s="27">
        <f t="shared" ref="A298:B313" si="58">A256</f>
        <v>103639</v>
      </c>
      <c r="B298" s="19" t="str">
        <f t="shared" si="58"/>
        <v>TAMUSA</v>
      </c>
      <c r="C298" s="18"/>
      <c r="D298" s="15">
        <v>620</v>
      </c>
      <c r="E298" s="21">
        <v>0.39799999999999996</v>
      </c>
      <c r="F298" s="49">
        <v>1492.4</v>
      </c>
      <c r="G298" s="13">
        <v>1078.0000000000073</v>
      </c>
      <c r="H298" s="15">
        <v>1</v>
      </c>
      <c r="I298" s="48">
        <v>0</v>
      </c>
      <c r="J298" s="217">
        <v>513</v>
      </c>
      <c r="K298" s="16">
        <v>520</v>
      </c>
      <c r="L298" s="50">
        <v>995</v>
      </c>
      <c r="M298" s="49">
        <v>37</v>
      </c>
      <c r="N298" s="48">
        <v>2</v>
      </c>
    </row>
    <row r="299" spans="1:14" outlineLevel="1" x14ac:dyDescent="0.2">
      <c r="A299" s="20">
        <f t="shared" si="58"/>
        <v>9651</v>
      </c>
      <c r="B299" s="19" t="str">
        <f t="shared" si="58"/>
        <v>TAMI</v>
      </c>
      <c r="C299" s="18"/>
      <c r="D299" s="15">
        <v>766</v>
      </c>
      <c r="E299" s="21">
        <v>0.503</v>
      </c>
      <c r="F299" s="14">
        <v>4126.8</v>
      </c>
      <c r="G299" s="13">
        <v>1400.4200000000046</v>
      </c>
      <c r="H299" s="15">
        <v>120</v>
      </c>
      <c r="I299" s="13">
        <v>18</v>
      </c>
      <c r="J299" s="214">
        <v>376</v>
      </c>
      <c r="K299" s="16">
        <v>688</v>
      </c>
      <c r="L299" s="15">
        <v>1515</v>
      </c>
      <c r="M299" s="14">
        <v>1027</v>
      </c>
      <c r="N299" s="13">
        <v>486</v>
      </c>
    </row>
    <row r="300" spans="1:14" outlineLevel="1" x14ac:dyDescent="0.2">
      <c r="A300" s="20">
        <f t="shared" si="58"/>
        <v>3665</v>
      </c>
      <c r="B300" s="19" t="str">
        <f t="shared" si="58"/>
        <v>WTAMU</v>
      </c>
      <c r="C300" s="18"/>
      <c r="D300" s="15">
        <v>1294</v>
      </c>
      <c r="E300" s="21">
        <v>0.47399999999999998</v>
      </c>
      <c r="F300" s="14">
        <v>5457.666666666667</v>
      </c>
      <c r="G300" s="13">
        <v>2570.7800000000157</v>
      </c>
      <c r="H300" s="15">
        <v>184</v>
      </c>
      <c r="I300" s="13">
        <v>58</v>
      </c>
      <c r="J300" s="214">
        <v>437</v>
      </c>
      <c r="K300" s="16">
        <v>913</v>
      </c>
      <c r="L300" s="15">
        <v>1871</v>
      </c>
      <c r="M300" s="14">
        <v>1264</v>
      </c>
      <c r="N300" s="13">
        <v>664</v>
      </c>
    </row>
    <row r="301" spans="1:14" outlineLevel="1" x14ac:dyDescent="0.2">
      <c r="A301" s="20">
        <f t="shared" si="58"/>
        <v>3565</v>
      </c>
      <c r="B301" s="19" t="str">
        <f t="shared" si="58"/>
        <v>TAMUC</v>
      </c>
      <c r="C301" s="18"/>
      <c r="D301" s="15">
        <v>1313</v>
      </c>
      <c r="E301" s="21">
        <v>0.42600000000000005</v>
      </c>
      <c r="F301" s="14">
        <v>4783.5333333333338</v>
      </c>
      <c r="G301" s="13">
        <v>2463.6900000000296</v>
      </c>
      <c r="H301" s="15">
        <v>71</v>
      </c>
      <c r="I301" s="13">
        <v>77</v>
      </c>
      <c r="J301" s="214">
        <v>748</v>
      </c>
      <c r="K301" s="16">
        <v>1002</v>
      </c>
      <c r="L301" s="15">
        <v>1911</v>
      </c>
      <c r="M301" s="14">
        <v>1200</v>
      </c>
      <c r="N301" s="13">
        <v>477</v>
      </c>
    </row>
    <row r="302" spans="1:14" outlineLevel="1" x14ac:dyDescent="0.2">
      <c r="A302" s="20">
        <f t="shared" si="58"/>
        <v>29269</v>
      </c>
      <c r="B302" s="19" t="str">
        <f t="shared" si="58"/>
        <v>TAMUT</v>
      </c>
      <c r="C302" s="18"/>
      <c r="D302" s="15">
        <v>335</v>
      </c>
      <c r="E302" s="17">
        <v>0.56028368794326244</v>
      </c>
      <c r="F302" s="14">
        <v>879.13333333333333</v>
      </c>
      <c r="G302" s="13">
        <v>609.83000000000015</v>
      </c>
      <c r="H302" s="15">
        <v>48</v>
      </c>
      <c r="I302" s="13">
        <v>18</v>
      </c>
      <c r="J302" s="214">
        <v>220</v>
      </c>
      <c r="K302" s="16">
        <v>230</v>
      </c>
      <c r="L302" s="15">
        <v>411</v>
      </c>
      <c r="M302" s="14">
        <v>186</v>
      </c>
      <c r="N302" s="13">
        <v>1</v>
      </c>
    </row>
    <row r="303" spans="1:14" outlineLevel="1" x14ac:dyDescent="0.2">
      <c r="A303" s="20">
        <f t="shared" si="58"/>
        <v>3652</v>
      </c>
      <c r="B303" s="19" t="str">
        <f t="shared" si="58"/>
        <v>UH</v>
      </c>
      <c r="C303" s="18"/>
      <c r="D303" s="15">
        <v>5092</v>
      </c>
      <c r="E303" s="21">
        <v>0.54200000000000004</v>
      </c>
      <c r="F303" s="14">
        <v>23853.933333333334</v>
      </c>
      <c r="G303" s="13">
        <v>10569.339999999527</v>
      </c>
      <c r="H303" s="15">
        <v>720</v>
      </c>
      <c r="I303" s="13">
        <v>74</v>
      </c>
      <c r="J303" s="214">
        <v>1691</v>
      </c>
      <c r="K303" s="16">
        <v>3340</v>
      </c>
      <c r="L303" s="15">
        <v>7467</v>
      </c>
      <c r="M303" s="14">
        <v>5804</v>
      </c>
      <c r="N303" s="13">
        <v>3314</v>
      </c>
    </row>
    <row r="304" spans="1:14" outlineLevel="1" x14ac:dyDescent="0.2">
      <c r="A304" s="20">
        <f t="shared" si="58"/>
        <v>11711</v>
      </c>
      <c r="B304" s="19" t="str">
        <f t="shared" si="58"/>
        <v>UHCL</v>
      </c>
      <c r="C304" s="18"/>
      <c r="D304" s="15">
        <v>1197</v>
      </c>
      <c r="E304" s="17">
        <v>0.53820033955857383</v>
      </c>
      <c r="F304" s="14">
        <v>3046.8</v>
      </c>
      <c r="G304" s="13">
        <v>2293.9500000000248</v>
      </c>
      <c r="H304" s="15">
        <v>113</v>
      </c>
      <c r="I304" s="13">
        <v>8</v>
      </c>
      <c r="J304" s="214">
        <v>822</v>
      </c>
      <c r="K304" s="16">
        <v>777</v>
      </c>
      <c r="L304" s="15">
        <v>1434</v>
      </c>
      <c r="M304" s="14">
        <v>959</v>
      </c>
      <c r="N304" s="13">
        <v>53</v>
      </c>
    </row>
    <row r="305" spans="1:15" outlineLevel="1" x14ac:dyDescent="0.2">
      <c r="A305" s="20">
        <f t="shared" si="58"/>
        <v>12826</v>
      </c>
      <c r="B305" s="19" t="str">
        <f t="shared" si="58"/>
        <v>UHD</v>
      </c>
      <c r="C305" s="18"/>
      <c r="D305" s="15">
        <v>2437</v>
      </c>
      <c r="E305" s="21">
        <v>0.215</v>
      </c>
      <c r="F305" s="14">
        <v>7949.2666666666664</v>
      </c>
      <c r="G305" s="13">
        <v>4368.2100000000464</v>
      </c>
      <c r="H305" s="15">
        <v>143</v>
      </c>
      <c r="I305" s="13">
        <v>0</v>
      </c>
      <c r="J305" s="214">
        <v>1114</v>
      </c>
      <c r="K305" s="16">
        <v>1730</v>
      </c>
      <c r="L305" s="15">
        <v>3223</v>
      </c>
      <c r="M305" s="14">
        <v>1896</v>
      </c>
      <c r="N305" s="13">
        <v>618</v>
      </c>
    </row>
    <row r="306" spans="1:15" outlineLevel="1" x14ac:dyDescent="0.2">
      <c r="A306" s="20">
        <f t="shared" si="58"/>
        <v>13231</v>
      </c>
      <c r="B306" s="19" t="str">
        <f t="shared" si="58"/>
        <v>UHV</v>
      </c>
      <c r="C306" s="18"/>
      <c r="D306" s="15">
        <v>596</v>
      </c>
      <c r="E306" s="17">
        <v>0.5339366515837104</v>
      </c>
      <c r="F306" s="14">
        <v>1494.2</v>
      </c>
      <c r="G306" s="13">
        <v>1103.6999999999998</v>
      </c>
      <c r="H306" s="15">
        <v>118</v>
      </c>
      <c r="I306" s="13">
        <v>11</v>
      </c>
      <c r="J306" s="214">
        <v>433</v>
      </c>
      <c r="K306" s="16">
        <v>397</v>
      </c>
      <c r="L306" s="15">
        <v>718</v>
      </c>
      <c r="M306" s="14">
        <v>286</v>
      </c>
      <c r="N306" s="13">
        <v>6</v>
      </c>
    </row>
    <row r="307" spans="1:15" outlineLevel="1" x14ac:dyDescent="0.2">
      <c r="A307" s="20">
        <f t="shared" si="58"/>
        <v>3592</v>
      </c>
      <c r="B307" s="19" t="str">
        <f t="shared" si="58"/>
        <v>Midwestern</v>
      </c>
      <c r="C307" s="18"/>
      <c r="D307" s="15">
        <v>1027</v>
      </c>
      <c r="E307" s="21">
        <v>0.443</v>
      </c>
      <c r="F307" s="14">
        <v>4387.7333333333336</v>
      </c>
      <c r="G307" s="13">
        <v>1924.84</v>
      </c>
      <c r="H307" s="15">
        <v>340</v>
      </c>
      <c r="I307" s="13">
        <v>11</v>
      </c>
      <c r="J307" s="214">
        <v>250</v>
      </c>
      <c r="K307" s="16">
        <v>675</v>
      </c>
      <c r="L307" s="15">
        <v>1507</v>
      </c>
      <c r="M307" s="14">
        <v>1079</v>
      </c>
      <c r="N307" s="13">
        <v>734</v>
      </c>
    </row>
    <row r="308" spans="1:15" outlineLevel="1" x14ac:dyDescent="0.2">
      <c r="A308" s="20">
        <f t="shared" si="58"/>
        <v>3594</v>
      </c>
      <c r="B308" s="19" t="str">
        <f t="shared" si="58"/>
        <v>UNT</v>
      </c>
      <c r="C308" s="18"/>
      <c r="D308" s="15">
        <v>6183</v>
      </c>
      <c r="E308" s="21">
        <v>0.58700000000000008</v>
      </c>
      <c r="F308" s="14">
        <v>23168.733333333334</v>
      </c>
      <c r="G308" s="13">
        <v>11731.089999999795</v>
      </c>
      <c r="H308" s="15">
        <v>345</v>
      </c>
      <c r="I308" s="13">
        <v>47</v>
      </c>
      <c r="J308" s="214">
        <v>2356</v>
      </c>
      <c r="K308" s="16">
        <v>3942</v>
      </c>
      <c r="L308" s="15">
        <v>7957</v>
      </c>
      <c r="M308" s="14">
        <v>5891</v>
      </c>
      <c r="N308" s="13">
        <v>3310</v>
      </c>
    </row>
    <row r="309" spans="1:15" outlineLevel="1" x14ac:dyDescent="0.2">
      <c r="A309" s="27">
        <f t="shared" si="58"/>
        <v>113594</v>
      </c>
      <c r="B309" s="19" t="str">
        <f t="shared" si="58"/>
        <v>UNTD</v>
      </c>
      <c r="C309" s="18"/>
      <c r="D309" s="30">
        <v>388</v>
      </c>
      <c r="E309" s="47">
        <v>0.58700000000000008</v>
      </c>
      <c r="F309" s="29">
        <v>908.8</v>
      </c>
      <c r="G309" s="28">
        <v>669.60000000000036</v>
      </c>
      <c r="H309" s="30">
        <v>10</v>
      </c>
      <c r="I309" s="28"/>
      <c r="J309" s="218">
        <v>0</v>
      </c>
      <c r="K309" s="46">
        <v>304</v>
      </c>
      <c r="L309" s="30">
        <v>487</v>
      </c>
      <c r="M309" s="29">
        <v>63</v>
      </c>
      <c r="N309" s="28">
        <v>18</v>
      </c>
    </row>
    <row r="310" spans="1:15" outlineLevel="1" x14ac:dyDescent="0.2">
      <c r="A310" s="20">
        <f t="shared" si="58"/>
        <v>3624</v>
      </c>
      <c r="B310" s="19" t="str">
        <f t="shared" si="58"/>
        <v>SFA</v>
      </c>
      <c r="C310" s="18"/>
      <c r="D310" s="15">
        <v>1880</v>
      </c>
      <c r="E310" s="21">
        <v>0.53900000000000003</v>
      </c>
      <c r="F310" s="14">
        <v>9440.9333333333325</v>
      </c>
      <c r="G310" s="13">
        <v>3606.8600000000297</v>
      </c>
      <c r="H310" s="15">
        <v>241</v>
      </c>
      <c r="I310" s="13">
        <v>49</v>
      </c>
      <c r="J310" s="214">
        <v>545</v>
      </c>
      <c r="K310" s="16">
        <v>1446</v>
      </c>
      <c r="L310" s="15">
        <v>3040</v>
      </c>
      <c r="M310" s="14">
        <v>2166</v>
      </c>
      <c r="N310" s="13">
        <v>1402</v>
      </c>
    </row>
    <row r="311" spans="1:15" outlineLevel="1" x14ac:dyDescent="0.2">
      <c r="A311" s="20">
        <f t="shared" si="58"/>
        <v>3642</v>
      </c>
      <c r="B311" s="19" t="str">
        <f t="shared" si="58"/>
        <v>TSU</v>
      </c>
      <c r="C311" s="18"/>
      <c r="D311" s="15">
        <v>721</v>
      </c>
      <c r="E311" s="21">
        <v>0.14099999999999999</v>
      </c>
      <c r="F311" s="14">
        <v>5912.8</v>
      </c>
      <c r="G311" s="13">
        <v>1385.6100000000063</v>
      </c>
      <c r="H311" s="15">
        <v>122</v>
      </c>
      <c r="I311" s="13">
        <v>2</v>
      </c>
      <c r="J311" s="214">
        <v>109</v>
      </c>
      <c r="K311" s="16">
        <v>635</v>
      </c>
      <c r="L311" s="15">
        <v>1692</v>
      </c>
      <c r="M311" s="14">
        <v>1274</v>
      </c>
      <c r="N311" s="13">
        <v>870</v>
      </c>
    </row>
    <row r="312" spans="1:15" outlineLevel="1" x14ac:dyDescent="0.2">
      <c r="A312" s="20">
        <f t="shared" si="58"/>
        <v>3644</v>
      </c>
      <c r="B312" s="19" t="str">
        <f t="shared" si="58"/>
        <v>TTU</v>
      </c>
      <c r="C312" s="18"/>
      <c r="D312" s="15">
        <v>4605</v>
      </c>
      <c r="E312" s="21">
        <v>0.7320000000000001</v>
      </c>
      <c r="F312" s="14">
        <v>22527.466666666667</v>
      </c>
      <c r="G312" s="13">
        <v>9815.7899999997753</v>
      </c>
      <c r="H312" s="15">
        <v>687</v>
      </c>
      <c r="I312" s="13">
        <v>62</v>
      </c>
      <c r="J312" s="214">
        <v>1087</v>
      </c>
      <c r="K312" s="16">
        <v>2724</v>
      </c>
      <c r="L312" s="15">
        <v>6577</v>
      </c>
      <c r="M312" s="14">
        <v>5355</v>
      </c>
      <c r="N312" s="13">
        <v>3957</v>
      </c>
    </row>
    <row r="313" spans="1:15" outlineLevel="1" x14ac:dyDescent="0.2">
      <c r="A313" s="20">
        <f t="shared" si="58"/>
        <v>3541</v>
      </c>
      <c r="B313" s="19" t="str">
        <f t="shared" si="58"/>
        <v>Angelo</v>
      </c>
      <c r="C313" s="18"/>
      <c r="D313" s="15">
        <v>960</v>
      </c>
      <c r="E313" s="21">
        <v>0.441</v>
      </c>
      <c r="F313" s="14">
        <v>4895.666666666667</v>
      </c>
      <c r="G313" s="13">
        <v>1856.9499999999953</v>
      </c>
      <c r="H313" s="15">
        <v>242</v>
      </c>
      <c r="I313" s="13">
        <v>21</v>
      </c>
      <c r="J313" s="214">
        <v>179</v>
      </c>
      <c r="K313" s="16">
        <v>720</v>
      </c>
      <c r="L313" s="15">
        <v>1444</v>
      </c>
      <c r="M313" s="14">
        <v>1071</v>
      </c>
      <c r="N313" s="13">
        <v>708</v>
      </c>
    </row>
    <row r="314" spans="1:15" outlineLevel="1" x14ac:dyDescent="0.2">
      <c r="A314" s="20">
        <f t="shared" ref="A314:B319" si="59">A272</f>
        <v>3646</v>
      </c>
      <c r="B314" s="19" t="str">
        <f t="shared" si="59"/>
        <v>TWU</v>
      </c>
      <c r="C314" s="18"/>
      <c r="D314" s="15">
        <v>1725</v>
      </c>
      <c r="E314" s="21">
        <v>0.48399999999999999</v>
      </c>
      <c r="F314" s="14">
        <v>6598.2</v>
      </c>
      <c r="G314" s="13">
        <v>3227.0100000000139</v>
      </c>
      <c r="H314" s="15">
        <v>523</v>
      </c>
      <c r="I314" s="13">
        <v>34</v>
      </c>
      <c r="J314" s="214">
        <v>768</v>
      </c>
      <c r="K314" s="16">
        <v>1201</v>
      </c>
      <c r="L314" s="15">
        <v>2121</v>
      </c>
      <c r="M314" s="14">
        <v>1259</v>
      </c>
      <c r="N314" s="13">
        <v>608</v>
      </c>
    </row>
    <row r="315" spans="1:15" outlineLevel="1" x14ac:dyDescent="0.2">
      <c r="A315" s="20">
        <f t="shared" si="59"/>
        <v>3581</v>
      </c>
      <c r="B315" s="19" t="str">
        <f t="shared" si="59"/>
        <v>Lamar</v>
      </c>
      <c r="C315" s="18"/>
      <c r="D315" s="15">
        <v>1340</v>
      </c>
      <c r="E315" s="21">
        <v>0.35399999999999998</v>
      </c>
      <c r="F315" s="14">
        <v>7247.8</v>
      </c>
      <c r="G315" s="13">
        <v>2695.0800000000122</v>
      </c>
      <c r="H315" s="15">
        <v>358</v>
      </c>
      <c r="I315" s="13">
        <v>16</v>
      </c>
      <c r="J315" s="214">
        <v>228</v>
      </c>
      <c r="K315" s="16">
        <v>943</v>
      </c>
      <c r="L315" s="15">
        <v>2317</v>
      </c>
      <c r="M315" s="14">
        <v>1577</v>
      </c>
      <c r="N315" s="13">
        <v>1000</v>
      </c>
    </row>
    <row r="316" spans="1:15" outlineLevel="1" x14ac:dyDescent="0.2">
      <c r="A316" s="20">
        <f t="shared" si="59"/>
        <v>3606</v>
      </c>
      <c r="B316" s="19" t="str">
        <f t="shared" si="59"/>
        <v>SHSU</v>
      </c>
      <c r="C316" s="18"/>
      <c r="D316" s="15">
        <v>3013</v>
      </c>
      <c r="E316" s="21">
        <v>0.60299999999999998</v>
      </c>
      <c r="F316" s="14">
        <v>12631.666666666666</v>
      </c>
      <c r="G316" s="13">
        <v>5628.5800000000427</v>
      </c>
      <c r="H316" s="15">
        <v>166</v>
      </c>
      <c r="I316" s="13">
        <v>63</v>
      </c>
      <c r="J316" s="214">
        <v>1259</v>
      </c>
      <c r="K316" s="16">
        <v>2160</v>
      </c>
      <c r="L316" s="15">
        <v>3940</v>
      </c>
      <c r="M316" s="14">
        <v>2970</v>
      </c>
      <c r="N316" s="13">
        <v>1716</v>
      </c>
    </row>
    <row r="317" spans="1:15" outlineLevel="1" x14ac:dyDescent="0.2">
      <c r="A317" s="20">
        <f t="shared" si="59"/>
        <v>3615</v>
      </c>
      <c r="B317" s="19" t="str">
        <f t="shared" si="59"/>
        <v>TXST</v>
      </c>
      <c r="C317" s="18"/>
      <c r="D317" s="15">
        <v>5349</v>
      </c>
      <c r="E317" s="21">
        <v>0.6409999999999999</v>
      </c>
      <c r="F317" s="14">
        <v>22917.933333333334</v>
      </c>
      <c r="G317" s="13">
        <v>10250.389999999717</v>
      </c>
      <c r="H317" s="15">
        <v>445</v>
      </c>
      <c r="I317" s="13">
        <v>65</v>
      </c>
      <c r="J317" s="214">
        <v>2011</v>
      </c>
      <c r="K317" s="16">
        <v>3665</v>
      </c>
      <c r="L317" s="15">
        <v>7685</v>
      </c>
      <c r="M317" s="14">
        <v>5748</v>
      </c>
      <c r="N317" s="13">
        <v>3317</v>
      </c>
    </row>
    <row r="318" spans="1:15" outlineLevel="1" x14ac:dyDescent="0.2">
      <c r="A318" s="20">
        <f t="shared" si="59"/>
        <v>3625</v>
      </c>
      <c r="B318" s="19" t="str">
        <f t="shared" si="59"/>
        <v>SRSU</v>
      </c>
      <c r="C318" s="18"/>
      <c r="D318" s="15">
        <v>196</v>
      </c>
      <c r="E318" s="21">
        <v>0.29199999999999998</v>
      </c>
      <c r="F318" s="14">
        <v>1200.1333333333334</v>
      </c>
      <c r="G318" s="13">
        <v>405.49999999999949</v>
      </c>
      <c r="H318" s="15">
        <v>18</v>
      </c>
      <c r="I318" s="13">
        <v>4</v>
      </c>
      <c r="J318" s="214">
        <v>49</v>
      </c>
      <c r="K318" s="16">
        <v>166</v>
      </c>
      <c r="L318" s="15">
        <v>298</v>
      </c>
      <c r="M318" s="14">
        <v>217</v>
      </c>
      <c r="N318" s="13">
        <v>136</v>
      </c>
      <c r="O318" s="41"/>
    </row>
    <row r="319" spans="1:15" outlineLevel="1" x14ac:dyDescent="0.2">
      <c r="A319" s="20">
        <f t="shared" si="59"/>
        <v>20</v>
      </c>
      <c r="B319" s="19" t="str">
        <f t="shared" si="59"/>
        <v>SRRG</v>
      </c>
      <c r="C319" s="18"/>
      <c r="D319" s="15">
        <v>163</v>
      </c>
      <c r="E319" s="17">
        <v>0.33750000000000002</v>
      </c>
      <c r="F319" s="14">
        <v>472.13333333333333</v>
      </c>
      <c r="G319" s="13">
        <v>281.52999999999975</v>
      </c>
      <c r="H319" s="15">
        <v>5</v>
      </c>
      <c r="I319" s="13">
        <v>7</v>
      </c>
      <c r="J319" s="214">
        <v>117</v>
      </c>
      <c r="K319" s="16">
        <v>145</v>
      </c>
      <c r="L319" s="15">
        <v>224</v>
      </c>
      <c r="M319" s="14">
        <v>97</v>
      </c>
      <c r="N319" s="13">
        <v>2</v>
      </c>
    </row>
    <row r="320" spans="1:15" ht="13.5" outlineLevel="1" thickBot="1" x14ac:dyDescent="0.25">
      <c r="A320" s="12"/>
      <c r="B320" s="11" t="s">
        <v>11</v>
      </c>
      <c r="C320" s="10"/>
      <c r="D320" s="9">
        <f>SUM(D282:D319)</f>
        <v>84231</v>
      </c>
      <c r="E320" s="8">
        <v>0.58399999999999996</v>
      </c>
      <c r="F320" s="7">
        <f t="shared" ref="F320:N320" si="60">SUM(F282:F319)</f>
        <v>351171.46666666673</v>
      </c>
      <c r="G320" s="3">
        <f t="shared" si="60"/>
        <v>170914.74000000223</v>
      </c>
      <c r="H320" s="5">
        <f t="shared" si="60"/>
        <v>13857</v>
      </c>
      <c r="I320" s="3">
        <f t="shared" si="60"/>
        <v>1204</v>
      </c>
      <c r="J320" s="216">
        <f>SUM(J282:J319)</f>
        <v>29274</v>
      </c>
      <c r="K320" s="6">
        <f t="shared" si="60"/>
        <v>54385</v>
      </c>
      <c r="L320" s="5">
        <f t="shared" si="60"/>
        <v>116139</v>
      </c>
      <c r="M320" s="4">
        <f t="shared" si="60"/>
        <v>84006</v>
      </c>
      <c r="N320" s="3">
        <f t="shared" si="60"/>
        <v>51310</v>
      </c>
    </row>
    <row r="321" spans="1:15" ht="13.5" thickBot="1" x14ac:dyDescent="0.25">
      <c r="A321" s="45" t="s">
        <v>25</v>
      </c>
      <c r="B321" s="45"/>
      <c r="C321" s="45"/>
      <c r="D321" s="45"/>
      <c r="F321" s="45"/>
      <c r="K321" s="45"/>
    </row>
    <row r="322" spans="1:15" ht="12.75" customHeight="1" outlineLevel="1" x14ac:dyDescent="0.2">
      <c r="A322" s="273" t="s">
        <v>24</v>
      </c>
      <c r="B322" s="275" t="s">
        <v>23</v>
      </c>
      <c r="C322" s="277"/>
      <c r="D322" s="306" t="s">
        <v>22</v>
      </c>
      <c r="E322" s="301" t="s">
        <v>21</v>
      </c>
      <c r="F322" s="275" t="s">
        <v>20</v>
      </c>
      <c r="G322" s="297" t="s">
        <v>19</v>
      </c>
      <c r="H322" s="299" t="s">
        <v>18</v>
      </c>
      <c r="I322" s="291" t="s">
        <v>17</v>
      </c>
      <c r="J322" s="212"/>
      <c r="K322" s="293" t="s">
        <v>16</v>
      </c>
      <c r="L322" s="295" t="s">
        <v>15</v>
      </c>
      <c r="M322" s="296"/>
      <c r="N322" s="296"/>
    </row>
    <row r="323" spans="1:15" s="41" customFormat="1" ht="39.75" customHeight="1" outlineLevel="1" thickBot="1" x14ac:dyDescent="0.25">
      <c r="A323" s="274"/>
      <c r="B323" s="276"/>
      <c r="C323" s="278"/>
      <c r="D323" s="307"/>
      <c r="E323" s="302"/>
      <c r="F323" s="276"/>
      <c r="G323" s="298"/>
      <c r="H323" s="300"/>
      <c r="I323" s="292"/>
      <c r="J323" s="213" t="s">
        <v>127</v>
      </c>
      <c r="K323" s="294"/>
      <c r="L323" s="44" t="s">
        <v>14</v>
      </c>
      <c r="M323" s="43" t="s">
        <v>13</v>
      </c>
      <c r="N323" s="42" t="s">
        <v>12</v>
      </c>
      <c r="O323" s="1"/>
    </row>
    <row r="324" spans="1:15" outlineLevel="1" x14ac:dyDescent="0.2">
      <c r="A324" s="40">
        <f t="shared" ref="A324:B339" si="61">A282</f>
        <v>3656</v>
      </c>
      <c r="B324" s="39" t="str">
        <f t="shared" si="61"/>
        <v>UTA</v>
      </c>
      <c r="C324" s="38"/>
      <c r="D324" s="33">
        <v>4178</v>
      </c>
      <c r="E324" s="37">
        <v>0.50700000000000001</v>
      </c>
      <c r="F324" s="32">
        <v>15698.133333333333</v>
      </c>
      <c r="G324" s="31">
        <v>8640.2399999998797</v>
      </c>
      <c r="H324" s="36">
        <v>834</v>
      </c>
      <c r="I324" s="35">
        <v>36</v>
      </c>
      <c r="J324" s="215">
        <v>1817</v>
      </c>
      <c r="K324" s="34">
        <v>2662</v>
      </c>
      <c r="L324" s="33">
        <v>6630</v>
      </c>
      <c r="M324" s="32">
        <v>3636</v>
      </c>
      <c r="N324" s="31">
        <v>1724</v>
      </c>
    </row>
    <row r="325" spans="1:15" outlineLevel="1" x14ac:dyDescent="0.2">
      <c r="A325" s="20">
        <f t="shared" si="61"/>
        <v>3658</v>
      </c>
      <c r="B325" s="19" t="str">
        <f t="shared" si="61"/>
        <v>UT</v>
      </c>
      <c r="C325" s="18"/>
      <c r="D325" s="15">
        <v>8952</v>
      </c>
      <c r="E325" s="21">
        <v>0.82899999999999996</v>
      </c>
      <c r="F325" s="14">
        <v>33736.73333333333</v>
      </c>
      <c r="G325" s="13">
        <v>19230.319999999745</v>
      </c>
      <c r="H325" s="15">
        <v>1754</v>
      </c>
      <c r="I325" s="13">
        <v>55</v>
      </c>
      <c r="J325" s="214">
        <v>1191</v>
      </c>
      <c r="K325" s="16">
        <v>3435</v>
      </c>
      <c r="L325" s="15">
        <v>9596</v>
      </c>
      <c r="M325" s="14">
        <v>9749</v>
      </c>
      <c r="N325" s="13">
        <v>7288</v>
      </c>
    </row>
    <row r="326" spans="1:15" outlineLevel="1" x14ac:dyDescent="0.2">
      <c r="A326" s="20">
        <f t="shared" si="61"/>
        <v>9741</v>
      </c>
      <c r="B326" s="19" t="str">
        <f t="shared" si="61"/>
        <v>UTD</v>
      </c>
      <c r="C326" s="18"/>
      <c r="D326" s="15">
        <v>2355</v>
      </c>
      <c r="E326" s="21">
        <v>0.70699999999999996</v>
      </c>
      <c r="F326" s="14">
        <v>8108.8666666666668</v>
      </c>
      <c r="G326" s="13">
        <v>4955.5700000000443</v>
      </c>
      <c r="H326" s="15">
        <v>392</v>
      </c>
      <c r="I326" s="13">
        <v>36</v>
      </c>
      <c r="J326" s="214">
        <v>1064</v>
      </c>
      <c r="K326" s="16">
        <v>1255</v>
      </c>
      <c r="L326" s="15">
        <v>3078</v>
      </c>
      <c r="M326" s="14">
        <v>1950</v>
      </c>
      <c r="N326" s="13">
        <v>923</v>
      </c>
    </row>
    <row r="327" spans="1:15" outlineLevel="1" x14ac:dyDescent="0.2">
      <c r="A327" s="20">
        <f t="shared" si="61"/>
        <v>3661</v>
      </c>
      <c r="B327" s="19" t="str">
        <f t="shared" si="61"/>
        <v>UTEP</v>
      </c>
      <c r="C327" s="18"/>
      <c r="D327" s="15">
        <v>3031</v>
      </c>
      <c r="E327" s="21">
        <v>0.374</v>
      </c>
      <c r="F327" s="14">
        <v>12791.933333333332</v>
      </c>
      <c r="G327" s="13">
        <v>6295.4500000000389</v>
      </c>
      <c r="H327" s="15">
        <v>709</v>
      </c>
      <c r="I327" s="13">
        <v>93</v>
      </c>
      <c r="J327" s="214">
        <v>1094</v>
      </c>
      <c r="K327" s="16">
        <v>2394</v>
      </c>
      <c r="L327" s="15">
        <v>4200</v>
      </c>
      <c r="M327" s="14">
        <v>3366</v>
      </c>
      <c r="N327" s="13">
        <v>1972</v>
      </c>
    </row>
    <row r="328" spans="1:15" outlineLevel="1" x14ac:dyDescent="0.2">
      <c r="A328" s="20">
        <f t="shared" si="61"/>
        <v>3599</v>
      </c>
      <c r="B328" s="19" t="str">
        <f t="shared" si="61"/>
        <v>UTPA</v>
      </c>
      <c r="C328" s="18"/>
      <c r="D328" s="15">
        <v>2620</v>
      </c>
      <c r="E328" s="21">
        <v>0.38900000000000001</v>
      </c>
      <c r="F328" s="14">
        <v>12572.333333333334</v>
      </c>
      <c r="G328" s="13">
        <v>5170.8900000000631</v>
      </c>
      <c r="H328" s="15">
        <v>480</v>
      </c>
      <c r="I328" s="13">
        <v>31</v>
      </c>
      <c r="J328" s="214">
        <v>951</v>
      </c>
      <c r="K328" s="16">
        <v>2341</v>
      </c>
      <c r="L328" s="15">
        <v>4354</v>
      </c>
      <c r="M328" s="14">
        <v>3136</v>
      </c>
      <c r="N328" s="13">
        <v>1924</v>
      </c>
    </row>
    <row r="329" spans="1:15" outlineLevel="1" x14ac:dyDescent="0.2">
      <c r="A329" s="20">
        <f t="shared" si="61"/>
        <v>30646</v>
      </c>
      <c r="B329" s="19" t="str">
        <f t="shared" si="61"/>
        <v>UTB</v>
      </c>
      <c r="C329" s="18"/>
      <c r="D329" s="15">
        <v>1052</v>
      </c>
      <c r="E329" s="17">
        <v>0.64666666666666661</v>
      </c>
      <c r="F329" s="14">
        <v>2989.6</v>
      </c>
      <c r="G329" s="13">
        <v>2005.0100000000309</v>
      </c>
      <c r="H329" s="15">
        <v>108</v>
      </c>
      <c r="I329" s="13">
        <v>19</v>
      </c>
      <c r="J329" s="214">
        <v>874</v>
      </c>
      <c r="K329" s="16">
        <v>916</v>
      </c>
      <c r="L329" s="15">
        <v>1377</v>
      </c>
      <c r="M329" s="14">
        <v>583</v>
      </c>
      <c r="N329" s="13">
        <v>72</v>
      </c>
    </row>
    <row r="330" spans="1:15" outlineLevel="1" x14ac:dyDescent="0.2">
      <c r="A330" s="20">
        <f t="shared" si="61"/>
        <v>9930</v>
      </c>
      <c r="B330" s="19" t="str">
        <f t="shared" si="61"/>
        <v>UTPB</v>
      </c>
      <c r="C330" s="18"/>
      <c r="D330" s="15">
        <v>513</v>
      </c>
      <c r="E330" s="21">
        <v>0.44600000000000001</v>
      </c>
      <c r="F330" s="14">
        <v>2159.6</v>
      </c>
      <c r="G330" s="13">
        <v>944.74000000001092</v>
      </c>
      <c r="H330" s="15">
        <v>33</v>
      </c>
      <c r="I330" s="13">
        <v>13</v>
      </c>
      <c r="J330" s="214">
        <v>250</v>
      </c>
      <c r="K330" s="16">
        <v>379</v>
      </c>
      <c r="L330" s="15">
        <v>707</v>
      </c>
      <c r="M330" s="14">
        <v>450</v>
      </c>
      <c r="N330" s="13">
        <v>182</v>
      </c>
    </row>
    <row r="331" spans="1:15" outlineLevel="1" x14ac:dyDescent="0.2">
      <c r="A331" s="20">
        <f t="shared" si="61"/>
        <v>10115</v>
      </c>
      <c r="B331" s="19" t="str">
        <f t="shared" si="61"/>
        <v>UTSA</v>
      </c>
      <c r="C331" s="18"/>
      <c r="D331" s="15">
        <v>3968</v>
      </c>
      <c r="E331" s="21">
        <v>0.44</v>
      </c>
      <c r="F331" s="14">
        <v>19707.533333333333</v>
      </c>
      <c r="G331" s="13">
        <v>8107.0899999997582</v>
      </c>
      <c r="H331" s="15">
        <v>375</v>
      </c>
      <c r="I331" s="13">
        <v>39</v>
      </c>
      <c r="J331" s="214">
        <v>1417</v>
      </c>
      <c r="K331" s="16">
        <v>2956</v>
      </c>
      <c r="L331" s="15">
        <v>6812</v>
      </c>
      <c r="M331" s="14">
        <v>4615</v>
      </c>
      <c r="N331" s="13">
        <v>2588</v>
      </c>
    </row>
    <row r="332" spans="1:15" outlineLevel="1" x14ac:dyDescent="0.2">
      <c r="A332" s="20">
        <f t="shared" si="61"/>
        <v>11163</v>
      </c>
      <c r="B332" s="19" t="str">
        <f t="shared" si="61"/>
        <v>UTT</v>
      </c>
      <c r="C332" s="18"/>
      <c r="D332" s="15">
        <v>1238</v>
      </c>
      <c r="E332" s="21">
        <v>0.496</v>
      </c>
      <c r="F332" s="14">
        <v>4085.2666666666669</v>
      </c>
      <c r="G332" s="13">
        <v>2459.1300000000315</v>
      </c>
      <c r="H332" s="15">
        <v>372</v>
      </c>
      <c r="I332" s="13">
        <v>10</v>
      </c>
      <c r="J332" s="214">
        <v>676</v>
      </c>
      <c r="K332" s="16">
        <v>1002</v>
      </c>
      <c r="L332" s="15">
        <v>1404</v>
      </c>
      <c r="M332" s="14">
        <v>921</v>
      </c>
      <c r="N332" s="13">
        <v>378</v>
      </c>
    </row>
    <row r="333" spans="1:15" outlineLevel="1" x14ac:dyDescent="0.2">
      <c r="A333" s="20">
        <f t="shared" si="61"/>
        <v>3632</v>
      </c>
      <c r="B333" s="19" t="str">
        <f t="shared" si="61"/>
        <v>TAMU</v>
      </c>
      <c r="C333" s="18"/>
      <c r="D333" s="15">
        <v>8451</v>
      </c>
      <c r="E333" s="21">
        <v>0.83599999999999997</v>
      </c>
      <c r="F333" s="14">
        <v>34329.199999999997</v>
      </c>
      <c r="G333" s="13">
        <v>19146.209999999159</v>
      </c>
      <c r="H333" s="15">
        <v>1580</v>
      </c>
      <c r="I333" s="13">
        <v>108</v>
      </c>
      <c r="J333" s="214">
        <v>2282</v>
      </c>
      <c r="K333" s="16">
        <v>3530</v>
      </c>
      <c r="L333" s="15">
        <v>10012</v>
      </c>
      <c r="M333" s="14">
        <v>8836</v>
      </c>
      <c r="N333" s="13">
        <v>6932</v>
      </c>
    </row>
    <row r="334" spans="1:15" outlineLevel="1" x14ac:dyDescent="0.2">
      <c r="A334" s="20">
        <f t="shared" si="61"/>
        <v>10298</v>
      </c>
      <c r="B334" s="19" t="str">
        <f t="shared" si="61"/>
        <v>TAMUG</v>
      </c>
      <c r="C334" s="18"/>
      <c r="D334" s="15">
        <v>262</v>
      </c>
      <c r="E334" s="21">
        <v>0.59199999999999997</v>
      </c>
      <c r="F334" s="14">
        <v>1599.2</v>
      </c>
      <c r="G334" s="13">
        <v>636.84000000000231</v>
      </c>
      <c r="H334" s="15">
        <v>31</v>
      </c>
      <c r="I334" s="13">
        <v>0</v>
      </c>
      <c r="J334" s="214">
        <v>60</v>
      </c>
      <c r="K334" s="16">
        <v>137</v>
      </c>
      <c r="L334" s="15">
        <v>570</v>
      </c>
      <c r="M334" s="14">
        <v>322</v>
      </c>
      <c r="N334" s="13">
        <v>241</v>
      </c>
    </row>
    <row r="335" spans="1:15" outlineLevel="1" x14ac:dyDescent="0.2">
      <c r="A335" s="20">
        <f t="shared" si="61"/>
        <v>3630</v>
      </c>
      <c r="B335" s="19" t="str">
        <f t="shared" si="61"/>
        <v>Prairie View</v>
      </c>
      <c r="C335" s="18"/>
      <c r="D335" s="15">
        <v>879</v>
      </c>
      <c r="E335" s="21">
        <v>0.34200000000000003</v>
      </c>
      <c r="F335" s="14">
        <v>5840.8</v>
      </c>
      <c r="G335" s="13">
        <v>1995.4900000000189</v>
      </c>
      <c r="H335" s="15">
        <v>295</v>
      </c>
      <c r="I335" s="13">
        <v>8</v>
      </c>
      <c r="J335" s="214">
        <v>145</v>
      </c>
      <c r="K335" s="16">
        <v>756</v>
      </c>
      <c r="L335" s="15">
        <v>1643</v>
      </c>
      <c r="M335" s="14">
        <v>1174</v>
      </c>
      <c r="N335" s="13">
        <v>940</v>
      </c>
    </row>
    <row r="336" spans="1:15" outlineLevel="1" x14ac:dyDescent="0.2">
      <c r="A336" s="20">
        <f t="shared" si="61"/>
        <v>3631</v>
      </c>
      <c r="B336" s="19" t="str">
        <f t="shared" si="61"/>
        <v>Tarleton</v>
      </c>
      <c r="C336" s="18"/>
      <c r="D336" s="15">
        <v>1422</v>
      </c>
      <c r="E336" s="21">
        <v>0.47499999999999998</v>
      </c>
      <c r="F336" s="14">
        <v>5845.5333333333338</v>
      </c>
      <c r="G336" s="13">
        <v>2966.430000000048</v>
      </c>
      <c r="H336" s="15">
        <v>183</v>
      </c>
      <c r="I336" s="13">
        <v>38</v>
      </c>
      <c r="J336" s="214">
        <v>646</v>
      </c>
      <c r="K336" s="16">
        <v>1093</v>
      </c>
      <c r="L336" s="15">
        <v>2140</v>
      </c>
      <c r="M336" s="14">
        <v>1306</v>
      </c>
      <c r="N336" s="13">
        <v>903</v>
      </c>
    </row>
    <row r="337" spans="1:14" outlineLevel="1" x14ac:dyDescent="0.2">
      <c r="A337" s="27">
        <f t="shared" si="61"/>
        <v>103631</v>
      </c>
      <c r="B337" s="19" t="str">
        <f t="shared" si="61"/>
        <v>TAMUCT</v>
      </c>
      <c r="C337" s="18"/>
      <c r="D337" s="15">
        <v>450</v>
      </c>
      <c r="E337" s="21">
        <v>0.47499999999999998</v>
      </c>
      <c r="F337" s="14">
        <v>658.4666666666667</v>
      </c>
      <c r="G337" s="13">
        <v>831.96000000000549</v>
      </c>
      <c r="H337" s="15">
        <v>44</v>
      </c>
      <c r="I337" s="13"/>
      <c r="J337" s="214">
        <v>0</v>
      </c>
      <c r="K337" s="16">
        <v>322</v>
      </c>
      <c r="L337" s="15">
        <v>380</v>
      </c>
      <c r="M337" s="14">
        <v>137</v>
      </c>
      <c r="N337" s="13">
        <v>31</v>
      </c>
    </row>
    <row r="338" spans="1:14" outlineLevel="1" x14ac:dyDescent="0.2">
      <c r="A338" s="20">
        <f t="shared" si="61"/>
        <v>11161</v>
      </c>
      <c r="B338" s="19" t="str">
        <f t="shared" si="61"/>
        <v>TAMUCC</v>
      </c>
      <c r="C338" s="18"/>
      <c r="D338" s="15">
        <v>1335</v>
      </c>
      <c r="E338" s="21">
        <v>0.503</v>
      </c>
      <c r="F338" s="14">
        <v>6131.9333333333334</v>
      </c>
      <c r="G338" s="13">
        <v>2744.5700000000347</v>
      </c>
      <c r="H338" s="15">
        <v>237</v>
      </c>
      <c r="I338" s="13">
        <v>29</v>
      </c>
      <c r="J338" s="214">
        <v>454</v>
      </c>
      <c r="K338" s="16">
        <v>1024</v>
      </c>
      <c r="L338" s="15">
        <v>2079</v>
      </c>
      <c r="M338" s="14">
        <v>1357</v>
      </c>
      <c r="N338" s="13">
        <v>812</v>
      </c>
    </row>
    <row r="339" spans="1:14" outlineLevel="1" x14ac:dyDescent="0.2">
      <c r="A339" s="20">
        <f t="shared" si="61"/>
        <v>3639</v>
      </c>
      <c r="B339" s="19" t="str">
        <f t="shared" si="61"/>
        <v>TAMUK</v>
      </c>
      <c r="C339" s="18"/>
      <c r="D339" s="15">
        <v>692</v>
      </c>
      <c r="E339" s="21">
        <v>0.41699999999999998</v>
      </c>
      <c r="F339" s="14">
        <v>3808.2666666666669</v>
      </c>
      <c r="G339" s="13">
        <v>1601.8800000000022</v>
      </c>
      <c r="H339" s="15">
        <v>236</v>
      </c>
      <c r="I339" s="13">
        <v>15</v>
      </c>
      <c r="J339" s="214">
        <v>325</v>
      </c>
      <c r="K339" s="16">
        <v>590</v>
      </c>
      <c r="L339" s="15">
        <v>1159</v>
      </c>
      <c r="M339" s="14">
        <v>790</v>
      </c>
      <c r="N339" s="13">
        <v>550</v>
      </c>
    </row>
    <row r="340" spans="1:14" outlineLevel="1" x14ac:dyDescent="0.2">
      <c r="A340" s="27">
        <f t="shared" ref="A340:B355" si="62">A298</f>
        <v>103639</v>
      </c>
      <c r="B340" s="19" t="str">
        <f t="shared" si="62"/>
        <v>TAMUSA</v>
      </c>
      <c r="C340" s="18"/>
      <c r="D340" s="15">
        <v>496</v>
      </c>
      <c r="E340" s="21">
        <v>0.41699999999999998</v>
      </c>
      <c r="F340" s="14">
        <v>1072.6666666666667</v>
      </c>
      <c r="G340" s="13">
        <v>844.50000000000807</v>
      </c>
      <c r="H340" s="15">
        <v>4</v>
      </c>
      <c r="I340" s="13"/>
      <c r="J340" s="214">
        <v>0</v>
      </c>
      <c r="K340" s="16">
        <v>402</v>
      </c>
      <c r="L340" s="15">
        <v>307</v>
      </c>
      <c r="M340" s="14">
        <v>5</v>
      </c>
      <c r="N340" s="13">
        <v>5</v>
      </c>
    </row>
    <row r="341" spans="1:14" outlineLevel="1" x14ac:dyDescent="0.2">
      <c r="A341" s="20">
        <f t="shared" si="62"/>
        <v>9651</v>
      </c>
      <c r="B341" s="19" t="str">
        <f t="shared" si="62"/>
        <v>TAMI</v>
      </c>
      <c r="C341" s="18"/>
      <c r="D341" s="15">
        <v>798</v>
      </c>
      <c r="E341" s="21">
        <v>0.46</v>
      </c>
      <c r="F341" s="14">
        <v>3819.0666666666666</v>
      </c>
      <c r="G341" s="13">
        <v>1476.3000000000168</v>
      </c>
      <c r="H341" s="15">
        <v>85</v>
      </c>
      <c r="I341" s="13">
        <v>26</v>
      </c>
      <c r="J341" s="214">
        <v>411</v>
      </c>
      <c r="K341" s="16">
        <v>713</v>
      </c>
      <c r="L341" s="15">
        <v>1413</v>
      </c>
      <c r="M341" s="14">
        <v>981</v>
      </c>
      <c r="N341" s="13">
        <v>447</v>
      </c>
    </row>
    <row r="342" spans="1:14" outlineLevel="1" x14ac:dyDescent="0.2">
      <c r="A342" s="20">
        <f t="shared" si="62"/>
        <v>3665</v>
      </c>
      <c r="B342" s="19" t="str">
        <f t="shared" si="62"/>
        <v>WTAMU</v>
      </c>
      <c r="C342" s="18"/>
      <c r="D342" s="15">
        <v>1220</v>
      </c>
      <c r="E342" s="21">
        <v>0.45600000000000002</v>
      </c>
      <c r="F342" s="14">
        <v>5264.8</v>
      </c>
      <c r="G342" s="13">
        <v>2415.9700000000216</v>
      </c>
      <c r="H342" s="15">
        <v>216</v>
      </c>
      <c r="I342" s="13">
        <v>64</v>
      </c>
      <c r="J342" s="214">
        <v>444</v>
      </c>
      <c r="K342" s="16">
        <v>853</v>
      </c>
      <c r="L342" s="15">
        <v>1873</v>
      </c>
      <c r="M342" s="14">
        <v>1161</v>
      </c>
      <c r="N342" s="13">
        <v>631</v>
      </c>
    </row>
    <row r="343" spans="1:14" outlineLevel="1" x14ac:dyDescent="0.2">
      <c r="A343" s="20">
        <f t="shared" si="62"/>
        <v>3565</v>
      </c>
      <c r="B343" s="19" t="str">
        <f t="shared" si="62"/>
        <v>TAMUC</v>
      </c>
      <c r="C343" s="18"/>
      <c r="D343" s="15">
        <v>1153</v>
      </c>
      <c r="E343" s="21">
        <v>0.44800000000000001</v>
      </c>
      <c r="F343" s="14">
        <v>4172.1333333333332</v>
      </c>
      <c r="G343" s="13">
        <v>2179.8400000000324</v>
      </c>
      <c r="H343" s="15">
        <v>59</v>
      </c>
      <c r="I343" s="13">
        <v>65</v>
      </c>
      <c r="J343" s="214">
        <v>660</v>
      </c>
      <c r="K343" s="16">
        <v>884</v>
      </c>
      <c r="L343" s="15">
        <v>1712</v>
      </c>
      <c r="M343" s="14">
        <v>1038</v>
      </c>
      <c r="N343" s="13">
        <v>423</v>
      </c>
    </row>
    <row r="344" spans="1:14" outlineLevel="1" x14ac:dyDescent="0.2">
      <c r="A344" s="20">
        <f t="shared" si="62"/>
        <v>29269</v>
      </c>
      <c r="B344" s="19" t="str">
        <f t="shared" si="62"/>
        <v>TAMUT</v>
      </c>
      <c r="C344" s="18"/>
      <c r="D344" s="15">
        <v>326</v>
      </c>
      <c r="E344" s="17">
        <v>0.57336956521739135</v>
      </c>
      <c r="F344" s="14">
        <v>694.6</v>
      </c>
      <c r="G344" s="13">
        <v>569.46</v>
      </c>
      <c r="H344" s="15">
        <v>30</v>
      </c>
      <c r="I344" s="13">
        <v>15</v>
      </c>
      <c r="J344" s="214">
        <v>212</v>
      </c>
      <c r="K344" s="16">
        <v>210</v>
      </c>
      <c r="L344" s="15">
        <v>403</v>
      </c>
      <c r="M344" s="14">
        <v>138</v>
      </c>
      <c r="N344" s="13">
        <v>0</v>
      </c>
    </row>
    <row r="345" spans="1:14" outlineLevel="1" x14ac:dyDescent="0.2">
      <c r="A345" s="20">
        <f t="shared" si="62"/>
        <v>3652</v>
      </c>
      <c r="B345" s="19" t="str">
        <f t="shared" si="62"/>
        <v>UH</v>
      </c>
      <c r="C345" s="18"/>
      <c r="D345" s="15">
        <v>4778</v>
      </c>
      <c r="E345" s="21">
        <v>0.53100000000000003</v>
      </c>
      <c r="F345" s="14">
        <v>22778.733333333334</v>
      </c>
      <c r="G345" s="13">
        <v>9792.4499999989821</v>
      </c>
      <c r="H345" s="15">
        <v>656</v>
      </c>
      <c r="I345" s="13">
        <v>54</v>
      </c>
      <c r="J345" s="214">
        <v>1682</v>
      </c>
      <c r="K345" s="16">
        <v>3091</v>
      </c>
      <c r="L345" s="15">
        <v>7517</v>
      </c>
      <c r="M345" s="14">
        <v>5600</v>
      </c>
      <c r="N345" s="13">
        <v>3376</v>
      </c>
    </row>
    <row r="346" spans="1:14" outlineLevel="1" x14ac:dyDescent="0.2">
      <c r="A346" s="20">
        <f t="shared" si="62"/>
        <v>11711</v>
      </c>
      <c r="B346" s="19" t="str">
        <f t="shared" si="62"/>
        <v>UHCL</v>
      </c>
      <c r="C346" s="18"/>
      <c r="D346" s="15">
        <v>1124</v>
      </c>
      <c r="E346" s="17">
        <v>0.50557620817843862</v>
      </c>
      <c r="F346" s="14">
        <v>2872.8666666666668</v>
      </c>
      <c r="G346" s="13">
        <v>2131.2100000000323</v>
      </c>
      <c r="H346" s="15">
        <v>88</v>
      </c>
      <c r="I346" s="13">
        <v>8</v>
      </c>
      <c r="J346" s="214">
        <v>767</v>
      </c>
      <c r="K346" s="16">
        <v>707</v>
      </c>
      <c r="L346" s="15">
        <v>1349</v>
      </c>
      <c r="M346" s="14">
        <v>888</v>
      </c>
      <c r="N346" s="13">
        <v>81</v>
      </c>
    </row>
    <row r="347" spans="1:14" outlineLevel="1" x14ac:dyDescent="0.2">
      <c r="A347" s="20">
        <f t="shared" si="62"/>
        <v>12826</v>
      </c>
      <c r="B347" s="19" t="str">
        <f t="shared" si="62"/>
        <v>UHD</v>
      </c>
      <c r="C347" s="18"/>
      <c r="D347" s="15">
        <v>2359</v>
      </c>
      <c r="E347" s="21">
        <v>0.18099999999999999</v>
      </c>
      <c r="F347" s="14">
        <v>7963.6</v>
      </c>
      <c r="G347" s="13">
        <v>4153.3100000000841</v>
      </c>
      <c r="H347" s="15">
        <v>112</v>
      </c>
      <c r="I347" s="13">
        <v>2</v>
      </c>
      <c r="J347" s="214">
        <v>1000</v>
      </c>
      <c r="K347" s="16">
        <v>1619</v>
      </c>
      <c r="L347" s="15">
        <v>3082</v>
      </c>
      <c r="M347" s="14">
        <v>1889</v>
      </c>
      <c r="N347" s="13">
        <v>606</v>
      </c>
    </row>
    <row r="348" spans="1:14" outlineLevel="1" x14ac:dyDescent="0.2">
      <c r="A348" s="20">
        <f t="shared" si="62"/>
        <v>13231</v>
      </c>
      <c r="B348" s="19" t="str">
        <f t="shared" si="62"/>
        <v>UHV</v>
      </c>
      <c r="C348" s="18"/>
      <c r="D348" s="15">
        <v>515</v>
      </c>
      <c r="E348" s="17">
        <v>0.55256723716381417</v>
      </c>
      <c r="F348" s="14">
        <v>1135.8</v>
      </c>
      <c r="G348" s="13">
        <v>962.15000000001089</v>
      </c>
      <c r="H348" s="15">
        <v>72</v>
      </c>
      <c r="I348" s="13">
        <v>2</v>
      </c>
      <c r="J348" s="214">
        <v>381</v>
      </c>
      <c r="K348" s="16">
        <v>337</v>
      </c>
      <c r="L348" s="15">
        <v>654</v>
      </c>
      <c r="M348" s="14">
        <v>269</v>
      </c>
      <c r="N348" s="13">
        <v>8</v>
      </c>
    </row>
    <row r="349" spans="1:14" outlineLevel="1" x14ac:dyDescent="0.2">
      <c r="A349" s="20">
        <f t="shared" si="62"/>
        <v>3592</v>
      </c>
      <c r="B349" s="19" t="str">
        <f t="shared" si="62"/>
        <v>Midwestern</v>
      </c>
      <c r="C349" s="18"/>
      <c r="D349" s="15">
        <v>1002</v>
      </c>
      <c r="E349" s="21">
        <v>0.41199999999999998</v>
      </c>
      <c r="F349" s="14">
        <v>4294.8666666666668</v>
      </c>
      <c r="G349" s="13">
        <v>1899.0200000000148</v>
      </c>
      <c r="H349" s="15">
        <v>302</v>
      </c>
      <c r="I349" s="13">
        <v>19</v>
      </c>
      <c r="J349" s="214">
        <v>228</v>
      </c>
      <c r="K349" s="16">
        <v>673</v>
      </c>
      <c r="L349" s="15">
        <v>1497</v>
      </c>
      <c r="M349" s="14">
        <v>1080</v>
      </c>
      <c r="N349" s="13">
        <v>622</v>
      </c>
    </row>
    <row r="350" spans="1:14" outlineLevel="1" x14ac:dyDescent="0.2">
      <c r="A350" s="20">
        <f t="shared" si="62"/>
        <v>3594</v>
      </c>
      <c r="B350" s="19" t="str">
        <f t="shared" si="62"/>
        <v>UNT</v>
      </c>
      <c r="C350" s="18"/>
      <c r="D350" s="15">
        <v>6024</v>
      </c>
      <c r="E350" s="21">
        <v>0.57399999999999995</v>
      </c>
      <c r="F350" s="14">
        <f>22506.0666666667+838</f>
        <v>23344.066666666698</v>
      </c>
      <c r="G350" s="13">
        <v>11164.699999998398</v>
      </c>
      <c r="H350" s="15">
        <v>297</v>
      </c>
      <c r="I350" s="13">
        <v>27</v>
      </c>
      <c r="J350" s="214">
        <v>2247</v>
      </c>
      <c r="K350" s="16">
        <v>3747</v>
      </c>
      <c r="L350" s="30">
        <v>8327</v>
      </c>
      <c r="M350" s="29">
        <v>5604</v>
      </c>
      <c r="N350" s="28">
        <v>3585</v>
      </c>
    </row>
    <row r="351" spans="1:14" outlineLevel="1" x14ac:dyDescent="0.2">
      <c r="A351" s="27">
        <f t="shared" si="62"/>
        <v>113594</v>
      </c>
      <c r="B351" s="19" t="str">
        <f t="shared" si="62"/>
        <v>UNTD</v>
      </c>
      <c r="C351" s="18"/>
      <c r="D351" s="24"/>
      <c r="E351" s="26"/>
      <c r="F351" s="23"/>
      <c r="G351" s="22"/>
      <c r="H351" s="24"/>
      <c r="I351" s="22"/>
      <c r="J351" s="219">
        <v>0</v>
      </c>
      <c r="K351" s="25"/>
      <c r="L351" s="24"/>
      <c r="M351" s="23"/>
      <c r="N351" s="22"/>
    </row>
    <row r="352" spans="1:14" outlineLevel="1" x14ac:dyDescent="0.2">
      <c r="A352" s="20">
        <f t="shared" si="62"/>
        <v>3624</v>
      </c>
      <c r="B352" s="19" t="str">
        <f t="shared" si="62"/>
        <v>SFA</v>
      </c>
      <c r="C352" s="18"/>
      <c r="D352" s="15">
        <v>1874</v>
      </c>
      <c r="E352" s="21">
        <v>0.56999999999999995</v>
      </c>
      <c r="F352" s="14">
        <v>9510.2666666666664</v>
      </c>
      <c r="G352" s="13">
        <v>3625.4100000000203</v>
      </c>
      <c r="H352" s="15">
        <v>230</v>
      </c>
      <c r="I352" s="13">
        <v>43</v>
      </c>
      <c r="J352" s="214">
        <v>538</v>
      </c>
      <c r="K352" s="16">
        <v>1422</v>
      </c>
      <c r="L352" s="15">
        <v>2663</v>
      </c>
      <c r="M352" s="14">
        <v>1934</v>
      </c>
      <c r="N352" s="13">
        <v>1317</v>
      </c>
    </row>
    <row r="353" spans="1:14" outlineLevel="1" x14ac:dyDescent="0.2">
      <c r="A353" s="20">
        <f t="shared" si="62"/>
        <v>3642</v>
      </c>
      <c r="B353" s="19" t="str">
        <f t="shared" si="62"/>
        <v>TSU</v>
      </c>
      <c r="C353" s="18"/>
      <c r="D353" s="15">
        <v>817</v>
      </c>
      <c r="E353" s="21">
        <v>0.14899999999999999</v>
      </c>
      <c r="F353" s="14">
        <v>5909.8</v>
      </c>
      <c r="G353" s="13">
        <v>1601.5200000000066</v>
      </c>
      <c r="H353" s="15">
        <v>127</v>
      </c>
      <c r="I353" s="13">
        <v>2</v>
      </c>
      <c r="J353" s="214">
        <v>124</v>
      </c>
      <c r="K353" s="16">
        <v>723</v>
      </c>
      <c r="L353" s="15">
        <v>1871</v>
      </c>
      <c r="M353" s="14">
        <v>1137</v>
      </c>
      <c r="N353" s="13">
        <v>916</v>
      </c>
    </row>
    <row r="354" spans="1:14" outlineLevel="1" x14ac:dyDescent="0.2">
      <c r="A354" s="20">
        <f t="shared" si="62"/>
        <v>3644</v>
      </c>
      <c r="B354" s="19" t="str">
        <f t="shared" si="62"/>
        <v>TTU</v>
      </c>
      <c r="C354" s="18"/>
      <c r="D354" s="15">
        <v>4476</v>
      </c>
      <c r="E354" s="21">
        <v>0.72799999999999998</v>
      </c>
      <c r="F354" s="14">
        <v>21422.2</v>
      </c>
      <c r="G354" s="13">
        <v>9827.5299999990111</v>
      </c>
      <c r="H354" s="15">
        <v>656</v>
      </c>
      <c r="I354" s="13">
        <v>43</v>
      </c>
      <c r="J354" s="214">
        <v>1034</v>
      </c>
      <c r="K354" s="16">
        <v>2539</v>
      </c>
      <c r="L354" s="15">
        <v>6430</v>
      </c>
      <c r="M354" s="14">
        <v>5148</v>
      </c>
      <c r="N354" s="13">
        <v>3832</v>
      </c>
    </row>
    <row r="355" spans="1:14" outlineLevel="1" x14ac:dyDescent="0.2">
      <c r="A355" s="20">
        <f t="shared" si="62"/>
        <v>3541</v>
      </c>
      <c r="B355" s="19" t="str">
        <f t="shared" si="62"/>
        <v>Angelo</v>
      </c>
      <c r="C355" s="18"/>
      <c r="D355" s="15">
        <v>941</v>
      </c>
      <c r="E355" s="21">
        <v>0.44</v>
      </c>
      <c r="F355" s="14">
        <v>4829.1333333333332</v>
      </c>
      <c r="G355" s="13">
        <v>1933.5900000000179</v>
      </c>
      <c r="H355" s="15">
        <v>217</v>
      </c>
      <c r="I355" s="13">
        <v>18</v>
      </c>
      <c r="J355" s="214">
        <v>217</v>
      </c>
      <c r="K355" s="16">
        <v>676</v>
      </c>
      <c r="L355" s="15">
        <v>1474</v>
      </c>
      <c r="M355" s="14">
        <v>1008</v>
      </c>
      <c r="N355" s="13">
        <v>708</v>
      </c>
    </row>
    <row r="356" spans="1:14" outlineLevel="1" x14ac:dyDescent="0.2">
      <c r="A356" s="20">
        <f t="shared" ref="A356:B361" si="63">A314</f>
        <v>3646</v>
      </c>
      <c r="B356" s="19" t="str">
        <f t="shared" si="63"/>
        <v>TWU</v>
      </c>
      <c r="C356" s="18"/>
      <c r="D356" s="15">
        <v>1774</v>
      </c>
      <c r="E356" s="21">
        <v>0.54500000000000004</v>
      </c>
      <c r="F356" s="14">
        <v>6071.4666666666662</v>
      </c>
      <c r="G356" s="13">
        <v>3425.2000000000221</v>
      </c>
      <c r="H356" s="15">
        <v>614</v>
      </c>
      <c r="I356" s="13">
        <v>31</v>
      </c>
      <c r="J356" s="214">
        <v>811</v>
      </c>
      <c r="K356" s="16">
        <v>1214</v>
      </c>
      <c r="L356" s="15">
        <v>2042</v>
      </c>
      <c r="M356" s="14">
        <v>1371</v>
      </c>
      <c r="N356" s="13">
        <v>668</v>
      </c>
    </row>
    <row r="357" spans="1:14" outlineLevel="1" x14ac:dyDescent="0.2">
      <c r="A357" s="20">
        <f t="shared" si="63"/>
        <v>3581</v>
      </c>
      <c r="B357" s="19" t="str">
        <f t="shared" si="63"/>
        <v>Lamar</v>
      </c>
      <c r="C357" s="18"/>
      <c r="D357" s="15">
        <v>1286</v>
      </c>
      <c r="E357" s="21">
        <v>0.33800000000000002</v>
      </c>
      <c r="F357" s="14">
        <v>7172.9333333333334</v>
      </c>
      <c r="G357" s="13">
        <v>2638.0900000000311</v>
      </c>
      <c r="H357" s="15">
        <v>314</v>
      </c>
      <c r="I357" s="13">
        <v>17</v>
      </c>
      <c r="J357" s="214">
        <v>226</v>
      </c>
      <c r="K357" s="16">
        <v>908</v>
      </c>
      <c r="L357" s="15">
        <v>2043</v>
      </c>
      <c r="M357" s="14">
        <v>1404</v>
      </c>
      <c r="N357" s="13">
        <v>1031</v>
      </c>
    </row>
    <row r="358" spans="1:14" outlineLevel="1" x14ac:dyDescent="0.2">
      <c r="A358" s="20">
        <f t="shared" si="63"/>
        <v>3606</v>
      </c>
      <c r="B358" s="19" t="str">
        <f t="shared" si="63"/>
        <v>SHSU</v>
      </c>
      <c r="C358" s="18"/>
      <c r="D358" s="15">
        <v>3242</v>
      </c>
      <c r="E358" s="21">
        <v>0.57899999999999996</v>
      </c>
      <c r="F358" s="14">
        <v>12517.066666666668</v>
      </c>
      <c r="G358" s="13">
        <v>6188.6300000000374</v>
      </c>
      <c r="H358" s="15">
        <v>163</v>
      </c>
      <c r="I358" s="13">
        <v>69</v>
      </c>
      <c r="J358" s="214">
        <v>1323</v>
      </c>
      <c r="K358" s="16">
        <v>2318</v>
      </c>
      <c r="L358" s="15">
        <v>3849</v>
      </c>
      <c r="M358" s="14">
        <v>3011</v>
      </c>
      <c r="N358" s="13">
        <v>1870</v>
      </c>
    </row>
    <row r="359" spans="1:14" outlineLevel="1" x14ac:dyDescent="0.2">
      <c r="A359" s="20">
        <f t="shared" si="63"/>
        <v>3615</v>
      </c>
      <c r="B359" s="19" t="str">
        <f t="shared" si="63"/>
        <v>TXST</v>
      </c>
      <c r="C359" s="18"/>
      <c r="D359" s="15">
        <v>5299</v>
      </c>
      <c r="E359" s="21">
        <v>0.64400000000000002</v>
      </c>
      <c r="F359" s="14">
        <v>21764.6</v>
      </c>
      <c r="G359" s="13">
        <v>10384.469999998846</v>
      </c>
      <c r="H359" s="15">
        <v>439</v>
      </c>
      <c r="I359" s="13">
        <v>68</v>
      </c>
      <c r="J359" s="214">
        <v>2008</v>
      </c>
      <c r="K359" s="16">
        <v>3545</v>
      </c>
      <c r="L359" s="15">
        <v>7301</v>
      </c>
      <c r="M359" s="14">
        <v>5428</v>
      </c>
      <c r="N359" s="13">
        <v>3302</v>
      </c>
    </row>
    <row r="360" spans="1:14" outlineLevel="1" x14ac:dyDescent="0.2">
      <c r="A360" s="20">
        <f t="shared" si="63"/>
        <v>3625</v>
      </c>
      <c r="B360" s="19" t="str">
        <f t="shared" si="63"/>
        <v>SRSU</v>
      </c>
      <c r="C360" s="18"/>
      <c r="D360" s="15">
        <v>181</v>
      </c>
      <c r="E360" s="21">
        <v>0.28499999999999998</v>
      </c>
      <c r="F360" s="14">
        <v>1230.9333333333334</v>
      </c>
      <c r="G360" s="13">
        <v>368.43999999999954</v>
      </c>
      <c r="H360" s="15">
        <v>10</v>
      </c>
      <c r="I360" s="13">
        <v>10</v>
      </c>
      <c r="J360" s="214">
        <v>38</v>
      </c>
      <c r="K360" s="16">
        <v>156</v>
      </c>
      <c r="L360" s="15">
        <v>318</v>
      </c>
      <c r="M360" s="14">
        <v>176</v>
      </c>
      <c r="N360" s="13">
        <v>115</v>
      </c>
    </row>
    <row r="361" spans="1:14" outlineLevel="1" x14ac:dyDescent="0.2">
      <c r="A361" s="20">
        <f t="shared" si="63"/>
        <v>20</v>
      </c>
      <c r="B361" s="19" t="str">
        <f t="shared" si="63"/>
        <v>SRRG</v>
      </c>
      <c r="C361" s="18"/>
      <c r="D361" s="15">
        <v>168</v>
      </c>
      <c r="E361" s="17">
        <v>0.36144578313253012</v>
      </c>
      <c r="F361" s="14">
        <v>416.33333333333331</v>
      </c>
      <c r="G361" s="13">
        <v>287.9199999999995</v>
      </c>
      <c r="H361" s="15">
        <v>8</v>
      </c>
      <c r="I361" s="13">
        <v>9</v>
      </c>
      <c r="J361" s="214">
        <v>124</v>
      </c>
      <c r="K361" s="16">
        <v>149</v>
      </c>
      <c r="L361" s="15">
        <v>251</v>
      </c>
      <c r="M361" s="14">
        <v>90</v>
      </c>
      <c r="N361" s="13">
        <v>5</v>
      </c>
    </row>
    <row r="362" spans="1:14" ht="13.5" outlineLevel="1" thickBot="1" x14ac:dyDescent="0.25">
      <c r="A362" s="12"/>
      <c r="B362" s="11" t="s">
        <v>11</v>
      </c>
      <c r="C362" s="10"/>
      <c r="D362" s="9">
        <f>SUM(D324:D361)</f>
        <v>81251</v>
      </c>
      <c r="E362" s="8">
        <v>0.56799999999999995</v>
      </c>
      <c r="F362" s="7">
        <f t="shared" ref="F362:N362" si="64">SUM(F324:F361)</f>
        <v>338321.33333333337</v>
      </c>
      <c r="G362" s="3">
        <f t="shared" si="64"/>
        <v>165601.52999999447</v>
      </c>
      <c r="H362" s="5">
        <f t="shared" si="64"/>
        <v>12362</v>
      </c>
      <c r="I362" s="3">
        <f t="shared" si="64"/>
        <v>1122</v>
      </c>
      <c r="J362" s="216">
        <f>SUM(J324:J361)</f>
        <v>27721</v>
      </c>
      <c r="K362" s="6">
        <f t="shared" si="64"/>
        <v>51678</v>
      </c>
      <c r="L362" s="5">
        <f t="shared" si="64"/>
        <v>112517</v>
      </c>
      <c r="M362" s="4">
        <f t="shared" si="64"/>
        <v>81688</v>
      </c>
      <c r="N362" s="3">
        <f t="shared" si="64"/>
        <v>51008</v>
      </c>
    </row>
    <row r="365" spans="1:14" x14ac:dyDescent="0.2">
      <c r="A365" s="1" t="s">
        <v>10</v>
      </c>
    </row>
    <row r="366" spans="1:14" x14ac:dyDescent="0.2">
      <c r="A366" s="1" t="s">
        <v>9</v>
      </c>
    </row>
    <row r="367" spans="1:14" x14ac:dyDescent="0.2">
      <c r="A367" s="1" t="s">
        <v>8</v>
      </c>
    </row>
    <row r="368" spans="1:14" x14ac:dyDescent="0.2">
      <c r="A368" s="1" t="s">
        <v>7</v>
      </c>
    </row>
    <row r="369" spans="1:1" x14ac:dyDescent="0.2">
      <c r="A369" s="1" t="s">
        <v>6</v>
      </c>
    </row>
    <row r="370" spans="1:1" x14ac:dyDescent="0.2">
      <c r="A370" s="1" t="s">
        <v>5</v>
      </c>
    </row>
    <row r="371" spans="1:1" x14ac:dyDescent="0.2">
      <c r="A371" s="1" t="s">
        <v>4</v>
      </c>
    </row>
    <row r="372" spans="1:1" x14ac:dyDescent="0.2">
      <c r="A372" s="1" t="s">
        <v>3</v>
      </c>
    </row>
    <row r="373" spans="1:1" x14ac:dyDescent="0.2">
      <c r="A373" s="1" t="s">
        <v>2</v>
      </c>
    </row>
    <row r="374" spans="1:1" x14ac:dyDescent="0.2">
      <c r="A374" s="1" t="s">
        <v>1</v>
      </c>
    </row>
    <row r="375" spans="1:1" x14ac:dyDescent="0.2">
      <c r="A375" s="1" t="s">
        <v>0</v>
      </c>
    </row>
    <row r="387" spans="5:20" x14ac:dyDescent="0.2">
      <c r="O387"/>
      <c r="R387" s="186"/>
      <c r="S387" s="186"/>
      <c r="T387" s="187"/>
    </row>
    <row r="388" spans="5:20" x14ac:dyDescent="0.2">
      <c r="O388"/>
      <c r="P388"/>
      <c r="Q388"/>
      <c r="R388" s="186"/>
      <c r="S388" s="186"/>
      <c r="T388" s="187"/>
    </row>
    <row r="390" spans="5:20" x14ac:dyDescent="0.2">
      <c r="E390" s="55"/>
      <c r="F390" s="55"/>
      <c r="G390" s="55"/>
      <c r="K390" s="55"/>
      <c r="L390" s="55"/>
      <c r="M390" s="55"/>
    </row>
    <row r="391" spans="5:20" x14ac:dyDescent="0.2">
      <c r="L391" s="55"/>
      <c r="M391" s="55"/>
    </row>
    <row r="393" spans="5:20" x14ac:dyDescent="0.2">
      <c r="E393" s="55"/>
      <c r="F393" s="55"/>
      <c r="G393" s="55"/>
      <c r="K393" s="55"/>
      <c r="L393" s="55"/>
      <c r="M393" s="55"/>
    </row>
    <row r="394" spans="5:20" x14ac:dyDescent="0.2">
      <c r="E394" s="55"/>
      <c r="F394" s="55"/>
      <c r="G394" s="55"/>
      <c r="K394" s="55"/>
      <c r="L394" s="55"/>
      <c r="M394" s="55"/>
    </row>
  </sheetData>
  <autoFilter ref="A88:M362">
    <filterColumn colId="3" showButton="0"/>
    <filterColumn colId="4" showButton="0"/>
    <filterColumn colId="5" showButton="0"/>
    <filterColumn colId="9" showButton="0"/>
    <filterColumn colId="10" showButton="0"/>
  </autoFilter>
  <mergeCells count="89">
    <mergeCell ref="P3:R3"/>
    <mergeCell ref="K322:K323"/>
    <mergeCell ref="L322:N322"/>
    <mergeCell ref="K280:K281"/>
    <mergeCell ref="L280:N280"/>
    <mergeCell ref="O129:O130"/>
    <mergeCell ref="K153:K154"/>
    <mergeCell ref="L153:N153"/>
    <mergeCell ref="O153:O154"/>
    <mergeCell ref="K196:K197"/>
    <mergeCell ref="L196:N196"/>
    <mergeCell ref="L129:N129"/>
    <mergeCell ref="K238:K239"/>
    <mergeCell ref="L238:N238"/>
    <mergeCell ref="K46:K47"/>
    <mergeCell ref="L46:N46"/>
    <mergeCell ref="O46:O47"/>
    <mergeCell ref="K88:K89"/>
    <mergeCell ref="L88:N88"/>
    <mergeCell ref="O88:O89"/>
    <mergeCell ref="A3:A4"/>
    <mergeCell ref="B3:B4"/>
    <mergeCell ref="C3:C4"/>
    <mergeCell ref="D3:G3"/>
    <mergeCell ref="H3:H4"/>
    <mergeCell ref="I3:I4"/>
    <mergeCell ref="A1:N1"/>
    <mergeCell ref="K3:K4"/>
    <mergeCell ref="L3:N3"/>
    <mergeCell ref="A88:A89"/>
    <mergeCell ref="B88:B89"/>
    <mergeCell ref="C88:C89"/>
    <mergeCell ref="D88:G88"/>
    <mergeCell ref="H88:H89"/>
    <mergeCell ref="I88:I89"/>
    <mergeCell ref="A46:A47"/>
    <mergeCell ref="B46:B47"/>
    <mergeCell ref="C46:C47"/>
    <mergeCell ref="D46:G46"/>
    <mergeCell ref="H46:H47"/>
    <mergeCell ref="I46:I47"/>
    <mergeCell ref="C129:C130"/>
    <mergeCell ref="D129:G129"/>
    <mergeCell ref="H129:H130"/>
    <mergeCell ref="I129:I130"/>
    <mergeCell ref="K129:K130"/>
    <mergeCell ref="A155:C155"/>
    <mergeCell ref="A196:A197"/>
    <mergeCell ref="B196:B197"/>
    <mergeCell ref="C196:C197"/>
    <mergeCell ref="D196:D197"/>
    <mergeCell ref="H153:H154"/>
    <mergeCell ref="I153:I154"/>
    <mergeCell ref="A238:A239"/>
    <mergeCell ref="B238:B239"/>
    <mergeCell ref="C238:C239"/>
    <mergeCell ref="D238:D239"/>
    <mergeCell ref="E238:E239"/>
    <mergeCell ref="G196:G197"/>
    <mergeCell ref="H196:H197"/>
    <mergeCell ref="I196:I197"/>
    <mergeCell ref="E196:E197"/>
    <mergeCell ref="F196:F197"/>
    <mergeCell ref="A153:A154"/>
    <mergeCell ref="B153:B154"/>
    <mergeCell ref="C153:C154"/>
    <mergeCell ref="D153:G153"/>
    <mergeCell ref="F280:F281"/>
    <mergeCell ref="F238:F239"/>
    <mergeCell ref="G238:G239"/>
    <mergeCell ref="H238:H239"/>
    <mergeCell ref="I238:I239"/>
    <mergeCell ref="G280:G281"/>
    <mergeCell ref="H280:H281"/>
    <mergeCell ref="I280:I281"/>
    <mergeCell ref="A280:A281"/>
    <mergeCell ref="B280:B281"/>
    <mergeCell ref="C280:C281"/>
    <mergeCell ref="D280:D281"/>
    <mergeCell ref="E280:E281"/>
    <mergeCell ref="F322:F323"/>
    <mergeCell ref="G322:G323"/>
    <mergeCell ref="H322:H323"/>
    <mergeCell ref="I322:I323"/>
    <mergeCell ref="A322:A323"/>
    <mergeCell ref="B322:B323"/>
    <mergeCell ref="C322:C323"/>
    <mergeCell ref="D322:D323"/>
    <mergeCell ref="E322:E323"/>
  </mergeCells>
  <conditionalFormatting sqref="D142:N142">
    <cfRule type="colorScale" priority="34">
      <colorScale>
        <cfvo type="min"/>
        <cfvo type="max"/>
        <color theme="6" tint="0.79998168889431442"/>
        <color theme="6" tint="-0.499984740745262"/>
      </colorScale>
    </cfRule>
  </conditionalFormatting>
  <conditionalFormatting sqref="D131:N135">
    <cfRule type="cellIs" dxfId="17" priority="36" operator="equal">
      <formula>$D$150</formula>
    </cfRule>
    <cfRule type="cellIs" dxfId="16" priority="37" operator="equal">
      <formula>$E$150</formula>
    </cfRule>
    <cfRule type="cellIs" dxfId="15" priority="38" operator="equal">
      <formula>$F$150</formula>
    </cfRule>
    <cfRule type="cellIs" dxfId="14" priority="39" operator="equal">
      <formula>$G$150</formula>
    </cfRule>
    <cfRule type="cellIs" dxfId="13" priority="40" operator="equal">
      <formula>$H$150</formula>
    </cfRule>
    <cfRule type="cellIs" dxfId="12" priority="41" operator="equal">
      <formula>$I$150</formula>
    </cfRule>
    <cfRule type="cellIs" dxfId="11" priority="42" operator="equal">
      <formula>$K$150</formula>
    </cfRule>
    <cfRule type="cellIs" dxfId="10" priority="43" operator="equal">
      <formula>$L$150</formula>
    </cfRule>
    <cfRule type="cellIs" dxfId="9" priority="44" operator="equal">
      <formula>#REF!</formula>
    </cfRule>
  </conditionalFormatting>
  <pageMargins left="0.25" right="0.25" top="0.5" bottom="0.2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Below="0" summaryRight="0"/>
    <pageSetUpPr fitToPage="1"/>
  </sheetPr>
  <dimension ref="A1:S375"/>
  <sheetViews>
    <sheetView showGridLines="0" zoomScale="70" zoomScaleNormal="70" workbookViewId="0">
      <pane xSplit="2" ySplit="4" topLeftCell="C116" activePane="bottomRight" state="frozen"/>
      <selection activeCell="W30" sqref="W30"/>
      <selection pane="topRight" activeCell="W30" sqref="W30"/>
      <selection pane="bottomLeft" activeCell="W30" sqref="W30"/>
      <selection pane="bottomRight" activeCell="W30" sqref="W30"/>
    </sheetView>
  </sheetViews>
  <sheetFormatPr defaultRowHeight="12.75" outlineLevelRow="1" x14ac:dyDescent="0.2"/>
  <cols>
    <col min="1" max="1" width="7.28515625" style="1" customWidth="1"/>
    <col min="2" max="2" width="10.85546875" style="1" bestFit="1" customWidth="1"/>
    <col min="3" max="3" width="13.7109375" style="1" bestFit="1" customWidth="1"/>
    <col min="4" max="4" width="13.140625" style="1" customWidth="1"/>
    <col min="5" max="5" width="12.5703125" style="1" customWidth="1"/>
    <col min="6" max="6" width="13" style="1" customWidth="1"/>
    <col min="7" max="7" width="12.42578125" style="1" customWidth="1"/>
    <col min="8" max="8" width="12.85546875" style="1" customWidth="1"/>
    <col min="9" max="9" width="12.28515625" style="1" customWidth="1"/>
    <col min="10" max="10" width="12.42578125" style="1" customWidth="1"/>
    <col min="11" max="13" width="12.5703125" style="1" bestFit="1" customWidth="1"/>
    <col min="14" max="14" width="14.28515625" style="1" customWidth="1"/>
    <col min="15" max="15" width="16.42578125" style="1" customWidth="1"/>
    <col min="16" max="16" width="14.85546875" style="1" customWidth="1"/>
    <col min="17" max="17" width="14.42578125" style="1" customWidth="1"/>
    <col min="18" max="18" width="9.140625" style="1"/>
    <col min="19" max="20" width="12.5703125" style="1" customWidth="1"/>
    <col min="21" max="16384" width="9.140625" style="1"/>
  </cols>
  <sheetData>
    <row r="1" spans="1:17" ht="41.25" customHeight="1" x14ac:dyDescent="0.2">
      <c r="A1" s="284" t="s">
        <v>154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</row>
    <row r="2" spans="1:17" ht="13.5" thickBot="1" x14ac:dyDescent="0.25">
      <c r="A2" s="86"/>
      <c r="B2" s="85"/>
      <c r="C2" s="85"/>
      <c r="D2" s="85"/>
      <c r="E2" s="85"/>
      <c r="F2" s="85"/>
      <c r="G2" s="85"/>
      <c r="H2" s="85"/>
    </row>
    <row r="3" spans="1:17" ht="12.75" customHeight="1" x14ac:dyDescent="0.2">
      <c r="A3" s="315" t="s">
        <v>24</v>
      </c>
      <c r="B3" s="317" t="s">
        <v>23</v>
      </c>
      <c r="C3" s="319" t="s">
        <v>74</v>
      </c>
      <c r="D3" s="321" t="s">
        <v>35</v>
      </c>
      <c r="E3" s="321"/>
      <c r="F3" s="321"/>
      <c r="G3" s="321"/>
      <c r="H3" s="322" t="s">
        <v>18</v>
      </c>
      <c r="I3" s="324" t="s">
        <v>17</v>
      </c>
      <c r="J3" s="326" t="s">
        <v>16</v>
      </c>
      <c r="K3" s="328" t="s">
        <v>34</v>
      </c>
      <c r="L3" s="329"/>
      <c r="M3" s="329"/>
      <c r="O3" s="312" t="s">
        <v>150</v>
      </c>
      <c r="P3" s="313"/>
      <c r="Q3" s="314"/>
    </row>
    <row r="4" spans="1:17" ht="54" customHeight="1" thickBot="1" x14ac:dyDescent="0.25">
      <c r="A4" s="316"/>
      <c r="B4" s="318"/>
      <c r="C4" s="320"/>
      <c r="D4" s="264"/>
      <c r="E4" s="265" t="s">
        <v>33</v>
      </c>
      <c r="F4" s="265" t="s">
        <v>32</v>
      </c>
      <c r="G4" s="266" t="s">
        <v>31</v>
      </c>
      <c r="H4" s="323"/>
      <c r="I4" s="325"/>
      <c r="J4" s="327"/>
      <c r="K4" s="267" t="s">
        <v>14</v>
      </c>
      <c r="L4" s="268" t="s">
        <v>13</v>
      </c>
      <c r="M4" s="266" t="s">
        <v>12</v>
      </c>
      <c r="O4" s="261" t="s">
        <v>103</v>
      </c>
      <c r="P4" s="262" t="s">
        <v>148</v>
      </c>
      <c r="Q4" s="263" t="s">
        <v>149</v>
      </c>
    </row>
    <row r="5" spans="1:17" x14ac:dyDescent="0.2">
      <c r="A5" s="40">
        <v>3656</v>
      </c>
      <c r="B5" s="39" t="s">
        <v>73</v>
      </c>
      <c r="C5" s="83">
        <f>SUM(D5:M5)</f>
        <v>13587701.544326799</v>
      </c>
      <c r="D5" s="103">
        <f>D48/$C$86*$C$43</f>
        <v>7057861.0134947971</v>
      </c>
      <c r="E5" s="80">
        <f t="shared" ref="E5:M5" si="0">E48/$C$86*$C$43</f>
        <v>2194994.775196882</v>
      </c>
      <c r="F5" s="80">
        <f t="shared" si="0"/>
        <v>6939.6646452567838</v>
      </c>
      <c r="G5" s="79">
        <f t="shared" si="0"/>
        <v>48845.955485817671</v>
      </c>
      <c r="H5" s="81">
        <f t="shared" si="0"/>
        <v>81718.760632684818</v>
      </c>
      <c r="I5" s="79">
        <f t="shared" si="0"/>
        <v>1867.7557393190918</v>
      </c>
      <c r="J5" s="82">
        <f t="shared" si="0"/>
        <v>46274.307106961671</v>
      </c>
      <c r="K5" s="81">
        <f t="shared" si="0"/>
        <v>3846145.1182613196</v>
      </c>
      <c r="L5" s="80">
        <f t="shared" si="0"/>
        <v>269604.28961141116</v>
      </c>
      <c r="M5" s="79">
        <f t="shared" si="0"/>
        <v>33449.904152349904</v>
      </c>
      <c r="O5" s="92">
        <v>5.3941374102444546E-2</v>
      </c>
      <c r="P5" s="257">
        <f t="shared" ref="P5:P42" si="1">MIN(0,C48/$C$86-O5+$P$44)*-1*$Q$43</f>
        <v>0</v>
      </c>
      <c r="Q5" s="257">
        <f t="shared" ref="Q5:Q42" si="2">C5+P5</f>
        <v>13587701.544326799</v>
      </c>
    </row>
    <row r="6" spans="1:17" x14ac:dyDescent="0.2">
      <c r="A6" s="20">
        <v>3658</v>
      </c>
      <c r="B6" s="19" t="s">
        <v>72</v>
      </c>
      <c r="C6" s="58">
        <f t="shared" ref="C6:C42" si="3">SUM(D6:M6)</f>
        <v>25281148.547660995</v>
      </c>
      <c r="D6" s="15">
        <f t="shared" ref="D6:M21" si="4">D49/$C$86*$C$43</f>
        <v>12583096.302722657</v>
      </c>
      <c r="E6" s="14">
        <f t="shared" si="4"/>
        <v>6258832.1009742506</v>
      </c>
      <c r="F6" s="14">
        <f t="shared" si="4"/>
        <v>6211.5393830809899</v>
      </c>
      <c r="G6" s="13">
        <f t="shared" si="4"/>
        <v>90946.498067709894</v>
      </c>
      <c r="H6" s="15">
        <f t="shared" si="4"/>
        <v>100129.49577740158</v>
      </c>
      <c r="I6" s="13">
        <f t="shared" si="4"/>
        <v>3522.0536798588582</v>
      </c>
      <c r="J6" s="16">
        <f t="shared" si="4"/>
        <v>51536.351229201755</v>
      </c>
      <c r="K6" s="15">
        <f t="shared" si="4"/>
        <v>5400056.0085979188</v>
      </c>
      <c r="L6" s="14">
        <f t="shared" si="4"/>
        <v>126665.49156475949</v>
      </c>
      <c r="M6" s="13">
        <f t="shared" si="4"/>
        <v>660152.70566415833</v>
      </c>
      <c r="O6" s="92">
        <v>9.7535367886092073E-2</v>
      </c>
      <c r="P6" s="258">
        <f t="shared" si="1"/>
        <v>0</v>
      </c>
      <c r="Q6" s="258">
        <f t="shared" si="2"/>
        <v>25281148.547660995</v>
      </c>
    </row>
    <row r="7" spans="1:17" x14ac:dyDescent="0.2">
      <c r="A7" s="20">
        <v>9741</v>
      </c>
      <c r="B7" s="19" t="s">
        <v>71</v>
      </c>
      <c r="C7" s="58">
        <f t="shared" si="3"/>
        <v>6893754.7907856219</v>
      </c>
      <c r="D7" s="15">
        <f t="shared" si="4"/>
        <v>3365775.4892971399</v>
      </c>
      <c r="E7" s="14">
        <f t="shared" si="4"/>
        <v>1419684.1013855336</v>
      </c>
      <c r="F7" s="14">
        <f t="shared" si="4"/>
        <v>6289.3822489631739</v>
      </c>
      <c r="G7" s="13">
        <f t="shared" si="4"/>
        <v>23916.290772049808</v>
      </c>
      <c r="H7" s="15">
        <f t="shared" si="4"/>
        <v>22502.009621320485</v>
      </c>
      <c r="I7" s="13">
        <f t="shared" si="4"/>
        <v>1707.662390234598</v>
      </c>
      <c r="J7" s="16">
        <f t="shared" si="4"/>
        <v>19597.772982077582</v>
      </c>
      <c r="K7" s="15">
        <f t="shared" si="4"/>
        <v>1865030.6305089879</v>
      </c>
      <c r="L7" s="14">
        <f t="shared" si="4"/>
        <v>150097.92769166731</v>
      </c>
      <c r="M7" s="13">
        <f t="shared" si="4"/>
        <v>19153.523887647192</v>
      </c>
      <c r="O7" s="92">
        <v>3.0845130992374833E-2</v>
      </c>
      <c r="P7" s="258">
        <f t="shared" si="1"/>
        <v>0</v>
      </c>
      <c r="Q7" s="258">
        <f t="shared" si="2"/>
        <v>6893754.7907856219</v>
      </c>
    </row>
    <row r="8" spans="1:17" x14ac:dyDescent="0.2">
      <c r="A8" s="20">
        <v>3661</v>
      </c>
      <c r="B8" s="19" t="s">
        <v>70</v>
      </c>
      <c r="C8" s="58">
        <f t="shared" si="3"/>
        <v>8144354.8632405978</v>
      </c>
      <c r="D8" s="15">
        <f t="shared" si="4"/>
        <v>4299697.3133227574</v>
      </c>
      <c r="E8" s="14">
        <f t="shared" si="4"/>
        <v>1006129.171317525</v>
      </c>
      <c r="F8" s="14">
        <f t="shared" si="4"/>
        <v>5361.3522947240044</v>
      </c>
      <c r="G8" s="13">
        <f t="shared" si="4"/>
        <v>29527.666909571519</v>
      </c>
      <c r="H8" s="15">
        <f t="shared" si="4"/>
        <v>34953.714550114433</v>
      </c>
      <c r="I8" s="13">
        <f t="shared" si="4"/>
        <v>4802.8004725348064</v>
      </c>
      <c r="J8" s="16">
        <f t="shared" si="4"/>
        <v>36596.700090047882</v>
      </c>
      <c r="K8" s="15">
        <f t="shared" si="4"/>
        <v>2454451.572860898</v>
      </c>
      <c r="L8" s="14">
        <f t="shared" si="4"/>
        <v>236152.82267153778</v>
      </c>
      <c r="M8" s="13">
        <f t="shared" si="4"/>
        <v>36681.748750885672</v>
      </c>
      <c r="O8" s="92">
        <v>3.8067899960727944E-2</v>
      </c>
      <c r="P8" s="258">
        <f t="shared" si="1"/>
        <v>0</v>
      </c>
      <c r="Q8" s="258">
        <f t="shared" si="2"/>
        <v>8144354.8632405978</v>
      </c>
    </row>
    <row r="9" spans="1:17" x14ac:dyDescent="0.2">
      <c r="A9" s="20">
        <v>3599</v>
      </c>
      <c r="B9" s="19" t="s">
        <v>69</v>
      </c>
      <c r="C9" s="58">
        <f t="shared" si="3"/>
        <v>7513586.6448719986</v>
      </c>
      <c r="D9" s="15">
        <f t="shared" si="4"/>
        <v>3628792.6294971257</v>
      </c>
      <c r="E9" s="14">
        <f t="shared" si="4"/>
        <v>156400.96233132613</v>
      </c>
      <c r="F9" s="14">
        <f t="shared" si="4"/>
        <v>4803.8112716161249</v>
      </c>
      <c r="G9" s="13">
        <f t="shared" si="4"/>
        <v>24070.834830245782</v>
      </c>
      <c r="H9" s="15">
        <f t="shared" si="4"/>
        <v>27767.301991210497</v>
      </c>
      <c r="I9" s="13">
        <f t="shared" si="4"/>
        <v>1494.2045914552734</v>
      </c>
      <c r="J9" s="16">
        <f t="shared" si="4"/>
        <v>34725.531060690642</v>
      </c>
      <c r="K9" s="15">
        <f t="shared" si="4"/>
        <v>2292796.8314331709</v>
      </c>
      <c r="L9" s="14">
        <f t="shared" si="4"/>
        <v>1306365.3466189653</v>
      </c>
      <c r="M9" s="13">
        <f t="shared" si="4"/>
        <v>36369.191246191695</v>
      </c>
      <c r="O9" s="92">
        <v>3.6041180893975448E-2</v>
      </c>
      <c r="P9" s="258">
        <f t="shared" si="1"/>
        <v>0</v>
      </c>
      <c r="Q9" s="258">
        <f t="shared" si="2"/>
        <v>7513586.6448719986</v>
      </c>
    </row>
    <row r="10" spans="1:17" x14ac:dyDescent="0.2">
      <c r="A10" s="20">
        <v>30646</v>
      </c>
      <c r="B10" s="19" t="s">
        <v>68</v>
      </c>
      <c r="C10" s="58">
        <f t="shared" si="3"/>
        <v>2917013.7864968823</v>
      </c>
      <c r="D10" s="15">
        <f t="shared" si="4"/>
        <v>1535907.5780662254</v>
      </c>
      <c r="E10" s="14">
        <f t="shared" si="4"/>
        <v>530116.74905517255</v>
      </c>
      <c r="F10" s="14">
        <f t="shared" si="4"/>
        <v>8078.3385360613538</v>
      </c>
      <c r="G10" s="13">
        <f t="shared" si="4"/>
        <v>9835.2157444551503</v>
      </c>
      <c r="H10" s="15">
        <f t="shared" si="4"/>
        <v>6634.9799120573443</v>
      </c>
      <c r="I10" s="13">
        <f t="shared" si="4"/>
        <v>978.34824440523846</v>
      </c>
      <c r="J10" s="16">
        <f t="shared" si="4"/>
        <v>69550.065773728216</v>
      </c>
      <c r="K10" s="15">
        <f t="shared" si="4"/>
        <v>746199.78670641151</v>
      </c>
      <c r="L10" s="14">
        <f t="shared" si="4"/>
        <v>7824.8771300138278</v>
      </c>
      <c r="M10" s="13">
        <f t="shared" si="4"/>
        <v>1887.8473283516487</v>
      </c>
      <c r="O10" s="92">
        <v>1.3127311227878089E-2</v>
      </c>
      <c r="P10" s="258">
        <f t="shared" si="1"/>
        <v>0</v>
      </c>
      <c r="Q10" s="258">
        <f t="shared" si="2"/>
        <v>2917013.7864968823</v>
      </c>
    </row>
    <row r="11" spans="1:17" x14ac:dyDescent="0.2">
      <c r="A11" s="20">
        <v>9930</v>
      </c>
      <c r="B11" s="19" t="s">
        <v>67</v>
      </c>
      <c r="C11" s="58">
        <f t="shared" si="3"/>
        <v>1445036.007365393</v>
      </c>
      <c r="D11" s="15">
        <f t="shared" si="4"/>
        <v>750138.01126555575</v>
      </c>
      <c r="E11" s="14">
        <f t="shared" si="4"/>
        <v>199836.76620114408</v>
      </c>
      <c r="F11" s="14">
        <f t="shared" si="4"/>
        <v>5420.9601615791307</v>
      </c>
      <c r="G11" s="13">
        <f t="shared" si="4"/>
        <v>4695.4732536415286</v>
      </c>
      <c r="H11" s="15">
        <f t="shared" si="4"/>
        <v>2205.7305873863561</v>
      </c>
      <c r="I11" s="13">
        <f t="shared" si="4"/>
        <v>533.64449694831194</v>
      </c>
      <c r="J11" s="16">
        <f t="shared" si="4"/>
        <v>29626.842964823016</v>
      </c>
      <c r="K11" s="15">
        <f t="shared" si="4"/>
        <v>442018.82313822862</v>
      </c>
      <c r="L11" s="14">
        <f t="shared" si="4"/>
        <v>6915.3347913543412</v>
      </c>
      <c r="M11" s="13">
        <f t="shared" si="4"/>
        <v>3644.4205047318251</v>
      </c>
      <c r="O11" s="92">
        <v>6.658597974462911E-3</v>
      </c>
      <c r="P11" s="258">
        <f t="shared" si="1"/>
        <v>0</v>
      </c>
      <c r="Q11" s="258">
        <f t="shared" si="2"/>
        <v>1445036.007365393</v>
      </c>
    </row>
    <row r="12" spans="1:17" x14ac:dyDescent="0.2">
      <c r="A12" s="20">
        <v>10115</v>
      </c>
      <c r="B12" s="19" t="s">
        <v>66</v>
      </c>
      <c r="C12" s="58">
        <f t="shared" si="3"/>
        <v>11568221.197502898</v>
      </c>
      <c r="D12" s="15">
        <f t="shared" si="4"/>
        <v>5794347.3007693775</v>
      </c>
      <c r="E12" s="14">
        <f t="shared" si="4"/>
        <v>1465969.8670946525</v>
      </c>
      <c r="F12" s="14">
        <f t="shared" si="4"/>
        <v>4744.8653333621205</v>
      </c>
      <c r="G12" s="13">
        <f t="shared" si="4"/>
        <v>39448.882851441915</v>
      </c>
      <c r="H12" s="15">
        <f t="shared" si="4"/>
        <v>20918.864280373826</v>
      </c>
      <c r="I12" s="13">
        <f t="shared" si="4"/>
        <v>2650.4343348432822</v>
      </c>
      <c r="J12" s="16">
        <f t="shared" si="4"/>
        <v>46388.161307160648</v>
      </c>
      <c r="K12" s="15">
        <f t="shared" si="4"/>
        <v>3831142.3580360096</v>
      </c>
      <c r="L12" s="14">
        <f t="shared" si="4"/>
        <v>313557.68870900234</v>
      </c>
      <c r="M12" s="13">
        <f t="shared" si="4"/>
        <v>49052.774786673464</v>
      </c>
      <c r="O12" s="92">
        <v>5.1993931386758195E-2</v>
      </c>
      <c r="P12" s="258">
        <f t="shared" si="1"/>
        <v>0</v>
      </c>
      <c r="Q12" s="258">
        <f t="shared" si="2"/>
        <v>11568221.197502898</v>
      </c>
    </row>
    <row r="13" spans="1:17" x14ac:dyDescent="0.2">
      <c r="A13" s="20">
        <v>11163</v>
      </c>
      <c r="B13" s="19" t="s">
        <v>65</v>
      </c>
      <c r="C13" s="58">
        <f t="shared" si="3"/>
        <v>3128223.8387769349</v>
      </c>
      <c r="D13" s="15">
        <f t="shared" si="4"/>
        <v>1673745.4376362711</v>
      </c>
      <c r="E13" s="14">
        <f t="shared" si="4"/>
        <v>517856.83840466238</v>
      </c>
      <c r="F13" s="14">
        <f t="shared" si="4"/>
        <v>6858.0759405117069</v>
      </c>
      <c r="G13" s="13">
        <f t="shared" si="4"/>
        <v>11077.006710604284</v>
      </c>
      <c r="H13" s="15">
        <f t="shared" si="4"/>
        <v>20100.609385053081</v>
      </c>
      <c r="I13" s="13">
        <f t="shared" si="4"/>
        <v>747.10229572763672</v>
      </c>
      <c r="J13" s="16">
        <f t="shared" si="4"/>
        <v>69970.831296202741</v>
      </c>
      <c r="K13" s="15">
        <f t="shared" si="4"/>
        <v>808086.17263581976</v>
      </c>
      <c r="L13" s="14">
        <f t="shared" si="4"/>
        <v>12517.928062993959</v>
      </c>
      <c r="M13" s="13">
        <f t="shared" si="4"/>
        <v>7263.8364090881296</v>
      </c>
      <c r="O13" s="92">
        <v>1.2069401585431769E-2</v>
      </c>
      <c r="P13" s="258">
        <f t="shared" si="1"/>
        <v>0</v>
      </c>
      <c r="Q13" s="258">
        <f t="shared" si="2"/>
        <v>3128223.8387769349</v>
      </c>
    </row>
    <row r="14" spans="1:17" x14ac:dyDescent="0.2">
      <c r="A14" s="20">
        <v>3632</v>
      </c>
      <c r="B14" s="19" t="s">
        <v>64</v>
      </c>
      <c r="C14" s="58">
        <f t="shared" si="3"/>
        <v>25181222.117962398</v>
      </c>
      <c r="D14" s="15">
        <f t="shared" si="4"/>
        <v>12292417.823357252</v>
      </c>
      <c r="E14" s="14">
        <f t="shared" si="4"/>
        <v>6200295.5501013966</v>
      </c>
      <c r="F14" s="14">
        <f t="shared" si="4"/>
        <v>5917.1558102633326</v>
      </c>
      <c r="G14" s="13">
        <f t="shared" si="4"/>
        <v>94258.669944950205</v>
      </c>
      <c r="H14" s="15">
        <f t="shared" si="4"/>
        <v>94081.524811987387</v>
      </c>
      <c r="I14" s="13">
        <f t="shared" si="4"/>
        <v>6723.9206615487292</v>
      </c>
      <c r="J14" s="16">
        <f t="shared" si="4"/>
        <v>55303.440201002966</v>
      </c>
      <c r="K14" s="15">
        <f t="shared" si="4"/>
        <v>5660166.3640042497</v>
      </c>
      <c r="L14" s="14">
        <f t="shared" si="4"/>
        <v>125282.42460648864</v>
      </c>
      <c r="M14" s="13">
        <f t="shared" si="4"/>
        <v>646775.24446325598</v>
      </c>
      <c r="O14" s="92">
        <v>0.10514316433214833</v>
      </c>
      <c r="P14" s="258">
        <f t="shared" si="1"/>
        <v>0</v>
      </c>
      <c r="Q14" s="258">
        <f t="shared" si="2"/>
        <v>25181222.117962398</v>
      </c>
    </row>
    <row r="15" spans="1:17" x14ac:dyDescent="0.2">
      <c r="A15" s="20">
        <v>10298</v>
      </c>
      <c r="B15" s="19" t="s">
        <v>63</v>
      </c>
      <c r="C15" s="58">
        <f t="shared" si="3"/>
        <v>1344340.5460432747</v>
      </c>
      <c r="D15" s="15">
        <f t="shared" si="4"/>
        <v>580888.12247376458</v>
      </c>
      <c r="E15" s="14">
        <f t="shared" si="4"/>
        <v>218646.289299125</v>
      </c>
      <c r="F15" s="14">
        <f t="shared" si="4"/>
        <v>5766.4402246839727</v>
      </c>
      <c r="G15" s="13">
        <f t="shared" si="4"/>
        <v>4951.0984088554687</v>
      </c>
      <c r="H15" s="15">
        <f t="shared" si="4"/>
        <v>2988.4091829105464</v>
      </c>
      <c r="I15" s="13">
        <f t="shared" si="4"/>
        <v>0</v>
      </c>
      <c r="J15" s="16">
        <f t="shared" si="4"/>
        <v>17597.899204669317</v>
      </c>
      <c r="K15" s="15">
        <f t="shared" si="4"/>
        <v>499873.21725708473</v>
      </c>
      <c r="L15" s="14">
        <f t="shared" si="4"/>
        <v>6709.0468382563131</v>
      </c>
      <c r="M15" s="13">
        <f t="shared" si="4"/>
        <v>6920.0231539247507</v>
      </c>
      <c r="O15" s="92">
        <v>7.0859752523080169E-3</v>
      </c>
      <c r="P15" s="258">
        <f t="shared" si="1"/>
        <v>0</v>
      </c>
      <c r="Q15" s="258">
        <f t="shared" si="2"/>
        <v>1344340.5460432747</v>
      </c>
    </row>
    <row r="16" spans="1:17" x14ac:dyDescent="0.2">
      <c r="A16" s="20">
        <v>3630</v>
      </c>
      <c r="B16" s="19" t="s">
        <v>62</v>
      </c>
      <c r="C16" s="58">
        <f t="shared" si="3"/>
        <v>2862344.0717445132</v>
      </c>
      <c r="D16" s="15">
        <f t="shared" si="4"/>
        <v>1316961.0460280911</v>
      </c>
      <c r="E16" s="14">
        <f t="shared" si="4"/>
        <v>48947.052210710717</v>
      </c>
      <c r="F16" s="14">
        <f t="shared" si="4"/>
        <v>3709.3593331821198</v>
      </c>
      <c r="G16" s="13">
        <f t="shared" si="4"/>
        <v>9718.5067722023578</v>
      </c>
      <c r="H16" s="15">
        <f t="shared" si="4"/>
        <v>16845.37795366838</v>
      </c>
      <c r="I16" s="13">
        <f t="shared" si="4"/>
        <v>515.85634705003474</v>
      </c>
      <c r="J16" s="16">
        <f t="shared" si="4"/>
        <v>11920.039742572069</v>
      </c>
      <c r="K16" s="15">
        <f t="shared" si="4"/>
        <v>938422.65209321014</v>
      </c>
      <c r="L16" s="14">
        <f t="shared" si="4"/>
        <v>498326.05760884937</v>
      </c>
      <c r="M16" s="13">
        <f t="shared" si="4"/>
        <v>16978.12365497708</v>
      </c>
      <c r="O16" s="92">
        <v>1.5279410782616385E-2</v>
      </c>
      <c r="P16" s="258">
        <f t="shared" si="1"/>
        <v>0</v>
      </c>
      <c r="Q16" s="258">
        <f t="shared" si="2"/>
        <v>2862344.0717445132</v>
      </c>
    </row>
    <row r="17" spans="1:17" x14ac:dyDescent="0.2">
      <c r="A17" s="20">
        <v>3631</v>
      </c>
      <c r="B17" s="19" t="s">
        <v>61</v>
      </c>
      <c r="C17" s="58">
        <f t="shared" si="3"/>
        <v>4117787.2050746833</v>
      </c>
      <c r="D17" s="15">
        <f t="shared" si="4"/>
        <v>2173524.8876419473</v>
      </c>
      <c r="E17" s="14">
        <f t="shared" si="4"/>
        <v>103894.48962928512</v>
      </c>
      <c r="F17" s="14">
        <f t="shared" si="4"/>
        <v>5757.2547933979686</v>
      </c>
      <c r="G17" s="13">
        <f t="shared" si="4"/>
        <v>14639.615288482535</v>
      </c>
      <c r="H17" s="15">
        <f t="shared" si="4"/>
        <v>10832.983288050731</v>
      </c>
      <c r="I17" s="13">
        <f t="shared" si="4"/>
        <v>2543.7054354536199</v>
      </c>
      <c r="J17" s="16">
        <f t="shared" si="4"/>
        <v>17746.404683189725</v>
      </c>
      <c r="K17" s="15">
        <f t="shared" si="4"/>
        <v>1212035.4917023217</v>
      </c>
      <c r="L17" s="14">
        <f t="shared" si="4"/>
        <v>560634.39616959461</v>
      </c>
      <c r="M17" s="13">
        <f t="shared" si="4"/>
        <v>16177.976442960484</v>
      </c>
      <c r="O17" s="92">
        <v>1.9985241623354359E-2</v>
      </c>
      <c r="P17" s="258">
        <f t="shared" si="1"/>
        <v>0</v>
      </c>
      <c r="Q17" s="258">
        <f t="shared" si="2"/>
        <v>4117787.2050746833</v>
      </c>
    </row>
    <row r="18" spans="1:17" x14ac:dyDescent="0.2">
      <c r="A18" s="78">
        <v>103631</v>
      </c>
      <c r="B18" s="19" t="s">
        <v>60</v>
      </c>
      <c r="C18" s="58">
        <f t="shared" si="3"/>
        <v>1160448.9146771417</v>
      </c>
      <c r="D18" s="15">
        <f t="shared" si="4"/>
        <v>647462.87097358261</v>
      </c>
      <c r="E18" s="14">
        <f t="shared" si="4"/>
        <v>185692.35139522352</v>
      </c>
      <c r="F18" s="14">
        <f t="shared" si="4"/>
        <v>15843.817195673173</v>
      </c>
      <c r="G18" s="13">
        <f t="shared" si="4"/>
        <v>4002.0644294779095</v>
      </c>
      <c r="H18" s="15">
        <f t="shared" si="4"/>
        <v>2170.1542875898017</v>
      </c>
      <c r="I18" s="13">
        <f t="shared" si="4"/>
        <v>0</v>
      </c>
      <c r="J18" s="16">
        <f t="shared" si="4"/>
        <v>24280.645738088042</v>
      </c>
      <c r="K18" s="15">
        <f t="shared" si="4"/>
        <v>278488.73668233753</v>
      </c>
      <c r="L18" s="14">
        <f t="shared" si="4"/>
        <v>1870.6566655934794</v>
      </c>
      <c r="M18" s="13">
        <f t="shared" si="4"/>
        <v>637.6173095757224</v>
      </c>
      <c r="O18" s="92">
        <v>3.4527219750504121E-3</v>
      </c>
      <c r="P18" s="258">
        <f t="shared" si="1"/>
        <v>0</v>
      </c>
      <c r="Q18" s="258">
        <f t="shared" si="2"/>
        <v>1160448.9146771417</v>
      </c>
    </row>
    <row r="19" spans="1:17" x14ac:dyDescent="0.2">
      <c r="A19" s="20">
        <v>11161</v>
      </c>
      <c r="B19" s="19" t="s">
        <v>59</v>
      </c>
      <c r="C19" s="58">
        <f t="shared" si="3"/>
        <v>3893165.3328993227</v>
      </c>
      <c r="D19" s="15">
        <f t="shared" si="4"/>
        <v>1952703.0105756493</v>
      </c>
      <c r="E19" s="14">
        <f t="shared" si="4"/>
        <v>99197.312937242998</v>
      </c>
      <c r="F19" s="14">
        <f t="shared" si="4"/>
        <v>5011.0424208982995</v>
      </c>
      <c r="G19" s="13">
        <f t="shared" si="4"/>
        <v>13147.10631994301</v>
      </c>
      <c r="H19" s="15">
        <f t="shared" si="4"/>
        <v>14212.73176872337</v>
      </c>
      <c r="I19" s="13">
        <f t="shared" si="4"/>
        <v>1369.687542167334</v>
      </c>
      <c r="J19" s="16">
        <f t="shared" si="4"/>
        <v>16038.591680204943</v>
      </c>
      <c r="K19" s="15">
        <f t="shared" si="4"/>
        <v>1155587.6063545884</v>
      </c>
      <c r="L19" s="14">
        <f t="shared" si="4"/>
        <v>619426.46280253259</v>
      </c>
      <c r="M19" s="13">
        <f t="shared" si="4"/>
        <v>16471.780497372827</v>
      </c>
      <c r="O19" s="92">
        <v>1.9224284187157891E-2</v>
      </c>
      <c r="P19" s="258">
        <f t="shared" si="1"/>
        <v>0</v>
      </c>
      <c r="Q19" s="258">
        <f t="shared" si="2"/>
        <v>3893165.3328993227</v>
      </c>
    </row>
    <row r="20" spans="1:17" x14ac:dyDescent="0.2">
      <c r="A20" s="20">
        <v>3639</v>
      </c>
      <c r="B20" s="19" t="s">
        <v>58</v>
      </c>
      <c r="C20" s="58">
        <f t="shared" si="3"/>
        <v>2214961.2850508625</v>
      </c>
      <c r="D20" s="15">
        <f t="shared" si="4"/>
        <v>1071290.8473386215</v>
      </c>
      <c r="E20" s="14">
        <f t="shared" si="4"/>
        <v>43101.601757923883</v>
      </c>
      <c r="F20" s="14">
        <f t="shared" si="4"/>
        <v>4191.2787454562658</v>
      </c>
      <c r="G20" s="13">
        <f t="shared" si="4"/>
        <v>8267.7086026642883</v>
      </c>
      <c r="H20" s="15">
        <f t="shared" si="4"/>
        <v>13874.756920656109</v>
      </c>
      <c r="I20" s="13">
        <f t="shared" si="4"/>
        <v>889.40749491385316</v>
      </c>
      <c r="J20" s="16">
        <f t="shared" si="4"/>
        <v>9628.1051907403125</v>
      </c>
      <c r="K20" s="15">
        <f t="shared" si="4"/>
        <v>690502.03936994402</v>
      </c>
      <c r="L20" s="14">
        <f t="shared" si="4"/>
        <v>362738.61207260023</v>
      </c>
      <c r="M20" s="13">
        <f t="shared" si="4"/>
        <v>10476.927557342258</v>
      </c>
      <c r="O20" s="92">
        <v>1.296528221607569E-2</v>
      </c>
      <c r="P20" s="258">
        <f t="shared" si="1"/>
        <v>0</v>
      </c>
      <c r="Q20" s="258">
        <f t="shared" si="2"/>
        <v>2214961.2850508625</v>
      </c>
    </row>
    <row r="21" spans="1:17" x14ac:dyDescent="0.2">
      <c r="A21" s="78">
        <v>103639</v>
      </c>
      <c r="B21" s="19" t="s">
        <v>57</v>
      </c>
      <c r="C21" s="58">
        <f t="shared" si="3"/>
        <v>1489084.1457832691</v>
      </c>
      <c r="D21" s="15">
        <f t="shared" si="4"/>
        <v>826558.32116323407</v>
      </c>
      <c r="E21" s="14">
        <f t="shared" si="4"/>
        <v>199531.17872880472</v>
      </c>
      <c r="F21" s="14">
        <f t="shared" si="4"/>
        <v>9751.4431018754422</v>
      </c>
      <c r="G21" s="13">
        <f t="shared" si="4"/>
        <v>4810.3225087413357</v>
      </c>
      <c r="H21" s="15">
        <f t="shared" si="4"/>
        <v>266.82224847415597</v>
      </c>
      <c r="I21" s="13">
        <f t="shared" si="4"/>
        <v>106.72889938966237</v>
      </c>
      <c r="J21" s="16">
        <f t="shared" si="4"/>
        <v>36408.593150588684</v>
      </c>
      <c r="K21" s="15">
        <f t="shared" si="4"/>
        <v>410513.02666507533</v>
      </c>
      <c r="L21" s="14">
        <f t="shared" si="4"/>
        <v>1087.7001163350556</v>
      </c>
      <c r="M21" s="13">
        <f t="shared" si="4"/>
        <v>50.009200751037042</v>
      </c>
      <c r="O21" s="92">
        <v>5.939285915308113E-3</v>
      </c>
      <c r="P21" s="258">
        <f t="shared" si="1"/>
        <v>0</v>
      </c>
      <c r="Q21" s="258">
        <f t="shared" si="2"/>
        <v>1489084.1457832691</v>
      </c>
    </row>
    <row r="22" spans="1:17" x14ac:dyDescent="0.2">
      <c r="A22" s="20">
        <v>9651</v>
      </c>
      <c r="B22" s="19" t="s">
        <v>56</v>
      </c>
      <c r="C22" s="58">
        <f t="shared" si="3"/>
        <v>2421402.808000444</v>
      </c>
      <c r="D22" s="15">
        <f t="shared" ref="D22:M37" si="5">D65/$C$86*$C$43</f>
        <v>1110673.0929300631</v>
      </c>
      <c r="E22" s="14">
        <f t="shared" si="5"/>
        <v>52571.859732022996</v>
      </c>
      <c r="F22" s="14">
        <f t="shared" si="5"/>
        <v>4530.4009337985945</v>
      </c>
      <c r="G22" s="13">
        <f t="shared" si="5"/>
        <v>6837.9611810673696</v>
      </c>
      <c r="H22" s="15">
        <f t="shared" si="5"/>
        <v>6172.4880147021404</v>
      </c>
      <c r="I22" s="13">
        <f t="shared" si="5"/>
        <v>1191.8060431845634</v>
      </c>
      <c r="J22" s="16">
        <f t="shared" si="5"/>
        <v>10583.490435888323</v>
      </c>
      <c r="K22" s="15">
        <f t="shared" si="5"/>
        <v>791395.60188516125</v>
      </c>
      <c r="L22" s="14">
        <f t="shared" si="5"/>
        <v>428563.22256115277</v>
      </c>
      <c r="M22" s="13">
        <f t="shared" si="5"/>
        <v>8882.8842834029565</v>
      </c>
      <c r="O22" s="92">
        <v>1.0886031395541047E-2</v>
      </c>
      <c r="P22" s="258">
        <f t="shared" si="1"/>
        <v>0</v>
      </c>
      <c r="Q22" s="258">
        <f t="shared" si="2"/>
        <v>2421402.808000444</v>
      </c>
    </row>
    <row r="23" spans="1:17" x14ac:dyDescent="0.2">
      <c r="A23" s="20">
        <v>3665</v>
      </c>
      <c r="B23" s="19" t="s">
        <v>55</v>
      </c>
      <c r="C23" s="58">
        <f t="shared" si="3"/>
        <v>3425165.0507109785</v>
      </c>
      <c r="D23" s="15">
        <f t="shared" si="5"/>
        <v>1766106.1802733426</v>
      </c>
      <c r="E23" s="14">
        <f t="shared" si="5"/>
        <v>83124.730884865319</v>
      </c>
      <c r="F23" s="14">
        <f t="shared" si="5"/>
        <v>5435.6223616759626</v>
      </c>
      <c r="G23" s="13">
        <f t="shared" si="5"/>
        <v>11737.67513615122</v>
      </c>
      <c r="H23" s="15">
        <f t="shared" si="5"/>
        <v>10228.18619150931</v>
      </c>
      <c r="I23" s="13">
        <f t="shared" si="5"/>
        <v>3237.4432814864253</v>
      </c>
      <c r="J23" s="16">
        <f t="shared" si="5"/>
        <v>13207.087223082342</v>
      </c>
      <c r="K23" s="15">
        <f t="shared" si="5"/>
        <v>1007997.9526380905</v>
      </c>
      <c r="L23" s="14">
        <f t="shared" si="5"/>
        <v>511687.89093451703</v>
      </c>
      <c r="M23" s="13">
        <f t="shared" si="5"/>
        <v>12402.281786257188</v>
      </c>
      <c r="O23" s="92">
        <v>1.5183466872892367E-2</v>
      </c>
      <c r="P23" s="258">
        <f t="shared" si="1"/>
        <v>0</v>
      </c>
      <c r="Q23" s="258">
        <f t="shared" si="2"/>
        <v>3425165.0507109785</v>
      </c>
    </row>
    <row r="24" spans="1:17" x14ac:dyDescent="0.2">
      <c r="A24" s="20">
        <v>3565</v>
      </c>
      <c r="B24" s="19" t="s">
        <v>54</v>
      </c>
      <c r="C24" s="58">
        <f t="shared" si="3"/>
        <v>3539375.7102595177</v>
      </c>
      <c r="D24" s="15">
        <f t="shared" si="5"/>
        <v>1862686.4492237826</v>
      </c>
      <c r="E24" s="14">
        <f t="shared" si="5"/>
        <v>81958.203765846454</v>
      </c>
      <c r="F24" s="14">
        <f t="shared" si="5"/>
        <v>6609.5211905425585</v>
      </c>
      <c r="G24" s="13">
        <f t="shared" si="5"/>
        <v>11729.470501653039</v>
      </c>
      <c r="H24" s="15">
        <f t="shared" si="5"/>
        <v>3895.6048277226764</v>
      </c>
      <c r="I24" s="13">
        <f t="shared" si="5"/>
        <v>3966.7574273157848</v>
      </c>
      <c r="J24" s="16">
        <f t="shared" si="5"/>
        <v>15137.658443847753</v>
      </c>
      <c r="K24" s="15">
        <f t="shared" si="5"/>
        <v>1065008.4414942726</v>
      </c>
      <c r="L24" s="14">
        <f t="shared" si="5"/>
        <v>479900.79270713922</v>
      </c>
      <c r="M24" s="13">
        <f t="shared" si="5"/>
        <v>8482.8106773946583</v>
      </c>
      <c r="O24" s="92">
        <v>1.411122580581306E-2</v>
      </c>
      <c r="P24" s="258">
        <f t="shared" si="1"/>
        <v>0</v>
      </c>
      <c r="Q24" s="258">
        <f t="shared" si="2"/>
        <v>3539375.7102595177</v>
      </c>
    </row>
    <row r="25" spans="1:17" x14ac:dyDescent="0.2">
      <c r="A25" s="20">
        <v>29269</v>
      </c>
      <c r="B25" s="19" t="s">
        <v>53</v>
      </c>
      <c r="C25" s="58">
        <f t="shared" si="3"/>
        <v>923271.11333941319</v>
      </c>
      <c r="D25" s="15">
        <f t="shared" si="5"/>
        <v>486183.19855148823</v>
      </c>
      <c r="E25" s="14">
        <f t="shared" si="5"/>
        <v>158114.3115792117</v>
      </c>
      <c r="F25" s="14">
        <f t="shared" si="5"/>
        <v>9087.5364215231457</v>
      </c>
      <c r="G25" s="13">
        <f t="shared" si="5"/>
        <v>2906.3628410226834</v>
      </c>
      <c r="H25" s="15">
        <f t="shared" si="5"/>
        <v>2223.5187372846326</v>
      </c>
      <c r="I25" s="13">
        <f t="shared" si="5"/>
        <v>1031.7126941000695</v>
      </c>
      <c r="J25" s="16">
        <f t="shared" si="5"/>
        <v>17746.404683189725</v>
      </c>
      <c r="K25" s="15">
        <f t="shared" si="5"/>
        <v>243419.78465567285</v>
      </c>
      <c r="L25" s="14">
        <f t="shared" si="5"/>
        <v>2545.7808757324797</v>
      </c>
      <c r="M25" s="13">
        <f t="shared" si="5"/>
        <v>12.502300187759261</v>
      </c>
      <c r="O25" s="92">
        <v>2.885126155730112E-3</v>
      </c>
      <c r="P25" s="258">
        <f t="shared" si="1"/>
        <v>0</v>
      </c>
      <c r="Q25" s="258">
        <f t="shared" si="2"/>
        <v>923271.11333941319</v>
      </c>
    </row>
    <row r="26" spans="1:17" x14ac:dyDescent="0.2">
      <c r="A26" s="20">
        <v>3652</v>
      </c>
      <c r="B26" s="19" t="s">
        <v>52</v>
      </c>
      <c r="C26" s="58">
        <f t="shared" si="3"/>
        <v>14365739.592839919</v>
      </c>
      <c r="D26" s="15">
        <f t="shared" si="5"/>
        <v>7171319.3876987128</v>
      </c>
      <c r="E26" s="14">
        <f t="shared" si="5"/>
        <v>2307730.5789614459</v>
      </c>
      <c r="F26" s="14">
        <f t="shared" si="5"/>
        <v>5022.4200489814457</v>
      </c>
      <c r="G26" s="13">
        <f t="shared" si="5"/>
        <v>49604.03245769885</v>
      </c>
      <c r="H26" s="15">
        <f t="shared" si="5"/>
        <v>39329.599425090586</v>
      </c>
      <c r="I26" s="13">
        <f t="shared" si="5"/>
        <v>3344.1721808760876</v>
      </c>
      <c r="J26" s="16">
        <f t="shared" si="5"/>
        <v>50090.897904936362</v>
      </c>
      <c r="K26" s="15">
        <f t="shared" si="5"/>
        <v>4277099.4057333823</v>
      </c>
      <c r="L26" s="14">
        <f t="shared" si="5"/>
        <v>400175.18719732197</v>
      </c>
      <c r="M26" s="13">
        <f t="shared" si="5"/>
        <v>62023.911231473699</v>
      </c>
      <c r="O26" s="92">
        <v>6.680079885949769E-2</v>
      </c>
      <c r="P26" s="258">
        <f t="shared" si="1"/>
        <v>147722.00336805632</v>
      </c>
      <c r="Q26" s="258">
        <f t="shared" si="2"/>
        <v>14513461.596207974</v>
      </c>
    </row>
    <row r="27" spans="1:17" x14ac:dyDescent="0.2">
      <c r="A27" s="20">
        <v>11711</v>
      </c>
      <c r="B27" s="19" t="s">
        <v>51</v>
      </c>
      <c r="C27" s="58">
        <f t="shared" si="3"/>
        <v>3078242.5170279527</v>
      </c>
      <c r="D27" s="15">
        <f t="shared" si="5"/>
        <v>1674683.1101503533</v>
      </c>
      <c r="E27" s="14">
        <f t="shared" si="5"/>
        <v>522666.54650951119</v>
      </c>
      <c r="F27" s="14">
        <f t="shared" si="5"/>
        <v>9304.8978591000778</v>
      </c>
      <c r="G27" s="13">
        <f t="shared" si="5"/>
        <v>10703.312957992204</v>
      </c>
      <c r="H27" s="15">
        <f t="shared" si="5"/>
        <v>5692.2079674486604</v>
      </c>
      <c r="I27" s="13">
        <f t="shared" si="5"/>
        <v>444.70374745692658</v>
      </c>
      <c r="J27" s="16">
        <f t="shared" si="5"/>
        <v>57496.371100487777</v>
      </c>
      <c r="K27" s="15">
        <f t="shared" si="5"/>
        <v>782769.01475560723</v>
      </c>
      <c r="L27" s="14">
        <f t="shared" si="5"/>
        <v>13413.405313942218</v>
      </c>
      <c r="M27" s="13">
        <f t="shared" si="5"/>
        <v>1068.9466660534169</v>
      </c>
      <c r="O27" s="92">
        <v>1.0972897764284933E-2</v>
      </c>
      <c r="P27" s="258">
        <f t="shared" si="1"/>
        <v>0</v>
      </c>
      <c r="Q27" s="258">
        <f t="shared" si="2"/>
        <v>3078242.5170279527</v>
      </c>
    </row>
    <row r="28" spans="1:17" x14ac:dyDescent="0.2">
      <c r="A28" s="20">
        <v>12826</v>
      </c>
      <c r="B28" s="19" t="s">
        <v>50</v>
      </c>
      <c r="C28" s="58">
        <f t="shared" si="3"/>
        <v>5676296.3773410767</v>
      </c>
      <c r="D28" s="15">
        <f t="shared" si="5"/>
        <v>3350772.7290718295</v>
      </c>
      <c r="E28" s="14">
        <f t="shared" si="5"/>
        <v>381988.0911141886</v>
      </c>
      <c r="F28" s="14">
        <f t="shared" si="5"/>
        <v>6993.4034974366841</v>
      </c>
      <c r="G28" s="13">
        <f t="shared" si="5"/>
        <v>20025.48118636748</v>
      </c>
      <c r="H28" s="15">
        <f t="shared" si="5"/>
        <v>6919.5903104297777</v>
      </c>
      <c r="I28" s="13">
        <f t="shared" si="5"/>
        <v>88.940749491385318</v>
      </c>
      <c r="J28" s="16">
        <f t="shared" si="5"/>
        <v>124818.85469640976</v>
      </c>
      <c r="K28" s="15">
        <f t="shared" si="5"/>
        <v>1747071.4282374792</v>
      </c>
      <c r="L28" s="14">
        <f t="shared" si="5"/>
        <v>26278.2722071465</v>
      </c>
      <c r="M28" s="13">
        <f t="shared" si="5"/>
        <v>11339.58627029765</v>
      </c>
      <c r="O28" s="92">
        <v>2.262163232206927E-2</v>
      </c>
      <c r="P28" s="258">
        <f t="shared" si="1"/>
        <v>0</v>
      </c>
      <c r="Q28" s="258">
        <f t="shared" si="2"/>
        <v>5676296.3773410767</v>
      </c>
    </row>
    <row r="29" spans="1:17" x14ac:dyDescent="0.2">
      <c r="A29" s="20">
        <v>13231</v>
      </c>
      <c r="B29" s="19" t="s">
        <v>49</v>
      </c>
      <c r="C29" s="58">
        <f t="shared" si="3"/>
        <v>1520689.1005348065</v>
      </c>
      <c r="D29" s="15">
        <f t="shared" si="5"/>
        <v>811086.72468088195</v>
      </c>
      <c r="E29" s="14">
        <f t="shared" si="5"/>
        <v>253336.53092049671</v>
      </c>
      <c r="F29" s="14">
        <f t="shared" si="5"/>
        <v>9396.5683757709758</v>
      </c>
      <c r="G29" s="13">
        <f t="shared" si="5"/>
        <v>5084.4354403579418</v>
      </c>
      <c r="H29" s="15">
        <f t="shared" si="5"/>
        <v>5763.3605670417683</v>
      </c>
      <c r="I29" s="13">
        <f t="shared" si="5"/>
        <v>391.33929776209533</v>
      </c>
      <c r="J29" s="16">
        <f t="shared" si="5"/>
        <v>28513.051875919897</v>
      </c>
      <c r="K29" s="15">
        <f t="shared" si="5"/>
        <v>402824.11204960337</v>
      </c>
      <c r="L29" s="14">
        <f t="shared" si="5"/>
        <v>4167.9543250942443</v>
      </c>
      <c r="M29" s="13">
        <f t="shared" si="5"/>
        <v>125.02300187759261</v>
      </c>
      <c r="O29" s="92">
        <v>5.6229417841748381E-3</v>
      </c>
      <c r="P29" s="258">
        <f t="shared" si="1"/>
        <v>0</v>
      </c>
      <c r="Q29" s="258">
        <f t="shared" si="2"/>
        <v>1520689.1005348065</v>
      </c>
    </row>
    <row r="30" spans="1:17" x14ac:dyDescent="0.2">
      <c r="A30" s="20">
        <v>3592</v>
      </c>
      <c r="B30" s="19" t="s">
        <v>48</v>
      </c>
      <c r="C30" s="58">
        <f t="shared" si="3"/>
        <v>2754727.6286025089</v>
      </c>
      <c r="D30" s="15">
        <f t="shared" si="5"/>
        <v>1451048.2155418096</v>
      </c>
      <c r="E30" s="14">
        <f t="shared" si="5"/>
        <v>382496.30961682094</v>
      </c>
      <c r="F30" s="14">
        <f t="shared" si="5"/>
        <v>5654.756497136249</v>
      </c>
      <c r="G30" s="13">
        <f t="shared" si="5"/>
        <v>9198.5673631438931</v>
      </c>
      <c r="H30" s="15">
        <f t="shared" si="5"/>
        <v>17788.149898277061</v>
      </c>
      <c r="I30" s="13">
        <f t="shared" si="5"/>
        <v>800.46674542246774</v>
      </c>
      <c r="J30" s="16">
        <f t="shared" si="5"/>
        <v>51259.141002630306</v>
      </c>
      <c r="K30" s="15">
        <f t="shared" si="5"/>
        <v>809023.8451499017</v>
      </c>
      <c r="L30" s="14">
        <f t="shared" si="5"/>
        <v>14712.08174594571</v>
      </c>
      <c r="M30" s="13">
        <f t="shared" si="5"/>
        <v>12746.095041420567</v>
      </c>
      <c r="O30" s="92">
        <v>1.0364568727977754E-2</v>
      </c>
      <c r="P30" s="258">
        <f t="shared" si="1"/>
        <v>0</v>
      </c>
      <c r="Q30" s="258">
        <f t="shared" si="2"/>
        <v>2754727.6286025089</v>
      </c>
    </row>
    <row r="31" spans="1:17" x14ac:dyDescent="0.2">
      <c r="A31" s="20">
        <v>3594</v>
      </c>
      <c r="B31" s="19" t="s">
        <v>47</v>
      </c>
      <c r="C31" s="58">
        <f t="shared" si="3"/>
        <v>16409471.358281311</v>
      </c>
      <c r="D31" s="15">
        <f t="shared" si="5"/>
        <v>8462494.4395895489</v>
      </c>
      <c r="E31" s="14">
        <f t="shared" si="5"/>
        <v>2926330.5772100668</v>
      </c>
      <c r="F31" s="14">
        <f t="shared" si="5"/>
        <v>6068.3690982950093</v>
      </c>
      <c r="G31" s="13">
        <f t="shared" si="5"/>
        <v>53501.499518230536</v>
      </c>
      <c r="H31" s="15">
        <f t="shared" si="5"/>
        <v>17966.031397259834</v>
      </c>
      <c r="I31" s="13">
        <f t="shared" si="5"/>
        <v>2312.4594867760184</v>
      </c>
      <c r="J31" s="16">
        <f t="shared" si="5"/>
        <v>56729.092794798962</v>
      </c>
      <c r="K31" s="15">
        <f t="shared" si="5"/>
        <v>4424689.0594498804</v>
      </c>
      <c r="L31" s="14">
        <f t="shared" si="5"/>
        <v>396799.56614662689</v>
      </c>
      <c r="M31" s="13">
        <f t="shared" si="5"/>
        <v>62580.263589828981</v>
      </c>
      <c r="O31" s="92">
        <v>5.9972196847224775E-2</v>
      </c>
      <c r="P31" s="258">
        <f t="shared" si="1"/>
        <v>0</v>
      </c>
      <c r="Q31" s="258">
        <f t="shared" si="2"/>
        <v>16409471.358281311</v>
      </c>
    </row>
    <row r="32" spans="1:17" x14ac:dyDescent="0.2">
      <c r="A32" s="78">
        <v>113594</v>
      </c>
      <c r="B32" s="19" t="s">
        <v>46</v>
      </c>
      <c r="C32" s="58">
        <f t="shared" si="3"/>
        <v>1071164.5304606906</v>
      </c>
      <c r="D32" s="15">
        <f t="shared" si="5"/>
        <v>567526.28914809704</v>
      </c>
      <c r="E32" s="14">
        <f t="shared" si="5"/>
        <v>196647.85918981559</v>
      </c>
      <c r="F32" s="14">
        <f t="shared" si="5"/>
        <v>9997.2922975637139</v>
      </c>
      <c r="G32" s="13">
        <f t="shared" si="5"/>
        <v>3309.327603949394</v>
      </c>
      <c r="H32" s="15">
        <f t="shared" si="5"/>
        <v>640.37339633797433</v>
      </c>
      <c r="I32" s="13">
        <f t="shared" si="5"/>
        <v>0</v>
      </c>
      <c r="J32" s="16">
        <f t="shared" si="5"/>
        <v>22906.970061774191</v>
      </c>
      <c r="K32" s="15">
        <f t="shared" si="5"/>
        <v>268924.47703870171</v>
      </c>
      <c r="L32" s="14">
        <f t="shared" si="5"/>
        <v>1005.6537713528855</v>
      </c>
      <c r="M32" s="13">
        <f t="shared" si="5"/>
        <v>206.28795309802783</v>
      </c>
      <c r="O32" s="92">
        <v>2.8602942419239919E-3</v>
      </c>
      <c r="P32" s="258">
        <f t="shared" si="1"/>
        <v>0</v>
      </c>
      <c r="Q32" s="258">
        <f t="shared" si="2"/>
        <v>1071164.5304606906</v>
      </c>
    </row>
    <row r="33" spans="1:17" x14ac:dyDescent="0.2">
      <c r="A33" s="20">
        <v>3624</v>
      </c>
      <c r="B33" s="19" t="s">
        <v>45</v>
      </c>
      <c r="C33" s="58">
        <f t="shared" si="3"/>
        <v>5371873.9272351237</v>
      </c>
      <c r="D33" s="15">
        <f t="shared" si="5"/>
        <v>2702841.0218412052</v>
      </c>
      <c r="E33" s="14">
        <f t="shared" si="5"/>
        <v>149737.39261000277</v>
      </c>
      <c r="F33" s="14">
        <f t="shared" si="5"/>
        <v>4748.7356255906943</v>
      </c>
      <c r="G33" s="13">
        <f t="shared" si="5"/>
        <v>17448.85088492146</v>
      </c>
      <c r="H33" s="15">
        <f t="shared" si="5"/>
        <v>13234.383524318135</v>
      </c>
      <c r="I33" s="13">
        <f t="shared" si="5"/>
        <v>2383.6120863691267</v>
      </c>
      <c r="J33" s="16">
        <f t="shared" si="5"/>
        <v>21686.750046598099</v>
      </c>
      <c r="K33" s="15">
        <f t="shared" si="5"/>
        <v>1558036.6493985592</v>
      </c>
      <c r="L33" s="14">
        <f t="shared" si="5"/>
        <v>875551.71002401575</v>
      </c>
      <c r="M33" s="13">
        <f t="shared" si="5"/>
        <v>26204.821193543408</v>
      </c>
      <c r="O33" s="92">
        <v>2.3435865298122357E-2</v>
      </c>
      <c r="P33" s="258">
        <f t="shared" si="1"/>
        <v>0</v>
      </c>
      <c r="Q33" s="258">
        <f t="shared" si="2"/>
        <v>5371873.9272351237</v>
      </c>
    </row>
    <row r="34" spans="1:17" x14ac:dyDescent="0.2">
      <c r="A34" s="20">
        <v>3642</v>
      </c>
      <c r="B34" s="19" t="s">
        <v>44</v>
      </c>
      <c r="C34" s="58">
        <f t="shared" si="3"/>
        <v>2524318.6130864518</v>
      </c>
      <c r="D34" s="15">
        <f t="shared" si="5"/>
        <v>1066602.4847682121</v>
      </c>
      <c r="E34" s="14">
        <f t="shared" si="5"/>
        <v>15323.522364503309</v>
      </c>
      <c r="F34" s="14">
        <f t="shared" si="5"/>
        <v>3031.8892974544201</v>
      </c>
      <c r="G34" s="13">
        <f t="shared" si="5"/>
        <v>6979.3465683156774</v>
      </c>
      <c r="H34" s="15">
        <f t="shared" si="5"/>
        <v>7168.6244090056571</v>
      </c>
      <c r="I34" s="13">
        <f t="shared" si="5"/>
        <v>160.09334908449358</v>
      </c>
      <c r="J34" s="16">
        <f t="shared" si="5"/>
        <v>9895.4150520770618</v>
      </c>
      <c r="K34" s="15">
        <f t="shared" si="5"/>
        <v>921169.47783410223</v>
      </c>
      <c r="L34" s="14">
        <f t="shared" si="5"/>
        <v>478072.33130467939</v>
      </c>
      <c r="M34" s="13">
        <f t="shared" si="5"/>
        <v>15915.428139017538</v>
      </c>
      <c r="O34" s="92">
        <v>1.3524899052819646E-2</v>
      </c>
      <c r="P34" s="258">
        <f t="shared" si="1"/>
        <v>0</v>
      </c>
      <c r="Q34" s="258">
        <f t="shared" si="2"/>
        <v>2524318.6130864518</v>
      </c>
    </row>
    <row r="35" spans="1:17" x14ac:dyDescent="0.2">
      <c r="A35" s="20">
        <v>3644</v>
      </c>
      <c r="B35" s="19" t="s">
        <v>43</v>
      </c>
      <c r="C35" s="58">
        <f t="shared" si="3"/>
        <v>13690749.245393716</v>
      </c>
      <c r="D35" s="15">
        <f t="shared" si="5"/>
        <v>6574021.9962285133</v>
      </c>
      <c r="E35" s="14">
        <f t="shared" si="5"/>
        <v>2887310.4607435632</v>
      </c>
      <c r="F35" s="14">
        <f t="shared" si="5"/>
        <v>4937.1371981541106</v>
      </c>
      <c r="G35" s="13">
        <f t="shared" si="5"/>
        <v>47484.267460864598</v>
      </c>
      <c r="H35" s="15">
        <f t="shared" si="5"/>
        <v>38813.743078040556</v>
      </c>
      <c r="I35" s="13">
        <f t="shared" si="5"/>
        <v>3059.5617825036547</v>
      </c>
      <c r="J35" s="16">
        <f t="shared" si="5"/>
        <v>41254.821932971601</v>
      </c>
      <c r="K35" s="15">
        <f t="shared" si="5"/>
        <v>3648671.2867956623</v>
      </c>
      <c r="L35" s="14">
        <f t="shared" si="5"/>
        <v>371201.10651218978</v>
      </c>
      <c r="M35" s="13">
        <f t="shared" si="5"/>
        <v>73994.863661253185</v>
      </c>
      <c r="O35" s="92">
        <v>6.3345925146063756E-2</v>
      </c>
      <c r="P35" s="258">
        <f t="shared" si="1"/>
        <v>11274.021528423369</v>
      </c>
      <c r="Q35" s="258">
        <f t="shared" si="2"/>
        <v>13702023.266922139</v>
      </c>
    </row>
    <row r="36" spans="1:17" x14ac:dyDescent="0.2">
      <c r="A36" s="20">
        <v>3541</v>
      </c>
      <c r="B36" s="19" t="s">
        <v>42</v>
      </c>
      <c r="C36" s="58">
        <f t="shared" si="3"/>
        <v>2673302.5517458711</v>
      </c>
      <c r="D36" s="15">
        <f t="shared" si="5"/>
        <v>1394319.0284398515</v>
      </c>
      <c r="E36" s="14">
        <f t="shared" si="5"/>
        <v>359455.44553179375</v>
      </c>
      <c r="F36" s="14">
        <f t="shared" si="5"/>
        <v>4760.0243583284264</v>
      </c>
      <c r="G36" s="13">
        <f t="shared" si="5"/>
        <v>9270.5337285996902</v>
      </c>
      <c r="H36" s="15">
        <f t="shared" si="5"/>
        <v>13572.358372385399</v>
      </c>
      <c r="I36" s="13">
        <f t="shared" si="5"/>
        <v>1031.7126941000695</v>
      </c>
      <c r="J36" s="16">
        <f t="shared" si="5"/>
        <v>53684.730485130436</v>
      </c>
      <c r="K36" s="15">
        <f t="shared" si="5"/>
        <v>809398.91415553459</v>
      </c>
      <c r="L36" s="14">
        <f t="shared" si="5"/>
        <v>14538.612330840551</v>
      </c>
      <c r="M36" s="13">
        <f t="shared" si="5"/>
        <v>13271.191649306456</v>
      </c>
      <c r="O36" s="92">
        <v>1.2561069385453944E-2</v>
      </c>
      <c r="P36" s="258">
        <f t="shared" si="1"/>
        <v>0</v>
      </c>
      <c r="Q36" s="258">
        <f t="shared" si="2"/>
        <v>2673302.5517458711</v>
      </c>
    </row>
    <row r="37" spans="1:17" x14ac:dyDescent="0.2">
      <c r="A37" s="20">
        <v>3646</v>
      </c>
      <c r="B37" s="19" t="s">
        <v>41</v>
      </c>
      <c r="C37" s="58">
        <f t="shared" si="3"/>
        <v>4539558.9759407733</v>
      </c>
      <c r="D37" s="15">
        <f t="shared" si="5"/>
        <v>2540154.840647988</v>
      </c>
      <c r="E37" s="14">
        <f t="shared" si="5"/>
        <v>133019.44182193297</v>
      </c>
      <c r="F37" s="14">
        <f t="shared" si="5"/>
        <v>6457.1890078091328</v>
      </c>
      <c r="G37" s="13">
        <f t="shared" si="5"/>
        <v>16185.055870441798</v>
      </c>
      <c r="H37" s="15">
        <f t="shared" si="5"/>
        <v>30382.160026257228</v>
      </c>
      <c r="I37" s="13">
        <f t="shared" si="5"/>
        <v>1689.874240336321</v>
      </c>
      <c r="J37" s="16">
        <f t="shared" si="5"/>
        <v>18518.633171495891</v>
      </c>
      <c r="K37" s="15">
        <f t="shared" si="5"/>
        <v>1235477.30455437</v>
      </c>
      <c r="L37" s="14">
        <f t="shared" si="5"/>
        <v>545303.45056435477</v>
      </c>
      <c r="M37" s="13">
        <f t="shared" si="5"/>
        <v>12371.026035787789</v>
      </c>
      <c r="O37" s="92">
        <v>1.8983457031793705E-2</v>
      </c>
      <c r="P37" s="258">
        <f t="shared" si="1"/>
        <v>0</v>
      </c>
      <c r="Q37" s="258">
        <f t="shared" si="2"/>
        <v>4539558.9759407733</v>
      </c>
    </row>
    <row r="38" spans="1:17" x14ac:dyDescent="0.2">
      <c r="A38" s="20">
        <v>3581</v>
      </c>
      <c r="B38" s="19" t="s">
        <v>40</v>
      </c>
      <c r="C38" s="58">
        <f t="shared" si="3"/>
        <v>3847296.5765722562</v>
      </c>
      <c r="D38" s="15">
        <f t="shared" ref="D38:M42" si="6">D81/$C$86*$C$43</f>
        <v>1878158.0457061348</v>
      </c>
      <c r="E38" s="14">
        <f t="shared" si="6"/>
        <v>65798.136867904934</v>
      </c>
      <c r="F38" s="14">
        <f t="shared" si="6"/>
        <v>4302.7281438569516</v>
      </c>
      <c r="G38" s="13">
        <f t="shared" si="6"/>
        <v>12587.784665293142</v>
      </c>
      <c r="H38" s="15">
        <f t="shared" si="6"/>
        <v>17610.268399294291</v>
      </c>
      <c r="I38" s="13">
        <f t="shared" si="6"/>
        <v>907.19564481213024</v>
      </c>
      <c r="J38" s="16">
        <f t="shared" si="6"/>
        <v>14088.219728970143</v>
      </c>
      <c r="K38" s="15">
        <f t="shared" si="6"/>
        <v>1206596.9911206462</v>
      </c>
      <c r="L38" s="14">
        <f t="shared" si="6"/>
        <v>628287.46806060686</v>
      </c>
      <c r="M38" s="13">
        <f t="shared" si="6"/>
        <v>18959.738234736917</v>
      </c>
      <c r="O38" s="92">
        <v>1.8519296567582645E-2</v>
      </c>
      <c r="P38" s="258">
        <f t="shared" si="1"/>
        <v>0</v>
      </c>
      <c r="Q38" s="258">
        <f t="shared" si="2"/>
        <v>3847296.5765722562</v>
      </c>
    </row>
    <row r="39" spans="1:17" x14ac:dyDescent="0.2">
      <c r="A39" s="20">
        <v>3606</v>
      </c>
      <c r="B39" s="19" t="s">
        <v>39</v>
      </c>
      <c r="C39" s="58">
        <f t="shared" si="3"/>
        <v>8136128.8933625445</v>
      </c>
      <c r="D39" s="15">
        <f t="shared" si="6"/>
        <v>4328765.1612592964</v>
      </c>
      <c r="E39" s="14">
        <f t="shared" si="6"/>
        <v>253954.22279387878</v>
      </c>
      <c r="F39" s="14">
        <f t="shared" si="6"/>
        <v>5737.537061091447</v>
      </c>
      <c r="G39" s="13">
        <f t="shared" si="6"/>
        <v>27366.331764612525</v>
      </c>
      <c r="H39" s="15">
        <f t="shared" si="6"/>
        <v>8911.8630990368092</v>
      </c>
      <c r="I39" s="13">
        <f t="shared" si="6"/>
        <v>3255.2314313847023</v>
      </c>
      <c r="J39" s="16">
        <f t="shared" si="6"/>
        <v>32874.162761802778</v>
      </c>
      <c r="K39" s="15">
        <f t="shared" si="6"/>
        <v>2190965.5964038717</v>
      </c>
      <c r="L39" s="14">
        <f t="shared" si="6"/>
        <v>1251230.2027909467</v>
      </c>
      <c r="M39" s="13">
        <f t="shared" si="6"/>
        <v>33068.583996623245</v>
      </c>
      <c r="O39" s="92">
        <v>3.2554270941238916E-2</v>
      </c>
      <c r="P39" s="258">
        <f t="shared" si="1"/>
        <v>0</v>
      </c>
      <c r="Q39" s="258">
        <f t="shared" si="2"/>
        <v>8136128.8933625445</v>
      </c>
    </row>
    <row r="40" spans="1:17" x14ac:dyDescent="0.2">
      <c r="A40" s="20">
        <v>3615</v>
      </c>
      <c r="B40" s="19" t="s">
        <v>95</v>
      </c>
      <c r="C40" s="58">
        <f t="shared" si="3"/>
        <v>15200126.476212578</v>
      </c>
      <c r="D40" s="15">
        <f t="shared" si="6"/>
        <v>7540293.5219899584</v>
      </c>
      <c r="E40" s="14">
        <f t="shared" si="6"/>
        <v>2863803.4796517859</v>
      </c>
      <c r="F40" s="14">
        <f t="shared" si="6"/>
        <v>5486.9997045503651</v>
      </c>
      <c r="G40" s="13">
        <f t="shared" si="6"/>
        <v>48933.893539760087</v>
      </c>
      <c r="H40" s="15">
        <f t="shared" si="6"/>
        <v>26077.427750874176</v>
      </c>
      <c r="I40" s="13">
        <f t="shared" si="6"/>
        <v>3557.6299796554126</v>
      </c>
      <c r="J40" s="16">
        <f t="shared" si="6"/>
        <v>54580.713538870281</v>
      </c>
      <c r="K40" s="15">
        <f t="shared" si="6"/>
        <v>4202835.7426180923</v>
      </c>
      <c r="L40" s="14">
        <f t="shared" si="6"/>
        <v>392345.62170473766</v>
      </c>
      <c r="M40" s="13">
        <f t="shared" si="6"/>
        <v>62211.445734290086</v>
      </c>
      <c r="O40" s="92">
        <v>6.1387457427191858E-2</v>
      </c>
      <c r="P40" s="258">
        <f t="shared" si="1"/>
        <v>0</v>
      </c>
      <c r="Q40" s="258">
        <f t="shared" si="2"/>
        <v>15200126.476212578</v>
      </c>
    </row>
    <row r="41" spans="1:17" x14ac:dyDescent="0.2">
      <c r="A41" s="20">
        <v>3625</v>
      </c>
      <c r="B41" s="19" t="s">
        <v>38</v>
      </c>
      <c r="C41" s="58">
        <f t="shared" si="3"/>
        <v>506970.56898160133</v>
      </c>
      <c r="D41" s="15">
        <f t="shared" si="6"/>
        <v>266298.99399927224</v>
      </c>
      <c r="E41" s="14">
        <f t="shared" si="6"/>
        <v>48093.598316268581</v>
      </c>
      <c r="F41" s="14">
        <f t="shared" si="6"/>
        <v>3637.8981348145617</v>
      </c>
      <c r="G41" s="13">
        <f t="shared" si="6"/>
        <v>1848.7620123896647</v>
      </c>
      <c r="H41" s="15">
        <f t="shared" si="6"/>
        <v>675.94969613452827</v>
      </c>
      <c r="I41" s="13">
        <f t="shared" si="6"/>
        <v>337.97484806726413</v>
      </c>
      <c r="J41" s="16">
        <f t="shared" si="6"/>
        <v>12103.196499413914</v>
      </c>
      <c r="K41" s="15">
        <f t="shared" si="6"/>
        <v>168781.05253475002</v>
      </c>
      <c r="L41" s="14">
        <f t="shared" si="6"/>
        <v>2723.938653408049</v>
      </c>
      <c r="M41" s="13">
        <f t="shared" si="6"/>
        <v>2469.2042870824539</v>
      </c>
      <c r="O41" s="92">
        <v>2.5717361648878246E-3</v>
      </c>
      <c r="P41" s="258">
        <f t="shared" si="1"/>
        <v>0</v>
      </c>
      <c r="Q41" s="258">
        <f t="shared" si="2"/>
        <v>506970.56898160133</v>
      </c>
    </row>
    <row r="42" spans="1:17" x14ac:dyDescent="0.2">
      <c r="A42" s="20">
        <v>20</v>
      </c>
      <c r="B42" s="19" t="s">
        <v>37</v>
      </c>
      <c r="C42" s="77">
        <f t="shared" si="3"/>
        <v>422737.51891038835</v>
      </c>
      <c r="D42" s="15">
        <f t="shared" si="6"/>
        <v>227385.58466487154</v>
      </c>
      <c r="E42" s="14">
        <f t="shared" si="6"/>
        <v>43348.01799059203</v>
      </c>
      <c r="F42" s="14">
        <f t="shared" si="6"/>
        <v>8578.8615372329441</v>
      </c>
      <c r="G42" s="13">
        <f t="shared" si="6"/>
        <v>1308.8501787812813</v>
      </c>
      <c r="H42" s="15">
        <f t="shared" si="6"/>
        <v>337.97484806726413</v>
      </c>
      <c r="I42" s="13">
        <f t="shared" si="6"/>
        <v>302.39854827071002</v>
      </c>
      <c r="J42" s="16">
        <f t="shared" si="6"/>
        <v>10692.394453469962</v>
      </c>
      <c r="K42" s="15">
        <f t="shared" si="6"/>
        <v>129398.80694330836</v>
      </c>
      <c r="L42" s="14">
        <f t="shared" si="6"/>
        <v>1303.3647945739031</v>
      </c>
      <c r="M42" s="13">
        <f t="shared" si="6"/>
        <v>81.264951220435194</v>
      </c>
      <c r="O42" s="92">
        <v>1.4792799135503695E-3</v>
      </c>
      <c r="P42" s="258">
        <f t="shared" si="1"/>
        <v>0</v>
      </c>
      <c r="Q42" s="258">
        <f t="shared" si="2"/>
        <v>422737.51891038835</v>
      </c>
    </row>
    <row r="43" spans="1:17" ht="13.5" thickBot="1" x14ac:dyDescent="0.25">
      <c r="A43" s="12"/>
      <c r="B43" s="11" t="s">
        <v>11</v>
      </c>
      <c r="C43" s="75">
        <f>Q43-P43</f>
        <v>234841003.97510353</v>
      </c>
      <c r="D43" s="75">
        <f t="shared" ref="D43:M43" si="7">SUM(D5:D42)</f>
        <v>118784588.50202923</v>
      </c>
      <c r="E43" s="74">
        <f t="shared" si="7"/>
        <v>35015936.476197384</v>
      </c>
      <c r="F43" s="74">
        <f t="shared" si="7"/>
        <v>240435.57009129346</v>
      </c>
      <c r="G43" s="73">
        <f t="shared" si="7"/>
        <v>810210.71976246929</v>
      </c>
      <c r="H43" s="75">
        <f t="shared" si="7"/>
        <v>745608.09113618138</v>
      </c>
      <c r="I43" s="73">
        <f t="shared" si="7"/>
        <v>63948.398884306029</v>
      </c>
      <c r="J43" s="76">
        <f t="shared" si="7"/>
        <v>1311058.3412957157</v>
      </c>
      <c r="K43" s="75">
        <f t="shared" si="7"/>
        <v>64423071.381754242</v>
      </c>
      <c r="L43" s="74">
        <f t="shared" si="7"/>
        <v>11445584.678258283</v>
      </c>
      <c r="M43" s="73">
        <f t="shared" si="7"/>
        <v>2000561.8156943927</v>
      </c>
      <c r="O43" s="248">
        <f>SUM(O5:O42)</f>
        <v>1.0000000000000002</v>
      </c>
      <c r="P43" s="257">
        <f>SUM(P5:P42)</f>
        <v>158996.02489647968</v>
      </c>
      <c r="Q43" s="259">
        <v>235000000</v>
      </c>
    </row>
    <row r="44" spans="1:17" x14ac:dyDescent="0.2">
      <c r="A44" s="72"/>
      <c r="C44" s="154"/>
      <c r="D44" s="155"/>
      <c r="E44" s="70"/>
      <c r="F44" s="70"/>
      <c r="G44" s="70"/>
      <c r="H44" s="70"/>
      <c r="I44" s="70"/>
      <c r="J44" s="70"/>
      <c r="K44" s="70"/>
      <c r="L44" s="70"/>
      <c r="M44" s="70"/>
      <c r="O44" s="249" t="s">
        <v>147</v>
      </c>
      <c r="P44" s="260">
        <v>5.0000000000000001E-3</v>
      </c>
    </row>
    <row r="45" spans="1:17" ht="13.5" thickBot="1" x14ac:dyDescent="0.25">
      <c r="A45" s="69" t="s">
        <v>76</v>
      </c>
    </row>
    <row r="46" spans="1:17" ht="12.75" customHeight="1" outlineLevel="1" x14ac:dyDescent="0.2">
      <c r="A46" s="273" t="s">
        <v>24</v>
      </c>
      <c r="B46" s="275" t="s">
        <v>23</v>
      </c>
      <c r="C46" s="277" t="s">
        <v>36</v>
      </c>
      <c r="D46" s="279" t="s">
        <v>35</v>
      </c>
      <c r="E46" s="280"/>
      <c r="F46" s="280"/>
      <c r="G46" s="281"/>
      <c r="H46" s="282" t="s">
        <v>18</v>
      </c>
      <c r="I46" s="291" t="s">
        <v>17</v>
      </c>
      <c r="J46" s="293" t="s">
        <v>16</v>
      </c>
      <c r="K46" s="295" t="s">
        <v>34</v>
      </c>
      <c r="L46" s="296"/>
      <c r="M46" s="296"/>
      <c r="N46" s="308" t="s">
        <v>99</v>
      </c>
    </row>
    <row r="47" spans="1:17" ht="51.75" outlineLevel="1" thickBot="1" x14ac:dyDescent="0.25">
      <c r="A47" s="274"/>
      <c r="B47" s="276"/>
      <c r="C47" s="278"/>
      <c r="D47" s="68"/>
      <c r="E47" s="67" t="s">
        <v>33</v>
      </c>
      <c r="F47" s="67" t="s">
        <v>32</v>
      </c>
      <c r="G47" s="247" t="s">
        <v>31</v>
      </c>
      <c r="H47" s="283"/>
      <c r="I47" s="292"/>
      <c r="J47" s="294"/>
      <c r="K47" s="44" t="s">
        <v>14</v>
      </c>
      <c r="L47" s="43" t="s">
        <v>13</v>
      </c>
      <c r="M47" s="42" t="s">
        <v>12</v>
      </c>
      <c r="N47" s="309"/>
    </row>
    <row r="48" spans="1:17" outlineLevel="1" x14ac:dyDescent="0.2">
      <c r="A48" s="20">
        <f t="shared" ref="A48:B63" si="8">A5</f>
        <v>3656</v>
      </c>
      <c r="B48" s="19" t="str">
        <f t="shared" si="8"/>
        <v>UTA</v>
      </c>
      <c r="C48" s="58">
        <f t="shared" ref="C48:C85" si="9">SUM(D48:M48)</f>
        <v>28981.763548076768</v>
      </c>
      <c r="D48" s="15">
        <f t="shared" ref="D48:M63" si="10">D90*D156</f>
        <v>15054</v>
      </c>
      <c r="E48" s="14">
        <f t="shared" si="10"/>
        <v>4681.7939999999999</v>
      </c>
      <c r="F48" s="14">
        <f t="shared" si="10"/>
        <v>14.801894139024142</v>
      </c>
      <c r="G48" s="13">
        <f t="shared" si="10"/>
        <v>104.18553333333379</v>
      </c>
      <c r="H48" s="36">
        <f t="shared" si="10"/>
        <v>174.30128196237882</v>
      </c>
      <c r="I48" s="35">
        <f t="shared" si="10"/>
        <v>3.9838124958750059</v>
      </c>
      <c r="J48" s="34">
        <f t="shared" si="10"/>
        <v>98.700359479488142</v>
      </c>
      <c r="K48" s="36">
        <f t="shared" si="10"/>
        <v>8203.5999999999985</v>
      </c>
      <c r="L48" s="59">
        <f t="shared" si="10"/>
        <v>575.05000000000007</v>
      </c>
      <c r="M48" s="35">
        <f t="shared" si="10"/>
        <v>71.346666666666678</v>
      </c>
      <c r="N48" s="88" t="s">
        <v>83</v>
      </c>
    </row>
    <row r="49" spans="1:14" outlineLevel="1" x14ac:dyDescent="0.2">
      <c r="A49" s="20">
        <f t="shared" si="8"/>
        <v>3658</v>
      </c>
      <c r="B49" s="19" t="str">
        <f t="shared" si="8"/>
        <v>UT</v>
      </c>
      <c r="C49" s="58">
        <f t="shared" si="9"/>
        <v>53923.194223973245</v>
      </c>
      <c r="D49" s="15">
        <f t="shared" si="10"/>
        <v>26839.000000000004</v>
      </c>
      <c r="E49" s="14">
        <f t="shared" si="10"/>
        <v>13349.718600000002</v>
      </c>
      <c r="F49" s="14">
        <f t="shared" si="10"/>
        <v>13.248846030562339</v>
      </c>
      <c r="G49" s="13">
        <f t="shared" si="10"/>
        <v>193.98350000000519</v>
      </c>
      <c r="H49" s="15">
        <f t="shared" si="10"/>
        <v>213.57029085028958</v>
      </c>
      <c r="I49" s="13">
        <f t="shared" si="10"/>
        <v>7.5123321350785819</v>
      </c>
      <c r="J49" s="16">
        <f t="shared" si="10"/>
        <v>109.92398829064518</v>
      </c>
      <c r="K49" s="15">
        <f t="shared" si="10"/>
        <v>11518</v>
      </c>
      <c r="L49" s="14">
        <f t="shared" si="10"/>
        <v>270.17</v>
      </c>
      <c r="M49" s="13">
        <f t="shared" si="10"/>
        <v>1408.0666666666666</v>
      </c>
      <c r="N49" s="89" t="s">
        <v>82</v>
      </c>
    </row>
    <row r="50" spans="1:14" outlineLevel="1" x14ac:dyDescent="0.2">
      <c r="A50" s="20">
        <f t="shared" si="8"/>
        <v>9741</v>
      </c>
      <c r="B50" s="19" t="str">
        <f t="shared" si="8"/>
        <v>UTD</v>
      </c>
      <c r="C50" s="58">
        <f t="shared" si="9"/>
        <v>14703.971135455859</v>
      </c>
      <c r="D50" s="15">
        <f t="shared" si="10"/>
        <v>7179</v>
      </c>
      <c r="E50" s="14">
        <f t="shared" si="10"/>
        <v>3028.1021999999998</v>
      </c>
      <c r="F50" s="14">
        <f t="shared" si="10"/>
        <v>13.414880258319133</v>
      </c>
      <c r="G50" s="13">
        <f t="shared" si="10"/>
        <v>51.012033333334394</v>
      </c>
      <c r="H50" s="15">
        <f t="shared" si="10"/>
        <v>47.995455307446498</v>
      </c>
      <c r="I50" s="13">
        <f t="shared" si="10"/>
        <v>3.6423428533714337</v>
      </c>
      <c r="J50" s="16">
        <f t="shared" si="10"/>
        <v>41.800890370057076</v>
      </c>
      <c r="K50" s="15">
        <f t="shared" si="10"/>
        <v>3978</v>
      </c>
      <c r="L50" s="14">
        <f t="shared" si="10"/>
        <v>320.15000000000003</v>
      </c>
      <c r="M50" s="13">
        <f t="shared" si="10"/>
        <v>40.853333333333339</v>
      </c>
      <c r="N50" s="89" t="s">
        <v>83</v>
      </c>
    </row>
    <row r="51" spans="1:14" outlineLevel="1" x14ac:dyDescent="0.2">
      <c r="A51" s="20">
        <f t="shared" si="8"/>
        <v>3661</v>
      </c>
      <c r="B51" s="19" t="str">
        <f t="shared" si="8"/>
        <v>UTEP</v>
      </c>
      <c r="C51" s="58">
        <f t="shared" si="9"/>
        <v>17371.427104727631</v>
      </c>
      <c r="D51" s="15">
        <f t="shared" si="10"/>
        <v>9171</v>
      </c>
      <c r="E51" s="14">
        <f t="shared" si="10"/>
        <v>2146.0139999999997</v>
      </c>
      <c r="F51" s="14">
        <f t="shared" si="10"/>
        <v>11.435447268011671</v>
      </c>
      <c r="G51" s="13">
        <f t="shared" si="10"/>
        <v>62.980766666668131</v>
      </c>
      <c r="H51" s="15">
        <f t="shared" si="10"/>
        <v>74.554205279946544</v>
      </c>
      <c r="I51" s="13">
        <f t="shared" si="10"/>
        <v>10.244089275107157</v>
      </c>
      <c r="J51" s="16">
        <f t="shared" si="10"/>
        <v>78.058596237896438</v>
      </c>
      <c r="K51" s="15">
        <f t="shared" si="10"/>
        <v>5235.2</v>
      </c>
      <c r="L51" s="14">
        <f t="shared" si="10"/>
        <v>503.70000000000005</v>
      </c>
      <c r="M51" s="13">
        <f t="shared" si="10"/>
        <v>78.239999999999995</v>
      </c>
      <c r="N51" s="89" t="s">
        <v>83</v>
      </c>
    </row>
    <row r="52" spans="1:14" outlineLevel="1" x14ac:dyDescent="0.2">
      <c r="A52" s="20">
        <f t="shared" si="8"/>
        <v>3599</v>
      </c>
      <c r="B52" s="19" t="str">
        <f t="shared" si="8"/>
        <v>UTPA</v>
      </c>
      <c r="C52" s="58">
        <f t="shared" si="9"/>
        <v>16026.035811081427</v>
      </c>
      <c r="D52" s="15">
        <f t="shared" si="10"/>
        <v>7740</v>
      </c>
      <c r="E52" s="14">
        <f t="shared" si="10"/>
        <v>333.59400000000005</v>
      </c>
      <c r="F52" s="14">
        <f t="shared" si="10"/>
        <v>10.246245249748918</v>
      </c>
      <c r="G52" s="13">
        <f t="shared" si="10"/>
        <v>51.341666666667798</v>
      </c>
      <c r="H52" s="15">
        <f t="shared" si="10"/>
        <v>59.226012438675092</v>
      </c>
      <c r="I52" s="13">
        <f t="shared" si="10"/>
        <v>3.1870499967000048</v>
      </c>
      <c r="J52" s="16">
        <f t="shared" si="10"/>
        <v>74.067503396299671</v>
      </c>
      <c r="K52" s="15">
        <f t="shared" si="10"/>
        <v>4890.3999999999996</v>
      </c>
      <c r="L52" s="14">
        <f t="shared" si="10"/>
        <v>2786.4</v>
      </c>
      <c r="M52" s="13">
        <f t="shared" si="10"/>
        <v>77.573333333333338</v>
      </c>
      <c r="N52" s="89" t="s">
        <v>84</v>
      </c>
    </row>
    <row r="53" spans="1:14" outlineLevel="1" x14ac:dyDescent="0.2">
      <c r="A53" s="20">
        <f t="shared" si="8"/>
        <v>30646</v>
      </c>
      <c r="B53" s="19" t="str">
        <f t="shared" si="8"/>
        <v>UTB</v>
      </c>
      <c r="C53" s="58">
        <f t="shared" si="9"/>
        <v>6221.8178365884369</v>
      </c>
      <c r="D53" s="15">
        <f t="shared" si="10"/>
        <v>3276</v>
      </c>
      <c r="E53" s="14">
        <f t="shared" si="10"/>
        <v>1130.707664123436</v>
      </c>
      <c r="F53" s="14">
        <f t="shared" si="10"/>
        <v>17.230618184368314</v>
      </c>
      <c r="G53" s="13">
        <f t="shared" si="10"/>
        <v>20.977933333333553</v>
      </c>
      <c r="H53" s="15">
        <f t="shared" si="10"/>
        <v>14.152019628203591</v>
      </c>
      <c r="I53" s="13">
        <f t="shared" si="10"/>
        <v>2.0867589264107171</v>
      </c>
      <c r="J53" s="16">
        <f t="shared" si="10"/>
        <v>148.34617572601715</v>
      </c>
      <c r="K53" s="15">
        <f t="shared" si="10"/>
        <v>1591.6</v>
      </c>
      <c r="L53" s="14">
        <f t="shared" si="10"/>
        <v>16.690000000000001</v>
      </c>
      <c r="M53" s="13">
        <f t="shared" si="10"/>
        <v>4.0266666666666673</v>
      </c>
      <c r="N53" s="89" t="s">
        <v>85</v>
      </c>
    </row>
    <row r="54" spans="1:14" outlineLevel="1" x14ac:dyDescent="0.2">
      <c r="A54" s="20">
        <f t="shared" si="8"/>
        <v>9930</v>
      </c>
      <c r="B54" s="19" t="str">
        <f t="shared" si="8"/>
        <v>UTPB</v>
      </c>
      <c r="C54" s="58">
        <f t="shared" si="9"/>
        <v>3082.1763156408551</v>
      </c>
      <c r="D54" s="15">
        <f t="shared" si="10"/>
        <v>1600.0000000000002</v>
      </c>
      <c r="E54" s="14">
        <f t="shared" si="10"/>
        <v>426.24000000000007</v>
      </c>
      <c r="F54" s="14">
        <f t="shared" si="10"/>
        <v>11.562587321623004</v>
      </c>
      <c r="G54" s="13">
        <f t="shared" si="10"/>
        <v>10.015166666666705</v>
      </c>
      <c r="H54" s="15">
        <f t="shared" si="10"/>
        <v>4.7046928522714353</v>
      </c>
      <c r="I54" s="13">
        <f t="shared" si="10"/>
        <v>1.138232141678573</v>
      </c>
      <c r="J54" s="16">
        <f t="shared" si="10"/>
        <v>63.19230332528204</v>
      </c>
      <c r="K54" s="15">
        <f t="shared" si="10"/>
        <v>942.8</v>
      </c>
      <c r="L54" s="14">
        <f t="shared" si="10"/>
        <v>14.75</v>
      </c>
      <c r="M54" s="13">
        <f t="shared" si="10"/>
        <v>7.7733333333333343</v>
      </c>
      <c r="N54" s="89" t="s">
        <v>85</v>
      </c>
    </row>
    <row r="55" spans="1:14" outlineLevel="1" x14ac:dyDescent="0.2">
      <c r="A55" s="20">
        <f t="shared" si="8"/>
        <v>10115</v>
      </c>
      <c r="B55" s="19" t="str">
        <f t="shared" si="8"/>
        <v>UTSA</v>
      </c>
      <c r="C55" s="58">
        <f t="shared" si="9"/>
        <v>24674.33144039441</v>
      </c>
      <c r="D55" s="15">
        <f t="shared" si="10"/>
        <v>12359.000000000002</v>
      </c>
      <c r="E55" s="14">
        <f t="shared" si="10"/>
        <v>3126.8270000000002</v>
      </c>
      <c r="F55" s="14">
        <f t="shared" si="10"/>
        <v>10.120517050684201</v>
      </c>
      <c r="G55" s="13">
        <f t="shared" si="10"/>
        <v>84.142133333332239</v>
      </c>
      <c r="H55" s="15">
        <f t="shared" si="10"/>
        <v>44.618699953800061</v>
      </c>
      <c r="I55" s="13">
        <f t="shared" si="10"/>
        <v>5.6532196370035797</v>
      </c>
      <c r="J55" s="16">
        <f t="shared" si="10"/>
        <v>98.94320375291862</v>
      </c>
      <c r="K55" s="15">
        <f t="shared" si="10"/>
        <v>8171.6</v>
      </c>
      <c r="L55" s="14">
        <f t="shared" si="10"/>
        <v>668.80000000000007</v>
      </c>
      <c r="M55" s="13">
        <f t="shared" si="10"/>
        <v>104.62666666666667</v>
      </c>
      <c r="N55" s="89" t="s">
        <v>83</v>
      </c>
    </row>
    <row r="56" spans="1:14" outlineLevel="1" x14ac:dyDescent="0.2">
      <c r="A56" s="20">
        <f t="shared" si="8"/>
        <v>11163</v>
      </c>
      <c r="B56" s="19" t="str">
        <f t="shared" si="8"/>
        <v>UTT</v>
      </c>
      <c r="C56" s="58">
        <f t="shared" si="9"/>
        <v>6672.316382953195</v>
      </c>
      <c r="D56" s="15">
        <f t="shared" si="10"/>
        <v>3570</v>
      </c>
      <c r="E56" s="14">
        <f t="shared" si="10"/>
        <v>1104.5580000000002</v>
      </c>
      <c r="F56" s="14">
        <f t="shared" si="10"/>
        <v>14.627870258575948</v>
      </c>
      <c r="G56" s="13">
        <f t="shared" si="10"/>
        <v>23.626600000000103</v>
      </c>
      <c r="H56" s="15">
        <f t="shared" si="10"/>
        <v>42.87341066989292</v>
      </c>
      <c r="I56" s="13">
        <f t="shared" si="10"/>
        <v>1.5935249983500024</v>
      </c>
      <c r="J56" s="16">
        <f t="shared" si="10"/>
        <v>149.24364369304291</v>
      </c>
      <c r="K56" s="15">
        <f t="shared" si="10"/>
        <v>1723.6</v>
      </c>
      <c r="L56" s="14">
        <f t="shared" si="10"/>
        <v>26.7</v>
      </c>
      <c r="M56" s="13">
        <f t="shared" si="10"/>
        <v>15.493333333333332</v>
      </c>
      <c r="N56" s="89" t="s">
        <v>85</v>
      </c>
    </row>
    <row r="57" spans="1:14" outlineLevel="1" x14ac:dyDescent="0.2">
      <c r="A57" s="20">
        <f t="shared" si="8"/>
        <v>3632</v>
      </c>
      <c r="B57" s="19" t="str">
        <f t="shared" si="8"/>
        <v>TAMU</v>
      </c>
      <c r="C57" s="58">
        <f t="shared" si="9"/>
        <v>53710.057061055697</v>
      </c>
      <c r="D57" s="15">
        <f t="shared" si="10"/>
        <v>26218.999999999996</v>
      </c>
      <c r="E57" s="14">
        <f t="shared" si="10"/>
        <v>13224.863599999997</v>
      </c>
      <c r="F57" s="14">
        <f t="shared" si="10"/>
        <v>12.62094328542134</v>
      </c>
      <c r="G57" s="13">
        <f t="shared" si="10"/>
        <v>201.04816666666801</v>
      </c>
      <c r="H57" s="15">
        <f t="shared" si="10"/>
        <v>200.67032657793243</v>
      </c>
      <c r="I57" s="13">
        <f t="shared" si="10"/>
        <v>14.341724985150019</v>
      </c>
      <c r="J57" s="16">
        <f t="shared" si="10"/>
        <v>117.95896620719314</v>
      </c>
      <c r="K57" s="15">
        <f t="shared" si="10"/>
        <v>12072.8</v>
      </c>
      <c r="L57" s="14">
        <f t="shared" si="10"/>
        <v>267.22000000000003</v>
      </c>
      <c r="M57" s="13">
        <f t="shared" si="10"/>
        <v>1379.5333333333335</v>
      </c>
      <c r="N57" s="89" t="s">
        <v>82</v>
      </c>
    </row>
    <row r="58" spans="1:14" outlineLevel="1" x14ac:dyDescent="0.2">
      <c r="A58" s="20">
        <f t="shared" si="8"/>
        <v>10298</v>
      </c>
      <c r="B58" s="19" t="str">
        <f t="shared" si="8"/>
        <v>TAMUG</v>
      </c>
      <c r="C58" s="58">
        <f t="shared" si="9"/>
        <v>2867.3988537661048</v>
      </c>
      <c r="D58" s="15">
        <f t="shared" si="10"/>
        <v>1238.9999999999998</v>
      </c>
      <c r="E58" s="14">
        <f t="shared" si="10"/>
        <v>466.35959999999994</v>
      </c>
      <c r="F58" s="14">
        <f t="shared" si="10"/>
        <v>12.299475857687421</v>
      </c>
      <c r="G58" s="13">
        <f t="shared" si="10"/>
        <v>10.560399999999968</v>
      </c>
      <c r="H58" s="15">
        <f t="shared" si="10"/>
        <v>6.3740999934000087</v>
      </c>
      <c r="I58" s="13">
        <f t="shared" si="10"/>
        <v>0</v>
      </c>
      <c r="J58" s="16">
        <f t="shared" si="10"/>
        <v>37.535277915017154</v>
      </c>
      <c r="K58" s="15">
        <f t="shared" si="10"/>
        <v>1066.2</v>
      </c>
      <c r="L58" s="14">
        <f t="shared" si="10"/>
        <v>14.309999999999999</v>
      </c>
      <c r="M58" s="13">
        <f t="shared" si="10"/>
        <v>14.76</v>
      </c>
      <c r="N58" s="89" t="s">
        <v>85</v>
      </c>
    </row>
    <row r="59" spans="1:14" outlineLevel="1" x14ac:dyDescent="0.2">
      <c r="A59" s="20">
        <f t="shared" si="8"/>
        <v>3630</v>
      </c>
      <c r="B59" s="19" t="str">
        <f t="shared" si="8"/>
        <v>Prairie View</v>
      </c>
      <c r="C59" s="58">
        <f t="shared" si="9"/>
        <v>6105.2105692720961</v>
      </c>
      <c r="D59" s="15">
        <f t="shared" si="10"/>
        <v>2809</v>
      </c>
      <c r="E59" s="14">
        <f t="shared" si="10"/>
        <v>104.40116666666665</v>
      </c>
      <c r="F59" s="14">
        <f t="shared" si="10"/>
        <v>7.9118440126484364</v>
      </c>
      <c r="G59" s="13">
        <f t="shared" si="10"/>
        <v>20.729000000000092</v>
      </c>
      <c r="H59" s="15">
        <f t="shared" si="10"/>
        <v>35.930194605653625</v>
      </c>
      <c r="I59" s="13">
        <f t="shared" si="10"/>
        <v>1.1002910702892872</v>
      </c>
      <c r="J59" s="16">
        <f t="shared" si="10"/>
        <v>25.424739583505289</v>
      </c>
      <c r="K59" s="15">
        <f t="shared" si="10"/>
        <v>2001.6</v>
      </c>
      <c r="L59" s="14">
        <f t="shared" si="10"/>
        <v>1062.8999999999999</v>
      </c>
      <c r="M59" s="13">
        <f t="shared" si="10"/>
        <v>36.213333333333338</v>
      </c>
      <c r="N59" s="89" t="s">
        <v>86</v>
      </c>
    </row>
    <row r="60" spans="1:14" outlineLevel="1" x14ac:dyDescent="0.2">
      <c r="A60" s="20">
        <f t="shared" si="8"/>
        <v>3631</v>
      </c>
      <c r="B60" s="19" t="str">
        <f t="shared" si="8"/>
        <v>Tarleton</v>
      </c>
      <c r="C60" s="58">
        <f t="shared" si="9"/>
        <v>8782.9965008760482</v>
      </c>
      <c r="D60" s="15">
        <f t="shared" si="10"/>
        <v>4635.9999999999991</v>
      </c>
      <c r="E60" s="14">
        <f t="shared" si="10"/>
        <v>221.60080000000005</v>
      </c>
      <c r="F60" s="14">
        <f t="shared" si="10"/>
        <v>12.279883876162831</v>
      </c>
      <c r="G60" s="13">
        <f t="shared" si="10"/>
        <v>31.225433333333601</v>
      </c>
      <c r="H60" s="15">
        <f t="shared" si="10"/>
        <v>23.106112476075033</v>
      </c>
      <c r="I60" s="13">
        <f t="shared" si="10"/>
        <v>5.4255732086678643</v>
      </c>
      <c r="J60" s="16">
        <f t="shared" si="10"/>
        <v>37.852031315143876</v>
      </c>
      <c r="K60" s="15">
        <f t="shared" si="10"/>
        <v>2585.2000000000003</v>
      </c>
      <c r="L60" s="14">
        <f t="shared" si="10"/>
        <v>1195.8</v>
      </c>
      <c r="M60" s="13">
        <f t="shared" si="10"/>
        <v>34.506666666666668</v>
      </c>
      <c r="N60" s="89" t="s">
        <v>86</v>
      </c>
    </row>
    <row r="61" spans="1:14" outlineLevel="1" x14ac:dyDescent="0.2">
      <c r="A61" s="27">
        <f t="shared" si="8"/>
        <v>103631</v>
      </c>
      <c r="B61" s="19" t="str">
        <f t="shared" si="8"/>
        <v>TAMUCT</v>
      </c>
      <c r="C61" s="58">
        <f t="shared" si="9"/>
        <v>2475.1688830578828</v>
      </c>
      <c r="D61" s="15">
        <f t="shared" si="10"/>
        <v>1380.9999999999998</v>
      </c>
      <c r="E61" s="14">
        <f t="shared" si="10"/>
        <v>396.07079999999996</v>
      </c>
      <c r="F61" s="14">
        <f t="shared" si="10"/>
        <v>33.793924761003623</v>
      </c>
      <c r="G61" s="13">
        <f t="shared" si="10"/>
        <v>8.5361666666666594</v>
      </c>
      <c r="H61" s="15">
        <f t="shared" si="10"/>
        <v>4.6288107094928641</v>
      </c>
      <c r="I61" s="13">
        <f t="shared" si="10"/>
        <v>0</v>
      </c>
      <c r="J61" s="16">
        <f t="shared" si="10"/>
        <v>51.789180920719872</v>
      </c>
      <c r="K61" s="15">
        <f t="shared" si="10"/>
        <v>594</v>
      </c>
      <c r="L61" s="14">
        <f t="shared" si="10"/>
        <v>3.99</v>
      </c>
      <c r="M61" s="13">
        <f t="shared" si="10"/>
        <v>1.36</v>
      </c>
      <c r="N61" s="89" t="s">
        <v>85</v>
      </c>
    </row>
    <row r="62" spans="1:14" outlineLevel="1" x14ac:dyDescent="0.2">
      <c r="A62" s="20">
        <f t="shared" si="8"/>
        <v>11161</v>
      </c>
      <c r="B62" s="19" t="str">
        <f t="shared" si="8"/>
        <v>TAMUCC</v>
      </c>
      <c r="C62" s="58">
        <f t="shared" si="9"/>
        <v>8303.8913361154446</v>
      </c>
      <c r="D62" s="15">
        <f t="shared" si="10"/>
        <v>4164.9999999999991</v>
      </c>
      <c r="E62" s="14">
        <f t="shared" si="10"/>
        <v>211.58199999999999</v>
      </c>
      <c r="F62" s="14">
        <f t="shared" si="10"/>
        <v>10.688257031410387</v>
      </c>
      <c r="G62" s="13">
        <f t="shared" si="10"/>
        <v>28.04200000000014</v>
      </c>
      <c r="H62" s="15">
        <f t="shared" si="10"/>
        <v>30.314916040039325</v>
      </c>
      <c r="I62" s="13">
        <f t="shared" si="10"/>
        <v>2.9214624969750043</v>
      </c>
      <c r="J62" s="16">
        <f t="shared" si="10"/>
        <v>34.209367213686519</v>
      </c>
      <c r="K62" s="15">
        <f t="shared" si="10"/>
        <v>2464.7999999999997</v>
      </c>
      <c r="L62" s="14">
        <f t="shared" si="10"/>
        <v>1321.2</v>
      </c>
      <c r="M62" s="13">
        <f t="shared" si="10"/>
        <v>35.133333333333333</v>
      </c>
      <c r="N62" s="89" t="s">
        <v>84</v>
      </c>
    </row>
    <row r="63" spans="1:14" outlineLevel="1" x14ac:dyDescent="0.2">
      <c r="A63" s="20">
        <f t="shared" si="8"/>
        <v>3639</v>
      </c>
      <c r="B63" s="19" t="str">
        <f t="shared" si="8"/>
        <v>TAMUK</v>
      </c>
      <c r="C63" s="58">
        <f t="shared" si="9"/>
        <v>4724.3813843034195</v>
      </c>
      <c r="D63" s="15">
        <f t="shared" si="10"/>
        <v>2284.9999999999995</v>
      </c>
      <c r="E63" s="14">
        <f t="shared" si="10"/>
        <v>91.933166666666679</v>
      </c>
      <c r="F63" s="14">
        <f t="shared" si="10"/>
        <v>8.9397496087636927</v>
      </c>
      <c r="G63" s="13">
        <f t="shared" si="10"/>
        <v>17.634533333333394</v>
      </c>
      <c r="H63" s="15">
        <f t="shared" si="10"/>
        <v>29.5940356836429</v>
      </c>
      <c r="I63" s="13">
        <f t="shared" si="10"/>
        <v>1.8970535694642885</v>
      </c>
      <c r="J63" s="16">
        <f t="shared" si="10"/>
        <v>20.536178774882803</v>
      </c>
      <c r="K63" s="15">
        <f t="shared" si="10"/>
        <v>1472.8</v>
      </c>
      <c r="L63" s="14">
        <f t="shared" si="10"/>
        <v>773.69999999999993</v>
      </c>
      <c r="M63" s="13">
        <f t="shared" si="10"/>
        <v>22.346666666666664</v>
      </c>
      <c r="N63" s="89" t="s">
        <v>84</v>
      </c>
    </row>
    <row r="64" spans="1:14" outlineLevel="1" x14ac:dyDescent="0.2">
      <c r="A64" s="27">
        <f t="shared" ref="A64:B79" si="11">A21</f>
        <v>103639</v>
      </c>
      <c r="B64" s="19" t="str">
        <f t="shared" si="11"/>
        <v>TAMUSA</v>
      </c>
      <c r="C64" s="58">
        <f t="shared" si="9"/>
        <v>3176.1283890062628</v>
      </c>
      <c r="D64" s="15">
        <f t="shared" ref="D64:M79" si="12">D106*D172</f>
        <v>1762.9999999999998</v>
      </c>
      <c r="E64" s="14">
        <f t="shared" si="12"/>
        <v>425.58819999999997</v>
      </c>
      <c r="F64" s="14">
        <f t="shared" si="12"/>
        <v>20.799251242685461</v>
      </c>
      <c r="G64" s="13">
        <f t="shared" si="12"/>
        <v>10.260133333333378</v>
      </c>
      <c r="H64" s="15">
        <f t="shared" si="12"/>
        <v>0.5691160708392865</v>
      </c>
      <c r="I64" s="13">
        <f t="shared" si="12"/>
        <v>0.22764642833571461</v>
      </c>
      <c r="J64" s="16">
        <f t="shared" si="12"/>
        <v>77.657375264402575</v>
      </c>
      <c r="K64" s="15">
        <f t="shared" si="12"/>
        <v>875.59999999999991</v>
      </c>
      <c r="L64" s="14">
        <f t="shared" si="12"/>
        <v>2.3199999999999998</v>
      </c>
      <c r="M64" s="13">
        <f t="shared" si="12"/>
        <v>0.10666666666666666</v>
      </c>
      <c r="N64" s="89" t="s">
        <v>85</v>
      </c>
    </row>
    <row r="65" spans="1:14" outlineLevel="1" x14ac:dyDescent="0.2">
      <c r="A65" s="20">
        <f t="shared" si="11"/>
        <v>9651</v>
      </c>
      <c r="B65" s="19" t="str">
        <f t="shared" si="11"/>
        <v>TAMI</v>
      </c>
      <c r="C65" s="58">
        <f t="shared" si="9"/>
        <v>5164.7089397116197</v>
      </c>
      <c r="D65" s="15">
        <f t="shared" si="12"/>
        <v>2368.9999999999995</v>
      </c>
      <c r="E65" s="14">
        <f t="shared" si="12"/>
        <v>112.13266666666667</v>
      </c>
      <c r="F65" s="14">
        <f t="shared" si="12"/>
        <v>9.6630771740903896</v>
      </c>
      <c r="G65" s="13">
        <f t="shared" si="12"/>
        <v>14.584966666666716</v>
      </c>
      <c r="H65" s="15">
        <f t="shared" si="12"/>
        <v>13.165551772082162</v>
      </c>
      <c r="I65" s="13">
        <f t="shared" si="12"/>
        <v>2.5420517830821465</v>
      </c>
      <c r="J65" s="16">
        <f t="shared" si="12"/>
        <v>22.573958982364744</v>
      </c>
      <c r="K65" s="15">
        <f t="shared" si="12"/>
        <v>1688</v>
      </c>
      <c r="L65" s="14">
        <f t="shared" si="12"/>
        <v>914.1</v>
      </c>
      <c r="M65" s="13">
        <f t="shared" si="12"/>
        <v>18.946666666666669</v>
      </c>
      <c r="N65" s="89" t="s">
        <v>86</v>
      </c>
    </row>
    <row r="66" spans="1:14" outlineLevel="1" x14ac:dyDescent="0.2">
      <c r="A66" s="20">
        <f t="shared" si="11"/>
        <v>3665</v>
      </c>
      <c r="B66" s="19" t="str">
        <f t="shared" si="11"/>
        <v>WTAMU</v>
      </c>
      <c r="C66" s="58">
        <f t="shared" si="9"/>
        <v>7305.6744210199759</v>
      </c>
      <c r="D66" s="15">
        <f t="shared" si="12"/>
        <v>3767</v>
      </c>
      <c r="E66" s="14">
        <f t="shared" si="12"/>
        <v>177.30013333333332</v>
      </c>
      <c r="F66" s="14">
        <f t="shared" si="12"/>
        <v>11.593860927016435</v>
      </c>
      <c r="G66" s="13">
        <f t="shared" si="12"/>
        <v>25.035766666666838</v>
      </c>
      <c r="H66" s="15">
        <f t="shared" si="12"/>
        <v>21.816116048839316</v>
      </c>
      <c r="I66" s="13">
        <f t="shared" si="12"/>
        <v>6.9052749928500106</v>
      </c>
      <c r="J66" s="16">
        <f t="shared" si="12"/>
        <v>28.169935717936923</v>
      </c>
      <c r="K66" s="15">
        <f t="shared" si="12"/>
        <v>2150</v>
      </c>
      <c r="L66" s="14">
        <f t="shared" si="12"/>
        <v>1091.3999999999999</v>
      </c>
      <c r="M66" s="13">
        <f t="shared" si="12"/>
        <v>26.453333333333337</v>
      </c>
      <c r="N66" s="89" t="s">
        <v>86</v>
      </c>
    </row>
    <row r="67" spans="1:14" outlineLevel="1" x14ac:dyDescent="0.2">
      <c r="A67" s="20">
        <f t="shared" si="11"/>
        <v>3565</v>
      </c>
      <c r="B67" s="19" t="str">
        <f t="shared" si="11"/>
        <v>TAMUC</v>
      </c>
      <c r="C67" s="58">
        <f t="shared" si="9"/>
        <v>7549.2790011549941</v>
      </c>
      <c r="D67" s="15">
        <f t="shared" si="12"/>
        <v>3972.9999999999995</v>
      </c>
      <c r="E67" s="14">
        <f t="shared" si="12"/>
        <v>174.81200000000001</v>
      </c>
      <c r="F67" s="14">
        <f t="shared" si="12"/>
        <v>14.097717681345927</v>
      </c>
      <c r="G67" s="13">
        <f t="shared" si="12"/>
        <v>25.018266666666914</v>
      </c>
      <c r="H67" s="15">
        <f t="shared" si="12"/>
        <v>8.309094634253583</v>
      </c>
      <c r="I67" s="13">
        <f t="shared" si="12"/>
        <v>8.4608589198107254</v>
      </c>
      <c r="J67" s="16">
        <f t="shared" si="12"/>
        <v>32.287729919584379</v>
      </c>
      <c r="K67" s="15">
        <f t="shared" si="12"/>
        <v>2271.6</v>
      </c>
      <c r="L67" s="14">
        <f t="shared" si="12"/>
        <v>1023.5999999999999</v>
      </c>
      <c r="M67" s="13">
        <f t="shared" si="12"/>
        <v>18.093333333333334</v>
      </c>
      <c r="N67" s="89" t="s">
        <v>84</v>
      </c>
    </row>
    <row r="68" spans="1:14" outlineLevel="1" x14ac:dyDescent="0.2">
      <c r="A68" s="20">
        <f t="shared" si="11"/>
        <v>29269</v>
      </c>
      <c r="B68" s="19" t="str">
        <f t="shared" si="11"/>
        <v>TAMUT</v>
      </c>
      <c r="C68" s="58">
        <f t="shared" si="9"/>
        <v>1969.2826642004511</v>
      </c>
      <c r="D68" s="15">
        <f t="shared" si="12"/>
        <v>1037</v>
      </c>
      <c r="E68" s="14">
        <f t="shared" si="12"/>
        <v>337.24847258430754</v>
      </c>
      <c r="F68" s="14">
        <f t="shared" si="12"/>
        <v>19.383177570093459</v>
      </c>
      <c r="G68" s="13">
        <f t="shared" si="12"/>
        <v>6.1990999999999827</v>
      </c>
      <c r="H68" s="15">
        <f t="shared" si="12"/>
        <v>4.7426339236607209</v>
      </c>
      <c r="I68" s="13">
        <f t="shared" si="12"/>
        <v>2.2005821405785744</v>
      </c>
      <c r="J68" s="16">
        <f t="shared" si="12"/>
        <v>37.852031315143876</v>
      </c>
      <c r="K68" s="15">
        <f t="shared" si="12"/>
        <v>519.20000000000005</v>
      </c>
      <c r="L68" s="14">
        <f t="shared" si="12"/>
        <v>5.43</v>
      </c>
      <c r="M68" s="13">
        <f t="shared" si="12"/>
        <v>2.6666666666666665E-2</v>
      </c>
      <c r="N68" s="89" t="s">
        <v>85</v>
      </c>
    </row>
    <row r="69" spans="1:14" outlineLevel="1" x14ac:dyDescent="0.2">
      <c r="A69" s="20">
        <f t="shared" si="11"/>
        <v>3652</v>
      </c>
      <c r="B69" s="19" t="str">
        <f t="shared" si="11"/>
        <v>UH</v>
      </c>
      <c r="C69" s="58">
        <f t="shared" si="9"/>
        <v>30641.272676964654</v>
      </c>
      <c r="D69" s="15">
        <f t="shared" si="12"/>
        <v>15296</v>
      </c>
      <c r="E69" s="14">
        <f t="shared" si="12"/>
        <v>4922.2528000000002</v>
      </c>
      <c r="F69" s="14">
        <f t="shared" si="12"/>
        <v>10.712524839013312</v>
      </c>
      <c r="G69" s="13">
        <f t="shared" si="12"/>
        <v>105.80246666665944</v>
      </c>
      <c r="H69" s="15">
        <f t="shared" si="12"/>
        <v>83.887708841710833</v>
      </c>
      <c r="I69" s="13">
        <f t="shared" si="12"/>
        <v>7.1329214211857241</v>
      </c>
      <c r="J69" s="16">
        <f t="shared" si="12"/>
        <v>106.84092186274502</v>
      </c>
      <c r="K69" s="15">
        <f t="shared" si="12"/>
        <v>9122.7999999999993</v>
      </c>
      <c r="L69" s="14">
        <f t="shared" si="12"/>
        <v>853.55000000000007</v>
      </c>
      <c r="M69" s="13">
        <f t="shared" si="12"/>
        <v>132.29333333333335</v>
      </c>
      <c r="N69" s="89" t="s">
        <v>83</v>
      </c>
    </row>
    <row r="70" spans="1:14" outlineLevel="1" x14ac:dyDescent="0.2">
      <c r="A70" s="20">
        <f t="shared" si="11"/>
        <v>11711</v>
      </c>
      <c r="B70" s="19" t="str">
        <f t="shared" si="11"/>
        <v>UHCL</v>
      </c>
      <c r="C70" s="58">
        <f t="shared" si="9"/>
        <v>6565.7091805485961</v>
      </c>
      <c r="D70" s="15">
        <f t="shared" si="12"/>
        <v>3572.0000000000005</v>
      </c>
      <c r="E70" s="14">
        <f t="shared" si="12"/>
        <v>1114.8168228461789</v>
      </c>
      <c r="F70" s="14">
        <f t="shared" si="12"/>
        <v>19.846796657381617</v>
      </c>
      <c r="G70" s="13">
        <f t="shared" si="12"/>
        <v>22.829533333333529</v>
      </c>
      <c r="H70" s="15">
        <f t="shared" si="12"/>
        <v>12.141142844571446</v>
      </c>
      <c r="I70" s="13">
        <f t="shared" si="12"/>
        <v>0.94852678473214425</v>
      </c>
      <c r="J70" s="16">
        <f t="shared" si="12"/>
        <v>122.63635808239781</v>
      </c>
      <c r="K70" s="15">
        <f t="shared" si="12"/>
        <v>1669.6</v>
      </c>
      <c r="L70" s="14">
        <f t="shared" si="12"/>
        <v>28.61</v>
      </c>
      <c r="M70" s="13">
        <f t="shared" si="12"/>
        <v>2.2800000000000002</v>
      </c>
      <c r="N70" s="89" t="s">
        <v>85</v>
      </c>
    </row>
    <row r="71" spans="1:14" outlineLevel="1" x14ac:dyDescent="0.2">
      <c r="A71" s="20">
        <f t="shared" si="11"/>
        <v>12826</v>
      </c>
      <c r="B71" s="19" t="str">
        <f t="shared" si="11"/>
        <v>UHD</v>
      </c>
      <c r="C71" s="58">
        <f t="shared" si="9"/>
        <v>12107.204364198769</v>
      </c>
      <c r="D71" s="15">
        <f t="shared" si="12"/>
        <v>7147.0000000000009</v>
      </c>
      <c r="E71" s="14">
        <f t="shared" si="12"/>
        <v>814.75800000000015</v>
      </c>
      <c r="F71" s="14">
        <f t="shared" si="12"/>
        <v>14.916515931543067</v>
      </c>
      <c r="G71" s="13">
        <f t="shared" si="12"/>
        <v>42.713166666667213</v>
      </c>
      <c r="H71" s="15">
        <f t="shared" si="12"/>
        <v>14.759076770432165</v>
      </c>
      <c r="I71" s="13">
        <f t="shared" si="12"/>
        <v>0.18970535694642884</v>
      </c>
      <c r="J71" s="16">
        <f t="shared" si="12"/>
        <v>266.23123280651407</v>
      </c>
      <c r="K71" s="15">
        <f t="shared" si="12"/>
        <v>3726.4</v>
      </c>
      <c r="L71" s="14">
        <f t="shared" si="12"/>
        <v>56.050000000000004</v>
      </c>
      <c r="M71" s="13">
        <f t="shared" si="12"/>
        <v>24.186666666666667</v>
      </c>
      <c r="N71" s="89" t="s">
        <v>85</v>
      </c>
    </row>
    <row r="72" spans="1:14" outlineLevel="1" x14ac:dyDescent="0.2">
      <c r="A72" s="20">
        <f t="shared" si="11"/>
        <v>13231</v>
      </c>
      <c r="B72" s="19" t="str">
        <f t="shared" si="11"/>
        <v>UHV</v>
      </c>
      <c r="C72" s="58">
        <f t="shared" si="9"/>
        <v>3243.5398877478692</v>
      </c>
      <c r="D72" s="15">
        <f t="shared" si="12"/>
        <v>1729.9999999999998</v>
      </c>
      <c r="E72" s="14">
        <f t="shared" si="12"/>
        <v>540.35183310994921</v>
      </c>
      <c r="F72" s="14">
        <f t="shared" si="12"/>
        <v>20.042324446229415</v>
      </c>
      <c r="G72" s="13">
        <f t="shared" si="12"/>
        <v>10.844800000000012</v>
      </c>
      <c r="H72" s="15">
        <f t="shared" si="12"/>
        <v>12.29290713012859</v>
      </c>
      <c r="I72" s="13">
        <f t="shared" si="12"/>
        <v>0.83470357056428679</v>
      </c>
      <c r="J72" s="16">
        <f t="shared" si="12"/>
        <v>60.816652824331584</v>
      </c>
      <c r="K72" s="15">
        <f t="shared" si="12"/>
        <v>859.19999999999993</v>
      </c>
      <c r="L72" s="14">
        <f t="shared" si="12"/>
        <v>8.89</v>
      </c>
      <c r="M72" s="13">
        <f t="shared" si="12"/>
        <v>0.26666666666666666</v>
      </c>
      <c r="N72" s="89" t="s">
        <v>85</v>
      </c>
    </row>
    <row r="73" spans="1:14" outlineLevel="1" x14ac:dyDescent="0.2">
      <c r="A73" s="20">
        <f t="shared" si="11"/>
        <v>3592</v>
      </c>
      <c r="B73" s="19" t="str">
        <f t="shared" si="11"/>
        <v>Midwestern</v>
      </c>
      <c r="C73" s="58">
        <f t="shared" si="9"/>
        <v>5875.6710626195627</v>
      </c>
      <c r="D73" s="15">
        <f t="shared" si="12"/>
        <v>3095.0000000000005</v>
      </c>
      <c r="E73" s="14">
        <f t="shared" si="12"/>
        <v>815.84199999999998</v>
      </c>
      <c r="F73" s="14">
        <f t="shared" si="12"/>
        <v>12.061261074017301</v>
      </c>
      <c r="G73" s="13">
        <f t="shared" si="12"/>
        <v>19.620000000000033</v>
      </c>
      <c r="H73" s="15">
        <f t="shared" si="12"/>
        <v>37.941071389285767</v>
      </c>
      <c r="I73" s="13">
        <f t="shared" si="12"/>
        <v>1.7073482125178594</v>
      </c>
      <c r="J73" s="16">
        <f t="shared" si="12"/>
        <v>109.33271527707528</v>
      </c>
      <c r="K73" s="15">
        <f t="shared" si="12"/>
        <v>1725.6</v>
      </c>
      <c r="L73" s="14">
        <f t="shared" si="12"/>
        <v>31.38</v>
      </c>
      <c r="M73" s="13">
        <f t="shared" si="12"/>
        <v>27.186666666666667</v>
      </c>
      <c r="N73" s="89" t="s">
        <v>85</v>
      </c>
    </row>
    <row r="74" spans="1:14" outlineLevel="1" x14ac:dyDescent="0.2">
      <c r="A74" s="20">
        <f t="shared" si="11"/>
        <v>3594</v>
      </c>
      <c r="B74" s="19" t="str">
        <f t="shared" si="11"/>
        <v>UNT</v>
      </c>
      <c r="C74" s="58">
        <f t="shared" si="9"/>
        <v>35000.431625848571</v>
      </c>
      <c r="D74" s="15">
        <f t="shared" si="12"/>
        <v>18050</v>
      </c>
      <c r="E74" s="14">
        <f t="shared" si="12"/>
        <v>6241.6900000000005</v>
      </c>
      <c r="F74" s="14">
        <f t="shared" si="12"/>
        <v>12.943472283042063</v>
      </c>
      <c r="G74" s="13">
        <f t="shared" si="12"/>
        <v>114.11553333332529</v>
      </c>
      <c r="H74" s="15">
        <f t="shared" si="12"/>
        <v>38.320482103178627</v>
      </c>
      <c r="I74" s="13">
        <f t="shared" si="12"/>
        <v>4.9323392806071507</v>
      </c>
      <c r="J74" s="16">
        <f t="shared" si="12"/>
        <v>120.99979884840972</v>
      </c>
      <c r="K74" s="15">
        <f t="shared" si="12"/>
        <v>9437.6</v>
      </c>
      <c r="L74" s="14">
        <f t="shared" si="12"/>
        <v>846.35</v>
      </c>
      <c r="M74" s="13">
        <f t="shared" si="12"/>
        <v>133.47999999999999</v>
      </c>
      <c r="N74" s="89" t="s">
        <v>83</v>
      </c>
    </row>
    <row r="75" spans="1:14" outlineLevel="1" x14ac:dyDescent="0.2">
      <c r="A75" s="27">
        <f t="shared" si="11"/>
        <v>113594</v>
      </c>
      <c r="B75" s="19" t="str">
        <f t="shared" si="11"/>
        <v>UNTD</v>
      </c>
      <c r="C75" s="58">
        <f t="shared" si="9"/>
        <v>2284.7305735722566</v>
      </c>
      <c r="D75" s="15">
        <f t="shared" si="12"/>
        <v>1210.5</v>
      </c>
      <c r="E75" s="14">
        <f t="shared" si="12"/>
        <v>419.43824999999998</v>
      </c>
      <c r="F75" s="14">
        <f t="shared" si="12"/>
        <v>21.323633032694474</v>
      </c>
      <c r="G75" s="13">
        <f t="shared" si="12"/>
        <v>7.0585999999999718</v>
      </c>
      <c r="H75" s="15">
        <f t="shared" si="12"/>
        <v>1.3658785700142877</v>
      </c>
      <c r="I75" s="13">
        <f t="shared" si="12"/>
        <v>0</v>
      </c>
      <c r="J75" s="16">
        <f t="shared" si="12"/>
        <v>48.859211969547644</v>
      </c>
      <c r="K75" s="15">
        <f t="shared" si="12"/>
        <v>573.6</v>
      </c>
      <c r="L75" s="14">
        <f t="shared" si="12"/>
        <v>2.145</v>
      </c>
      <c r="M75" s="13">
        <f t="shared" si="12"/>
        <v>0.44</v>
      </c>
      <c r="N75" s="89" t="s">
        <v>85</v>
      </c>
    </row>
    <row r="76" spans="1:14" outlineLevel="1" x14ac:dyDescent="0.2">
      <c r="A76" s="20">
        <f t="shared" si="11"/>
        <v>3624</v>
      </c>
      <c r="B76" s="19" t="str">
        <f t="shared" si="11"/>
        <v>SFA</v>
      </c>
      <c r="C76" s="58">
        <f t="shared" si="9"/>
        <v>11457.889287700007</v>
      </c>
      <c r="D76" s="15">
        <f t="shared" si="12"/>
        <v>5765</v>
      </c>
      <c r="E76" s="14">
        <f t="shared" si="12"/>
        <v>319.38099999999997</v>
      </c>
      <c r="F76" s="14">
        <f t="shared" si="12"/>
        <v>10.128772155041958</v>
      </c>
      <c r="G76" s="13">
        <f t="shared" si="12"/>
        <v>37.217366666666692</v>
      </c>
      <c r="H76" s="15">
        <f t="shared" si="12"/>
        <v>28.228157113628612</v>
      </c>
      <c r="I76" s="13">
        <f t="shared" si="12"/>
        <v>5.084103566164293</v>
      </c>
      <c r="J76" s="16">
        <f t="shared" si="12"/>
        <v>46.25655486517303</v>
      </c>
      <c r="K76" s="15">
        <f t="shared" si="12"/>
        <v>3323.2000000000003</v>
      </c>
      <c r="L76" s="14">
        <f t="shared" si="12"/>
        <v>1867.5</v>
      </c>
      <c r="M76" s="13">
        <f t="shared" si="12"/>
        <v>55.893333333333331</v>
      </c>
      <c r="N76" s="89" t="s">
        <v>86</v>
      </c>
    </row>
    <row r="77" spans="1:14" outlineLevel="1" x14ac:dyDescent="0.2">
      <c r="A77" s="20">
        <f t="shared" si="11"/>
        <v>3642</v>
      </c>
      <c r="B77" s="19" t="str">
        <f t="shared" si="11"/>
        <v>TSU</v>
      </c>
      <c r="C77" s="58">
        <f t="shared" si="9"/>
        <v>5384.222263479609</v>
      </c>
      <c r="D77" s="15">
        <f t="shared" si="12"/>
        <v>2275</v>
      </c>
      <c r="E77" s="14">
        <f t="shared" si="12"/>
        <v>32.684166666666663</v>
      </c>
      <c r="F77" s="14">
        <f t="shared" si="12"/>
        <v>6.4668405054463589</v>
      </c>
      <c r="G77" s="13">
        <f t="shared" si="12"/>
        <v>14.886533333333352</v>
      </c>
      <c r="H77" s="15">
        <f t="shared" si="12"/>
        <v>15.290251769882166</v>
      </c>
      <c r="I77" s="13">
        <f t="shared" si="12"/>
        <v>0.34146964250357192</v>
      </c>
      <c r="J77" s="16">
        <f t="shared" si="12"/>
        <v>21.106334895110912</v>
      </c>
      <c r="K77" s="15">
        <f t="shared" si="12"/>
        <v>1964.7999999999997</v>
      </c>
      <c r="L77" s="14">
        <f t="shared" si="12"/>
        <v>1019.6999999999999</v>
      </c>
      <c r="M77" s="13">
        <f t="shared" si="12"/>
        <v>33.946666666666665</v>
      </c>
      <c r="N77" s="89" t="s">
        <v>84</v>
      </c>
    </row>
    <row r="78" spans="1:14" outlineLevel="1" x14ac:dyDescent="0.2">
      <c r="A78" s="20">
        <f t="shared" si="11"/>
        <v>3644</v>
      </c>
      <c r="B78" s="19" t="str">
        <f t="shared" si="11"/>
        <v>TTU</v>
      </c>
      <c r="C78" s="58">
        <f t="shared" si="9"/>
        <v>29201.558198169092</v>
      </c>
      <c r="D78" s="15">
        <f t="shared" si="12"/>
        <v>14022</v>
      </c>
      <c r="E78" s="14">
        <f t="shared" si="12"/>
        <v>6158.4623999999994</v>
      </c>
      <c r="F78" s="14">
        <f t="shared" si="12"/>
        <v>10.530621563516677</v>
      </c>
      <c r="G78" s="13">
        <f t="shared" si="12"/>
        <v>101.28113333332682</v>
      </c>
      <c r="H78" s="15">
        <f t="shared" si="12"/>
        <v>82.787417771421559</v>
      </c>
      <c r="I78" s="13">
        <f t="shared" si="12"/>
        <v>6.5258642789571528</v>
      </c>
      <c r="J78" s="16">
        <f t="shared" si="12"/>
        <v>87.994094555204754</v>
      </c>
      <c r="K78" s="15">
        <f t="shared" si="12"/>
        <v>7782.4</v>
      </c>
      <c r="L78" s="14">
        <f t="shared" si="12"/>
        <v>791.75</v>
      </c>
      <c r="M78" s="13">
        <f t="shared" si="12"/>
        <v>157.82666666666665</v>
      </c>
      <c r="N78" s="89" t="s">
        <v>83</v>
      </c>
    </row>
    <row r="79" spans="1:14" outlineLevel="1" x14ac:dyDescent="0.2">
      <c r="A79" s="20">
        <f t="shared" si="11"/>
        <v>3541</v>
      </c>
      <c r="B79" s="19" t="str">
        <f t="shared" si="11"/>
        <v>Angelo</v>
      </c>
      <c r="C79" s="58">
        <f t="shared" si="9"/>
        <v>5701.9961907772149</v>
      </c>
      <c r="D79" s="15">
        <f t="shared" si="12"/>
        <v>2974</v>
      </c>
      <c r="E79" s="14">
        <f t="shared" si="12"/>
        <v>766.69720000000007</v>
      </c>
      <c r="F79" s="14">
        <f t="shared" si="12"/>
        <v>10.152850354132148</v>
      </c>
      <c r="G79" s="13">
        <f t="shared" si="12"/>
        <v>19.773500000000052</v>
      </c>
      <c r="H79" s="15">
        <f t="shared" si="12"/>
        <v>28.949037470025043</v>
      </c>
      <c r="I79" s="13">
        <f t="shared" si="12"/>
        <v>2.2005821405785744</v>
      </c>
      <c r="J79" s="16">
        <f t="shared" si="12"/>
        <v>114.50635414581183</v>
      </c>
      <c r="K79" s="15">
        <f t="shared" si="12"/>
        <v>1726.4</v>
      </c>
      <c r="L79" s="14">
        <f t="shared" si="12"/>
        <v>31.01</v>
      </c>
      <c r="M79" s="13">
        <f t="shared" si="12"/>
        <v>28.306666666666665</v>
      </c>
      <c r="N79" s="89" t="s">
        <v>85</v>
      </c>
    </row>
    <row r="80" spans="1:14" outlineLevel="1" x14ac:dyDescent="0.2">
      <c r="A80" s="20">
        <f t="shared" ref="A80:B85" si="13">A37</f>
        <v>3646</v>
      </c>
      <c r="B80" s="19" t="str">
        <f t="shared" si="13"/>
        <v>TWU</v>
      </c>
      <c r="C80" s="58">
        <f t="shared" si="9"/>
        <v>9682.6107361915383</v>
      </c>
      <c r="D80" s="15">
        <f t="shared" ref="D80:M85" si="14">D122*D188</f>
        <v>5418</v>
      </c>
      <c r="E80" s="14">
        <f t="shared" si="14"/>
        <v>283.7226</v>
      </c>
      <c r="F80" s="14">
        <f t="shared" si="14"/>
        <v>13.772802147519981</v>
      </c>
      <c r="G80" s="13">
        <f t="shared" si="14"/>
        <v>34.521766666666657</v>
      </c>
      <c r="H80" s="15">
        <f t="shared" si="14"/>
        <v>64.803349932900105</v>
      </c>
      <c r="I80" s="13">
        <f t="shared" si="14"/>
        <v>3.6044017819821481</v>
      </c>
      <c r="J80" s="16">
        <f t="shared" si="14"/>
        <v>39.499148995802855</v>
      </c>
      <c r="K80" s="15">
        <f t="shared" si="14"/>
        <v>2635.2</v>
      </c>
      <c r="L80" s="14">
        <f t="shared" si="14"/>
        <v>1163.0999999999999</v>
      </c>
      <c r="M80" s="13">
        <f t="shared" si="14"/>
        <v>26.386666666666667</v>
      </c>
      <c r="N80" s="89" t="s">
        <v>84</v>
      </c>
    </row>
    <row r="81" spans="1:14" outlineLevel="1" x14ac:dyDescent="0.2">
      <c r="A81" s="20">
        <f t="shared" si="13"/>
        <v>3581</v>
      </c>
      <c r="B81" s="19" t="str">
        <f t="shared" si="13"/>
        <v>Lamar</v>
      </c>
      <c r="C81" s="58">
        <f t="shared" si="9"/>
        <v>8206.0559924571626</v>
      </c>
      <c r="D81" s="15">
        <f t="shared" si="14"/>
        <v>4005.9999999999995</v>
      </c>
      <c r="E81" s="14">
        <f t="shared" si="14"/>
        <v>140.34353333333334</v>
      </c>
      <c r="F81" s="14">
        <f t="shared" si="14"/>
        <v>9.1774645822260492</v>
      </c>
      <c r="G81" s="13">
        <f t="shared" si="14"/>
        <v>26.849000000000164</v>
      </c>
      <c r="H81" s="15">
        <f t="shared" si="14"/>
        <v>37.561660675392908</v>
      </c>
      <c r="I81" s="13">
        <f t="shared" si="14"/>
        <v>1.9349946408535743</v>
      </c>
      <c r="J81" s="16">
        <f t="shared" si="14"/>
        <v>30.049339225355503</v>
      </c>
      <c r="K81" s="15">
        <f t="shared" si="14"/>
        <v>2573.6</v>
      </c>
      <c r="L81" s="14">
        <f t="shared" si="14"/>
        <v>1340.1</v>
      </c>
      <c r="M81" s="13">
        <f t="shared" si="14"/>
        <v>40.44</v>
      </c>
      <c r="N81" s="89" t="s">
        <v>86</v>
      </c>
    </row>
    <row r="82" spans="1:14" outlineLevel="1" x14ac:dyDescent="0.2">
      <c r="A82" s="20">
        <f t="shared" si="13"/>
        <v>3606</v>
      </c>
      <c r="B82" s="19" t="str">
        <f t="shared" si="13"/>
        <v>SHSU</v>
      </c>
      <c r="C82" s="58">
        <f t="shared" si="9"/>
        <v>17353.881597624641</v>
      </c>
      <c r="D82" s="15">
        <f t="shared" si="14"/>
        <v>9232.9999999999982</v>
      </c>
      <c r="E82" s="14">
        <f t="shared" si="14"/>
        <v>541.66933333333338</v>
      </c>
      <c r="F82" s="14">
        <f t="shared" si="14"/>
        <v>12.237827119650508</v>
      </c>
      <c r="G82" s="13">
        <f t="shared" si="14"/>
        <v>58.37076666666789</v>
      </c>
      <c r="H82" s="15">
        <f t="shared" si="14"/>
        <v>19.008476766032171</v>
      </c>
      <c r="I82" s="13">
        <f t="shared" si="14"/>
        <v>6.9432160642392953</v>
      </c>
      <c r="J82" s="16">
        <f t="shared" si="14"/>
        <v>70.118644341386457</v>
      </c>
      <c r="K82" s="15">
        <f t="shared" si="14"/>
        <v>4673.2</v>
      </c>
      <c r="L82" s="14">
        <f t="shared" si="14"/>
        <v>2668.7999999999997</v>
      </c>
      <c r="M82" s="13">
        <f t="shared" si="14"/>
        <v>70.533333333333331</v>
      </c>
      <c r="N82" s="89" t="s">
        <v>84</v>
      </c>
    </row>
    <row r="83" spans="1:14" outlineLevel="1" x14ac:dyDescent="0.2">
      <c r="A83" s="20">
        <f t="shared" si="13"/>
        <v>3615</v>
      </c>
      <c r="B83" s="19" t="str">
        <f t="shared" si="13"/>
        <v>TXST</v>
      </c>
      <c r="C83" s="58">
        <f t="shared" si="9"/>
        <v>32420.97053702101</v>
      </c>
      <c r="D83" s="15">
        <f t="shared" si="14"/>
        <v>16083</v>
      </c>
      <c r="E83" s="14">
        <f t="shared" si="14"/>
        <v>6108.3234000000002</v>
      </c>
      <c r="F83" s="14">
        <f t="shared" si="14"/>
        <v>11.703445759893198</v>
      </c>
      <c r="G83" s="13">
        <f t="shared" si="14"/>
        <v>104.37309999999357</v>
      </c>
      <c r="H83" s="15">
        <f t="shared" si="14"/>
        <v>55.621610656692937</v>
      </c>
      <c r="I83" s="13">
        <f t="shared" si="14"/>
        <v>7.588214277857154</v>
      </c>
      <c r="J83" s="16">
        <f t="shared" si="14"/>
        <v>116.41743299324308</v>
      </c>
      <c r="K83" s="15">
        <f t="shared" si="14"/>
        <v>8964.4</v>
      </c>
      <c r="L83" s="14">
        <f t="shared" si="14"/>
        <v>836.85</v>
      </c>
      <c r="M83" s="13">
        <f t="shared" si="14"/>
        <v>132.69333333333333</v>
      </c>
      <c r="N83" s="89" t="s">
        <v>83</v>
      </c>
    </row>
    <row r="84" spans="1:14" outlineLevel="1" x14ac:dyDescent="0.2">
      <c r="A84" s="20">
        <f t="shared" si="13"/>
        <v>3625</v>
      </c>
      <c r="B84" s="19" t="str">
        <f t="shared" si="13"/>
        <v>SRSU</v>
      </c>
      <c r="C84" s="58">
        <f t="shared" si="9"/>
        <v>1081.3382313503459</v>
      </c>
      <c r="D84" s="15">
        <f t="shared" si="14"/>
        <v>568</v>
      </c>
      <c r="E84" s="14">
        <f t="shared" si="14"/>
        <v>102.58080000000001</v>
      </c>
      <c r="F84" s="14">
        <f t="shared" si="14"/>
        <v>7.7594215041620389</v>
      </c>
      <c r="G84" s="13">
        <f t="shared" si="14"/>
        <v>3.9432999999999967</v>
      </c>
      <c r="H84" s="15">
        <f t="shared" si="14"/>
        <v>1.4417607127928591</v>
      </c>
      <c r="I84" s="13">
        <f t="shared" si="14"/>
        <v>0.72088035639642956</v>
      </c>
      <c r="J84" s="16">
        <f t="shared" si="14"/>
        <v>25.81540211032825</v>
      </c>
      <c r="K84" s="15">
        <f t="shared" si="14"/>
        <v>360</v>
      </c>
      <c r="L84" s="14">
        <f t="shared" si="14"/>
        <v>5.8100000000000005</v>
      </c>
      <c r="M84" s="13">
        <f t="shared" si="14"/>
        <v>5.2666666666666666</v>
      </c>
      <c r="N84" s="89" t="s">
        <v>85</v>
      </c>
    </row>
    <row r="85" spans="1:14" outlineLevel="1" x14ac:dyDescent="0.2">
      <c r="A85" s="20">
        <f t="shared" si="13"/>
        <v>20</v>
      </c>
      <c r="B85" s="19" t="str">
        <f t="shared" si="13"/>
        <v>SRRG</v>
      </c>
      <c r="C85" s="58">
        <f t="shared" si="9"/>
        <v>901.67411876049664</v>
      </c>
      <c r="D85" s="15">
        <f t="shared" si="14"/>
        <v>484.99999999999994</v>
      </c>
      <c r="E85" s="14">
        <f t="shared" si="14"/>
        <v>92.458757913007958</v>
      </c>
      <c r="F85" s="14">
        <f t="shared" si="14"/>
        <v>18.298204135016853</v>
      </c>
      <c r="G85" s="13">
        <f t="shared" si="14"/>
        <v>2.7916999999999978</v>
      </c>
      <c r="H85" s="15">
        <f t="shared" si="14"/>
        <v>0.72088035639642956</v>
      </c>
      <c r="I85" s="13">
        <f t="shared" si="14"/>
        <v>0.64499821361785803</v>
      </c>
      <c r="J85" s="16">
        <f t="shared" si="14"/>
        <v>22.806244809124347</v>
      </c>
      <c r="K85" s="15">
        <f t="shared" si="14"/>
        <v>276</v>
      </c>
      <c r="L85" s="14">
        <f t="shared" si="14"/>
        <v>2.7800000000000002</v>
      </c>
      <c r="M85" s="13">
        <f t="shared" si="14"/>
        <v>0.17333333333333331</v>
      </c>
      <c r="N85" s="89" t="s">
        <v>85</v>
      </c>
    </row>
    <row r="86" spans="1:14" ht="13.5" outlineLevel="1" thickBot="1" x14ac:dyDescent="0.25">
      <c r="A86" s="12"/>
      <c r="B86" s="11" t="s">
        <v>11</v>
      </c>
      <c r="C86" s="57">
        <f t="shared" ref="C86:M86" si="15">SUM(C48:C85)</f>
        <v>500901.96832746326</v>
      </c>
      <c r="D86" s="9">
        <f t="shared" si="15"/>
        <v>253360.5</v>
      </c>
      <c r="E86" s="7">
        <f t="shared" si="15"/>
        <v>74686.920967243539</v>
      </c>
      <c r="F86" s="7">
        <f t="shared" si="15"/>
        <v>512.83484687977409</v>
      </c>
      <c r="G86" s="3">
        <f t="shared" si="15"/>
        <v>1728.131533333318</v>
      </c>
      <c r="H86" s="5">
        <f t="shared" si="15"/>
        <v>1590.3379483533024</v>
      </c>
      <c r="I86" s="3">
        <f t="shared" si="15"/>
        <v>136.39815164448237</v>
      </c>
      <c r="J86" s="6">
        <f t="shared" si="15"/>
        <v>2796.4098800087909</v>
      </c>
      <c r="K86" s="5">
        <f t="shared" si="15"/>
        <v>137410.6</v>
      </c>
      <c r="L86" s="4">
        <f t="shared" si="15"/>
        <v>24412.754999999994</v>
      </c>
      <c r="M86" s="3">
        <f t="shared" si="15"/>
        <v>4267.0800000000008</v>
      </c>
    </row>
    <row r="87" spans="1:14" ht="13.5" thickBot="1" x14ac:dyDescent="0.25">
      <c r="A87" s="69" t="s">
        <v>30</v>
      </c>
    </row>
    <row r="88" spans="1:14" ht="12.75" customHeight="1" outlineLevel="1" x14ac:dyDescent="0.2">
      <c r="A88" s="273" t="s">
        <v>24</v>
      </c>
      <c r="B88" s="275" t="s">
        <v>23</v>
      </c>
      <c r="C88" s="277" t="s">
        <v>77</v>
      </c>
      <c r="D88" s="279" t="s">
        <v>35</v>
      </c>
      <c r="E88" s="280"/>
      <c r="F88" s="280"/>
      <c r="G88" s="281"/>
      <c r="H88" s="282" t="s">
        <v>18</v>
      </c>
      <c r="I88" s="291" t="s">
        <v>17</v>
      </c>
      <c r="J88" s="293" t="s">
        <v>16</v>
      </c>
      <c r="K88" s="295" t="s">
        <v>34</v>
      </c>
      <c r="L88" s="296"/>
      <c r="M88" s="296"/>
      <c r="N88" s="308" t="s">
        <v>99</v>
      </c>
    </row>
    <row r="89" spans="1:14" ht="51.75" outlineLevel="1" thickBot="1" x14ac:dyDescent="0.25">
      <c r="A89" s="274"/>
      <c r="B89" s="276"/>
      <c r="C89" s="278"/>
      <c r="D89" s="68"/>
      <c r="E89" s="67" t="s">
        <v>33</v>
      </c>
      <c r="F89" s="67" t="s">
        <v>32</v>
      </c>
      <c r="G89" s="247" t="s">
        <v>31</v>
      </c>
      <c r="H89" s="283"/>
      <c r="I89" s="292"/>
      <c r="J89" s="294"/>
      <c r="K89" s="44" t="s">
        <v>14</v>
      </c>
      <c r="L89" s="43" t="s">
        <v>13</v>
      </c>
      <c r="M89" s="42" t="s">
        <v>12</v>
      </c>
      <c r="N89" s="309"/>
    </row>
    <row r="90" spans="1:14" outlineLevel="1" x14ac:dyDescent="0.2">
      <c r="A90" s="20">
        <f t="shared" ref="A90:B105" si="16">A5</f>
        <v>3656</v>
      </c>
      <c r="B90" s="19" t="str">
        <f t="shared" si="16"/>
        <v>UTA</v>
      </c>
      <c r="C90" s="90">
        <f>D90+E90+F90+K90+L90+M90</f>
        <v>0.97</v>
      </c>
      <c r="D90" s="91">
        <f>SUMIF($N$131:$N$135,$N90,D$131:D$135)</f>
        <v>0.3</v>
      </c>
      <c r="E90" s="92">
        <f t="shared" ref="E90:M105" si="17">SUMIF($N$131:$N$135,$N90,E$131:E$135)</f>
        <v>0.3</v>
      </c>
      <c r="F90" s="92">
        <f t="shared" si="17"/>
        <v>0.01</v>
      </c>
      <c r="G90" s="93">
        <f t="shared" si="17"/>
        <v>0.01</v>
      </c>
      <c r="H90" s="91">
        <f t="shared" si="17"/>
        <v>0.01</v>
      </c>
      <c r="I90" s="93">
        <f t="shared" si="17"/>
        <v>0.01</v>
      </c>
      <c r="J90" s="98">
        <f t="shared" si="17"/>
        <v>0.01</v>
      </c>
      <c r="K90" s="91">
        <f t="shared" si="17"/>
        <v>0.3</v>
      </c>
      <c r="L90" s="92">
        <f t="shared" si="17"/>
        <v>0.05</v>
      </c>
      <c r="M90" s="93">
        <f t="shared" si="17"/>
        <v>0.01</v>
      </c>
      <c r="N90" s="88" t="s">
        <v>83</v>
      </c>
    </row>
    <row r="91" spans="1:14" outlineLevel="1" x14ac:dyDescent="0.2">
      <c r="A91" s="20">
        <f t="shared" si="16"/>
        <v>3658</v>
      </c>
      <c r="B91" s="19" t="str">
        <f t="shared" si="16"/>
        <v>UT</v>
      </c>
      <c r="C91" s="90">
        <f t="shared" ref="C91:C127" si="18">D91+E91+F91+K91+L91+M91</f>
        <v>0.97</v>
      </c>
      <c r="D91" s="91">
        <f t="shared" ref="D91:M106" si="19">SUMIF($N$131:$N$135,$N91,D$131:D$135)</f>
        <v>0.3</v>
      </c>
      <c r="E91" s="92">
        <f t="shared" si="17"/>
        <v>0.3</v>
      </c>
      <c r="F91" s="92">
        <f t="shared" si="17"/>
        <v>0.01</v>
      </c>
      <c r="G91" s="93">
        <f t="shared" si="17"/>
        <v>0.01</v>
      </c>
      <c r="H91" s="94">
        <f t="shared" si="17"/>
        <v>0.01</v>
      </c>
      <c r="I91" s="95">
        <f t="shared" si="17"/>
        <v>0.01</v>
      </c>
      <c r="J91" s="96">
        <f t="shared" si="17"/>
        <v>0.01</v>
      </c>
      <c r="K91" s="94">
        <f t="shared" si="17"/>
        <v>0.3</v>
      </c>
      <c r="L91" s="97">
        <f t="shared" si="17"/>
        <v>0.01</v>
      </c>
      <c r="M91" s="95">
        <f t="shared" si="17"/>
        <v>0.05</v>
      </c>
      <c r="N91" s="89" t="s">
        <v>82</v>
      </c>
    </row>
    <row r="92" spans="1:14" outlineLevel="1" x14ac:dyDescent="0.2">
      <c r="A92" s="20">
        <f t="shared" si="16"/>
        <v>9741</v>
      </c>
      <c r="B92" s="19" t="str">
        <f t="shared" si="16"/>
        <v>UTD</v>
      </c>
      <c r="C92" s="90">
        <f t="shared" si="18"/>
        <v>0.97</v>
      </c>
      <c r="D92" s="91">
        <f t="shared" si="19"/>
        <v>0.3</v>
      </c>
      <c r="E92" s="92">
        <f t="shared" si="17"/>
        <v>0.3</v>
      </c>
      <c r="F92" s="92">
        <f t="shared" si="17"/>
        <v>0.01</v>
      </c>
      <c r="G92" s="93">
        <f t="shared" si="17"/>
        <v>0.01</v>
      </c>
      <c r="H92" s="91">
        <f t="shared" si="17"/>
        <v>0.01</v>
      </c>
      <c r="I92" s="93">
        <f t="shared" si="17"/>
        <v>0.01</v>
      </c>
      <c r="J92" s="98">
        <f t="shared" si="17"/>
        <v>0.01</v>
      </c>
      <c r="K92" s="91">
        <f t="shared" si="17"/>
        <v>0.3</v>
      </c>
      <c r="L92" s="92">
        <f t="shared" si="17"/>
        <v>0.05</v>
      </c>
      <c r="M92" s="93">
        <f t="shared" si="17"/>
        <v>0.01</v>
      </c>
      <c r="N92" s="89" t="s">
        <v>83</v>
      </c>
    </row>
    <row r="93" spans="1:14" outlineLevel="1" x14ac:dyDescent="0.2">
      <c r="A93" s="20">
        <f t="shared" si="16"/>
        <v>3661</v>
      </c>
      <c r="B93" s="19" t="str">
        <f t="shared" si="16"/>
        <v>UTEP</v>
      </c>
      <c r="C93" s="90">
        <f t="shared" si="18"/>
        <v>0.97</v>
      </c>
      <c r="D93" s="91">
        <f t="shared" si="19"/>
        <v>0.3</v>
      </c>
      <c r="E93" s="92">
        <f t="shared" si="17"/>
        <v>0.3</v>
      </c>
      <c r="F93" s="92">
        <f t="shared" si="17"/>
        <v>0.01</v>
      </c>
      <c r="G93" s="93">
        <f t="shared" si="17"/>
        <v>0.01</v>
      </c>
      <c r="H93" s="91">
        <f t="shared" si="17"/>
        <v>0.01</v>
      </c>
      <c r="I93" s="93">
        <f t="shared" si="17"/>
        <v>0.01</v>
      </c>
      <c r="J93" s="98">
        <f t="shared" si="17"/>
        <v>0.01</v>
      </c>
      <c r="K93" s="91">
        <f t="shared" si="17"/>
        <v>0.3</v>
      </c>
      <c r="L93" s="92">
        <f t="shared" si="17"/>
        <v>0.05</v>
      </c>
      <c r="M93" s="93">
        <f t="shared" si="17"/>
        <v>0.01</v>
      </c>
      <c r="N93" s="89" t="s">
        <v>83</v>
      </c>
    </row>
    <row r="94" spans="1:14" outlineLevel="1" x14ac:dyDescent="0.2">
      <c r="A94" s="20">
        <f t="shared" si="16"/>
        <v>3599</v>
      </c>
      <c r="B94" s="19" t="str">
        <f t="shared" si="16"/>
        <v>UTPA</v>
      </c>
      <c r="C94" s="90">
        <f t="shared" si="18"/>
        <v>0.97</v>
      </c>
      <c r="D94" s="91">
        <f t="shared" si="19"/>
        <v>0.3</v>
      </c>
      <c r="E94" s="92">
        <f t="shared" si="17"/>
        <v>0.05</v>
      </c>
      <c r="F94" s="92">
        <f t="shared" si="17"/>
        <v>0.01</v>
      </c>
      <c r="G94" s="93">
        <f t="shared" si="17"/>
        <v>0.01</v>
      </c>
      <c r="H94" s="91">
        <f t="shared" si="17"/>
        <v>0.01</v>
      </c>
      <c r="I94" s="93">
        <f t="shared" si="17"/>
        <v>0.01</v>
      </c>
      <c r="J94" s="98">
        <f t="shared" si="17"/>
        <v>0.01</v>
      </c>
      <c r="K94" s="91">
        <f t="shared" si="17"/>
        <v>0.3</v>
      </c>
      <c r="L94" s="92">
        <f t="shared" si="17"/>
        <v>0.3</v>
      </c>
      <c r="M94" s="93">
        <f t="shared" si="17"/>
        <v>0.01</v>
      </c>
      <c r="N94" s="89" t="s">
        <v>84</v>
      </c>
    </row>
    <row r="95" spans="1:14" outlineLevel="1" x14ac:dyDescent="0.2">
      <c r="A95" s="20">
        <f t="shared" si="16"/>
        <v>30646</v>
      </c>
      <c r="B95" s="19" t="str">
        <f t="shared" si="16"/>
        <v>UTB</v>
      </c>
      <c r="C95" s="90">
        <f t="shared" si="18"/>
        <v>0.92999999999999994</v>
      </c>
      <c r="D95" s="91">
        <f t="shared" si="19"/>
        <v>0.3</v>
      </c>
      <c r="E95" s="92">
        <f t="shared" si="17"/>
        <v>0.3</v>
      </c>
      <c r="F95" s="92">
        <f t="shared" si="17"/>
        <v>0.01</v>
      </c>
      <c r="G95" s="93">
        <f t="shared" si="17"/>
        <v>0.01</v>
      </c>
      <c r="H95" s="91">
        <f t="shared" si="17"/>
        <v>0.01</v>
      </c>
      <c r="I95" s="93">
        <f t="shared" si="17"/>
        <v>0.01</v>
      </c>
      <c r="J95" s="98">
        <f t="shared" si="17"/>
        <v>0.05</v>
      </c>
      <c r="K95" s="91">
        <f t="shared" si="17"/>
        <v>0.3</v>
      </c>
      <c r="L95" s="92">
        <f t="shared" si="17"/>
        <v>0.01</v>
      </c>
      <c r="M95" s="93">
        <f t="shared" si="17"/>
        <v>0.01</v>
      </c>
      <c r="N95" s="89" t="s">
        <v>85</v>
      </c>
    </row>
    <row r="96" spans="1:14" outlineLevel="1" x14ac:dyDescent="0.2">
      <c r="A96" s="20">
        <f t="shared" si="16"/>
        <v>9930</v>
      </c>
      <c r="B96" s="19" t="str">
        <f t="shared" si="16"/>
        <v>UTPB</v>
      </c>
      <c r="C96" s="90">
        <f t="shared" si="18"/>
        <v>0.92999999999999994</v>
      </c>
      <c r="D96" s="91">
        <f t="shared" si="19"/>
        <v>0.3</v>
      </c>
      <c r="E96" s="92">
        <f t="shared" si="17"/>
        <v>0.3</v>
      </c>
      <c r="F96" s="92">
        <f t="shared" si="17"/>
        <v>0.01</v>
      </c>
      <c r="G96" s="93">
        <f t="shared" si="17"/>
        <v>0.01</v>
      </c>
      <c r="H96" s="91">
        <f t="shared" si="17"/>
        <v>0.01</v>
      </c>
      <c r="I96" s="93">
        <f t="shared" si="17"/>
        <v>0.01</v>
      </c>
      <c r="J96" s="98">
        <f t="shared" si="17"/>
        <v>0.05</v>
      </c>
      <c r="K96" s="91">
        <f t="shared" si="17"/>
        <v>0.3</v>
      </c>
      <c r="L96" s="92">
        <f t="shared" si="17"/>
        <v>0.01</v>
      </c>
      <c r="M96" s="93">
        <f t="shared" si="17"/>
        <v>0.01</v>
      </c>
      <c r="N96" s="89" t="s">
        <v>85</v>
      </c>
    </row>
    <row r="97" spans="1:14" outlineLevel="1" x14ac:dyDescent="0.2">
      <c r="A97" s="20">
        <f t="shared" si="16"/>
        <v>10115</v>
      </c>
      <c r="B97" s="19" t="str">
        <f t="shared" si="16"/>
        <v>UTSA</v>
      </c>
      <c r="C97" s="90">
        <f t="shared" si="18"/>
        <v>0.97</v>
      </c>
      <c r="D97" s="91">
        <f t="shared" si="19"/>
        <v>0.3</v>
      </c>
      <c r="E97" s="92">
        <f t="shared" si="17"/>
        <v>0.3</v>
      </c>
      <c r="F97" s="92">
        <f t="shared" si="17"/>
        <v>0.01</v>
      </c>
      <c r="G97" s="93">
        <f t="shared" si="17"/>
        <v>0.01</v>
      </c>
      <c r="H97" s="91">
        <f t="shared" si="17"/>
        <v>0.01</v>
      </c>
      <c r="I97" s="93">
        <f t="shared" si="17"/>
        <v>0.01</v>
      </c>
      <c r="J97" s="98">
        <f t="shared" si="17"/>
        <v>0.01</v>
      </c>
      <c r="K97" s="91">
        <f t="shared" si="17"/>
        <v>0.3</v>
      </c>
      <c r="L97" s="92">
        <f t="shared" si="17"/>
        <v>0.05</v>
      </c>
      <c r="M97" s="93">
        <f t="shared" si="17"/>
        <v>0.01</v>
      </c>
      <c r="N97" s="89" t="s">
        <v>83</v>
      </c>
    </row>
    <row r="98" spans="1:14" outlineLevel="1" x14ac:dyDescent="0.2">
      <c r="A98" s="20">
        <f t="shared" si="16"/>
        <v>11163</v>
      </c>
      <c r="B98" s="19" t="str">
        <f t="shared" si="16"/>
        <v>UTT</v>
      </c>
      <c r="C98" s="90">
        <f t="shared" si="18"/>
        <v>0.92999999999999994</v>
      </c>
      <c r="D98" s="91">
        <f t="shared" si="19"/>
        <v>0.3</v>
      </c>
      <c r="E98" s="92">
        <f t="shared" si="17"/>
        <v>0.3</v>
      </c>
      <c r="F98" s="92">
        <f t="shared" si="17"/>
        <v>0.01</v>
      </c>
      <c r="G98" s="93">
        <f t="shared" si="17"/>
        <v>0.01</v>
      </c>
      <c r="H98" s="91">
        <f t="shared" si="17"/>
        <v>0.01</v>
      </c>
      <c r="I98" s="93">
        <f t="shared" si="17"/>
        <v>0.01</v>
      </c>
      <c r="J98" s="98">
        <f t="shared" si="17"/>
        <v>0.05</v>
      </c>
      <c r="K98" s="91">
        <f t="shared" si="17"/>
        <v>0.3</v>
      </c>
      <c r="L98" s="92">
        <f t="shared" si="17"/>
        <v>0.01</v>
      </c>
      <c r="M98" s="93">
        <f t="shared" si="17"/>
        <v>0.01</v>
      </c>
      <c r="N98" s="89" t="s">
        <v>85</v>
      </c>
    </row>
    <row r="99" spans="1:14" outlineLevel="1" x14ac:dyDescent="0.2">
      <c r="A99" s="20">
        <f t="shared" si="16"/>
        <v>3632</v>
      </c>
      <c r="B99" s="19" t="str">
        <f t="shared" si="16"/>
        <v>TAMU</v>
      </c>
      <c r="C99" s="90">
        <f t="shared" si="18"/>
        <v>0.97</v>
      </c>
      <c r="D99" s="91">
        <f t="shared" si="19"/>
        <v>0.3</v>
      </c>
      <c r="E99" s="92">
        <f t="shared" si="17"/>
        <v>0.3</v>
      </c>
      <c r="F99" s="92">
        <f t="shared" si="17"/>
        <v>0.01</v>
      </c>
      <c r="G99" s="93">
        <f t="shared" si="17"/>
        <v>0.01</v>
      </c>
      <c r="H99" s="94">
        <f t="shared" si="17"/>
        <v>0.01</v>
      </c>
      <c r="I99" s="95">
        <f t="shared" si="17"/>
        <v>0.01</v>
      </c>
      <c r="J99" s="96">
        <f t="shared" si="17"/>
        <v>0.01</v>
      </c>
      <c r="K99" s="94">
        <f t="shared" si="17"/>
        <v>0.3</v>
      </c>
      <c r="L99" s="97">
        <f t="shared" si="17"/>
        <v>0.01</v>
      </c>
      <c r="M99" s="95">
        <f t="shared" si="17"/>
        <v>0.05</v>
      </c>
      <c r="N99" s="89" t="s">
        <v>82</v>
      </c>
    </row>
    <row r="100" spans="1:14" outlineLevel="1" x14ac:dyDescent="0.2">
      <c r="A100" s="20">
        <f t="shared" si="16"/>
        <v>10298</v>
      </c>
      <c r="B100" s="19" t="str">
        <f t="shared" si="16"/>
        <v>TAMUG</v>
      </c>
      <c r="C100" s="90">
        <f t="shared" si="18"/>
        <v>1.3949999999999996</v>
      </c>
      <c r="D100" s="91">
        <f>SUMIF($N$131:$N$135,$N100,D$131:D$135)*1.5</f>
        <v>0.44999999999999996</v>
      </c>
      <c r="E100" s="92">
        <f t="shared" ref="E100:M100" si="20">SUMIF($N$131:$N$135,$N100,E$131:E$135)*1.5</f>
        <v>0.44999999999999996</v>
      </c>
      <c r="F100" s="92">
        <f t="shared" si="20"/>
        <v>1.4999999999999999E-2</v>
      </c>
      <c r="G100" s="93">
        <f t="shared" si="20"/>
        <v>1.4999999999999999E-2</v>
      </c>
      <c r="H100" s="91">
        <f t="shared" si="20"/>
        <v>1.4999999999999999E-2</v>
      </c>
      <c r="I100" s="93">
        <f t="shared" si="20"/>
        <v>1.4999999999999999E-2</v>
      </c>
      <c r="J100" s="98">
        <f t="shared" si="20"/>
        <v>7.5000000000000011E-2</v>
      </c>
      <c r="K100" s="91">
        <f t="shared" si="20"/>
        <v>0.44999999999999996</v>
      </c>
      <c r="L100" s="92">
        <f t="shared" si="20"/>
        <v>1.4999999999999999E-2</v>
      </c>
      <c r="M100" s="93">
        <f t="shared" si="20"/>
        <v>1.4999999999999999E-2</v>
      </c>
      <c r="N100" s="89" t="s">
        <v>85</v>
      </c>
    </row>
    <row r="101" spans="1:14" outlineLevel="1" x14ac:dyDescent="0.2">
      <c r="A101" s="20">
        <f t="shared" si="16"/>
        <v>3630</v>
      </c>
      <c r="B101" s="19" t="str">
        <f t="shared" si="16"/>
        <v>Prairie View</v>
      </c>
      <c r="C101" s="90">
        <f t="shared" si="18"/>
        <v>0.97</v>
      </c>
      <c r="D101" s="91">
        <f t="shared" si="19"/>
        <v>0.3</v>
      </c>
      <c r="E101" s="92">
        <f t="shared" si="17"/>
        <v>0.05</v>
      </c>
      <c r="F101" s="92">
        <f t="shared" si="17"/>
        <v>0.01</v>
      </c>
      <c r="G101" s="93">
        <f t="shared" si="17"/>
        <v>0.01</v>
      </c>
      <c r="H101" s="91">
        <f t="shared" si="17"/>
        <v>0.01</v>
      </c>
      <c r="I101" s="93">
        <f t="shared" si="17"/>
        <v>0.01</v>
      </c>
      <c r="J101" s="98">
        <f t="shared" si="17"/>
        <v>0.01</v>
      </c>
      <c r="K101" s="91">
        <f t="shared" si="17"/>
        <v>0.3</v>
      </c>
      <c r="L101" s="92">
        <f t="shared" si="17"/>
        <v>0.3</v>
      </c>
      <c r="M101" s="93">
        <f t="shared" si="17"/>
        <v>0.01</v>
      </c>
      <c r="N101" s="89" t="s">
        <v>86</v>
      </c>
    </row>
    <row r="102" spans="1:14" outlineLevel="1" x14ac:dyDescent="0.2">
      <c r="A102" s="20">
        <f t="shared" si="16"/>
        <v>3631</v>
      </c>
      <c r="B102" s="19" t="str">
        <f t="shared" si="16"/>
        <v>Tarleton</v>
      </c>
      <c r="C102" s="90">
        <f t="shared" si="18"/>
        <v>0.97</v>
      </c>
      <c r="D102" s="91">
        <f t="shared" si="19"/>
        <v>0.3</v>
      </c>
      <c r="E102" s="92">
        <f t="shared" si="17"/>
        <v>0.05</v>
      </c>
      <c r="F102" s="92">
        <f t="shared" si="17"/>
        <v>0.01</v>
      </c>
      <c r="G102" s="93">
        <f t="shared" si="17"/>
        <v>0.01</v>
      </c>
      <c r="H102" s="91">
        <f t="shared" si="17"/>
        <v>0.01</v>
      </c>
      <c r="I102" s="93">
        <f t="shared" si="17"/>
        <v>0.01</v>
      </c>
      <c r="J102" s="98">
        <f t="shared" si="17"/>
        <v>0.01</v>
      </c>
      <c r="K102" s="91">
        <f t="shared" si="17"/>
        <v>0.3</v>
      </c>
      <c r="L102" s="92">
        <f t="shared" si="17"/>
        <v>0.3</v>
      </c>
      <c r="M102" s="93">
        <f t="shared" si="17"/>
        <v>0.01</v>
      </c>
      <c r="N102" s="89" t="s">
        <v>86</v>
      </c>
    </row>
    <row r="103" spans="1:14" outlineLevel="1" x14ac:dyDescent="0.2">
      <c r="A103" s="27">
        <f t="shared" si="16"/>
        <v>103631</v>
      </c>
      <c r="B103" s="19" t="str">
        <f t="shared" si="16"/>
        <v>TAMUCT</v>
      </c>
      <c r="C103" s="90">
        <f t="shared" si="18"/>
        <v>0.92999999999999994</v>
      </c>
      <c r="D103" s="91">
        <f t="shared" si="19"/>
        <v>0.3</v>
      </c>
      <c r="E103" s="92">
        <f t="shared" si="17"/>
        <v>0.3</v>
      </c>
      <c r="F103" s="92">
        <f t="shared" si="17"/>
        <v>0.01</v>
      </c>
      <c r="G103" s="93">
        <f t="shared" si="17"/>
        <v>0.01</v>
      </c>
      <c r="H103" s="91">
        <f t="shared" si="17"/>
        <v>0.01</v>
      </c>
      <c r="I103" s="93">
        <f t="shared" si="17"/>
        <v>0.01</v>
      </c>
      <c r="J103" s="98">
        <f t="shared" si="17"/>
        <v>0.05</v>
      </c>
      <c r="K103" s="91">
        <f t="shared" si="17"/>
        <v>0.3</v>
      </c>
      <c r="L103" s="92">
        <f t="shared" si="17"/>
        <v>0.01</v>
      </c>
      <c r="M103" s="93">
        <f t="shared" si="17"/>
        <v>0.01</v>
      </c>
      <c r="N103" s="89" t="s">
        <v>85</v>
      </c>
    </row>
    <row r="104" spans="1:14" outlineLevel="1" x14ac:dyDescent="0.2">
      <c r="A104" s="20">
        <f t="shared" si="16"/>
        <v>11161</v>
      </c>
      <c r="B104" s="19" t="str">
        <f t="shared" si="16"/>
        <v>TAMUCC</v>
      </c>
      <c r="C104" s="90">
        <f t="shared" si="18"/>
        <v>0.97</v>
      </c>
      <c r="D104" s="91">
        <f t="shared" si="19"/>
        <v>0.3</v>
      </c>
      <c r="E104" s="92">
        <f t="shared" si="17"/>
        <v>0.05</v>
      </c>
      <c r="F104" s="92">
        <f t="shared" si="17"/>
        <v>0.01</v>
      </c>
      <c r="G104" s="93">
        <f t="shared" si="17"/>
        <v>0.01</v>
      </c>
      <c r="H104" s="91">
        <f t="shared" si="17"/>
        <v>0.01</v>
      </c>
      <c r="I104" s="93">
        <f t="shared" si="17"/>
        <v>0.01</v>
      </c>
      <c r="J104" s="98">
        <f t="shared" si="17"/>
        <v>0.01</v>
      </c>
      <c r="K104" s="91">
        <f t="shared" si="17"/>
        <v>0.3</v>
      </c>
      <c r="L104" s="92">
        <f t="shared" si="17"/>
        <v>0.3</v>
      </c>
      <c r="M104" s="93">
        <f t="shared" si="17"/>
        <v>0.01</v>
      </c>
      <c r="N104" s="89" t="s">
        <v>84</v>
      </c>
    </row>
    <row r="105" spans="1:14" outlineLevel="1" x14ac:dyDescent="0.2">
      <c r="A105" s="20">
        <f t="shared" si="16"/>
        <v>3639</v>
      </c>
      <c r="B105" s="19" t="str">
        <f t="shared" si="16"/>
        <v>TAMUK</v>
      </c>
      <c r="C105" s="90">
        <f t="shared" si="18"/>
        <v>0.97</v>
      </c>
      <c r="D105" s="91">
        <f t="shared" si="19"/>
        <v>0.3</v>
      </c>
      <c r="E105" s="92">
        <f t="shared" si="17"/>
        <v>0.05</v>
      </c>
      <c r="F105" s="92">
        <f t="shared" si="17"/>
        <v>0.01</v>
      </c>
      <c r="G105" s="93">
        <f t="shared" si="17"/>
        <v>0.01</v>
      </c>
      <c r="H105" s="91">
        <f t="shared" si="17"/>
        <v>0.01</v>
      </c>
      <c r="I105" s="93">
        <f t="shared" si="17"/>
        <v>0.01</v>
      </c>
      <c r="J105" s="98">
        <f t="shared" si="17"/>
        <v>0.01</v>
      </c>
      <c r="K105" s="91">
        <f t="shared" si="17"/>
        <v>0.3</v>
      </c>
      <c r="L105" s="92">
        <f t="shared" si="17"/>
        <v>0.3</v>
      </c>
      <c r="M105" s="93">
        <f t="shared" si="17"/>
        <v>0.01</v>
      </c>
      <c r="N105" s="89" t="s">
        <v>84</v>
      </c>
    </row>
    <row r="106" spans="1:14" outlineLevel="1" x14ac:dyDescent="0.2">
      <c r="A106" s="27">
        <f t="shared" ref="A106:B121" si="21">A21</f>
        <v>103639</v>
      </c>
      <c r="B106" s="19" t="str">
        <f t="shared" si="21"/>
        <v>TAMUSA</v>
      </c>
      <c r="C106" s="90">
        <f t="shared" si="18"/>
        <v>0.92999999999999994</v>
      </c>
      <c r="D106" s="91">
        <f t="shared" si="19"/>
        <v>0.3</v>
      </c>
      <c r="E106" s="92">
        <f t="shared" si="19"/>
        <v>0.3</v>
      </c>
      <c r="F106" s="92">
        <f t="shared" si="19"/>
        <v>0.01</v>
      </c>
      <c r="G106" s="93">
        <f t="shared" si="19"/>
        <v>0.01</v>
      </c>
      <c r="H106" s="91">
        <f t="shared" si="19"/>
        <v>0.01</v>
      </c>
      <c r="I106" s="93">
        <f t="shared" si="19"/>
        <v>0.01</v>
      </c>
      <c r="J106" s="98">
        <f t="shared" si="19"/>
        <v>0.05</v>
      </c>
      <c r="K106" s="91">
        <f t="shared" si="19"/>
        <v>0.3</v>
      </c>
      <c r="L106" s="92">
        <f t="shared" si="19"/>
        <v>0.01</v>
      </c>
      <c r="M106" s="93">
        <f t="shared" si="19"/>
        <v>0.01</v>
      </c>
      <c r="N106" s="89" t="s">
        <v>85</v>
      </c>
    </row>
    <row r="107" spans="1:14" outlineLevel="1" x14ac:dyDescent="0.2">
      <c r="A107" s="20">
        <f t="shared" si="21"/>
        <v>9651</v>
      </c>
      <c r="B107" s="19" t="str">
        <f t="shared" si="21"/>
        <v>TAMI</v>
      </c>
      <c r="C107" s="90">
        <f t="shared" si="18"/>
        <v>0.97</v>
      </c>
      <c r="D107" s="91">
        <f t="shared" ref="D107:M122" si="22">SUMIF($N$131:$N$135,$N107,D$131:D$135)</f>
        <v>0.3</v>
      </c>
      <c r="E107" s="92">
        <f t="shared" si="22"/>
        <v>0.05</v>
      </c>
      <c r="F107" s="92">
        <f t="shared" si="22"/>
        <v>0.01</v>
      </c>
      <c r="G107" s="93">
        <f t="shared" si="22"/>
        <v>0.01</v>
      </c>
      <c r="H107" s="91">
        <f t="shared" si="22"/>
        <v>0.01</v>
      </c>
      <c r="I107" s="93">
        <f t="shared" si="22"/>
        <v>0.01</v>
      </c>
      <c r="J107" s="98">
        <f t="shared" si="22"/>
        <v>0.01</v>
      </c>
      <c r="K107" s="91">
        <f t="shared" si="22"/>
        <v>0.3</v>
      </c>
      <c r="L107" s="92">
        <f t="shared" si="22"/>
        <v>0.3</v>
      </c>
      <c r="M107" s="93">
        <f t="shared" si="22"/>
        <v>0.01</v>
      </c>
      <c r="N107" s="89" t="s">
        <v>86</v>
      </c>
    </row>
    <row r="108" spans="1:14" outlineLevel="1" x14ac:dyDescent="0.2">
      <c r="A108" s="20">
        <f t="shared" si="21"/>
        <v>3665</v>
      </c>
      <c r="B108" s="19" t="str">
        <f t="shared" si="21"/>
        <v>WTAMU</v>
      </c>
      <c r="C108" s="90">
        <f t="shared" si="18"/>
        <v>0.97</v>
      </c>
      <c r="D108" s="91">
        <f t="shared" si="22"/>
        <v>0.3</v>
      </c>
      <c r="E108" s="92">
        <f t="shared" si="22"/>
        <v>0.05</v>
      </c>
      <c r="F108" s="92">
        <f t="shared" si="22"/>
        <v>0.01</v>
      </c>
      <c r="G108" s="93">
        <f t="shared" si="22"/>
        <v>0.01</v>
      </c>
      <c r="H108" s="91">
        <f t="shared" si="22"/>
        <v>0.01</v>
      </c>
      <c r="I108" s="93">
        <f t="shared" si="22"/>
        <v>0.01</v>
      </c>
      <c r="J108" s="98">
        <f t="shared" si="22"/>
        <v>0.01</v>
      </c>
      <c r="K108" s="91">
        <f t="shared" si="22"/>
        <v>0.3</v>
      </c>
      <c r="L108" s="92">
        <f t="shared" si="22"/>
        <v>0.3</v>
      </c>
      <c r="M108" s="93">
        <f t="shared" si="22"/>
        <v>0.01</v>
      </c>
      <c r="N108" s="89" t="s">
        <v>86</v>
      </c>
    </row>
    <row r="109" spans="1:14" outlineLevel="1" x14ac:dyDescent="0.2">
      <c r="A109" s="20">
        <f t="shared" si="21"/>
        <v>3565</v>
      </c>
      <c r="B109" s="19" t="str">
        <f t="shared" si="21"/>
        <v>TAMUC</v>
      </c>
      <c r="C109" s="90">
        <f t="shared" si="18"/>
        <v>0.97</v>
      </c>
      <c r="D109" s="91">
        <f t="shared" si="22"/>
        <v>0.3</v>
      </c>
      <c r="E109" s="92">
        <f t="shared" si="22"/>
        <v>0.05</v>
      </c>
      <c r="F109" s="92">
        <f t="shared" si="22"/>
        <v>0.01</v>
      </c>
      <c r="G109" s="93">
        <f t="shared" si="22"/>
        <v>0.01</v>
      </c>
      <c r="H109" s="91">
        <f t="shared" si="22"/>
        <v>0.01</v>
      </c>
      <c r="I109" s="93">
        <f t="shared" si="22"/>
        <v>0.01</v>
      </c>
      <c r="J109" s="98">
        <f t="shared" si="22"/>
        <v>0.01</v>
      </c>
      <c r="K109" s="91">
        <f t="shared" si="22"/>
        <v>0.3</v>
      </c>
      <c r="L109" s="92">
        <f t="shared" si="22"/>
        <v>0.3</v>
      </c>
      <c r="M109" s="93">
        <f t="shared" si="22"/>
        <v>0.01</v>
      </c>
      <c r="N109" s="89" t="s">
        <v>84</v>
      </c>
    </row>
    <row r="110" spans="1:14" outlineLevel="1" x14ac:dyDescent="0.2">
      <c r="A110" s="20">
        <f t="shared" si="21"/>
        <v>29269</v>
      </c>
      <c r="B110" s="19" t="str">
        <f t="shared" si="21"/>
        <v>TAMUT</v>
      </c>
      <c r="C110" s="90">
        <f t="shared" si="18"/>
        <v>0.92999999999999994</v>
      </c>
      <c r="D110" s="91">
        <f t="shared" si="22"/>
        <v>0.3</v>
      </c>
      <c r="E110" s="92">
        <f t="shared" si="22"/>
        <v>0.3</v>
      </c>
      <c r="F110" s="92">
        <f t="shared" si="22"/>
        <v>0.01</v>
      </c>
      <c r="G110" s="93">
        <f t="shared" si="22"/>
        <v>0.01</v>
      </c>
      <c r="H110" s="91">
        <f t="shared" si="22"/>
        <v>0.01</v>
      </c>
      <c r="I110" s="93">
        <f t="shared" si="22"/>
        <v>0.01</v>
      </c>
      <c r="J110" s="98">
        <f t="shared" si="22"/>
        <v>0.05</v>
      </c>
      <c r="K110" s="91">
        <f t="shared" si="22"/>
        <v>0.3</v>
      </c>
      <c r="L110" s="92">
        <f t="shared" si="22"/>
        <v>0.01</v>
      </c>
      <c r="M110" s="93">
        <f t="shared" si="22"/>
        <v>0.01</v>
      </c>
      <c r="N110" s="89" t="s">
        <v>85</v>
      </c>
    </row>
    <row r="111" spans="1:14" outlineLevel="1" x14ac:dyDescent="0.2">
      <c r="A111" s="20">
        <f t="shared" si="21"/>
        <v>3652</v>
      </c>
      <c r="B111" s="19" t="str">
        <f t="shared" si="21"/>
        <v>UH</v>
      </c>
      <c r="C111" s="90">
        <f t="shared" si="18"/>
        <v>0.97</v>
      </c>
      <c r="D111" s="91">
        <f t="shared" si="22"/>
        <v>0.3</v>
      </c>
      <c r="E111" s="92">
        <f t="shared" si="22"/>
        <v>0.3</v>
      </c>
      <c r="F111" s="92">
        <f t="shared" si="22"/>
        <v>0.01</v>
      </c>
      <c r="G111" s="93">
        <f t="shared" si="22"/>
        <v>0.01</v>
      </c>
      <c r="H111" s="91">
        <f t="shared" si="22"/>
        <v>0.01</v>
      </c>
      <c r="I111" s="93">
        <f t="shared" si="22"/>
        <v>0.01</v>
      </c>
      <c r="J111" s="98">
        <f t="shared" si="22"/>
        <v>0.01</v>
      </c>
      <c r="K111" s="91">
        <f t="shared" si="22"/>
        <v>0.3</v>
      </c>
      <c r="L111" s="92">
        <f t="shared" si="22"/>
        <v>0.05</v>
      </c>
      <c r="M111" s="93">
        <f t="shared" si="22"/>
        <v>0.01</v>
      </c>
      <c r="N111" s="89" t="s">
        <v>83</v>
      </c>
    </row>
    <row r="112" spans="1:14" outlineLevel="1" x14ac:dyDescent="0.2">
      <c r="A112" s="20">
        <f t="shared" si="21"/>
        <v>11711</v>
      </c>
      <c r="B112" s="19" t="str">
        <f t="shared" si="21"/>
        <v>UHCL</v>
      </c>
      <c r="C112" s="90">
        <f t="shared" si="18"/>
        <v>0.92999999999999994</v>
      </c>
      <c r="D112" s="91">
        <f t="shared" si="22"/>
        <v>0.3</v>
      </c>
      <c r="E112" s="92">
        <f t="shared" si="22"/>
        <v>0.3</v>
      </c>
      <c r="F112" s="92">
        <f t="shared" si="22"/>
        <v>0.01</v>
      </c>
      <c r="G112" s="93">
        <f t="shared" si="22"/>
        <v>0.01</v>
      </c>
      <c r="H112" s="91">
        <f t="shared" si="22"/>
        <v>0.01</v>
      </c>
      <c r="I112" s="93">
        <f t="shared" si="22"/>
        <v>0.01</v>
      </c>
      <c r="J112" s="98">
        <f t="shared" si="22"/>
        <v>0.05</v>
      </c>
      <c r="K112" s="91">
        <f t="shared" si="22"/>
        <v>0.3</v>
      </c>
      <c r="L112" s="92">
        <f t="shared" si="22"/>
        <v>0.01</v>
      </c>
      <c r="M112" s="93">
        <f t="shared" si="22"/>
        <v>0.01</v>
      </c>
      <c r="N112" s="89" t="s">
        <v>85</v>
      </c>
    </row>
    <row r="113" spans="1:19" outlineLevel="1" x14ac:dyDescent="0.2">
      <c r="A113" s="20">
        <f t="shared" si="21"/>
        <v>12826</v>
      </c>
      <c r="B113" s="19" t="str">
        <f t="shared" si="21"/>
        <v>UHD</v>
      </c>
      <c r="C113" s="90">
        <f t="shared" si="18"/>
        <v>0.92999999999999994</v>
      </c>
      <c r="D113" s="91">
        <f t="shared" si="22"/>
        <v>0.3</v>
      </c>
      <c r="E113" s="92">
        <f t="shared" si="22"/>
        <v>0.3</v>
      </c>
      <c r="F113" s="92">
        <f t="shared" si="22"/>
        <v>0.01</v>
      </c>
      <c r="G113" s="93">
        <f t="shared" si="22"/>
        <v>0.01</v>
      </c>
      <c r="H113" s="91">
        <f t="shared" si="22"/>
        <v>0.01</v>
      </c>
      <c r="I113" s="93">
        <f t="shared" si="22"/>
        <v>0.01</v>
      </c>
      <c r="J113" s="98">
        <f t="shared" si="22"/>
        <v>0.05</v>
      </c>
      <c r="K113" s="91">
        <f t="shared" si="22"/>
        <v>0.3</v>
      </c>
      <c r="L113" s="92">
        <f t="shared" si="22"/>
        <v>0.01</v>
      </c>
      <c r="M113" s="93">
        <f t="shared" si="22"/>
        <v>0.01</v>
      </c>
      <c r="N113" s="89" t="s">
        <v>85</v>
      </c>
    </row>
    <row r="114" spans="1:19" outlineLevel="1" x14ac:dyDescent="0.2">
      <c r="A114" s="20">
        <f t="shared" si="21"/>
        <v>13231</v>
      </c>
      <c r="B114" s="19" t="str">
        <f t="shared" si="21"/>
        <v>UHV</v>
      </c>
      <c r="C114" s="90">
        <f t="shared" si="18"/>
        <v>0.92999999999999994</v>
      </c>
      <c r="D114" s="91">
        <f t="shared" si="22"/>
        <v>0.3</v>
      </c>
      <c r="E114" s="92">
        <f t="shared" si="22"/>
        <v>0.3</v>
      </c>
      <c r="F114" s="92">
        <f t="shared" si="22"/>
        <v>0.01</v>
      </c>
      <c r="G114" s="93">
        <f t="shared" si="22"/>
        <v>0.01</v>
      </c>
      <c r="H114" s="91">
        <f t="shared" si="22"/>
        <v>0.01</v>
      </c>
      <c r="I114" s="93">
        <f t="shared" si="22"/>
        <v>0.01</v>
      </c>
      <c r="J114" s="98">
        <f t="shared" si="22"/>
        <v>0.05</v>
      </c>
      <c r="K114" s="91">
        <f t="shared" si="22"/>
        <v>0.3</v>
      </c>
      <c r="L114" s="92">
        <f t="shared" si="22"/>
        <v>0.01</v>
      </c>
      <c r="M114" s="93">
        <f t="shared" si="22"/>
        <v>0.01</v>
      </c>
      <c r="N114" s="89" t="s">
        <v>85</v>
      </c>
    </row>
    <row r="115" spans="1:19" outlineLevel="1" x14ac:dyDescent="0.2">
      <c r="A115" s="20">
        <f t="shared" si="21"/>
        <v>3592</v>
      </c>
      <c r="B115" s="19" t="str">
        <f t="shared" si="21"/>
        <v>Midwestern</v>
      </c>
      <c r="C115" s="90">
        <f t="shared" si="18"/>
        <v>0.92999999999999994</v>
      </c>
      <c r="D115" s="91">
        <f t="shared" si="22"/>
        <v>0.3</v>
      </c>
      <c r="E115" s="92">
        <f t="shared" si="22"/>
        <v>0.3</v>
      </c>
      <c r="F115" s="92">
        <f t="shared" si="22"/>
        <v>0.01</v>
      </c>
      <c r="G115" s="93">
        <f t="shared" si="22"/>
        <v>0.01</v>
      </c>
      <c r="H115" s="91">
        <f t="shared" si="22"/>
        <v>0.01</v>
      </c>
      <c r="I115" s="93">
        <f t="shared" si="22"/>
        <v>0.01</v>
      </c>
      <c r="J115" s="98">
        <f t="shared" si="22"/>
        <v>0.05</v>
      </c>
      <c r="K115" s="91">
        <f t="shared" si="22"/>
        <v>0.3</v>
      </c>
      <c r="L115" s="92">
        <f t="shared" si="22"/>
        <v>0.01</v>
      </c>
      <c r="M115" s="93">
        <f t="shared" si="22"/>
        <v>0.01</v>
      </c>
      <c r="N115" s="89" t="s">
        <v>85</v>
      </c>
    </row>
    <row r="116" spans="1:19" outlineLevel="1" x14ac:dyDescent="0.2">
      <c r="A116" s="20">
        <f t="shared" si="21"/>
        <v>3594</v>
      </c>
      <c r="B116" s="19" t="str">
        <f t="shared" si="21"/>
        <v>UNT</v>
      </c>
      <c r="C116" s="90">
        <f t="shared" si="18"/>
        <v>0.97</v>
      </c>
      <c r="D116" s="91">
        <f t="shared" si="22"/>
        <v>0.3</v>
      </c>
      <c r="E116" s="92">
        <f t="shared" si="22"/>
        <v>0.3</v>
      </c>
      <c r="F116" s="92">
        <f t="shared" si="22"/>
        <v>0.01</v>
      </c>
      <c r="G116" s="93">
        <f t="shared" si="22"/>
        <v>0.01</v>
      </c>
      <c r="H116" s="91">
        <f t="shared" si="22"/>
        <v>0.01</v>
      </c>
      <c r="I116" s="93">
        <f t="shared" si="22"/>
        <v>0.01</v>
      </c>
      <c r="J116" s="98">
        <f t="shared" si="22"/>
        <v>0.01</v>
      </c>
      <c r="K116" s="91">
        <f t="shared" si="22"/>
        <v>0.3</v>
      </c>
      <c r="L116" s="92">
        <f t="shared" si="22"/>
        <v>0.05</v>
      </c>
      <c r="M116" s="93">
        <f t="shared" si="22"/>
        <v>0.01</v>
      </c>
      <c r="N116" s="89" t="s">
        <v>83</v>
      </c>
      <c r="Q116" s="151"/>
      <c r="S116" s="151"/>
    </row>
    <row r="117" spans="1:19" outlineLevel="1" x14ac:dyDescent="0.2">
      <c r="A117" s="27">
        <f t="shared" si="21"/>
        <v>113594</v>
      </c>
      <c r="B117" s="19" t="str">
        <f t="shared" si="21"/>
        <v>UNTD</v>
      </c>
      <c r="C117" s="90">
        <f t="shared" si="18"/>
        <v>0.92999999999999994</v>
      </c>
      <c r="D117" s="91">
        <f t="shared" si="22"/>
        <v>0.3</v>
      </c>
      <c r="E117" s="92">
        <f t="shared" si="22"/>
        <v>0.3</v>
      </c>
      <c r="F117" s="92">
        <f t="shared" si="22"/>
        <v>0.01</v>
      </c>
      <c r="G117" s="93">
        <f t="shared" si="22"/>
        <v>0.01</v>
      </c>
      <c r="H117" s="91">
        <f t="shared" si="22"/>
        <v>0.01</v>
      </c>
      <c r="I117" s="93">
        <f t="shared" si="22"/>
        <v>0.01</v>
      </c>
      <c r="J117" s="98">
        <f t="shared" si="22"/>
        <v>0.05</v>
      </c>
      <c r="K117" s="91">
        <f t="shared" si="22"/>
        <v>0.3</v>
      </c>
      <c r="L117" s="92">
        <f t="shared" si="22"/>
        <v>0.01</v>
      </c>
      <c r="M117" s="93">
        <f t="shared" si="22"/>
        <v>0.01</v>
      </c>
      <c r="N117" s="89" t="s">
        <v>85</v>
      </c>
    </row>
    <row r="118" spans="1:19" outlineLevel="1" x14ac:dyDescent="0.2">
      <c r="A118" s="20">
        <f t="shared" si="21"/>
        <v>3624</v>
      </c>
      <c r="B118" s="19" t="str">
        <f t="shared" si="21"/>
        <v>SFA</v>
      </c>
      <c r="C118" s="90">
        <f t="shared" si="18"/>
        <v>0.97</v>
      </c>
      <c r="D118" s="91">
        <f t="shared" si="22"/>
        <v>0.3</v>
      </c>
      <c r="E118" s="92">
        <f t="shared" si="22"/>
        <v>0.05</v>
      </c>
      <c r="F118" s="92">
        <f t="shared" si="22"/>
        <v>0.01</v>
      </c>
      <c r="G118" s="93">
        <f t="shared" si="22"/>
        <v>0.01</v>
      </c>
      <c r="H118" s="91">
        <f t="shared" si="22"/>
        <v>0.01</v>
      </c>
      <c r="I118" s="93">
        <f t="shared" si="22"/>
        <v>0.01</v>
      </c>
      <c r="J118" s="98">
        <f t="shared" si="22"/>
        <v>0.01</v>
      </c>
      <c r="K118" s="91">
        <f t="shared" si="22"/>
        <v>0.3</v>
      </c>
      <c r="L118" s="92">
        <f t="shared" si="22"/>
        <v>0.3</v>
      </c>
      <c r="M118" s="93">
        <f t="shared" si="22"/>
        <v>0.01</v>
      </c>
      <c r="N118" s="89" t="s">
        <v>86</v>
      </c>
    </row>
    <row r="119" spans="1:19" outlineLevel="1" x14ac:dyDescent="0.2">
      <c r="A119" s="20">
        <f t="shared" si="21"/>
        <v>3642</v>
      </c>
      <c r="B119" s="19" t="str">
        <f t="shared" si="21"/>
        <v>TSU</v>
      </c>
      <c r="C119" s="90">
        <f t="shared" si="18"/>
        <v>0.97</v>
      </c>
      <c r="D119" s="91">
        <f t="shared" si="22"/>
        <v>0.3</v>
      </c>
      <c r="E119" s="92">
        <f t="shared" si="22"/>
        <v>0.05</v>
      </c>
      <c r="F119" s="92">
        <f t="shared" si="22"/>
        <v>0.01</v>
      </c>
      <c r="G119" s="93">
        <f t="shared" si="22"/>
        <v>0.01</v>
      </c>
      <c r="H119" s="91">
        <f t="shared" si="22"/>
        <v>0.01</v>
      </c>
      <c r="I119" s="93">
        <f t="shared" si="22"/>
        <v>0.01</v>
      </c>
      <c r="J119" s="98">
        <f t="shared" si="22"/>
        <v>0.01</v>
      </c>
      <c r="K119" s="91">
        <f t="shared" si="22"/>
        <v>0.3</v>
      </c>
      <c r="L119" s="92">
        <f t="shared" si="22"/>
        <v>0.3</v>
      </c>
      <c r="M119" s="93">
        <f t="shared" si="22"/>
        <v>0.01</v>
      </c>
      <c r="N119" s="89" t="s">
        <v>84</v>
      </c>
    </row>
    <row r="120" spans="1:19" outlineLevel="1" x14ac:dyDescent="0.2">
      <c r="A120" s="20">
        <f t="shared" si="21"/>
        <v>3644</v>
      </c>
      <c r="B120" s="19" t="str">
        <f t="shared" si="21"/>
        <v>TTU</v>
      </c>
      <c r="C120" s="90">
        <f t="shared" si="18"/>
        <v>0.97</v>
      </c>
      <c r="D120" s="91">
        <f t="shared" si="22"/>
        <v>0.3</v>
      </c>
      <c r="E120" s="92">
        <f t="shared" si="22"/>
        <v>0.3</v>
      </c>
      <c r="F120" s="92">
        <f t="shared" si="22"/>
        <v>0.01</v>
      </c>
      <c r="G120" s="93">
        <f t="shared" si="22"/>
        <v>0.01</v>
      </c>
      <c r="H120" s="91">
        <f t="shared" si="22"/>
        <v>0.01</v>
      </c>
      <c r="I120" s="93">
        <f t="shared" si="22"/>
        <v>0.01</v>
      </c>
      <c r="J120" s="98">
        <f t="shared" si="22"/>
        <v>0.01</v>
      </c>
      <c r="K120" s="91">
        <f t="shared" si="22"/>
        <v>0.3</v>
      </c>
      <c r="L120" s="92">
        <f t="shared" si="22"/>
        <v>0.05</v>
      </c>
      <c r="M120" s="93">
        <f t="shared" si="22"/>
        <v>0.01</v>
      </c>
      <c r="N120" s="89" t="s">
        <v>83</v>
      </c>
    </row>
    <row r="121" spans="1:19" outlineLevel="1" x14ac:dyDescent="0.2">
      <c r="A121" s="20">
        <f t="shared" si="21"/>
        <v>3541</v>
      </c>
      <c r="B121" s="19" t="str">
        <f t="shared" si="21"/>
        <v>Angelo</v>
      </c>
      <c r="C121" s="90">
        <f t="shared" si="18"/>
        <v>0.92999999999999994</v>
      </c>
      <c r="D121" s="91">
        <f t="shared" si="22"/>
        <v>0.3</v>
      </c>
      <c r="E121" s="92">
        <f t="shared" si="22"/>
        <v>0.3</v>
      </c>
      <c r="F121" s="92">
        <f t="shared" si="22"/>
        <v>0.01</v>
      </c>
      <c r="G121" s="93">
        <f t="shared" si="22"/>
        <v>0.01</v>
      </c>
      <c r="H121" s="91">
        <f t="shared" si="22"/>
        <v>0.01</v>
      </c>
      <c r="I121" s="93">
        <f t="shared" si="22"/>
        <v>0.01</v>
      </c>
      <c r="J121" s="98">
        <f t="shared" si="22"/>
        <v>0.05</v>
      </c>
      <c r="K121" s="91">
        <f t="shared" si="22"/>
        <v>0.3</v>
      </c>
      <c r="L121" s="92">
        <f t="shared" si="22"/>
        <v>0.01</v>
      </c>
      <c r="M121" s="93">
        <f t="shared" si="22"/>
        <v>0.01</v>
      </c>
      <c r="N121" s="89" t="s">
        <v>85</v>
      </c>
    </row>
    <row r="122" spans="1:19" outlineLevel="1" x14ac:dyDescent="0.2">
      <c r="A122" s="20">
        <f t="shared" ref="A122:B127" si="23">A37</f>
        <v>3646</v>
      </c>
      <c r="B122" s="19" t="str">
        <f t="shared" si="23"/>
        <v>TWU</v>
      </c>
      <c r="C122" s="90">
        <f t="shared" si="18"/>
        <v>0.97</v>
      </c>
      <c r="D122" s="91">
        <f t="shared" si="22"/>
        <v>0.3</v>
      </c>
      <c r="E122" s="92">
        <f t="shared" si="22"/>
        <v>0.05</v>
      </c>
      <c r="F122" s="92">
        <f t="shared" si="22"/>
        <v>0.01</v>
      </c>
      <c r="G122" s="93">
        <f t="shared" si="22"/>
        <v>0.01</v>
      </c>
      <c r="H122" s="91">
        <f t="shared" si="22"/>
        <v>0.01</v>
      </c>
      <c r="I122" s="93">
        <f t="shared" si="22"/>
        <v>0.01</v>
      </c>
      <c r="J122" s="98">
        <f t="shared" si="22"/>
        <v>0.01</v>
      </c>
      <c r="K122" s="91">
        <f t="shared" si="22"/>
        <v>0.3</v>
      </c>
      <c r="L122" s="92">
        <f t="shared" si="22"/>
        <v>0.3</v>
      </c>
      <c r="M122" s="93">
        <f t="shared" si="22"/>
        <v>0.01</v>
      </c>
      <c r="N122" s="89" t="s">
        <v>84</v>
      </c>
    </row>
    <row r="123" spans="1:19" outlineLevel="1" x14ac:dyDescent="0.2">
      <c r="A123" s="20">
        <f t="shared" si="23"/>
        <v>3581</v>
      </c>
      <c r="B123" s="19" t="str">
        <f t="shared" si="23"/>
        <v>Lamar</v>
      </c>
      <c r="C123" s="90">
        <f t="shared" si="18"/>
        <v>0.97</v>
      </c>
      <c r="D123" s="91">
        <f t="shared" ref="D123:M127" si="24">SUMIF($N$131:$N$135,$N123,D$131:D$135)</f>
        <v>0.3</v>
      </c>
      <c r="E123" s="92">
        <f t="shared" si="24"/>
        <v>0.05</v>
      </c>
      <c r="F123" s="92">
        <f t="shared" si="24"/>
        <v>0.01</v>
      </c>
      <c r="G123" s="93">
        <f t="shared" si="24"/>
        <v>0.01</v>
      </c>
      <c r="H123" s="91">
        <f t="shared" si="24"/>
        <v>0.01</v>
      </c>
      <c r="I123" s="93">
        <f t="shared" si="24"/>
        <v>0.01</v>
      </c>
      <c r="J123" s="98">
        <f t="shared" si="24"/>
        <v>0.01</v>
      </c>
      <c r="K123" s="91">
        <f t="shared" si="24"/>
        <v>0.3</v>
      </c>
      <c r="L123" s="92">
        <f t="shared" si="24"/>
        <v>0.3</v>
      </c>
      <c r="M123" s="93">
        <f t="shared" si="24"/>
        <v>0.01</v>
      </c>
      <c r="N123" s="89" t="s">
        <v>86</v>
      </c>
    </row>
    <row r="124" spans="1:19" outlineLevel="1" x14ac:dyDescent="0.2">
      <c r="A124" s="20">
        <f t="shared" si="23"/>
        <v>3606</v>
      </c>
      <c r="B124" s="19" t="str">
        <f t="shared" si="23"/>
        <v>SHSU</v>
      </c>
      <c r="C124" s="90">
        <f t="shared" si="18"/>
        <v>0.97</v>
      </c>
      <c r="D124" s="91">
        <f t="shared" si="24"/>
        <v>0.3</v>
      </c>
      <c r="E124" s="92">
        <f t="shared" si="24"/>
        <v>0.05</v>
      </c>
      <c r="F124" s="92">
        <f t="shared" si="24"/>
        <v>0.01</v>
      </c>
      <c r="G124" s="93">
        <f t="shared" si="24"/>
        <v>0.01</v>
      </c>
      <c r="H124" s="91">
        <f t="shared" si="24"/>
        <v>0.01</v>
      </c>
      <c r="I124" s="93">
        <f t="shared" si="24"/>
        <v>0.01</v>
      </c>
      <c r="J124" s="98">
        <f t="shared" si="24"/>
        <v>0.01</v>
      </c>
      <c r="K124" s="91">
        <f t="shared" si="24"/>
        <v>0.3</v>
      </c>
      <c r="L124" s="92">
        <f t="shared" si="24"/>
        <v>0.3</v>
      </c>
      <c r="M124" s="93">
        <f t="shared" si="24"/>
        <v>0.01</v>
      </c>
      <c r="N124" s="89" t="s">
        <v>84</v>
      </c>
    </row>
    <row r="125" spans="1:19" outlineLevel="1" x14ac:dyDescent="0.2">
      <c r="A125" s="20">
        <f t="shared" si="23"/>
        <v>3615</v>
      </c>
      <c r="B125" s="19" t="str">
        <f t="shared" si="23"/>
        <v>TXST</v>
      </c>
      <c r="C125" s="90">
        <f t="shared" si="18"/>
        <v>0.97</v>
      </c>
      <c r="D125" s="91">
        <f t="shared" si="24"/>
        <v>0.3</v>
      </c>
      <c r="E125" s="92">
        <f t="shared" si="24"/>
        <v>0.3</v>
      </c>
      <c r="F125" s="92">
        <f t="shared" si="24"/>
        <v>0.01</v>
      </c>
      <c r="G125" s="93">
        <f t="shared" si="24"/>
        <v>0.01</v>
      </c>
      <c r="H125" s="91">
        <f t="shared" si="24"/>
        <v>0.01</v>
      </c>
      <c r="I125" s="93">
        <f t="shared" si="24"/>
        <v>0.01</v>
      </c>
      <c r="J125" s="98">
        <f t="shared" si="24"/>
        <v>0.01</v>
      </c>
      <c r="K125" s="91">
        <f t="shared" si="24"/>
        <v>0.3</v>
      </c>
      <c r="L125" s="92">
        <f t="shared" si="24"/>
        <v>0.05</v>
      </c>
      <c r="M125" s="93">
        <f t="shared" si="24"/>
        <v>0.01</v>
      </c>
      <c r="N125" s="89" t="s">
        <v>83</v>
      </c>
    </row>
    <row r="126" spans="1:19" outlineLevel="1" x14ac:dyDescent="0.2">
      <c r="A126" s="20">
        <f t="shared" si="23"/>
        <v>3625</v>
      </c>
      <c r="B126" s="19" t="str">
        <f t="shared" si="23"/>
        <v>SRSU</v>
      </c>
      <c r="C126" s="90">
        <f t="shared" si="18"/>
        <v>0.92999999999999994</v>
      </c>
      <c r="D126" s="91">
        <f t="shared" si="24"/>
        <v>0.3</v>
      </c>
      <c r="E126" s="92">
        <f t="shared" si="24"/>
        <v>0.3</v>
      </c>
      <c r="F126" s="92">
        <f t="shared" si="24"/>
        <v>0.01</v>
      </c>
      <c r="G126" s="93">
        <f t="shared" si="24"/>
        <v>0.01</v>
      </c>
      <c r="H126" s="91">
        <f t="shared" si="24"/>
        <v>0.01</v>
      </c>
      <c r="I126" s="93">
        <f t="shared" si="24"/>
        <v>0.01</v>
      </c>
      <c r="J126" s="98">
        <f t="shared" si="24"/>
        <v>0.05</v>
      </c>
      <c r="K126" s="91">
        <f t="shared" si="24"/>
        <v>0.3</v>
      </c>
      <c r="L126" s="92">
        <f t="shared" si="24"/>
        <v>0.01</v>
      </c>
      <c r="M126" s="93">
        <f t="shared" si="24"/>
        <v>0.01</v>
      </c>
      <c r="N126" s="89" t="s">
        <v>85</v>
      </c>
    </row>
    <row r="127" spans="1:19" outlineLevel="1" x14ac:dyDescent="0.2">
      <c r="A127" s="20">
        <f t="shared" si="23"/>
        <v>20</v>
      </c>
      <c r="B127" s="19" t="str">
        <f t="shared" si="23"/>
        <v>SRRG</v>
      </c>
      <c r="C127" s="90">
        <f t="shared" si="18"/>
        <v>0.92999999999999994</v>
      </c>
      <c r="D127" s="91">
        <f t="shared" si="24"/>
        <v>0.3</v>
      </c>
      <c r="E127" s="92">
        <f t="shared" si="24"/>
        <v>0.3</v>
      </c>
      <c r="F127" s="92">
        <f t="shared" si="24"/>
        <v>0.01</v>
      </c>
      <c r="G127" s="93">
        <f t="shared" si="24"/>
        <v>0.01</v>
      </c>
      <c r="H127" s="91">
        <f t="shared" si="24"/>
        <v>0.01</v>
      </c>
      <c r="I127" s="93">
        <f t="shared" si="24"/>
        <v>0.01</v>
      </c>
      <c r="J127" s="98">
        <f t="shared" si="24"/>
        <v>0.05</v>
      </c>
      <c r="K127" s="91">
        <f t="shared" si="24"/>
        <v>0.3</v>
      </c>
      <c r="L127" s="92">
        <f t="shared" si="24"/>
        <v>0.01</v>
      </c>
      <c r="M127" s="93">
        <f t="shared" si="24"/>
        <v>0.01</v>
      </c>
      <c r="N127" s="89" t="s">
        <v>85</v>
      </c>
    </row>
    <row r="128" spans="1:19" ht="13.5" thickBot="1" x14ac:dyDescent="0.25">
      <c r="A128" s="121" t="s">
        <v>89</v>
      </c>
      <c r="B128" s="72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20"/>
    </row>
    <row r="129" spans="1:14" ht="12.75" customHeight="1" x14ac:dyDescent="0.2">
      <c r="A129" s="118"/>
      <c r="B129" s="72"/>
      <c r="C129" s="277" t="s">
        <v>77</v>
      </c>
      <c r="D129" s="279" t="s">
        <v>35</v>
      </c>
      <c r="E129" s="280"/>
      <c r="F129" s="280"/>
      <c r="G129" s="281"/>
      <c r="H129" s="282" t="s">
        <v>18</v>
      </c>
      <c r="I129" s="291" t="s">
        <v>17</v>
      </c>
      <c r="J129" s="293" t="s">
        <v>16</v>
      </c>
      <c r="K129" s="295" t="s">
        <v>34</v>
      </c>
      <c r="L129" s="296"/>
      <c r="M129" s="296"/>
      <c r="N129" s="308" t="s">
        <v>99</v>
      </c>
    </row>
    <row r="130" spans="1:14" ht="51.75" thickBot="1" x14ac:dyDescent="0.25">
      <c r="A130" s="118"/>
      <c r="B130" s="72"/>
      <c r="C130" s="278"/>
      <c r="D130" s="68"/>
      <c r="E130" s="67" t="s">
        <v>33</v>
      </c>
      <c r="F130" s="67" t="s">
        <v>32</v>
      </c>
      <c r="G130" s="247" t="s">
        <v>31</v>
      </c>
      <c r="H130" s="283"/>
      <c r="I130" s="292"/>
      <c r="J130" s="294"/>
      <c r="K130" s="44" t="s">
        <v>14</v>
      </c>
      <c r="L130" s="43" t="s">
        <v>13</v>
      </c>
      <c r="M130" s="42" t="s">
        <v>12</v>
      </c>
      <c r="N130" s="309"/>
    </row>
    <row r="131" spans="1:14" x14ac:dyDescent="0.2">
      <c r="A131" s="118"/>
      <c r="B131" s="72"/>
      <c r="C131" s="122">
        <f>SUM(D131:M131)-I131</f>
        <v>1</v>
      </c>
      <c r="D131" s="158">
        <f>HLOOKUP(D143,$D$149:$L$150,2,0)</f>
        <v>0.3</v>
      </c>
      <c r="E131" s="159">
        <f t="shared" ref="E131:M131" si="25">HLOOKUP(E143,$D$149:$L$150,2,0)</f>
        <v>0.3</v>
      </c>
      <c r="F131" s="159">
        <f t="shared" si="25"/>
        <v>0.01</v>
      </c>
      <c r="G131" s="160">
        <f t="shared" si="25"/>
        <v>0.01</v>
      </c>
      <c r="H131" s="158">
        <f t="shared" si="25"/>
        <v>0.01</v>
      </c>
      <c r="I131" s="160">
        <f>H131</f>
        <v>0.01</v>
      </c>
      <c r="J131" s="161">
        <f t="shared" si="25"/>
        <v>0.01</v>
      </c>
      <c r="K131" s="158">
        <f t="shared" si="25"/>
        <v>0.3</v>
      </c>
      <c r="L131" s="159">
        <f t="shared" si="25"/>
        <v>0.01</v>
      </c>
      <c r="M131" s="160">
        <f t="shared" si="25"/>
        <v>0.05</v>
      </c>
      <c r="N131" s="88" t="s">
        <v>82</v>
      </c>
    </row>
    <row r="132" spans="1:14" x14ac:dyDescent="0.2">
      <c r="A132" s="118"/>
      <c r="B132" s="72"/>
      <c r="C132" s="122">
        <f t="shared" ref="C132:C135" si="26">SUM(D132:M132)-I132</f>
        <v>1</v>
      </c>
      <c r="D132" s="161">
        <f t="shared" ref="D132:M135" si="27">HLOOKUP(D144,$D$149:$L$150,2,0)</f>
        <v>0.3</v>
      </c>
      <c r="E132" s="162">
        <f t="shared" si="27"/>
        <v>0.3</v>
      </c>
      <c r="F132" s="162">
        <f t="shared" si="27"/>
        <v>0.01</v>
      </c>
      <c r="G132" s="163">
        <f t="shared" si="27"/>
        <v>0.01</v>
      </c>
      <c r="H132" s="161">
        <f t="shared" si="27"/>
        <v>0.01</v>
      </c>
      <c r="I132" s="163">
        <f t="shared" ref="I132:I135" si="28">H132</f>
        <v>0.01</v>
      </c>
      <c r="J132" s="161">
        <f t="shared" si="27"/>
        <v>0.01</v>
      </c>
      <c r="K132" s="161">
        <f t="shared" si="27"/>
        <v>0.3</v>
      </c>
      <c r="L132" s="162">
        <f t="shared" si="27"/>
        <v>0.05</v>
      </c>
      <c r="M132" s="163">
        <f t="shared" si="27"/>
        <v>0.01</v>
      </c>
      <c r="N132" s="89" t="s">
        <v>83</v>
      </c>
    </row>
    <row r="133" spans="1:14" x14ac:dyDescent="0.2">
      <c r="A133" s="118"/>
      <c r="B133" s="72"/>
      <c r="C133" s="122">
        <f t="shared" si="26"/>
        <v>1</v>
      </c>
      <c r="D133" s="161">
        <f t="shared" si="27"/>
        <v>0.3</v>
      </c>
      <c r="E133" s="162">
        <f t="shared" si="27"/>
        <v>0.05</v>
      </c>
      <c r="F133" s="162">
        <f t="shared" si="27"/>
        <v>0.01</v>
      </c>
      <c r="G133" s="163">
        <f t="shared" si="27"/>
        <v>0.01</v>
      </c>
      <c r="H133" s="161">
        <f t="shared" si="27"/>
        <v>0.01</v>
      </c>
      <c r="I133" s="163">
        <f t="shared" si="28"/>
        <v>0.01</v>
      </c>
      <c r="J133" s="161">
        <f t="shared" si="27"/>
        <v>0.01</v>
      </c>
      <c r="K133" s="161">
        <f t="shared" si="27"/>
        <v>0.3</v>
      </c>
      <c r="L133" s="162">
        <f t="shared" si="27"/>
        <v>0.3</v>
      </c>
      <c r="M133" s="163">
        <f t="shared" si="27"/>
        <v>0.01</v>
      </c>
      <c r="N133" s="89" t="s">
        <v>84</v>
      </c>
    </row>
    <row r="134" spans="1:14" x14ac:dyDescent="0.2">
      <c r="A134" s="118"/>
      <c r="B134" s="72"/>
      <c r="C134" s="122">
        <f t="shared" si="26"/>
        <v>1</v>
      </c>
      <c r="D134" s="161">
        <f t="shared" si="27"/>
        <v>0.3</v>
      </c>
      <c r="E134" s="162">
        <f t="shared" si="27"/>
        <v>0.05</v>
      </c>
      <c r="F134" s="162">
        <f t="shared" si="27"/>
        <v>0.01</v>
      </c>
      <c r="G134" s="163">
        <f t="shared" si="27"/>
        <v>0.01</v>
      </c>
      <c r="H134" s="161">
        <f t="shared" si="27"/>
        <v>0.01</v>
      </c>
      <c r="I134" s="163">
        <f t="shared" si="28"/>
        <v>0.01</v>
      </c>
      <c r="J134" s="161">
        <f t="shared" si="27"/>
        <v>0.01</v>
      </c>
      <c r="K134" s="161">
        <f t="shared" si="27"/>
        <v>0.3</v>
      </c>
      <c r="L134" s="162">
        <f t="shared" si="27"/>
        <v>0.3</v>
      </c>
      <c r="M134" s="163">
        <f t="shared" si="27"/>
        <v>0.01</v>
      </c>
      <c r="N134" s="89" t="s">
        <v>86</v>
      </c>
    </row>
    <row r="135" spans="1:14" x14ac:dyDescent="0.2">
      <c r="A135" s="118"/>
      <c r="B135" s="72"/>
      <c r="C135" s="122">
        <f t="shared" si="26"/>
        <v>1</v>
      </c>
      <c r="D135" s="161">
        <f t="shared" si="27"/>
        <v>0.3</v>
      </c>
      <c r="E135" s="162">
        <f t="shared" si="27"/>
        <v>0.3</v>
      </c>
      <c r="F135" s="162">
        <f t="shared" si="27"/>
        <v>0.01</v>
      </c>
      <c r="G135" s="163">
        <f t="shared" si="27"/>
        <v>0.01</v>
      </c>
      <c r="H135" s="161">
        <f t="shared" si="27"/>
        <v>0.01</v>
      </c>
      <c r="I135" s="163">
        <f t="shared" si="28"/>
        <v>0.01</v>
      </c>
      <c r="J135" s="161">
        <f t="shared" si="27"/>
        <v>0.05</v>
      </c>
      <c r="K135" s="161">
        <f t="shared" si="27"/>
        <v>0.3</v>
      </c>
      <c r="L135" s="162">
        <f t="shared" si="27"/>
        <v>0.01</v>
      </c>
      <c r="M135" s="163">
        <f t="shared" si="27"/>
        <v>0.01</v>
      </c>
      <c r="N135" s="89" t="s">
        <v>85</v>
      </c>
    </row>
    <row r="136" spans="1:14" ht="13.5" thickBot="1" x14ac:dyDescent="0.25">
      <c r="A136" s="121" t="s">
        <v>112</v>
      </c>
      <c r="B136" s="72"/>
      <c r="C136" s="156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20"/>
    </row>
    <row r="137" spans="1:14" x14ac:dyDescent="0.2">
      <c r="A137" s="118"/>
      <c r="B137" s="72"/>
      <c r="C137" s="156"/>
      <c r="D137" s="164">
        <f t="shared" ref="D137:G141" si="29">SUMIF($N$156:$N$193,$N137,D$156:D$193)/COUNTIF($N$156:$N$193,$N137)</f>
        <v>88430</v>
      </c>
      <c r="E137" s="165">
        <f t="shared" si="29"/>
        <v>44290.970333333331</v>
      </c>
      <c r="F137" s="165">
        <f t="shared" si="29"/>
        <v>1293.489465799184</v>
      </c>
      <c r="G137" s="166">
        <f t="shared" si="29"/>
        <v>19751.58333333366</v>
      </c>
      <c r="H137" s="164">
        <f>(SUMIF($N$156:$N$193,$N137,H$156:H$193)+SUMIF($N$156:$N$193,$N137,I$156:I$193))/COUNTIF($N$156:$N$193,$N137)</f>
        <v>21804.733727422532</v>
      </c>
      <c r="I137" s="166"/>
      <c r="J137" s="167">
        <f t="shared" ref="J137:M141" si="30">SUMIF($N$156:$N$193,$N137,J$156:J$193)/COUNTIF($N$156:$N$193,$N137)</f>
        <v>11394.147724891915</v>
      </c>
      <c r="K137" s="164">
        <f t="shared" si="30"/>
        <v>39318</v>
      </c>
      <c r="L137" s="165">
        <f t="shared" si="30"/>
        <v>26869.5</v>
      </c>
      <c r="M137" s="166">
        <f t="shared" si="30"/>
        <v>27876</v>
      </c>
      <c r="N137" s="88" t="s">
        <v>82</v>
      </c>
    </row>
    <row r="138" spans="1:14" x14ac:dyDescent="0.2">
      <c r="A138" s="118"/>
      <c r="B138" s="72"/>
      <c r="C138" s="156"/>
      <c r="D138" s="168">
        <f t="shared" si="29"/>
        <v>44672.500000000007</v>
      </c>
      <c r="E138" s="169">
        <f t="shared" si="29"/>
        <v>15172.277416666668</v>
      </c>
      <c r="F138" s="169">
        <f t="shared" si="29"/>
        <v>1195.785039518805</v>
      </c>
      <c r="G138" s="170">
        <f t="shared" si="29"/>
        <v>9098.6587499996713</v>
      </c>
      <c r="H138" s="168">
        <f>(SUMIF($N$156:$N$193,$N138,H$156:H$193)+SUMIF($N$156:$N$193,$N138,I$156:I$193))/COUNTIF($N$156:$N$193,$N138)</f>
        <v>8147.3708174567537</v>
      </c>
      <c r="I138" s="170"/>
      <c r="J138" s="168">
        <f t="shared" si="30"/>
        <v>9371.9412262495352</v>
      </c>
      <c r="K138" s="168">
        <f t="shared" si="30"/>
        <v>25373.166666666668</v>
      </c>
      <c r="L138" s="169">
        <f t="shared" si="30"/>
        <v>13490.5</v>
      </c>
      <c r="M138" s="170">
        <f t="shared" si="30"/>
        <v>10642</v>
      </c>
      <c r="N138" s="89" t="s">
        <v>83</v>
      </c>
    </row>
    <row r="139" spans="1:14" x14ac:dyDescent="0.2">
      <c r="A139" s="118"/>
      <c r="B139" s="72"/>
      <c r="C139" s="156"/>
      <c r="D139" s="168">
        <f t="shared" si="29"/>
        <v>16709.047619047615</v>
      </c>
      <c r="E139" s="169">
        <f t="shared" si="29"/>
        <v>4771.420761904762</v>
      </c>
      <c r="F139" s="169">
        <f t="shared" si="29"/>
        <v>1092.1348477697968</v>
      </c>
      <c r="G139" s="170">
        <f t="shared" si="29"/>
        <v>3283.0790476190878</v>
      </c>
      <c r="H139" s="168">
        <f>(SUMIF($N$156:$N$193,$N139,H$156:H$193)+SUMIF($N$156:$N$193,$N139,I$156:I$193))/COUNTIF($N$156:$N$193,$N139)</f>
        <v>3627.1664248157199</v>
      </c>
      <c r="I139" s="170"/>
      <c r="J139" s="168">
        <f t="shared" si="30"/>
        <v>4168.927250525051</v>
      </c>
      <c r="K139" s="168">
        <f t="shared" si="30"/>
        <v>9701.3333333333339</v>
      </c>
      <c r="L139" s="169">
        <f t="shared" si="30"/>
        <v>5122.1428571428569</v>
      </c>
      <c r="M139" s="170">
        <f t="shared" si="30"/>
        <v>4057.333333333333</v>
      </c>
      <c r="N139" s="89" t="s">
        <v>84</v>
      </c>
    </row>
    <row r="140" spans="1:14" x14ac:dyDescent="0.2">
      <c r="A140" s="118"/>
      <c r="B140" s="72"/>
      <c r="C140" s="156"/>
      <c r="D140" s="168">
        <f t="shared" si="29"/>
        <v>12973.333333333334</v>
      </c>
      <c r="E140" s="169">
        <f t="shared" si="29"/>
        <v>3583.864333333333</v>
      </c>
      <c r="F140" s="169">
        <f t="shared" si="29"/>
        <v>1012.5817121197683</v>
      </c>
      <c r="G140" s="170">
        <f t="shared" si="29"/>
        <v>2594.0255555555682</v>
      </c>
      <c r="H140" s="168">
        <f>(SUMIF($N$156:$N$193,$N140,H$156:H$193)+SUMIF($N$156:$N$193,$N140,I$156:I$193))/COUNTIF($N$156:$N$193,$N140)</f>
        <v>3046.6680325596476</v>
      </c>
      <c r="I140" s="170"/>
      <c r="J140" s="168">
        <f t="shared" si="30"/>
        <v>3172.1093281579892</v>
      </c>
      <c r="K140" s="168">
        <f t="shared" si="30"/>
        <v>7956.4444444444443</v>
      </c>
      <c r="L140" s="169">
        <f t="shared" si="30"/>
        <v>4151</v>
      </c>
      <c r="M140" s="170">
        <f t="shared" si="30"/>
        <v>3540.8888888888887</v>
      </c>
      <c r="N140" s="89" t="s">
        <v>86</v>
      </c>
    </row>
    <row r="141" spans="1:14" x14ac:dyDescent="0.2">
      <c r="A141" s="118"/>
      <c r="B141" s="72"/>
      <c r="C141" s="156"/>
      <c r="D141" s="168">
        <f t="shared" si="29"/>
        <v>7607.6666666666679</v>
      </c>
      <c r="E141" s="169">
        <f t="shared" si="29"/>
        <v>1955.1696001281955</v>
      </c>
      <c r="F141" s="169">
        <f t="shared" si="29"/>
        <v>1666.6539136354559</v>
      </c>
      <c r="G141" s="170">
        <f t="shared" si="29"/>
        <v>1441.5331111111186</v>
      </c>
      <c r="H141" s="168">
        <f>(SUMIF($N$156:$N$193,$N141,H$156:H$193)+SUMIF($N$156:$N$193,$N141,I$156:I$193))/COUNTIF($N$156:$N$193,$N141)</f>
        <v>1333.5021890954306</v>
      </c>
      <c r="I141" s="170"/>
      <c r="J141" s="168">
        <f t="shared" si="30"/>
        <v>1765.4778678396676</v>
      </c>
      <c r="K141" s="168">
        <f t="shared" si="30"/>
        <v>3972.0888888888885</v>
      </c>
      <c r="L141" s="169">
        <f t="shared" si="30"/>
        <v>1640.6333333333334</v>
      </c>
      <c r="M141" s="170">
        <f t="shared" si="30"/>
        <v>844.8888888888888</v>
      </c>
      <c r="N141" s="89" t="s">
        <v>85</v>
      </c>
    </row>
    <row r="142" spans="1:14" ht="13.5" thickBot="1" x14ac:dyDescent="0.25">
      <c r="A142" s="121" t="s">
        <v>113</v>
      </c>
      <c r="B142" s="72"/>
      <c r="C142" s="156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20"/>
    </row>
    <row r="143" spans="1:14" x14ac:dyDescent="0.2">
      <c r="A143" s="118"/>
      <c r="B143" s="72"/>
      <c r="C143" s="156"/>
      <c r="D143" s="164">
        <f>RANK(D137,$D137:$M137)</f>
        <v>1</v>
      </c>
      <c r="E143" s="165">
        <f t="shared" ref="E143:M143" si="31">RANK(E137,$D137:$M137)</f>
        <v>2</v>
      </c>
      <c r="F143" s="165">
        <f t="shared" si="31"/>
        <v>9</v>
      </c>
      <c r="G143" s="166">
        <f t="shared" si="31"/>
        <v>7</v>
      </c>
      <c r="H143" s="164">
        <f t="shared" si="31"/>
        <v>6</v>
      </c>
      <c r="I143" s="166"/>
      <c r="J143" s="167">
        <f t="shared" si="31"/>
        <v>8</v>
      </c>
      <c r="K143" s="164">
        <f t="shared" si="31"/>
        <v>3</v>
      </c>
      <c r="L143" s="165">
        <f t="shared" si="31"/>
        <v>5</v>
      </c>
      <c r="M143" s="166">
        <f t="shared" si="31"/>
        <v>4</v>
      </c>
      <c r="N143" s="120"/>
    </row>
    <row r="144" spans="1:14" x14ac:dyDescent="0.2">
      <c r="A144" s="118"/>
      <c r="B144" s="72"/>
      <c r="C144" s="156"/>
      <c r="D144" s="168">
        <f t="shared" ref="D144:M147" si="32">RANK(D138,$D138:$M138)</f>
        <v>1</v>
      </c>
      <c r="E144" s="169">
        <f t="shared" si="32"/>
        <v>3</v>
      </c>
      <c r="F144" s="169">
        <f t="shared" si="32"/>
        <v>9</v>
      </c>
      <c r="G144" s="170">
        <f t="shared" si="32"/>
        <v>7</v>
      </c>
      <c r="H144" s="168">
        <f t="shared" si="32"/>
        <v>8</v>
      </c>
      <c r="I144" s="170"/>
      <c r="J144" s="168">
        <f t="shared" si="32"/>
        <v>6</v>
      </c>
      <c r="K144" s="168">
        <f t="shared" si="32"/>
        <v>2</v>
      </c>
      <c r="L144" s="169">
        <f t="shared" si="32"/>
        <v>4</v>
      </c>
      <c r="M144" s="170">
        <f t="shared" si="32"/>
        <v>5</v>
      </c>
      <c r="N144" s="120"/>
    </row>
    <row r="145" spans="1:14" x14ac:dyDescent="0.2">
      <c r="A145" s="118"/>
      <c r="B145" s="72"/>
      <c r="C145" s="156"/>
      <c r="D145" s="168">
        <f t="shared" si="32"/>
        <v>1</v>
      </c>
      <c r="E145" s="169">
        <f t="shared" si="32"/>
        <v>4</v>
      </c>
      <c r="F145" s="169">
        <f t="shared" si="32"/>
        <v>9</v>
      </c>
      <c r="G145" s="170">
        <f t="shared" si="32"/>
        <v>8</v>
      </c>
      <c r="H145" s="168">
        <f t="shared" si="32"/>
        <v>7</v>
      </c>
      <c r="I145" s="170"/>
      <c r="J145" s="168">
        <f t="shared" si="32"/>
        <v>5</v>
      </c>
      <c r="K145" s="168">
        <f t="shared" si="32"/>
        <v>2</v>
      </c>
      <c r="L145" s="169">
        <f t="shared" si="32"/>
        <v>3</v>
      </c>
      <c r="M145" s="170">
        <f t="shared" si="32"/>
        <v>6</v>
      </c>
      <c r="N145" s="120"/>
    </row>
    <row r="146" spans="1:14" x14ac:dyDescent="0.2">
      <c r="A146" s="118"/>
      <c r="B146" s="72"/>
      <c r="C146" s="156"/>
      <c r="D146" s="168">
        <f t="shared" si="32"/>
        <v>1</v>
      </c>
      <c r="E146" s="169">
        <f t="shared" si="32"/>
        <v>4</v>
      </c>
      <c r="F146" s="169">
        <f t="shared" si="32"/>
        <v>9</v>
      </c>
      <c r="G146" s="170">
        <f t="shared" si="32"/>
        <v>8</v>
      </c>
      <c r="H146" s="168">
        <f t="shared" si="32"/>
        <v>7</v>
      </c>
      <c r="I146" s="170"/>
      <c r="J146" s="168">
        <f t="shared" si="32"/>
        <v>6</v>
      </c>
      <c r="K146" s="168">
        <f t="shared" si="32"/>
        <v>2</v>
      </c>
      <c r="L146" s="169">
        <f t="shared" si="32"/>
        <v>3</v>
      </c>
      <c r="M146" s="170">
        <f t="shared" si="32"/>
        <v>5</v>
      </c>
      <c r="N146" s="120"/>
    </row>
    <row r="147" spans="1:14" x14ac:dyDescent="0.2">
      <c r="A147" s="118"/>
      <c r="B147" s="72"/>
      <c r="C147" s="156"/>
      <c r="D147" s="168">
        <f t="shared" si="32"/>
        <v>1</v>
      </c>
      <c r="E147" s="169">
        <f t="shared" si="32"/>
        <v>3</v>
      </c>
      <c r="F147" s="169">
        <f t="shared" si="32"/>
        <v>5</v>
      </c>
      <c r="G147" s="170">
        <f t="shared" si="32"/>
        <v>7</v>
      </c>
      <c r="H147" s="168">
        <f t="shared" si="32"/>
        <v>8</v>
      </c>
      <c r="I147" s="170"/>
      <c r="J147" s="168">
        <f t="shared" si="32"/>
        <v>4</v>
      </c>
      <c r="K147" s="168">
        <f t="shared" si="32"/>
        <v>2</v>
      </c>
      <c r="L147" s="169">
        <f t="shared" si="32"/>
        <v>6</v>
      </c>
      <c r="M147" s="170">
        <f t="shared" si="32"/>
        <v>9</v>
      </c>
      <c r="N147" s="120"/>
    </row>
    <row r="148" spans="1:14" ht="13.5" thickBot="1" x14ac:dyDescent="0.25">
      <c r="A148" s="121" t="s">
        <v>114</v>
      </c>
      <c r="B148" s="72"/>
      <c r="C148" s="156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20"/>
    </row>
    <row r="149" spans="1:14" x14ac:dyDescent="0.2">
      <c r="A149" s="118"/>
      <c r="B149" s="72"/>
      <c r="D149" s="182">
        <v>1</v>
      </c>
      <c r="E149" s="183">
        <v>2</v>
      </c>
      <c r="F149" s="183">
        <v>3</v>
      </c>
      <c r="G149" s="183">
        <v>4</v>
      </c>
      <c r="H149" s="183">
        <v>5</v>
      </c>
      <c r="I149" s="183">
        <v>6</v>
      </c>
      <c r="J149" s="183">
        <v>7</v>
      </c>
      <c r="K149" s="183">
        <v>8</v>
      </c>
      <c r="L149" s="183">
        <v>9</v>
      </c>
      <c r="M149" s="184" t="s">
        <v>11</v>
      </c>
    </row>
    <row r="150" spans="1:14" ht="13.5" thickBot="1" x14ac:dyDescent="0.25">
      <c r="A150" s="118"/>
      <c r="B150" s="72"/>
      <c r="D150" s="181">
        <v>0.3</v>
      </c>
      <c r="E150" s="180">
        <v>0.3</v>
      </c>
      <c r="F150" s="180">
        <v>0.3</v>
      </c>
      <c r="G150" s="180">
        <v>0.05</v>
      </c>
      <c r="H150" s="180">
        <v>0.01</v>
      </c>
      <c r="I150" s="180">
        <v>0.01</v>
      </c>
      <c r="J150" s="180">
        <v>0.01</v>
      </c>
      <c r="K150" s="180">
        <v>0.01</v>
      </c>
      <c r="L150" s="180">
        <v>0.01</v>
      </c>
      <c r="M150" s="179">
        <f>SUM(D150:L150)</f>
        <v>1</v>
      </c>
    </row>
    <row r="151" spans="1:14" x14ac:dyDescent="0.2">
      <c r="A151" s="118"/>
      <c r="B151" s="72"/>
      <c r="C151" s="156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20"/>
    </row>
    <row r="152" spans="1:14" ht="13.5" thickBot="1" x14ac:dyDescent="0.25">
      <c r="A152" s="69" t="s">
        <v>75</v>
      </c>
      <c r="D152" s="256">
        <v>2.0454181994287173</v>
      </c>
      <c r="E152" s="256">
        <v>3.5173320026124633</v>
      </c>
      <c r="F152" s="256">
        <v>169.49996823461632</v>
      </c>
      <c r="G152" s="256">
        <v>1</v>
      </c>
      <c r="H152" s="256">
        <v>11.382321416785731</v>
      </c>
      <c r="I152" s="256">
        <v>11.382321416785731</v>
      </c>
      <c r="J152" s="256">
        <v>3.1675340012672701</v>
      </c>
      <c r="K152" s="256">
        <v>1.5100001167412704</v>
      </c>
      <c r="L152" s="256">
        <v>2.0943856602444417</v>
      </c>
      <c r="M152" s="256">
        <v>3.3947706783197211</v>
      </c>
    </row>
    <row r="153" spans="1:14" ht="12.75" customHeight="1" outlineLevel="1" x14ac:dyDescent="0.2">
      <c r="A153" s="273" t="s">
        <v>24</v>
      </c>
      <c r="B153" s="275" t="s">
        <v>23</v>
      </c>
      <c r="C153" s="277" t="s">
        <v>36</v>
      </c>
      <c r="D153" s="279" t="s">
        <v>35</v>
      </c>
      <c r="E153" s="280"/>
      <c r="F153" s="280"/>
      <c r="G153" s="281"/>
      <c r="H153" s="282" t="s">
        <v>18</v>
      </c>
      <c r="I153" s="291" t="s">
        <v>17</v>
      </c>
      <c r="J153" s="293" t="s">
        <v>16</v>
      </c>
      <c r="K153" s="295" t="s">
        <v>34</v>
      </c>
      <c r="L153" s="296"/>
      <c r="M153" s="296"/>
      <c r="N153" s="330" t="s">
        <v>99</v>
      </c>
    </row>
    <row r="154" spans="1:14" ht="51.75" outlineLevel="1" thickBot="1" x14ac:dyDescent="0.25">
      <c r="A154" s="274"/>
      <c r="B154" s="276"/>
      <c r="C154" s="278"/>
      <c r="D154" s="68"/>
      <c r="E154" s="67" t="s">
        <v>33</v>
      </c>
      <c r="F154" s="67" t="s">
        <v>32</v>
      </c>
      <c r="G154" s="247" t="s">
        <v>31</v>
      </c>
      <c r="H154" s="283"/>
      <c r="I154" s="292"/>
      <c r="J154" s="294"/>
      <c r="K154" s="44" t="s">
        <v>14</v>
      </c>
      <c r="L154" s="43" t="s">
        <v>13</v>
      </c>
      <c r="M154" s="42" t="s">
        <v>12</v>
      </c>
      <c r="N154" s="331"/>
    </row>
    <row r="155" spans="1:14" outlineLevel="1" x14ac:dyDescent="0.2">
      <c r="A155" s="303" t="s">
        <v>79</v>
      </c>
      <c r="B155" s="304"/>
      <c r="C155" s="305"/>
      <c r="D155" s="220">
        <v>10</v>
      </c>
      <c r="E155" s="221">
        <v>6</v>
      </c>
      <c r="F155" s="221">
        <v>50</v>
      </c>
      <c r="G155" s="222">
        <v>1</v>
      </c>
      <c r="H155" s="227">
        <v>11.382321416785731</v>
      </c>
      <c r="I155" s="223">
        <v>11.382321416785731</v>
      </c>
      <c r="J155" s="224">
        <v>3.1675340012672701</v>
      </c>
      <c r="K155" s="220">
        <v>4</v>
      </c>
      <c r="L155" s="221">
        <v>3</v>
      </c>
      <c r="M155" s="225">
        <v>4</v>
      </c>
      <c r="N155" s="177"/>
    </row>
    <row r="156" spans="1:14" outlineLevel="1" x14ac:dyDescent="0.2">
      <c r="A156" s="20">
        <f t="shared" ref="A156:B171" si="33">A5</f>
        <v>3656</v>
      </c>
      <c r="B156" s="19" t="str">
        <f t="shared" si="33"/>
        <v>UTA</v>
      </c>
      <c r="C156" s="58">
        <f t="shared" ref="C156:C193" si="34">SUM(D156:M156)</f>
        <v>151364.26814100996</v>
      </c>
      <c r="D156" s="15">
        <f t="shared" ref="D156:F171" si="35">D198*D$155</f>
        <v>50180</v>
      </c>
      <c r="E156" s="14">
        <f>E198*E$155</f>
        <v>15605.980000000001</v>
      </c>
      <c r="F156" s="14">
        <f>F198*F$155</f>
        <v>1480.1894139024141</v>
      </c>
      <c r="G156" s="13">
        <f t="shared" ref="G156:M171" si="36">G198*G$155</f>
        <v>10418.553333333379</v>
      </c>
      <c r="H156" s="36">
        <f t="shared" si="36"/>
        <v>17430.128196237882</v>
      </c>
      <c r="I156" s="35">
        <f t="shared" si="36"/>
        <v>398.38124958750058</v>
      </c>
      <c r="J156" s="34">
        <f t="shared" si="36"/>
        <v>9870.0359479488143</v>
      </c>
      <c r="K156" s="36">
        <f t="shared" si="36"/>
        <v>27345.333333333332</v>
      </c>
      <c r="L156" s="59">
        <f t="shared" si="36"/>
        <v>11501</v>
      </c>
      <c r="M156" s="171">
        <f t="shared" si="36"/>
        <v>7134.666666666667</v>
      </c>
      <c r="N156" s="176" t="s">
        <v>83</v>
      </c>
    </row>
    <row r="157" spans="1:14" outlineLevel="1" x14ac:dyDescent="0.2">
      <c r="A157" s="20">
        <f t="shared" si="33"/>
        <v>3658</v>
      </c>
      <c r="B157" s="19" t="str">
        <f t="shared" si="33"/>
        <v>UT</v>
      </c>
      <c r="C157" s="58">
        <f t="shared" si="34"/>
        <v>281357.95773065812</v>
      </c>
      <c r="D157" s="15">
        <f t="shared" si="35"/>
        <v>89463.333333333343</v>
      </c>
      <c r="E157" s="14">
        <f t="shared" si="35"/>
        <v>44499.062000000005</v>
      </c>
      <c r="F157" s="14">
        <f t="shared" si="35"/>
        <v>1324.8846030562338</v>
      </c>
      <c r="G157" s="13">
        <f t="shared" si="36"/>
        <v>19398.350000000519</v>
      </c>
      <c r="H157" s="15">
        <f t="shared" si="36"/>
        <v>21357.029085028957</v>
      </c>
      <c r="I157" s="13">
        <f t="shared" si="36"/>
        <v>751.23321350785818</v>
      </c>
      <c r="J157" s="16">
        <f t="shared" si="36"/>
        <v>10992.398829064517</v>
      </c>
      <c r="K157" s="15">
        <f t="shared" si="36"/>
        <v>38393.333333333336</v>
      </c>
      <c r="L157" s="14">
        <f t="shared" si="36"/>
        <v>27017</v>
      </c>
      <c r="M157" s="172">
        <f t="shared" si="36"/>
        <v>28161.333333333332</v>
      </c>
      <c r="N157" s="174" t="s">
        <v>82</v>
      </c>
    </row>
    <row r="158" spans="1:14" outlineLevel="1" x14ac:dyDescent="0.2">
      <c r="A158" s="20">
        <f t="shared" si="33"/>
        <v>9741</v>
      </c>
      <c r="B158" s="19" t="str">
        <f t="shared" si="33"/>
        <v>UTD</v>
      </c>
      <c r="C158" s="58">
        <f t="shared" si="34"/>
        <v>73558.567545586178</v>
      </c>
      <c r="D158" s="15">
        <f t="shared" si="35"/>
        <v>23930</v>
      </c>
      <c r="E158" s="14">
        <f t="shared" si="35"/>
        <v>10093.673999999999</v>
      </c>
      <c r="F158" s="14">
        <f t="shared" si="35"/>
        <v>1341.4880258319133</v>
      </c>
      <c r="G158" s="13">
        <f t="shared" si="36"/>
        <v>5101.2033333334393</v>
      </c>
      <c r="H158" s="15">
        <f t="shared" si="36"/>
        <v>4799.54553074465</v>
      </c>
      <c r="I158" s="13">
        <f t="shared" si="36"/>
        <v>364.23428533714338</v>
      </c>
      <c r="J158" s="16">
        <f t="shared" si="36"/>
        <v>4180.0890370057077</v>
      </c>
      <c r="K158" s="15">
        <f t="shared" si="36"/>
        <v>13260</v>
      </c>
      <c r="L158" s="14">
        <f t="shared" si="36"/>
        <v>6403</v>
      </c>
      <c r="M158" s="172">
        <f t="shared" si="36"/>
        <v>4085.3333333333335</v>
      </c>
      <c r="N158" s="174" t="s">
        <v>83</v>
      </c>
    </row>
    <row r="159" spans="1:14" outlineLevel="1" x14ac:dyDescent="0.2">
      <c r="A159" s="20">
        <f t="shared" si="33"/>
        <v>3661</v>
      </c>
      <c r="B159" s="19" t="str">
        <f t="shared" si="33"/>
        <v>UTEP</v>
      </c>
      <c r="C159" s="58">
        <f t="shared" si="34"/>
        <v>96799.35713942966</v>
      </c>
      <c r="D159" s="15">
        <f t="shared" si="35"/>
        <v>30570</v>
      </c>
      <c r="E159" s="14">
        <f t="shared" si="35"/>
        <v>7153.3799999999992</v>
      </c>
      <c r="F159" s="14">
        <f t="shared" si="35"/>
        <v>1143.5447268011671</v>
      </c>
      <c r="G159" s="13">
        <f t="shared" si="36"/>
        <v>6298.0766666668133</v>
      </c>
      <c r="H159" s="15">
        <f t="shared" si="36"/>
        <v>7455.4205279946536</v>
      </c>
      <c r="I159" s="13">
        <f t="shared" si="36"/>
        <v>1024.4089275107158</v>
      </c>
      <c r="J159" s="16">
        <f t="shared" si="36"/>
        <v>7805.8596237896436</v>
      </c>
      <c r="K159" s="15">
        <f t="shared" si="36"/>
        <v>17450.666666666668</v>
      </c>
      <c r="L159" s="14">
        <f t="shared" si="36"/>
        <v>10074</v>
      </c>
      <c r="M159" s="172">
        <f t="shared" si="36"/>
        <v>7824</v>
      </c>
      <c r="N159" s="174" t="s">
        <v>83</v>
      </c>
    </row>
    <row r="160" spans="1:14" outlineLevel="1" x14ac:dyDescent="0.2">
      <c r="A160" s="20">
        <f t="shared" si="33"/>
        <v>3599</v>
      </c>
      <c r="B160" s="19" t="str">
        <f t="shared" si="33"/>
        <v>UTPA</v>
      </c>
      <c r="C160" s="58">
        <f t="shared" si="34"/>
        <v>85625.394441475815</v>
      </c>
      <c r="D160" s="15">
        <f t="shared" si="35"/>
        <v>25800</v>
      </c>
      <c r="E160" s="14">
        <f t="shared" si="35"/>
        <v>6671.88</v>
      </c>
      <c r="F160" s="14">
        <f t="shared" si="35"/>
        <v>1024.6245249748918</v>
      </c>
      <c r="G160" s="13">
        <f t="shared" si="36"/>
        <v>5134.1666666667797</v>
      </c>
      <c r="H160" s="15">
        <f t="shared" si="36"/>
        <v>5922.6012438675089</v>
      </c>
      <c r="I160" s="13">
        <f t="shared" si="36"/>
        <v>318.70499967000046</v>
      </c>
      <c r="J160" s="16">
        <f t="shared" si="36"/>
        <v>7406.7503396299671</v>
      </c>
      <c r="K160" s="15">
        <f t="shared" si="36"/>
        <v>16301.333333333334</v>
      </c>
      <c r="L160" s="14">
        <f t="shared" si="36"/>
        <v>9288</v>
      </c>
      <c r="M160" s="172">
        <f t="shared" si="36"/>
        <v>7757.333333333333</v>
      </c>
      <c r="N160" s="174" t="s">
        <v>84</v>
      </c>
    </row>
    <row r="161" spans="1:14" outlineLevel="1" x14ac:dyDescent="0.2">
      <c r="A161" s="20">
        <f t="shared" si="33"/>
        <v>30646</v>
      </c>
      <c r="B161" s="19" t="str">
        <f t="shared" si="33"/>
        <v>UTB</v>
      </c>
      <c r="C161" s="58">
        <f t="shared" si="34"/>
        <v>30477.682068830083</v>
      </c>
      <c r="D161" s="15">
        <f t="shared" si="35"/>
        <v>10920</v>
      </c>
      <c r="E161" s="14">
        <f t="shared" si="35"/>
        <v>3769.0255470781203</v>
      </c>
      <c r="F161" s="14">
        <f t="shared" si="35"/>
        <v>1723.0618184368313</v>
      </c>
      <c r="G161" s="13">
        <f t="shared" si="36"/>
        <v>2097.7933333333553</v>
      </c>
      <c r="H161" s="15">
        <f t="shared" si="36"/>
        <v>1415.2019628203591</v>
      </c>
      <c r="I161" s="13">
        <f t="shared" si="36"/>
        <v>208.67589264107173</v>
      </c>
      <c r="J161" s="16">
        <f t="shared" si="36"/>
        <v>2966.9235145203429</v>
      </c>
      <c r="K161" s="15">
        <f t="shared" si="36"/>
        <v>5305.333333333333</v>
      </c>
      <c r="L161" s="14">
        <f t="shared" si="36"/>
        <v>1669</v>
      </c>
      <c r="M161" s="172">
        <f t="shared" si="36"/>
        <v>402.66666666666669</v>
      </c>
      <c r="N161" s="174" t="s">
        <v>85</v>
      </c>
    </row>
    <row r="162" spans="1:14" outlineLevel="1" x14ac:dyDescent="0.2">
      <c r="A162" s="20">
        <f t="shared" si="33"/>
        <v>9930</v>
      </c>
      <c r="B162" s="19" t="str">
        <f t="shared" si="33"/>
        <v>UTPB</v>
      </c>
      <c r="C162" s="58">
        <f t="shared" si="34"/>
        <v>16155.047298062947</v>
      </c>
      <c r="D162" s="15">
        <f t="shared" si="35"/>
        <v>5333.3333333333339</v>
      </c>
      <c r="E162" s="14">
        <f t="shared" si="35"/>
        <v>1420.8000000000002</v>
      </c>
      <c r="F162" s="14">
        <f t="shared" si="35"/>
        <v>1156.2587321623005</v>
      </c>
      <c r="G162" s="13">
        <f t="shared" si="36"/>
        <v>1001.5166666666704</v>
      </c>
      <c r="H162" s="15">
        <f t="shared" si="36"/>
        <v>470.46928522714353</v>
      </c>
      <c r="I162" s="13">
        <f t="shared" si="36"/>
        <v>113.8232141678573</v>
      </c>
      <c r="J162" s="16">
        <f t="shared" si="36"/>
        <v>1263.8460665056407</v>
      </c>
      <c r="K162" s="15">
        <f t="shared" si="36"/>
        <v>3142.6666666666665</v>
      </c>
      <c r="L162" s="14">
        <f t="shared" si="36"/>
        <v>1475</v>
      </c>
      <c r="M162" s="172">
        <f t="shared" si="36"/>
        <v>777.33333333333337</v>
      </c>
      <c r="N162" s="174" t="s">
        <v>85</v>
      </c>
    </row>
    <row r="163" spans="1:14" outlineLevel="1" x14ac:dyDescent="0.2">
      <c r="A163" s="20">
        <f t="shared" si="33"/>
        <v>10115</v>
      </c>
      <c r="B163" s="19" t="str">
        <f t="shared" si="33"/>
        <v>UTSA</v>
      </c>
      <c r="C163" s="58">
        <f t="shared" si="34"/>
        <v>127044.53403944056</v>
      </c>
      <c r="D163" s="15">
        <f t="shared" si="35"/>
        <v>41196.666666666672</v>
      </c>
      <c r="E163" s="14">
        <f t="shared" si="35"/>
        <v>10422.756666666668</v>
      </c>
      <c r="F163" s="14">
        <f t="shared" si="35"/>
        <v>1012.0517050684201</v>
      </c>
      <c r="G163" s="13">
        <f t="shared" si="36"/>
        <v>8414.213333333224</v>
      </c>
      <c r="H163" s="15">
        <f t="shared" si="36"/>
        <v>4461.869995380006</v>
      </c>
      <c r="I163" s="13">
        <f t="shared" si="36"/>
        <v>565.32196370035797</v>
      </c>
      <c r="J163" s="16">
        <f t="shared" si="36"/>
        <v>9894.3203752918616</v>
      </c>
      <c r="K163" s="15">
        <f t="shared" si="36"/>
        <v>27238.666666666668</v>
      </c>
      <c r="L163" s="14">
        <f t="shared" si="36"/>
        <v>13376</v>
      </c>
      <c r="M163" s="172">
        <f t="shared" si="36"/>
        <v>10462.666666666666</v>
      </c>
      <c r="N163" s="174" t="s">
        <v>83</v>
      </c>
    </row>
    <row r="164" spans="1:14" outlineLevel="1" x14ac:dyDescent="0.2">
      <c r="A164" s="20">
        <f t="shared" si="33"/>
        <v>11163</v>
      </c>
      <c r="B164" s="19" t="str">
        <f t="shared" si="33"/>
        <v>UTT</v>
      </c>
      <c r="C164" s="58">
        <f t="shared" si="34"/>
        <v>36803.540133209426</v>
      </c>
      <c r="D164" s="15">
        <f t="shared" si="35"/>
        <v>11900</v>
      </c>
      <c r="E164" s="14">
        <f t="shared" si="35"/>
        <v>3681.8600000000006</v>
      </c>
      <c r="F164" s="14">
        <f t="shared" si="35"/>
        <v>1462.7870258575947</v>
      </c>
      <c r="G164" s="13">
        <f t="shared" si="36"/>
        <v>2362.6600000000103</v>
      </c>
      <c r="H164" s="15">
        <f t="shared" si="36"/>
        <v>4287.3410669892919</v>
      </c>
      <c r="I164" s="13">
        <f t="shared" si="36"/>
        <v>159.35249983500023</v>
      </c>
      <c r="J164" s="16">
        <f t="shared" si="36"/>
        <v>2984.8728738608579</v>
      </c>
      <c r="K164" s="15">
        <f t="shared" si="36"/>
        <v>5745.333333333333</v>
      </c>
      <c r="L164" s="14">
        <f t="shared" si="36"/>
        <v>2670</v>
      </c>
      <c r="M164" s="172">
        <f t="shared" si="36"/>
        <v>1549.3333333333333</v>
      </c>
      <c r="N164" s="174" t="s">
        <v>85</v>
      </c>
    </row>
    <row r="165" spans="1:14" outlineLevel="1" x14ac:dyDescent="0.2">
      <c r="A165" s="20">
        <f t="shared" si="33"/>
        <v>3632</v>
      </c>
      <c r="B165" s="19" t="str">
        <f t="shared" si="33"/>
        <v>TAMU</v>
      </c>
      <c r="C165" s="58">
        <f t="shared" si="34"/>
        <v>280698.89143890311</v>
      </c>
      <c r="D165" s="15">
        <f t="shared" si="35"/>
        <v>87396.666666666657</v>
      </c>
      <c r="E165" s="14">
        <f t="shared" si="35"/>
        <v>44082.878666666656</v>
      </c>
      <c r="F165" s="14">
        <f t="shared" si="35"/>
        <v>1262.094328542134</v>
      </c>
      <c r="G165" s="13">
        <f t="shared" si="36"/>
        <v>20104.8166666668</v>
      </c>
      <c r="H165" s="15">
        <f t="shared" si="36"/>
        <v>20067.032657793243</v>
      </c>
      <c r="I165" s="13">
        <f t="shared" si="36"/>
        <v>1434.172498515002</v>
      </c>
      <c r="J165" s="16">
        <f t="shared" si="36"/>
        <v>11795.896620719313</v>
      </c>
      <c r="K165" s="15">
        <f t="shared" si="36"/>
        <v>40242.666666666664</v>
      </c>
      <c r="L165" s="14">
        <f t="shared" si="36"/>
        <v>26722</v>
      </c>
      <c r="M165" s="172">
        <f t="shared" si="36"/>
        <v>27590.666666666668</v>
      </c>
      <c r="N165" s="174" t="s">
        <v>82</v>
      </c>
    </row>
    <row r="166" spans="1:14" outlineLevel="1" x14ac:dyDescent="0.2">
      <c r="A166" s="20">
        <f t="shared" si="33"/>
        <v>10298</v>
      </c>
      <c r="B166" s="19" t="str">
        <f t="shared" si="33"/>
        <v>TAMUG</v>
      </c>
      <c r="C166" s="58">
        <f t="shared" si="34"/>
        <v>10546.423428939388</v>
      </c>
      <c r="D166" s="15">
        <f>D208*D$155</f>
        <v>2753.333333333333</v>
      </c>
      <c r="E166" s="14">
        <f t="shared" si="35"/>
        <v>1036.3546666666666</v>
      </c>
      <c r="F166" s="14">
        <f t="shared" si="35"/>
        <v>819.96505717916136</v>
      </c>
      <c r="G166" s="13">
        <f t="shared" si="36"/>
        <v>704.02666666666448</v>
      </c>
      <c r="H166" s="15">
        <f t="shared" si="36"/>
        <v>424.93999956000062</v>
      </c>
      <c r="I166" s="13">
        <f t="shared" si="36"/>
        <v>0</v>
      </c>
      <c r="J166" s="16">
        <f t="shared" si="36"/>
        <v>500.47037220022867</v>
      </c>
      <c r="K166" s="15">
        <f t="shared" si="36"/>
        <v>2369.3333333333335</v>
      </c>
      <c r="L166" s="14">
        <f t="shared" si="36"/>
        <v>954</v>
      </c>
      <c r="M166" s="172">
        <f t="shared" si="36"/>
        <v>984</v>
      </c>
      <c r="N166" s="174" t="s">
        <v>85</v>
      </c>
    </row>
    <row r="167" spans="1:14" outlineLevel="1" x14ac:dyDescent="0.2">
      <c r="A167" s="20">
        <f t="shared" si="33"/>
        <v>3630</v>
      </c>
      <c r="B167" s="19" t="str">
        <f t="shared" si="33"/>
        <v>Prairie View</v>
      </c>
      <c r="C167" s="58">
        <f t="shared" si="34"/>
        <v>34397.296927209674</v>
      </c>
      <c r="D167" s="15">
        <f t="shared" ref="D167:M182" si="37">D209*D$155</f>
        <v>9363.3333333333339</v>
      </c>
      <c r="E167" s="14">
        <f t="shared" si="35"/>
        <v>2088.0233333333331</v>
      </c>
      <c r="F167" s="14">
        <f t="shared" si="35"/>
        <v>791.18440126484359</v>
      </c>
      <c r="G167" s="13">
        <f t="shared" si="36"/>
        <v>2072.9000000000092</v>
      </c>
      <c r="H167" s="15">
        <f t="shared" si="36"/>
        <v>3593.0194605653624</v>
      </c>
      <c r="I167" s="13">
        <f t="shared" si="36"/>
        <v>110.02910702892872</v>
      </c>
      <c r="J167" s="16">
        <f t="shared" si="36"/>
        <v>2542.4739583505288</v>
      </c>
      <c r="K167" s="15">
        <f t="shared" si="36"/>
        <v>6672</v>
      </c>
      <c r="L167" s="14">
        <f t="shared" si="36"/>
        <v>3543</v>
      </c>
      <c r="M167" s="172">
        <f t="shared" si="36"/>
        <v>3621.3333333333335</v>
      </c>
      <c r="N167" s="174" t="s">
        <v>86</v>
      </c>
    </row>
    <row r="168" spans="1:14" outlineLevel="1" x14ac:dyDescent="0.2">
      <c r="A168" s="20">
        <f t="shared" si="33"/>
        <v>3631</v>
      </c>
      <c r="B168" s="19" t="str">
        <f t="shared" si="33"/>
        <v>Tarleton</v>
      </c>
      <c r="C168" s="58">
        <f t="shared" si="34"/>
        <v>46928.252754271649</v>
      </c>
      <c r="D168" s="15">
        <f t="shared" si="37"/>
        <v>15453.333333333332</v>
      </c>
      <c r="E168" s="14">
        <f t="shared" si="35"/>
        <v>4432.0160000000005</v>
      </c>
      <c r="F168" s="14">
        <f t="shared" si="35"/>
        <v>1227.988387616283</v>
      </c>
      <c r="G168" s="13">
        <f t="shared" si="36"/>
        <v>3122.5433333333599</v>
      </c>
      <c r="H168" s="15">
        <f t="shared" si="36"/>
        <v>2310.6112476075032</v>
      </c>
      <c r="I168" s="13">
        <f t="shared" si="36"/>
        <v>542.55732086678643</v>
      </c>
      <c r="J168" s="16">
        <f t="shared" si="36"/>
        <v>3785.2031315143877</v>
      </c>
      <c r="K168" s="15">
        <f t="shared" si="36"/>
        <v>8617.3333333333339</v>
      </c>
      <c r="L168" s="14">
        <f t="shared" si="36"/>
        <v>3986</v>
      </c>
      <c r="M168" s="172">
        <f t="shared" si="36"/>
        <v>3450.6666666666665</v>
      </c>
      <c r="N168" s="174" t="s">
        <v>86</v>
      </c>
    </row>
    <row r="169" spans="1:14" outlineLevel="1" x14ac:dyDescent="0.2">
      <c r="A169" s="27">
        <f t="shared" si="33"/>
        <v>103631</v>
      </c>
      <c r="B169" s="19" t="str">
        <f t="shared" si="33"/>
        <v>TAMUCT</v>
      </c>
      <c r="C169" s="58">
        <f t="shared" si="34"/>
        <v>14170.243165464044</v>
      </c>
      <c r="D169" s="15">
        <f t="shared" si="37"/>
        <v>4603.333333333333</v>
      </c>
      <c r="E169" s="14">
        <f t="shared" si="35"/>
        <v>1320.2359999999999</v>
      </c>
      <c r="F169" s="14">
        <f t="shared" si="35"/>
        <v>3379.3924761003623</v>
      </c>
      <c r="G169" s="13">
        <f t="shared" si="36"/>
        <v>853.61666666666588</v>
      </c>
      <c r="H169" s="15">
        <f t="shared" si="36"/>
        <v>462.88107094928637</v>
      </c>
      <c r="I169" s="13">
        <f t="shared" si="36"/>
        <v>0</v>
      </c>
      <c r="J169" s="16">
        <f t="shared" si="36"/>
        <v>1035.7836184143973</v>
      </c>
      <c r="K169" s="15">
        <f t="shared" si="36"/>
        <v>1980</v>
      </c>
      <c r="L169" s="14">
        <f t="shared" si="36"/>
        <v>399</v>
      </c>
      <c r="M169" s="172">
        <f t="shared" si="36"/>
        <v>136</v>
      </c>
      <c r="N169" s="174" t="s">
        <v>85</v>
      </c>
    </row>
    <row r="170" spans="1:14" outlineLevel="1" x14ac:dyDescent="0.2">
      <c r="A170" s="20">
        <f t="shared" si="33"/>
        <v>11161</v>
      </c>
      <c r="B170" s="19" t="str">
        <f t="shared" si="33"/>
        <v>TAMUCC</v>
      </c>
      <c r="C170" s="58">
        <f t="shared" si="34"/>
        <v>44865.90694487781</v>
      </c>
      <c r="D170" s="15">
        <f t="shared" si="37"/>
        <v>13883.333333333332</v>
      </c>
      <c r="E170" s="14">
        <f t="shared" si="35"/>
        <v>4231.6399999999994</v>
      </c>
      <c r="F170" s="14">
        <f t="shared" si="35"/>
        <v>1068.8257031410387</v>
      </c>
      <c r="G170" s="13">
        <f t="shared" si="36"/>
        <v>2804.2000000000139</v>
      </c>
      <c r="H170" s="15">
        <f t="shared" si="36"/>
        <v>3031.4916040039325</v>
      </c>
      <c r="I170" s="13">
        <f t="shared" si="36"/>
        <v>292.14624969750042</v>
      </c>
      <c r="J170" s="16">
        <f t="shared" si="36"/>
        <v>3420.9367213686519</v>
      </c>
      <c r="K170" s="15">
        <f t="shared" si="36"/>
        <v>8216</v>
      </c>
      <c r="L170" s="14">
        <f t="shared" si="36"/>
        <v>4404</v>
      </c>
      <c r="M170" s="172">
        <f t="shared" si="36"/>
        <v>3513.3333333333335</v>
      </c>
      <c r="N170" s="174" t="s">
        <v>84</v>
      </c>
    </row>
    <row r="171" spans="1:14" outlineLevel="1" x14ac:dyDescent="0.2">
      <c r="A171" s="20">
        <f t="shared" si="33"/>
        <v>3639</v>
      </c>
      <c r="B171" s="19" t="str">
        <f t="shared" si="33"/>
        <v>TAMUK</v>
      </c>
      <c r="C171" s="58">
        <f t="shared" si="34"/>
        <v>27038.48509700871</v>
      </c>
      <c r="D171" s="15">
        <f t="shared" si="37"/>
        <v>7616.6666666666661</v>
      </c>
      <c r="E171" s="14">
        <f t="shared" si="35"/>
        <v>1838.6633333333334</v>
      </c>
      <c r="F171" s="14">
        <f t="shared" si="35"/>
        <v>893.97496087636932</v>
      </c>
      <c r="G171" s="13">
        <f t="shared" si="36"/>
        <v>1763.4533333333395</v>
      </c>
      <c r="H171" s="15">
        <f t="shared" si="36"/>
        <v>2959.4035683642901</v>
      </c>
      <c r="I171" s="13">
        <f t="shared" si="36"/>
        <v>189.70535694642885</v>
      </c>
      <c r="J171" s="16">
        <f t="shared" si="36"/>
        <v>2053.6178774882801</v>
      </c>
      <c r="K171" s="15">
        <f t="shared" si="36"/>
        <v>4909.333333333333</v>
      </c>
      <c r="L171" s="14">
        <f t="shared" si="36"/>
        <v>2579</v>
      </c>
      <c r="M171" s="172">
        <f t="shared" si="36"/>
        <v>2234.6666666666665</v>
      </c>
      <c r="N171" s="174" t="s">
        <v>84</v>
      </c>
    </row>
    <row r="172" spans="1:14" outlineLevel="1" x14ac:dyDescent="0.2">
      <c r="A172" s="27">
        <f t="shared" ref="A172:B187" si="38">A21</f>
        <v>103639</v>
      </c>
      <c r="B172" s="19" t="str">
        <f t="shared" si="38"/>
        <v>TAMUSA</v>
      </c>
      <c r="C172" s="58">
        <f t="shared" si="34"/>
        <v>15195.389546140766</v>
      </c>
      <c r="D172" s="15">
        <f t="shared" si="37"/>
        <v>5876.6666666666661</v>
      </c>
      <c r="E172" s="14">
        <f t="shared" si="37"/>
        <v>1418.6273333333334</v>
      </c>
      <c r="F172" s="14">
        <f t="shared" si="37"/>
        <v>2079.9251242685459</v>
      </c>
      <c r="G172" s="13">
        <f t="shared" si="37"/>
        <v>1026.0133333333379</v>
      </c>
      <c r="H172" s="15">
        <f t="shared" si="37"/>
        <v>56.911607083928651</v>
      </c>
      <c r="I172" s="13">
        <f t="shared" si="37"/>
        <v>22.764642833571461</v>
      </c>
      <c r="J172" s="16">
        <f t="shared" si="37"/>
        <v>1553.1475052880514</v>
      </c>
      <c r="K172" s="15">
        <f t="shared" si="37"/>
        <v>2918.6666666666665</v>
      </c>
      <c r="L172" s="14">
        <f t="shared" si="37"/>
        <v>232</v>
      </c>
      <c r="M172" s="172">
        <f t="shared" si="37"/>
        <v>10.666666666666666</v>
      </c>
      <c r="N172" s="174" t="s">
        <v>85</v>
      </c>
    </row>
    <row r="173" spans="1:14" outlineLevel="1" x14ac:dyDescent="0.2">
      <c r="A173" s="20">
        <f t="shared" si="38"/>
        <v>9651</v>
      </c>
      <c r="B173" s="19" t="str">
        <f t="shared" si="38"/>
        <v>TAMI</v>
      </c>
      <c r="C173" s="58">
        <f t="shared" si="34"/>
        <v>26960.613971161951</v>
      </c>
      <c r="D173" s="15">
        <f t="shared" si="37"/>
        <v>7896.6666666666661</v>
      </c>
      <c r="E173" s="14">
        <f t="shared" si="37"/>
        <v>2242.6533333333332</v>
      </c>
      <c r="F173" s="14">
        <f t="shared" si="37"/>
        <v>966.30771740903901</v>
      </c>
      <c r="G173" s="13">
        <f t="shared" si="37"/>
        <v>1458.4966666666717</v>
      </c>
      <c r="H173" s="15">
        <f t="shared" si="37"/>
        <v>1316.5551772082163</v>
      </c>
      <c r="I173" s="13">
        <f t="shared" si="37"/>
        <v>254.20517830821464</v>
      </c>
      <c r="J173" s="16">
        <f t="shared" si="37"/>
        <v>2257.3958982364743</v>
      </c>
      <c r="K173" s="15">
        <f t="shared" si="37"/>
        <v>5626.666666666667</v>
      </c>
      <c r="L173" s="14">
        <f t="shared" si="37"/>
        <v>3047</v>
      </c>
      <c r="M173" s="172">
        <f t="shared" si="37"/>
        <v>1894.6666666666667</v>
      </c>
      <c r="N173" s="174" t="s">
        <v>86</v>
      </c>
    </row>
    <row r="174" spans="1:14" outlineLevel="1" x14ac:dyDescent="0.2">
      <c r="A174" s="20">
        <f t="shared" si="38"/>
        <v>3665</v>
      </c>
      <c r="B174" s="19" t="str">
        <f t="shared" si="38"/>
        <v>WTAMU</v>
      </c>
      <c r="C174" s="58">
        <f t="shared" si="34"/>
        <v>38904.764768664296</v>
      </c>
      <c r="D174" s="15">
        <f t="shared" si="37"/>
        <v>12556.666666666668</v>
      </c>
      <c r="E174" s="14">
        <f t="shared" si="37"/>
        <v>3546.0026666666663</v>
      </c>
      <c r="F174" s="14">
        <f t="shared" si="37"/>
        <v>1159.3860927016435</v>
      </c>
      <c r="G174" s="13">
        <f t="shared" si="37"/>
        <v>2503.5766666666836</v>
      </c>
      <c r="H174" s="15">
        <f t="shared" si="37"/>
        <v>2181.6116048839317</v>
      </c>
      <c r="I174" s="13">
        <f t="shared" si="37"/>
        <v>690.527499285001</v>
      </c>
      <c r="J174" s="16">
        <f t="shared" si="37"/>
        <v>2816.9935717936924</v>
      </c>
      <c r="K174" s="15">
        <f t="shared" si="37"/>
        <v>7166.666666666667</v>
      </c>
      <c r="L174" s="14">
        <f t="shared" si="37"/>
        <v>3638</v>
      </c>
      <c r="M174" s="172">
        <f t="shared" si="37"/>
        <v>2645.3333333333335</v>
      </c>
      <c r="N174" s="174" t="s">
        <v>86</v>
      </c>
    </row>
    <row r="175" spans="1:14" outlineLevel="1" x14ac:dyDescent="0.2">
      <c r="A175" s="20">
        <f t="shared" si="38"/>
        <v>3565</v>
      </c>
      <c r="B175" s="19" t="str">
        <f t="shared" si="38"/>
        <v>TAMUC</v>
      </c>
      <c r="C175" s="58">
        <f t="shared" si="34"/>
        <v>38350.273448832828</v>
      </c>
      <c r="D175" s="15">
        <f t="shared" si="37"/>
        <v>13243.333333333332</v>
      </c>
      <c r="E175" s="14">
        <f t="shared" si="37"/>
        <v>3496.24</v>
      </c>
      <c r="F175" s="14">
        <f t="shared" si="37"/>
        <v>1409.7717681345925</v>
      </c>
      <c r="G175" s="13">
        <f t="shared" si="37"/>
        <v>2501.8266666666914</v>
      </c>
      <c r="H175" s="15">
        <f t="shared" si="37"/>
        <v>830.90946342535835</v>
      </c>
      <c r="I175" s="13">
        <f t="shared" si="37"/>
        <v>846.08589198107256</v>
      </c>
      <c r="J175" s="16">
        <f t="shared" si="37"/>
        <v>3228.7729919584376</v>
      </c>
      <c r="K175" s="15">
        <f t="shared" si="37"/>
        <v>7572</v>
      </c>
      <c r="L175" s="14">
        <f t="shared" si="37"/>
        <v>3412</v>
      </c>
      <c r="M175" s="172">
        <f t="shared" si="37"/>
        <v>1809.3333333333333</v>
      </c>
      <c r="N175" s="174" t="s">
        <v>84</v>
      </c>
    </row>
    <row r="176" spans="1:14" outlineLevel="1" x14ac:dyDescent="0.2">
      <c r="A176" s="20">
        <f t="shared" si="38"/>
        <v>29269</v>
      </c>
      <c r="B176" s="19" t="str">
        <f t="shared" si="38"/>
        <v>TAMUT</v>
      </c>
      <c r="C176" s="58">
        <f t="shared" si="34"/>
        <v>10866.751565017175</v>
      </c>
      <c r="D176" s="15">
        <f t="shared" si="37"/>
        <v>3456.666666666667</v>
      </c>
      <c r="E176" s="14">
        <f t="shared" si="37"/>
        <v>1124.1615752810251</v>
      </c>
      <c r="F176" s="14">
        <f t="shared" si="37"/>
        <v>1938.3177570093458</v>
      </c>
      <c r="G176" s="13">
        <f t="shared" si="37"/>
        <v>619.90999999999826</v>
      </c>
      <c r="H176" s="15">
        <f t="shared" si="37"/>
        <v>474.26339236607208</v>
      </c>
      <c r="I176" s="13">
        <f t="shared" si="37"/>
        <v>220.05821405785744</v>
      </c>
      <c r="J176" s="16">
        <f t="shared" si="37"/>
        <v>757.04062630287751</v>
      </c>
      <c r="K176" s="15">
        <f t="shared" si="37"/>
        <v>1730.6666666666667</v>
      </c>
      <c r="L176" s="14">
        <f t="shared" si="37"/>
        <v>543</v>
      </c>
      <c r="M176" s="172">
        <f t="shared" si="37"/>
        <v>2.6666666666666665</v>
      </c>
      <c r="N176" s="174" t="s">
        <v>85</v>
      </c>
    </row>
    <row r="177" spans="1:14" outlineLevel="1" x14ac:dyDescent="0.2">
      <c r="A177" s="20">
        <f t="shared" si="38"/>
        <v>3652</v>
      </c>
      <c r="B177" s="19" t="str">
        <f t="shared" si="38"/>
        <v>UH</v>
      </c>
      <c r="C177" s="58">
        <f t="shared" si="34"/>
        <v>159541.49702979813</v>
      </c>
      <c r="D177" s="15">
        <f t="shared" si="37"/>
        <v>50986.666666666672</v>
      </c>
      <c r="E177" s="14">
        <f t="shared" si="37"/>
        <v>16407.509333333335</v>
      </c>
      <c r="F177" s="14">
        <f t="shared" si="37"/>
        <v>1071.2524839013313</v>
      </c>
      <c r="G177" s="13">
        <f t="shared" si="37"/>
        <v>10580.246666665944</v>
      </c>
      <c r="H177" s="15">
        <f t="shared" si="37"/>
        <v>8388.7708841710828</v>
      </c>
      <c r="I177" s="13">
        <f t="shared" si="37"/>
        <v>713.29214211857243</v>
      </c>
      <c r="J177" s="16">
        <f t="shared" si="37"/>
        <v>10684.092186274502</v>
      </c>
      <c r="K177" s="15">
        <f t="shared" si="37"/>
        <v>30409.333333333332</v>
      </c>
      <c r="L177" s="14">
        <f t="shared" si="37"/>
        <v>17071</v>
      </c>
      <c r="M177" s="172">
        <f t="shared" si="37"/>
        <v>13229.333333333334</v>
      </c>
      <c r="N177" s="174" t="s">
        <v>83</v>
      </c>
    </row>
    <row r="178" spans="1:14" outlineLevel="1" x14ac:dyDescent="0.2">
      <c r="A178" s="20">
        <f t="shared" si="38"/>
        <v>11711</v>
      </c>
      <c r="B178" s="19" t="str">
        <f t="shared" si="38"/>
        <v>UHCL</v>
      </c>
      <c r="C178" s="58">
        <f t="shared" si="34"/>
        <v>32306.383199803757</v>
      </c>
      <c r="D178" s="15">
        <f t="shared" si="37"/>
        <v>11906.666666666668</v>
      </c>
      <c r="E178" s="14">
        <f t="shared" si="37"/>
        <v>3716.05607615393</v>
      </c>
      <c r="F178" s="14">
        <f t="shared" si="37"/>
        <v>1984.6796657381617</v>
      </c>
      <c r="G178" s="13">
        <f t="shared" si="37"/>
        <v>2282.9533333333529</v>
      </c>
      <c r="H178" s="15">
        <f t="shared" si="37"/>
        <v>1214.1142844571445</v>
      </c>
      <c r="I178" s="13">
        <f t="shared" si="37"/>
        <v>94.852678473214425</v>
      </c>
      <c r="J178" s="16">
        <f t="shared" si="37"/>
        <v>2452.7271616479561</v>
      </c>
      <c r="K178" s="15">
        <f t="shared" si="37"/>
        <v>5565.333333333333</v>
      </c>
      <c r="L178" s="14">
        <f t="shared" si="37"/>
        <v>2861</v>
      </c>
      <c r="M178" s="172">
        <f t="shared" si="37"/>
        <v>228</v>
      </c>
      <c r="N178" s="174" t="s">
        <v>85</v>
      </c>
    </row>
    <row r="179" spans="1:14" outlineLevel="1" x14ac:dyDescent="0.2">
      <c r="A179" s="20">
        <f t="shared" si="38"/>
        <v>12826</v>
      </c>
      <c r="B179" s="19" t="str">
        <f t="shared" si="38"/>
        <v>UHD</v>
      </c>
      <c r="C179" s="58">
        <f t="shared" si="34"/>
        <v>59566.664462022505</v>
      </c>
      <c r="D179" s="15">
        <f t="shared" si="37"/>
        <v>23823.333333333336</v>
      </c>
      <c r="E179" s="14">
        <f t="shared" si="37"/>
        <v>2715.8600000000006</v>
      </c>
      <c r="F179" s="14">
        <f t="shared" si="37"/>
        <v>1491.6515931543067</v>
      </c>
      <c r="G179" s="13">
        <f t="shared" si="37"/>
        <v>4271.3166666667212</v>
      </c>
      <c r="H179" s="15">
        <f t="shared" si="37"/>
        <v>1475.9076770432164</v>
      </c>
      <c r="I179" s="13">
        <f t="shared" si="37"/>
        <v>18.970535694642884</v>
      </c>
      <c r="J179" s="16">
        <f t="shared" si="37"/>
        <v>5324.6246561302814</v>
      </c>
      <c r="K179" s="15">
        <f t="shared" si="37"/>
        <v>12421.333333333334</v>
      </c>
      <c r="L179" s="14">
        <f t="shared" si="37"/>
        <v>5605</v>
      </c>
      <c r="M179" s="172">
        <f t="shared" si="37"/>
        <v>2418.6666666666665</v>
      </c>
      <c r="N179" s="174" t="s">
        <v>85</v>
      </c>
    </row>
    <row r="180" spans="1:14" outlineLevel="1" x14ac:dyDescent="0.2">
      <c r="A180" s="20">
        <f t="shared" si="38"/>
        <v>13231</v>
      </c>
      <c r="B180" s="19" t="str">
        <f t="shared" si="38"/>
        <v>UHV</v>
      </c>
      <c r="C180" s="58">
        <f t="shared" si="34"/>
        <v>16965.312681545362</v>
      </c>
      <c r="D180" s="15">
        <f t="shared" si="37"/>
        <v>5766.6666666666661</v>
      </c>
      <c r="E180" s="14">
        <f t="shared" si="37"/>
        <v>1801.172777033164</v>
      </c>
      <c r="F180" s="14">
        <f t="shared" si="37"/>
        <v>2004.2324446229416</v>
      </c>
      <c r="G180" s="13">
        <f t="shared" si="37"/>
        <v>1084.4800000000012</v>
      </c>
      <c r="H180" s="15">
        <f t="shared" si="37"/>
        <v>1229.290713012859</v>
      </c>
      <c r="I180" s="13">
        <f t="shared" si="37"/>
        <v>83.470357056428682</v>
      </c>
      <c r="J180" s="16">
        <f t="shared" si="37"/>
        <v>1216.3330564866317</v>
      </c>
      <c r="K180" s="15">
        <f t="shared" si="37"/>
        <v>2864</v>
      </c>
      <c r="L180" s="14">
        <f t="shared" si="37"/>
        <v>889</v>
      </c>
      <c r="M180" s="172">
        <f t="shared" si="37"/>
        <v>26.666666666666668</v>
      </c>
      <c r="N180" s="174" t="s">
        <v>85</v>
      </c>
    </row>
    <row r="181" spans="1:14" outlineLevel="1" x14ac:dyDescent="0.2">
      <c r="A181" s="20">
        <f t="shared" si="38"/>
        <v>3592</v>
      </c>
      <c r="B181" s="19" t="str">
        <f t="shared" si="38"/>
        <v>Midwestern</v>
      </c>
      <c r="C181" s="58">
        <f t="shared" si="34"/>
        <v>33964.429039790266</v>
      </c>
      <c r="D181" s="15">
        <f t="shared" si="37"/>
        <v>10316.666666666668</v>
      </c>
      <c r="E181" s="14">
        <f t="shared" si="37"/>
        <v>2719.4733333333334</v>
      </c>
      <c r="F181" s="14">
        <f t="shared" si="37"/>
        <v>1206.12610740173</v>
      </c>
      <c r="G181" s="13">
        <f t="shared" si="37"/>
        <v>1962.0000000000034</v>
      </c>
      <c r="H181" s="15">
        <f t="shared" si="37"/>
        <v>3794.1071389285767</v>
      </c>
      <c r="I181" s="13">
        <f t="shared" si="37"/>
        <v>170.73482125178595</v>
      </c>
      <c r="J181" s="16">
        <f t="shared" si="37"/>
        <v>2186.6543055415054</v>
      </c>
      <c r="K181" s="15">
        <f t="shared" si="37"/>
        <v>5752</v>
      </c>
      <c r="L181" s="14">
        <f t="shared" si="37"/>
        <v>3138</v>
      </c>
      <c r="M181" s="172">
        <f t="shared" si="37"/>
        <v>2718.6666666666665</v>
      </c>
      <c r="N181" s="174" t="s">
        <v>85</v>
      </c>
    </row>
    <row r="182" spans="1:14" outlineLevel="1" x14ac:dyDescent="0.2">
      <c r="A182" s="20">
        <f t="shared" si="38"/>
        <v>3594</v>
      </c>
      <c r="B182" s="19" t="str">
        <f t="shared" si="38"/>
        <v>UNT</v>
      </c>
      <c r="C182" s="58">
        <f t="shared" si="34"/>
        <v>171837.12925152294</v>
      </c>
      <c r="D182" s="15">
        <f t="shared" si="37"/>
        <v>60166.666666666672</v>
      </c>
      <c r="E182" s="14">
        <f t="shared" si="37"/>
        <v>20805.633333333335</v>
      </c>
      <c r="F182" s="14">
        <f t="shared" si="37"/>
        <v>1294.3472283042063</v>
      </c>
      <c r="G182" s="13">
        <f t="shared" si="37"/>
        <v>11411.553333332529</v>
      </c>
      <c r="H182" s="15">
        <f t="shared" si="37"/>
        <v>3832.0482103178629</v>
      </c>
      <c r="I182" s="13">
        <f t="shared" si="37"/>
        <v>493.23392806071502</v>
      </c>
      <c r="J182" s="16">
        <f t="shared" si="37"/>
        <v>12099.979884840972</v>
      </c>
      <c r="K182" s="15">
        <f t="shared" si="37"/>
        <v>31458.666666666668</v>
      </c>
      <c r="L182" s="14">
        <f t="shared" si="37"/>
        <v>16927</v>
      </c>
      <c r="M182" s="172">
        <f t="shared" si="37"/>
        <v>13348</v>
      </c>
      <c r="N182" s="174" t="s">
        <v>83</v>
      </c>
    </row>
    <row r="183" spans="1:14" outlineLevel="1" x14ac:dyDescent="0.2">
      <c r="A183" s="27">
        <f t="shared" si="38"/>
        <v>113594</v>
      </c>
      <c r="B183" s="19" t="str">
        <f t="shared" si="38"/>
        <v>UNTD</v>
      </c>
      <c r="C183" s="58">
        <f t="shared" si="34"/>
        <v>11555.622899661827</v>
      </c>
      <c r="D183" s="15">
        <f t="shared" ref="D183:M193" si="39">D225*D$155</f>
        <v>4035</v>
      </c>
      <c r="E183" s="14">
        <f t="shared" si="39"/>
        <v>1398.1275000000001</v>
      </c>
      <c r="F183" s="14">
        <f t="shared" si="39"/>
        <v>2132.3633032694474</v>
      </c>
      <c r="G183" s="13">
        <f t="shared" si="39"/>
        <v>705.85999999999717</v>
      </c>
      <c r="H183" s="15">
        <f t="shared" si="39"/>
        <v>136.58785700142877</v>
      </c>
      <c r="I183" s="13">
        <f t="shared" si="39"/>
        <v>0</v>
      </c>
      <c r="J183" s="16">
        <f t="shared" si="39"/>
        <v>977.18423939095283</v>
      </c>
      <c r="K183" s="15">
        <f t="shared" si="39"/>
        <v>1912</v>
      </c>
      <c r="L183" s="14">
        <f t="shared" si="39"/>
        <v>214.5</v>
      </c>
      <c r="M183" s="172">
        <f t="shared" si="39"/>
        <v>44</v>
      </c>
      <c r="N183" s="174" t="s">
        <v>85</v>
      </c>
    </row>
    <row r="184" spans="1:14" outlineLevel="1" x14ac:dyDescent="0.2">
      <c r="A184" s="20">
        <f t="shared" si="38"/>
        <v>3624</v>
      </c>
      <c r="B184" s="19" t="str">
        <f t="shared" si="38"/>
        <v>SFA</v>
      </c>
      <c r="C184" s="58">
        <f t="shared" si="34"/>
        <v>61187.448770000788</v>
      </c>
      <c r="D184" s="15">
        <f t="shared" si="39"/>
        <v>19216.666666666668</v>
      </c>
      <c r="E184" s="14">
        <f t="shared" si="39"/>
        <v>6387.619999999999</v>
      </c>
      <c r="F184" s="14">
        <f t="shared" si="39"/>
        <v>1012.8772155041958</v>
      </c>
      <c r="G184" s="13">
        <f t="shared" si="39"/>
        <v>3721.736666666669</v>
      </c>
      <c r="H184" s="15">
        <f t="shared" si="39"/>
        <v>2822.8157113628613</v>
      </c>
      <c r="I184" s="13">
        <f t="shared" si="39"/>
        <v>508.41035661642928</v>
      </c>
      <c r="J184" s="16">
        <f t="shared" si="39"/>
        <v>4625.655486517303</v>
      </c>
      <c r="K184" s="15">
        <f t="shared" si="39"/>
        <v>11077.333333333334</v>
      </c>
      <c r="L184" s="14">
        <f t="shared" si="39"/>
        <v>6225</v>
      </c>
      <c r="M184" s="172">
        <f t="shared" si="39"/>
        <v>5589.333333333333</v>
      </c>
      <c r="N184" s="174" t="s">
        <v>86</v>
      </c>
    </row>
    <row r="185" spans="1:14" outlineLevel="1" x14ac:dyDescent="0.2">
      <c r="A185" s="20">
        <f t="shared" si="38"/>
        <v>3642</v>
      </c>
      <c r="B185" s="19" t="str">
        <f t="shared" si="38"/>
        <v>TSU</v>
      </c>
      <c r="C185" s="58">
        <f t="shared" si="34"/>
        <v>27389.159681294303</v>
      </c>
      <c r="D185" s="15">
        <f t="shared" si="39"/>
        <v>7583.3333333333339</v>
      </c>
      <c r="E185" s="14">
        <f t="shared" si="39"/>
        <v>653.68333333333328</v>
      </c>
      <c r="F185" s="14">
        <f t="shared" si="39"/>
        <v>646.68405054463585</v>
      </c>
      <c r="G185" s="13">
        <f t="shared" si="39"/>
        <v>1488.6533333333352</v>
      </c>
      <c r="H185" s="15">
        <f t="shared" si="39"/>
        <v>1529.0251769882166</v>
      </c>
      <c r="I185" s="13">
        <f t="shared" si="39"/>
        <v>34.146964250357193</v>
      </c>
      <c r="J185" s="16">
        <f t="shared" si="39"/>
        <v>2110.6334895110913</v>
      </c>
      <c r="K185" s="15">
        <f t="shared" si="39"/>
        <v>6549.333333333333</v>
      </c>
      <c r="L185" s="14">
        <f t="shared" si="39"/>
        <v>3399</v>
      </c>
      <c r="M185" s="172">
        <f t="shared" si="39"/>
        <v>3394.6666666666665</v>
      </c>
      <c r="N185" s="174" t="s">
        <v>84</v>
      </c>
    </row>
    <row r="186" spans="1:14" outlineLevel="1" x14ac:dyDescent="0.2">
      <c r="A186" s="20">
        <f t="shared" si="38"/>
        <v>3644</v>
      </c>
      <c r="B186" s="19" t="str">
        <f t="shared" si="38"/>
        <v>TTU</v>
      </c>
      <c r="C186" s="58">
        <f t="shared" si="34"/>
        <v>153739.12115024269</v>
      </c>
      <c r="D186" s="15">
        <f t="shared" si="39"/>
        <v>46740</v>
      </c>
      <c r="E186" s="14">
        <f t="shared" si="39"/>
        <v>20528.207999999999</v>
      </c>
      <c r="F186" s="14">
        <f t="shared" si="39"/>
        <v>1053.0621563516677</v>
      </c>
      <c r="G186" s="13">
        <f t="shared" si="39"/>
        <v>10128.113333332682</v>
      </c>
      <c r="H186" s="15">
        <f t="shared" si="39"/>
        <v>8278.7417771421551</v>
      </c>
      <c r="I186" s="13">
        <f t="shared" si="39"/>
        <v>652.58642789571525</v>
      </c>
      <c r="J186" s="16">
        <f t="shared" si="39"/>
        <v>8799.4094555204756</v>
      </c>
      <c r="K186" s="15">
        <f t="shared" si="39"/>
        <v>25941.333333333332</v>
      </c>
      <c r="L186" s="14">
        <f t="shared" si="39"/>
        <v>15835</v>
      </c>
      <c r="M186" s="172">
        <f t="shared" si="39"/>
        <v>15782.666666666666</v>
      </c>
      <c r="N186" s="174" t="s">
        <v>83</v>
      </c>
    </row>
    <row r="187" spans="1:14" outlineLevel="1" x14ac:dyDescent="0.2">
      <c r="A187" s="20">
        <f t="shared" si="38"/>
        <v>3541</v>
      </c>
      <c r="B187" s="19" t="str">
        <f t="shared" si="38"/>
        <v>Angelo</v>
      </c>
      <c r="C187" s="58">
        <f t="shared" si="34"/>
        <v>32553.048079389824</v>
      </c>
      <c r="D187" s="15">
        <f t="shared" si="39"/>
        <v>9913.3333333333339</v>
      </c>
      <c r="E187" s="14">
        <f t="shared" si="39"/>
        <v>2555.6573333333336</v>
      </c>
      <c r="F187" s="14">
        <f t="shared" si="39"/>
        <v>1015.2850354132148</v>
      </c>
      <c r="G187" s="13">
        <f t="shared" si="39"/>
        <v>1977.3500000000051</v>
      </c>
      <c r="H187" s="15">
        <f t="shared" si="39"/>
        <v>2894.9037470025041</v>
      </c>
      <c r="I187" s="13">
        <f t="shared" si="39"/>
        <v>220.05821405785744</v>
      </c>
      <c r="J187" s="16">
        <f t="shared" si="39"/>
        <v>2290.1270829162363</v>
      </c>
      <c r="K187" s="15">
        <f t="shared" si="39"/>
        <v>5754.666666666667</v>
      </c>
      <c r="L187" s="14">
        <f t="shared" si="39"/>
        <v>3101</v>
      </c>
      <c r="M187" s="172">
        <f t="shared" si="39"/>
        <v>2830.6666666666665</v>
      </c>
      <c r="N187" s="174" t="s">
        <v>85</v>
      </c>
    </row>
    <row r="188" spans="1:14" outlineLevel="1" x14ac:dyDescent="0.2">
      <c r="A188" s="20">
        <f t="shared" ref="A188:B193" si="40">A37</f>
        <v>3646</v>
      </c>
      <c r="B188" s="19" t="str">
        <f t="shared" si="40"/>
        <v>TWU</v>
      </c>
      <c r="C188" s="58">
        <f t="shared" si="34"/>
        <v>54654.265619153841</v>
      </c>
      <c r="D188" s="15">
        <f t="shared" si="39"/>
        <v>18060</v>
      </c>
      <c r="E188" s="14">
        <f t="shared" si="39"/>
        <v>5674.4520000000002</v>
      </c>
      <c r="F188" s="14">
        <f t="shared" si="39"/>
        <v>1377.2802147519981</v>
      </c>
      <c r="G188" s="13">
        <f t="shared" si="39"/>
        <v>3452.1766666666658</v>
      </c>
      <c r="H188" s="15">
        <f t="shared" si="39"/>
        <v>6480.3349932900101</v>
      </c>
      <c r="I188" s="13">
        <f t="shared" si="39"/>
        <v>360.44017819821482</v>
      </c>
      <c r="J188" s="16">
        <f t="shared" si="39"/>
        <v>3949.9148995802857</v>
      </c>
      <c r="K188" s="15">
        <f t="shared" si="39"/>
        <v>8784</v>
      </c>
      <c r="L188" s="14">
        <f t="shared" si="39"/>
        <v>3877</v>
      </c>
      <c r="M188" s="172">
        <f t="shared" si="39"/>
        <v>2638.6666666666665</v>
      </c>
      <c r="N188" s="174" t="s">
        <v>84</v>
      </c>
    </row>
    <row r="189" spans="1:14" outlineLevel="1" x14ac:dyDescent="0.2">
      <c r="A189" s="20">
        <f t="shared" si="40"/>
        <v>3581</v>
      </c>
      <c r="B189" s="19" t="str">
        <f t="shared" si="40"/>
        <v>Lamar</v>
      </c>
      <c r="C189" s="58">
        <f t="shared" si="34"/>
        <v>43807.116579049485</v>
      </c>
      <c r="D189" s="15">
        <f t="shared" si="39"/>
        <v>13353.333333333332</v>
      </c>
      <c r="E189" s="14">
        <f t="shared" si="39"/>
        <v>2806.8706666666667</v>
      </c>
      <c r="F189" s="14">
        <f t="shared" si="39"/>
        <v>917.74645822260493</v>
      </c>
      <c r="G189" s="13">
        <f t="shared" si="39"/>
        <v>2684.9000000000165</v>
      </c>
      <c r="H189" s="15">
        <f t="shared" si="39"/>
        <v>3756.1660675392909</v>
      </c>
      <c r="I189" s="13">
        <f t="shared" si="39"/>
        <v>193.49946408535743</v>
      </c>
      <c r="J189" s="16">
        <f t="shared" si="39"/>
        <v>3004.9339225355502</v>
      </c>
      <c r="K189" s="15">
        <f t="shared" si="39"/>
        <v>8578.6666666666661</v>
      </c>
      <c r="L189" s="14">
        <f t="shared" si="39"/>
        <v>4467</v>
      </c>
      <c r="M189" s="172">
        <f t="shared" si="39"/>
        <v>4044</v>
      </c>
      <c r="N189" s="174" t="s">
        <v>86</v>
      </c>
    </row>
    <row r="190" spans="1:14" outlineLevel="1" x14ac:dyDescent="0.2">
      <c r="A190" s="20">
        <f t="shared" si="40"/>
        <v>3606</v>
      </c>
      <c r="B190" s="19" t="str">
        <f t="shared" si="40"/>
        <v>SHSU</v>
      </c>
      <c r="C190" s="58">
        <f t="shared" si="34"/>
        <v>89804.613095797627</v>
      </c>
      <c r="D190" s="15">
        <f t="shared" si="39"/>
        <v>30776.666666666664</v>
      </c>
      <c r="E190" s="14">
        <f t="shared" si="39"/>
        <v>10833.386666666667</v>
      </c>
      <c r="F190" s="14">
        <f t="shared" si="39"/>
        <v>1223.7827119650508</v>
      </c>
      <c r="G190" s="13">
        <f t="shared" si="39"/>
        <v>5837.0766666667887</v>
      </c>
      <c r="H190" s="15">
        <f t="shared" si="39"/>
        <v>1900.847676603217</v>
      </c>
      <c r="I190" s="13">
        <f t="shared" si="39"/>
        <v>694.32160642392955</v>
      </c>
      <c r="J190" s="16">
        <f t="shared" si="39"/>
        <v>7011.8644341386462</v>
      </c>
      <c r="K190" s="15">
        <f t="shared" si="39"/>
        <v>15577.333333333334</v>
      </c>
      <c r="L190" s="14">
        <f t="shared" si="39"/>
        <v>8896</v>
      </c>
      <c r="M190" s="172">
        <f t="shared" si="39"/>
        <v>7053.333333333333</v>
      </c>
      <c r="N190" s="174" t="s">
        <v>84</v>
      </c>
    </row>
    <row r="191" spans="1:14" outlineLevel="1" x14ac:dyDescent="0.2">
      <c r="A191" s="20">
        <f t="shared" si="40"/>
        <v>3615</v>
      </c>
      <c r="B191" s="19" t="str">
        <f t="shared" si="40"/>
        <v>TXST</v>
      </c>
      <c r="C191" s="58">
        <f t="shared" si="34"/>
        <v>163429.1250354347</v>
      </c>
      <c r="D191" s="15">
        <f t="shared" si="39"/>
        <v>53610</v>
      </c>
      <c r="E191" s="14">
        <f t="shared" si="39"/>
        <v>20361.078000000001</v>
      </c>
      <c r="F191" s="14">
        <f t="shared" si="39"/>
        <v>1170.3445759893198</v>
      </c>
      <c r="G191" s="13">
        <f t="shared" si="39"/>
        <v>10437.309999999357</v>
      </c>
      <c r="H191" s="15">
        <f t="shared" si="39"/>
        <v>5562.1610656692937</v>
      </c>
      <c r="I191" s="13">
        <f t="shared" si="39"/>
        <v>758.8214277857154</v>
      </c>
      <c r="J191" s="16">
        <f t="shared" si="39"/>
        <v>11641.743299324307</v>
      </c>
      <c r="K191" s="15">
        <f t="shared" si="39"/>
        <v>29881.333333333332</v>
      </c>
      <c r="L191" s="14">
        <f t="shared" si="39"/>
        <v>16737</v>
      </c>
      <c r="M191" s="172">
        <f t="shared" si="39"/>
        <v>13269.333333333334</v>
      </c>
      <c r="N191" s="174" t="s">
        <v>83</v>
      </c>
    </row>
    <row r="192" spans="1:14" outlineLevel="1" x14ac:dyDescent="0.2">
      <c r="A192" s="20">
        <f t="shared" si="40"/>
        <v>3625</v>
      </c>
      <c r="B192" s="19" t="str">
        <f t="shared" si="40"/>
        <v>SRSU</v>
      </c>
      <c r="C192" s="58">
        <f t="shared" si="34"/>
        <v>6445.7802995416978</v>
      </c>
      <c r="D192" s="15">
        <f t="shared" si="39"/>
        <v>1893.3333333333335</v>
      </c>
      <c r="E192" s="14">
        <f t="shared" si="39"/>
        <v>341.93600000000004</v>
      </c>
      <c r="F192" s="14">
        <f t="shared" si="39"/>
        <v>775.94215041620384</v>
      </c>
      <c r="G192" s="13">
        <f t="shared" si="39"/>
        <v>394.32999999999964</v>
      </c>
      <c r="H192" s="15">
        <f t="shared" si="39"/>
        <v>144.17607127928591</v>
      </c>
      <c r="I192" s="13">
        <f t="shared" si="39"/>
        <v>72.088035639642953</v>
      </c>
      <c r="J192" s="16">
        <f t="shared" si="39"/>
        <v>516.30804220656501</v>
      </c>
      <c r="K192" s="15">
        <f t="shared" si="39"/>
        <v>1200</v>
      </c>
      <c r="L192" s="14">
        <f t="shared" si="39"/>
        <v>581</v>
      </c>
      <c r="M192" s="172">
        <f t="shared" si="39"/>
        <v>526.66666666666663</v>
      </c>
      <c r="N192" s="174" t="s">
        <v>85</v>
      </c>
    </row>
    <row r="193" spans="1:14" outlineLevel="1" x14ac:dyDescent="0.2">
      <c r="A193" s="20">
        <f t="shared" si="40"/>
        <v>20</v>
      </c>
      <c r="B193" s="19" t="str">
        <f t="shared" si="40"/>
        <v>SRRG</v>
      </c>
      <c r="C193" s="58">
        <f t="shared" si="34"/>
        <v>5841.8990263956266</v>
      </c>
      <c r="D193" s="15">
        <f t="shared" si="39"/>
        <v>1616.6666666666665</v>
      </c>
      <c r="E193" s="14">
        <f t="shared" si="39"/>
        <v>308.19585971002653</v>
      </c>
      <c r="F193" s="14">
        <f t="shared" si="39"/>
        <v>1829.8204135016854</v>
      </c>
      <c r="G193" s="13">
        <f t="shared" si="39"/>
        <v>279.16999999999979</v>
      </c>
      <c r="H193" s="15">
        <f t="shared" si="39"/>
        <v>72.088035639642953</v>
      </c>
      <c r="I193" s="13">
        <f t="shared" si="39"/>
        <v>64.499821361785806</v>
      </c>
      <c r="J193" s="16">
        <f t="shared" si="39"/>
        <v>456.12489618248691</v>
      </c>
      <c r="K193" s="15">
        <f t="shared" si="39"/>
        <v>920</v>
      </c>
      <c r="L193" s="14">
        <f t="shared" si="39"/>
        <v>278</v>
      </c>
      <c r="M193" s="172">
        <f t="shared" si="39"/>
        <v>17.333333333333332</v>
      </c>
      <c r="N193" s="174" t="s">
        <v>85</v>
      </c>
    </row>
    <row r="194" spans="1:14" ht="13.5" outlineLevel="1" thickBot="1" x14ac:dyDescent="0.25">
      <c r="A194" s="12"/>
      <c r="B194" s="11" t="s">
        <v>11</v>
      </c>
      <c r="C194" s="57">
        <f t="shared" ref="C194:M194" si="41">SUM(C156:C193)</f>
        <v>2612698.2574946387</v>
      </c>
      <c r="D194" s="9">
        <f t="shared" si="41"/>
        <v>843158.33333333326</v>
      </c>
      <c r="E194" s="7">
        <f t="shared" si="41"/>
        <v>294190.83533525624</v>
      </c>
      <c r="F194" s="7">
        <f t="shared" si="41"/>
        <v>50873.502159387834</v>
      </c>
      <c r="G194" s="3">
        <f t="shared" si="41"/>
        <v>172461.13999999844</v>
      </c>
      <c r="H194" s="5">
        <f t="shared" si="41"/>
        <v>158821.32483555019</v>
      </c>
      <c r="I194" s="3">
        <f t="shared" si="41"/>
        <v>13639.815164448233</v>
      </c>
      <c r="J194" s="6">
        <f t="shared" si="41"/>
        <v>172461.13999999838</v>
      </c>
      <c r="K194" s="5">
        <f t="shared" si="41"/>
        <v>456850.66666666657</v>
      </c>
      <c r="L194" s="4">
        <f t="shared" si="41"/>
        <v>247033.5</v>
      </c>
      <c r="M194" s="173">
        <f t="shared" si="41"/>
        <v>203207.99999999997</v>
      </c>
      <c r="N194" s="175"/>
    </row>
    <row r="195" spans="1:14" ht="13.5" thickBot="1" x14ac:dyDescent="0.25">
      <c r="A195" s="45" t="s">
        <v>29</v>
      </c>
      <c r="B195" s="45"/>
      <c r="C195" s="54"/>
      <c r="D195" s="54"/>
      <c r="E195" s="54"/>
      <c r="F195" s="56"/>
      <c r="H195" s="56"/>
      <c r="N195" s="55"/>
    </row>
    <row r="196" spans="1:14" ht="12.75" customHeight="1" outlineLevel="1" x14ac:dyDescent="0.2">
      <c r="A196" s="273" t="s">
        <v>24</v>
      </c>
      <c r="B196" s="275" t="s">
        <v>23</v>
      </c>
      <c r="C196" s="277"/>
      <c r="D196" s="306" t="s">
        <v>28</v>
      </c>
      <c r="E196" s="301" t="s">
        <v>21</v>
      </c>
      <c r="F196" s="275" t="s">
        <v>20</v>
      </c>
      <c r="G196" s="297" t="s">
        <v>19</v>
      </c>
      <c r="H196" s="299" t="s">
        <v>18</v>
      </c>
      <c r="I196" s="291" t="s">
        <v>17</v>
      </c>
      <c r="J196" s="293" t="s">
        <v>16</v>
      </c>
      <c r="K196" s="295" t="s">
        <v>15</v>
      </c>
      <c r="L196" s="296"/>
      <c r="M196" s="296"/>
      <c r="N196" s="55"/>
    </row>
    <row r="197" spans="1:14" s="41" customFormat="1" ht="41.25" customHeight="1" outlineLevel="1" thickBot="1" x14ac:dyDescent="0.25">
      <c r="A197" s="274"/>
      <c r="B197" s="276"/>
      <c r="C197" s="278"/>
      <c r="D197" s="307"/>
      <c r="E197" s="302"/>
      <c r="F197" s="276"/>
      <c r="G197" s="298"/>
      <c r="H197" s="300"/>
      <c r="I197" s="292"/>
      <c r="J197" s="294"/>
      <c r="K197" s="44" t="s">
        <v>14</v>
      </c>
      <c r="L197" s="43" t="s">
        <v>13</v>
      </c>
      <c r="M197" s="42" t="s">
        <v>12</v>
      </c>
      <c r="N197" s="55"/>
    </row>
    <row r="198" spans="1:14" outlineLevel="1" x14ac:dyDescent="0.2">
      <c r="A198" s="20">
        <f t="shared" ref="A198:B213" si="42">A156</f>
        <v>3656</v>
      </c>
      <c r="B198" s="19" t="str">
        <f t="shared" si="42"/>
        <v>UTA</v>
      </c>
      <c r="C198" s="38"/>
      <c r="D198" s="33">
        <f t="shared" ref="D198:M213" si="43">AVERAGE(D240,D282,D324)</f>
        <v>5018</v>
      </c>
      <c r="E198" s="226">
        <f>AVERAGE(E240,E282,E324)*D198</f>
        <v>2600.9966666666669</v>
      </c>
      <c r="F198" s="32">
        <f>D198/AVERAGE(F240,F282,F324)*100</f>
        <v>29.603788278048281</v>
      </c>
      <c r="G198" s="31">
        <f t="shared" si="43"/>
        <v>10418.553333333379</v>
      </c>
      <c r="H198" s="36">
        <f t="shared" si="43"/>
        <v>1531.3333333333333</v>
      </c>
      <c r="I198" s="35">
        <f t="shared" si="43"/>
        <v>35</v>
      </c>
      <c r="J198" s="34">
        <f t="shared" si="43"/>
        <v>3116</v>
      </c>
      <c r="K198" s="33">
        <f t="shared" si="43"/>
        <v>6836.333333333333</v>
      </c>
      <c r="L198" s="32">
        <f t="shared" si="43"/>
        <v>3833.6666666666665</v>
      </c>
      <c r="M198" s="31">
        <f t="shared" si="43"/>
        <v>1783.6666666666667</v>
      </c>
      <c r="N198" s="55"/>
    </row>
    <row r="199" spans="1:14" outlineLevel="1" x14ac:dyDescent="0.2">
      <c r="A199" s="20">
        <f t="shared" si="42"/>
        <v>3658</v>
      </c>
      <c r="B199" s="19" t="str">
        <f t="shared" si="42"/>
        <v>UT</v>
      </c>
      <c r="C199" s="18"/>
      <c r="D199" s="15">
        <f t="shared" si="43"/>
        <v>8946.3333333333339</v>
      </c>
      <c r="E199" s="188">
        <f t="shared" ref="E199:E235" si="44">AVERAGE(E241,E283,E325)*D199</f>
        <v>7416.5103333333345</v>
      </c>
      <c r="F199" s="14">
        <f t="shared" ref="F199:F235" si="45">D199/AVERAGE(F241,F283,F325)*100</f>
        <v>26.497692061124674</v>
      </c>
      <c r="G199" s="13">
        <f t="shared" si="43"/>
        <v>19398.350000000519</v>
      </c>
      <c r="H199" s="15">
        <f t="shared" si="43"/>
        <v>1876.3333333333333</v>
      </c>
      <c r="I199" s="13">
        <f t="shared" si="43"/>
        <v>66</v>
      </c>
      <c r="J199" s="16">
        <f t="shared" si="43"/>
        <v>3470.3333333333335</v>
      </c>
      <c r="K199" s="15">
        <f t="shared" si="43"/>
        <v>9598.3333333333339</v>
      </c>
      <c r="L199" s="14">
        <f t="shared" si="43"/>
        <v>9005.6666666666661</v>
      </c>
      <c r="M199" s="13">
        <f t="shared" si="43"/>
        <v>7040.333333333333</v>
      </c>
      <c r="N199" s="55"/>
    </row>
    <row r="200" spans="1:14" outlineLevel="1" x14ac:dyDescent="0.2">
      <c r="A200" s="20">
        <f t="shared" si="42"/>
        <v>9741</v>
      </c>
      <c r="B200" s="19" t="str">
        <f t="shared" si="42"/>
        <v>UTD</v>
      </c>
      <c r="C200" s="18"/>
      <c r="D200" s="15">
        <f t="shared" si="43"/>
        <v>2393</v>
      </c>
      <c r="E200" s="188">
        <f t="shared" si="44"/>
        <v>1682.279</v>
      </c>
      <c r="F200" s="14">
        <f t="shared" si="45"/>
        <v>26.829760516638267</v>
      </c>
      <c r="G200" s="13">
        <f t="shared" si="43"/>
        <v>5101.2033333334393</v>
      </c>
      <c r="H200" s="15">
        <f t="shared" si="43"/>
        <v>421.66666666666669</v>
      </c>
      <c r="I200" s="13">
        <f t="shared" si="43"/>
        <v>32</v>
      </c>
      <c r="J200" s="16">
        <f t="shared" si="43"/>
        <v>1319.6666666666667</v>
      </c>
      <c r="K200" s="15">
        <f t="shared" si="43"/>
        <v>3315</v>
      </c>
      <c r="L200" s="14">
        <f t="shared" si="43"/>
        <v>2134.3333333333335</v>
      </c>
      <c r="M200" s="13">
        <f t="shared" si="43"/>
        <v>1021.3333333333334</v>
      </c>
      <c r="N200" s="55"/>
    </row>
    <row r="201" spans="1:14" outlineLevel="1" x14ac:dyDescent="0.2">
      <c r="A201" s="20">
        <f t="shared" si="42"/>
        <v>3661</v>
      </c>
      <c r="B201" s="19" t="str">
        <f t="shared" si="42"/>
        <v>UTEP</v>
      </c>
      <c r="C201" s="18"/>
      <c r="D201" s="15">
        <f t="shared" si="43"/>
        <v>3057</v>
      </c>
      <c r="E201" s="188">
        <f t="shared" si="44"/>
        <v>1192.2299999999998</v>
      </c>
      <c r="F201" s="14">
        <f t="shared" si="45"/>
        <v>22.870894536023343</v>
      </c>
      <c r="G201" s="13">
        <f t="shared" si="43"/>
        <v>6298.0766666668133</v>
      </c>
      <c r="H201" s="15">
        <f t="shared" si="43"/>
        <v>655</v>
      </c>
      <c r="I201" s="13">
        <f t="shared" si="43"/>
        <v>90</v>
      </c>
      <c r="J201" s="16">
        <f t="shared" si="43"/>
        <v>2464.3333333333335</v>
      </c>
      <c r="K201" s="15">
        <f t="shared" si="43"/>
        <v>4362.666666666667</v>
      </c>
      <c r="L201" s="14">
        <f t="shared" si="43"/>
        <v>3358</v>
      </c>
      <c r="M201" s="13">
        <f t="shared" si="43"/>
        <v>1956</v>
      </c>
      <c r="N201" s="55"/>
    </row>
    <row r="202" spans="1:14" outlineLevel="1" x14ac:dyDescent="0.2">
      <c r="A202" s="20">
        <f t="shared" si="42"/>
        <v>3599</v>
      </c>
      <c r="B202" s="19" t="str">
        <f t="shared" si="42"/>
        <v>UTPA</v>
      </c>
      <c r="C202" s="18"/>
      <c r="D202" s="15">
        <f t="shared" si="43"/>
        <v>2580</v>
      </c>
      <c r="E202" s="188">
        <f t="shared" si="44"/>
        <v>1111.98</v>
      </c>
      <c r="F202" s="14">
        <f t="shared" si="45"/>
        <v>20.492490499497837</v>
      </c>
      <c r="G202" s="13">
        <f t="shared" si="43"/>
        <v>5134.1666666667797</v>
      </c>
      <c r="H202" s="15">
        <f t="shared" si="43"/>
        <v>520.33333333333337</v>
      </c>
      <c r="I202" s="13">
        <f t="shared" si="43"/>
        <v>28</v>
      </c>
      <c r="J202" s="16">
        <f t="shared" si="43"/>
        <v>2338.3333333333335</v>
      </c>
      <c r="K202" s="15">
        <f t="shared" si="43"/>
        <v>4075.3333333333335</v>
      </c>
      <c r="L202" s="14">
        <f t="shared" si="43"/>
        <v>3096</v>
      </c>
      <c r="M202" s="13">
        <f t="shared" si="43"/>
        <v>1939.3333333333333</v>
      </c>
      <c r="N202" s="55"/>
    </row>
    <row r="203" spans="1:14" outlineLevel="1" x14ac:dyDescent="0.2">
      <c r="A203" s="20">
        <f t="shared" si="42"/>
        <v>30646</v>
      </c>
      <c r="B203" s="19" t="str">
        <f t="shared" si="42"/>
        <v>UTB</v>
      </c>
      <c r="C203" s="18"/>
      <c r="D203" s="15">
        <f t="shared" si="43"/>
        <v>1092</v>
      </c>
      <c r="E203" s="188">
        <f t="shared" si="44"/>
        <v>628.17092451302005</v>
      </c>
      <c r="F203" s="14">
        <f t="shared" si="45"/>
        <v>34.461236368736628</v>
      </c>
      <c r="G203" s="13">
        <f t="shared" si="43"/>
        <v>2097.7933333333553</v>
      </c>
      <c r="H203" s="15">
        <f t="shared" si="43"/>
        <v>124.33333333333333</v>
      </c>
      <c r="I203" s="13">
        <f t="shared" si="43"/>
        <v>18.333333333333332</v>
      </c>
      <c r="J203" s="16">
        <f t="shared" si="43"/>
        <v>936.66666666666663</v>
      </c>
      <c r="K203" s="15">
        <f t="shared" si="43"/>
        <v>1326.3333333333333</v>
      </c>
      <c r="L203" s="14">
        <f t="shared" si="43"/>
        <v>556.33333333333337</v>
      </c>
      <c r="M203" s="13">
        <f t="shared" si="43"/>
        <v>100.66666666666667</v>
      </c>
      <c r="N203" s="55"/>
    </row>
    <row r="204" spans="1:14" outlineLevel="1" x14ac:dyDescent="0.2">
      <c r="A204" s="20">
        <f t="shared" si="42"/>
        <v>9930</v>
      </c>
      <c r="B204" s="19" t="str">
        <f t="shared" si="42"/>
        <v>UTPB</v>
      </c>
      <c r="C204" s="18"/>
      <c r="D204" s="15">
        <f t="shared" si="43"/>
        <v>533.33333333333337</v>
      </c>
      <c r="E204" s="188">
        <f t="shared" si="44"/>
        <v>236.8</v>
      </c>
      <c r="F204" s="14">
        <f t="shared" si="45"/>
        <v>23.125174643246009</v>
      </c>
      <c r="G204" s="13">
        <f t="shared" si="43"/>
        <v>1001.5166666666704</v>
      </c>
      <c r="H204" s="15">
        <f t="shared" si="43"/>
        <v>41.333333333333336</v>
      </c>
      <c r="I204" s="13">
        <f t="shared" si="43"/>
        <v>10</v>
      </c>
      <c r="J204" s="16">
        <f t="shared" si="43"/>
        <v>399</v>
      </c>
      <c r="K204" s="15">
        <f t="shared" si="43"/>
        <v>785.66666666666663</v>
      </c>
      <c r="L204" s="14">
        <f t="shared" si="43"/>
        <v>491.66666666666669</v>
      </c>
      <c r="M204" s="13">
        <f t="shared" si="43"/>
        <v>194.33333333333334</v>
      </c>
      <c r="N204" s="55"/>
    </row>
    <row r="205" spans="1:14" outlineLevel="1" x14ac:dyDescent="0.2">
      <c r="A205" s="20">
        <f t="shared" si="42"/>
        <v>10115</v>
      </c>
      <c r="B205" s="19" t="str">
        <f t="shared" si="42"/>
        <v>UTSA</v>
      </c>
      <c r="C205" s="18"/>
      <c r="D205" s="15">
        <f t="shared" si="43"/>
        <v>4119.666666666667</v>
      </c>
      <c r="E205" s="188">
        <f t="shared" si="44"/>
        <v>1737.1261111111112</v>
      </c>
      <c r="F205" s="14">
        <f t="shared" si="45"/>
        <v>20.241034101368403</v>
      </c>
      <c r="G205" s="13">
        <f t="shared" si="43"/>
        <v>8414.213333333224</v>
      </c>
      <c r="H205" s="15">
        <f t="shared" si="43"/>
        <v>392</v>
      </c>
      <c r="I205" s="13">
        <f t="shared" si="43"/>
        <v>49.666666666666664</v>
      </c>
      <c r="J205" s="16">
        <f t="shared" si="43"/>
        <v>3123.6666666666665</v>
      </c>
      <c r="K205" s="15">
        <f t="shared" si="43"/>
        <v>6809.666666666667</v>
      </c>
      <c r="L205" s="14">
        <f t="shared" si="43"/>
        <v>4458.666666666667</v>
      </c>
      <c r="M205" s="13">
        <f t="shared" si="43"/>
        <v>2615.6666666666665</v>
      </c>
      <c r="N205" s="55"/>
    </row>
    <row r="206" spans="1:14" outlineLevel="1" x14ac:dyDescent="0.2">
      <c r="A206" s="20">
        <f t="shared" si="42"/>
        <v>11163</v>
      </c>
      <c r="B206" s="19" t="str">
        <f t="shared" si="42"/>
        <v>UTT</v>
      </c>
      <c r="C206" s="18"/>
      <c r="D206" s="15">
        <f t="shared" si="43"/>
        <v>1190</v>
      </c>
      <c r="E206" s="188">
        <f t="shared" si="44"/>
        <v>613.64333333333343</v>
      </c>
      <c r="F206" s="14">
        <f t="shared" si="45"/>
        <v>29.255740517151896</v>
      </c>
      <c r="G206" s="13">
        <f t="shared" si="43"/>
        <v>2362.6600000000103</v>
      </c>
      <c r="H206" s="15">
        <f t="shared" si="43"/>
        <v>376.66666666666669</v>
      </c>
      <c r="I206" s="13">
        <f t="shared" si="43"/>
        <v>14</v>
      </c>
      <c r="J206" s="16">
        <f t="shared" si="43"/>
        <v>942.33333333333337</v>
      </c>
      <c r="K206" s="15">
        <f t="shared" si="43"/>
        <v>1436.3333333333333</v>
      </c>
      <c r="L206" s="14">
        <f t="shared" si="43"/>
        <v>890</v>
      </c>
      <c r="M206" s="13">
        <f t="shared" si="43"/>
        <v>387.33333333333331</v>
      </c>
      <c r="N206" s="55"/>
    </row>
    <row r="207" spans="1:14" outlineLevel="1" x14ac:dyDescent="0.2">
      <c r="A207" s="20">
        <f t="shared" si="42"/>
        <v>3632</v>
      </c>
      <c r="B207" s="19" t="str">
        <f t="shared" si="42"/>
        <v>TAMU</v>
      </c>
      <c r="C207" s="18"/>
      <c r="D207" s="15">
        <f t="shared" si="43"/>
        <v>8739.6666666666661</v>
      </c>
      <c r="E207" s="188">
        <f t="shared" si="44"/>
        <v>7347.1464444444427</v>
      </c>
      <c r="F207" s="14">
        <f t="shared" si="45"/>
        <v>25.241886570842681</v>
      </c>
      <c r="G207" s="13">
        <f t="shared" si="43"/>
        <v>20104.8166666668</v>
      </c>
      <c r="H207" s="15">
        <f t="shared" si="43"/>
        <v>1763</v>
      </c>
      <c r="I207" s="13">
        <f t="shared" si="43"/>
        <v>126</v>
      </c>
      <c r="J207" s="16">
        <f t="shared" si="43"/>
        <v>3724</v>
      </c>
      <c r="K207" s="15">
        <f t="shared" si="43"/>
        <v>10060.666666666666</v>
      </c>
      <c r="L207" s="14">
        <f t="shared" si="43"/>
        <v>8907.3333333333339</v>
      </c>
      <c r="M207" s="13">
        <f t="shared" si="43"/>
        <v>6897.666666666667</v>
      </c>
      <c r="N207" s="55"/>
    </row>
    <row r="208" spans="1:14" outlineLevel="1" x14ac:dyDescent="0.2">
      <c r="A208" s="20">
        <f t="shared" si="42"/>
        <v>10298</v>
      </c>
      <c r="B208" s="19" t="str">
        <f t="shared" si="42"/>
        <v>TAMUG</v>
      </c>
      <c r="C208" s="18"/>
      <c r="D208" s="15">
        <f t="shared" si="43"/>
        <v>275.33333333333331</v>
      </c>
      <c r="E208" s="188">
        <f t="shared" si="44"/>
        <v>172.72577777777778</v>
      </c>
      <c r="F208" s="14">
        <f t="shared" si="45"/>
        <v>16.399301143583227</v>
      </c>
      <c r="G208" s="13">
        <f t="shared" si="43"/>
        <v>704.02666666666448</v>
      </c>
      <c r="H208" s="15">
        <f t="shared" si="43"/>
        <v>37.333333333333336</v>
      </c>
      <c r="I208" s="13">
        <f t="shared" si="43"/>
        <v>0</v>
      </c>
      <c r="J208" s="16">
        <f t="shared" si="43"/>
        <v>158</v>
      </c>
      <c r="K208" s="15">
        <f t="shared" si="43"/>
        <v>592.33333333333337</v>
      </c>
      <c r="L208" s="14">
        <f t="shared" si="43"/>
        <v>318</v>
      </c>
      <c r="M208" s="13">
        <f t="shared" si="43"/>
        <v>246</v>
      </c>
      <c r="N208" s="55"/>
    </row>
    <row r="209" spans="1:14" outlineLevel="1" x14ac:dyDescent="0.2">
      <c r="A209" s="20">
        <f t="shared" si="42"/>
        <v>3630</v>
      </c>
      <c r="B209" s="19" t="str">
        <f t="shared" si="42"/>
        <v>Prairie View</v>
      </c>
      <c r="C209" s="18"/>
      <c r="D209" s="15">
        <f t="shared" si="43"/>
        <v>936.33333333333337</v>
      </c>
      <c r="E209" s="188">
        <f t="shared" si="44"/>
        <v>348.00388888888887</v>
      </c>
      <c r="F209" s="14">
        <f t="shared" si="45"/>
        <v>15.823688025296873</v>
      </c>
      <c r="G209" s="13">
        <f t="shared" si="43"/>
        <v>2072.9000000000092</v>
      </c>
      <c r="H209" s="15">
        <f t="shared" si="43"/>
        <v>315.66666666666669</v>
      </c>
      <c r="I209" s="13">
        <f t="shared" si="43"/>
        <v>9.6666666666666661</v>
      </c>
      <c r="J209" s="16">
        <f t="shared" si="43"/>
        <v>802.66666666666663</v>
      </c>
      <c r="K209" s="15">
        <f t="shared" si="43"/>
        <v>1668</v>
      </c>
      <c r="L209" s="14">
        <f t="shared" si="43"/>
        <v>1181</v>
      </c>
      <c r="M209" s="13">
        <f t="shared" si="43"/>
        <v>905.33333333333337</v>
      </c>
      <c r="N209" s="55"/>
    </row>
    <row r="210" spans="1:14" outlineLevel="1" x14ac:dyDescent="0.2">
      <c r="A210" s="20">
        <f t="shared" si="42"/>
        <v>3631</v>
      </c>
      <c r="B210" s="19" t="str">
        <f t="shared" si="42"/>
        <v>Tarleton</v>
      </c>
      <c r="C210" s="18"/>
      <c r="D210" s="15">
        <f t="shared" si="43"/>
        <v>1545.3333333333333</v>
      </c>
      <c r="E210" s="188">
        <f t="shared" si="44"/>
        <v>738.66933333333338</v>
      </c>
      <c r="F210" s="14">
        <f t="shared" si="45"/>
        <v>24.559767752325659</v>
      </c>
      <c r="G210" s="13">
        <f t="shared" si="43"/>
        <v>3122.5433333333599</v>
      </c>
      <c r="H210" s="15">
        <f t="shared" si="43"/>
        <v>203</v>
      </c>
      <c r="I210" s="13">
        <f t="shared" si="43"/>
        <v>47.666666666666664</v>
      </c>
      <c r="J210" s="16">
        <f t="shared" si="43"/>
        <v>1195</v>
      </c>
      <c r="K210" s="15">
        <f t="shared" si="43"/>
        <v>2154.3333333333335</v>
      </c>
      <c r="L210" s="14">
        <f t="shared" si="43"/>
        <v>1328.6666666666667</v>
      </c>
      <c r="M210" s="13">
        <f t="shared" si="43"/>
        <v>862.66666666666663</v>
      </c>
      <c r="N210" s="55"/>
    </row>
    <row r="211" spans="1:14" outlineLevel="1" x14ac:dyDescent="0.2">
      <c r="A211" s="27">
        <f t="shared" si="42"/>
        <v>103631</v>
      </c>
      <c r="B211" s="19" t="str">
        <f t="shared" si="42"/>
        <v>TAMUCT</v>
      </c>
      <c r="C211" s="18"/>
      <c r="D211" s="15">
        <f t="shared" si="43"/>
        <v>460.33333333333331</v>
      </c>
      <c r="E211" s="188">
        <f t="shared" si="44"/>
        <v>220.03933333333333</v>
      </c>
      <c r="F211" s="14">
        <f t="shared" si="45"/>
        <v>67.587849522007247</v>
      </c>
      <c r="G211" s="13">
        <f t="shared" si="43"/>
        <v>853.61666666666588</v>
      </c>
      <c r="H211" s="15">
        <f t="shared" si="43"/>
        <v>40.666666666666664</v>
      </c>
      <c r="I211" s="13">
        <f t="shared" si="43"/>
        <v>0</v>
      </c>
      <c r="J211" s="16">
        <f t="shared" si="43"/>
        <v>327</v>
      </c>
      <c r="K211" s="15">
        <f t="shared" si="43"/>
        <v>495</v>
      </c>
      <c r="L211" s="14">
        <f t="shared" si="43"/>
        <v>133</v>
      </c>
      <c r="M211" s="13">
        <f t="shared" si="43"/>
        <v>34</v>
      </c>
      <c r="N211" s="55"/>
    </row>
    <row r="212" spans="1:14" outlineLevel="1" x14ac:dyDescent="0.2">
      <c r="A212" s="20">
        <f t="shared" si="42"/>
        <v>11161</v>
      </c>
      <c r="B212" s="19" t="str">
        <f t="shared" si="42"/>
        <v>TAMUCC</v>
      </c>
      <c r="C212" s="18"/>
      <c r="D212" s="15">
        <f t="shared" si="43"/>
        <v>1388.3333333333333</v>
      </c>
      <c r="E212" s="188">
        <f t="shared" si="44"/>
        <v>705.27333333333331</v>
      </c>
      <c r="F212" s="14">
        <f t="shared" si="45"/>
        <v>21.376514062820775</v>
      </c>
      <c r="G212" s="13">
        <f t="shared" si="43"/>
        <v>2804.2000000000139</v>
      </c>
      <c r="H212" s="15">
        <f t="shared" si="43"/>
        <v>266.33333333333331</v>
      </c>
      <c r="I212" s="13">
        <f t="shared" si="43"/>
        <v>25.666666666666668</v>
      </c>
      <c r="J212" s="16">
        <f t="shared" si="43"/>
        <v>1080</v>
      </c>
      <c r="K212" s="15">
        <f t="shared" si="43"/>
        <v>2054</v>
      </c>
      <c r="L212" s="14">
        <f t="shared" si="43"/>
        <v>1468</v>
      </c>
      <c r="M212" s="13">
        <f t="shared" si="43"/>
        <v>878.33333333333337</v>
      </c>
      <c r="N212" s="55"/>
    </row>
    <row r="213" spans="1:14" outlineLevel="1" x14ac:dyDescent="0.2">
      <c r="A213" s="20">
        <f t="shared" si="42"/>
        <v>3639</v>
      </c>
      <c r="B213" s="19" t="str">
        <f t="shared" si="42"/>
        <v>TAMUK</v>
      </c>
      <c r="C213" s="18"/>
      <c r="D213" s="15">
        <f t="shared" si="43"/>
        <v>761.66666666666663</v>
      </c>
      <c r="E213" s="188">
        <f t="shared" si="44"/>
        <v>306.44388888888892</v>
      </c>
      <c r="F213" s="14">
        <f t="shared" si="45"/>
        <v>17.879499217527385</v>
      </c>
      <c r="G213" s="13">
        <f t="shared" si="43"/>
        <v>1763.4533333333395</v>
      </c>
      <c r="H213" s="15">
        <f t="shared" si="43"/>
        <v>260</v>
      </c>
      <c r="I213" s="13">
        <f t="shared" si="43"/>
        <v>16.666666666666668</v>
      </c>
      <c r="J213" s="16">
        <f t="shared" si="43"/>
        <v>648.33333333333337</v>
      </c>
      <c r="K213" s="15">
        <f t="shared" si="43"/>
        <v>1227.3333333333333</v>
      </c>
      <c r="L213" s="14">
        <f t="shared" si="43"/>
        <v>859.66666666666663</v>
      </c>
      <c r="M213" s="13">
        <f t="shared" si="43"/>
        <v>558.66666666666663</v>
      </c>
      <c r="N213" s="55"/>
    </row>
    <row r="214" spans="1:14" outlineLevel="1" x14ac:dyDescent="0.2">
      <c r="A214" s="27">
        <f t="shared" ref="A214:B229" si="46">A172</f>
        <v>103639</v>
      </c>
      <c r="B214" s="19" t="str">
        <f t="shared" si="46"/>
        <v>TAMUSA</v>
      </c>
      <c r="C214" s="18"/>
      <c r="D214" s="15">
        <f t="shared" ref="D214:M229" si="47">AVERAGE(D256,D298,D340)</f>
        <v>587.66666666666663</v>
      </c>
      <c r="E214" s="188">
        <f t="shared" si="44"/>
        <v>236.43788888888889</v>
      </c>
      <c r="F214" s="14">
        <f t="shared" si="45"/>
        <v>41.598502485370922</v>
      </c>
      <c r="G214" s="13">
        <f t="shared" si="47"/>
        <v>1026.0133333333379</v>
      </c>
      <c r="H214" s="15">
        <f t="shared" si="47"/>
        <v>5</v>
      </c>
      <c r="I214" s="13">
        <f t="shared" si="47"/>
        <v>2</v>
      </c>
      <c r="J214" s="16">
        <f t="shared" si="47"/>
        <v>490.33333333333331</v>
      </c>
      <c r="K214" s="15">
        <f t="shared" si="47"/>
        <v>729.66666666666663</v>
      </c>
      <c r="L214" s="14">
        <f t="shared" si="47"/>
        <v>77.333333333333329</v>
      </c>
      <c r="M214" s="13">
        <f t="shared" si="47"/>
        <v>2.6666666666666665</v>
      </c>
      <c r="N214" s="55"/>
    </row>
    <row r="215" spans="1:14" outlineLevel="1" x14ac:dyDescent="0.2">
      <c r="A215" s="20">
        <f t="shared" si="46"/>
        <v>9651</v>
      </c>
      <c r="B215" s="19" t="str">
        <f t="shared" si="46"/>
        <v>TAMI</v>
      </c>
      <c r="C215" s="18"/>
      <c r="D215" s="15">
        <f t="shared" si="47"/>
        <v>789.66666666666663</v>
      </c>
      <c r="E215" s="188">
        <f t="shared" si="44"/>
        <v>373.77555555555551</v>
      </c>
      <c r="F215" s="14">
        <f t="shared" si="45"/>
        <v>19.326154348180779</v>
      </c>
      <c r="G215" s="13">
        <f t="shared" si="47"/>
        <v>1458.4966666666717</v>
      </c>
      <c r="H215" s="15">
        <f t="shared" si="47"/>
        <v>115.66666666666667</v>
      </c>
      <c r="I215" s="13">
        <f t="shared" si="47"/>
        <v>22.333333333333332</v>
      </c>
      <c r="J215" s="16">
        <f t="shared" si="47"/>
        <v>712.66666666666663</v>
      </c>
      <c r="K215" s="15">
        <f t="shared" si="47"/>
        <v>1406.6666666666667</v>
      </c>
      <c r="L215" s="14">
        <f t="shared" si="47"/>
        <v>1015.6666666666666</v>
      </c>
      <c r="M215" s="13">
        <f t="shared" si="47"/>
        <v>473.66666666666669</v>
      </c>
      <c r="N215" s="55"/>
    </row>
    <row r="216" spans="1:14" outlineLevel="1" x14ac:dyDescent="0.2">
      <c r="A216" s="20">
        <f t="shared" si="46"/>
        <v>3665</v>
      </c>
      <c r="B216" s="19" t="str">
        <f t="shared" si="46"/>
        <v>WTAMU</v>
      </c>
      <c r="C216" s="18"/>
      <c r="D216" s="15">
        <f t="shared" si="47"/>
        <v>1255.6666666666667</v>
      </c>
      <c r="E216" s="188">
        <f t="shared" si="44"/>
        <v>591.00044444444438</v>
      </c>
      <c r="F216" s="14">
        <f t="shared" si="45"/>
        <v>23.187721854032869</v>
      </c>
      <c r="G216" s="13">
        <f t="shared" si="47"/>
        <v>2503.5766666666836</v>
      </c>
      <c r="H216" s="15">
        <f t="shared" si="47"/>
        <v>191.66666666666666</v>
      </c>
      <c r="I216" s="13">
        <f t="shared" si="47"/>
        <v>60.666666666666664</v>
      </c>
      <c r="J216" s="16">
        <f t="shared" si="47"/>
        <v>889.33333333333337</v>
      </c>
      <c r="K216" s="15">
        <f t="shared" si="47"/>
        <v>1791.6666666666667</v>
      </c>
      <c r="L216" s="14">
        <f t="shared" si="47"/>
        <v>1212.6666666666667</v>
      </c>
      <c r="M216" s="13">
        <f t="shared" si="47"/>
        <v>661.33333333333337</v>
      </c>
      <c r="N216" s="55"/>
    </row>
    <row r="217" spans="1:14" outlineLevel="1" x14ac:dyDescent="0.2">
      <c r="A217" s="20">
        <f t="shared" si="46"/>
        <v>3565</v>
      </c>
      <c r="B217" s="19" t="str">
        <f t="shared" si="46"/>
        <v>TAMUC</v>
      </c>
      <c r="C217" s="18"/>
      <c r="D217" s="15">
        <f t="shared" si="47"/>
        <v>1324.3333333333333</v>
      </c>
      <c r="E217" s="188">
        <f t="shared" si="44"/>
        <v>582.70666666666659</v>
      </c>
      <c r="F217" s="14">
        <f t="shared" si="45"/>
        <v>28.19543536269185</v>
      </c>
      <c r="G217" s="13">
        <f t="shared" si="47"/>
        <v>2501.8266666666914</v>
      </c>
      <c r="H217" s="15">
        <f t="shared" si="47"/>
        <v>73</v>
      </c>
      <c r="I217" s="13">
        <f t="shared" si="47"/>
        <v>74.333333333333329</v>
      </c>
      <c r="J217" s="16">
        <f t="shared" si="47"/>
        <v>1019.3333333333334</v>
      </c>
      <c r="K217" s="15">
        <f t="shared" si="47"/>
        <v>1893</v>
      </c>
      <c r="L217" s="14">
        <f t="shared" si="47"/>
        <v>1137.3333333333333</v>
      </c>
      <c r="M217" s="13">
        <f t="shared" si="47"/>
        <v>452.33333333333331</v>
      </c>
      <c r="N217" s="55"/>
    </row>
    <row r="218" spans="1:14" outlineLevel="1" x14ac:dyDescent="0.2">
      <c r="A218" s="20">
        <f t="shared" si="46"/>
        <v>29269</v>
      </c>
      <c r="B218" s="19" t="str">
        <f t="shared" si="46"/>
        <v>TAMUT</v>
      </c>
      <c r="C218" s="18"/>
      <c r="D218" s="15">
        <f t="shared" si="47"/>
        <v>345.66666666666669</v>
      </c>
      <c r="E218" s="188">
        <f t="shared" si="44"/>
        <v>187.3602625468375</v>
      </c>
      <c r="F218" s="14">
        <f t="shared" si="45"/>
        <v>38.766355140186917</v>
      </c>
      <c r="G218" s="13">
        <f t="shared" si="47"/>
        <v>619.90999999999826</v>
      </c>
      <c r="H218" s="15">
        <f t="shared" si="47"/>
        <v>41.666666666666664</v>
      </c>
      <c r="I218" s="13">
        <f t="shared" si="47"/>
        <v>19.333333333333332</v>
      </c>
      <c r="J218" s="16">
        <f t="shared" si="47"/>
        <v>239</v>
      </c>
      <c r="K218" s="15">
        <f t="shared" si="47"/>
        <v>432.66666666666669</v>
      </c>
      <c r="L218" s="14">
        <f t="shared" si="47"/>
        <v>181</v>
      </c>
      <c r="M218" s="13">
        <f t="shared" si="47"/>
        <v>0.66666666666666663</v>
      </c>
      <c r="N218" s="55"/>
    </row>
    <row r="219" spans="1:14" outlineLevel="1" x14ac:dyDescent="0.2">
      <c r="A219" s="20">
        <f t="shared" si="46"/>
        <v>3652</v>
      </c>
      <c r="B219" s="19" t="str">
        <f t="shared" si="46"/>
        <v>UH</v>
      </c>
      <c r="C219" s="18"/>
      <c r="D219" s="15">
        <f t="shared" si="47"/>
        <v>5098.666666666667</v>
      </c>
      <c r="E219" s="188">
        <f t="shared" si="44"/>
        <v>2734.5848888888891</v>
      </c>
      <c r="F219" s="14">
        <f t="shared" si="45"/>
        <v>21.425049678026625</v>
      </c>
      <c r="G219" s="13">
        <f t="shared" si="47"/>
        <v>10580.246666665944</v>
      </c>
      <c r="H219" s="15">
        <f t="shared" si="47"/>
        <v>737</v>
      </c>
      <c r="I219" s="13">
        <f t="shared" si="47"/>
        <v>62.666666666666664</v>
      </c>
      <c r="J219" s="16">
        <f t="shared" si="47"/>
        <v>3373</v>
      </c>
      <c r="K219" s="15">
        <f t="shared" si="47"/>
        <v>7602.333333333333</v>
      </c>
      <c r="L219" s="14">
        <f t="shared" si="47"/>
        <v>5690.333333333333</v>
      </c>
      <c r="M219" s="13">
        <f t="shared" si="47"/>
        <v>3307.3333333333335</v>
      </c>
      <c r="N219" s="55"/>
    </row>
    <row r="220" spans="1:14" outlineLevel="1" x14ac:dyDescent="0.2">
      <c r="A220" s="20">
        <f t="shared" si="46"/>
        <v>11711</v>
      </c>
      <c r="B220" s="19" t="str">
        <f t="shared" si="46"/>
        <v>UHCL</v>
      </c>
      <c r="C220" s="18"/>
      <c r="D220" s="15">
        <f t="shared" si="47"/>
        <v>1190.6666666666667</v>
      </c>
      <c r="E220" s="188">
        <f t="shared" si="44"/>
        <v>619.34267935898833</v>
      </c>
      <c r="F220" s="14">
        <f t="shared" si="45"/>
        <v>39.693593314763234</v>
      </c>
      <c r="G220" s="13">
        <f t="shared" si="47"/>
        <v>2282.9533333333529</v>
      </c>
      <c r="H220" s="15">
        <f t="shared" si="47"/>
        <v>106.66666666666667</v>
      </c>
      <c r="I220" s="13">
        <f t="shared" si="47"/>
        <v>8.3333333333333339</v>
      </c>
      <c r="J220" s="16">
        <f t="shared" si="47"/>
        <v>774.33333333333337</v>
      </c>
      <c r="K220" s="15">
        <f t="shared" si="47"/>
        <v>1391.3333333333333</v>
      </c>
      <c r="L220" s="14">
        <f t="shared" si="47"/>
        <v>953.66666666666663</v>
      </c>
      <c r="M220" s="13">
        <f t="shared" si="47"/>
        <v>57</v>
      </c>
      <c r="N220" s="55"/>
    </row>
    <row r="221" spans="1:14" outlineLevel="1" x14ac:dyDescent="0.2">
      <c r="A221" s="20">
        <f t="shared" si="46"/>
        <v>12826</v>
      </c>
      <c r="B221" s="19" t="str">
        <f t="shared" si="46"/>
        <v>UHD</v>
      </c>
      <c r="C221" s="18"/>
      <c r="D221" s="15">
        <f t="shared" si="47"/>
        <v>2382.3333333333335</v>
      </c>
      <c r="E221" s="188">
        <f t="shared" si="44"/>
        <v>452.64333333333343</v>
      </c>
      <c r="F221" s="14">
        <f t="shared" si="45"/>
        <v>29.833031863086134</v>
      </c>
      <c r="G221" s="13">
        <f t="shared" si="47"/>
        <v>4271.3166666667212</v>
      </c>
      <c r="H221" s="15">
        <f t="shared" si="47"/>
        <v>129.66666666666666</v>
      </c>
      <c r="I221" s="13">
        <f t="shared" si="47"/>
        <v>1.6666666666666667</v>
      </c>
      <c r="J221" s="16">
        <f t="shared" si="47"/>
        <v>1681</v>
      </c>
      <c r="K221" s="15">
        <f t="shared" si="47"/>
        <v>3105.3333333333335</v>
      </c>
      <c r="L221" s="14">
        <f t="shared" si="47"/>
        <v>1868.3333333333333</v>
      </c>
      <c r="M221" s="13">
        <f t="shared" si="47"/>
        <v>604.66666666666663</v>
      </c>
      <c r="N221" s="55"/>
    </row>
    <row r="222" spans="1:14" outlineLevel="1" x14ac:dyDescent="0.2">
      <c r="A222" s="20">
        <f t="shared" si="46"/>
        <v>13231</v>
      </c>
      <c r="B222" s="19" t="str">
        <f t="shared" si="46"/>
        <v>UHV</v>
      </c>
      <c r="C222" s="18"/>
      <c r="D222" s="15">
        <f t="shared" si="47"/>
        <v>576.66666666666663</v>
      </c>
      <c r="E222" s="188">
        <f t="shared" si="44"/>
        <v>300.19546283886069</v>
      </c>
      <c r="F222" s="14">
        <f t="shared" si="45"/>
        <v>40.08464889245883</v>
      </c>
      <c r="G222" s="13">
        <f t="shared" si="47"/>
        <v>1084.4800000000012</v>
      </c>
      <c r="H222" s="15">
        <f t="shared" si="47"/>
        <v>108</v>
      </c>
      <c r="I222" s="13">
        <f t="shared" si="47"/>
        <v>7.333333333333333</v>
      </c>
      <c r="J222" s="16">
        <f t="shared" si="47"/>
        <v>384</v>
      </c>
      <c r="K222" s="15">
        <f t="shared" si="47"/>
        <v>716</v>
      </c>
      <c r="L222" s="14">
        <f t="shared" si="47"/>
        <v>296.33333333333331</v>
      </c>
      <c r="M222" s="13">
        <f t="shared" si="47"/>
        <v>6.666666666666667</v>
      </c>
      <c r="N222" s="55"/>
    </row>
    <row r="223" spans="1:14" outlineLevel="1" x14ac:dyDescent="0.2">
      <c r="A223" s="20">
        <f t="shared" si="46"/>
        <v>3592</v>
      </c>
      <c r="B223" s="19" t="str">
        <f t="shared" si="46"/>
        <v>Midwestern</v>
      </c>
      <c r="C223" s="18"/>
      <c r="D223" s="15">
        <f t="shared" si="47"/>
        <v>1031.6666666666667</v>
      </c>
      <c r="E223" s="188">
        <f t="shared" si="44"/>
        <v>453.24555555555554</v>
      </c>
      <c r="F223" s="14">
        <f t="shared" si="45"/>
        <v>24.122522148034601</v>
      </c>
      <c r="G223" s="13">
        <f t="shared" si="47"/>
        <v>1962.0000000000034</v>
      </c>
      <c r="H223" s="15">
        <f t="shared" si="47"/>
        <v>333.33333333333331</v>
      </c>
      <c r="I223" s="13">
        <f t="shared" si="47"/>
        <v>15</v>
      </c>
      <c r="J223" s="16">
        <f t="shared" si="47"/>
        <v>690.33333333333337</v>
      </c>
      <c r="K223" s="15">
        <f t="shared" si="47"/>
        <v>1438</v>
      </c>
      <c r="L223" s="14">
        <f t="shared" si="47"/>
        <v>1046</v>
      </c>
      <c r="M223" s="13">
        <f t="shared" si="47"/>
        <v>679.66666666666663</v>
      </c>
      <c r="N223" s="55"/>
    </row>
    <row r="224" spans="1:14" outlineLevel="1" x14ac:dyDescent="0.2">
      <c r="A224" s="20">
        <f t="shared" si="46"/>
        <v>3594</v>
      </c>
      <c r="B224" s="19" t="str">
        <f t="shared" si="46"/>
        <v>UNT</v>
      </c>
      <c r="C224" s="18"/>
      <c r="D224" s="15">
        <f t="shared" si="47"/>
        <v>6016.666666666667</v>
      </c>
      <c r="E224" s="188">
        <f t="shared" si="44"/>
        <v>3467.6055555555558</v>
      </c>
      <c r="F224" s="14">
        <f t="shared" si="45"/>
        <v>25.886944566084125</v>
      </c>
      <c r="G224" s="13">
        <f t="shared" si="47"/>
        <v>11411.553333332529</v>
      </c>
      <c r="H224" s="15">
        <f t="shared" si="47"/>
        <v>336.66666666666669</v>
      </c>
      <c r="I224" s="13">
        <f t="shared" si="47"/>
        <v>43.333333333333336</v>
      </c>
      <c r="J224" s="16">
        <f t="shared" si="47"/>
        <v>3820</v>
      </c>
      <c r="K224" s="15">
        <f t="shared" si="47"/>
        <v>7864.666666666667</v>
      </c>
      <c r="L224" s="14">
        <f t="shared" si="47"/>
        <v>5642.333333333333</v>
      </c>
      <c r="M224" s="13">
        <f t="shared" si="47"/>
        <v>3337</v>
      </c>
      <c r="N224" s="55"/>
    </row>
    <row r="225" spans="1:14" outlineLevel="1" x14ac:dyDescent="0.2">
      <c r="A225" s="27">
        <f t="shared" si="46"/>
        <v>113594</v>
      </c>
      <c r="B225" s="19" t="str">
        <f t="shared" si="46"/>
        <v>UNTD</v>
      </c>
      <c r="C225" s="18"/>
      <c r="D225" s="15">
        <f t="shared" si="47"/>
        <v>403.5</v>
      </c>
      <c r="E225" s="188">
        <f t="shared" si="44"/>
        <v>233.02125000000001</v>
      </c>
      <c r="F225" s="14">
        <f t="shared" si="45"/>
        <v>42.647266065388948</v>
      </c>
      <c r="G225" s="13">
        <f t="shared" si="47"/>
        <v>705.85999999999717</v>
      </c>
      <c r="H225" s="15">
        <f t="shared" si="47"/>
        <v>12</v>
      </c>
      <c r="I225" s="13">
        <f t="shared" si="47"/>
        <v>0</v>
      </c>
      <c r="J225" s="16">
        <f t="shared" si="47"/>
        <v>308.5</v>
      </c>
      <c r="K225" s="15">
        <f t="shared" si="47"/>
        <v>478</v>
      </c>
      <c r="L225" s="14">
        <f t="shared" si="47"/>
        <v>71.5</v>
      </c>
      <c r="M225" s="13">
        <f t="shared" si="47"/>
        <v>11</v>
      </c>
      <c r="N225" s="55"/>
    </row>
    <row r="226" spans="1:14" outlineLevel="1" x14ac:dyDescent="0.2">
      <c r="A226" s="20">
        <f t="shared" si="46"/>
        <v>3624</v>
      </c>
      <c r="B226" s="19" t="str">
        <f t="shared" si="46"/>
        <v>SFA</v>
      </c>
      <c r="C226" s="18"/>
      <c r="D226" s="15">
        <f t="shared" si="47"/>
        <v>1921.6666666666667</v>
      </c>
      <c r="E226" s="188">
        <f t="shared" si="44"/>
        <v>1064.6033333333332</v>
      </c>
      <c r="F226" s="14">
        <f t="shared" si="45"/>
        <v>20.257544310083915</v>
      </c>
      <c r="G226" s="13">
        <f t="shared" si="47"/>
        <v>3721.736666666669</v>
      </c>
      <c r="H226" s="15">
        <f t="shared" si="47"/>
        <v>248</v>
      </c>
      <c r="I226" s="13">
        <f t="shared" si="47"/>
        <v>44.666666666666664</v>
      </c>
      <c r="J226" s="16">
        <f t="shared" si="47"/>
        <v>1460.3333333333333</v>
      </c>
      <c r="K226" s="15">
        <f t="shared" si="47"/>
        <v>2769.3333333333335</v>
      </c>
      <c r="L226" s="14">
        <f t="shared" si="47"/>
        <v>2075</v>
      </c>
      <c r="M226" s="13">
        <f t="shared" si="47"/>
        <v>1397.3333333333333</v>
      </c>
      <c r="N226" s="55"/>
    </row>
    <row r="227" spans="1:14" outlineLevel="1" x14ac:dyDescent="0.2">
      <c r="A227" s="20">
        <f t="shared" si="46"/>
        <v>3642</v>
      </c>
      <c r="B227" s="19" t="str">
        <f t="shared" si="46"/>
        <v>TSU</v>
      </c>
      <c r="C227" s="18"/>
      <c r="D227" s="15">
        <f t="shared" si="47"/>
        <v>758.33333333333337</v>
      </c>
      <c r="E227" s="188">
        <f t="shared" si="44"/>
        <v>108.94722222222221</v>
      </c>
      <c r="F227" s="14">
        <f t="shared" si="45"/>
        <v>12.933681010892716</v>
      </c>
      <c r="G227" s="13">
        <f t="shared" si="47"/>
        <v>1488.6533333333352</v>
      </c>
      <c r="H227" s="15">
        <f t="shared" si="47"/>
        <v>134.33333333333334</v>
      </c>
      <c r="I227" s="13">
        <f t="shared" si="47"/>
        <v>3</v>
      </c>
      <c r="J227" s="16">
        <f t="shared" si="47"/>
        <v>666.33333333333337</v>
      </c>
      <c r="K227" s="15">
        <f t="shared" si="47"/>
        <v>1637.3333333333333</v>
      </c>
      <c r="L227" s="14">
        <f t="shared" si="47"/>
        <v>1133</v>
      </c>
      <c r="M227" s="13">
        <f t="shared" si="47"/>
        <v>848.66666666666663</v>
      </c>
      <c r="N227" s="55"/>
    </row>
    <row r="228" spans="1:14" outlineLevel="1" x14ac:dyDescent="0.2">
      <c r="A228" s="20">
        <f t="shared" si="46"/>
        <v>3644</v>
      </c>
      <c r="B228" s="19" t="str">
        <f t="shared" si="46"/>
        <v>TTU</v>
      </c>
      <c r="C228" s="18"/>
      <c r="D228" s="15">
        <f t="shared" si="47"/>
        <v>4674</v>
      </c>
      <c r="E228" s="188">
        <f t="shared" si="44"/>
        <v>3421.3679999999995</v>
      </c>
      <c r="F228" s="14">
        <f t="shared" si="45"/>
        <v>21.061243127033354</v>
      </c>
      <c r="G228" s="13">
        <f t="shared" si="47"/>
        <v>10128.113333332682</v>
      </c>
      <c r="H228" s="15">
        <f t="shared" si="47"/>
        <v>727.33333333333337</v>
      </c>
      <c r="I228" s="13">
        <f t="shared" si="47"/>
        <v>57.333333333333336</v>
      </c>
      <c r="J228" s="16">
        <f t="shared" si="47"/>
        <v>2778</v>
      </c>
      <c r="K228" s="15">
        <f t="shared" si="47"/>
        <v>6485.333333333333</v>
      </c>
      <c r="L228" s="14">
        <f t="shared" si="47"/>
        <v>5278.333333333333</v>
      </c>
      <c r="M228" s="13">
        <f t="shared" si="47"/>
        <v>3945.6666666666665</v>
      </c>
      <c r="N228" s="55"/>
    </row>
    <row r="229" spans="1:14" outlineLevel="1" x14ac:dyDescent="0.2">
      <c r="A229" s="20">
        <f t="shared" si="46"/>
        <v>3541</v>
      </c>
      <c r="B229" s="19" t="str">
        <f t="shared" si="46"/>
        <v>Angelo</v>
      </c>
      <c r="C229" s="18"/>
      <c r="D229" s="15">
        <f t="shared" si="47"/>
        <v>991.33333333333337</v>
      </c>
      <c r="E229" s="188">
        <f t="shared" si="44"/>
        <v>425.94288888888889</v>
      </c>
      <c r="F229" s="14">
        <f t="shared" si="45"/>
        <v>20.305700708264297</v>
      </c>
      <c r="G229" s="13">
        <f t="shared" si="47"/>
        <v>1977.3500000000051</v>
      </c>
      <c r="H229" s="15">
        <f t="shared" si="47"/>
        <v>254.33333333333334</v>
      </c>
      <c r="I229" s="13">
        <f t="shared" si="47"/>
        <v>19.333333333333332</v>
      </c>
      <c r="J229" s="16">
        <f t="shared" si="47"/>
        <v>723</v>
      </c>
      <c r="K229" s="15">
        <f t="shared" si="47"/>
        <v>1438.6666666666667</v>
      </c>
      <c r="L229" s="14">
        <f t="shared" si="47"/>
        <v>1033.6666666666667</v>
      </c>
      <c r="M229" s="13">
        <f t="shared" si="47"/>
        <v>707.66666666666663</v>
      </c>
      <c r="N229" s="55"/>
    </row>
    <row r="230" spans="1:14" outlineLevel="1" x14ac:dyDescent="0.2">
      <c r="A230" s="20">
        <f t="shared" ref="A230:B235" si="48">A188</f>
        <v>3646</v>
      </c>
      <c r="B230" s="19" t="str">
        <f t="shared" si="48"/>
        <v>TWU</v>
      </c>
      <c r="C230" s="18"/>
      <c r="D230" s="15">
        <f t="shared" ref="D230:M235" si="49">AVERAGE(D272,D314,D356)</f>
        <v>1806</v>
      </c>
      <c r="E230" s="188">
        <f t="shared" si="44"/>
        <v>945.74200000000008</v>
      </c>
      <c r="F230" s="14">
        <f t="shared" si="45"/>
        <v>27.545604295039961</v>
      </c>
      <c r="G230" s="13">
        <f t="shared" si="49"/>
        <v>3452.1766666666658</v>
      </c>
      <c r="H230" s="15">
        <f t="shared" si="49"/>
        <v>569.33333333333337</v>
      </c>
      <c r="I230" s="13">
        <f t="shared" si="49"/>
        <v>31.666666666666668</v>
      </c>
      <c r="J230" s="16">
        <f t="shared" si="49"/>
        <v>1247</v>
      </c>
      <c r="K230" s="15">
        <f t="shared" si="49"/>
        <v>2196</v>
      </c>
      <c r="L230" s="14">
        <f t="shared" si="49"/>
        <v>1292.3333333333333</v>
      </c>
      <c r="M230" s="13">
        <f t="shared" si="49"/>
        <v>659.66666666666663</v>
      </c>
      <c r="N230" s="55"/>
    </row>
    <row r="231" spans="1:14" outlineLevel="1" x14ac:dyDescent="0.2">
      <c r="A231" s="20">
        <f t="shared" si="48"/>
        <v>3581</v>
      </c>
      <c r="B231" s="19" t="str">
        <f t="shared" si="48"/>
        <v>Lamar</v>
      </c>
      <c r="C231" s="18"/>
      <c r="D231" s="15">
        <f t="shared" si="49"/>
        <v>1335.3333333333333</v>
      </c>
      <c r="E231" s="188">
        <f t="shared" si="44"/>
        <v>467.81177777777776</v>
      </c>
      <c r="F231" s="14">
        <f t="shared" si="45"/>
        <v>18.354929164452098</v>
      </c>
      <c r="G231" s="13">
        <f t="shared" si="49"/>
        <v>2684.9000000000165</v>
      </c>
      <c r="H231" s="15">
        <f t="shared" si="49"/>
        <v>330</v>
      </c>
      <c r="I231" s="13">
        <f t="shared" si="49"/>
        <v>17</v>
      </c>
      <c r="J231" s="16">
        <f t="shared" si="49"/>
        <v>948.66666666666663</v>
      </c>
      <c r="K231" s="15">
        <f t="shared" si="49"/>
        <v>2144.6666666666665</v>
      </c>
      <c r="L231" s="14">
        <f t="shared" si="49"/>
        <v>1489</v>
      </c>
      <c r="M231" s="13">
        <f t="shared" si="49"/>
        <v>1011</v>
      </c>
      <c r="N231" s="55"/>
    </row>
    <row r="232" spans="1:14" outlineLevel="1" x14ac:dyDescent="0.2">
      <c r="A232" s="20">
        <f t="shared" si="48"/>
        <v>3606</v>
      </c>
      <c r="B232" s="19" t="str">
        <f t="shared" si="48"/>
        <v>SHSU</v>
      </c>
      <c r="C232" s="18"/>
      <c r="D232" s="15">
        <f t="shared" si="49"/>
        <v>3077.6666666666665</v>
      </c>
      <c r="E232" s="188">
        <f t="shared" si="44"/>
        <v>1805.5644444444445</v>
      </c>
      <c r="F232" s="14">
        <f t="shared" si="45"/>
        <v>24.475654239301015</v>
      </c>
      <c r="G232" s="13">
        <f t="shared" si="49"/>
        <v>5837.0766666667887</v>
      </c>
      <c r="H232" s="15">
        <f t="shared" si="49"/>
        <v>167</v>
      </c>
      <c r="I232" s="13">
        <f t="shared" si="49"/>
        <v>61</v>
      </c>
      <c r="J232" s="16">
        <f t="shared" si="49"/>
        <v>2213.6666666666665</v>
      </c>
      <c r="K232" s="15">
        <f t="shared" si="49"/>
        <v>3894.3333333333335</v>
      </c>
      <c r="L232" s="14">
        <f t="shared" si="49"/>
        <v>2965.3333333333335</v>
      </c>
      <c r="M232" s="13">
        <f t="shared" si="49"/>
        <v>1763.3333333333333</v>
      </c>
    </row>
    <row r="233" spans="1:14" outlineLevel="1" x14ac:dyDescent="0.2">
      <c r="A233" s="20">
        <f t="shared" si="48"/>
        <v>3615</v>
      </c>
      <c r="B233" s="19" t="str">
        <f t="shared" si="48"/>
        <v>TXST</v>
      </c>
      <c r="C233" s="18"/>
      <c r="D233" s="15">
        <f t="shared" si="49"/>
        <v>5361</v>
      </c>
      <c r="E233" s="188">
        <f t="shared" si="44"/>
        <v>3393.5129999999999</v>
      </c>
      <c r="F233" s="14">
        <f t="shared" si="45"/>
        <v>23.406891519786395</v>
      </c>
      <c r="G233" s="13">
        <f t="shared" si="49"/>
        <v>10437.309999999357</v>
      </c>
      <c r="H233" s="15">
        <f t="shared" si="49"/>
        <v>488.66666666666669</v>
      </c>
      <c r="I233" s="13">
        <f t="shared" si="49"/>
        <v>66.666666666666671</v>
      </c>
      <c r="J233" s="16">
        <f t="shared" si="49"/>
        <v>3675.3333333333335</v>
      </c>
      <c r="K233" s="15">
        <f t="shared" si="49"/>
        <v>7470.333333333333</v>
      </c>
      <c r="L233" s="14">
        <f t="shared" si="49"/>
        <v>5579</v>
      </c>
      <c r="M233" s="13">
        <f t="shared" si="49"/>
        <v>3317.3333333333335</v>
      </c>
    </row>
    <row r="234" spans="1:14" outlineLevel="1" x14ac:dyDescent="0.2">
      <c r="A234" s="20">
        <f t="shared" si="48"/>
        <v>3625</v>
      </c>
      <c r="B234" s="19" t="str">
        <f t="shared" si="48"/>
        <v>SRSU</v>
      </c>
      <c r="C234" s="18"/>
      <c r="D234" s="15">
        <f t="shared" si="49"/>
        <v>189.33333333333334</v>
      </c>
      <c r="E234" s="188">
        <f t="shared" si="44"/>
        <v>56.989333333333335</v>
      </c>
      <c r="F234" s="14">
        <f t="shared" si="45"/>
        <v>15.518843008324076</v>
      </c>
      <c r="G234" s="13">
        <f t="shared" si="49"/>
        <v>394.32999999999964</v>
      </c>
      <c r="H234" s="15">
        <f t="shared" si="49"/>
        <v>12.666666666666666</v>
      </c>
      <c r="I234" s="13">
        <f t="shared" si="49"/>
        <v>6.333333333333333</v>
      </c>
      <c r="J234" s="16">
        <f t="shared" si="49"/>
        <v>163</v>
      </c>
      <c r="K234" s="15">
        <f t="shared" si="49"/>
        <v>300</v>
      </c>
      <c r="L234" s="14">
        <f t="shared" si="49"/>
        <v>193.66666666666666</v>
      </c>
      <c r="M234" s="13">
        <f t="shared" si="49"/>
        <v>131.66666666666666</v>
      </c>
      <c r="N234" s="41"/>
    </row>
    <row r="235" spans="1:14" outlineLevel="1" x14ac:dyDescent="0.2">
      <c r="A235" s="20">
        <f t="shared" si="48"/>
        <v>20</v>
      </c>
      <c r="B235" s="19" t="str">
        <f t="shared" si="48"/>
        <v>SRRG</v>
      </c>
      <c r="C235" s="18"/>
      <c r="D235" s="15">
        <f t="shared" si="49"/>
        <v>161.66666666666666</v>
      </c>
      <c r="E235" s="188">
        <f t="shared" si="44"/>
        <v>51.365976618337754</v>
      </c>
      <c r="F235" s="14">
        <f t="shared" si="45"/>
        <v>36.596408270033706</v>
      </c>
      <c r="G235" s="13">
        <f t="shared" si="49"/>
        <v>279.16999999999979</v>
      </c>
      <c r="H235" s="15">
        <f t="shared" si="49"/>
        <v>6.333333333333333</v>
      </c>
      <c r="I235" s="13">
        <f t="shared" si="49"/>
        <v>5.666666666666667</v>
      </c>
      <c r="J235" s="16">
        <f t="shared" si="49"/>
        <v>144</v>
      </c>
      <c r="K235" s="15">
        <f t="shared" si="49"/>
        <v>230</v>
      </c>
      <c r="L235" s="14">
        <f t="shared" si="49"/>
        <v>92.666666666666671</v>
      </c>
      <c r="M235" s="13">
        <f t="shared" si="49"/>
        <v>4.333333333333333</v>
      </c>
    </row>
    <row r="236" spans="1:14" ht="13.5" outlineLevel="1" thickBot="1" x14ac:dyDescent="0.25">
      <c r="A236" s="12"/>
      <c r="B236" s="11" t="s">
        <v>11</v>
      </c>
      <c r="C236" s="10"/>
      <c r="D236" s="9">
        <f>SUM(D198:D235)</f>
        <v>84315.833333333314</v>
      </c>
      <c r="E236" s="210">
        <f>SUM(E198:E235)</f>
        <v>49031.80588920939</v>
      </c>
      <c r="F236" s="7">
        <f t="shared" ref="F236:M236" si="50">SUM(F198:F235)</f>
        <v>1017.4700431877567</v>
      </c>
      <c r="G236" s="3">
        <f t="shared" si="50"/>
        <v>172461.13999999844</v>
      </c>
      <c r="H236" s="5">
        <f t="shared" si="50"/>
        <v>13953.333333333332</v>
      </c>
      <c r="I236" s="3">
        <f t="shared" si="50"/>
        <v>1198.3333333333335</v>
      </c>
      <c r="J236" s="6">
        <f t="shared" si="50"/>
        <v>54446.500000000007</v>
      </c>
      <c r="K236" s="5">
        <f t="shared" si="50"/>
        <v>114212.66666666664</v>
      </c>
      <c r="L236" s="4">
        <f t="shared" si="50"/>
        <v>82344.5</v>
      </c>
      <c r="M236" s="3">
        <f t="shared" si="50"/>
        <v>50801.999999999993</v>
      </c>
    </row>
    <row r="237" spans="1:14" ht="13.5" thickBot="1" x14ac:dyDescent="0.25">
      <c r="A237" s="45" t="s">
        <v>27</v>
      </c>
      <c r="B237" s="45"/>
      <c r="C237" s="45"/>
      <c r="D237" s="54"/>
      <c r="F237" s="54"/>
      <c r="J237" s="54"/>
    </row>
    <row r="238" spans="1:14" ht="12.75" customHeight="1" outlineLevel="1" x14ac:dyDescent="0.2">
      <c r="A238" s="273" t="s">
        <v>24</v>
      </c>
      <c r="B238" s="275" t="s">
        <v>23</v>
      </c>
      <c r="C238" s="277"/>
      <c r="D238" s="306" t="s">
        <v>22</v>
      </c>
      <c r="E238" s="301" t="s">
        <v>21</v>
      </c>
      <c r="F238" s="275" t="s">
        <v>20</v>
      </c>
      <c r="G238" s="297" t="s">
        <v>19</v>
      </c>
      <c r="H238" s="299" t="s">
        <v>18</v>
      </c>
      <c r="I238" s="291" t="s">
        <v>17</v>
      </c>
      <c r="J238" s="293" t="s">
        <v>16</v>
      </c>
      <c r="K238" s="295" t="s">
        <v>15</v>
      </c>
      <c r="L238" s="296"/>
      <c r="M238" s="296"/>
    </row>
    <row r="239" spans="1:14" s="41" customFormat="1" ht="36" customHeight="1" outlineLevel="1" thickBot="1" x14ac:dyDescent="0.25">
      <c r="A239" s="274"/>
      <c r="B239" s="276"/>
      <c r="C239" s="278"/>
      <c r="D239" s="307"/>
      <c r="E239" s="302"/>
      <c r="F239" s="276"/>
      <c r="G239" s="298"/>
      <c r="H239" s="300"/>
      <c r="I239" s="292"/>
      <c r="J239" s="294"/>
      <c r="K239" s="44" t="s">
        <v>14</v>
      </c>
      <c r="L239" s="43" t="s">
        <v>13</v>
      </c>
      <c r="M239" s="42" t="s">
        <v>12</v>
      </c>
      <c r="N239" s="1"/>
    </row>
    <row r="240" spans="1:14" outlineLevel="1" x14ac:dyDescent="0.2">
      <c r="A240" s="40">
        <f t="shared" ref="A240:B255" si="51">A198</f>
        <v>3656</v>
      </c>
      <c r="B240" s="39" t="str">
        <f t="shared" si="51"/>
        <v>UTA</v>
      </c>
      <c r="C240" s="38"/>
      <c r="D240" s="33">
        <v>5773</v>
      </c>
      <c r="E240" s="37">
        <v>0.55500000000000005</v>
      </c>
      <c r="F240" s="32">
        <v>17781.466666666667</v>
      </c>
      <c r="G240" s="51">
        <v>12087.560000000249</v>
      </c>
      <c r="H240" s="36">
        <v>2140</v>
      </c>
      <c r="I240" s="35">
        <v>43</v>
      </c>
      <c r="J240" s="34">
        <v>3528</v>
      </c>
      <c r="K240" s="53">
        <v>6893</v>
      </c>
      <c r="L240" s="52">
        <v>3962</v>
      </c>
      <c r="M240" s="51">
        <v>1894</v>
      </c>
    </row>
    <row r="241" spans="1:13" outlineLevel="1" x14ac:dyDescent="0.2">
      <c r="A241" s="20">
        <f t="shared" si="51"/>
        <v>3658</v>
      </c>
      <c r="B241" s="19" t="str">
        <f t="shared" si="51"/>
        <v>UT</v>
      </c>
      <c r="C241" s="18"/>
      <c r="D241" s="15">
        <v>8860</v>
      </c>
      <c r="E241" s="21">
        <v>0.82499999999999996</v>
      </c>
      <c r="F241" s="14">
        <v>33841.466666666667</v>
      </c>
      <c r="G241" s="28">
        <v>19542.67999999996</v>
      </c>
      <c r="H241" s="15">
        <v>1981</v>
      </c>
      <c r="I241" s="13">
        <v>83</v>
      </c>
      <c r="J241" s="16">
        <v>3501</v>
      </c>
      <c r="K241" s="30">
        <v>9260</v>
      </c>
      <c r="L241" s="29">
        <v>8373</v>
      </c>
      <c r="M241" s="28">
        <v>6348</v>
      </c>
    </row>
    <row r="242" spans="1:13" outlineLevel="1" x14ac:dyDescent="0.2">
      <c r="A242" s="20">
        <f t="shared" si="51"/>
        <v>9741</v>
      </c>
      <c r="B242" s="19" t="str">
        <f t="shared" si="51"/>
        <v>UTD</v>
      </c>
      <c r="C242" s="18"/>
      <c r="D242" s="15">
        <v>2510</v>
      </c>
      <c r="E242" s="21">
        <v>0.71900000000000008</v>
      </c>
      <c r="F242" s="14">
        <v>9826.5333333333328</v>
      </c>
      <c r="G242" s="28">
        <v>5443.8700000002518</v>
      </c>
      <c r="H242" s="15">
        <v>449</v>
      </c>
      <c r="I242" s="13">
        <v>33</v>
      </c>
      <c r="J242" s="16">
        <v>1410</v>
      </c>
      <c r="K242" s="30">
        <v>3522</v>
      </c>
      <c r="L242" s="29">
        <v>2348</v>
      </c>
      <c r="M242" s="28">
        <v>1065</v>
      </c>
    </row>
    <row r="243" spans="1:13" outlineLevel="1" x14ac:dyDescent="0.2">
      <c r="A243" s="20">
        <f t="shared" si="51"/>
        <v>3661</v>
      </c>
      <c r="B243" s="19" t="str">
        <f t="shared" si="51"/>
        <v>UTEP</v>
      </c>
      <c r="C243" s="18"/>
      <c r="D243" s="15">
        <v>3132</v>
      </c>
      <c r="E243" s="21">
        <v>0.41200000000000003</v>
      </c>
      <c r="F243" s="14">
        <v>13931.066666666668</v>
      </c>
      <c r="G243" s="28">
        <v>6456.0600000003096</v>
      </c>
      <c r="H243" s="15">
        <v>643</v>
      </c>
      <c r="I243" s="13">
        <v>86</v>
      </c>
      <c r="J243" s="16">
        <v>2590</v>
      </c>
      <c r="K243" s="30">
        <v>4400</v>
      </c>
      <c r="L243" s="29">
        <v>3304</v>
      </c>
      <c r="M243" s="28">
        <v>1986</v>
      </c>
    </row>
    <row r="244" spans="1:13" outlineLevel="1" x14ac:dyDescent="0.2">
      <c r="A244" s="20">
        <f t="shared" si="51"/>
        <v>3599</v>
      </c>
      <c r="B244" s="19" t="str">
        <f t="shared" si="51"/>
        <v>UTPA</v>
      </c>
      <c r="C244" s="18"/>
      <c r="D244" s="15">
        <v>2462</v>
      </c>
      <c r="E244" s="21">
        <v>0.44</v>
      </c>
      <c r="F244" s="14">
        <v>12698.333333333334</v>
      </c>
      <c r="G244" s="28">
        <v>5000.2800000001325</v>
      </c>
      <c r="H244" s="15">
        <v>547</v>
      </c>
      <c r="I244" s="13">
        <v>19</v>
      </c>
      <c r="J244" s="16">
        <v>2247</v>
      </c>
      <c r="K244" s="30">
        <v>3730</v>
      </c>
      <c r="L244" s="29">
        <v>2862</v>
      </c>
      <c r="M244" s="28">
        <v>1896</v>
      </c>
    </row>
    <row r="245" spans="1:13" outlineLevel="1" x14ac:dyDescent="0.2">
      <c r="A245" s="20">
        <f t="shared" si="51"/>
        <v>30646</v>
      </c>
      <c r="B245" s="19" t="str">
        <f t="shared" si="51"/>
        <v>UTB</v>
      </c>
      <c r="C245" s="18"/>
      <c r="D245" s="15">
        <v>1149</v>
      </c>
      <c r="E245" s="17">
        <v>0.52783109404990403</v>
      </c>
      <c r="F245" s="14">
        <v>3400.5333333333333</v>
      </c>
      <c r="G245" s="28">
        <v>2236.3100000000127</v>
      </c>
      <c r="H245" s="15">
        <v>133</v>
      </c>
      <c r="I245" s="13">
        <v>21</v>
      </c>
      <c r="J245" s="16">
        <v>978</v>
      </c>
      <c r="K245" s="30">
        <v>1243</v>
      </c>
      <c r="L245" s="29">
        <v>486</v>
      </c>
      <c r="M245" s="28">
        <v>99</v>
      </c>
    </row>
    <row r="246" spans="1:13" outlineLevel="1" x14ac:dyDescent="0.2">
      <c r="A246" s="20">
        <f t="shared" si="51"/>
        <v>9930</v>
      </c>
      <c r="B246" s="19" t="str">
        <f t="shared" si="51"/>
        <v>UTPB</v>
      </c>
      <c r="C246" s="18"/>
      <c r="D246" s="15">
        <v>546</v>
      </c>
      <c r="E246" s="21">
        <v>0.47899999999999998</v>
      </c>
      <c r="F246" s="14">
        <v>2343.2666666666669</v>
      </c>
      <c r="G246" s="28">
        <v>1054.6599999999951</v>
      </c>
      <c r="H246" s="15">
        <v>51</v>
      </c>
      <c r="I246" s="13">
        <v>7</v>
      </c>
      <c r="J246" s="16">
        <v>411</v>
      </c>
      <c r="K246" s="30">
        <v>742</v>
      </c>
      <c r="L246" s="29">
        <v>535</v>
      </c>
      <c r="M246" s="28">
        <v>210</v>
      </c>
    </row>
    <row r="247" spans="1:13" outlineLevel="1" x14ac:dyDescent="0.2">
      <c r="A247" s="20">
        <f t="shared" si="51"/>
        <v>10115</v>
      </c>
      <c r="B247" s="19" t="str">
        <f t="shared" si="51"/>
        <v>UTSA</v>
      </c>
      <c r="C247" s="18"/>
      <c r="D247" s="15">
        <v>4243</v>
      </c>
      <c r="E247" s="21">
        <v>0.43099999999999999</v>
      </c>
      <c r="F247" s="14">
        <v>21066.866666666665</v>
      </c>
      <c r="G247" s="28">
        <v>8736.7000000001954</v>
      </c>
      <c r="H247" s="15">
        <v>407</v>
      </c>
      <c r="I247" s="13">
        <v>63</v>
      </c>
      <c r="J247" s="16">
        <v>3204</v>
      </c>
      <c r="K247" s="30">
        <v>6815</v>
      </c>
      <c r="L247" s="29">
        <v>4371</v>
      </c>
      <c r="M247" s="28">
        <v>2560</v>
      </c>
    </row>
    <row r="248" spans="1:13" outlineLevel="1" x14ac:dyDescent="0.2">
      <c r="A248" s="20">
        <f t="shared" si="51"/>
        <v>11163</v>
      </c>
      <c r="B248" s="19" t="str">
        <f t="shared" si="51"/>
        <v>UTT</v>
      </c>
      <c r="C248" s="18"/>
      <c r="D248" s="15">
        <v>1144</v>
      </c>
      <c r="E248" s="21">
        <v>0.51800000000000002</v>
      </c>
      <c r="F248" s="14">
        <v>4086.7333333333331</v>
      </c>
      <c r="G248" s="28">
        <v>2263.8699999999944</v>
      </c>
      <c r="H248" s="15">
        <v>392</v>
      </c>
      <c r="I248" s="13">
        <v>23</v>
      </c>
      <c r="J248" s="16">
        <v>886</v>
      </c>
      <c r="K248" s="30">
        <v>1409</v>
      </c>
      <c r="L248" s="29">
        <v>844</v>
      </c>
      <c r="M248" s="28">
        <v>383</v>
      </c>
    </row>
    <row r="249" spans="1:13" outlineLevel="1" x14ac:dyDescent="0.2">
      <c r="A249" s="20">
        <f t="shared" si="51"/>
        <v>3632</v>
      </c>
      <c r="B249" s="19" t="str">
        <f t="shared" si="51"/>
        <v>TAMU</v>
      </c>
      <c r="C249" s="18"/>
      <c r="D249" s="15">
        <v>9020</v>
      </c>
      <c r="E249" s="21">
        <v>0.84200000000000008</v>
      </c>
      <c r="F249" s="14">
        <v>35116.666666666664</v>
      </c>
      <c r="G249" s="28">
        <v>21108.189999999984</v>
      </c>
      <c r="H249" s="15">
        <v>1934</v>
      </c>
      <c r="I249" s="13">
        <v>137</v>
      </c>
      <c r="J249" s="16">
        <v>3915</v>
      </c>
      <c r="K249" s="30">
        <v>10547</v>
      </c>
      <c r="L249" s="29">
        <v>8924</v>
      </c>
      <c r="M249" s="28">
        <v>6938</v>
      </c>
    </row>
    <row r="250" spans="1:13" outlineLevel="1" x14ac:dyDescent="0.2">
      <c r="A250" s="20">
        <f t="shared" si="51"/>
        <v>10298</v>
      </c>
      <c r="B250" s="19" t="str">
        <f t="shared" si="51"/>
        <v>TAMUG</v>
      </c>
      <c r="C250" s="18"/>
      <c r="D250" s="15">
        <v>314</v>
      </c>
      <c r="E250" s="21">
        <v>0.626</v>
      </c>
      <c r="F250" s="14">
        <v>1769.4666666666667</v>
      </c>
      <c r="G250" s="28">
        <v>826.3399999999923</v>
      </c>
      <c r="H250" s="15">
        <v>46</v>
      </c>
      <c r="I250" s="13">
        <v>0</v>
      </c>
      <c r="J250" s="16">
        <v>186</v>
      </c>
      <c r="K250" s="30">
        <v>607</v>
      </c>
      <c r="L250" s="29">
        <v>296</v>
      </c>
      <c r="M250" s="28">
        <v>263</v>
      </c>
    </row>
    <row r="251" spans="1:13" outlineLevel="1" x14ac:dyDescent="0.2">
      <c r="A251" s="20">
        <f t="shared" si="51"/>
        <v>3630</v>
      </c>
      <c r="B251" s="19" t="str">
        <f t="shared" si="51"/>
        <v>Prairie View</v>
      </c>
      <c r="C251" s="18"/>
      <c r="D251" s="15">
        <v>1026</v>
      </c>
      <c r="E251" s="21">
        <v>0.40299999999999997</v>
      </c>
      <c r="F251" s="14">
        <v>5822.8</v>
      </c>
      <c r="G251" s="28">
        <v>2288.9700000000062</v>
      </c>
      <c r="H251" s="15">
        <v>373</v>
      </c>
      <c r="I251" s="13">
        <v>11</v>
      </c>
      <c r="J251" s="16">
        <v>877</v>
      </c>
      <c r="K251" s="30">
        <v>1701</v>
      </c>
      <c r="L251" s="29">
        <v>1132</v>
      </c>
      <c r="M251" s="28">
        <v>871</v>
      </c>
    </row>
    <row r="252" spans="1:13" outlineLevel="1" x14ac:dyDescent="0.2">
      <c r="A252" s="20">
        <f t="shared" si="51"/>
        <v>3631</v>
      </c>
      <c r="B252" s="19" t="str">
        <f t="shared" si="51"/>
        <v>Tarleton</v>
      </c>
      <c r="C252" s="18"/>
      <c r="D252" s="15">
        <v>1662</v>
      </c>
      <c r="E252" s="21">
        <v>0.47600000000000003</v>
      </c>
      <c r="F252" s="14">
        <v>6766.4</v>
      </c>
      <c r="G252" s="28">
        <v>3337.2399999999966</v>
      </c>
      <c r="H252" s="15">
        <v>229</v>
      </c>
      <c r="I252" s="13">
        <v>49</v>
      </c>
      <c r="J252" s="16">
        <v>1296</v>
      </c>
      <c r="K252" s="30">
        <v>2227</v>
      </c>
      <c r="L252" s="29">
        <v>1216</v>
      </c>
      <c r="M252" s="28">
        <v>845</v>
      </c>
    </row>
    <row r="253" spans="1:13" outlineLevel="1" x14ac:dyDescent="0.2">
      <c r="A253" s="27">
        <f t="shared" si="51"/>
        <v>103631</v>
      </c>
      <c r="B253" s="19" t="str">
        <f t="shared" si="51"/>
        <v>TAMUCT</v>
      </c>
      <c r="C253" s="18"/>
      <c r="D253" s="15">
        <v>469</v>
      </c>
      <c r="E253" s="21">
        <f>E252</f>
        <v>0.47600000000000003</v>
      </c>
      <c r="F253" s="14">
        <v>684.13333333333333</v>
      </c>
      <c r="G253" s="28">
        <v>882.20999999999208</v>
      </c>
      <c r="H253" s="15">
        <v>42</v>
      </c>
      <c r="I253" s="13">
        <v>0</v>
      </c>
      <c r="J253" s="16">
        <v>329</v>
      </c>
      <c r="K253" s="30">
        <v>550</v>
      </c>
      <c r="L253" s="29">
        <v>119</v>
      </c>
      <c r="M253" s="28">
        <v>5</v>
      </c>
    </row>
    <row r="254" spans="1:13" outlineLevel="1" x14ac:dyDescent="0.2">
      <c r="A254" s="20">
        <f t="shared" si="51"/>
        <v>11161</v>
      </c>
      <c r="B254" s="19" t="str">
        <f t="shared" si="51"/>
        <v>TAMUCC</v>
      </c>
      <c r="C254" s="18"/>
      <c r="D254" s="15">
        <v>1515</v>
      </c>
      <c r="E254" s="21">
        <v>0.51</v>
      </c>
      <c r="F254" s="14">
        <v>6742.2</v>
      </c>
      <c r="G254" s="28">
        <v>3028.8999999999978</v>
      </c>
      <c r="H254" s="15">
        <v>310</v>
      </c>
      <c r="I254" s="13">
        <v>23</v>
      </c>
      <c r="J254" s="16">
        <v>1182</v>
      </c>
      <c r="K254" s="30">
        <v>1957</v>
      </c>
      <c r="L254" s="29">
        <v>1470</v>
      </c>
      <c r="M254" s="28">
        <v>959</v>
      </c>
    </row>
    <row r="255" spans="1:13" outlineLevel="1" x14ac:dyDescent="0.2">
      <c r="A255" s="20">
        <f t="shared" si="51"/>
        <v>3639</v>
      </c>
      <c r="B255" s="19" t="str">
        <f t="shared" si="51"/>
        <v>TAMUK</v>
      </c>
      <c r="C255" s="18"/>
      <c r="D255" s="15">
        <v>855</v>
      </c>
      <c r="E255" s="21">
        <v>0.39200000000000002</v>
      </c>
      <c r="F255" s="14">
        <v>4577.5333333333338</v>
      </c>
      <c r="G255" s="28">
        <v>1952.6200000000099</v>
      </c>
      <c r="H255" s="15">
        <v>298</v>
      </c>
      <c r="I255" s="13">
        <v>19</v>
      </c>
      <c r="J255" s="16">
        <v>742</v>
      </c>
      <c r="K255" s="30">
        <v>1343</v>
      </c>
      <c r="L255" s="29">
        <v>910</v>
      </c>
      <c r="M255" s="28">
        <v>571</v>
      </c>
    </row>
    <row r="256" spans="1:13" outlineLevel="1" x14ac:dyDescent="0.2">
      <c r="A256" s="27">
        <f t="shared" ref="A256:B271" si="52">A214</f>
        <v>103639</v>
      </c>
      <c r="B256" s="19" t="str">
        <f t="shared" si="52"/>
        <v>TAMUSA</v>
      </c>
      <c r="C256" s="18"/>
      <c r="D256" s="15">
        <v>647</v>
      </c>
      <c r="E256" s="21">
        <f>E255</f>
        <v>0.39200000000000002</v>
      </c>
      <c r="F256" s="14">
        <v>1673.0666666666666</v>
      </c>
      <c r="G256" s="28">
        <v>1155.5399999999984</v>
      </c>
      <c r="H256" s="15">
        <v>10</v>
      </c>
      <c r="I256" s="13">
        <v>4</v>
      </c>
      <c r="J256" s="16">
        <v>549</v>
      </c>
      <c r="K256" s="30">
        <v>887</v>
      </c>
      <c r="L256" s="29">
        <v>190</v>
      </c>
      <c r="M256" s="28">
        <v>1</v>
      </c>
    </row>
    <row r="257" spans="1:13" outlineLevel="1" x14ac:dyDescent="0.2">
      <c r="A257" s="20">
        <f t="shared" si="52"/>
        <v>9651</v>
      </c>
      <c r="B257" s="19" t="str">
        <f t="shared" si="52"/>
        <v>TAMI</v>
      </c>
      <c r="C257" s="18"/>
      <c r="D257" s="15">
        <v>805</v>
      </c>
      <c r="E257" s="21">
        <v>0.45700000000000002</v>
      </c>
      <c r="F257" s="14">
        <v>4312.1333333333332</v>
      </c>
      <c r="G257" s="28">
        <v>1498.7699999999936</v>
      </c>
      <c r="H257" s="15">
        <v>142</v>
      </c>
      <c r="I257" s="13">
        <v>23</v>
      </c>
      <c r="J257" s="16">
        <v>737</v>
      </c>
      <c r="K257" s="30">
        <v>1292</v>
      </c>
      <c r="L257" s="29">
        <v>1039</v>
      </c>
      <c r="M257" s="28">
        <v>488</v>
      </c>
    </row>
    <row r="258" spans="1:13" outlineLevel="1" x14ac:dyDescent="0.2">
      <c r="A258" s="20">
        <f t="shared" si="52"/>
        <v>3665</v>
      </c>
      <c r="B258" s="19" t="str">
        <f t="shared" si="52"/>
        <v>WTAMU</v>
      </c>
      <c r="C258" s="18"/>
      <c r="D258" s="15">
        <v>1253</v>
      </c>
      <c r="E258" s="21">
        <v>0.48200000000000004</v>
      </c>
      <c r="F258" s="14">
        <v>5523.2</v>
      </c>
      <c r="G258" s="28">
        <v>2523.9800000000132</v>
      </c>
      <c r="H258" s="15">
        <v>175</v>
      </c>
      <c r="I258" s="13">
        <v>60</v>
      </c>
      <c r="J258" s="16">
        <v>902</v>
      </c>
      <c r="K258" s="30">
        <v>1631</v>
      </c>
      <c r="L258" s="29">
        <v>1213</v>
      </c>
      <c r="M258" s="28">
        <v>689</v>
      </c>
    </row>
    <row r="259" spans="1:13" outlineLevel="1" x14ac:dyDescent="0.2">
      <c r="A259" s="20">
        <f t="shared" si="52"/>
        <v>3565</v>
      </c>
      <c r="B259" s="19" t="str">
        <f t="shared" si="52"/>
        <v>TAMUC</v>
      </c>
      <c r="C259" s="18"/>
      <c r="D259" s="15">
        <v>1507</v>
      </c>
      <c r="E259" s="21">
        <v>0.44600000000000001</v>
      </c>
      <c r="F259" s="14">
        <v>5135.2666666666664</v>
      </c>
      <c r="G259" s="28">
        <v>2861.9500000000121</v>
      </c>
      <c r="H259" s="15">
        <v>89</v>
      </c>
      <c r="I259" s="13">
        <v>81</v>
      </c>
      <c r="J259" s="16">
        <v>1172</v>
      </c>
      <c r="K259" s="30">
        <v>2056</v>
      </c>
      <c r="L259" s="29">
        <v>1174</v>
      </c>
      <c r="M259" s="28">
        <v>457</v>
      </c>
    </row>
    <row r="260" spans="1:13" outlineLevel="1" x14ac:dyDescent="0.2">
      <c r="A260" s="20">
        <f t="shared" si="52"/>
        <v>29269</v>
      </c>
      <c r="B260" s="19" t="str">
        <f t="shared" si="52"/>
        <v>TAMUT</v>
      </c>
      <c r="C260" s="18"/>
      <c r="D260" s="15">
        <v>376</v>
      </c>
      <c r="E260" s="17">
        <v>0.49242424242424243</v>
      </c>
      <c r="F260" s="14">
        <v>1101.2666666666667</v>
      </c>
      <c r="G260" s="28">
        <v>680.4399999999946</v>
      </c>
      <c r="H260" s="15">
        <v>47</v>
      </c>
      <c r="I260" s="13">
        <v>25</v>
      </c>
      <c r="J260" s="16">
        <v>277</v>
      </c>
      <c r="K260" s="30">
        <v>484</v>
      </c>
      <c r="L260" s="29">
        <v>219</v>
      </c>
      <c r="M260" s="28">
        <v>1</v>
      </c>
    </row>
    <row r="261" spans="1:13" outlineLevel="1" x14ac:dyDescent="0.2">
      <c r="A261" s="20">
        <f t="shared" si="52"/>
        <v>3652</v>
      </c>
      <c r="B261" s="19" t="str">
        <f t="shared" si="52"/>
        <v>UH</v>
      </c>
      <c r="C261" s="18"/>
      <c r="D261" s="15">
        <v>5426</v>
      </c>
      <c r="E261" s="21">
        <v>0.53600000000000003</v>
      </c>
      <c r="F261" s="14">
        <v>24760.400000000001</v>
      </c>
      <c r="G261" s="28">
        <v>11378.949999999324</v>
      </c>
      <c r="H261" s="15">
        <v>835</v>
      </c>
      <c r="I261" s="13">
        <v>60</v>
      </c>
      <c r="J261" s="16">
        <v>3688</v>
      </c>
      <c r="K261" s="30">
        <v>7823</v>
      </c>
      <c r="L261" s="29">
        <v>5667</v>
      </c>
      <c r="M261" s="28">
        <v>3232</v>
      </c>
    </row>
    <row r="262" spans="1:13" outlineLevel="1" x14ac:dyDescent="0.2">
      <c r="A262" s="20">
        <f t="shared" si="52"/>
        <v>11711</v>
      </c>
      <c r="B262" s="19" t="str">
        <f t="shared" si="52"/>
        <v>UHCL</v>
      </c>
      <c r="C262" s="18"/>
      <c r="D262" s="15">
        <v>1251</v>
      </c>
      <c r="E262" s="17">
        <v>0.51671732522796354</v>
      </c>
      <c r="F262" s="14">
        <v>3079.2666666666669</v>
      </c>
      <c r="G262" s="28">
        <v>2423.7000000000025</v>
      </c>
      <c r="H262" s="15">
        <v>119</v>
      </c>
      <c r="I262" s="13">
        <v>9</v>
      </c>
      <c r="J262" s="16">
        <v>839</v>
      </c>
      <c r="K262" s="30">
        <v>1391</v>
      </c>
      <c r="L262" s="29">
        <v>1014</v>
      </c>
      <c r="M262" s="28">
        <v>37</v>
      </c>
    </row>
    <row r="263" spans="1:13" outlineLevel="1" x14ac:dyDescent="0.2">
      <c r="A263" s="20">
        <f t="shared" si="52"/>
        <v>12826</v>
      </c>
      <c r="B263" s="19" t="str">
        <f t="shared" si="52"/>
        <v>UHD</v>
      </c>
      <c r="C263" s="18"/>
      <c r="D263" s="15">
        <v>2351</v>
      </c>
      <c r="E263" s="21">
        <v>0.17399999999999999</v>
      </c>
      <c r="F263" s="14">
        <v>8043.8</v>
      </c>
      <c r="G263" s="28">
        <v>4292.430000000033</v>
      </c>
      <c r="H263" s="15">
        <v>134</v>
      </c>
      <c r="I263" s="13">
        <v>3</v>
      </c>
      <c r="J263" s="16">
        <v>1694</v>
      </c>
      <c r="K263" s="30">
        <v>3011</v>
      </c>
      <c r="L263" s="29">
        <v>1820</v>
      </c>
      <c r="M263" s="28">
        <v>590</v>
      </c>
    </row>
    <row r="264" spans="1:13" outlineLevel="1" x14ac:dyDescent="0.2">
      <c r="A264" s="20">
        <f t="shared" si="52"/>
        <v>13231</v>
      </c>
      <c r="B264" s="19" t="str">
        <f t="shared" si="52"/>
        <v>UHV</v>
      </c>
      <c r="C264" s="18"/>
      <c r="D264" s="15">
        <v>619</v>
      </c>
      <c r="E264" s="17">
        <v>0.47520661157024796</v>
      </c>
      <c r="F264" s="14">
        <v>1685.8666666666666</v>
      </c>
      <c r="G264" s="28">
        <v>1187.5899999999924</v>
      </c>
      <c r="H264" s="15">
        <v>134</v>
      </c>
      <c r="I264" s="13">
        <v>9</v>
      </c>
      <c r="J264" s="16">
        <v>418</v>
      </c>
      <c r="K264" s="30">
        <v>776</v>
      </c>
      <c r="L264" s="29">
        <v>334</v>
      </c>
      <c r="M264" s="28">
        <v>6</v>
      </c>
    </row>
    <row r="265" spans="1:13" outlineLevel="1" x14ac:dyDescent="0.2">
      <c r="A265" s="20">
        <f t="shared" si="52"/>
        <v>3592</v>
      </c>
      <c r="B265" s="19" t="str">
        <f t="shared" si="52"/>
        <v>Midwestern</v>
      </c>
      <c r="C265" s="18"/>
      <c r="D265" s="15">
        <v>1066</v>
      </c>
      <c r="E265" s="21">
        <v>0.46299999999999997</v>
      </c>
      <c r="F265" s="14">
        <v>4147.7333333333336</v>
      </c>
      <c r="G265" s="28">
        <v>2062.1399999999949</v>
      </c>
      <c r="H265" s="15">
        <v>358</v>
      </c>
      <c r="I265" s="13">
        <v>15</v>
      </c>
      <c r="J265" s="16">
        <v>723</v>
      </c>
      <c r="K265" s="30">
        <v>1310</v>
      </c>
      <c r="L265" s="29">
        <v>979</v>
      </c>
      <c r="M265" s="28">
        <v>683</v>
      </c>
    </row>
    <row r="266" spans="1:13" outlineLevel="1" x14ac:dyDescent="0.2">
      <c r="A266" s="20">
        <f t="shared" si="52"/>
        <v>3594</v>
      </c>
      <c r="B266" s="19" t="str">
        <f t="shared" si="52"/>
        <v>UNT</v>
      </c>
      <c r="C266" s="18"/>
      <c r="D266" s="15">
        <v>5843</v>
      </c>
      <c r="E266" s="21">
        <v>0.56799999999999995</v>
      </c>
      <c r="F266" s="14">
        <v>23213.466666666667</v>
      </c>
      <c r="G266" s="28">
        <v>11338.869999999399</v>
      </c>
      <c r="H266" s="15">
        <v>368</v>
      </c>
      <c r="I266" s="13">
        <v>56</v>
      </c>
      <c r="J266" s="16">
        <v>3771</v>
      </c>
      <c r="K266" s="30">
        <v>7310</v>
      </c>
      <c r="L266" s="29">
        <v>5432</v>
      </c>
      <c r="M266" s="28">
        <v>3116</v>
      </c>
    </row>
    <row r="267" spans="1:13" outlineLevel="1" x14ac:dyDescent="0.2">
      <c r="A267" s="27">
        <f t="shared" si="52"/>
        <v>113594</v>
      </c>
      <c r="B267" s="19" t="str">
        <f t="shared" si="52"/>
        <v>UNTD</v>
      </c>
      <c r="C267" s="18"/>
      <c r="D267" s="15">
        <v>419</v>
      </c>
      <c r="E267" s="21">
        <f>E266</f>
        <v>0.56799999999999995</v>
      </c>
      <c r="F267" s="14">
        <v>983.4666666666667</v>
      </c>
      <c r="G267" s="28">
        <v>742.11999999999398</v>
      </c>
      <c r="H267" s="15">
        <v>14</v>
      </c>
      <c r="I267" s="13">
        <v>0</v>
      </c>
      <c r="J267" s="16">
        <v>313</v>
      </c>
      <c r="K267" s="30">
        <v>469</v>
      </c>
      <c r="L267" s="29">
        <v>80</v>
      </c>
      <c r="M267" s="28">
        <v>4</v>
      </c>
    </row>
    <row r="268" spans="1:13" outlineLevel="1" x14ac:dyDescent="0.2">
      <c r="A268" s="20">
        <f t="shared" si="52"/>
        <v>3624</v>
      </c>
      <c r="B268" s="19" t="str">
        <f t="shared" si="52"/>
        <v>SFA</v>
      </c>
      <c r="C268" s="18"/>
      <c r="D268" s="15">
        <v>2011</v>
      </c>
      <c r="E268" s="21">
        <v>0.55299999999999994</v>
      </c>
      <c r="F268" s="14">
        <v>9507.3333333333339</v>
      </c>
      <c r="G268" s="28">
        <v>3932.9399999999569</v>
      </c>
      <c r="H268" s="15">
        <v>273</v>
      </c>
      <c r="I268" s="13">
        <v>42</v>
      </c>
      <c r="J268" s="16">
        <v>1513</v>
      </c>
      <c r="K268" s="30">
        <v>2605</v>
      </c>
      <c r="L268" s="29">
        <v>2125</v>
      </c>
      <c r="M268" s="28">
        <v>1473</v>
      </c>
    </row>
    <row r="269" spans="1:13" outlineLevel="1" x14ac:dyDescent="0.2">
      <c r="A269" s="20">
        <f t="shared" si="52"/>
        <v>3642</v>
      </c>
      <c r="B269" s="19" t="str">
        <f t="shared" si="52"/>
        <v>TSU</v>
      </c>
      <c r="C269" s="18"/>
      <c r="D269" s="15">
        <v>737</v>
      </c>
      <c r="E269" s="21">
        <v>0.14099999999999999</v>
      </c>
      <c r="F269" s="14">
        <v>5767.1333333333332</v>
      </c>
      <c r="G269" s="28">
        <v>1478.8299999999929</v>
      </c>
      <c r="H269" s="15">
        <v>154</v>
      </c>
      <c r="I269" s="13">
        <v>5</v>
      </c>
      <c r="J269" s="16">
        <v>641</v>
      </c>
      <c r="K269" s="30">
        <v>1349</v>
      </c>
      <c r="L269" s="29">
        <v>988</v>
      </c>
      <c r="M269" s="28">
        <v>760</v>
      </c>
    </row>
    <row r="270" spans="1:13" outlineLevel="1" x14ac:dyDescent="0.2">
      <c r="A270" s="20">
        <f t="shared" si="52"/>
        <v>3644</v>
      </c>
      <c r="B270" s="19" t="str">
        <f t="shared" si="52"/>
        <v>TTU</v>
      </c>
      <c r="C270" s="18"/>
      <c r="D270" s="15">
        <v>4941</v>
      </c>
      <c r="E270" s="21">
        <v>0.73599999999999999</v>
      </c>
      <c r="F270" s="14">
        <v>22627.599999999999</v>
      </c>
      <c r="G270" s="28">
        <v>10741.019999999262</v>
      </c>
      <c r="H270" s="15">
        <v>839</v>
      </c>
      <c r="I270" s="13">
        <v>67</v>
      </c>
      <c r="J270" s="16">
        <v>3071</v>
      </c>
      <c r="K270" s="30">
        <v>6449</v>
      </c>
      <c r="L270" s="29">
        <v>5332</v>
      </c>
      <c r="M270" s="28">
        <v>4048</v>
      </c>
    </row>
    <row r="271" spans="1:13" outlineLevel="1" x14ac:dyDescent="0.2">
      <c r="A271" s="20">
        <f t="shared" si="52"/>
        <v>3541</v>
      </c>
      <c r="B271" s="19" t="str">
        <f t="shared" si="52"/>
        <v>Angelo</v>
      </c>
      <c r="C271" s="18"/>
      <c r="D271" s="15">
        <v>1073</v>
      </c>
      <c r="E271" s="21">
        <v>0.40799999999999997</v>
      </c>
      <c r="F271" s="14">
        <v>4921.333333333333</v>
      </c>
      <c r="G271" s="28">
        <v>2141.5100000000025</v>
      </c>
      <c r="H271" s="15">
        <v>304</v>
      </c>
      <c r="I271" s="13">
        <v>19</v>
      </c>
      <c r="J271" s="16">
        <v>773</v>
      </c>
      <c r="K271" s="30">
        <v>1398</v>
      </c>
      <c r="L271" s="29">
        <v>1022</v>
      </c>
      <c r="M271" s="28">
        <v>707</v>
      </c>
    </row>
    <row r="272" spans="1:13" outlineLevel="1" x14ac:dyDescent="0.2">
      <c r="A272" s="20">
        <f t="shared" ref="A272:B277" si="53">A230</f>
        <v>3646</v>
      </c>
      <c r="B272" s="19" t="str">
        <f t="shared" si="53"/>
        <v>TWU</v>
      </c>
      <c r="C272" s="18"/>
      <c r="D272" s="15">
        <v>1919</v>
      </c>
      <c r="E272" s="21">
        <v>0.54200000000000004</v>
      </c>
      <c r="F272" s="14">
        <v>6999.5333333333338</v>
      </c>
      <c r="G272" s="28">
        <v>3704.3199999999606</v>
      </c>
      <c r="H272" s="15">
        <v>571</v>
      </c>
      <c r="I272" s="13">
        <v>30</v>
      </c>
      <c r="J272" s="16">
        <v>1326</v>
      </c>
      <c r="K272" s="30">
        <v>2425</v>
      </c>
      <c r="L272" s="29">
        <v>1247</v>
      </c>
      <c r="M272" s="28">
        <v>703</v>
      </c>
    </row>
    <row r="273" spans="1:14" outlineLevel="1" x14ac:dyDescent="0.2">
      <c r="A273" s="20">
        <f t="shared" si="53"/>
        <v>3581</v>
      </c>
      <c r="B273" s="19" t="str">
        <f t="shared" si="53"/>
        <v>Lamar</v>
      </c>
      <c r="C273" s="18"/>
      <c r="D273" s="15">
        <v>1380</v>
      </c>
      <c r="E273" s="21">
        <v>0.35899999999999999</v>
      </c>
      <c r="F273" s="14">
        <v>7404.4666666666662</v>
      </c>
      <c r="G273" s="28">
        <v>2721.5300000000057</v>
      </c>
      <c r="H273" s="15">
        <v>318</v>
      </c>
      <c r="I273" s="13">
        <v>18</v>
      </c>
      <c r="J273" s="16">
        <v>995</v>
      </c>
      <c r="K273" s="30">
        <v>2074</v>
      </c>
      <c r="L273" s="29">
        <v>1486</v>
      </c>
      <c r="M273" s="28">
        <v>1002</v>
      </c>
    </row>
    <row r="274" spans="1:14" outlineLevel="1" x14ac:dyDescent="0.2">
      <c r="A274" s="20">
        <f t="shared" si="53"/>
        <v>3606</v>
      </c>
      <c r="B274" s="19" t="str">
        <f t="shared" si="53"/>
        <v>SHSU</v>
      </c>
      <c r="C274" s="18"/>
      <c r="D274" s="15">
        <v>2978</v>
      </c>
      <c r="E274" s="21">
        <v>0.57799999999999996</v>
      </c>
      <c r="F274" s="14">
        <v>12574.466666666667</v>
      </c>
      <c r="G274" s="28">
        <v>5694.020000000286</v>
      </c>
      <c r="H274" s="15">
        <v>172</v>
      </c>
      <c r="I274" s="13">
        <v>51</v>
      </c>
      <c r="J274" s="16">
        <v>2163</v>
      </c>
      <c r="K274" s="30">
        <v>3894</v>
      </c>
      <c r="L274" s="29">
        <v>2915</v>
      </c>
      <c r="M274" s="28">
        <v>1704</v>
      </c>
    </row>
    <row r="275" spans="1:14" outlineLevel="1" x14ac:dyDescent="0.2">
      <c r="A275" s="20">
        <f t="shared" si="53"/>
        <v>3615</v>
      </c>
      <c r="B275" s="19" t="str">
        <f t="shared" si="53"/>
        <v>TXST</v>
      </c>
      <c r="C275" s="18"/>
      <c r="D275" s="15">
        <v>5435</v>
      </c>
      <c r="E275" s="21">
        <v>0.61399999999999999</v>
      </c>
      <c r="F275" s="14">
        <v>24028</v>
      </c>
      <c r="G275" s="28">
        <v>10677.06999999951</v>
      </c>
      <c r="H275" s="15">
        <v>582</v>
      </c>
      <c r="I275" s="13">
        <v>67</v>
      </c>
      <c r="J275" s="16">
        <v>3816</v>
      </c>
      <c r="K275" s="30">
        <v>7425</v>
      </c>
      <c r="L275" s="29">
        <v>5561</v>
      </c>
      <c r="M275" s="28">
        <v>3333</v>
      </c>
    </row>
    <row r="276" spans="1:14" outlineLevel="1" x14ac:dyDescent="0.2">
      <c r="A276" s="20">
        <f t="shared" si="53"/>
        <v>3625</v>
      </c>
      <c r="B276" s="19" t="str">
        <f t="shared" si="53"/>
        <v>SRSU</v>
      </c>
      <c r="C276" s="18"/>
      <c r="D276" s="15">
        <v>191</v>
      </c>
      <c r="E276" s="21">
        <v>0.32600000000000001</v>
      </c>
      <c r="F276" s="14">
        <v>1229</v>
      </c>
      <c r="G276" s="28">
        <v>409.0499999999999</v>
      </c>
      <c r="H276" s="15">
        <v>10</v>
      </c>
      <c r="I276" s="13">
        <v>5</v>
      </c>
      <c r="J276" s="16">
        <v>167</v>
      </c>
      <c r="K276" s="30">
        <v>284</v>
      </c>
      <c r="L276" s="29">
        <v>188</v>
      </c>
      <c r="M276" s="28">
        <v>144</v>
      </c>
      <c r="N276" s="41"/>
    </row>
    <row r="277" spans="1:14" outlineLevel="1" x14ac:dyDescent="0.2">
      <c r="A277" s="20">
        <f t="shared" si="53"/>
        <v>20</v>
      </c>
      <c r="B277" s="19" t="str">
        <f t="shared" si="53"/>
        <v>SRRG</v>
      </c>
      <c r="C277" s="18"/>
      <c r="D277" s="15">
        <v>154</v>
      </c>
      <c r="E277" s="17">
        <v>0.25423728813559321</v>
      </c>
      <c r="F277" s="14">
        <v>436.8</v>
      </c>
      <c r="G277" s="28">
        <v>268.06000000000023</v>
      </c>
      <c r="H277" s="15">
        <v>6</v>
      </c>
      <c r="I277" s="13">
        <v>1</v>
      </c>
      <c r="J277" s="16">
        <v>138</v>
      </c>
      <c r="K277" s="30">
        <v>215</v>
      </c>
      <c r="L277" s="29">
        <v>91</v>
      </c>
      <c r="M277" s="28">
        <v>6</v>
      </c>
    </row>
    <row r="278" spans="1:14" ht="13.5" outlineLevel="1" thickBot="1" x14ac:dyDescent="0.25">
      <c r="A278" s="12"/>
      <c r="B278" s="11" t="s">
        <v>11</v>
      </c>
      <c r="C278" s="10"/>
      <c r="D278" s="9">
        <f>SUM(D240:D277)</f>
        <v>87062</v>
      </c>
      <c r="E278" s="8">
        <v>0.58700000000000008</v>
      </c>
      <c r="F278" s="7">
        <f t="shared" ref="F278:M278" si="54">SUM(F240:F277)</f>
        <v>359610.06666666665</v>
      </c>
      <c r="G278" s="3">
        <f t="shared" si="54"/>
        <v>180161.28999999876</v>
      </c>
      <c r="H278" s="5">
        <f t="shared" si="54"/>
        <v>15629</v>
      </c>
      <c r="I278" s="3">
        <f t="shared" si="54"/>
        <v>1267</v>
      </c>
      <c r="J278" s="6">
        <f t="shared" si="54"/>
        <v>56968</v>
      </c>
      <c r="K278" s="5">
        <f t="shared" si="54"/>
        <v>113504</v>
      </c>
      <c r="L278" s="4">
        <f t="shared" si="54"/>
        <v>81268</v>
      </c>
      <c r="M278" s="3">
        <f t="shared" si="54"/>
        <v>50077</v>
      </c>
    </row>
    <row r="279" spans="1:14" ht="13.5" thickBot="1" x14ac:dyDescent="0.25">
      <c r="A279" s="45" t="s">
        <v>26</v>
      </c>
      <c r="B279" s="45"/>
      <c r="C279" s="45"/>
      <c r="D279" s="45"/>
      <c r="F279" s="45"/>
      <c r="J279" s="45"/>
    </row>
    <row r="280" spans="1:14" ht="12.75" customHeight="1" outlineLevel="1" x14ac:dyDescent="0.2">
      <c r="A280" s="273" t="s">
        <v>24</v>
      </c>
      <c r="B280" s="275" t="s">
        <v>23</v>
      </c>
      <c r="C280" s="277"/>
      <c r="D280" s="306" t="s">
        <v>22</v>
      </c>
      <c r="E280" s="301" t="s">
        <v>21</v>
      </c>
      <c r="F280" s="275" t="s">
        <v>20</v>
      </c>
      <c r="G280" s="297" t="s">
        <v>19</v>
      </c>
      <c r="H280" s="299" t="s">
        <v>18</v>
      </c>
      <c r="I280" s="291" t="s">
        <v>17</v>
      </c>
      <c r="J280" s="293" t="s">
        <v>16</v>
      </c>
      <c r="K280" s="295" t="s">
        <v>15</v>
      </c>
      <c r="L280" s="296"/>
      <c r="M280" s="296"/>
    </row>
    <row r="281" spans="1:14" s="41" customFormat="1" ht="40.5" customHeight="1" outlineLevel="1" thickBot="1" x14ac:dyDescent="0.25">
      <c r="A281" s="274"/>
      <c r="B281" s="276"/>
      <c r="C281" s="278"/>
      <c r="D281" s="307"/>
      <c r="E281" s="302"/>
      <c r="F281" s="276"/>
      <c r="G281" s="298"/>
      <c r="H281" s="300"/>
      <c r="I281" s="292"/>
      <c r="J281" s="294"/>
      <c r="K281" s="44" t="s">
        <v>14</v>
      </c>
      <c r="L281" s="43" t="s">
        <v>13</v>
      </c>
      <c r="M281" s="42" t="s">
        <v>12</v>
      </c>
      <c r="N281" s="1"/>
    </row>
    <row r="282" spans="1:14" outlineLevel="1" x14ac:dyDescent="0.2">
      <c r="A282" s="40">
        <f t="shared" ref="A282:B297" si="55">A240</f>
        <v>3656</v>
      </c>
      <c r="B282" s="39" t="str">
        <f t="shared" si="55"/>
        <v>UTA</v>
      </c>
      <c r="C282" s="38"/>
      <c r="D282" s="33">
        <v>5103</v>
      </c>
      <c r="E282" s="37">
        <v>0.49299999999999999</v>
      </c>
      <c r="F282" s="32">
        <v>17372</v>
      </c>
      <c r="G282" s="31">
        <v>10527.860000000002</v>
      </c>
      <c r="H282" s="36">
        <v>1620</v>
      </c>
      <c r="I282" s="35">
        <v>26</v>
      </c>
      <c r="J282" s="34">
        <v>3158</v>
      </c>
      <c r="K282" s="33">
        <v>6986</v>
      </c>
      <c r="L282" s="32">
        <v>3903</v>
      </c>
      <c r="M282" s="31">
        <v>1733</v>
      </c>
    </row>
    <row r="283" spans="1:14" outlineLevel="1" x14ac:dyDescent="0.2">
      <c r="A283" s="20">
        <f t="shared" si="55"/>
        <v>3658</v>
      </c>
      <c r="B283" s="19" t="str">
        <f t="shared" si="55"/>
        <v>UT</v>
      </c>
      <c r="C283" s="18"/>
      <c r="D283" s="15">
        <v>9027</v>
      </c>
      <c r="E283" s="21">
        <v>0.83299999999999996</v>
      </c>
      <c r="F283" s="14">
        <v>33709.866666666669</v>
      </c>
      <c r="G283" s="13">
        <v>19422.050000001858</v>
      </c>
      <c r="H283" s="15">
        <v>1894</v>
      </c>
      <c r="I283" s="13">
        <v>60</v>
      </c>
      <c r="J283" s="16">
        <v>3475</v>
      </c>
      <c r="K283" s="15">
        <v>9939</v>
      </c>
      <c r="L283" s="14">
        <v>8895</v>
      </c>
      <c r="M283" s="13">
        <v>7485</v>
      </c>
    </row>
    <row r="284" spans="1:14" outlineLevel="1" x14ac:dyDescent="0.2">
      <c r="A284" s="20">
        <f t="shared" si="55"/>
        <v>9741</v>
      </c>
      <c r="B284" s="19" t="str">
        <f t="shared" si="55"/>
        <v>UTD</v>
      </c>
      <c r="C284" s="18"/>
      <c r="D284" s="15">
        <v>2314</v>
      </c>
      <c r="E284" s="21">
        <v>0.68299999999999994</v>
      </c>
      <c r="F284" s="14">
        <v>8822.2000000000007</v>
      </c>
      <c r="G284" s="13">
        <v>4904.1700000000228</v>
      </c>
      <c r="H284" s="15">
        <v>424</v>
      </c>
      <c r="I284" s="13">
        <v>27</v>
      </c>
      <c r="J284" s="16">
        <v>1294</v>
      </c>
      <c r="K284" s="15">
        <v>3345</v>
      </c>
      <c r="L284" s="14">
        <v>2105</v>
      </c>
      <c r="M284" s="13">
        <v>1076</v>
      </c>
    </row>
    <row r="285" spans="1:14" outlineLevel="1" x14ac:dyDescent="0.2">
      <c r="A285" s="20">
        <f t="shared" si="55"/>
        <v>3661</v>
      </c>
      <c r="B285" s="19" t="str">
        <f t="shared" si="55"/>
        <v>UTEP</v>
      </c>
      <c r="C285" s="18"/>
      <c r="D285" s="15">
        <v>3008</v>
      </c>
      <c r="E285" s="21">
        <v>0.38400000000000001</v>
      </c>
      <c r="F285" s="14">
        <v>13376</v>
      </c>
      <c r="G285" s="13">
        <v>6142.7200000000885</v>
      </c>
      <c r="H285" s="15">
        <v>613</v>
      </c>
      <c r="I285" s="13">
        <v>91</v>
      </c>
      <c r="J285" s="16">
        <v>2409</v>
      </c>
      <c r="K285" s="15">
        <v>4488</v>
      </c>
      <c r="L285" s="14">
        <v>3404</v>
      </c>
      <c r="M285" s="13">
        <v>1910</v>
      </c>
    </row>
    <row r="286" spans="1:14" outlineLevel="1" x14ac:dyDescent="0.2">
      <c r="A286" s="20">
        <f t="shared" si="55"/>
        <v>3599</v>
      </c>
      <c r="B286" s="19" t="str">
        <f t="shared" si="55"/>
        <v>UTPA</v>
      </c>
      <c r="C286" s="18"/>
      <c r="D286" s="15">
        <v>2658</v>
      </c>
      <c r="E286" s="21">
        <v>0.46399999999999997</v>
      </c>
      <c r="F286" s="14">
        <v>12499.266666666666</v>
      </c>
      <c r="G286" s="13">
        <v>5231.3300000001427</v>
      </c>
      <c r="H286" s="15">
        <v>534</v>
      </c>
      <c r="I286" s="13">
        <v>34</v>
      </c>
      <c r="J286" s="16">
        <v>2427</v>
      </c>
      <c r="K286" s="15">
        <v>4142</v>
      </c>
      <c r="L286" s="14">
        <v>3290</v>
      </c>
      <c r="M286" s="13">
        <v>1998</v>
      </c>
    </row>
    <row r="287" spans="1:14" outlineLevel="1" x14ac:dyDescent="0.2">
      <c r="A287" s="20">
        <f t="shared" si="55"/>
        <v>30646</v>
      </c>
      <c r="B287" s="19" t="str">
        <f t="shared" si="55"/>
        <v>UTB</v>
      </c>
      <c r="C287" s="18"/>
      <c r="D287" s="15">
        <v>1075</v>
      </c>
      <c r="E287" s="17">
        <v>0.55124653739612184</v>
      </c>
      <c r="F287" s="14">
        <v>3116.2</v>
      </c>
      <c r="G287" s="13">
        <v>2052.0600000000218</v>
      </c>
      <c r="H287" s="15">
        <v>132</v>
      </c>
      <c r="I287" s="13">
        <v>15</v>
      </c>
      <c r="J287" s="16">
        <v>916</v>
      </c>
      <c r="K287" s="15">
        <v>1359</v>
      </c>
      <c r="L287" s="14">
        <v>600</v>
      </c>
      <c r="M287" s="13">
        <v>131</v>
      </c>
    </row>
    <row r="288" spans="1:14" outlineLevel="1" x14ac:dyDescent="0.2">
      <c r="A288" s="20">
        <f t="shared" si="55"/>
        <v>9930</v>
      </c>
      <c r="B288" s="19" t="str">
        <f t="shared" si="55"/>
        <v>UTPB</v>
      </c>
      <c r="C288" s="18"/>
      <c r="D288" s="15">
        <v>541</v>
      </c>
      <c r="E288" s="21">
        <v>0.40700000000000003</v>
      </c>
      <c r="F288" s="14">
        <v>2416</v>
      </c>
      <c r="G288" s="13">
        <v>1005.1500000000051</v>
      </c>
      <c r="H288" s="15">
        <v>40</v>
      </c>
      <c r="I288" s="13">
        <v>10</v>
      </c>
      <c r="J288" s="16">
        <v>407</v>
      </c>
      <c r="K288" s="15">
        <v>908</v>
      </c>
      <c r="L288" s="14">
        <v>490</v>
      </c>
      <c r="M288" s="13">
        <v>191</v>
      </c>
    </row>
    <row r="289" spans="1:13" outlineLevel="1" x14ac:dyDescent="0.2">
      <c r="A289" s="20">
        <f t="shared" si="55"/>
        <v>10115</v>
      </c>
      <c r="B289" s="19" t="str">
        <f t="shared" si="55"/>
        <v>UTSA</v>
      </c>
      <c r="C289" s="18"/>
      <c r="D289" s="15">
        <v>4148</v>
      </c>
      <c r="E289" s="21">
        <v>0.39400000000000002</v>
      </c>
      <c r="F289" s="14">
        <v>20284.733333333334</v>
      </c>
      <c r="G289" s="13">
        <v>8398.8499999997166</v>
      </c>
      <c r="H289" s="15">
        <v>394</v>
      </c>
      <c r="I289" s="13">
        <v>47</v>
      </c>
      <c r="J289" s="16">
        <v>3211</v>
      </c>
      <c r="K289" s="15">
        <v>6802</v>
      </c>
      <c r="L289" s="14">
        <v>4390</v>
      </c>
      <c r="M289" s="13">
        <v>2699</v>
      </c>
    </row>
    <row r="290" spans="1:13" outlineLevel="1" x14ac:dyDescent="0.2">
      <c r="A290" s="20">
        <f t="shared" si="55"/>
        <v>11163</v>
      </c>
      <c r="B290" s="19" t="str">
        <f t="shared" si="55"/>
        <v>UTT</v>
      </c>
      <c r="C290" s="18"/>
      <c r="D290" s="15">
        <v>1188</v>
      </c>
      <c r="E290" s="21">
        <v>0.53300000000000003</v>
      </c>
      <c r="F290" s="14">
        <v>4030.7333333333331</v>
      </c>
      <c r="G290" s="13">
        <v>2364.9800000000037</v>
      </c>
      <c r="H290" s="15">
        <v>366</v>
      </c>
      <c r="I290" s="13">
        <v>9</v>
      </c>
      <c r="J290" s="16">
        <v>939</v>
      </c>
      <c r="K290" s="15">
        <v>1496</v>
      </c>
      <c r="L290" s="14">
        <v>905</v>
      </c>
      <c r="M290" s="13">
        <v>401</v>
      </c>
    </row>
    <row r="291" spans="1:13" outlineLevel="1" x14ac:dyDescent="0.2">
      <c r="A291" s="20">
        <f t="shared" si="55"/>
        <v>3632</v>
      </c>
      <c r="B291" s="19" t="str">
        <f t="shared" si="55"/>
        <v>TAMU</v>
      </c>
      <c r="C291" s="18"/>
      <c r="D291" s="15">
        <v>8748</v>
      </c>
      <c r="E291" s="21">
        <v>0.84399999999999997</v>
      </c>
      <c r="F291" s="14">
        <v>34425.133333333331</v>
      </c>
      <c r="G291" s="13">
        <v>20060.050000001262</v>
      </c>
      <c r="H291" s="15">
        <v>1775</v>
      </c>
      <c r="I291" s="13">
        <v>133</v>
      </c>
      <c r="J291" s="16">
        <v>3727</v>
      </c>
      <c r="K291" s="15">
        <v>9623</v>
      </c>
      <c r="L291" s="14">
        <v>8962</v>
      </c>
      <c r="M291" s="13">
        <v>6823</v>
      </c>
    </row>
    <row r="292" spans="1:13" outlineLevel="1" x14ac:dyDescent="0.2">
      <c r="A292" s="20">
        <f t="shared" si="55"/>
        <v>10298</v>
      </c>
      <c r="B292" s="19" t="str">
        <f t="shared" si="55"/>
        <v>TAMUG</v>
      </c>
      <c r="C292" s="18"/>
      <c r="D292" s="15">
        <v>250</v>
      </c>
      <c r="E292" s="21">
        <v>0.66400000000000003</v>
      </c>
      <c r="F292" s="14">
        <v>1668.1333333333334</v>
      </c>
      <c r="G292" s="13">
        <v>648.89999999999895</v>
      </c>
      <c r="H292" s="15">
        <v>35</v>
      </c>
      <c r="I292" s="13">
        <v>0</v>
      </c>
      <c r="J292" s="16">
        <v>151</v>
      </c>
      <c r="K292" s="15">
        <v>600</v>
      </c>
      <c r="L292" s="14">
        <v>336</v>
      </c>
      <c r="M292" s="13">
        <v>234</v>
      </c>
    </row>
    <row r="293" spans="1:13" outlineLevel="1" x14ac:dyDescent="0.2">
      <c r="A293" s="20">
        <f t="shared" si="55"/>
        <v>3630</v>
      </c>
      <c r="B293" s="19" t="str">
        <f t="shared" si="55"/>
        <v>Prairie View</v>
      </c>
      <c r="C293" s="18"/>
      <c r="D293" s="15">
        <v>904</v>
      </c>
      <c r="E293" s="21">
        <v>0.37</v>
      </c>
      <c r="F293" s="49">
        <v>6088.2666666666664</v>
      </c>
      <c r="G293" s="13">
        <v>1934.240000000003</v>
      </c>
      <c r="H293" s="15">
        <v>279</v>
      </c>
      <c r="I293" s="13">
        <v>10</v>
      </c>
      <c r="J293" s="16">
        <v>775</v>
      </c>
      <c r="K293" s="15">
        <v>1660</v>
      </c>
      <c r="L293" s="14">
        <v>1237</v>
      </c>
      <c r="M293" s="13">
        <v>905</v>
      </c>
    </row>
    <row r="294" spans="1:13" outlineLevel="1" x14ac:dyDescent="0.2">
      <c r="A294" s="20">
        <f t="shared" si="55"/>
        <v>3631</v>
      </c>
      <c r="B294" s="19" t="str">
        <f t="shared" si="55"/>
        <v>Tarleton</v>
      </c>
      <c r="C294" s="18"/>
      <c r="D294" s="15">
        <v>1552</v>
      </c>
      <c r="E294" s="21">
        <v>0.48299999999999998</v>
      </c>
      <c r="F294" s="49">
        <v>6264.4666666666662</v>
      </c>
      <c r="G294" s="13">
        <v>3063.9600000000341</v>
      </c>
      <c r="H294" s="15">
        <v>197</v>
      </c>
      <c r="I294" s="48">
        <v>56</v>
      </c>
      <c r="J294" s="16">
        <v>1196</v>
      </c>
      <c r="K294" s="50">
        <v>2096</v>
      </c>
      <c r="L294" s="49">
        <v>1464</v>
      </c>
      <c r="M294" s="48">
        <v>840</v>
      </c>
    </row>
    <row r="295" spans="1:13" outlineLevel="1" x14ac:dyDescent="0.2">
      <c r="A295" s="27">
        <f t="shared" si="55"/>
        <v>103631</v>
      </c>
      <c r="B295" s="19" t="str">
        <f t="shared" si="55"/>
        <v>TAMUCT</v>
      </c>
      <c r="C295" s="18"/>
      <c r="D295" s="15">
        <v>462</v>
      </c>
      <c r="E295" s="21">
        <v>0.48299999999999998</v>
      </c>
      <c r="F295" s="49">
        <v>700.66666666666663</v>
      </c>
      <c r="G295" s="13">
        <v>846.68000000000006</v>
      </c>
      <c r="H295" s="15">
        <v>36</v>
      </c>
      <c r="I295" s="48">
        <v>0</v>
      </c>
      <c r="J295" s="16">
        <v>330</v>
      </c>
      <c r="K295" s="50">
        <v>555</v>
      </c>
      <c r="L295" s="49">
        <v>143</v>
      </c>
      <c r="M295" s="48">
        <v>66</v>
      </c>
    </row>
    <row r="296" spans="1:13" outlineLevel="1" x14ac:dyDescent="0.2">
      <c r="A296" s="20">
        <f t="shared" si="55"/>
        <v>11161</v>
      </c>
      <c r="B296" s="19" t="str">
        <f t="shared" si="55"/>
        <v>TAMUCC</v>
      </c>
      <c r="C296" s="18"/>
      <c r="D296" s="15">
        <v>1315</v>
      </c>
      <c r="E296" s="21">
        <v>0.51100000000000001</v>
      </c>
      <c r="F296" s="49">
        <v>6609.8666666666668</v>
      </c>
      <c r="G296" s="13">
        <v>2639.1300000000101</v>
      </c>
      <c r="H296" s="15">
        <v>252</v>
      </c>
      <c r="I296" s="48">
        <v>25</v>
      </c>
      <c r="J296" s="16">
        <v>1034</v>
      </c>
      <c r="K296" s="15">
        <v>2126</v>
      </c>
      <c r="L296" s="14">
        <v>1577</v>
      </c>
      <c r="M296" s="13">
        <v>864</v>
      </c>
    </row>
    <row r="297" spans="1:13" outlineLevel="1" x14ac:dyDescent="0.2">
      <c r="A297" s="20">
        <f t="shared" si="55"/>
        <v>3639</v>
      </c>
      <c r="B297" s="19" t="str">
        <f t="shared" si="55"/>
        <v>TAMUK</v>
      </c>
      <c r="C297" s="18"/>
      <c r="D297" s="15">
        <v>738</v>
      </c>
      <c r="E297" s="21">
        <v>0.39799999999999996</v>
      </c>
      <c r="F297" s="49">
        <v>4394.2</v>
      </c>
      <c r="G297" s="13">
        <v>1735.8600000000065</v>
      </c>
      <c r="H297" s="15">
        <v>246</v>
      </c>
      <c r="I297" s="48">
        <v>16</v>
      </c>
      <c r="J297" s="16">
        <v>613</v>
      </c>
      <c r="K297" s="50">
        <v>1180</v>
      </c>
      <c r="L297" s="49">
        <v>879</v>
      </c>
      <c r="M297" s="48">
        <v>555</v>
      </c>
    </row>
    <row r="298" spans="1:13" outlineLevel="1" x14ac:dyDescent="0.2">
      <c r="A298" s="27">
        <f t="shared" ref="A298:B313" si="56">A256</f>
        <v>103639</v>
      </c>
      <c r="B298" s="19" t="str">
        <f t="shared" si="56"/>
        <v>TAMUSA</v>
      </c>
      <c r="C298" s="18"/>
      <c r="D298" s="15">
        <v>620</v>
      </c>
      <c r="E298" s="21">
        <v>0.39799999999999996</v>
      </c>
      <c r="F298" s="49">
        <v>1492.4</v>
      </c>
      <c r="G298" s="13">
        <v>1078.0000000000073</v>
      </c>
      <c r="H298" s="15">
        <v>1</v>
      </c>
      <c r="I298" s="48">
        <v>0</v>
      </c>
      <c r="J298" s="16">
        <v>520</v>
      </c>
      <c r="K298" s="50">
        <v>995</v>
      </c>
      <c r="L298" s="49">
        <v>37</v>
      </c>
      <c r="M298" s="48">
        <v>2</v>
      </c>
    </row>
    <row r="299" spans="1:13" outlineLevel="1" x14ac:dyDescent="0.2">
      <c r="A299" s="20">
        <f t="shared" si="56"/>
        <v>9651</v>
      </c>
      <c r="B299" s="19" t="str">
        <f t="shared" si="56"/>
        <v>TAMI</v>
      </c>
      <c r="C299" s="18"/>
      <c r="D299" s="15">
        <v>766</v>
      </c>
      <c r="E299" s="21">
        <v>0.503</v>
      </c>
      <c r="F299" s="14">
        <v>4126.8</v>
      </c>
      <c r="G299" s="13">
        <v>1400.4200000000046</v>
      </c>
      <c r="H299" s="15">
        <v>120</v>
      </c>
      <c r="I299" s="13">
        <v>18</v>
      </c>
      <c r="J299" s="16">
        <v>688</v>
      </c>
      <c r="K299" s="15">
        <v>1515</v>
      </c>
      <c r="L299" s="14">
        <v>1027</v>
      </c>
      <c r="M299" s="13">
        <v>486</v>
      </c>
    </row>
    <row r="300" spans="1:13" outlineLevel="1" x14ac:dyDescent="0.2">
      <c r="A300" s="20">
        <f t="shared" si="56"/>
        <v>3665</v>
      </c>
      <c r="B300" s="19" t="str">
        <f t="shared" si="56"/>
        <v>WTAMU</v>
      </c>
      <c r="C300" s="18"/>
      <c r="D300" s="15">
        <v>1294</v>
      </c>
      <c r="E300" s="21">
        <v>0.47399999999999998</v>
      </c>
      <c r="F300" s="14">
        <v>5457.666666666667</v>
      </c>
      <c r="G300" s="13">
        <v>2570.7800000000157</v>
      </c>
      <c r="H300" s="15">
        <v>184</v>
      </c>
      <c r="I300" s="13">
        <v>58</v>
      </c>
      <c r="J300" s="16">
        <v>913</v>
      </c>
      <c r="K300" s="15">
        <v>1871</v>
      </c>
      <c r="L300" s="14">
        <v>1264</v>
      </c>
      <c r="M300" s="13">
        <v>664</v>
      </c>
    </row>
    <row r="301" spans="1:13" outlineLevel="1" x14ac:dyDescent="0.2">
      <c r="A301" s="20">
        <f t="shared" si="56"/>
        <v>3565</v>
      </c>
      <c r="B301" s="19" t="str">
        <f t="shared" si="56"/>
        <v>TAMUC</v>
      </c>
      <c r="C301" s="18"/>
      <c r="D301" s="15">
        <v>1313</v>
      </c>
      <c r="E301" s="21">
        <v>0.42600000000000005</v>
      </c>
      <c r="F301" s="14">
        <v>4783.5333333333338</v>
      </c>
      <c r="G301" s="13">
        <v>2463.6900000000296</v>
      </c>
      <c r="H301" s="15">
        <v>71</v>
      </c>
      <c r="I301" s="13">
        <v>77</v>
      </c>
      <c r="J301" s="16">
        <v>1002</v>
      </c>
      <c r="K301" s="15">
        <v>1911</v>
      </c>
      <c r="L301" s="14">
        <v>1200</v>
      </c>
      <c r="M301" s="13">
        <v>477</v>
      </c>
    </row>
    <row r="302" spans="1:13" outlineLevel="1" x14ac:dyDescent="0.2">
      <c r="A302" s="20">
        <f t="shared" si="56"/>
        <v>29269</v>
      </c>
      <c r="B302" s="19" t="str">
        <f t="shared" si="56"/>
        <v>TAMUT</v>
      </c>
      <c r="C302" s="18"/>
      <c r="D302" s="15">
        <v>335</v>
      </c>
      <c r="E302" s="17">
        <v>0.56028368794326244</v>
      </c>
      <c r="F302" s="14">
        <v>879.13333333333333</v>
      </c>
      <c r="G302" s="13">
        <v>609.83000000000015</v>
      </c>
      <c r="H302" s="15">
        <v>48</v>
      </c>
      <c r="I302" s="13">
        <v>18</v>
      </c>
      <c r="J302" s="16">
        <v>230</v>
      </c>
      <c r="K302" s="15">
        <v>411</v>
      </c>
      <c r="L302" s="14">
        <v>186</v>
      </c>
      <c r="M302" s="13">
        <v>1</v>
      </c>
    </row>
    <row r="303" spans="1:13" outlineLevel="1" x14ac:dyDescent="0.2">
      <c r="A303" s="20">
        <f t="shared" si="56"/>
        <v>3652</v>
      </c>
      <c r="B303" s="19" t="str">
        <f t="shared" si="56"/>
        <v>UH</v>
      </c>
      <c r="C303" s="18"/>
      <c r="D303" s="15">
        <v>5092</v>
      </c>
      <c r="E303" s="21">
        <v>0.54200000000000004</v>
      </c>
      <c r="F303" s="14">
        <v>23853.933333333334</v>
      </c>
      <c r="G303" s="13">
        <v>10569.339999999527</v>
      </c>
      <c r="H303" s="15">
        <v>720</v>
      </c>
      <c r="I303" s="13">
        <v>74</v>
      </c>
      <c r="J303" s="16">
        <v>3340</v>
      </c>
      <c r="K303" s="15">
        <v>7467</v>
      </c>
      <c r="L303" s="14">
        <v>5804</v>
      </c>
      <c r="M303" s="13">
        <v>3314</v>
      </c>
    </row>
    <row r="304" spans="1:13" outlineLevel="1" x14ac:dyDescent="0.2">
      <c r="A304" s="20">
        <f t="shared" si="56"/>
        <v>11711</v>
      </c>
      <c r="B304" s="19" t="str">
        <f t="shared" si="56"/>
        <v>UHCL</v>
      </c>
      <c r="C304" s="18"/>
      <c r="D304" s="15">
        <v>1197</v>
      </c>
      <c r="E304" s="17">
        <v>0.53820033955857383</v>
      </c>
      <c r="F304" s="14">
        <v>3046.8</v>
      </c>
      <c r="G304" s="13">
        <v>2293.9500000000248</v>
      </c>
      <c r="H304" s="15">
        <v>113</v>
      </c>
      <c r="I304" s="13">
        <v>8</v>
      </c>
      <c r="J304" s="16">
        <v>777</v>
      </c>
      <c r="K304" s="15">
        <v>1434</v>
      </c>
      <c r="L304" s="14">
        <v>959</v>
      </c>
      <c r="M304" s="13">
        <v>53</v>
      </c>
    </row>
    <row r="305" spans="1:14" outlineLevel="1" x14ac:dyDescent="0.2">
      <c r="A305" s="20">
        <f t="shared" si="56"/>
        <v>12826</v>
      </c>
      <c r="B305" s="19" t="str">
        <f t="shared" si="56"/>
        <v>UHD</v>
      </c>
      <c r="C305" s="18"/>
      <c r="D305" s="15">
        <v>2437</v>
      </c>
      <c r="E305" s="21">
        <v>0.215</v>
      </c>
      <c r="F305" s="14">
        <v>7949.2666666666664</v>
      </c>
      <c r="G305" s="13">
        <v>4368.2100000000464</v>
      </c>
      <c r="H305" s="15">
        <v>143</v>
      </c>
      <c r="I305" s="13">
        <v>0</v>
      </c>
      <c r="J305" s="16">
        <v>1730</v>
      </c>
      <c r="K305" s="15">
        <v>3223</v>
      </c>
      <c r="L305" s="14">
        <v>1896</v>
      </c>
      <c r="M305" s="13">
        <v>618</v>
      </c>
    </row>
    <row r="306" spans="1:14" outlineLevel="1" x14ac:dyDescent="0.2">
      <c r="A306" s="20">
        <f t="shared" si="56"/>
        <v>13231</v>
      </c>
      <c r="B306" s="19" t="str">
        <f t="shared" si="56"/>
        <v>UHV</v>
      </c>
      <c r="C306" s="18"/>
      <c r="D306" s="15">
        <v>596</v>
      </c>
      <c r="E306" s="17">
        <v>0.5339366515837104</v>
      </c>
      <c r="F306" s="14">
        <v>1494.2</v>
      </c>
      <c r="G306" s="13">
        <v>1103.6999999999998</v>
      </c>
      <c r="H306" s="15">
        <v>118</v>
      </c>
      <c r="I306" s="13">
        <v>11</v>
      </c>
      <c r="J306" s="16">
        <v>397</v>
      </c>
      <c r="K306" s="15">
        <v>718</v>
      </c>
      <c r="L306" s="14">
        <v>286</v>
      </c>
      <c r="M306" s="13">
        <v>6</v>
      </c>
    </row>
    <row r="307" spans="1:14" outlineLevel="1" x14ac:dyDescent="0.2">
      <c r="A307" s="20">
        <f t="shared" si="56"/>
        <v>3592</v>
      </c>
      <c r="B307" s="19" t="str">
        <f t="shared" si="56"/>
        <v>Midwestern</v>
      </c>
      <c r="C307" s="18"/>
      <c r="D307" s="15">
        <v>1027</v>
      </c>
      <c r="E307" s="21">
        <v>0.443</v>
      </c>
      <c r="F307" s="14">
        <v>4387.7333333333336</v>
      </c>
      <c r="G307" s="13">
        <v>1924.84</v>
      </c>
      <c r="H307" s="15">
        <v>340</v>
      </c>
      <c r="I307" s="13">
        <v>11</v>
      </c>
      <c r="J307" s="16">
        <v>675</v>
      </c>
      <c r="K307" s="15">
        <v>1507</v>
      </c>
      <c r="L307" s="14">
        <v>1079</v>
      </c>
      <c r="M307" s="13">
        <v>734</v>
      </c>
    </row>
    <row r="308" spans="1:14" outlineLevel="1" x14ac:dyDescent="0.2">
      <c r="A308" s="20">
        <f t="shared" si="56"/>
        <v>3594</v>
      </c>
      <c r="B308" s="19" t="str">
        <f t="shared" si="56"/>
        <v>UNT</v>
      </c>
      <c r="C308" s="18"/>
      <c r="D308" s="15">
        <v>6183</v>
      </c>
      <c r="E308" s="21">
        <v>0.58700000000000008</v>
      </c>
      <c r="F308" s="14">
        <v>23168.733333333334</v>
      </c>
      <c r="G308" s="13">
        <v>11731.089999999795</v>
      </c>
      <c r="H308" s="15">
        <v>345</v>
      </c>
      <c r="I308" s="13">
        <v>47</v>
      </c>
      <c r="J308" s="16">
        <v>3942</v>
      </c>
      <c r="K308" s="15">
        <v>7957</v>
      </c>
      <c r="L308" s="14">
        <v>5891</v>
      </c>
      <c r="M308" s="13">
        <v>3310</v>
      </c>
    </row>
    <row r="309" spans="1:14" outlineLevel="1" x14ac:dyDescent="0.2">
      <c r="A309" s="27">
        <f t="shared" si="56"/>
        <v>113594</v>
      </c>
      <c r="B309" s="19" t="str">
        <f t="shared" si="56"/>
        <v>UNTD</v>
      </c>
      <c r="C309" s="18"/>
      <c r="D309" s="30">
        <v>388</v>
      </c>
      <c r="E309" s="47">
        <v>0.58700000000000008</v>
      </c>
      <c r="F309" s="29">
        <v>908.8</v>
      </c>
      <c r="G309" s="28">
        <v>669.60000000000036</v>
      </c>
      <c r="H309" s="30">
        <v>10</v>
      </c>
      <c r="I309" s="28"/>
      <c r="J309" s="46">
        <v>304</v>
      </c>
      <c r="K309" s="30">
        <v>487</v>
      </c>
      <c r="L309" s="29">
        <v>63</v>
      </c>
      <c r="M309" s="28">
        <v>18</v>
      </c>
    </row>
    <row r="310" spans="1:14" outlineLevel="1" x14ac:dyDescent="0.2">
      <c r="A310" s="20">
        <f t="shared" si="56"/>
        <v>3624</v>
      </c>
      <c r="B310" s="19" t="str">
        <f t="shared" si="56"/>
        <v>SFA</v>
      </c>
      <c r="C310" s="18"/>
      <c r="D310" s="15">
        <v>1880</v>
      </c>
      <c r="E310" s="21">
        <v>0.53900000000000003</v>
      </c>
      <c r="F310" s="14">
        <v>9440.9333333333325</v>
      </c>
      <c r="G310" s="13">
        <v>3606.8600000000297</v>
      </c>
      <c r="H310" s="15">
        <v>241</v>
      </c>
      <c r="I310" s="13">
        <v>49</v>
      </c>
      <c r="J310" s="16">
        <v>1446</v>
      </c>
      <c r="K310" s="15">
        <v>3040</v>
      </c>
      <c r="L310" s="14">
        <v>2166</v>
      </c>
      <c r="M310" s="13">
        <v>1402</v>
      </c>
    </row>
    <row r="311" spans="1:14" outlineLevel="1" x14ac:dyDescent="0.2">
      <c r="A311" s="20">
        <f t="shared" si="56"/>
        <v>3642</v>
      </c>
      <c r="B311" s="19" t="str">
        <f t="shared" si="56"/>
        <v>TSU</v>
      </c>
      <c r="C311" s="18"/>
      <c r="D311" s="15">
        <v>721</v>
      </c>
      <c r="E311" s="21">
        <v>0.14099999999999999</v>
      </c>
      <c r="F311" s="14">
        <v>5912.8</v>
      </c>
      <c r="G311" s="13">
        <v>1385.6100000000063</v>
      </c>
      <c r="H311" s="15">
        <v>122</v>
      </c>
      <c r="I311" s="13">
        <v>2</v>
      </c>
      <c r="J311" s="16">
        <v>635</v>
      </c>
      <c r="K311" s="15">
        <v>1692</v>
      </c>
      <c r="L311" s="14">
        <v>1274</v>
      </c>
      <c r="M311" s="13">
        <v>870</v>
      </c>
    </row>
    <row r="312" spans="1:14" outlineLevel="1" x14ac:dyDescent="0.2">
      <c r="A312" s="20">
        <f t="shared" si="56"/>
        <v>3644</v>
      </c>
      <c r="B312" s="19" t="str">
        <f t="shared" si="56"/>
        <v>TTU</v>
      </c>
      <c r="C312" s="18"/>
      <c r="D312" s="15">
        <v>4605</v>
      </c>
      <c r="E312" s="21">
        <v>0.7320000000000001</v>
      </c>
      <c r="F312" s="14">
        <v>22527.466666666667</v>
      </c>
      <c r="G312" s="13">
        <v>9815.7899999997753</v>
      </c>
      <c r="H312" s="15">
        <v>687</v>
      </c>
      <c r="I312" s="13">
        <v>62</v>
      </c>
      <c r="J312" s="16">
        <v>2724</v>
      </c>
      <c r="K312" s="15">
        <v>6577</v>
      </c>
      <c r="L312" s="14">
        <v>5355</v>
      </c>
      <c r="M312" s="13">
        <v>3957</v>
      </c>
    </row>
    <row r="313" spans="1:14" outlineLevel="1" x14ac:dyDescent="0.2">
      <c r="A313" s="20">
        <f t="shared" si="56"/>
        <v>3541</v>
      </c>
      <c r="B313" s="19" t="str">
        <f t="shared" si="56"/>
        <v>Angelo</v>
      </c>
      <c r="C313" s="18"/>
      <c r="D313" s="15">
        <v>960</v>
      </c>
      <c r="E313" s="21">
        <v>0.441</v>
      </c>
      <c r="F313" s="14">
        <v>4895.666666666667</v>
      </c>
      <c r="G313" s="13">
        <v>1856.9499999999953</v>
      </c>
      <c r="H313" s="15">
        <v>242</v>
      </c>
      <c r="I313" s="13">
        <v>21</v>
      </c>
      <c r="J313" s="16">
        <v>720</v>
      </c>
      <c r="K313" s="15">
        <v>1444</v>
      </c>
      <c r="L313" s="14">
        <v>1071</v>
      </c>
      <c r="M313" s="13">
        <v>708</v>
      </c>
    </row>
    <row r="314" spans="1:14" outlineLevel="1" x14ac:dyDescent="0.2">
      <c r="A314" s="20">
        <f t="shared" ref="A314:B319" si="57">A272</f>
        <v>3646</v>
      </c>
      <c r="B314" s="19" t="str">
        <f t="shared" si="57"/>
        <v>TWU</v>
      </c>
      <c r="C314" s="18"/>
      <c r="D314" s="15">
        <v>1725</v>
      </c>
      <c r="E314" s="21">
        <v>0.48399999999999999</v>
      </c>
      <c r="F314" s="14">
        <v>6598.2</v>
      </c>
      <c r="G314" s="13">
        <v>3227.0100000000139</v>
      </c>
      <c r="H314" s="15">
        <v>523</v>
      </c>
      <c r="I314" s="13">
        <v>34</v>
      </c>
      <c r="J314" s="16">
        <v>1201</v>
      </c>
      <c r="K314" s="15">
        <v>2121</v>
      </c>
      <c r="L314" s="14">
        <v>1259</v>
      </c>
      <c r="M314" s="13">
        <v>608</v>
      </c>
    </row>
    <row r="315" spans="1:14" outlineLevel="1" x14ac:dyDescent="0.2">
      <c r="A315" s="20">
        <f t="shared" si="57"/>
        <v>3581</v>
      </c>
      <c r="B315" s="19" t="str">
        <f t="shared" si="57"/>
        <v>Lamar</v>
      </c>
      <c r="C315" s="18"/>
      <c r="D315" s="15">
        <v>1340</v>
      </c>
      <c r="E315" s="21">
        <v>0.35399999999999998</v>
      </c>
      <c r="F315" s="14">
        <v>7247.8</v>
      </c>
      <c r="G315" s="13">
        <v>2695.0800000000122</v>
      </c>
      <c r="H315" s="15">
        <v>358</v>
      </c>
      <c r="I315" s="13">
        <v>16</v>
      </c>
      <c r="J315" s="16">
        <v>943</v>
      </c>
      <c r="K315" s="15">
        <v>2317</v>
      </c>
      <c r="L315" s="14">
        <v>1577</v>
      </c>
      <c r="M315" s="13">
        <v>1000</v>
      </c>
    </row>
    <row r="316" spans="1:14" outlineLevel="1" x14ac:dyDescent="0.2">
      <c r="A316" s="20">
        <f t="shared" si="57"/>
        <v>3606</v>
      </c>
      <c r="B316" s="19" t="str">
        <f t="shared" si="57"/>
        <v>SHSU</v>
      </c>
      <c r="C316" s="18"/>
      <c r="D316" s="15">
        <v>3013</v>
      </c>
      <c r="E316" s="21">
        <v>0.60299999999999998</v>
      </c>
      <c r="F316" s="14">
        <v>12631.666666666666</v>
      </c>
      <c r="G316" s="13">
        <v>5628.5800000000427</v>
      </c>
      <c r="H316" s="15">
        <v>166</v>
      </c>
      <c r="I316" s="13">
        <v>63</v>
      </c>
      <c r="J316" s="16">
        <v>2160</v>
      </c>
      <c r="K316" s="15">
        <v>3940</v>
      </c>
      <c r="L316" s="14">
        <v>2970</v>
      </c>
      <c r="M316" s="13">
        <v>1716</v>
      </c>
    </row>
    <row r="317" spans="1:14" outlineLevel="1" x14ac:dyDescent="0.2">
      <c r="A317" s="20">
        <f t="shared" si="57"/>
        <v>3615</v>
      </c>
      <c r="B317" s="19" t="str">
        <f t="shared" si="57"/>
        <v>TXST</v>
      </c>
      <c r="C317" s="18"/>
      <c r="D317" s="15">
        <v>5349</v>
      </c>
      <c r="E317" s="21">
        <v>0.6409999999999999</v>
      </c>
      <c r="F317" s="14">
        <v>22917.933333333334</v>
      </c>
      <c r="G317" s="13">
        <v>10250.389999999717</v>
      </c>
      <c r="H317" s="15">
        <v>445</v>
      </c>
      <c r="I317" s="13">
        <v>65</v>
      </c>
      <c r="J317" s="16">
        <v>3665</v>
      </c>
      <c r="K317" s="15">
        <v>7685</v>
      </c>
      <c r="L317" s="14">
        <v>5748</v>
      </c>
      <c r="M317" s="13">
        <v>3317</v>
      </c>
    </row>
    <row r="318" spans="1:14" outlineLevel="1" x14ac:dyDescent="0.2">
      <c r="A318" s="20">
        <f t="shared" si="57"/>
        <v>3625</v>
      </c>
      <c r="B318" s="19" t="str">
        <f t="shared" si="57"/>
        <v>SRSU</v>
      </c>
      <c r="C318" s="18"/>
      <c r="D318" s="15">
        <v>196</v>
      </c>
      <c r="E318" s="21">
        <v>0.29199999999999998</v>
      </c>
      <c r="F318" s="14">
        <v>1200.1333333333334</v>
      </c>
      <c r="G318" s="13">
        <v>405.49999999999949</v>
      </c>
      <c r="H318" s="15">
        <v>18</v>
      </c>
      <c r="I318" s="13">
        <v>4</v>
      </c>
      <c r="J318" s="16">
        <v>166</v>
      </c>
      <c r="K318" s="15">
        <v>298</v>
      </c>
      <c r="L318" s="14">
        <v>217</v>
      </c>
      <c r="M318" s="13">
        <v>136</v>
      </c>
      <c r="N318" s="41"/>
    </row>
    <row r="319" spans="1:14" outlineLevel="1" x14ac:dyDescent="0.2">
      <c r="A319" s="20">
        <f t="shared" si="57"/>
        <v>20</v>
      </c>
      <c r="B319" s="19" t="str">
        <f t="shared" si="57"/>
        <v>SRRG</v>
      </c>
      <c r="C319" s="18"/>
      <c r="D319" s="15">
        <v>163</v>
      </c>
      <c r="E319" s="17">
        <v>0.33750000000000002</v>
      </c>
      <c r="F319" s="14">
        <v>472.13333333333333</v>
      </c>
      <c r="G319" s="13">
        <v>281.52999999999975</v>
      </c>
      <c r="H319" s="15">
        <v>5</v>
      </c>
      <c r="I319" s="13">
        <v>7</v>
      </c>
      <c r="J319" s="16">
        <v>145</v>
      </c>
      <c r="K319" s="15">
        <v>224</v>
      </c>
      <c r="L319" s="14">
        <v>97</v>
      </c>
      <c r="M319" s="13">
        <v>2</v>
      </c>
    </row>
    <row r="320" spans="1:14" ht="13.5" outlineLevel="1" thickBot="1" x14ac:dyDescent="0.25">
      <c r="A320" s="12"/>
      <c r="B320" s="11" t="s">
        <v>11</v>
      </c>
      <c r="C320" s="10"/>
      <c r="D320" s="9">
        <f>SUM(D282:D319)</f>
        <v>84231</v>
      </c>
      <c r="E320" s="8">
        <v>0.58399999999999996</v>
      </c>
      <c r="F320" s="7">
        <f t="shared" ref="F320:M320" si="58">SUM(F282:F319)</f>
        <v>351171.46666666673</v>
      </c>
      <c r="G320" s="3">
        <f t="shared" si="58"/>
        <v>170914.74000000223</v>
      </c>
      <c r="H320" s="5">
        <f t="shared" si="58"/>
        <v>13857</v>
      </c>
      <c r="I320" s="3">
        <f t="shared" si="58"/>
        <v>1204</v>
      </c>
      <c r="J320" s="6">
        <f t="shared" si="58"/>
        <v>54385</v>
      </c>
      <c r="K320" s="5">
        <f t="shared" si="58"/>
        <v>116139</v>
      </c>
      <c r="L320" s="4">
        <f t="shared" si="58"/>
        <v>84006</v>
      </c>
      <c r="M320" s="3">
        <f t="shared" si="58"/>
        <v>51310</v>
      </c>
    </row>
    <row r="321" spans="1:15" ht="13.5" thickBot="1" x14ac:dyDescent="0.25">
      <c r="A321" s="45" t="s">
        <v>25</v>
      </c>
      <c r="B321" s="45"/>
      <c r="C321" s="45"/>
      <c r="D321" s="45"/>
      <c r="F321" s="45"/>
      <c r="J321" s="45"/>
    </row>
    <row r="322" spans="1:15" ht="12.75" customHeight="1" outlineLevel="1" x14ac:dyDescent="0.2">
      <c r="A322" s="273" t="s">
        <v>24</v>
      </c>
      <c r="B322" s="275" t="s">
        <v>23</v>
      </c>
      <c r="C322" s="277"/>
      <c r="D322" s="306" t="s">
        <v>22</v>
      </c>
      <c r="E322" s="301" t="s">
        <v>21</v>
      </c>
      <c r="F322" s="275" t="s">
        <v>20</v>
      </c>
      <c r="G322" s="297" t="s">
        <v>19</v>
      </c>
      <c r="H322" s="299" t="s">
        <v>18</v>
      </c>
      <c r="I322" s="291" t="s">
        <v>17</v>
      </c>
      <c r="J322" s="293" t="s">
        <v>16</v>
      </c>
      <c r="K322" s="295" t="s">
        <v>15</v>
      </c>
      <c r="L322" s="296"/>
      <c r="M322" s="296"/>
    </row>
    <row r="323" spans="1:15" s="41" customFormat="1" ht="39.75" customHeight="1" outlineLevel="1" thickBot="1" x14ac:dyDescent="0.25">
      <c r="A323" s="274"/>
      <c r="B323" s="276"/>
      <c r="C323" s="278"/>
      <c r="D323" s="307"/>
      <c r="E323" s="302"/>
      <c r="F323" s="276"/>
      <c r="G323" s="298"/>
      <c r="H323" s="300"/>
      <c r="I323" s="292"/>
      <c r="J323" s="294"/>
      <c r="K323" s="44" t="s">
        <v>14</v>
      </c>
      <c r="L323" s="43" t="s">
        <v>13</v>
      </c>
      <c r="M323" s="42" t="s">
        <v>12</v>
      </c>
      <c r="N323" s="1"/>
    </row>
    <row r="324" spans="1:15" outlineLevel="1" x14ac:dyDescent="0.2">
      <c r="A324" s="40">
        <f t="shared" ref="A324:B339" si="59">A282</f>
        <v>3656</v>
      </c>
      <c r="B324" s="39" t="str">
        <f t="shared" si="59"/>
        <v>UTA</v>
      </c>
      <c r="C324" s="38"/>
      <c r="D324" s="33">
        <v>4178</v>
      </c>
      <c r="E324" s="37">
        <v>0.50700000000000001</v>
      </c>
      <c r="F324" s="32">
        <v>15698.133333333333</v>
      </c>
      <c r="G324" s="31">
        <v>8640.2399999998797</v>
      </c>
      <c r="H324" s="36">
        <v>834</v>
      </c>
      <c r="I324" s="35">
        <v>36</v>
      </c>
      <c r="J324" s="34">
        <v>2662</v>
      </c>
      <c r="K324" s="33">
        <v>6630</v>
      </c>
      <c r="L324" s="32">
        <v>3636</v>
      </c>
      <c r="M324" s="31">
        <v>1724</v>
      </c>
    </row>
    <row r="325" spans="1:15" outlineLevel="1" x14ac:dyDescent="0.2">
      <c r="A325" s="20">
        <f t="shared" si="59"/>
        <v>3658</v>
      </c>
      <c r="B325" s="19" t="str">
        <f t="shared" si="59"/>
        <v>UT</v>
      </c>
      <c r="C325" s="18"/>
      <c r="D325" s="15">
        <v>8952</v>
      </c>
      <c r="E325" s="21">
        <v>0.82899999999999996</v>
      </c>
      <c r="F325" s="14">
        <v>33736.73333333333</v>
      </c>
      <c r="G325" s="13">
        <v>19230.319999999745</v>
      </c>
      <c r="H325" s="15">
        <v>1754</v>
      </c>
      <c r="I325" s="13">
        <v>55</v>
      </c>
      <c r="J325" s="16">
        <v>3435</v>
      </c>
      <c r="K325" s="15">
        <v>9596</v>
      </c>
      <c r="L325" s="14">
        <v>9749</v>
      </c>
      <c r="M325" s="13">
        <v>7288</v>
      </c>
      <c r="O325" s="2"/>
    </row>
    <row r="326" spans="1:15" outlineLevel="1" x14ac:dyDescent="0.2">
      <c r="A326" s="20">
        <f t="shared" si="59"/>
        <v>9741</v>
      </c>
      <c r="B326" s="19" t="str">
        <f t="shared" si="59"/>
        <v>UTD</v>
      </c>
      <c r="C326" s="18"/>
      <c r="D326" s="15">
        <v>2355</v>
      </c>
      <c r="E326" s="21">
        <v>0.70699999999999996</v>
      </c>
      <c r="F326" s="14">
        <v>8108.8666666666668</v>
      </c>
      <c r="G326" s="13">
        <v>4955.5700000000443</v>
      </c>
      <c r="H326" s="15">
        <v>392</v>
      </c>
      <c r="I326" s="13">
        <v>36</v>
      </c>
      <c r="J326" s="16">
        <v>1255</v>
      </c>
      <c r="K326" s="15">
        <v>3078</v>
      </c>
      <c r="L326" s="14">
        <v>1950</v>
      </c>
      <c r="M326" s="13">
        <v>923</v>
      </c>
      <c r="O326" s="2"/>
    </row>
    <row r="327" spans="1:15" outlineLevel="1" x14ac:dyDescent="0.2">
      <c r="A327" s="20">
        <f t="shared" si="59"/>
        <v>3661</v>
      </c>
      <c r="B327" s="19" t="str">
        <f t="shared" si="59"/>
        <v>UTEP</v>
      </c>
      <c r="C327" s="18"/>
      <c r="D327" s="15">
        <v>3031</v>
      </c>
      <c r="E327" s="21">
        <v>0.374</v>
      </c>
      <c r="F327" s="14">
        <v>12791.933333333332</v>
      </c>
      <c r="G327" s="13">
        <v>6295.4500000000389</v>
      </c>
      <c r="H327" s="15">
        <v>709</v>
      </c>
      <c r="I327" s="13">
        <v>93</v>
      </c>
      <c r="J327" s="16">
        <v>2394</v>
      </c>
      <c r="K327" s="15">
        <v>4200</v>
      </c>
      <c r="L327" s="14">
        <v>3366</v>
      </c>
      <c r="M327" s="13">
        <v>1972</v>
      </c>
      <c r="O327" s="2"/>
    </row>
    <row r="328" spans="1:15" outlineLevel="1" x14ac:dyDescent="0.2">
      <c r="A328" s="20">
        <f t="shared" si="59"/>
        <v>3599</v>
      </c>
      <c r="B328" s="19" t="str">
        <f t="shared" si="59"/>
        <v>UTPA</v>
      </c>
      <c r="C328" s="18"/>
      <c r="D328" s="15">
        <v>2620</v>
      </c>
      <c r="E328" s="21">
        <v>0.38900000000000001</v>
      </c>
      <c r="F328" s="14">
        <v>12572.333333333334</v>
      </c>
      <c r="G328" s="13">
        <v>5170.8900000000631</v>
      </c>
      <c r="H328" s="15">
        <v>480</v>
      </c>
      <c r="I328" s="13">
        <v>31</v>
      </c>
      <c r="J328" s="16">
        <v>2341</v>
      </c>
      <c r="K328" s="15">
        <v>4354</v>
      </c>
      <c r="L328" s="14">
        <v>3136</v>
      </c>
      <c r="M328" s="13">
        <v>1924</v>
      </c>
      <c r="O328" s="2"/>
    </row>
    <row r="329" spans="1:15" outlineLevel="1" x14ac:dyDescent="0.2">
      <c r="A329" s="20">
        <f t="shared" si="59"/>
        <v>30646</v>
      </c>
      <c r="B329" s="19" t="str">
        <f t="shared" si="59"/>
        <v>UTB</v>
      </c>
      <c r="C329" s="18"/>
      <c r="D329" s="15">
        <v>1052</v>
      </c>
      <c r="E329" s="17">
        <v>0.64666666666666661</v>
      </c>
      <c r="F329" s="14">
        <v>2989.6</v>
      </c>
      <c r="G329" s="13">
        <v>2005.0100000000309</v>
      </c>
      <c r="H329" s="15">
        <v>108</v>
      </c>
      <c r="I329" s="13">
        <v>19</v>
      </c>
      <c r="J329" s="16">
        <v>916</v>
      </c>
      <c r="K329" s="15">
        <v>1377</v>
      </c>
      <c r="L329" s="14">
        <v>583</v>
      </c>
      <c r="M329" s="13">
        <v>72</v>
      </c>
      <c r="O329" s="2"/>
    </row>
    <row r="330" spans="1:15" outlineLevel="1" x14ac:dyDescent="0.2">
      <c r="A330" s="20">
        <f t="shared" si="59"/>
        <v>9930</v>
      </c>
      <c r="B330" s="19" t="str">
        <f t="shared" si="59"/>
        <v>UTPB</v>
      </c>
      <c r="C330" s="18"/>
      <c r="D330" s="15">
        <v>513</v>
      </c>
      <c r="E330" s="21">
        <v>0.44600000000000001</v>
      </c>
      <c r="F330" s="14">
        <v>2159.6</v>
      </c>
      <c r="G330" s="13">
        <v>944.74000000001092</v>
      </c>
      <c r="H330" s="15">
        <v>33</v>
      </c>
      <c r="I330" s="13">
        <v>13</v>
      </c>
      <c r="J330" s="16">
        <v>379</v>
      </c>
      <c r="K330" s="15">
        <v>707</v>
      </c>
      <c r="L330" s="14">
        <v>450</v>
      </c>
      <c r="M330" s="13">
        <v>182</v>
      </c>
      <c r="O330" s="2"/>
    </row>
    <row r="331" spans="1:15" outlineLevel="1" x14ac:dyDescent="0.2">
      <c r="A331" s="20">
        <f t="shared" si="59"/>
        <v>10115</v>
      </c>
      <c r="B331" s="19" t="str">
        <f t="shared" si="59"/>
        <v>UTSA</v>
      </c>
      <c r="C331" s="18"/>
      <c r="D331" s="15">
        <v>3968</v>
      </c>
      <c r="E331" s="21">
        <v>0.44</v>
      </c>
      <c r="F331" s="14">
        <v>19707.533333333333</v>
      </c>
      <c r="G331" s="13">
        <v>8107.0899999997582</v>
      </c>
      <c r="H331" s="15">
        <v>375</v>
      </c>
      <c r="I331" s="13">
        <v>39</v>
      </c>
      <c r="J331" s="16">
        <v>2956</v>
      </c>
      <c r="K331" s="15">
        <v>6812</v>
      </c>
      <c r="L331" s="14">
        <v>4615</v>
      </c>
      <c r="M331" s="13">
        <v>2588</v>
      </c>
      <c r="O331" s="2"/>
    </row>
    <row r="332" spans="1:15" outlineLevel="1" x14ac:dyDescent="0.2">
      <c r="A332" s="20">
        <f t="shared" si="59"/>
        <v>11163</v>
      </c>
      <c r="B332" s="19" t="str">
        <f t="shared" si="59"/>
        <v>UTT</v>
      </c>
      <c r="C332" s="18"/>
      <c r="D332" s="15">
        <v>1238</v>
      </c>
      <c r="E332" s="21">
        <v>0.496</v>
      </c>
      <c r="F332" s="14">
        <v>4085.2666666666669</v>
      </c>
      <c r="G332" s="13">
        <v>2459.1300000000315</v>
      </c>
      <c r="H332" s="15">
        <v>372</v>
      </c>
      <c r="I332" s="13">
        <v>10</v>
      </c>
      <c r="J332" s="16">
        <v>1002</v>
      </c>
      <c r="K332" s="15">
        <v>1404</v>
      </c>
      <c r="L332" s="14">
        <v>921</v>
      </c>
      <c r="M332" s="13">
        <v>378</v>
      </c>
      <c r="O332" s="2"/>
    </row>
    <row r="333" spans="1:15" outlineLevel="1" x14ac:dyDescent="0.2">
      <c r="A333" s="20">
        <f t="shared" si="59"/>
        <v>3632</v>
      </c>
      <c r="B333" s="19" t="str">
        <f t="shared" si="59"/>
        <v>TAMU</v>
      </c>
      <c r="C333" s="18"/>
      <c r="D333" s="15">
        <v>8451</v>
      </c>
      <c r="E333" s="21">
        <v>0.83599999999999997</v>
      </c>
      <c r="F333" s="14">
        <v>34329.199999999997</v>
      </c>
      <c r="G333" s="13">
        <v>19146.209999999159</v>
      </c>
      <c r="H333" s="15">
        <v>1580</v>
      </c>
      <c r="I333" s="13">
        <v>108</v>
      </c>
      <c r="J333" s="16">
        <v>3530</v>
      </c>
      <c r="K333" s="15">
        <v>10012</v>
      </c>
      <c r="L333" s="14">
        <v>8836</v>
      </c>
      <c r="M333" s="13">
        <v>6932</v>
      </c>
      <c r="O333" s="2"/>
    </row>
    <row r="334" spans="1:15" outlineLevel="1" x14ac:dyDescent="0.2">
      <c r="A334" s="20">
        <f t="shared" si="59"/>
        <v>10298</v>
      </c>
      <c r="B334" s="19" t="str">
        <f t="shared" si="59"/>
        <v>TAMUG</v>
      </c>
      <c r="C334" s="18"/>
      <c r="D334" s="15">
        <v>262</v>
      </c>
      <c r="E334" s="21">
        <v>0.59199999999999997</v>
      </c>
      <c r="F334" s="14">
        <v>1599.2</v>
      </c>
      <c r="G334" s="13">
        <v>636.84000000000231</v>
      </c>
      <c r="H334" s="15">
        <v>31</v>
      </c>
      <c r="I334" s="13">
        <v>0</v>
      </c>
      <c r="J334" s="16">
        <v>137</v>
      </c>
      <c r="K334" s="15">
        <v>570</v>
      </c>
      <c r="L334" s="14">
        <v>322</v>
      </c>
      <c r="M334" s="13">
        <v>241</v>
      </c>
      <c r="O334" s="2"/>
    </row>
    <row r="335" spans="1:15" outlineLevel="1" x14ac:dyDescent="0.2">
      <c r="A335" s="20">
        <f t="shared" si="59"/>
        <v>3630</v>
      </c>
      <c r="B335" s="19" t="str">
        <f t="shared" si="59"/>
        <v>Prairie View</v>
      </c>
      <c r="C335" s="18"/>
      <c r="D335" s="15">
        <v>879</v>
      </c>
      <c r="E335" s="21">
        <v>0.34200000000000003</v>
      </c>
      <c r="F335" s="14">
        <v>5840.8</v>
      </c>
      <c r="G335" s="13">
        <v>1995.4900000000189</v>
      </c>
      <c r="H335" s="15">
        <v>295</v>
      </c>
      <c r="I335" s="13">
        <v>8</v>
      </c>
      <c r="J335" s="16">
        <v>756</v>
      </c>
      <c r="K335" s="15">
        <v>1643</v>
      </c>
      <c r="L335" s="14">
        <v>1174</v>
      </c>
      <c r="M335" s="13">
        <v>940</v>
      </c>
      <c r="O335" s="2"/>
    </row>
    <row r="336" spans="1:15" outlineLevel="1" x14ac:dyDescent="0.2">
      <c r="A336" s="20">
        <f t="shared" si="59"/>
        <v>3631</v>
      </c>
      <c r="B336" s="19" t="str">
        <f t="shared" si="59"/>
        <v>Tarleton</v>
      </c>
      <c r="C336" s="18"/>
      <c r="D336" s="15">
        <v>1422</v>
      </c>
      <c r="E336" s="21">
        <v>0.47499999999999998</v>
      </c>
      <c r="F336" s="14">
        <v>5845.5333333333338</v>
      </c>
      <c r="G336" s="13">
        <v>2966.430000000048</v>
      </c>
      <c r="H336" s="15">
        <v>183</v>
      </c>
      <c r="I336" s="13">
        <v>38</v>
      </c>
      <c r="J336" s="16">
        <v>1093</v>
      </c>
      <c r="K336" s="15">
        <v>2140</v>
      </c>
      <c r="L336" s="14">
        <v>1306</v>
      </c>
      <c r="M336" s="13">
        <v>903</v>
      </c>
      <c r="O336" s="2"/>
    </row>
    <row r="337" spans="1:15" outlineLevel="1" x14ac:dyDescent="0.2">
      <c r="A337" s="27">
        <f t="shared" si="59"/>
        <v>103631</v>
      </c>
      <c r="B337" s="19" t="str">
        <f t="shared" si="59"/>
        <v>TAMUCT</v>
      </c>
      <c r="C337" s="18"/>
      <c r="D337" s="15">
        <v>450</v>
      </c>
      <c r="E337" s="21">
        <v>0.47499999999999998</v>
      </c>
      <c r="F337" s="14">
        <v>658.4666666666667</v>
      </c>
      <c r="G337" s="13">
        <v>831.96000000000549</v>
      </c>
      <c r="H337" s="15">
        <v>44</v>
      </c>
      <c r="I337" s="13"/>
      <c r="J337" s="16">
        <v>322</v>
      </c>
      <c r="K337" s="15">
        <v>380</v>
      </c>
      <c r="L337" s="14">
        <v>137</v>
      </c>
      <c r="M337" s="13">
        <v>31</v>
      </c>
      <c r="O337" s="2"/>
    </row>
    <row r="338" spans="1:15" outlineLevel="1" x14ac:dyDescent="0.2">
      <c r="A338" s="20">
        <f t="shared" si="59"/>
        <v>11161</v>
      </c>
      <c r="B338" s="19" t="str">
        <f t="shared" si="59"/>
        <v>TAMUCC</v>
      </c>
      <c r="C338" s="18"/>
      <c r="D338" s="15">
        <v>1335</v>
      </c>
      <c r="E338" s="21">
        <v>0.503</v>
      </c>
      <c r="F338" s="14">
        <v>6131.9333333333334</v>
      </c>
      <c r="G338" s="13">
        <v>2744.5700000000347</v>
      </c>
      <c r="H338" s="15">
        <v>237</v>
      </c>
      <c r="I338" s="13">
        <v>29</v>
      </c>
      <c r="J338" s="16">
        <v>1024</v>
      </c>
      <c r="K338" s="15">
        <v>2079</v>
      </c>
      <c r="L338" s="14">
        <v>1357</v>
      </c>
      <c r="M338" s="13">
        <v>812</v>
      </c>
      <c r="O338" s="2"/>
    </row>
    <row r="339" spans="1:15" outlineLevel="1" x14ac:dyDescent="0.2">
      <c r="A339" s="20">
        <f t="shared" si="59"/>
        <v>3639</v>
      </c>
      <c r="B339" s="19" t="str">
        <f t="shared" si="59"/>
        <v>TAMUK</v>
      </c>
      <c r="C339" s="18"/>
      <c r="D339" s="15">
        <v>692</v>
      </c>
      <c r="E339" s="21">
        <v>0.41699999999999998</v>
      </c>
      <c r="F339" s="14">
        <v>3808.2666666666669</v>
      </c>
      <c r="G339" s="13">
        <v>1601.8800000000022</v>
      </c>
      <c r="H339" s="15">
        <v>236</v>
      </c>
      <c r="I339" s="13">
        <v>15</v>
      </c>
      <c r="J339" s="16">
        <v>590</v>
      </c>
      <c r="K339" s="15">
        <v>1159</v>
      </c>
      <c r="L339" s="14">
        <v>790</v>
      </c>
      <c r="M339" s="13">
        <v>550</v>
      </c>
      <c r="O339" s="2"/>
    </row>
    <row r="340" spans="1:15" outlineLevel="1" x14ac:dyDescent="0.2">
      <c r="A340" s="27">
        <f t="shared" ref="A340:B355" si="60">A298</f>
        <v>103639</v>
      </c>
      <c r="B340" s="19" t="str">
        <f t="shared" si="60"/>
        <v>TAMUSA</v>
      </c>
      <c r="C340" s="18"/>
      <c r="D340" s="15">
        <v>496</v>
      </c>
      <c r="E340" s="21">
        <v>0.41699999999999998</v>
      </c>
      <c r="F340" s="14">
        <v>1072.6666666666667</v>
      </c>
      <c r="G340" s="13">
        <v>844.50000000000807</v>
      </c>
      <c r="H340" s="15">
        <v>4</v>
      </c>
      <c r="I340" s="13"/>
      <c r="J340" s="16">
        <v>402</v>
      </c>
      <c r="K340" s="15">
        <v>307</v>
      </c>
      <c r="L340" s="14">
        <v>5</v>
      </c>
      <c r="M340" s="13">
        <v>5</v>
      </c>
      <c r="O340" s="2"/>
    </row>
    <row r="341" spans="1:15" outlineLevel="1" x14ac:dyDescent="0.2">
      <c r="A341" s="20">
        <f t="shared" si="60"/>
        <v>9651</v>
      </c>
      <c r="B341" s="19" t="str">
        <f t="shared" si="60"/>
        <v>TAMI</v>
      </c>
      <c r="C341" s="18"/>
      <c r="D341" s="15">
        <v>798</v>
      </c>
      <c r="E341" s="21">
        <v>0.46</v>
      </c>
      <c r="F341" s="14">
        <v>3819.0666666666666</v>
      </c>
      <c r="G341" s="13">
        <v>1476.3000000000168</v>
      </c>
      <c r="H341" s="15">
        <v>85</v>
      </c>
      <c r="I341" s="13">
        <v>26</v>
      </c>
      <c r="J341" s="16">
        <v>713</v>
      </c>
      <c r="K341" s="15">
        <v>1413</v>
      </c>
      <c r="L341" s="14">
        <v>981</v>
      </c>
      <c r="M341" s="13">
        <v>447</v>
      </c>
      <c r="O341" s="2"/>
    </row>
    <row r="342" spans="1:15" outlineLevel="1" x14ac:dyDescent="0.2">
      <c r="A342" s="20">
        <f t="shared" si="60"/>
        <v>3665</v>
      </c>
      <c r="B342" s="19" t="str">
        <f t="shared" si="60"/>
        <v>WTAMU</v>
      </c>
      <c r="C342" s="18"/>
      <c r="D342" s="15">
        <v>1220</v>
      </c>
      <c r="E342" s="21">
        <v>0.45600000000000002</v>
      </c>
      <c r="F342" s="14">
        <v>5264.8</v>
      </c>
      <c r="G342" s="13">
        <v>2415.9700000000216</v>
      </c>
      <c r="H342" s="15">
        <v>216</v>
      </c>
      <c r="I342" s="13">
        <v>64</v>
      </c>
      <c r="J342" s="16">
        <v>853</v>
      </c>
      <c r="K342" s="15">
        <v>1873</v>
      </c>
      <c r="L342" s="14">
        <v>1161</v>
      </c>
      <c r="M342" s="13">
        <v>631</v>
      </c>
      <c r="O342" s="2"/>
    </row>
    <row r="343" spans="1:15" outlineLevel="1" x14ac:dyDescent="0.2">
      <c r="A343" s="20">
        <f t="shared" si="60"/>
        <v>3565</v>
      </c>
      <c r="B343" s="19" t="str">
        <f t="shared" si="60"/>
        <v>TAMUC</v>
      </c>
      <c r="C343" s="18"/>
      <c r="D343" s="15">
        <v>1153</v>
      </c>
      <c r="E343" s="21">
        <v>0.44800000000000001</v>
      </c>
      <c r="F343" s="14">
        <v>4172.1333333333332</v>
      </c>
      <c r="G343" s="13">
        <v>2179.8400000000324</v>
      </c>
      <c r="H343" s="15">
        <v>59</v>
      </c>
      <c r="I343" s="13">
        <v>65</v>
      </c>
      <c r="J343" s="16">
        <v>884</v>
      </c>
      <c r="K343" s="15">
        <v>1712</v>
      </c>
      <c r="L343" s="14">
        <v>1038</v>
      </c>
      <c r="M343" s="13">
        <v>423</v>
      </c>
      <c r="O343" s="2"/>
    </row>
    <row r="344" spans="1:15" outlineLevel="1" x14ac:dyDescent="0.2">
      <c r="A344" s="20">
        <f t="shared" si="60"/>
        <v>29269</v>
      </c>
      <c r="B344" s="19" t="str">
        <f t="shared" si="60"/>
        <v>TAMUT</v>
      </c>
      <c r="C344" s="18"/>
      <c r="D344" s="15">
        <v>326</v>
      </c>
      <c r="E344" s="17">
        <v>0.57336956521739135</v>
      </c>
      <c r="F344" s="14">
        <v>694.6</v>
      </c>
      <c r="G344" s="13">
        <v>569.46</v>
      </c>
      <c r="H344" s="15">
        <v>30</v>
      </c>
      <c r="I344" s="13">
        <v>15</v>
      </c>
      <c r="J344" s="16">
        <v>210</v>
      </c>
      <c r="K344" s="15">
        <v>403</v>
      </c>
      <c r="L344" s="14">
        <v>138</v>
      </c>
      <c r="M344" s="13">
        <v>0</v>
      </c>
      <c r="O344" s="2"/>
    </row>
    <row r="345" spans="1:15" outlineLevel="1" x14ac:dyDescent="0.2">
      <c r="A345" s="20">
        <f t="shared" si="60"/>
        <v>3652</v>
      </c>
      <c r="B345" s="19" t="str">
        <f t="shared" si="60"/>
        <v>UH</v>
      </c>
      <c r="C345" s="18"/>
      <c r="D345" s="15">
        <v>4778</v>
      </c>
      <c r="E345" s="21">
        <v>0.53100000000000003</v>
      </c>
      <c r="F345" s="14">
        <v>22778.733333333334</v>
      </c>
      <c r="G345" s="13">
        <v>9792.4499999989821</v>
      </c>
      <c r="H345" s="15">
        <v>656</v>
      </c>
      <c r="I345" s="13">
        <v>54</v>
      </c>
      <c r="J345" s="16">
        <v>3091</v>
      </c>
      <c r="K345" s="15">
        <v>7517</v>
      </c>
      <c r="L345" s="14">
        <v>5600</v>
      </c>
      <c r="M345" s="13">
        <v>3376</v>
      </c>
      <c r="O345" s="2"/>
    </row>
    <row r="346" spans="1:15" outlineLevel="1" x14ac:dyDescent="0.2">
      <c r="A346" s="20">
        <f t="shared" si="60"/>
        <v>11711</v>
      </c>
      <c r="B346" s="19" t="str">
        <f t="shared" si="60"/>
        <v>UHCL</v>
      </c>
      <c r="C346" s="18"/>
      <c r="D346" s="15">
        <v>1124</v>
      </c>
      <c r="E346" s="17">
        <v>0.50557620817843862</v>
      </c>
      <c r="F346" s="14">
        <v>2872.8666666666668</v>
      </c>
      <c r="G346" s="13">
        <v>2131.2100000000323</v>
      </c>
      <c r="H346" s="15">
        <v>88</v>
      </c>
      <c r="I346" s="13">
        <v>8</v>
      </c>
      <c r="J346" s="16">
        <v>707</v>
      </c>
      <c r="K346" s="15">
        <v>1349</v>
      </c>
      <c r="L346" s="14">
        <v>888</v>
      </c>
      <c r="M346" s="13">
        <v>81</v>
      </c>
      <c r="O346" s="2"/>
    </row>
    <row r="347" spans="1:15" outlineLevel="1" x14ac:dyDescent="0.2">
      <c r="A347" s="20">
        <f t="shared" si="60"/>
        <v>12826</v>
      </c>
      <c r="B347" s="19" t="str">
        <f t="shared" si="60"/>
        <v>UHD</v>
      </c>
      <c r="C347" s="18"/>
      <c r="D347" s="15">
        <v>2359</v>
      </c>
      <c r="E347" s="21">
        <v>0.18099999999999999</v>
      </c>
      <c r="F347" s="14">
        <v>7963.6</v>
      </c>
      <c r="G347" s="13">
        <v>4153.3100000000841</v>
      </c>
      <c r="H347" s="15">
        <v>112</v>
      </c>
      <c r="I347" s="13">
        <v>2</v>
      </c>
      <c r="J347" s="16">
        <v>1619</v>
      </c>
      <c r="K347" s="15">
        <v>3082</v>
      </c>
      <c r="L347" s="14">
        <v>1889</v>
      </c>
      <c r="M347" s="13">
        <v>606</v>
      </c>
      <c r="O347" s="2"/>
    </row>
    <row r="348" spans="1:15" outlineLevel="1" x14ac:dyDescent="0.2">
      <c r="A348" s="20">
        <f t="shared" si="60"/>
        <v>13231</v>
      </c>
      <c r="B348" s="19" t="str">
        <f t="shared" si="60"/>
        <v>UHV</v>
      </c>
      <c r="C348" s="18"/>
      <c r="D348" s="15">
        <v>515</v>
      </c>
      <c r="E348" s="17">
        <v>0.55256723716381417</v>
      </c>
      <c r="F348" s="14">
        <v>1135.8</v>
      </c>
      <c r="G348" s="13">
        <v>962.15000000001089</v>
      </c>
      <c r="H348" s="15">
        <v>72</v>
      </c>
      <c r="I348" s="13">
        <v>2</v>
      </c>
      <c r="J348" s="16">
        <v>337</v>
      </c>
      <c r="K348" s="15">
        <v>654</v>
      </c>
      <c r="L348" s="14">
        <v>269</v>
      </c>
      <c r="M348" s="13">
        <v>8</v>
      </c>
      <c r="O348" s="2"/>
    </row>
    <row r="349" spans="1:15" outlineLevel="1" x14ac:dyDescent="0.2">
      <c r="A349" s="20">
        <f t="shared" si="60"/>
        <v>3592</v>
      </c>
      <c r="B349" s="19" t="str">
        <f t="shared" si="60"/>
        <v>Midwestern</v>
      </c>
      <c r="C349" s="18"/>
      <c r="D349" s="15">
        <v>1002</v>
      </c>
      <c r="E349" s="21">
        <v>0.41199999999999998</v>
      </c>
      <c r="F349" s="14">
        <v>4294.8666666666668</v>
      </c>
      <c r="G349" s="13">
        <v>1899.0200000000148</v>
      </c>
      <c r="H349" s="15">
        <v>302</v>
      </c>
      <c r="I349" s="13">
        <v>19</v>
      </c>
      <c r="J349" s="16">
        <v>673</v>
      </c>
      <c r="K349" s="15">
        <v>1497</v>
      </c>
      <c r="L349" s="14">
        <v>1080</v>
      </c>
      <c r="M349" s="13">
        <v>622</v>
      </c>
      <c r="O349" s="2"/>
    </row>
    <row r="350" spans="1:15" outlineLevel="1" x14ac:dyDescent="0.2">
      <c r="A350" s="20">
        <f t="shared" si="60"/>
        <v>3594</v>
      </c>
      <c r="B350" s="19" t="str">
        <f t="shared" si="60"/>
        <v>UNT</v>
      </c>
      <c r="C350" s="18"/>
      <c r="D350" s="15">
        <v>6024</v>
      </c>
      <c r="E350" s="21">
        <v>0.57399999999999995</v>
      </c>
      <c r="F350" s="14">
        <f>22506.0666666667+838</f>
        <v>23344.066666666698</v>
      </c>
      <c r="G350" s="13">
        <v>11164.699999998398</v>
      </c>
      <c r="H350" s="15">
        <v>297</v>
      </c>
      <c r="I350" s="13">
        <v>27</v>
      </c>
      <c r="J350" s="16">
        <v>3747</v>
      </c>
      <c r="K350" s="30">
        <v>8327</v>
      </c>
      <c r="L350" s="29">
        <v>5604</v>
      </c>
      <c r="M350" s="28">
        <v>3585</v>
      </c>
      <c r="O350" s="2"/>
    </row>
    <row r="351" spans="1:15" outlineLevel="1" x14ac:dyDescent="0.2">
      <c r="A351" s="27">
        <f t="shared" si="60"/>
        <v>113594</v>
      </c>
      <c r="B351" s="19" t="str">
        <f t="shared" si="60"/>
        <v>UNTD</v>
      </c>
      <c r="C351" s="18"/>
      <c r="D351" s="24"/>
      <c r="E351" s="26"/>
      <c r="F351" s="23"/>
      <c r="G351" s="22"/>
      <c r="H351" s="24"/>
      <c r="I351" s="22"/>
      <c r="J351" s="25"/>
      <c r="K351" s="24"/>
      <c r="L351" s="23"/>
      <c r="M351" s="22"/>
      <c r="O351" s="2"/>
    </row>
    <row r="352" spans="1:15" outlineLevel="1" x14ac:dyDescent="0.2">
      <c r="A352" s="20">
        <f t="shared" si="60"/>
        <v>3624</v>
      </c>
      <c r="B352" s="19" t="str">
        <f t="shared" si="60"/>
        <v>SFA</v>
      </c>
      <c r="C352" s="18"/>
      <c r="D352" s="15">
        <v>1874</v>
      </c>
      <c r="E352" s="21">
        <v>0.56999999999999995</v>
      </c>
      <c r="F352" s="14">
        <v>9510.2666666666664</v>
      </c>
      <c r="G352" s="13">
        <v>3625.4100000000203</v>
      </c>
      <c r="H352" s="15">
        <v>230</v>
      </c>
      <c r="I352" s="13">
        <v>43</v>
      </c>
      <c r="J352" s="16">
        <v>1422</v>
      </c>
      <c r="K352" s="15">
        <v>2663</v>
      </c>
      <c r="L352" s="14">
        <v>1934</v>
      </c>
      <c r="M352" s="13">
        <v>1317</v>
      </c>
      <c r="O352" s="2"/>
    </row>
    <row r="353" spans="1:15" outlineLevel="1" x14ac:dyDescent="0.2">
      <c r="A353" s="20">
        <f t="shared" si="60"/>
        <v>3642</v>
      </c>
      <c r="B353" s="19" t="str">
        <f t="shared" si="60"/>
        <v>TSU</v>
      </c>
      <c r="C353" s="18"/>
      <c r="D353" s="15">
        <v>817</v>
      </c>
      <c r="E353" s="21">
        <v>0.14899999999999999</v>
      </c>
      <c r="F353" s="14">
        <v>5909.8</v>
      </c>
      <c r="G353" s="13">
        <v>1601.5200000000066</v>
      </c>
      <c r="H353" s="15">
        <v>127</v>
      </c>
      <c r="I353" s="13">
        <v>2</v>
      </c>
      <c r="J353" s="16">
        <v>723</v>
      </c>
      <c r="K353" s="15">
        <v>1871</v>
      </c>
      <c r="L353" s="14">
        <v>1137</v>
      </c>
      <c r="M353" s="13">
        <v>916</v>
      </c>
      <c r="O353" s="2"/>
    </row>
    <row r="354" spans="1:15" outlineLevel="1" x14ac:dyDescent="0.2">
      <c r="A354" s="20">
        <f t="shared" si="60"/>
        <v>3644</v>
      </c>
      <c r="B354" s="19" t="str">
        <f t="shared" si="60"/>
        <v>TTU</v>
      </c>
      <c r="C354" s="18"/>
      <c r="D354" s="15">
        <v>4476</v>
      </c>
      <c r="E354" s="21">
        <v>0.72799999999999998</v>
      </c>
      <c r="F354" s="14">
        <v>21422.2</v>
      </c>
      <c r="G354" s="13">
        <v>9827.5299999990111</v>
      </c>
      <c r="H354" s="15">
        <v>656</v>
      </c>
      <c r="I354" s="13">
        <v>43</v>
      </c>
      <c r="J354" s="16">
        <v>2539</v>
      </c>
      <c r="K354" s="15">
        <v>6430</v>
      </c>
      <c r="L354" s="14">
        <v>5148</v>
      </c>
      <c r="M354" s="13">
        <v>3832</v>
      </c>
      <c r="O354" s="2"/>
    </row>
    <row r="355" spans="1:15" outlineLevel="1" x14ac:dyDescent="0.2">
      <c r="A355" s="20">
        <f t="shared" si="60"/>
        <v>3541</v>
      </c>
      <c r="B355" s="19" t="str">
        <f t="shared" si="60"/>
        <v>Angelo</v>
      </c>
      <c r="C355" s="18"/>
      <c r="D355" s="15">
        <v>941</v>
      </c>
      <c r="E355" s="21">
        <v>0.44</v>
      </c>
      <c r="F355" s="14">
        <v>4829.1333333333332</v>
      </c>
      <c r="G355" s="13">
        <v>1933.5900000000179</v>
      </c>
      <c r="H355" s="15">
        <v>217</v>
      </c>
      <c r="I355" s="13">
        <v>18</v>
      </c>
      <c r="J355" s="16">
        <v>676</v>
      </c>
      <c r="K355" s="15">
        <v>1474</v>
      </c>
      <c r="L355" s="14">
        <v>1008</v>
      </c>
      <c r="M355" s="13">
        <v>708</v>
      </c>
      <c r="O355" s="2"/>
    </row>
    <row r="356" spans="1:15" outlineLevel="1" x14ac:dyDescent="0.2">
      <c r="A356" s="20">
        <f t="shared" ref="A356:B361" si="61">A314</f>
        <v>3646</v>
      </c>
      <c r="B356" s="19" t="str">
        <f t="shared" si="61"/>
        <v>TWU</v>
      </c>
      <c r="C356" s="18"/>
      <c r="D356" s="15">
        <v>1774</v>
      </c>
      <c r="E356" s="21">
        <v>0.54500000000000004</v>
      </c>
      <c r="F356" s="14">
        <v>6071.4666666666662</v>
      </c>
      <c r="G356" s="13">
        <v>3425.2000000000221</v>
      </c>
      <c r="H356" s="15">
        <v>614</v>
      </c>
      <c r="I356" s="13">
        <v>31</v>
      </c>
      <c r="J356" s="16">
        <v>1214</v>
      </c>
      <c r="K356" s="15">
        <v>2042</v>
      </c>
      <c r="L356" s="14">
        <v>1371</v>
      </c>
      <c r="M356" s="13">
        <v>668</v>
      </c>
      <c r="O356" s="2"/>
    </row>
    <row r="357" spans="1:15" outlineLevel="1" x14ac:dyDescent="0.2">
      <c r="A357" s="20">
        <f t="shared" si="61"/>
        <v>3581</v>
      </c>
      <c r="B357" s="19" t="str">
        <f t="shared" si="61"/>
        <v>Lamar</v>
      </c>
      <c r="C357" s="18"/>
      <c r="D357" s="15">
        <v>1286</v>
      </c>
      <c r="E357" s="21">
        <v>0.33800000000000002</v>
      </c>
      <c r="F357" s="14">
        <v>7172.9333333333334</v>
      </c>
      <c r="G357" s="13">
        <v>2638.0900000000311</v>
      </c>
      <c r="H357" s="15">
        <v>314</v>
      </c>
      <c r="I357" s="13">
        <v>17</v>
      </c>
      <c r="J357" s="16">
        <v>908</v>
      </c>
      <c r="K357" s="15">
        <v>2043</v>
      </c>
      <c r="L357" s="14">
        <v>1404</v>
      </c>
      <c r="M357" s="13">
        <v>1031</v>
      </c>
      <c r="O357" s="2"/>
    </row>
    <row r="358" spans="1:15" outlineLevel="1" x14ac:dyDescent="0.2">
      <c r="A358" s="20">
        <f t="shared" si="61"/>
        <v>3606</v>
      </c>
      <c r="B358" s="19" t="str">
        <f t="shared" si="61"/>
        <v>SHSU</v>
      </c>
      <c r="C358" s="18"/>
      <c r="D358" s="15">
        <v>3242</v>
      </c>
      <c r="E358" s="21">
        <v>0.57899999999999996</v>
      </c>
      <c r="F358" s="14">
        <v>12517.066666666668</v>
      </c>
      <c r="G358" s="13">
        <v>6188.6300000000374</v>
      </c>
      <c r="H358" s="15">
        <v>163</v>
      </c>
      <c r="I358" s="13">
        <v>69</v>
      </c>
      <c r="J358" s="16">
        <v>2318</v>
      </c>
      <c r="K358" s="15">
        <v>3849</v>
      </c>
      <c r="L358" s="14">
        <v>3011</v>
      </c>
      <c r="M358" s="13">
        <v>1870</v>
      </c>
      <c r="O358" s="2"/>
    </row>
    <row r="359" spans="1:15" outlineLevel="1" x14ac:dyDescent="0.2">
      <c r="A359" s="20">
        <f t="shared" si="61"/>
        <v>3615</v>
      </c>
      <c r="B359" s="19" t="str">
        <f t="shared" si="61"/>
        <v>TXST</v>
      </c>
      <c r="C359" s="18"/>
      <c r="D359" s="15">
        <v>5299</v>
      </c>
      <c r="E359" s="21">
        <v>0.64400000000000002</v>
      </c>
      <c r="F359" s="14">
        <v>21764.6</v>
      </c>
      <c r="G359" s="13">
        <v>10384.469999998846</v>
      </c>
      <c r="H359" s="15">
        <v>439</v>
      </c>
      <c r="I359" s="13">
        <v>68</v>
      </c>
      <c r="J359" s="16">
        <v>3545</v>
      </c>
      <c r="K359" s="15">
        <v>7301</v>
      </c>
      <c r="L359" s="14">
        <v>5428</v>
      </c>
      <c r="M359" s="13">
        <v>3302</v>
      </c>
      <c r="O359" s="2"/>
    </row>
    <row r="360" spans="1:15" outlineLevel="1" x14ac:dyDescent="0.2">
      <c r="A360" s="20">
        <f t="shared" si="61"/>
        <v>3625</v>
      </c>
      <c r="B360" s="19" t="str">
        <f t="shared" si="61"/>
        <v>SRSU</v>
      </c>
      <c r="C360" s="18"/>
      <c r="D360" s="15">
        <v>181</v>
      </c>
      <c r="E360" s="21">
        <v>0.28499999999999998</v>
      </c>
      <c r="F360" s="14">
        <v>1230.9333333333334</v>
      </c>
      <c r="G360" s="13">
        <v>368.43999999999954</v>
      </c>
      <c r="H360" s="15">
        <v>10</v>
      </c>
      <c r="I360" s="13">
        <v>10</v>
      </c>
      <c r="J360" s="16">
        <v>156</v>
      </c>
      <c r="K360" s="15">
        <v>318</v>
      </c>
      <c r="L360" s="14">
        <v>176</v>
      </c>
      <c r="M360" s="13">
        <v>115</v>
      </c>
      <c r="O360" s="2"/>
    </row>
    <row r="361" spans="1:15" outlineLevel="1" x14ac:dyDescent="0.2">
      <c r="A361" s="20">
        <f t="shared" si="61"/>
        <v>20</v>
      </c>
      <c r="B361" s="19" t="str">
        <f t="shared" si="61"/>
        <v>SRRG</v>
      </c>
      <c r="C361" s="18"/>
      <c r="D361" s="15">
        <v>168</v>
      </c>
      <c r="E361" s="17">
        <v>0.36144578313253012</v>
      </c>
      <c r="F361" s="14">
        <v>416.33333333333331</v>
      </c>
      <c r="G361" s="13">
        <v>287.9199999999995</v>
      </c>
      <c r="H361" s="15">
        <v>8</v>
      </c>
      <c r="I361" s="13">
        <v>9</v>
      </c>
      <c r="J361" s="16">
        <v>149</v>
      </c>
      <c r="K361" s="15">
        <v>251</v>
      </c>
      <c r="L361" s="14">
        <v>90</v>
      </c>
      <c r="M361" s="13">
        <v>5</v>
      </c>
      <c r="O361" s="2"/>
    </row>
    <row r="362" spans="1:15" ht="13.5" outlineLevel="1" thickBot="1" x14ac:dyDescent="0.25">
      <c r="A362" s="12"/>
      <c r="B362" s="11" t="s">
        <v>11</v>
      </c>
      <c r="C362" s="10"/>
      <c r="D362" s="9">
        <f>SUM(D324:D361)</f>
        <v>81251</v>
      </c>
      <c r="E362" s="8">
        <v>0.56799999999999995</v>
      </c>
      <c r="F362" s="7">
        <f t="shared" ref="F362:M362" si="62">SUM(F324:F361)</f>
        <v>338321.33333333337</v>
      </c>
      <c r="G362" s="3">
        <f t="shared" si="62"/>
        <v>165601.52999999447</v>
      </c>
      <c r="H362" s="5">
        <f t="shared" si="62"/>
        <v>12362</v>
      </c>
      <c r="I362" s="3">
        <f t="shared" si="62"/>
        <v>1122</v>
      </c>
      <c r="J362" s="6">
        <f t="shared" si="62"/>
        <v>51678</v>
      </c>
      <c r="K362" s="5">
        <f t="shared" si="62"/>
        <v>112517</v>
      </c>
      <c r="L362" s="4">
        <f t="shared" si="62"/>
        <v>81688</v>
      </c>
      <c r="M362" s="3">
        <f t="shared" si="62"/>
        <v>51008</v>
      </c>
      <c r="O362" s="2"/>
    </row>
    <row r="363" spans="1:15" x14ac:dyDescent="0.2">
      <c r="O363" s="2"/>
    </row>
    <row r="365" spans="1:15" x14ac:dyDescent="0.2">
      <c r="A365" s="1" t="s">
        <v>10</v>
      </c>
    </row>
    <row r="366" spans="1:15" x14ac:dyDescent="0.2">
      <c r="A366" s="1" t="s">
        <v>9</v>
      </c>
    </row>
    <row r="367" spans="1:15" x14ac:dyDescent="0.2">
      <c r="A367" s="1" t="s">
        <v>8</v>
      </c>
    </row>
    <row r="368" spans="1:15" x14ac:dyDescent="0.2">
      <c r="A368" s="1" t="s">
        <v>7</v>
      </c>
    </row>
    <row r="369" spans="1:1" x14ac:dyDescent="0.2">
      <c r="A369" s="1" t="s">
        <v>6</v>
      </c>
    </row>
    <row r="370" spans="1:1" x14ac:dyDescent="0.2">
      <c r="A370" s="1" t="s">
        <v>5</v>
      </c>
    </row>
    <row r="371" spans="1:1" x14ac:dyDescent="0.2">
      <c r="A371" s="1" t="s">
        <v>4</v>
      </c>
    </row>
    <row r="372" spans="1:1" x14ac:dyDescent="0.2">
      <c r="A372" s="1" t="s">
        <v>3</v>
      </c>
    </row>
    <row r="373" spans="1:1" x14ac:dyDescent="0.2">
      <c r="A373" s="1" t="s">
        <v>2</v>
      </c>
    </row>
    <row r="374" spans="1:1" x14ac:dyDescent="0.2">
      <c r="A374" s="1" t="s">
        <v>1</v>
      </c>
    </row>
    <row r="375" spans="1:1" x14ac:dyDescent="0.2">
      <c r="A375" s="1" t="s">
        <v>0</v>
      </c>
    </row>
  </sheetData>
  <autoFilter ref="A88:N362">
    <filterColumn colId="3" showButton="0"/>
    <filterColumn colId="4" showButton="0"/>
    <filterColumn colId="5" showButton="0"/>
    <filterColumn colId="10" showButton="0"/>
    <filterColumn colId="11" showButton="0"/>
  </autoFilter>
  <mergeCells count="89">
    <mergeCell ref="A1:M1"/>
    <mergeCell ref="A3:A4"/>
    <mergeCell ref="B3:B4"/>
    <mergeCell ref="C3:C4"/>
    <mergeCell ref="D3:G3"/>
    <mergeCell ref="H3:H4"/>
    <mergeCell ref="I3:I4"/>
    <mergeCell ref="J3:J4"/>
    <mergeCell ref="K3:M3"/>
    <mergeCell ref="O3:Q3"/>
    <mergeCell ref="A46:A47"/>
    <mergeCell ref="B46:B47"/>
    <mergeCell ref="C46:C47"/>
    <mergeCell ref="D46:G46"/>
    <mergeCell ref="H46:H47"/>
    <mergeCell ref="I46:I47"/>
    <mergeCell ref="J46:J47"/>
    <mergeCell ref="K46:M46"/>
    <mergeCell ref="N46:N47"/>
    <mergeCell ref="A88:A89"/>
    <mergeCell ref="B88:B89"/>
    <mergeCell ref="C88:C89"/>
    <mergeCell ref="D88:G88"/>
    <mergeCell ref="H88:H89"/>
    <mergeCell ref="J88:J89"/>
    <mergeCell ref="K88:M88"/>
    <mergeCell ref="N88:N89"/>
    <mergeCell ref="C129:C130"/>
    <mergeCell ref="D129:G129"/>
    <mergeCell ref="H129:H130"/>
    <mergeCell ref="I129:I130"/>
    <mergeCell ref="J129:J130"/>
    <mergeCell ref="K129:M129"/>
    <mergeCell ref="N129:N130"/>
    <mergeCell ref="I88:I89"/>
    <mergeCell ref="J153:J154"/>
    <mergeCell ref="K153:M153"/>
    <mergeCell ref="N153:N154"/>
    <mergeCell ref="A155:C155"/>
    <mergeCell ref="A196:A197"/>
    <mergeCell ref="B196:B197"/>
    <mergeCell ref="C196:C197"/>
    <mergeCell ref="D196:D197"/>
    <mergeCell ref="E196:E197"/>
    <mergeCell ref="F196:F197"/>
    <mergeCell ref="A153:A154"/>
    <mergeCell ref="B153:B154"/>
    <mergeCell ref="C153:C154"/>
    <mergeCell ref="D153:G153"/>
    <mergeCell ref="H153:H154"/>
    <mergeCell ref="I153:I154"/>
    <mergeCell ref="A238:A239"/>
    <mergeCell ref="B238:B239"/>
    <mergeCell ref="C238:C239"/>
    <mergeCell ref="D238:D239"/>
    <mergeCell ref="E238:E239"/>
    <mergeCell ref="J238:J239"/>
    <mergeCell ref="K238:M238"/>
    <mergeCell ref="G196:G197"/>
    <mergeCell ref="H196:H197"/>
    <mergeCell ref="I196:I197"/>
    <mergeCell ref="J196:J197"/>
    <mergeCell ref="K196:M196"/>
    <mergeCell ref="F280:F281"/>
    <mergeCell ref="F238:F239"/>
    <mergeCell ref="G238:G239"/>
    <mergeCell ref="H238:H239"/>
    <mergeCell ref="I238:I239"/>
    <mergeCell ref="A280:A281"/>
    <mergeCell ref="B280:B281"/>
    <mergeCell ref="C280:C281"/>
    <mergeCell ref="D280:D281"/>
    <mergeCell ref="E280:E281"/>
    <mergeCell ref="A322:A323"/>
    <mergeCell ref="B322:B323"/>
    <mergeCell ref="C322:C323"/>
    <mergeCell ref="D322:D323"/>
    <mergeCell ref="E322:E323"/>
    <mergeCell ref="K322:M322"/>
    <mergeCell ref="G280:G281"/>
    <mergeCell ref="H280:H281"/>
    <mergeCell ref="I280:I281"/>
    <mergeCell ref="J280:J281"/>
    <mergeCell ref="K280:M280"/>
    <mergeCell ref="F322:F323"/>
    <mergeCell ref="G322:G323"/>
    <mergeCell ref="H322:H323"/>
    <mergeCell ref="I322:I323"/>
    <mergeCell ref="J322:J323"/>
  </mergeCells>
  <conditionalFormatting sqref="D142:M142">
    <cfRule type="colorScale" priority="1">
      <colorScale>
        <cfvo type="min"/>
        <cfvo type="max"/>
        <color theme="6" tint="0.79998168889431442"/>
        <color theme="6" tint="-0.499984740745262"/>
      </colorScale>
    </cfRule>
  </conditionalFormatting>
  <conditionalFormatting sqref="D131:M135">
    <cfRule type="cellIs" dxfId="8" priority="2" operator="equal">
      <formula>$D$150</formula>
    </cfRule>
    <cfRule type="cellIs" dxfId="7" priority="3" operator="equal">
      <formula>$E$150</formula>
    </cfRule>
    <cfRule type="cellIs" dxfId="6" priority="4" operator="equal">
      <formula>$F$150</formula>
    </cfRule>
    <cfRule type="cellIs" dxfId="5" priority="5" operator="equal">
      <formula>$G$150</formula>
    </cfRule>
    <cfRule type="cellIs" dxfId="4" priority="6" operator="equal">
      <formula>$H$150</formula>
    </cfRule>
    <cfRule type="cellIs" dxfId="3" priority="7" operator="equal">
      <formula>$I$150</formula>
    </cfRule>
    <cfRule type="cellIs" dxfId="2" priority="8" operator="equal">
      <formula>$J$150</formula>
    </cfRule>
    <cfRule type="cellIs" dxfId="1" priority="9" operator="equal">
      <formula>$K$150</formula>
    </cfRule>
    <cfRule type="cellIs" dxfId="0" priority="10" operator="equal">
      <formula>#REF!</formula>
    </cfRule>
  </conditionalFormatting>
  <pageMargins left="0.25" right="0.25" top="0.75" bottom="0.75" header="0.3" footer="0.3"/>
  <pageSetup scale="64" fitToHeight="0" orientation="landscape" r:id="rId1"/>
  <headerFooter>
    <oddFooter>Page &amp;P</oddFooter>
  </headerFooter>
  <rowBreaks count="9" manualBreakCount="9">
    <brk id="44" max="16383" man="1"/>
    <brk id="86" max="16383" man="1"/>
    <brk id="127" max="16383" man="1"/>
    <brk id="151" max="16383" man="1"/>
    <brk id="194" max="16383" man="1"/>
    <brk id="236" max="16383" man="1"/>
    <brk id="278" max="16383" man="1"/>
    <brk id="320" max="16383" man="1"/>
    <brk id="36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Comparison to Option 1</vt:lpstr>
      <vt:lpstr>Comparison to IO</vt:lpstr>
      <vt:lpstr>Option 1</vt:lpstr>
      <vt:lpstr>Option 2</vt:lpstr>
      <vt:lpstr>Option 6</vt:lpstr>
      <vt:lpstr>Option 7</vt:lpstr>
      <vt:lpstr>Option 8</vt:lpstr>
      <vt:lpstr>Option 9</vt:lpstr>
      <vt:lpstr>Option 10</vt:lpstr>
      <vt:lpstr>'Option 1'!Print_Area</vt:lpstr>
      <vt:lpstr>'Option 10'!Print_Area</vt:lpstr>
      <vt:lpstr>'Option 2'!Print_Area</vt:lpstr>
      <vt:lpstr>'Option 6'!Print_Area</vt:lpstr>
      <vt:lpstr>'Option 7'!Print_Area</vt:lpstr>
      <vt:lpstr>'Option 8'!Print_Area</vt:lpstr>
      <vt:lpstr>'Option 9'!Print_Area</vt:lpstr>
    </vt:vector>
  </TitlesOfParts>
  <Company>THECB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Turcotte</dc:creator>
  <cp:lastModifiedBy>Paul Turcotte</cp:lastModifiedBy>
  <cp:lastPrinted>2013-12-04T17:48:27Z</cp:lastPrinted>
  <dcterms:created xsi:type="dcterms:W3CDTF">2013-07-25T15:22:00Z</dcterms:created>
  <dcterms:modified xsi:type="dcterms:W3CDTF">2013-12-04T17:55:12Z</dcterms:modified>
</cp:coreProperties>
</file>