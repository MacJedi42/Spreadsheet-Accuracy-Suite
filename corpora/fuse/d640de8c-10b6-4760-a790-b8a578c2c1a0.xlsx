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3 (2)" sheetId="4" r:id="rId2"/>
  </sheets>
  <calcPr calcId="124519"/>
</workbook>
</file>

<file path=xl/calcChain.xml><?xml version="1.0" encoding="utf-8"?>
<calcChain xmlns="http://schemas.openxmlformats.org/spreadsheetml/2006/main">
  <c r="D4" i="1"/>
  <c r="F6"/>
  <c r="C4"/>
  <c r="C13" i="4"/>
  <c r="O21"/>
  <c r="H21"/>
  <c r="A21"/>
  <c r="O10"/>
  <c r="H10"/>
  <c r="O17"/>
  <c r="H17"/>
  <c r="A17"/>
  <c r="D1" i="1"/>
  <c r="B11" i="4"/>
  <c r="J4" i="1" s="1"/>
  <c r="F4" s="1"/>
  <c r="B12" i="4"/>
  <c r="F22"/>
  <c r="E4" i="1" l="1"/>
  <c r="T23" i="4"/>
  <c r="R23"/>
  <c r="P23"/>
  <c r="T12"/>
  <c r="R12"/>
  <c r="P12"/>
  <c r="M12"/>
  <c r="K12"/>
  <c r="I12"/>
  <c r="M23"/>
  <c r="K23"/>
  <c r="I23"/>
  <c r="F23"/>
  <c r="D23"/>
  <c r="B23"/>
  <c r="F12"/>
  <c r="D12"/>
  <c r="K1"/>
  <c r="B18" i="1"/>
  <c r="B29" s="1"/>
  <c r="G38"/>
  <c r="F38"/>
  <c r="J38" s="1"/>
  <c r="E38"/>
  <c r="D38"/>
  <c r="A38"/>
  <c r="J37"/>
  <c r="K37" s="1"/>
  <c r="D37"/>
  <c r="C37"/>
  <c r="F36"/>
  <c r="J36" s="1"/>
  <c r="D36"/>
  <c r="G35"/>
  <c r="F35" s="1"/>
  <c r="J35" s="1"/>
  <c r="A35"/>
  <c r="F34"/>
  <c r="J34" s="1"/>
  <c r="A34"/>
  <c r="F33"/>
  <c r="J33" s="1"/>
  <c r="F32"/>
  <c r="J32" s="1"/>
  <c r="J31"/>
  <c r="K31" s="1"/>
  <c r="J26"/>
  <c r="G3"/>
  <c r="H3"/>
  <c r="G27"/>
  <c r="F27" s="1"/>
  <c r="J27" s="1"/>
  <c r="A27"/>
  <c r="D26"/>
  <c r="C26" s="1"/>
  <c r="F25"/>
  <c r="J25" s="1"/>
  <c r="G24"/>
  <c r="F24" s="1"/>
  <c r="D24" s="1"/>
  <c r="A24"/>
  <c r="F23"/>
  <c r="J23" s="1"/>
  <c r="A23"/>
  <c r="F22"/>
  <c r="J22" s="1"/>
  <c r="F21"/>
  <c r="J21" s="1"/>
  <c r="J20"/>
  <c r="K20" s="1"/>
  <c r="I24" i="4"/>
  <c r="P24" s="1"/>
  <c r="I13"/>
  <c r="P13" s="1"/>
  <c r="B24"/>
  <c r="D18" i="1"/>
  <c r="D29" s="1"/>
  <c r="I10" i="4"/>
  <c r="D32" i="1" l="1"/>
  <c r="E32" s="1"/>
  <c r="E33" s="1"/>
  <c r="E34" s="1"/>
  <c r="E35" s="1"/>
  <c r="E36" s="1"/>
  <c r="D33"/>
  <c r="C24"/>
  <c r="I24" s="1"/>
  <c r="K32"/>
  <c r="K33"/>
  <c r="K34"/>
  <c r="K35"/>
  <c r="C36"/>
  <c r="I36" s="1"/>
  <c r="C38"/>
  <c r="I38" s="1"/>
  <c r="K38"/>
  <c r="C33"/>
  <c r="I33" s="1"/>
  <c r="I11" i="4"/>
  <c r="J5" i="1" s="1"/>
  <c r="F5" s="1"/>
  <c r="D5" s="1"/>
  <c r="C5" s="1"/>
  <c r="D34"/>
  <c r="C34" s="1"/>
  <c r="I34" s="1"/>
  <c r="D35"/>
  <c r="C35" s="1"/>
  <c r="I35" s="1"/>
  <c r="C32"/>
  <c r="I32" s="1"/>
  <c r="J24"/>
  <c r="K36"/>
  <c r="G4"/>
  <c r="K26"/>
  <c r="H4"/>
  <c r="L4" s="1"/>
  <c r="M4" s="1"/>
  <c r="K25"/>
  <c r="K24"/>
  <c r="D21"/>
  <c r="K21"/>
  <c r="D23"/>
  <c r="C23" s="1"/>
  <c r="I23" s="1"/>
  <c r="D25"/>
  <c r="C25" s="1"/>
  <c r="I25" s="1"/>
  <c r="K27"/>
  <c r="D27"/>
  <c r="C27" s="1"/>
  <c r="I27" s="1"/>
  <c r="D22"/>
  <c r="C22" s="1"/>
  <c r="I22" s="1"/>
  <c r="K22"/>
  <c r="B5" i="4"/>
  <c r="B10" s="1"/>
  <c r="I10" i="1"/>
  <c r="K21" i="4"/>
  <c r="K22" s="1"/>
  <c r="D10"/>
  <c r="D11" s="1"/>
  <c r="F10"/>
  <c r="F11" s="1"/>
  <c r="K10"/>
  <c r="K11" s="1"/>
  <c r="J13" s="1"/>
  <c r="M10"/>
  <c r="M11" s="1"/>
  <c r="L13" s="1"/>
  <c r="P10"/>
  <c r="P11" s="1"/>
  <c r="J8" i="1" s="1"/>
  <c r="F8" s="1"/>
  <c r="H8" s="1"/>
  <c r="R10" i="4"/>
  <c r="R11" s="1"/>
  <c r="T10"/>
  <c r="T11" s="1"/>
  <c r="B21"/>
  <c r="B22" s="1"/>
  <c r="D21"/>
  <c r="D22" s="1"/>
  <c r="F21"/>
  <c r="I21"/>
  <c r="I22" s="1"/>
  <c r="J6" i="1" s="1"/>
  <c r="H6" s="1"/>
  <c r="H9" s="1"/>
  <c r="M21" i="4"/>
  <c r="M22" s="1"/>
  <c r="P21"/>
  <c r="P22" s="1"/>
  <c r="J10" i="1" s="1"/>
  <c r="R21" i="4"/>
  <c r="R22" s="1"/>
  <c r="T21"/>
  <c r="T22" s="1"/>
  <c r="A7" i="1"/>
  <c r="A10"/>
  <c r="A6"/>
  <c r="E21" l="1"/>
  <c r="E22" s="1"/>
  <c r="E23" s="1"/>
  <c r="E24" s="1"/>
  <c r="E25" s="1"/>
  <c r="E26" s="1"/>
  <c r="E27" s="1"/>
  <c r="G5"/>
  <c r="D6"/>
  <c r="C6" s="1"/>
  <c r="H5"/>
  <c r="G6"/>
  <c r="E24" i="4"/>
  <c r="C24"/>
  <c r="J7" i="1"/>
  <c r="F10"/>
  <c r="G8"/>
  <c r="E13" i="4"/>
  <c r="L24"/>
  <c r="H10" i="1"/>
  <c r="G10"/>
  <c r="L10" s="1"/>
  <c r="M10" s="1"/>
  <c r="C21"/>
  <c r="I21" s="1"/>
  <c r="K23"/>
  <c r="F7"/>
  <c r="S13" i="4"/>
  <c r="Q24"/>
  <c r="S24"/>
  <c r="J24"/>
  <c r="Q13"/>
  <c r="D10" i="1"/>
  <c r="D8"/>
  <c r="E5"/>
  <c r="E6" s="1"/>
  <c r="E7" s="1"/>
  <c r="E8" s="1"/>
  <c r="E10" s="1"/>
  <c r="H7" l="1"/>
  <c r="L7" s="1"/>
  <c r="M7" s="1"/>
  <c r="G7"/>
  <c r="D7"/>
  <c r="C7" s="1"/>
  <c r="K7" s="1"/>
  <c r="C10"/>
  <c r="K10" s="1"/>
  <c r="L8"/>
  <c r="M8" s="1"/>
  <c r="C8"/>
  <c r="K8" s="1"/>
  <c r="L6"/>
  <c r="M6" s="1"/>
  <c r="K6"/>
  <c r="L5" l="1"/>
  <c r="M5" s="1"/>
  <c r="K5"/>
  <c r="K4" l="1"/>
  <c r="L3" l="1"/>
  <c r="M3" s="1"/>
  <c r="D9"/>
  <c r="G9" s="1"/>
  <c r="C9" l="1"/>
  <c r="L9"/>
  <c r="M9" s="1"/>
</calcChain>
</file>

<file path=xl/sharedStrings.xml><?xml version="1.0" encoding="utf-8"?>
<sst xmlns="http://schemas.openxmlformats.org/spreadsheetml/2006/main" count="115" uniqueCount="43">
  <si>
    <t>Focal Length</t>
  </si>
  <si>
    <t>Mag</t>
  </si>
  <si>
    <t>2x Barlow</t>
  </si>
  <si>
    <t>3x Barlow</t>
  </si>
  <si>
    <t>Mag Steps</t>
  </si>
  <si>
    <t>AFOV</t>
  </si>
  <si>
    <t>Exit Pupil</t>
  </si>
  <si>
    <t>TFOV</t>
  </si>
  <si>
    <t>Telescope Focal Ratio/Length</t>
  </si>
  <si>
    <t>Type</t>
  </si>
  <si>
    <t>Plossl</t>
  </si>
  <si>
    <t>HD Ortho</t>
  </si>
  <si>
    <t>TMB II</t>
  </si>
  <si>
    <t>Abbe Ortho</t>
  </si>
  <si>
    <t>12mm</t>
  </si>
  <si>
    <t>10mm</t>
  </si>
  <si>
    <t>Time</t>
  </si>
  <si>
    <t>18mm</t>
  </si>
  <si>
    <t>25mm</t>
  </si>
  <si>
    <t>Regulus</t>
  </si>
  <si>
    <t>Degrees Declination</t>
  </si>
  <si>
    <t xml:space="preserve">Time </t>
  </si>
  <si>
    <t xml:space="preserve">TFOV= </t>
  </si>
  <si>
    <t>AFOV/Mag</t>
  </si>
  <si>
    <t xml:space="preserve">Mag = </t>
  </si>
  <si>
    <t>AFOV/TFOV</t>
  </si>
  <si>
    <t>FR=</t>
  </si>
  <si>
    <t xml:space="preserve">FL = </t>
  </si>
  <si>
    <t>FL/D</t>
  </si>
  <si>
    <t>Barlow</t>
  </si>
  <si>
    <t>8mm</t>
  </si>
  <si>
    <t>6mm</t>
  </si>
  <si>
    <t>Aperture</t>
  </si>
  <si>
    <t>CO</t>
  </si>
  <si>
    <t>Power / Per Inch</t>
  </si>
  <si>
    <t>1.5x Barlow</t>
  </si>
  <si>
    <t>2.2x Barlow</t>
  </si>
  <si>
    <t>TFOV = 15.04*T*Cos(delta)</t>
  </si>
  <si>
    <t>* Time *</t>
  </si>
  <si>
    <t>Ortho</t>
  </si>
  <si>
    <t>Avg</t>
  </si>
  <si>
    <t>FL/EpFL</t>
  </si>
  <si>
    <t>Mag*EpFL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</si>
</sst>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0.0"/>
  </numFmts>
  <fonts count="16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1"/>
      <name val="Calibri"/>
      <family val="2"/>
    </font>
    <font>
      <sz val="10"/>
      <color rgb="FF000000"/>
      <name val="Verdana"/>
      <family val="2"/>
    </font>
    <font>
      <b/>
      <sz val="11"/>
      <color rgb="FF0000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Fill="1"/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0" borderId="0" xfId="0" applyNumberFormat="1" applyFill="1" applyAlignment="1">
      <alignment horizontal="center"/>
    </xf>
    <xf numFmtId="1" fontId="0" fillId="0" borderId="0" xfId="0" applyNumberFormat="1" applyFill="1"/>
    <xf numFmtId="0" fontId="0" fillId="3" borderId="1" xfId="0" applyFill="1" applyBorder="1" applyAlignment="1">
      <alignment horizontal="center"/>
    </xf>
    <xf numFmtId="0" fontId="0" fillId="8" borderId="0" xfId="0" applyFill="1" applyAlignment="1">
      <alignment horizontal="center" wrapText="1"/>
    </xf>
    <xf numFmtId="0" fontId="0" fillId="9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  <xf numFmtId="0" fontId="1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8" borderId="1" xfId="0" applyFont="1" applyFill="1" applyBorder="1"/>
    <xf numFmtId="0" fontId="2" fillId="10" borderId="1" xfId="0" applyFont="1" applyFill="1" applyBorder="1" applyAlignment="1">
      <alignment horizontal="center"/>
    </xf>
    <xf numFmtId="1" fontId="2" fillId="10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" fontId="4" fillId="12" borderId="1" xfId="0" applyNumberFormat="1" applyFont="1" applyFill="1" applyBorder="1" applyAlignment="1">
      <alignment horizontal="center"/>
    </xf>
    <xf numFmtId="1" fontId="3" fillId="12" borderId="1" xfId="0" applyNumberFormat="1" applyFont="1" applyFill="1" applyBorder="1" applyAlignment="1">
      <alignment horizontal="center"/>
    </xf>
    <xf numFmtId="1" fontId="3" fillId="11" borderId="1" xfId="0" applyNumberFormat="1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0" applyNumberFormat="1" applyFill="1"/>
    <xf numFmtId="164" fontId="0" fillId="0" borderId="0" xfId="0" applyNumberFormat="1" applyFill="1" applyBorder="1"/>
    <xf numFmtId="0" fontId="0" fillId="0" borderId="0" xfId="0" applyAlignment="1">
      <alignment horizontal="center"/>
    </xf>
    <xf numFmtId="1" fontId="0" fillId="13" borderId="1" xfId="0" applyNumberFormat="1" applyFill="1" applyBorder="1" applyAlignment="1">
      <alignment horizontal="center"/>
    </xf>
    <xf numFmtId="1" fontId="5" fillId="8" borderId="1" xfId="0" applyNumberFormat="1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0" fontId="9" fillId="0" borderId="0" xfId="0" applyFont="1"/>
    <xf numFmtId="0" fontId="9" fillId="0" borderId="0" xfId="0" applyFont="1" applyFill="1" applyBorder="1"/>
    <xf numFmtId="0" fontId="0" fillId="0" borderId="0" xfId="0" applyFont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2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6" borderId="0" xfId="0" applyFill="1"/>
    <xf numFmtId="0" fontId="0" fillId="7" borderId="1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37" fontId="0" fillId="0" borderId="0" xfId="1" applyNumberFormat="1" applyFont="1" applyFill="1" applyAlignment="1">
      <alignment horizontal="center"/>
    </xf>
    <xf numFmtId="0" fontId="0" fillId="14" borderId="2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2" fontId="3" fillId="9" borderId="6" xfId="0" applyNumberFormat="1" applyFont="1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2" fontId="3" fillId="0" borderId="3" xfId="0" applyNumberFormat="1" applyFont="1" applyFill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0" fontId="0" fillId="2" borderId="0" xfId="0" applyFill="1"/>
    <xf numFmtId="0" fontId="0" fillId="13" borderId="0" xfId="0" applyFill="1"/>
    <xf numFmtId="164" fontId="0" fillId="13" borderId="0" xfId="0" applyNumberFormat="1" applyFill="1" applyAlignment="1">
      <alignment horizontal="center"/>
    </xf>
    <xf numFmtId="0" fontId="0" fillId="4" borderId="0" xfId="0" applyFill="1"/>
    <xf numFmtId="0" fontId="0" fillId="18" borderId="0" xfId="0" applyFill="1"/>
    <xf numFmtId="0" fontId="0" fillId="18" borderId="1" xfId="0" applyFill="1" applyBorder="1" applyAlignment="1">
      <alignment horizontal="center"/>
    </xf>
    <xf numFmtId="2" fontId="0" fillId="14" borderId="0" xfId="0" applyNumberFormat="1" applyFill="1" applyAlignment="1">
      <alignment horizontal="center"/>
    </xf>
    <xf numFmtId="2" fontId="0" fillId="14" borderId="0" xfId="0" applyNumberFormat="1" applyFill="1" applyBorder="1" applyAlignment="1">
      <alignment horizontal="center"/>
    </xf>
    <xf numFmtId="2" fontId="0" fillId="17" borderId="0" xfId="0" applyNumberFormat="1" applyFont="1" applyFill="1" applyBorder="1" applyAlignment="1">
      <alignment horizontal="center"/>
    </xf>
    <xf numFmtId="2" fontId="0" fillId="12" borderId="0" xfId="0" applyNumberFormat="1" applyFill="1" applyAlignment="1">
      <alignment horizontal="center"/>
    </xf>
    <xf numFmtId="2" fontId="0" fillId="12" borderId="0" xfId="0" applyNumberFormat="1" applyFill="1" applyBorder="1" applyAlignment="1">
      <alignment horizontal="center"/>
    </xf>
    <xf numFmtId="2" fontId="0" fillId="11" borderId="0" xfId="0" applyNumberFormat="1" applyFill="1" applyBorder="1" applyAlignment="1">
      <alignment horizontal="center"/>
    </xf>
    <xf numFmtId="2" fontId="0" fillId="11" borderId="0" xfId="0" applyNumberFormat="1" applyFill="1" applyAlignment="1">
      <alignment horizontal="center"/>
    </xf>
    <xf numFmtId="0" fontId="1" fillId="0" borderId="0" xfId="0" applyFont="1"/>
    <xf numFmtId="1" fontId="12" fillId="17" borderId="1" xfId="0" applyNumberFormat="1" applyFont="1" applyFill="1" applyBorder="1" applyAlignment="1">
      <alignment horizontal="center"/>
    </xf>
    <xf numFmtId="1" fontId="12" fillId="0" borderId="1" xfId="0" applyNumberFormat="1" applyFont="1" applyFill="1" applyBorder="1" applyAlignment="1">
      <alignment horizontal="center"/>
    </xf>
    <xf numFmtId="1" fontId="0" fillId="9" borderId="4" xfId="0" applyNumberForma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9" fillId="4" borderId="1" xfId="0" applyNumberFormat="1" applyFont="1" applyFill="1" applyBorder="1" applyAlignment="1">
      <alignment horizontal="center"/>
    </xf>
    <xf numFmtId="0" fontId="0" fillId="15" borderId="0" xfId="0" applyFill="1" applyAlignment="1">
      <alignment horizontal="right"/>
    </xf>
    <xf numFmtId="9" fontId="8" fillId="0" borderId="1" xfId="2" applyFont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2" fillId="5" borderId="1" xfId="0" applyNumberFormat="1" applyFont="1" applyFill="1" applyBorder="1" applyAlignment="1">
      <alignment horizontal="center"/>
    </xf>
    <xf numFmtId="1" fontId="2" fillId="7" borderId="1" xfId="0" applyNumberFormat="1" applyFont="1" applyFill="1" applyBorder="1" applyAlignment="1">
      <alignment horizontal="center"/>
    </xf>
    <xf numFmtId="1" fontId="12" fillId="5" borderId="1" xfId="0" applyNumberFormat="1" applyFont="1" applyFill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0" fontId="13" fillId="20" borderId="0" xfId="0" applyFont="1" applyFill="1"/>
    <xf numFmtId="0" fontId="8" fillId="16" borderId="0" xfId="0" applyFont="1" applyFill="1"/>
    <xf numFmtId="2" fontId="11" fillId="11" borderId="0" xfId="0" applyNumberFormat="1" applyFont="1" applyFill="1" applyBorder="1" applyAlignment="1">
      <alignment horizontal="center"/>
    </xf>
    <xf numFmtId="2" fontId="11" fillId="12" borderId="0" xfId="0" applyNumberFormat="1" applyFont="1" applyFill="1" applyBorder="1" applyAlignment="1">
      <alignment horizontal="center"/>
    </xf>
    <xf numFmtId="2" fontId="11" fillId="14" borderId="0" xfId="0" applyNumberFormat="1" applyFont="1" applyFill="1" applyBorder="1" applyAlignment="1">
      <alignment horizontal="center"/>
    </xf>
    <xf numFmtId="0" fontId="0" fillId="19" borderId="0" xfId="0" applyFill="1" applyAlignment="1">
      <alignment horizontal="center" wrapText="1"/>
    </xf>
    <xf numFmtId="164" fontId="3" fillId="19" borderId="1" xfId="0" applyNumberFormat="1" applyFont="1" applyFill="1" applyBorder="1" applyAlignment="1">
      <alignment horizontal="center"/>
    </xf>
    <xf numFmtId="164" fontId="0" fillId="19" borderId="5" xfId="0" applyNumberFormat="1" applyFont="1" applyFill="1" applyBorder="1" applyAlignment="1">
      <alignment horizontal="center"/>
    </xf>
    <xf numFmtId="164" fontId="3" fillId="19" borderId="5" xfId="0" applyNumberFormat="1" applyFont="1" applyFill="1" applyBorder="1" applyAlignment="1">
      <alignment horizontal="center"/>
    </xf>
    <xf numFmtId="164" fontId="0" fillId="19" borderId="5" xfId="0" applyNumberFormat="1" applyFill="1" applyBorder="1" applyAlignment="1">
      <alignment horizontal="center"/>
    </xf>
    <xf numFmtId="1" fontId="12" fillId="11" borderId="1" xfId="0" applyNumberFormat="1" applyFont="1" applyFill="1" applyBorder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12" borderId="0" xfId="0" applyFill="1" applyAlignment="1">
      <alignment horizontal="center"/>
    </xf>
    <xf numFmtId="2" fontId="10" fillId="6" borderId="0" xfId="0" applyNumberFormat="1" applyFont="1" applyFill="1" applyBorder="1" applyAlignment="1">
      <alignment horizontal="center"/>
    </xf>
    <xf numFmtId="2" fontId="9" fillId="6" borderId="0" xfId="0" applyNumberFormat="1" applyFont="1" applyFill="1" applyBorder="1" applyAlignment="1">
      <alignment horizontal="center"/>
    </xf>
    <xf numFmtId="2" fontId="0" fillId="7" borderId="2" xfId="0" applyNumberFormat="1" applyFill="1" applyBorder="1" applyAlignment="1">
      <alignment horizontal="center"/>
    </xf>
    <xf numFmtId="1" fontId="3" fillId="9" borderId="4" xfId="0" applyNumberFormat="1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10" borderId="0" xfId="0" applyFill="1" applyAlignment="1">
      <alignment horizontal="center" wrapText="1"/>
    </xf>
    <xf numFmtId="0" fontId="0" fillId="12" borderId="2" xfId="0" applyFill="1" applyBorder="1" applyAlignment="1">
      <alignment horizontal="center" wrapText="1"/>
    </xf>
    <xf numFmtId="37" fontId="0" fillId="12" borderId="0" xfId="1" applyNumberFormat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2" fontId="15" fillId="5" borderId="1" xfId="0" applyNumberFormat="1" applyFont="1" applyFill="1" applyBorder="1" applyAlignment="1">
      <alignment horizontal="center"/>
    </xf>
    <xf numFmtId="0" fontId="13" fillId="0" borderId="0" xfId="0" applyFont="1" applyFill="1" applyBorder="1"/>
    <xf numFmtId="2" fontId="13" fillId="5" borderId="1" xfId="0" applyNumberFormat="1" applyFont="1" applyFill="1" applyBorder="1" applyAlignment="1">
      <alignment horizontal="center"/>
    </xf>
    <xf numFmtId="0" fontId="13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4FC8E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tabSelected="1" zoomScale="160" zoomScaleNormal="160" workbookViewId="0">
      <selection activeCell="J14" sqref="J14"/>
    </sheetView>
  </sheetViews>
  <sheetFormatPr defaultRowHeight="15"/>
  <cols>
    <col min="1" max="1" width="11.42578125" customWidth="1"/>
    <col min="2" max="2" width="10.28515625" customWidth="1"/>
    <col min="3" max="3" width="8.5703125" customWidth="1"/>
    <col min="5" max="5" width="9.5703125" bestFit="1" customWidth="1"/>
    <col min="6" max="6" width="7.28515625" customWidth="1"/>
    <col min="7" max="7" width="8.28515625" customWidth="1"/>
    <col min="8" max="8" width="8.7109375" customWidth="1"/>
    <col min="9" max="11" width="7.85546875" customWidth="1"/>
    <col min="13" max="13" width="8.140625" customWidth="1"/>
  </cols>
  <sheetData>
    <row r="1" spans="1:13">
      <c r="A1" s="73" t="s">
        <v>32</v>
      </c>
      <c r="B1" s="71">
        <v>150</v>
      </c>
      <c r="C1" s="73" t="s">
        <v>33</v>
      </c>
      <c r="D1" s="74">
        <f>45/B1</f>
        <v>0.3</v>
      </c>
      <c r="F1" s="51" t="s">
        <v>29</v>
      </c>
      <c r="G1" s="53">
        <v>1.5</v>
      </c>
      <c r="H1" s="53">
        <v>2.2000000000000002</v>
      </c>
    </row>
    <row r="2" spans="1:13" ht="28.5" customHeight="1" thickBot="1">
      <c r="A2" s="9" t="s">
        <v>9</v>
      </c>
      <c r="B2" s="9" t="s">
        <v>0</v>
      </c>
      <c r="C2" s="98" t="s">
        <v>8</v>
      </c>
      <c r="D2" s="98"/>
      <c r="E2" s="7" t="s">
        <v>4</v>
      </c>
      <c r="F2" s="9" t="s">
        <v>1</v>
      </c>
      <c r="G2" s="9" t="s">
        <v>29</v>
      </c>
      <c r="H2" s="9" t="s">
        <v>29</v>
      </c>
      <c r="I2" s="8" t="s">
        <v>5</v>
      </c>
      <c r="J2" s="8" t="s">
        <v>7</v>
      </c>
      <c r="K2" s="85" t="s">
        <v>6</v>
      </c>
      <c r="L2" s="99" t="s">
        <v>34</v>
      </c>
      <c r="M2" s="99"/>
    </row>
    <row r="3" spans="1:13" ht="15.75" hidden="1" thickBot="1">
      <c r="A3" s="11" t="s">
        <v>10</v>
      </c>
      <c r="B3" s="11">
        <v>32</v>
      </c>
      <c r="C3" s="13">
        <v>0</v>
      </c>
      <c r="D3" s="14">
        <v>0</v>
      </c>
      <c r="E3" s="12"/>
      <c r="F3" s="18">
        <v>0</v>
      </c>
      <c r="G3" s="19">
        <f>F3*2</f>
        <v>0</v>
      </c>
      <c r="H3" s="20">
        <f>F3*3</f>
        <v>0</v>
      </c>
      <c r="I3" s="15">
        <v>50</v>
      </c>
      <c r="J3" s="44">
        <v>0</v>
      </c>
      <c r="K3" s="86">
        <v>0</v>
      </c>
      <c r="L3" s="16">
        <f>F3</f>
        <v>0</v>
      </c>
      <c r="M3" s="17">
        <f t="shared" ref="M3" si="0">L3/6</f>
        <v>0</v>
      </c>
    </row>
    <row r="4" spans="1:13" ht="15.75" thickBot="1">
      <c r="A4" s="2" t="s">
        <v>10</v>
      </c>
      <c r="B4" s="2">
        <v>25</v>
      </c>
      <c r="C4" s="70">
        <f>D4/B1</f>
        <v>15.692094536014398</v>
      </c>
      <c r="D4" s="65">
        <f>F4*B4</f>
        <v>2353.8141804021598</v>
      </c>
      <c r="E4" s="26">
        <f>D4/B4</f>
        <v>94.152567216086396</v>
      </c>
      <c r="F4" s="27">
        <f>I4/J4</f>
        <v>94.152567216086382</v>
      </c>
      <c r="G4" s="75">
        <f>F4*G1</f>
        <v>141.22885082412958</v>
      </c>
      <c r="H4" s="79">
        <f>F4*H1</f>
        <v>207.13564787539005</v>
      </c>
      <c r="I4" s="64">
        <v>52</v>
      </c>
      <c r="J4" s="45">
        <f>'Sheet3 (2)'!B11</f>
        <v>0.55229508379369574</v>
      </c>
      <c r="K4" s="87">
        <f>B4/C4</f>
        <v>1.5931588955587377</v>
      </c>
      <c r="L4" s="90">
        <f>H4</f>
        <v>207.13564787539005</v>
      </c>
      <c r="M4" s="25">
        <f>L4/(B1/25.4)</f>
        <v>35.074969706899381</v>
      </c>
    </row>
    <row r="5" spans="1:13" ht="15.75" thickBot="1">
      <c r="A5" s="3" t="s">
        <v>11</v>
      </c>
      <c r="B5" s="3">
        <v>18</v>
      </c>
      <c r="C5" s="69">
        <f>D5/B1</f>
        <v>15.658142351567779</v>
      </c>
      <c r="D5" s="66">
        <f>F5*B5</f>
        <v>2348.7213527351669</v>
      </c>
      <c r="E5" s="26">
        <f>E4*1.4</f>
        <v>131.81359410252094</v>
      </c>
      <c r="F5" s="27">
        <f t="shared" ref="F5:F6" si="1">I5/J5</f>
        <v>130.48451959639817</v>
      </c>
      <c r="G5" s="76">
        <f>F5*G1</f>
        <v>195.72677939459726</v>
      </c>
      <c r="H5" s="78">
        <f>F5*H1</f>
        <v>287.06594311207601</v>
      </c>
      <c r="I5" s="64">
        <v>41</v>
      </c>
      <c r="J5" s="45">
        <f>'Sheet3 (2)'!I11</f>
        <v>0.31421351840675926</v>
      </c>
      <c r="K5" s="87">
        <f t="shared" ref="K5:K10" si="2">B5/C5</f>
        <v>1.149561652707656</v>
      </c>
      <c r="L5" s="79">
        <f>H5</f>
        <v>287.06594311207601</v>
      </c>
      <c r="M5" s="25">
        <f>L5/(B1/25.4)</f>
        <v>48.609833033644868</v>
      </c>
    </row>
    <row r="6" spans="1:13" ht="15.75" thickBot="1">
      <c r="A6" s="3" t="str">
        <f>A5</f>
        <v>HD Ortho</v>
      </c>
      <c r="B6" s="3">
        <v>12</v>
      </c>
      <c r="C6" s="69">
        <f>D6/B1</f>
        <v>15.737389212352474</v>
      </c>
      <c r="D6" s="66">
        <f t="shared" ref="D6:D10" si="3">F6*B6</f>
        <v>2360.6083818528709</v>
      </c>
      <c r="E6" s="26">
        <f t="shared" ref="E6:E8" si="4">E5*1.4</f>
        <v>184.53903174352931</v>
      </c>
      <c r="F6" s="27">
        <f>I6/J6</f>
        <v>196.71736515440591</v>
      </c>
      <c r="G6" s="76">
        <f>F6*G1</f>
        <v>295.07604773160887</v>
      </c>
      <c r="H6" s="62">
        <f>F6*H1</f>
        <v>432.77820333969305</v>
      </c>
      <c r="I6" s="64">
        <v>45</v>
      </c>
      <c r="J6" s="45">
        <f>'Sheet3 (2)'!I22</f>
        <v>0.22875458892344833</v>
      </c>
      <c r="K6" s="87">
        <f t="shared" si="2"/>
        <v>0.76251529641149429</v>
      </c>
      <c r="L6" s="62">
        <f>H6</f>
        <v>432.77820333969305</v>
      </c>
      <c r="M6" s="25">
        <f>L6/(B1/25.4)</f>
        <v>73.283775765521355</v>
      </c>
    </row>
    <row r="7" spans="1:13" ht="15.75" thickBot="1">
      <c r="A7" s="2" t="str">
        <f>A4</f>
        <v>Plossl</v>
      </c>
      <c r="B7" s="2">
        <v>10</v>
      </c>
      <c r="C7" s="70">
        <f>D7/B1</f>
        <v>15.800945121728901</v>
      </c>
      <c r="D7" s="65">
        <f t="shared" si="3"/>
        <v>2370.1417682593351</v>
      </c>
      <c r="E7" s="26">
        <f t="shared" si="4"/>
        <v>258.354644440941</v>
      </c>
      <c r="F7" s="28">
        <f>I7/J7</f>
        <v>237.0141768259335</v>
      </c>
      <c r="G7" s="76">
        <f>F7*G1</f>
        <v>355.52126523890024</v>
      </c>
      <c r="H7" s="62">
        <f>F7*H1</f>
        <v>521.43118901705373</v>
      </c>
      <c r="I7" s="64">
        <v>51</v>
      </c>
      <c r="J7" s="45">
        <f>'Sheet3 (2)'!B22</f>
        <v>0.21517700199619327</v>
      </c>
      <c r="K7" s="87">
        <f t="shared" si="2"/>
        <v>0.63287353528292134</v>
      </c>
      <c r="L7" s="62">
        <f>H7</f>
        <v>521.43118901705373</v>
      </c>
      <c r="M7" s="25">
        <f>L7/(B1/25.4)</f>
        <v>88.295681340221094</v>
      </c>
    </row>
    <row r="8" spans="1:13" ht="15.75" thickBot="1">
      <c r="A8" s="6" t="s">
        <v>12</v>
      </c>
      <c r="B8" s="6">
        <v>8</v>
      </c>
      <c r="C8" s="68">
        <f>D8/B1</f>
        <v>15.481702050673912</v>
      </c>
      <c r="D8" s="67">
        <f t="shared" si="3"/>
        <v>2322.2553076010868</v>
      </c>
      <c r="E8" s="26">
        <f t="shared" si="4"/>
        <v>361.6965022173174</v>
      </c>
      <c r="F8" s="28">
        <f t="shared" ref="F8" si="5">I8/J8</f>
        <v>290.28191345013585</v>
      </c>
      <c r="G8" s="62">
        <f>F8*G1</f>
        <v>435.4228701752038</v>
      </c>
      <c r="H8" s="77">
        <f>F8*H1</f>
        <v>638.62020959029894</v>
      </c>
      <c r="I8" s="64">
        <v>58</v>
      </c>
      <c r="J8" s="45">
        <f>'Sheet3 (2)'!P11</f>
        <v>0.19980576574903675</v>
      </c>
      <c r="K8" s="87">
        <f>B8/C8</f>
        <v>0.51673904935095705</v>
      </c>
      <c r="L8" s="62">
        <f>G8</f>
        <v>435.4228701752038</v>
      </c>
      <c r="M8" s="25">
        <f>L8/(B1/25.4)</f>
        <v>73.73160601633451</v>
      </c>
    </row>
    <row r="9" spans="1:13" ht="15.75" hidden="1" thickBot="1">
      <c r="A9" s="10" t="s">
        <v>13</v>
      </c>
      <c r="B9" s="10">
        <v>7</v>
      </c>
      <c r="C9" s="68">
        <f t="shared" ref="C9" si="6">D9/B6</f>
        <v>0</v>
      </c>
      <c r="D9" s="67">
        <f t="shared" si="3"/>
        <v>0</v>
      </c>
      <c r="E9" s="26">
        <v>0</v>
      </c>
      <c r="F9" s="28">
        <v>0</v>
      </c>
      <c r="G9" s="63">
        <f t="shared" ref="G9" si="7">D9/B9*G6</f>
        <v>0</v>
      </c>
      <c r="H9" s="47">
        <f t="shared" ref="H9" si="8">F9*H6</f>
        <v>0</v>
      </c>
      <c r="I9" s="96">
        <v>0</v>
      </c>
      <c r="J9" s="46">
        <v>0</v>
      </c>
      <c r="K9" s="88">
        <v>0</v>
      </c>
      <c r="L9" s="62">
        <f>G9</f>
        <v>0</v>
      </c>
      <c r="M9" s="25">
        <f>L9/(B6/25.4)</f>
        <v>0</v>
      </c>
    </row>
    <row r="10" spans="1:13" ht="15.75" thickBot="1">
      <c r="A10" s="6" t="str">
        <f>A8</f>
        <v>TMB II</v>
      </c>
      <c r="B10" s="6">
        <v>6</v>
      </c>
      <c r="C10" s="68">
        <f>D10/B1</f>
        <v>15.464240171528102</v>
      </c>
      <c r="D10" s="67">
        <f t="shared" si="3"/>
        <v>2319.6360257292154</v>
      </c>
      <c r="E10" s="26">
        <f>E8*1.4</f>
        <v>506.37510310424432</v>
      </c>
      <c r="F10" s="28">
        <f>I10/J10</f>
        <v>386.6060042882026</v>
      </c>
      <c r="G10" s="62">
        <f>F10*G1</f>
        <v>579.90900643230384</v>
      </c>
      <c r="H10" s="77">
        <f>F10*H1</f>
        <v>850.53320943404583</v>
      </c>
      <c r="I10" s="64">
        <f>I8</f>
        <v>58</v>
      </c>
      <c r="J10" s="45">
        <f>'Sheet3 (2)'!P22</f>
        <v>0.15002353651176825</v>
      </c>
      <c r="K10" s="89">
        <f t="shared" si="2"/>
        <v>0.3879919047718145</v>
      </c>
      <c r="L10" s="62">
        <f>G10</f>
        <v>579.90900643230384</v>
      </c>
      <c r="M10" s="25">
        <f>L10/(B1/25.4)</f>
        <v>98.197925089203451</v>
      </c>
    </row>
    <row r="12" spans="1:13">
      <c r="B12" s="1"/>
      <c r="C12" s="48" t="s">
        <v>26</v>
      </c>
      <c r="D12" s="48" t="s">
        <v>28</v>
      </c>
      <c r="E12" s="48"/>
      <c r="I12" s="24"/>
      <c r="J12" s="24"/>
      <c r="K12" s="24"/>
      <c r="L12" s="24"/>
    </row>
    <row r="13" spans="1:13">
      <c r="B13" s="1"/>
      <c r="C13" s="49" t="s">
        <v>22</v>
      </c>
      <c r="D13" s="50" t="s">
        <v>23</v>
      </c>
      <c r="E13" s="49"/>
      <c r="H13" s="61"/>
      <c r="I13" s="21"/>
      <c r="J13" s="21"/>
      <c r="K13" s="21"/>
    </row>
    <row r="14" spans="1:13">
      <c r="B14" s="1"/>
      <c r="C14" s="49" t="s">
        <v>24</v>
      </c>
      <c r="D14" s="49" t="s">
        <v>25</v>
      </c>
      <c r="E14" s="49"/>
      <c r="F14" s="4"/>
      <c r="G14" s="4"/>
      <c r="H14" s="4"/>
      <c r="I14" s="22"/>
      <c r="J14" s="22"/>
      <c r="K14" s="22"/>
      <c r="M14" s="1"/>
    </row>
    <row r="15" spans="1:13">
      <c r="B15" s="1"/>
      <c r="C15" s="52" t="s">
        <v>24</v>
      </c>
      <c r="D15" s="52" t="s">
        <v>41</v>
      </c>
      <c r="E15" s="52"/>
      <c r="F15" s="4"/>
      <c r="G15" s="4"/>
      <c r="H15" s="4"/>
      <c r="I15" s="23"/>
      <c r="J15" s="22"/>
      <c r="K15" s="22"/>
      <c r="M15" s="1"/>
    </row>
    <row r="16" spans="1:13">
      <c r="B16" s="1"/>
      <c r="C16" s="52" t="s">
        <v>27</v>
      </c>
      <c r="D16" s="52" t="s">
        <v>42</v>
      </c>
      <c r="E16" s="52"/>
      <c r="F16" s="4"/>
      <c r="G16" s="4"/>
      <c r="H16" s="4"/>
      <c r="I16" s="1"/>
      <c r="J16" s="1"/>
      <c r="K16" s="5"/>
      <c r="L16" s="1"/>
      <c r="M16" s="5"/>
    </row>
    <row r="17" spans="1:13">
      <c r="B17" s="1"/>
      <c r="C17" s="1"/>
      <c r="D17" s="1"/>
      <c r="E17" s="1"/>
      <c r="F17" s="4"/>
      <c r="G17" s="4"/>
      <c r="H17" s="4"/>
      <c r="I17" s="1"/>
      <c r="J17" s="1"/>
      <c r="K17" s="5"/>
      <c r="L17" s="1"/>
      <c r="M17" s="5"/>
    </row>
    <row r="18" spans="1:13" hidden="1">
      <c r="A18" s="73" t="s">
        <v>32</v>
      </c>
      <c r="B18" s="71">
        <f>B1</f>
        <v>150</v>
      </c>
      <c r="C18" s="73" t="s">
        <v>33</v>
      </c>
      <c r="D18" s="74">
        <f>D1</f>
        <v>0.3</v>
      </c>
      <c r="F18" s="97" t="s">
        <v>35</v>
      </c>
      <c r="G18" s="97"/>
    </row>
    <row r="19" spans="1:13" ht="30.75" hidden="1" thickBot="1">
      <c r="A19" s="9" t="s">
        <v>9</v>
      </c>
      <c r="B19" s="9" t="s">
        <v>0</v>
      </c>
      <c r="C19" s="98" t="s">
        <v>8</v>
      </c>
      <c r="D19" s="98"/>
      <c r="E19" s="7" t="s">
        <v>4</v>
      </c>
      <c r="F19" s="9" t="s">
        <v>1</v>
      </c>
      <c r="G19" s="8" t="s">
        <v>5</v>
      </c>
      <c r="H19" s="8" t="s">
        <v>7</v>
      </c>
      <c r="I19" s="85" t="s">
        <v>6</v>
      </c>
      <c r="J19" s="99" t="s">
        <v>34</v>
      </c>
      <c r="K19" s="99"/>
    </row>
    <row r="20" spans="1:13" ht="15.75" hidden="1" thickBot="1">
      <c r="A20" s="11" t="s">
        <v>10</v>
      </c>
      <c r="B20" s="11">
        <v>32</v>
      </c>
      <c r="C20" s="13">
        <v>0</v>
      </c>
      <c r="D20" s="14">
        <v>0</v>
      </c>
      <c r="E20" s="12"/>
      <c r="F20" s="18">
        <v>0</v>
      </c>
      <c r="G20" s="15">
        <v>50</v>
      </c>
      <c r="H20" s="44">
        <v>0</v>
      </c>
      <c r="I20" s="86">
        <v>0</v>
      </c>
      <c r="J20" s="16">
        <f>F20</f>
        <v>0</v>
      </c>
      <c r="K20" s="17">
        <f t="shared" ref="K20" si="9">J20/6</f>
        <v>0</v>
      </c>
    </row>
    <row r="21" spans="1:13" ht="15.75" hidden="1" thickBot="1">
      <c r="A21" s="2" t="s">
        <v>10</v>
      </c>
      <c r="B21" s="2">
        <v>25</v>
      </c>
      <c r="C21" s="70">
        <f>D21/B18</f>
        <v>25.490196078431371</v>
      </c>
      <c r="D21" s="65">
        <f>F21*B21</f>
        <v>3823.5294117647059</v>
      </c>
      <c r="E21" s="26">
        <f>D21/B21</f>
        <v>152.94117647058823</v>
      </c>
      <c r="F21" s="27">
        <f>G21/H21</f>
        <v>152.94117647058823</v>
      </c>
      <c r="G21" s="42">
        <v>52</v>
      </c>
      <c r="H21" s="45">
        <v>0.34</v>
      </c>
      <c r="I21" s="87">
        <f>B21/C21</f>
        <v>0.98076923076923084</v>
      </c>
      <c r="J21" s="90">
        <f>F21</f>
        <v>152.94117647058823</v>
      </c>
      <c r="K21" s="25">
        <f>J21/(B18/25.4)</f>
        <v>25.898039215686275</v>
      </c>
    </row>
    <row r="22" spans="1:13" ht="15.75" hidden="1" thickBot="1">
      <c r="A22" s="3" t="s">
        <v>11</v>
      </c>
      <c r="B22" s="3">
        <v>18</v>
      </c>
      <c r="C22" s="69">
        <f>D22/B18</f>
        <v>23.108571428571427</v>
      </c>
      <c r="D22" s="66">
        <f>F22*B22</f>
        <v>3466.2857142857138</v>
      </c>
      <c r="E22" s="26">
        <f>E21*1.4</f>
        <v>214.11764705882351</v>
      </c>
      <c r="F22" s="27">
        <f t="shared" ref="F22:F23" si="10">G22/H22</f>
        <v>192.57142857142856</v>
      </c>
      <c r="G22" s="64">
        <v>40.44</v>
      </c>
      <c r="H22" s="45">
        <v>0.21</v>
      </c>
      <c r="I22" s="87">
        <f t="shared" ref="I22:I24" si="11">B22/C22</f>
        <v>0.77893175074183985</v>
      </c>
      <c r="J22" s="90">
        <f t="shared" ref="J22:J27" si="12">F22</f>
        <v>192.57142857142856</v>
      </c>
      <c r="K22" s="25">
        <f>J22/(B18/25.4)</f>
        <v>32.608761904761899</v>
      </c>
    </row>
    <row r="23" spans="1:13" ht="15.75" hidden="1" thickBot="1">
      <c r="A23" s="3" t="str">
        <f>A22</f>
        <v>HD Ortho</v>
      </c>
      <c r="B23" s="3">
        <v>12</v>
      </c>
      <c r="C23" s="69">
        <f>D23/B18</f>
        <v>24</v>
      </c>
      <c r="D23" s="66">
        <f t="shared" ref="D23:D27" si="13">F23*B23</f>
        <v>3600</v>
      </c>
      <c r="E23" s="26">
        <f t="shared" ref="E23:E26" si="14">E22*1.4</f>
        <v>299.76470588235287</v>
      </c>
      <c r="F23" s="27">
        <f t="shared" si="10"/>
        <v>300</v>
      </c>
      <c r="G23" s="42">
        <v>45</v>
      </c>
      <c r="H23" s="45">
        <v>0.15</v>
      </c>
      <c r="I23" s="87">
        <f t="shared" si="11"/>
        <v>0.5</v>
      </c>
      <c r="J23" s="90">
        <f t="shared" si="12"/>
        <v>300</v>
      </c>
      <c r="K23" s="25">
        <f>J23/(B18/25.4)</f>
        <v>50.8</v>
      </c>
    </row>
    <row r="24" spans="1:13" ht="15.75" hidden="1" thickBot="1">
      <c r="A24" s="2" t="str">
        <f>A21</f>
        <v>Plossl</v>
      </c>
      <c r="B24" s="2">
        <v>10</v>
      </c>
      <c r="C24" s="70">
        <f>D24/B18</f>
        <v>24.761904761904759</v>
      </c>
      <c r="D24" s="65">
        <f t="shared" si="13"/>
        <v>3714.2857142857138</v>
      </c>
      <c r="E24" s="26">
        <f t="shared" si="14"/>
        <v>419.67058823529402</v>
      </c>
      <c r="F24" s="28">
        <f>G24/H24</f>
        <v>371.42857142857139</v>
      </c>
      <c r="G24" s="42">
        <f>G21</f>
        <v>52</v>
      </c>
      <c r="H24" s="45">
        <v>0.14000000000000001</v>
      </c>
      <c r="I24" s="87">
        <f t="shared" si="11"/>
        <v>0.40384615384615391</v>
      </c>
      <c r="J24" s="90">
        <f t="shared" si="12"/>
        <v>371.42857142857139</v>
      </c>
      <c r="K24" s="25">
        <f>J24/(B18/25.4)</f>
        <v>62.895238095238085</v>
      </c>
    </row>
    <row r="25" spans="1:13" ht="15.75" hidden="1" thickBot="1">
      <c r="A25" s="6" t="s">
        <v>12</v>
      </c>
      <c r="B25" s="6">
        <v>8</v>
      </c>
      <c r="C25" s="68">
        <f>D25/B18</f>
        <v>22.095238095238091</v>
      </c>
      <c r="D25" s="67">
        <f t="shared" si="13"/>
        <v>3314.2857142857138</v>
      </c>
      <c r="E25" s="26">
        <f t="shared" si="14"/>
        <v>587.53882352941162</v>
      </c>
      <c r="F25" s="28">
        <f t="shared" ref="F25" si="15">G25/H25</f>
        <v>414.28571428571422</v>
      </c>
      <c r="G25" s="42">
        <v>58</v>
      </c>
      <c r="H25" s="45">
        <v>0.14000000000000001</v>
      </c>
      <c r="I25" s="87">
        <f>B25/C25</f>
        <v>0.36206896551724144</v>
      </c>
      <c r="J25" s="90">
        <f t="shared" si="12"/>
        <v>414.28571428571422</v>
      </c>
      <c r="K25" s="25">
        <f>J25/(B18/25.4)</f>
        <v>70.152380952380938</v>
      </c>
    </row>
    <row r="26" spans="1:13" ht="15.75" hidden="1" thickBot="1">
      <c r="A26" s="10" t="s">
        <v>13</v>
      </c>
      <c r="B26" s="10">
        <v>7</v>
      </c>
      <c r="C26" s="68">
        <f t="shared" ref="C26" si="16">D26/B23</f>
        <v>0</v>
      </c>
      <c r="D26" s="67">
        <f t="shared" si="13"/>
        <v>0</v>
      </c>
      <c r="E26" s="26">
        <f t="shared" si="14"/>
        <v>822.55435294117626</v>
      </c>
      <c r="F26" s="28">
        <v>0</v>
      </c>
      <c r="G26" s="43">
        <v>0</v>
      </c>
      <c r="H26" s="46">
        <v>0</v>
      </c>
      <c r="I26" s="88">
        <v>0</v>
      </c>
      <c r="J26" s="90">
        <f t="shared" si="12"/>
        <v>0</v>
      </c>
      <c r="K26" s="25">
        <f>J26/(B23/25.4)</f>
        <v>0</v>
      </c>
    </row>
    <row r="27" spans="1:13" s="1" customFormat="1" ht="15.75" hidden="1" thickBot="1">
      <c r="A27" s="6" t="str">
        <f>A25</f>
        <v>TMB II</v>
      </c>
      <c r="B27" s="6">
        <v>6</v>
      </c>
      <c r="C27" s="68">
        <f>D27/B18</f>
        <v>21.09090909090909</v>
      </c>
      <c r="D27" s="67">
        <f t="shared" si="13"/>
        <v>3163.6363636363635</v>
      </c>
      <c r="E27" s="26">
        <f>E26*1.4</f>
        <v>1151.5760941176468</v>
      </c>
      <c r="F27" s="28">
        <f>G27/H27</f>
        <v>527.27272727272725</v>
      </c>
      <c r="G27" s="42">
        <f>G25</f>
        <v>58</v>
      </c>
      <c r="H27" s="45">
        <v>0.11</v>
      </c>
      <c r="I27" s="89">
        <f t="shared" ref="I27" si="17">B27/C27</f>
        <v>0.28448275862068967</v>
      </c>
      <c r="J27" s="90">
        <f t="shared" si="12"/>
        <v>527.27272727272725</v>
      </c>
      <c r="K27" s="25">
        <f>J27/(B18/25.4)</f>
        <v>89.284848484848482</v>
      </c>
    </row>
    <row r="28" spans="1:13" hidden="1">
      <c r="B28" s="1"/>
      <c r="C28" s="1"/>
      <c r="D28" s="1"/>
      <c r="E28" s="1"/>
      <c r="F28" s="4"/>
      <c r="G28" s="4"/>
      <c r="H28" s="4"/>
      <c r="I28" s="1"/>
      <c r="J28" s="1"/>
      <c r="K28" s="1"/>
      <c r="L28" s="1"/>
      <c r="M28" s="1"/>
    </row>
    <row r="29" spans="1:13" hidden="1">
      <c r="A29" s="73" t="s">
        <v>32</v>
      </c>
      <c r="B29" s="71">
        <f>B18</f>
        <v>150</v>
      </c>
      <c r="C29" s="73" t="s">
        <v>33</v>
      </c>
      <c r="D29" s="74">
        <f>D18</f>
        <v>0.3</v>
      </c>
      <c r="F29" s="97" t="s">
        <v>36</v>
      </c>
      <c r="G29" s="97"/>
      <c r="L29" s="1"/>
      <c r="M29" s="1"/>
    </row>
    <row r="30" spans="1:13" ht="30.75" hidden="1" thickBot="1">
      <c r="A30" s="9" t="s">
        <v>9</v>
      </c>
      <c r="B30" s="9" t="s">
        <v>0</v>
      </c>
      <c r="C30" s="98" t="s">
        <v>8</v>
      </c>
      <c r="D30" s="98"/>
      <c r="E30" s="7" t="s">
        <v>4</v>
      </c>
      <c r="F30" s="9" t="s">
        <v>1</v>
      </c>
      <c r="G30" s="8" t="s">
        <v>5</v>
      </c>
      <c r="H30" s="8" t="s">
        <v>7</v>
      </c>
      <c r="I30" s="85" t="s">
        <v>6</v>
      </c>
      <c r="J30" s="99" t="s">
        <v>34</v>
      </c>
      <c r="K30" s="99"/>
      <c r="L30" s="1"/>
      <c r="M30" s="1"/>
    </row>
    <row r="31" spans="1:13" ht="15.75" hidden="1" thickBot="1">
      <c r="A31" s="11" t="s">
        <v>10</v>
      </c>
      <c r="B31" s="11">
        <v>32</v>
      </c>
      <c r="C31" s="13">
        <v>0</v>
      </c>
      <c r="D31" s="14">
        <v>0</v>
      </c>
      <c r="E31" s="12"/>
      <c r="F31" s="18">
        <v>0</v>
      </c>
      <c r="G31" s="15">
        <v>50</v>
      </c>
      <c r="H31" s="44">
        <v>0</v>
      </c>
      <c r="I31" s="86">
        <v>0</v>
      </c>
      <c r="J31" s="16">
        <f>F31</f>
        <v>0</v>
      </c>
      <c r="K31" s="17">
        <f t="shared" ref="K31" si="18">J31/6</f>
        <v>0</v>
      </c>
      <c r="L31" s="1"/>
      <c r="M31" s="1"/>
    </row>
    <row r="32" spans="1:13" ht="15.75" hidden="1" thickBot="1">
      <c r="A32" s="2" t="s">
        <v>10</v>
      </c>
      <c r="B32" s="2">
        <v>25</v>
      </c>
      <c r="C32" s="70">
        <f>D32/B29</f>
        <v>34.666666666666664</v>
      </c>
      <c r="D32" s="65">
        <f>F32*B32</f>
        <v>5200</v>
      </c>
      <c r="E32" s="26">
        <f>D32/B32</f>
        <v>208</v>
      </c>
      <c r="F32" s="27">
        <f>G32/H32</f>
        <v>208</v>
      </c>
      <c r="G32" s="42">
        <v>52</v>
      </c>
      <c r="H32" s="45">
        <v>0.25</v>
      </c>
      <c r="I32" s="87">
        <f>B32/C32</f>
        <v>0.72115384615384626</v>
      </c>
      <c r="J32" s="90">
        <f>F32</f>
        <v>208</v>
      </c>
      <c r="K32" s="25">
        <f>J32/(B29/25.4)</f>
        <v>35.221333333333334</v>
      </c>
    </row>
    <row r="33" spans="1:11" ht="15.75" hidden="1" thickBot="1">
      <c r="A33" s="3" t="s">
        <v>11</v>
      </c>
      <c r="B33" s="3">
        <v>18</v>
      </c>
      <c r="C33" s="69">
        <f>D33/B29</f>
        <v>34.662857142857135</v>
      </c>
      <c r="D33" s="66">
        <f>F33*B33</f>
        <v>5199.4285714285706</v>
      </c>
      <c r="E33" s="26">
        <f>E32*1.4</f>
        <v>291.2</v>
      </c>
      <c r="F33" s="27">
        <f t="shared" ref="F33:F34" si="19">G33/H33</f>
        <v>288.85714285714283</v>
      </c>
      <c r="G33" s="64">
        <v>40.44</v>
      </c>
      <c r="H33" s="45">
        <v>0.14000000000000001</v>
      </c>
      <c r="I33" s="87">
        <f t="shared" ref="I33:I35" si="20">B33/C33</f>
        <v>0.51928783382789334</v>
      </c>
      <c r="J33" s="90">
        <f t="shared" ref="J33:J38" si="21">F33</f>
        <v>288.85714285714283</v>
      </c>
      <c r="K33" s="25">
        <f>J33/(B29/25.4)</f>
        <v>48.913142857142851</v>
      </c>
    </row>
    <row r="34" spans="1:11" ht="15.75" hidden="1" thickBot="1">
      <c r="A34" s="3" t="str">
        <f>A33</f>
        <v>HD Ortho</v>
      </c>
      <c r="B34" s="3">
        <v>12</v>
      </c>
      <c r="C34" s="69">
        <f>D34/B29</f>
        <v>36</v>
      </c>
      <c r="D34" s="66">
        <f t="shared" ref="D34:D38" si="22">F34*B34</f>
        <v>5400</v>
      </c>
      <c r="E34" s="26">
        <f t="shared" ref="E34:E38" si="23">E33*1.4</f>
        <v>407.67999999999995</v>
      </c>
      <c r="F34" s="27">
        <f t="shared" si="19"/>
        <v>450</v>
      </c>
      <c r="G34" s="42">
        <v>45</v>
      </c>
      <c r="H34" s="45">
        <v>0.1</v>
      </c>
      <c r="I34" s="87">
        <f t="shared" si="20"/>
        <v>0.33333333333333331</v>
      </c>
      <c r="J34" s="90">
        <f t="shared" si="21"/>
        <v>450</v>
      </c>
      <c r="K34" s="25">
        <f>J34/(B29/25.4)</f>
        <v>76.2</v>
      </c>
    </row>
    <row r="35" spans="1:11" ht="15.75" hidden="1" thickBot="1">
      <c r="A35" s="2" t="str">
        <f>A32</f>
        <v>Plossl</v>
      </c>
      <c r="B35" s="2">
        <v>10</v>
      </c>
      <c r="C35" s="70">
        <f>D35/B29</f>
        <v>38.518518518518519</v>
      </c>
      <c r="D35" s="65">
        <f t="shared" si="22"/>
        <v>5777.7777777777783</v>
      </c>
      <c r="E35" s="26">
        <f t="shared" si="23"/>
        <v>570.75199999999984</v>
      </c>
      <c r="F35" s="28">
        <f>G35/H35</f>
        <v>577.77777777777783</v>
      </c>
      <c r="G35" s="42">
        <f>G32</f>
        <v>52</v>
      </c>
      <c r="H35" s="45">
        <v>0.09</v>
      </c>
      <c r="I35" s="87">
        <f t="shared" si="20"/>
        <v>0.25961538461538464</v>
      </c>
      <c r="J35" s="90">
        <f t="shared" si="21"/>
        <v>577.77777777777783</v>
      </c>
      <c r="K35" s="25">
        <f>J35/(B29/25.4)</f>
        <v>97.837037037037049</v>
      </c>
    </row>
    <row r="36" spans="1:11" ht="15.75" hidden="1" thickBot="1">
      <c r="A36" s="6" t="s">
        <v>12</v>
      </c>
      <c r="B36" s="6">
        <v>8</v>
      </c>
      <c r="C36" s="68">
        <f>D36/B29</f>
        <v>34.370370370370374</v>
      </c>
      <c r="D36" s="67">
        <f t="shared" si="22"/>
        <v>5155.5555555555557</v>
      </c>
      <c r="E36" s="26">
        <f t="shared" si="23"/>
        <v>799.05279999999971</v>
      </c>
      <c r="F36" s="28">
        <f t="shared" ref="F36" si="24">G36/H36</f>
        <v>644.44444444444446</v>
      </c>
      <c r="G36" s="42">
        <v>58</v>
      </c>
      <c r="H36" s="45">
        <v>0.09</v>
      </c>
      <c r="I36" s="87">
        <f>B36/C36</f>
        <v>0.23275862068965514</v>
      </c>
      <c r="J36" s="90">
        <f t="shared" si="21"/>
        <v>644.44444444444446</v>
      </c>
      <c r="K36" s="25">
        <f>J36/(B29/25.4)</f>
        <v>109.12592592592593</v>
      </c>
    </row>
    <row r="37" spans="1:11" ht="15.75" hidden="1" thickBot="1">
      <c r="A37" s="10" t="s">
        <v>13</v>
      </c>
      <c r="B37" s="10">
        <v>7</v>
      </c>
      <c r="C37" s="68">
        <f t="shared" ref="C37" si="25">D37/B34</f>
        <v>0</v>
      </c>
      <c r="D37" s="67">
        <f t="shared" si="22"/>
        <v>0</v>
      </c>
      <c r="E37" s="26">
        <v>0</v>
      </c>
      <c r="F37" s="28">
        <v>0</v>
      </c>
      <c r="G37" s="43">
        <v>0</v>
      </c>
      <c r="H37" s="46">
        <v>0</v>
      </c>
      <c r="I37" s="88">
        <v>0</v>
      </c>
      <c r="J37" s="90">
        <f t="shared" si="21"/>
        <v>0</v>
      </c>
      <c r="K37" s="25">
        <f>J37/(B34/25.4)</f>
        <v>0</v>
      </c>
    </row>
    <row r="38" spans="1:11" ht="15.75" hidden="1" thickBot="1">
      <c r="A38" s="6" t="str">
        <f>A36</f>
        <v>TMB II</v>
      </c>
      <c r="B38" s="6">
        <v>6</v>
      </c>
      <c r="C38" s="68">
        <f>D38/B29</f>
        <v>33.142857142857139</v>
      </c>
      <c r="D38" s="67">
        <f t="shared" si="22"/>
        <v>4971.4285714285706</v>
      </c>
      <c r="E38" s="26">
        <f t="shared" si="23"/>
        <v>0</v>
      </c>
      <c r="F38" s="28">
        <f>G38/H38</f>
        <v>828.57142857142844</v>
      </c>
      <c r="G38" s="42">
        <f>G36</f>
        <v>58</v>
      </c>
      <c r="H38" s="45">
        <v>7.0000000000000007E-2</v>
      </c>
      <c r="I38" s="89">
        <f t="shared" ref="I38" si="26">B38/C38</f>
        <v>0.18103448275862072</v>
      </c>
      <c r="J38" s="90">
        <f t="shared" si="21"/>
        <v>828.57142857142844</v>
      </c>
      <c r="K38" s="25">
        <f>J38/(B29/25.4)</f>
        <v>140.30476190476188</v>
      </c>
    </row>
  </sheetData>
  <mergeCells count="8">
    <mergeCell ref="F29:G29"/>
    <mergeCell ref="C30:D30"/>
    <mergeCell ref="J30:K30"/>
    <mergeCell ref="C2:D2"/>
    <mergeCell ref="L2:M2"/>
    <mergeCell ref="C19:D19"/>
    <mergeCell ref="J19:K19"/>
    <mergeCell ref="F18:G18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24"/>
  <sheetViews>
    <sheetView workbookViewId="0">
      <selection activeCell="O24" sqref="O24"/>
    </sheetView>
  </sheetViews>
  <sheetFormatPr defaultRowHeight="15"/>
  <cols>
    <col min="1" max="1" width="8.28515625" style="24" customWidth="1"/>
  </cols>
  <sheetData>
    <row r="1" spans="1:20">
      <c r="A1" s="81" t="s">
        <v>19</v>
      </c>
      <c r="B1" s="38">
        <v>11.9</v>
      </c>
      <c r="C1" s="37" t="s">
        <v>20</v>
      </c>
      <c r="D1" s="37"/>
      <c r="E1" s="41" t="s">
        <v>21</v>
      </c>
      <c r="F1" s="95">
        <v>0.81</v>
      </c>
      <c r="G1" s="39">
        <v>360</v>
      </c>
      <c r="I1" s="92">
        <v>15.04</v>
      </c>
      <c r="J1" s="54" t="s">
        <v>38</v>
      </c>
      <c r="K1" s="91">
        <f>COS(11.95)</f>
        <v>0.81598189232459362</v>
      </c>
      <c r="N1" s="31"/>
      <c r="O1" s="31"/>
    </row>
    <row r="2" spans="1:20">
      <c r="E2" s="100">
        <v>86164</v>
      </c>
      <c r="F2" s="100"/>
      <c r="G2" s="100"/>
      <c r="H2" s="101" t="s">
        <v>37</v>
      </c>
      <c r="I2" s="101"/>
      <c r="J2" s="101"/>
      <c r="K2" s="101"/>
      <c r="L2" s="101"/>
    </row>
    <row r="3" spans="1:20">
      <c r="E3" s="40"/>
    </row>
    <row r="4" spans="1:20">
      <c r="B4" s="36" t="s">
        <v>16</v>
      </c>
      <c r="D4" s="36" t="s">
        <v>16</v>
      </c>
      <c r="F4" s="36" t="s">
        <v>16</v>
      </c>
      <c r="H4" s="24"/>
      <c r="I4" s="35" t="s">
        <v>16</v>
      </c>
      <c r="K4" s="35" t="s">
        <v>16</v>
      </c>
      <c r="M4" s="35" t="s">
        <v>16</v>
      </c>
      <c r="O4" s="24"/>
      <c r="P4" s="34" t="s">
        <v>16</v>
      </c>
      <c r="R4" s="34" t="s">
        <v>16</v>
      </c>
      <c r="T4" s="34" t="s">
        <v>16</v>
      </c>
    </row>
    <row r="5" spans="1:20">
      <c r="A5" s="24" t="s">
        <v>18</v>
      </c>
      <c r="B5" s="54">
        <f>120+42.85</f>
        <v>162.85</v>
      </c>
      <c r="C5" s="33" t="s">
        <v>2</v>
      </c>
      <c r="D5" s="54">
        <v>102.64</v>
      </c>
      <c r="E5" t="s">
        <v>3</v>
      </c>
      <c r="F5" s="54">
        <v>72.8</v>
      </c>
      <c r="H5" s="24" t="s">
        <v>17</v>
      </c>
      <c r="I5" s="57">
        <v>92.91</v>
      </c>
      <c r="J5" s="33" t="s">
        <v>2</v>
      </c>
      <c r="K5" s="57">
        <v>61.84</v>
      </c>
      <c r="L5" t="s">
        <v>3</v>
      </c>
      <c r="M5" s="57">
        <v>41.3</v>
      </c>
      <c r="O5" s="24" t="s">
        <v>30</v>
      </c>
      <c r="P5" s="60">
        <v>59.47</v>
      </c>
      <c r="Q5" s="33" t="s">
        <v>2</v>
      </c>
      <c r="R5" s="60">
        <v>41.64</v>
      </c>
      <c r="S5" t="s">
        <v>3</v>
      </c>
      <c r="T5" s="60">
        <v>27.23</v>
      </c>
    </row>
    <row r="6" spans="1:20">
      <c r="A6" s="24" t="s">
        <v>10</v>
      </c>
      <c r="B6" s="54">
        <v>163.04</v>
      </c>
      <c r="C6" s="33"/>
      <c r="D6" s="54">
        <v>102.16</v>
      </c>
      <c r="F6" s="54">
        <v>73.53</v>
      </c>
      <c r="H6" s="24" t="s">
        <v>39</v>
      </c>
      <c r="I6" s="57">
        <v>93.09</v>
      </c>
      <c r="J6" s="33"/>
      <c r="K6" s="57">
        <v>61.81</v>
      </c>
      <c r="M6" s="57">
        <v>41.08</v>
      </c>
      <c r="O6" s="24" t="s">
        <v>12</v>
      </c>
      <c r="P6" s="60">
        <v>58.75</v>
      </c>
      <c r="Q6" s="33"/>
      <c r="R6" s="60">
        <v>41.07</v>
      </c>
      <c r="T6" s="60">
        <v>27.47</v>
      </c>
    </row>
    <row r="7" spans="1:20">
      <c r="A7" s="32"/>
      <c r="B7" s="55">
        <v>163.54</v>
      </c>
      <c r="D7" s="55">
        <v>102.36</v>
      </c>
      <c r="F7" s="55">
        <v>73.33</v>
      </c>
      <c r="H7" s="32"/>
      <c r="I7" s="58">
        <v>92.59</v>
      </c>
      <c r="K7" s="58">
        <v>61.7</v>
      </c>
      <c r="M7" s="58">
        <v>41.78</v>
      </c>
      <c r="O7" s="32"/>
      <c r="P7" s="59">
        <v>58.93</v>
      </c>
      <c r="R7" s="59">
        <v>41.36</v>
      </c>
      <c r="T7" s="59">
        <v>27.1</v>
      </c>
    </row>
    <row r="8" spans="1:20">
      <c r="A8" s="32"/>
      <c r="B8" s="55">
        <v>163.12</v>
      </c>
      <c r="D8" s="55">
        <v>96.6</v>
      </c>
      <c r="F8" s="55">
        <v>73.459999999999994</v>
      </c>
      <c r="H8" s="32"/>
      <c r="I8" s="58">
        <v>93.07</v>
      </c>
      <c r="K8" s="58">
        <v>61.98</v>
      </c>
      <c r="M8" s="58">
        <v>41.7</v>
      </c>
      <c r="O8" s="32"/>
      <c r="P8" s="59">
        <v>58.88</v>
      </c>
      <c r="R8" s="59">
        <v>41.5</v>
      </c>
      <c r="T8" s="59">
        <v>27.4</v>
      </c>
    </row>
    <row r="9" spans="1:20">
      <c r="A9" s="32"/>
      <c r="B9" s="84">
        <v>163.43</v>
      </c>
      <c r="D9" s="84">
        <v>99.05</v>
      </c>
      <c r="F9" s="84">
        <v>72.989999999999995</v>
      </c>
      <c r="H9" s="32"/>
      <c r="I9" s="83">
        <v>92.57</v>
      </c>
      <c r="K9" s="83">
        <v>62.16</v>
      </c>
      <c r="M9" s="83">
        <v>41.79</v>
      </c>
      <c r="O9" s="32"/>
      <c r="P9" s="82">
        <v>59.17</v>
      </c>
      <c r="R9" s="82">
        <v>41.65</v>
      </c>
      <c r="T9" s="82">
        <v>27.6</v>
      </c>
    </row>
    <row r="10" spans="1:20">
      <c r="A10" s="32" t="s">
        <v>40</v>
      </c>
      <c r="B10" s="56">
        <f>SUM(B5:B9)/5</f>
        <v>163.196</v>
      </c>
      <c r="C10" s="31"/>
      <c r="D10" s="56">
        <f>SUM(D5:D9)/5</f>
        <v>100.562</v>
      </c>
      <c r="E10" s="31"/>
      <c r="F10" s="56">
        <f>SUM(F5:F9)/5</f>
        <v>73.221999999999994</v>
      </c>
      <c r="H10" s="32" t="str">
        <f>A10</f>
        <v>Avg</v>
      </c>
      <c r="I10" s="56">
        <f>SUM(I5:I9)/5</f>
        <v>92.846000000000004</v>
      </c>
      <c r="J10" s="31"/>
      <c r="K10" s="56">
        <f>SUM(K5:K9)/5</f>
        <v>61.898000000000003</v>
      </c>
      <c r="L10" s="31"/>
      <c r="M10" s="56">
        <f>SUM(M5:M9)/5</f>
        <v>41.53</v>
      </c>
      <c r="O10" s="32" t="str">
        <f>H10</f>
        <v>Avg</v>
      </c>
      <c r="P10" s="56">
        <f>SUM(P5:P9)/5</f>
        <v>59.04</v>
      </c>
      <c r="Q10" s="31"/>
      <c r="R10" s="56">
        <f>SUM(R5:R9)/5</f>
        <v>41.444000000000003</v>
      </c>
      <c r="S10" s="31"/>
      <c r="T10" s="56">
        <f>SUM(T5:T9)/5</f>
        <v>27.360000000000003</v>
      </c>
    </row>
    <row r="11" spans="1:20">
      <c r="A11" s="107" t="s">
        <v>7</v>
      </c>
      <c r="B11" s="102">
        <f>(B10*F1*G1)/E2</f>
        <v>0.55229508379369574</v>
      </c>
      <c r="C11" s="103"/>
      <c r="D11" s="104">
        <f>(D10*F1*G1)/E2</f>
        <v>0.34032634510932641</v>
      </c>
      <c r="E11" s="105"/>
      <c r="F11" s="104">
        <f>(F10*F1*G1)/E2</f>
        <v>0.24780111415440326</v>
      </c>
      <c r="G11" s="106"/>
      <c r="H11" s="107" t="s">
        <v>7</v>
      </c>
      <c r="I11" s="102">
        <f>(I10*F1*G1)/E2</f>
        <v>0.31421351840675926</v>
      </c>
      <c r="J11" s="103"/>
      <c r="K11" s="104">
        <f>(K10*F1*G1)/E2</f>
        <v>0.20947793510050605</v>
      </c>
      <c r="L11" s="105"/>
      <c r="M11" s="104">
        <f>(M10*F1*G1)/E2</f>
        <v>0.14054765331228822</v>
      </c>
      <c r="N11" s="106"/>
      <c r="O11" s="107" t="s">
        <v>7</v>
      </c>
      <c r="P11" s="102">
        <f>(P10*F1*G1)/E2</f>
        <v>0.19980576574903675</v>
      </c>
      <c r="Q11" s="103"/>
      <c r="R11" s="104">
        <f>(R10*F1*G1)/E2</f>
        <v>0.14025660832830419</v>
      </c>
      <c r="S11" s="105"/>
      <c r="T11" s="104">
        <f>(T10*F1*G1)/E2</f>
        <v>9.2592915834919465E-2</v>
      </c>
    </row>
    <row r="12" spans="1:20">
      <c r="B12" s="93">
        <f>B10*I1*K1/60/60</f>
        <v>0.55633369798140497</v>
      </c>
      <c r="C12" s="30"/>
      <c r="D12" s="94">
        <f>D10*I1*K1/60/60</f>
        <v>0.34281495463372907</v>
      </c>
      <c r="E12" s="29"/>
      <c r="F12" s="94">
        <f>F10*I1*K1/60/60</f>
        <v>0.24961314023379513</v>
      </c>
      <c r="H12" s="24"/>
      <c r="I12" s="93">
        <f>I10*I1*K1/60/60</f>
        <v>0.31651117994792466</v>
      </c>
      <c r="J12" s="30"/>
      <c r="K12" s="94">
        <f>K10*I1*K1/60/60</f>
        <v>0.21100972595929435</v>
      </c>
      <c r="L12" s="29"/>
      <c r="M12" s="94">
        <f>M10*I1*K1/60/60</f>
        <v>0.14157539692864865</v>
      </c>
      <c r="O12" s="24"/>
      <c r="P12" s="93">
        <f>P10*I1*K1/60/60</f>
        <v>0.20126682963321496</v>
      </c>
      <c r="Q12" s="30"/>
      <c r="R12" s="94">
        <f>R10*I1*K1/60/60</f>
        <v>0.14128222370120191</v>
      </c>
      <c r="S12" s="29"/>
      <c r="T12" s="94">
        <f>T10*I1*K1/60/60</f>
        <v>9.3269994220270352E-2</v>
      </c>
    </row>
    <row r="13" spans="1:20">
      <c r="B13" s="80" t="s">
        <v>29</v>
      </c>
      <c r="C13" s="72">
        <f>B11/D11</f>
        <v>1.6228396412163639</v>
      </c>
      <c r="D13" s="30"/>
      <c r="E13" s="72">
        <f>B11/F11</f>
        <v>2.2287836988883121</v>
      </c>
      <c r="F13" s="29"/>
      <c r="H13" s="24"/>
      <c r="I13" s="80" t="str">
        <f>B13</f>
        <v>Barlow</v>
      </c>
      <c r="J13" s="72">
        <f>I11/K11</f>
        <v>1.4999838443891564</v>
      </c>
      <c r="K13" s="30"/>
      <c r="L13" s="72">
        <f>I11/M11</f>
        <v>2.2356368889959066</v>
      </c>
      <c r="M13" s="29"/>
      <c r="O13" s="24"/>
      <c r="P13" s="80" t="str">
        <f>I13</f>
        <v>Barlow</v>
      </c>
      <c r="Q13" s="72">
        <f>P11/R11</f>
        <v>1.4245729176720392</v>
      </c>
      <c r="R13" s="30"/>
      <c r="S13" s="72">
        <f>P11/T11</f>
        <v>2.1578947368421053</v>
      </c>
      <c r="T13" s="29"/>
    </row>
    <row r="14" spans="1:20">
      <c r="B14" s="29"/>
      <c r="C14" s="30"/>
      <c r="D14" s="30"/>
      <c r="E14" s="29"/>
      <c r="F14" s="29"/>
      <c r="H14" s="24"/>
      <c r="I14" s="29"/>
      <c r="J14" s="30"/>
      <c r="K14" s="30"/>
      <c r="L14" s="29"/>
      <c r="M14" s="29"/>
      <c r="O14" s="24"/>
      <c r="P14" s="29"/>
      <c r="Q14" s="30"/>
      <c r="R14" s="30"/>
      <c r="S14" s="29"/>
      <c r="T14" s="29"/>
    </row>
    <row r="15" spans="1:20">
      <c r="B15" s="36" t="s">
        <v>16</v>
      </c>
      <c r="D15" s="36" t="s">
        <v>16</v>
      </c>
      <c r="F15" s="36" t="s">
        <v>16</v>
      </c>
      <c r="H15" s="24"/>
      <c r="I15" s="35" t="s">
        <v>16</v>
      </c>
      <c r="K15" s="35" t="s">
        <v>16</v>
      </c>
      <c r="M15" s="35" t="s">
        <v>16</v>
      </c>
      <c r="O15" s="24"/>
      <c r="P15" s="34" t="s">
        <v>16</v>
      </c>
      <c r="R15" s="34" t="s">
        <v>16</v>
      </c>
      <c r="T15" s="34" t="s">
        <v>16</v>
      </c>
    </row>
    <row r="16" spans="1:20">
      <c r="A16" s="24" t="s">
        <v>15</v>
      </c>
      <c r="B16" s="54">
        <v>63.89</v>
      </c>
      <c r="C16" s="33" t="s">
        <v>2</v>
      </c>
      <c r="D16" s="54">
        <v>40.6</v>
      </c>
      <c r="E16" t="s">
        <v>3</v>
      </c>
      <c r="F16" s="54">
        <v>28.12</v>
      </c>
      <c r="H16" s="24" t="s">
        <v>14</v>
      </c>
      <c r="I16" s="57">
        <v>67.63</v>
      </c>
      <c r="J16" s="33" t="s">
        <v>2</v>
      </c>
      <c r="K16" s="57">
        <v>44.91</v>
      </c>
      <c r="L16" t="s">
        <v>3</v>
      </c>
      <c r="M16" s="57">
        <v>30.42</v>
      </c>
      <c r="O16" s="24" t="s">
        <v>31</v>
      </c>
      <c r="P16" s="60">
        <v>43.55</v>
      </c>
      <c r="Q16" s="33" t="s">
        <v>2</v>
      </c>
      <c r="R16" s="60">
        <v>31.51</v>
      </c>
      <c r="S16" t="s">
        <v>3</v>
      </c>
      <c r="T16" s="60">
        <v>20.81</v>
      </c>
    </row>
    <row r="17" spans="1:20">
      <c r="A17" s="24" t="str">
        <f>A6</f>
        <v>Plossl</v>
      </c>
      <c r="B17" s="54">
        <v>63.24</v>
      </c>
      <c r="C17" s="33"/>
      <c r="D17" s="54">
        <v>41.8</v>
      </c>
      <c r="F17" s="54">
        <v>28.24</v>
      </c>
      <c r="H17" s="24" t="str">
        <f>H6</f>
        <v>Ortho</v>
      </c>
      <c r="I17" s="57">
        <v>67.31</v>
      </c>
      <c r="J17" s="33"/>
      <c r="K17" s="57">
        <v>44.72</v>
      </c>
      <c r="M17" s="57">
        <v>30.28</v>
      </c>
      <c r="O17" s="24" t="str">
        <f>O6</f>
        <v>TMB II</v>
      </c>
      <c r="P17" s="60">
        <v>44.85</v>
      </c>
      <c r="Q17" s="33"/>
      <c r="R17" s="60">
        <v>31.79</v>
      </c>
      <c r="T17" s="60">
        <v>20.74</v>
      </c>
    </row>
    <row r="18" spans="1:20">
      <c r="A18" s="32"/>
      <c r="B18" s="55">
        <v>63.26</v>
      </c>
      <c r="D18" s="55">
        <v>41.12</v>
      </c>
      <c r="F18" s="55">
        <v>28.3</v>
      </c>
      <c r="H18" s="32"/>
      <c r="I18" s="58">
        <v>67.64</v>
      </c>
      <c r="K18" s="58">
        <v>44.19</v>
      </c>
      <c r="M18" s="58">
        <v>30.38</v>
      </c>
      <c r="O18" s="32"/>
      <c r="P18" s="60">
        <v>44.51</v>
      </c>
      <c r="R18" s="59">
        <v>31.39</v>
      </c>
      <c r="T18" s="59">
        <v>20.32</v>
      </c>
    </row>
    <row r="19" spans="1:20">
      <c r="A19" s="32"/>
      <c r="B19" s="55">
        <v>63.79</v>
      </c>
      <c r="D19" s="55">
        <v>41.33</v>
      </c>
      <c r="F19" s="55">
        <v>27.79</v>
      </c>
      <c r="H19" s="32"/>
      <c r="I19" s="58">
        <v>67.62</v>
      </c>
      <c r="K19" s="58">
        <v>44.57</v>
      </c>
      <c r="M19" s="58">
        <v>30.2</v>
      </c>
      <c r="O19" s="32"/>
      <c r="P19" s="60">
        <v>44.07</v>
      </c>
      <c r="R19" s="59">
        <v>31.4</v>
      </c>
      <c r="T19" s="59">
        <v>20.21</v>
      </c>
    </row>
    <row r="20" spans="1:20">
      <c r="A20" s="32"/>
      <c r="B20" s="84">
        <v>63.73</v>
      </c>
      <c r="D20" s="84">
        <v>41.06</v>
      </c>
      <c r="F20" s="84">
        <v>27.87</v>
      </c>
      <c r="H20" s="32"/>
      <c r="I20" s="83">
        <v>67.77</v>
      </c>
      <c r="K20" s="83">
        <v>43.79</v>
      </c>
      <c r="M20" s="83">
        <v>31.13</v>
      </c>
      <c r="O20" s="32"/>
      <c r="P20" s="82">
        <v>44.67</v>
      </c>
      <c r="R20" s="82">
        <v>31.58</v>
      </c>
      <c r="T20" s="82">
        <v>20.54</v>
      </c>
    </row>
    <row r="21" spans="1:20">
      <c r="A21" s="32" t="str">
        <f>A10</f>
        <v>Avg</v>
      </c>
      <c r="B21" s="56">
        <f>SUM(B16:B20)/5</f>
        <v>63.581999999999994</v>
      </c>
      <c r="C21" s="31"/>
      <c r="D21" s="56">
        <f>SUM(D16:D20)/5</f>
        <v>41.182000000000002</v>
      </c>
      <c r="E21" s="31"/>
      <c r="F21" s="56">
        <f>SUM(F16:F20)/5</f>
        <v>28.064</v>
      </c>
      <c r="H21" s="32" t="str">
        <f>A21</f>
        <v>Avg</v>
      </c>
      <c r="I21" s="56">
        <f>SUM(I16:I20)/5</f>
        <v>67.593999999999994</v>
      </c>
      <c r="J21" s="31"/>
      <c r="K21" s="56">
        <f>SUM(K16:K20)/5</f>
        <v>44.435999999999993</v>
      </c>
      <c r="L21" s="31"/>
      <c r="M21" s="56">
        <f>SUM(M16:M20)/5</f>
        <v>30.481999999999999</v>
      </c>
      <c r="O21" s="32" t="str">
        <f>H21</f>
        <v>Avg</v>
      </c>
      <c r="P21" s="56">
        <f>SUM(P16:P20)/5</f>
        <v>44.33</v>
      </c>
      <c r="Q21" s="31"/>
      <c r="R21" s="56">
        <f>SUM(R16:R20)/5</f>
        <v>31.534000000000002</v>
      </c>
      <c r="S21" s="31"/>
      <c r="T21" s="56">
        <f>SUM(T16:T20)/5</f>
        <v>20.524000000000001</v>
      </c>
    </row>
    <row r="22" spans="1:20">
      <c r="A22" s="107" t="s">
        <v>7</v>
      </c>
      <c r="B22" s="102">
        <f>(B21*F1*G1)/E2</f>
        <v>0.21517700199619327</v>
      </c>
      <c r="C22" s="103"/>
      <c r="D22" s="104">
        <f>(D21*F1*G1)/E2</f>
        <v>0.13936993640035283</v>
      </c>
      <c r="E22" s="105"/>
      <c r="F22" s="104">
        <f>(F21*F1*G1)/E2</f>
        <v>9.4975423610788728E-2</v>
      </c>
      <c r="G22" s="106"/>
      <c r="H22" s="107" t="s">
        <v>7</v>
      </c>
      <c r="I22" s="102">
        <f>(I21*F1*G1)/E2</f>
        <v>0.22875458892344833</v>
      </c>
      <c r="J22" s="103"/>
      <c r="K22" s="104">
        <f>(K21*F1*G1)/E2</f>
        <v>0.15038226637574856</v>
      </c>
      <c r="L22" s="105"/>
      <c r="M22" s="104">
        <f>(M21*F1*G1)/E2</f>
        <v>0.10315852560233972</v>
      </c>
      <c r="N22" s="106"/>
      <c r="O22" s="107" t="s">
        <v>7</v>
      </c>
      <c r="P22" s="102">
        <f>(P21*F1*G1)/E2</f>
        <v>0.15002353651176825</v>
      </c>
      <c r="Q22" s="103"/>
      <c r="R22" s="104">
        <f>(R21*F1*G1)/E2</f>
        <v>0.10671875029014438</v>
      </c>
      <c r="S22" s="105"/>
      <c r="T22" s="104">
        <f>(T21*F1*G1)/E2</f>
        <v>6.9458223852188861E-2</v>
      </c>
    </row>
    <row r="23" spans="1:20">
      <c r="B23" s="93">
        <f>B21*I1*K1/60/60</f>
        <v>0.21675046683162386</v>
      </c>
      <c r="C23" s="30"/>
      <c r="D23" s="94">
        <f>D21*I1*K1/60/60</f>
        <v>0.14038906805479437</v>
      </c>
      <c r="E23" s="29"/>
      <c r="F23" s="94">
        <f>F21*I1*K1/60/60</f>
        <v>9.5669923896113562E-2</v>
      </c>
      <c r="H23" s="24"/>
      <c r="I23" s="93">
        <f>I21*I1*K1/60/60</f>
        <v>0.23042733879111671</v>
      </c>
      <c r="J23" s="30"/>
      <c r="K23" s="94">
        <f>K21*I1*K1/60/60</f>
        <v>0.15148192482353554</v>
      </c>
      <c r="L23" s="29"/>
      <c r="M23" s="94">
        <f>M21*I1*K1/60/60</f>
        <v>0.10391286417479097</v>
      </c>
      <c r="O23" s="24"/>
      <c r="P23" s="93">
        <f>P21*I1*K1/60/60</f>
        <v>0.15112057177575233</v>
      </c>
      <c r="Q23" s="30"/>
      <c r="R23" s="94">
        <f>R21*I1*K1/60/60</f>
        <v>0.1074991227244885</v>
      </c>
      <c r="S23" s="29"/>
      <c r="T23" s="94">
        <f>T21*I1*K1/60/60</f>
        <v>6.9966131629270054E-2</v>
      </c>
    </row>
    <row r="24" spans="1:20">
      <c r="B24" s="80" t="str">
        <f>B13</f>
        <v>Barlow</v>
      </c>
      <c r="C24" s="72">
        <f>B22/D22</f>
        <v>1.5439269583798743</v>
      </c>
      <c r="D24" s="30"/>
      <c r="E24" s="72">
        <f>B22/F22</f>
        <v>2.2656071835803875</v>
      </c>
      <c r="F24" s="29"/>
      <c r="H24" s="24"/>
      <c r="I24" s="80" t="str">
        <f>B13</f>
        <v>Barlow</v>
      </c>
      <c r="J24" s="72">
        <f>I22/K22</f>
        <v>1.5211540192636603</v>
      </c>
      <c r="K24" s="30"/>
      <c r="L24" s="72">
        <f>I22/M22</f>
        <v>2.2175054130306413</v>
      </c>
      <c r="M24" s="29"/>
      <c r="O24" s="24"/>
      <c r="P24" s="80" t="str">
        <f>I24</f>
        <v>Barlow</v>
      </c>
      <c r="Q24" s="72">
        <f>P22/R22</f>
        <v>1.405784232891482</v>
      </c>
      <c r="R24" s="30"/>
      <c r="S24" s="72">
        <f>P22/T22</f>
        <v>2.1599103488598708</v>
      </c>
      <c r="T24" s="29"/>
    </row>
  </sheetData>
  <mergeCells count="2">
    <mergeCell ref="E2:G2"/>
    <mergeCell ref="H2:L2"/>
  </mergeCells>
  <pageMargins left="0.7" right="0.7" top="0.75" bottom="0.75" header="0.3" footer="0.3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 (2)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2012-11-04T04:09:24Z</dcterms:modified>
</cp:coreProperties>
</file>