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80" yWindow="30" windowWidth="20730" windowHeight="11760" firstSheet="3" activeTab="3"/>
  </bookViews>
  <sheets>
    <sheet name="writing" sheetId="2" state="hidden" r:id="rId1"/>
    <sheet name="reading" sheetId="3" state="hidden" r:id="rId2"/>
    <sheet name="math" sheetId="4" state="hidden" r:id="rId3"/>
    <sheet name="proficiency goals" sheetId="5" r:id="rId4"/>
    <sheet name="growth goals" sheetId="7" r:id="rId5"/>
  </sheets>
  <calcPr calcId="145621"/>
</workbook>
</file>

<file path=xl/calcChain.xml><?xml version="1.0" encoding="utf-8"?>
<calcChain xmlns="http://schemas.openxmlformats.org/spreadsheetml/2006/main">
  <c r="S19" i="7" l="1"/>
  <c r="T19" i="7" s="1"/>
  <c r="R19" i="7"/>
  <c r="T13" i="7"/>
  <c r="R13" i="7"/>
  <c r="T12" i="7"/>
  <c r="R12" i="7"/>
  <c r="T10" i="7"/>
  <c r="R10" i="7"/>
  <c r="T9" i="7"/>
  <c r="R9" i="7"/>
  <c r="T8" i="7"/>
  <c r="R8" i="7"/>
  <c r="T7" i="7"/>
  <c r="R7" i="7"/>
  <c r="T6" i="7"/>
  <c r="R6" i="7"/>
  <c r="T24" i="7"/>
  <c r="R24" i="7"/>
  <c r="T23" i="7"/>
  <c r="R23" i="7"/>
  <c r="T22" i="7"/>
  <c r="R22" i="7"/>
  <c r="T21" i="7"/>
  <c r="R21" i="7"/>
  <c r="T20" i="7"/>
  <c r="R20" i="7"/>
  <c r="T18" i="7"/>
  <c r="R18" i="7"/>
  <c r="T17" i="7"/>
  <c r="R17" i="7"/>
  <c r="T35" i="7"/>
  <c r="R35" i="7"/>
  <c r="T34" i="7"/>
  <c r="R34" i="7"/>
  <c r="T33" i="7"/>
  <c r="R33" i="7"/>
  <c r="T32" i="7"/>
  <c r="R32" i="7"/>
  <c r="T31" i="7"/>
  <c r="R31" i="7"/>
  <c r="T29" i="7"/>
  <c r="R29" i="7"/>
  <c r="L13" i="7"/>
  <c r="M13" i="7" s="1"/>
  <c r="N13" i="7" s="1"/>
  <c r="O13" i="7" s="1"/>
  <c r="P13" i="7" s="1"/>
  <c r="L12" i="7"/>
  <c r="M12" i="7" s="1"/>
  <c r="N12" i="7" s="1"/>
  <c r="O12" i="7" s="1"/>
  <c r="P12" i="7" s="1"/>
  <c r="L10" i="7"/>
  <c r="M10" i="7" s="1"/>
  <c r="N10" i="7" s="1"/>
  <c r="O10" i="7" s="1"/>
  <c r="P10" i="7" s="1"/>
  <c r="L9" i="7"/>
  <c r="M9" i="7" s="1"/>
  <c r="N9" i="7" s="1"/>
  <c r="O9" i="7" s="1"/>
  <c r="L8" i="7"/>
  <c r="M8" i="7" s="1"/>
  <c r="N8" i="7" s="1"/>
  <c r="O8" i="7" s="1"/>
  <c r="P8" i="7" s="1"/>
  <c r="L7" i="7"/>
  <c r="M7" i="7" s="1"/>
  <c r="N7" i="7" s="1"/>
  <c r="O7" i="7" s="1"/>
  <c r="P7" i="7" s="1"/>
  <c r="L6" i="7"/>
  <c r="M6" i="7" s="1"/>
  <c r="N6" i="7" s="1"/>
  <c r="O6" i="7" s="1"/>
  <c r="L24" i="7"/>
  <c r="M24" i="7" s="1"/>
  <c r="N24" i="7" s="1"/>
  <c r="O24" i="7" s="1"/>
  <c r="P24" i="7" s="1"/>
  <c r="L23" i="7"/>
  <c r="M23" i="7" s="1"/>
  <c r="N23" i="7" s="1"/>
  <c r="O23" i="7" s="1"/>
  <c r="L21" i="7"/>
  <c r="M21" i="7" s="1"/>
  <c r="N21" i="7" s="1"/>
  <c r="O21" i="7" s="1"/>
  <c r="P21" i="7" s="1"/>
  <c r="L20" i="7"/>
  <c r="L18" i="7"/>
  <c r="M18" i="7" s="1"/>
  <c r="N18" i="7" s="1"/>
  <c r="O18" i="7" s="1"/>
  <c r="P18" i="7" s="1"/>
  <c r="L17" i="7"/>
  <c r="M17" i="7" s="1"/>
  <c r="N17" i="7" s="1"/>
  <c r="L35" i="7"/>
  <c r="M35" i="7" s="1"/>
  <c r="N35" i="7" s="1"/>
  <c r="O35" i="7" s="1"/>
  <c r="P35" i="7" s="1"/>
  <c r="L34" i="7"/>
  <c r="M34" i="7" s="1"/>
  <c r="N34" i="7" s="1"/>
  <c r="O34" i="7" s="1"/>
  <c r="P34" i="7" s="1"/>
  <c r="L33" i="7"/>
  <c r="M33" i="7" s="1"/>
  <c r="N33" i="7" s="1"/>
  <c r="O33" i="7" s="1"/>
  <c r="P33" i="7" s="1"/>
  <c r="L32" i="7"/>
  <c r="M32" i="7" s="1"/>
  <c r="N32" i="7" s="1"/>
  <c r="O32" i="7" s="1"/>
  <c r="P32" i="7" s="1"/>
  <c r="L31" i="7"/>
  <c r="M31" i="7" s="1"/>
  <c r="N31" i="7" s="1"/>
  <c r="O31" i="7" s="1"/>
  <c r="P31" i="7" s="1"/>
  <c r="L29" i="7"/>
  <c r="M29" i="7" s="1"/>
  <c r="N29" i="7" s="1"/>
  <c r="O29" i="7" s="1"/>
  <c r="P29" i="7" s="1"/>
  <c r="L28" i="7"/>
  <c r="M28" i="7" s="1"/>
  <c r="N28" i="7" s="1"/>
  <c r="O28" i="7" s="1"/>
  <c r="P28" i="7" s="1"/>
  <c r="R28" i="7"/>
  <c r="T28" i="7" s="1"/>
  <c r="L37" i="5"/>
  <c r="M37" i="5" s="1"/>
  <c r="N37" i="5" s="1"/>
  <c r="R24" i="5"/>
  <c r="S24" i="5" s="1"/>
  <c r="T24" i="5" s="1"/>
  <c r="L30" i="5"/>
  <c r="M30" i="5" s="1"/>
  <c r="N30" i="5" s="1"/>
  <c r="O30" i="5" s="1"/>
  <c r="P30" i="5" s="1"/>
  <c r="L26" i="5"/>
  <c r="M26" i="5" s="1"/>
  <c r="N26" i="5" s="1"/>
  <c r="O26" i="5" s="1"/>
  <c r="P26" i="5" s="1"/>
  <c r="L22" i="5"/>
  <c r="M22" i="5" s="1"/>
  <c r="N22" i="5" s="1"/>
  <c r="O22" i="5" s="1"/>
  <c r="P22" i="5" s="1"/>
  <c r="R20" i="5"/>
  <c r="S20" i="5" s="1"/>
  <c r="T20" i="5" s="1"/>
  <c r="L8" i="5"/>
  <c r="M8" i="5" s="1"/>
  <c r="N8" i="5" s="1"/>
  <c r="O8" i="5" s="1"/>
  <c r="P8" i="5" s="1"/>
  <c r="T8" i="5"/>
  <c r="R8" i="5"/>
  <c r="R6" i="5"/>
  <c r="S6" i="5" s="1"/>
  <c r="L10" i="5"/>
  <c r="M10" i="5" s="1"/>
  <c r="N10" i="5" s="1"/>
  <c r="O10" i="5" s="1"/>
  <c r="P10" i="5" s="1"/>
  <c r="L16" i="5"/>
  <c r="M16" i="5" s="1"/>
  <c r="N16" i="5" s="1"/>
  <c r="O16" i="5" s="1"/>
  <c r="P16" i="5" s="1"/>
  <c r="R16" i="5"/>
  <c r="T16" i="5" s="1"/>
  <c r="R44" i="5"/>
  <c r="S44" i="5" s="1"/>
  <c r="T44" i="5" s="1"/>
  <c r="R42" i="5"/>
  <c r="S42" i="5" s="1"/>
  <c r="R41" i="5"/>
  <c r="S41" i="5" s="1"/>
  <c r="T41" i="5" s="1"/>
  <c r="R40" i="5"/>
  <c r="S40" i="5" s="1"/>
  <c r="R38" i="5"/>
  <c r="S38" i="5" s="1"/>
  <c r="T38" i="5" s="1"/>
  <c r="R37" i="5"/>
  <c r="S37" i="5" s="1"/>
  <c r="T37" i="5" s="1"/>
  <c r="R36" i="5"/>
  <c r="S36" i="5" s="1"/>
  <c r="T36" i="5" s="1"/>
  <c r="R34" i="5"/>
  <c r="S34" i="5" s="1"/>
  <c r="R33" i="5"/>
  <c r="S33" i="5" s="1"/>
  <c r="T33" i="5" s="1"/>
  <c r="R30" i="5"/>
  <c r="T30" i="5" s="1"/>
  <c r="R29" i="5"/>
  <c r="S29" i="5" s="1"/>
  <c r="T29" i="5" s="1"/>
  <c r="R28" i="5"/>
  <c r="S28" i="5" s="1"/>
  <c r="R27" i="5"/>
  <c r="S27" i="5" s="1"/>
  <c r="T27" i="5" s="1"/>
  <c r="T26" i="5"/>
  <c r="R26" i="5"/>
  <c r="R23" i="5"/>
  <c r="S23" i="5" s="1"/>
  <c r="T23" i="5" s="1"/>
  <c r="R22" i="5"/>
  <c r="T22" i="5" s="1"/>
  <c r="R19" i="5"/>
  <c r="S19" i="5" s="1"/>
  <c r="T19" i="5" s="1"/>
  <c r="R14" i="5"/>
  <c r="S14" i="5" s="1"/>
  <c r="T14" i="5" s="1"/>
  <c r="R13" i="5"/>
  <c r="S13" i="5" s="1"/>
  <c r="T13" i="5" s="1"/>
  <c r="R12" i="5"/>
  <c r="S12" i="5" s="1"/>
  <c r="T12" i="5" s="1"/>
  <c r="L12" i="5"/>
  <c r="M12" i="5" s="1"/>
  <c r="N12" i="5" s="1"/>
  <c r="O12" i="5" s="1"/>
  <c r="P12" i="5" s="1"/>
  <c r="R10" i="5"/>
  <c r="R9" i="5"/>
  <c r="S9" i="5" s="1"/>
  <c r="T9" i="5" s="1"/>
  <c r="R7" i="5"/>
  <c r="S7" i="5" s="1"/>
  <c r="T7" i="5" s="1"/>
  <c r="T16" i="2"/>
  <c r="T10" i="2"/>
  <c r="T9" i="2"/>
  <c r="T8" i="2"/>
  <c r="N40" i="2"/>
  <c r="I40" i="2"/>
  <c r="D40" i="2"/>
  <c r="N39" i="2"/>
  <c r="I39" i="2"/>
  <c r="D39" i="2"/>
  <c r="N38" i="2"/>
  <c r="I38" i="2"/>
  <c r="T12" i="2" s="1"/>
  <c r="D38" i="2"/>
  <c r="N37" i="2"/>
  <c r="T15" i="2" s="1"/>
  <c r="I37" i="2"/>
  <c r="T11" i="2" s="1"/>
  <c r="D37" i="2"/>
  <c r="T7" i="2" s="1"/>
  <c r="N36" i="2"/>
  <c r="T14" i="2" s="1"/>
  <c r="I36" i="2"/>
  <c r="D36" i="2"/>
  <c r="T6" i="2" s="1"/>
  <c r="N35" i="2"/>
  <c r="T13" i="2" s="1"/>
  <c r="I35" i="2"/>
  <c r="D35" i="2"/>
  <c r="T5" i="2" s="1"/>
  <c r="T15" i="3"/>
  <c r="T14" i="3"/>
  <c r="T9" i="3"/>
  <c r="T8" i="3"/>
  <c r="T7" i="3"/>
  <c r="T5" i="3"/>
  <c r="M40" i="3"/>
  <c r="H40" i="3"/>
  <c r="T11" i="3" s="1"/>
  <c r="C40" i="3"/>
  <c r="M39" i="3"/>
  <c r="H39" i="3"/>
  <c r="C39" i="3"/>
  <c r="M38" i="3"/>
  <c r="T16" i="3" s="1"/>
  <c r="H38" i="3"/>
  <c r="T12" i="3" s="1"/>
  <c r="C38" i="3"/>
  <c r="M37" i="3"/>
  <c r="H37" i="3"/>
  <c r="C37" i="3"/>
  <c r="M36" i="3"/>
  <c r="H36" i="3"/>
  <c r="T10" i="3" s="1"/>
  <c r="C36" i="3"/>
  <c r="T6" i="3" s="1"/>
  <c r="M35" i="3"/>
  <c r="T13" i="3" s="1"/>
  <c r="H35" i="3"/>
  <c r="C35" i="3"/>
  <c r="U16" i="4"/>
  <c r="U15" i="4"/>
  <c r="U14" i="4"/>
  <c r="U13" i="4"/>
  <c r="U12" i="4"/>
  <c r="U11" i="4"/>
  <c r="U10" i="4"/>
  <c r="U9" i="4"/>
  <c r="U8" i="4"/>
  <c r="U7" i="4"/>
  <c r="U6" i="4"/>
  <c r="U5" i="4"/>
  <c r="N40" i="4"/>
  <c r="M40" i="4"/>
  <c r="L40" i="4"/>
  <c r="K40" i="4"/>
  <c r="J40" i="4"/>
  <c r="I40" i="4"/>
  <c r="N35" i="4"/>
  <c r="M35" i="4"/>
  <c r="L35" i="4"/>
  <c r="K35" i="4"/>
  <c r="J35" i="4"/>
  <c r="I35" i="4"/>
  <c r="N30" i="4"/>
  <c r="M30" i="4"/>
  <c r="L30" i="4"/>
  <c r="K30" i="4"/>
  <c r="J30" i="4"/>
  <c r="I30" i="4"/>
  <c r="T16" i="4"/>
  <c r="S16" i="4"/>
  <c r="R16" i="4"/>
  <c r="Q16" i="4"/>
  <c r="P16" i="4"/>
  <c r="O16" i="4"/>
  <c r="N16" i="4"/>
  <c r="T15" i="4"/>
  <c r="S15" i="4"/>
  <c r="R15" i="4"/>
  <c r="Q15" i="4"/>
  <c r="P15" i="4"/>
  <c r="O15" i="4"/>
  <c r="N15" i="4"/>
  <c r="T14" i="4"/>
  <c r="S14" i="4"/>
  <c r="R14" i="4"/>
  <c r="Q14" i="4"/>
  <c r="P14" i="4"/>
  <c r="O14" i="4"/>
  <c r="N14" i="4"/>
  <c r="T13" i="4"/>
  <c r="S13" i="4"/>
  <c r="R13" i="4"/>
  <c r="Q13" i="4"/>
  <c r="P13" i="4"/>
  <c r="O13" i="4"/>
  <c r="N13" i="4"/>
  <c r="T12" i="4"/>
  <c r="S12" i="4"/>
  <c r="R12" i="4"/>
  <c r="Q12" i="4"/>
  <c r="P12" i="4"/>
  <c r="O12" i="4"/>
  <c r="N12" i="4"/>
  <c r="T11" i="4"/>
  <c r="S11" i="4"/>
  <c r="R11" i="4"/>
  <c r="Q11" i="4"/>
  <c r="P11" i="4"/>
  <c r="O11" i="4"/>
  <c r="N11" i="4"/>
  <c r="T10" i="4"/>
  <c r="S10" i="4"/>
  <c r="R10" i="4"/>
  <c r="Q10" i="4"/>
  <c r="P10" i="4"/>
  <c r="O10" i="4"/>
  <c r="N10" i="4"/>
  <c r="T9" i="4"/>
  <c r="S9" i="4"/>
  <c r="R9" i="4"/>
  <c r="Q9" i="4"/>
  <c r="P9" i="4"/>
  <c r="O9" i="4"/>
  <c r="N9" i="4"/>
  <c r="T8" i="4"/>
  <c r="S8" i="4"/>
  <c r="R8" i="4"/>
  <c r="Q8" i="4"/>
  <c r="P8" i="4"/>
  <c r="O8" i="4"/>
  <c r="N8" i="4"/>
  <c r="T7" i="4"/>
  <c r="S7" i="4"/>
  <c r="R7" i="4"/>
  <c r="Q7" i="4"/>
  <c r="P7" i="4"/>
  <c r="O7" i="4"/>
  <c r="N7" i="4"/>
  <c r="T6" i="4"/>
  <c r="S6" i="4"/>
  <c r="R6" i="4"/>
  <c r="Q6" i="4"/>
  <c r="P6" i="4"/>
  <c r="O6" i="4"/>
  <c r="N6" i="4"/>
  <c r="T5" i="4"/>
  <c r="S5" i="4"/>
  <c r="R5" i="4"/>
  <c r="Q5" i="4"/>
  <c r="P5" i="4"/>
  <c r="O5" i="4"/>
  <c r="N5" i="4"/>
  <c r="S16" i="3"/>
  <c r="R16" i="3"/>
  <c r="Q16" i="3"/>
  <c r="P16" i="3"/>
  <c r="O16" i="3"/>
  <c r="N16" i="3"/>
  <c r="M16" i="3"/>
  <c r="S15" i="3"/>
  <c r="R15" i="3"/>
  <c r="Q15" i="3"/>
  <c r="P15" i="3"/>
  <c r="O15" i="3"/>
  <c r="N15" i="3"/>
  <c r="M15" i="3"/>
  <c r="S14" i="3"/>
  <c r="R14" i="3"/>
  <c r="Q14" i="3"/>
  <c r="P14" i="3"/>
  <c r="O14" i="3"/>
  <c r="N14" i="3"/>
  <c r="M14" i="3"/>
  <c r="S13" i="3"/>
  <c r="R13" i="3"/>
  <c r="Q13" i="3"/>
  <c r="P13" i="3"/>
  <c r="O13" i="3"/>
  <c r="N13" i="3"/>
  <c r="M13" i="3"/>
  <c r="S12" i="3"/>
  <c r="R12" i="3"/>
  <c r="Q12" i="3"/>
  <c r="P12" i="3"/>
  <c r="O12" i="3"/>
  <c r="N12" i="3"/>
  <c r="M12" i="3"/>
  <c r="S11" i="3"/>
  <c r="R11" i="3"/>
  <c r="Q11" i="3"/>
  <c r="P11" i="3"/>
  <c r="O11" i="3"/>
  <c r="N11" i="3"/>
  <c r="M11" i="3"/>
  <c r="S10" i="3"/>
  <c r="R10" i="3"/>
  <c r="Q10" i="3"/>
  <c r="P10" i="3"/>
  <c r="O10" i="3"/>
  <c r="N10" i="3"/>
  <c r="M10" i="3"/>
  <c r="S9" i="3"/>
  <c r="R9" i="3"/>
  <c r="Q9" i="3"/>
  <c r="P9" i="3"/>
  <c r="O9" i="3"/>
  <c r="N9" i="3"/>
  <c r="M9" i="3"/>
  <c r="S8" i="3"/>
  <c r="R8" i="3"/>
  <c r="Q8" i="3"/>
  <c r="P8" i="3"/>
  <c r="O8" i="3"/>
  <c r="N8" i="3"/>
  <c r="M8" i="3"/>
  <c r="S7" i="3"/>
  <c r="R7" i="3"/>
  <c r="Q7" i="3"/>
  <c r="P7" i="3"/>
  <c r="O7" i="3"/>
  <c r="N7" i="3"/>
  <c r="M7" i="3"/>
  <c r="S6" i="3"/>
  <c r="R6" i="3"/>
  <c r="Q6" i="3"/>
  <c r="P6" i="3"/>
  <c r="O6" i="3"/>
  <c r="N6" i="3"/>
  <c r="M6" i="3"/>
  <c r="S5" i="3"/>
  <c r="R5" i="3"/>
  <c r="Q5" i="3"/>
  <c r="P5" i="3"/>
  <c r="O5" i="3"/>
  <c r="N5" i="3"/>
  <c r="M5" i="3"/>
  <c r="S16" i="2"/>
  <c r="R16" i="2"/>
  <c r="Q16" i="2"/>
  <c r="P16" i="2"/>
  <c r="O16" i="2"/>
  <c r="N16" i="2"/>
  <c r="M16" i="2"/>
  <c r="S15" i="2"/>
  <c r="R15" i="2"/>
  <c r="Q15" i="2"/>
  <c r="P15" i="2"/>
  <c r="O15" i="2"/>
  <c r="N15" i="2"/>
  <c r="M15" i="2"/>
  <c r="S14" i="2"/>
  <c r="R14" i="2"/>
  <c r="Q14" i="2"/>
  <c r="P14" i="2"/>
  <c r="O14" i="2"/>
  <c r="N14" i="2"/>
  <c r="M14" i="2"/>
  <c r="S13" i="2"/>
  <c r="R13" i="2"/>
  <c r="Q13" i="2"/>
  <c r="P13" i="2"/>
  <c r="O13" i="2"/>
  <c r="N13" i="2"/>
  <c r="M13" i="2"/>
  <c r="S12" i="2"/>
  <c r="R12" i="2"/>
  <c r="Q12" i="2"/>
  <c r="P12" i="2"/>
  <c r="O12" i="2"/>
  <c r="N12" i="2"/>
  <c r="M12" i="2"/>
  <c r="S11" i="2"/>
  <c r="R11" i="2"/>
  <c r="Q11" i="2"/>
  <c r="P11" i="2"/>
  <c r="O11" i="2"/>
  <c r="N11" i="2"/>
  <c r="M11" i="2"/>
  <c r="S10" i="2"/>
  <c r="R10" i="2"/>
  <c r="Q10" i="2"/>
  <c r="P10" i="2"/>
  <c r="O10" i="2"/>
  <c r="N10" i="2"/>
  <c r="M10" i="2"/>
  <c r="S9" i="2"/>
  <c r="R9" i="2"/>
  <c r="Q9" i="2"/>
  <c r="P9" i="2"/>
  <c r="O9" i="2"/>
  <c r="N9" i="2"/>
  <c r="M9" i="2"/>
  <c r="S8" i="2"/>
  <c r="R8" i="2"/>
  <c r="Q8" i="2"/>
  <c r="P8" i="2"/>
  <c r="O8" i="2"/>
  <c r="N8" i="2"/>
  <c r="M8" i="2"/>
  <c r="S7" i="2"/>
  <c r="R7" i="2"/>
  <c r="Q7" i="2"/>
  <c r="P7" i="2"/>
  <c r="O7" i="2"/>
  <c r="N7" i="2"/>
  <c r="M7" i="2"/>
  <c r="S6" i="2"/>
  <c r="R6" i="2"/>
  <c r="Q6" i="2"/>
  <c r="P6" i="2"/>
  <c r="O6" i="2"/>
  <c r="N6" i="2"/>
  <c r="M6" i="2"/>
  <c r="S5" i="2"/>
  <c r="R5" i="2"/>
  <c r="Q5" i="2"/>
  <c r="P5" i="2"/>
  <c r="O5" i="2"/>
  <c r="N5" i="2"/>
  <c r="M5" i="2"/>
  <c r="L23" i="5" l="1"/>
  <c r="M23" i="5" s="1"/>
  <c r="N23" i="5" s="1"/>
  <c r="O23" i="5" s="1"/>
  <c r="P23" i="5" s="1"/>
  <c r="L19" i="7"/>
  <c r="M19" i="7" s="1"/>
  <c r="N19" i="7" s="1"/>
  <c r="O19" i="7" s="1"/>
  <c r="L41" i="5"/>
  <c r="M41" i="5" s="1"/>
  <c r="L14" i="5"/>
  <c r="M14" i="5" s="1"/>
  <c r="N14" i="5" s="1"/>
  <c r="O14" i="5" s="1"/>
  <c r="L27" i="5"/>
  <c r="M27" i="5" s="1"/>
  <c r="N27" i="5" s="1"/>
  <c r="L38" i="5"/>
  <c r="M38" i="5" s="1"/>
  <c r="N38" i="5" s="1"/>
  <c r="O38" i="5" s="1"/>
  <c r="P38" i="5" s="1"/>
  <c r="T28" i="5"/>
  <c r="L28" i="5"/>
  <c r="M28" i="5" s="1"/>
  <c r="N28" i="5" s="1"/>
  <c r="T40" i="5"/>
  <c r="L40" i="5"/>
  <c r="M40" i="5" s="1"/>
  <c r="N40" i="5" s="1"/>
  <c r="O40" i="5" s="1"/>
  <c r="P40" i="5" s="1"/>
  <c r="T34" i="5"/>
  <c r="L34" i="5"/>
  <c r="M34" i="5" s="1"/>
  <c r="T42" i="5"/>
  <c r="L42" i="5"/>
  <c r="M42" i="5" s="1"/>
  <c r="L9" i="5"/>
  <c r="M9" i="5" s="1"/>
  <c r="N9" i="5" s="1"/>
  <c r="O9" i="5" s="1"/>
  <c r="P9" i="5" s="1"/>
  <c r="L44" i="5"/>
  <c r="M44" i="5" s="1"/>
  <c r="N44" i="5" s="1"/>
  <c r="O44" i="5" s="1"/>
  <c r="L36" i="5"/>
  <c r="M36" i="5" s="1"/>
  <c r="N36" i="5" s="1"/>
  <c r="O36" i="5" s="1"/>
  <c r="P36" i="5" s="1"/>
  <c r="L33" i="5"/>
  <c r="L24" i="5"/>
  <c r="M24" i="5" s="1"/>
  <c r="N24" i="5" s="1"/>
  <c r="O24" i="5" s="1"/>
  <c r="P24" i="5" s="1"/>
  <c r="L20" i="5"/>
  <c r="T6" i="5"/>
  <c r="L6" i="5"/>
  <c r="M6" i="5" s="1"/>
  <c r="N6" i="5" s="1"/>
  <c r="O6" i="5" s="1"/>
  <c r="P6" i="5" s="1"/>
  <c r="T10" i="5"/>
</calcChain>
</file>

<file path=xl/sharedStrings.xml><?xml version="1.0" encoding="utf-8"?>
<sst xmlns="http://schemas.openxmlformats.org/spreadsheetml/2006/main" count="393" uniqueCount="63">
  <si>
    <t>1</t>
  </si>
  <si>
    <t>2</t>
  </si>
  <si>
    <t>3</t>
  </si>
  <si>
    <t>4</t>
  </si>
  <si>
    <t>5</t>
  </si>
  <si>
    <t>Total</t>
  </si>
  <si>
    <t>Count</t>
  </si>
  <si>
    <t>Year</t>
  </si>
  <si>
    <t>2005</t>
  </si>
  <si>
    <t>2006</t>
  </si>
  <si>
    <t>2007</t>
  </si>
  <si>
    <t>2008</t>
  </si>
  <si>
    <t>2009</t>
  </si>
  <si>
    <t>2010</t>
  </si>
  <si>
    <t>2011</t>
  </si>
  <si>
    <t>E</t>
  </si>
  <si>
    <t>H</t>
  </si>
  <si>
    <t>M</t>
  </si>
  <si>
    <t>Unsatisfactory</t>
  </si>
  <si>
    <t>Partially Proficient</t>
  </si>
  <si>
    <t>Proficient</t>
  </si>
  <si>
    <t>Advanced</t>
  </si>
  <si>
    <t>Elementary</t>
  </si>
  <si>
    <t>Middle</t>
  </si>
  <si>
    <t>High</t>
  </si>
  <si>
    <t>2005.00</t>
  </si>
  <si>
    <t>2006.00</t>
  </si>
  <si>
    <t>2007.00</t>
  </si>
  <si>
    <t>2008.00</t>
  </si>
  <si>
    <t>2009.00</t>
  </si>
  <si>
    <t>2010.00</t>
  </si>
  <si>
    <t>2011.00</t>
  </si>
  <si>
    <t>2004.00</t>
  </si>
  <si>
    <t>MPL_12</t>
  </si>
  <si>
    <t>gifted_12</t>
  </si>
  <si>
    <t>0</t>
  </si>
  <si>
    <t>elem</t>
  </si>
  <si>
    <t>high</t>
  </si>
  <si>
    <t>middle</t>
  </si>
  <si>
    <t>Elem</t>
  </si>
  <si>
    <t>RPL_12</t>
  </si>
  <si>
    <t>Writing</t>
  </si>
  <si>
    <t>Reading</t>
  </si>
  <si>
    <t>Math</t>
  </si>
  <si>
    <t>Actual</t>
  </si>
  <si>
    <t>Goal</t>
  </si>
  <si>
    <t>WPL_12</t>
  </si>
  <si>
    <t>Change</t>
  </si>
  <si>
    <t>Changex3</t>
  </si>
  <si>
    <t>Target</t>
  </si>
  <si>
    <t>Notes</t>
  </si>
  <si>
    <t>Current score mine .1%</t>
  </si>
  <si>
    <t>3x historical decline rate</t>
  </si>
  <si>
    <t>current score +3%</t>
  </si>
  <si>
    <t>current score minus 3%</t>
  </si>
  <si>
    <t>3% increase from current score</t>
  </si>
  <si>
    <t>zero</t>
  </si>
  <si>
    <t>3x historical growth rate</t>
  </si>
  <si>
    <t>historical decline</t>
  </si>
  <si>
    <t>Percent Catchup</t>
  </si>
  <si>
    <t>Percent Keepup</t>
  </si>
  <si>
    <t>Percent Moveup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</si>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</sst>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##0"/>
    <numFmt numFmtId="165" formatCode="####.0%"/>
    <numFmt numFmtId="166" formatCode="0.0%"/>
    <numFmt numFmtId="167" formatCode="0.000"/>
    <numFmt numFmtId="168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indexed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31">
    <xf numFmtId="0" fontId="0" fillId="0" borderId="0" xfId="0"/>
    <xf numFmtId="0" fontId="2" fillId="0" borderId="0" xfId="0" applyFont="1"/>
    <xf numFmtId="165" fontId="0" fillId="0" borderId="0" xfId="0" applyNumberFormat="1"/>
    <xf numFmtId="0" fontId="4" fillId="0" borderId="3" xfId="4" applyFont="1" applyBorder="1" applyAlignment="1">
      <alignment horizontal="center"/>
    </xf>
    <xf numFmtId="0" fontId="4" fillId="0" borderId="5" xfId="4" applyFont="1" applyBorder="1" applyAlignment="1">
      <alignment horizontal="center" wrapText="1"/>
    </xf>
    <xf numFmtId="0" fontId="4" fillId="0" borderId="0" xfId="4" applyFont="1" applyBorder="1" applyAlignment="1">
      <alignment horizontal="left" vertical="top"/>
    </xf>
    <xf numFmtId="164" fontId="4" fillId="0" borderId="0" xfId="4" applyNumberFormat="1" applyFont="1" applyBorder="1" applyAlignment="1">
      <alignment horizontal="right" vertical="top"/>
    </xf>
    <xf numFmtId="0" fontId="4" fillId="0" borderId="0" xfId="4" applyFont="1" applyBorder="1" applyAlignment="1">
      <alignment horizontal="left" vertical="top" wrapText="1"/>
    </xf>
    <xf numFmtId="0" fontId="4" fillId="0" borderId="7" xfId="4" applyFont="1" applyBorder="1" applyAlignment="1">
      <alignment horizontal="left" vertical="top" wrapText="1"/>
    </xf>
    <xf numFmtId="164" fontId="4" fillId="0" borderId="7" xfId="4" applyNumberFormat="1" applyFont="1" applyBorder="1" applyAlignment="1">
      <alignment horizontal="right" vertical="top"/>
    </xf>
    <xf numFmtId="0" fontId="4" fillId="0" borderId="3" xfId="5" applyFont="1" applyBorder="1" applyAlignment="1">
      <alignment horizontal="center"/>
    </xf>
    <xf numFmtId="0" fontId="4" fillId="0" borderId="5" xfId="5" applyFont="1" applyBorder="1" applyAlignment="1">
      <alignment horizontal="center" wrapText="1"/>
    </xf>
    <xf numFmtId="0" fontId="4" fillId="0" borderId="0" xfId="5" applyFont="1" applyBorder="1" applyAlignment="1">
      <alignment horizontal="left" vertical="top"/>
    </xf>
    <xf numFmtId="164" fontId="4" fillId="0" borderId="0" xfId="5" applyNumberFormat="1" applyFont="1" applyBorder="1" applyAlignment="1">
      <alignment horizontal="right" vertical="top"/>
    </xf>
    <xf numFmtId="0" fontId="4" fillId="0" borderId="0" xfId="5" applyFont="1" applyBorder="1" applyAlignment="1">
      <alignment horizontal="left" vertical="top" wrapText="1"/>
    </xf>
    <xf numFmtId="0" fontId="4" fillId="0" borderId="7" xfId="5" applyFont="1" applyBorder="1" applyAlignment="1">
      <alignment horizontal="left" vertical="top" wrapText="1"/>
    </xf>
    <xf numFmtId="164" fontId="4" fillId="0" borderId="7" xfId="5" applyNumberFormat="1" applyFont="1" applyBorder="1" applyAlignment="1">
      <alignment horizontal="right" vertical="top"/>
    </xf>
    <xf numFmtId="0" fontId="5" fillId="0" borderId="0" xfId="6"/>
    <xf numFmtId="0" fontId="4" fillId="0" borderId="3" xfId="6" applyFont="1" applyBorder="1" applyAlignment="1">
      <alignment horizontal="center"/>
    </xf>
    <xf numFmtId="0" fontId="4" fillId="0" borderId="5" xfId="6" applyFont="1" applyBorder="1" applyAlignment="1">
      <alignment horizontal="center" wrapText="1"/>
    </xf>
    <xf numFmtId="0" fontId="4" fillId="0" borderId="0" xfId="6" applyFont="1" applyBorder="1" applyAlignment="1">
      <alignment horizontal="left" vertical="top"/>
    </xf>
    <xf numFmtId="164" fontId="4" fillId="0" borderId="0" xfId="6" applyNumberFormat="1" applyFont="1" applyBorder="1" applyAlignment="1">
      <alignment horizontal="right" vertical="top"/>
    </xf>
    <xf numFmtId="0" fontId="4" fillId="0" borderId="0" xfId="6" applyFont="1" applyBorder="1" applyAlignment="1">
      <alignment horizontal="left" vertical="top" wrapText="1"/>
    </xf>
    <xf numFmtId="0" fontId="4" fillId="0" borderId="7" xfId="6" applyFont="1" applyBorder="1" applyAlignment="1">
      <alignment horizontal="left" vertical="top" wrapText="1"/>
    </xf>
    <xf numFmtId="164" fontId="4" fillId="0" borderId="7" xfId="6" applyNumberFormat="1" applyFont="1" applyBorder="1" applyAlignment="1">
      <alignment horizontal="right" vertical="top"/>
    </xf>
    <xf numFmtId="0" fontId="4" fillId="0" borderId="3" xfId="6" applyFont="1" applyBorder="1" applyAlignment="1">
      <alignment horizontal="center" wrapText="1"/>
    </xf>
    <xf numFmtId="0" fontId="4" fillId="0" borderId="7" xfId="6" applyFont="1" applyBorder="1" applyAlignment="1">
      <alignment horizontal="left" vertical="top"/>
    </xf>
    <xf numFmtId="0" fontId="4" fillId="0" borderId="1" xfId="6" applyFont="1" applyBorder="1" applyAlignment="1">
      <alignment wrapText="1"/>
    </xf>
    <xf numFmtId="0" fontId="4" fillId="0" borderId="0" xfId="6" applyFont="1" applyBorder="1" applyAlignment="1">
      <alignment wrapText="1"/>
    </xf>
    <xf numFmtId="0" fontId="4" fillId="0" borderId="4" xfId="6" applyFont="1" applyBorder="1" applyAlignment="1">
      <alignment wrapText="1"/>
    </xf>
    <xf numFmtId="164" fontId="5" fillId="0" borderId="0" xfId="6" applyNumberFormat="1"/>
    <xf numFmtId="0" fontId="4" fillId="0" borderId="3" xfId="3" applyFont="1" applyBorder="1" applyAlignment="1">
      <alignment horizontal="center"/>
    </xf>
    <xf numFmtId="0" fontId="4" fillId="0" borderId="5" xfId="3" applyFont="1" applyBorder="1" applyAlignment="1">
      <alignment horizontal="center" wrapText="1"/>
    </xf>
    <xf numFmtId="0" fontId="4" fillId="0" borderId="6" xfId="3" applyFont="1" applyBorder="1" applyAlignment="1">
      <alignment horizontal="left" vertical="top"/>
    </xf>
    <xf numFmtId="164" fontId="4" fillId="0" borderId="6" xfId="3" applyNumberFormat="1" applyFont="1" applyBorder="1" applyAlignment="1">
      <alignment horizontal="right" vertical="top"/>
    </xf>
    <xf numFmtId="0" fontId="4" fillId="0" borderId="0" xfId="3" applyFont="1" applyBorder="1" applyAlignment="1">
      <alignment horizontal="left" vertical="top"/>
    </xf>
    <xf numFmtId="164" fontId="4" fillId="0" borderId="0" xfId="3" applyNumberFormat="1" applyFont="1" applyBorder="1" applyAlignment="1">
      <alignment horizontal="right" vertical="top"/>
    </xf>
    <xf numFmtId="0" fontId="4" fillId="0" borderId="7" xfId="3" applyFont="1" applyBorder="1" applyAlignment="1">
      <alignment horizontal="left" vertical="top"/>
    </xf>
    <xf numFmtId="164" fontId="4" fillId="0" borderId="7" xfId="3" applyNumberFormat="1" applyFont="1" applyBorder="1" applyAlignment="1">
      <alignment horizontal="right" vertical="top"/>
    </xf>
    <xf numFmtId="164" fontId="0" fillId="0" borderId="0" xfId="0" applyNumberFormat="1"/>
    <xf numFmtId="0" fontId="2" fillId="0" borderId="0" xfId="0" applyFont="1" applyBorder="1"/>
    <xf numFmtId="165" fontId="0" fillId="0" borderId="0" xfId="0" applyNumberFormat="1" applyBorder="1"/>
    <xf numFmtId="0" fontId="2" fillId="0" borderId="8" xfId="0" applyFont="1" applyBorder="1"/>
    <xf numFmtId="165" fontId="0" fillId="0" borderId="8" xfId="0" applyNumberFormat="1" applyBorder="1"/>
    <xf numFmtId="0" fontId="2" fillId="0" borderId="9" xfId="0" applyFont="1" applyBorder="1"/>
    <xf numFmtId="165" fontId="0" fillId="0" borderId="9" xfId="0" applyNumberFormat="1" applyBorder="1"/>
    <xf numFmtId="165" fontId="0" fillId="0" borderId="0" xfId="0" applyNumberFormat="1" applyFill="1" applyBorder="1"/>
    <xf numFmtId="0" fontId="2" fillId="0" borderId="0" xfId="0" applyFont="1" applyBorder="1" applyAlignment="1">
      <alignment horizontal="center"/>
    </xf>
    <xf numFmtId="0" fontId="4" fillId="0" borderId="3" xfId="7" applyFont="1" applyBorder="1" applyAlignment="1">
      <alignment horizontal="center"/>
    </xf>
    <xf numFmtId="0" fontId="4" fillId="0" borderId="5" xfId="7" applyFont="1" applyBorder="1" applyAlignment="1">
      <alignment horizontal="center" wrapText="1"/>
    </xf>
    <xf numFmtId="0" fontId="4" fillId="0" borderId="6" xfId="7" applyFont="1" applyBorder="1" applyAlignment="1">
      <alignment horizontal="left" vertical="top"/>
    </xf>
    <xf numFmtId="164" fontId="4" fillId="0" borderId="6" xfId="7" applyNumberFormat="1" applyFont="1" applyBorder="1" applyAlignment="1">
      <alignment horizontal="right" vertical="top"/>
    </xf>
    <xf numFmtId="0" fontId="4" fillId="0" borderId="0" xfId="7" applyFont="1" applyBorder="1" applyAlignment="1">
      <alignment horizontal="left" vertical="top"/>
    </xf>
    <xf numFmtId="164" fontId="4" fillId="0" borderId="0" xfId="7" applyNumberFormat="1" applyFont="1" applyBorder="1" applyAlignment="1">
      <alignment horizontal="right" vertical="top"/>
    </xf>
    <xf numFmtId="0" fontId="4" fillId="0" borderId="7" xfId="7" applyFont="1" applyBorder="1" applyAlignment="1">
      <alignment horizontal="left" vertical="top"/>
    </xf>
    <xf numFmtId="164" fontId="4" fillId="0" borderId="7" xfId="7" applyNumberFormat="1" applyFont="1" applyBorder="1" applyAlignment="1">
      <alignment horizontal="right" vertical="top"/>
    </xf>
    <xf numFmtId="166" fontId="0" fillId="0" borderId="0" xfId="2" applyNumberFormat="1" applyFont="1"/>
    <xf numFmtId="165" fontId="0" fillId="3" borderId="0" xfId="0" applyNumberFormat="1" applyFill="1" applyBorder="1"/>
    <xf numFmtId="0" fontId="0" fillId="3" borderId="0" xfId="0" applyFill="1"/>
    <xf numFmtId="10" fontId="0" fillId="0" borderId="0" xfId="2" applyNumberFormat="1" applyFont="1"/>
    <xf numFmtId="165" fontId="0" fillId="0" borderId="9" xfId="0" applyNumberFormat="1" applyFill="1" applyBorder="1"/>
    <xf numFmtId="0" fontId="0" fillId="3" borderId="0" xfId="0" applyFill="1" applyBorder="1"/>
    <xf numFmtId="165" fontId="0" fillId="0" borderId="8" xfId="0" applyNumberFormat="1" applyFill="1" applyBorder="1"/>
    <xf numFmtId="168" fontId="0" fillId="0" borderId="0" xfId="0" applyNumberFormat="1"/>
    <xf numFmtId="168" fontId="0" fillId="0" borderId="0" xfId="0" applyNumberFormat="1" applyBorder="1"/>
    <xf numFmtId="168" fontId="0" fillId="0" borderId="8" xfId="0" applyNumberFormat="1" applyBorder="1"/>
    <xf numFmtId="168" fontId="0" fillId="0" borderId="9" xfId="0" applyNumberFormat="1" applyBorder="1"/>
    <xf numFmtId="167" fontId="0" fillId="0" borderId="0" xfId="0" applyNumberFormat="1" applyBorder="1"/>
    <xf numFmtId="167" fontId="0" fillId="0" borderId="8" xfId="0" applyNumberFormat="1" applyBorder="1"/>
    <xf numFmtId="167" fontId="0" fillId="0" borderId="9" xfId="0" applyNumberFormat="1" applyBorder="1"/>
    <xf numFmtId="0" fontId="0" fillId="0" borderId="0" xfId="0" applyFill="1"/>
    <xf numFmtId="43" fontId="0" fillId="0" borderId="0" xfId="1" applyFont="1"/>
    <xf numFmtId="0" fontId="2" fillId="0" borderId="10" xfId="0" applyFont="1" applyBorder="1"/>
    <xf numFmtId="168" fontId="0" fillId="0" borderId="11" xfId="0" applyNumberFormat="1" applyBorder="1"/>
    <xf numFmtId="168" fontId="0" fillId="0" borderId="12" xfId="0" applyNumberFormat="1" applyBorder="1"/>
    <xf numFmtId="168" fontId="0" fillId="0" borderId="10" xfId="0" applyNumberFormat="1" applyBorder="1"/>
    <xf numFmtId="0" fontId="2" fillId="0" borderId="11" xfId="0" applyFont="1" applyBorder="1"/>
    <xf numFmtId="0" fontId="2" fillId="0" borderId="12" xfId="0" applyFont="1" applyBorder="1"/>
    <xf numFmtId="165" fontId="0" fillId="0" borderId="11" xfId="0" applyNumberFormat="1" applyFill="1" applyBorder="1"/>
    <xf numFmtId="165" fontId="0" fillId="3" borderId="11" xfId="0" applyNumberFormat="1" applyFill="1" applyBorder="1"/>
    <xf numFmtId="165" fontId="0" fillId="0" borderId="12" xfId="0" applyNumberFormat="1" applyFill="1" applyBorder="1"/>
    <xf numFmtId="0" fontId="0" fillId="3" borderId="11" xfId="0" applyFill="1" applyBorder="1"/>
    <xf numFmtId="165" fontId="0" fillId="0" borderId="11" xfId="0" applyNumberFormat="1" applyBorder="1"/>
    <xf numFmtId="165" fontId="0" fillId="0" borderId="10" xfId="0" applyNumberFormat="1" applyFill="1" applyBorder="1"/>
    <xf numFmtId="0" fontId="4" fillId="0" borderId="1" xfId="7" applyFont="1" applyBorder="1" applyAlignment="1">
      <alignment horizontal="left" wrapText="1"/>
    </xf>
    <xf numFmtId="0" fontId="4" fillId="0" borderId="0" xfId="7" applyFont="1" applyBorder="1" applyAlignment="1">
      <alignment horizontal="left" wrapText="1"/>
    </xf>
    <xf numFmtId="0" fontId="4" fillId="0" borderId="4" xfId="7" applyFont="1" applyBorder="1" applyAlignment="1">
      <alignment horizontal="left" wrapText="1"/>
    </xf>
    <xf numFmtId="0" fontId="4" fillId="0" borderId="2" xfId="7" applyFont="1" applyBorder="1" applyAlignment="1">
      <alignment horizontal="center" wrapText="1"/>
    </xf>
    <xf numFmtId="0" fontId="4" fillId="0" borderId="3" xfId="7" applyFont="1" applyBorder="1" applyAlignment="1">
      <alignment horizontal="center" wrapText="1"/>
    </xf>
    <xf numFmtId="0" fontId="4" fillId="0" borderId="6" xfId="7" applyFont="1" applyBorder="1" applyAlignment="1">
      <alignment horizontal="left" vertical="top" wrapText="1"/>
    </xf>
    <xf numFmtId="0" fontId="4" fillId="0" borderId="0" xfId="7" applyFont="1" applyBorder="1" applyAlignment="1">
      <alignment horizontal="left" vertical="top" wrapText="1"/>
    </xf>
    <xf numFmtId="0" fontId="4" fillId="0" borderId="7" xfId="7" applyFont="1" applyBorder="1" applyAlignment="1">
      <alignment horizontal="left" vertical="top" wrapText="1"/>
    </xf>
    <xf numFmtId="0" fontId="4" fillId="0" borderId="0" xfId="4" applyFont="1" applyBorder="1" applyAlignment="1">
      <alignment horizontal="left" vertical="top" wrapText="1"/>
    </xf>
    <xf numFmtId="0" fontId="4" fillId="0" borderId="7" xfId="4" applyFont="1" applyBorder="1" applyAlignment="1">
      <alignment horizontal="left" vertical="top" wrapText="1"/>
    </xf>
    <xf numFmtId="0" fontId="4" fillId="0" borderId="1" xfId="4" applyFont="1" applyBorder="1" applyAlignment="1">
      <alignment horizontal="left" wrapText="1"/>
    </xf>
    <xf numFmtId="0" fontId="4" fillId="0" borderId="0" xfId="4" applyFont="1" applyBorder="1" applyAlignment="1">
      <alignment horizontal="left" wrapText="1"/>
    </xf>
    <xf numFmtId="0" fontId="4" fillId="0" borderId="4" xfId="4" applyFont="1" applyBorder="1" applyAlignment="1">
      <alignment horizontal="left" wrapText="1"/>
    </xf>
    <xf numFmtId="0" fontId="4" fillId="0" borderId="2" xfId="4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4" fillId="0" borderId="3" xfId="3" applyFont="1" applyBorder="1" applyAlignment="1">
      <alignment horizontal="center" wrapText="1"/>
    </xf>
    <xf numFmtId="0" fontId="4" fillId="0" borderId="6" xfId="3" applyFont="1" applyBorder="1" applyAlignment="1">
      <alignment horizontal="left" vertical="top" wrapText="1"/>
    </xf>
    <xf numFmtId="0" fontId="4" fillId="0" borderId="0" xfId="3" applyFont="1" applyBorder="1" applyAlignment="1">
      <alignment horizontal="left" vertical="top" wrapText="1"/>
    </xf>
    <xf numFmtId="0" fontId="4" fillId="0" borderId="7" xfId="3" applyFont="1" applyBorder="1" applyAlignment="1">
      <alignment horizontal="left" vertical="top" wrapText="1"/>
    </xf>
    <xf numFmtId="0" fontId="4" fillId="0" borderId="0" xfId="5" applyFont="1" applyBorder="1" applyAlignment="1">
      <alignment horizontal="left" vertical="top" wrapText="1"/>
    </xf>
    <xf numFmtId="0" fontId="4" fillId="0" borderId="7" xfId="5" applyFont="1" applyBorder="1" applyAlignment="1">
      <alignment horizontal="left" vertical="top" wrapText="1"/>
    </xf>
    <xf numFmtId="0" fontId="4" fillId="0" borderId="1" xfId="3" applyFont="1" applyBorder="1" applyAlignment="1">
      <alignment horizontal="left" wrapText="1"/>
    </xf>
    <xf numFmtId="0" fontId="4" fillId="0" borderId="0" xfId="3" applyFont="1" applyBorder="1" applyAlignment="1">
      <alignment horizontal="left" wrapText="1"/>
    </xf>
    <xf numFmtId="0" fontId="4" fillId="0" borderId="4" xfId="3" applyFont="1" applyBorder="1" applyAlignment="1">
      <alignment horizontal="left" wrapText="1"/>
    </xf>
    <xf numFmtId="0" fontId="4" fillId="0" borderId="2" xfId="3" applyFont="1" applyBorder="1" applyAlignment="1">
      <alignment horizontal="center" wrapText="1"/>
    </xf>
    <xf numFmtId="0" fontId="4" fillId="0" borderId="1" xfId="5" applyFont="1" applyBorder="1" applyAlignment="1">
      <alignment horizontal="left" wrapText="1"/>
    </xf>
    <xf numFmtId="0" fontId="4" fillId="0" borderId="0" xfId="5" applyFont="1" applyBorder="1" applyAlignment="1">
      <alignment horizontal="left" wrapText="1"/>
    </xf>
    <xf numFmtId="0" fontId="4" fillId="0" borderId="4" xfId="5" applyFont="1" applyBorder="1" applyAlignment="1">
      <alignment horizontal="left" wrapText="1"/>
    </xf>
    <xf numFmtId="0" fontId="4" fillId="0" borderId="2" xfId="5" applyFont="1" applyBorder="1" applyAlignment="1">
      <alignment horizontal="center" wrapText="1"/>
    </xf>
    <xf numFmtId="0" fontId="4" fillId="0" borderId="0" xfId="6" applyFont="1" applyBorder="1" applyAlignment="1">
      <alignment horizontal="left" vertical="top" wrapText="1"/>
    </xf>
    <xf numFmtId="0" fontId="4" fillId="0" borderId="7" xfId="6" applyFont="1" applyBorder="1" applyAlignment="1">
      <alignment horizontal="left" vertical="top" wrapText="1"/>
    </xf>
    <xf numFmtId="0" fontId="4" fillId="0" borderId="2" xfId="6" applyFont="1" applyBorder="1" applyAlignment="1">
      <alignment horizontal="center" wrapText="1"/>
    </xf>
    <xf numFmtId="0" fontId="4" fillId="0" borderId="1" xfId="6" applyFont="1" applyBorder="1" applyAlignment="1">
      <alignment horizontal="left" wrapText="1"/>
    </xf>
    <xf numFmtId="0" fontId="4" fillId="0" borderId="0" xfId="6" applyFont="1" applyBorder="1" applyAlignment="1">
      <alignment horizontal="left" wrapText="1"/>
    </xf>
    <xf numFmtId="0" fontId="4" fillId="0" borderId="4" xfId="6" applyFont="1" applyBorder="1" applyAlignment="1">
      <alignment horizontal="left" wrapText="1"/>
    </xf>
    <xf numFmtId="0" fontId="0" fillId="0" borderId="0" xfId="0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8">
    <cellStyle name="Comma" xfId="1" builtinId="3"/>
    <cellStyle name="Normal" xfId="0" builtinId="0"/>
    <cellStyle name="Normal_math" xfId="6"/>
    <cellStyle name="Normal_readin" xfId="5"/>
    <cellStyle name="Normal_Sheet1" xfId="3"/>
    <cellStyle name="Normal_Sheet3" xfId="7"/>
    <cellStyle name="Normal_WR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CDE">
      <a:dk1>
        <a:srgbClr val="000000"/>
      </a:dk1>
      <a:lt1>
        <a:sysClr val="window" lastClr="FFFFFF"/>
      </a:lt1>
      <a:dk2>
        <a:srgbClr val="785F55"/>
      </a:dk2>
      <a:lt2>
        <a:srgbClr val="EFE7D5"/>
      </a:lt2>
      <a:accent1>
        <a:srgbClr val="95B6D2"/>
      </a:accent1>
      <a:accent2>
        <a:srgbClr val="FAAB67"/>
      </a:accent2>
      <a:accent3>
        <a:srgbClr val="ABC178"/>
      </a:accent3>
      <a:accent4>
        <a:srgbClr val="71769D"/>
      </a:accent4>
      <a:accent5>
        <a:srgbClr val="7BA79D"/>
      </a:accent5>
      <a:accent6>
        <a:srgbClr val="8C8C96"/>
      </a:accent6>
      <a:hlink>
        <a:srgbClr val="DD8047"/>
      </a:hlink>
      <a:folHlink>
        <a:srgbClr val="18375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workbookViewId="0">
      <selection activeCell="M5" sqref="M5:T16"/>
    </sheetView>
  </sheetViews>
  <sheetFormatPr defaultRowHeight="15" x14ac:dyDescent="0.25"/>
  <cols>
    <col min="12" max="12" width="17.7109375" bestFit="1" customWidth="1"/>
    <col min="13" max="13" width="6.140625" bestFit="1" customWidth="1"/>
  </cols>
  <sheetData>
    <row r="1" spans="1:20" ht="15.75" thickTop="1" x14ac:dyDescent="0.25">
      <c r="A1" s="94"/>
      <c r="B1" s="94"/>
      <c r="C1" s="97" t="s">
        <v>7</v>
      </c>
      <c r="D1" s="97"/>
      <c r="E1" s="97"/>
      <c r="F1" s="97"/>
      <c r="G1" s="97"/>
      <c r="H1" s="97"/>
      <c r="I1" s="97"/>
    </row>
    <row r="2" spans="1:20" x14ac:dyDescent="0.25">
      <c r="A2" s="95"/>
      <c r="B2" s="95"/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</row>
    <row r="3" spans="1:20" ht="15.75" thickBot="1" x14ac:dyDescent="0.3">
      <c r="A3" s="96"/>
      <c r="B3" s="96"/>
      <c r="C3" s="4" t="s">
        <v>6</v>
      </c>
      <c r="D3" s="4" t="s">
        <v>6</v>
      </c>
      <c r="E3" s="4" t="s">
        <v>6</v>
      </c>
      <c r="F3" s="4" t="s">
        <v>6</v>
      </c>
      <c r="G3" s="4" t="s">
        <v>6</v>
      </c>
      <c r="H3" s="4" t="s">
        <v>6</v>
      </c>
      <c r="I3" s="4" t="s">
        <v>6</v>
      </c>
    </row>
    <row r="4" spans="1:20" ht="15.75" thickTop="1" x14ac:dyDescent="0.25">
      <c r="A4" s="92" t="s">
        <v>15</v>
      </c>
      <c r="B4" s="5" t="s">
        <v>0</v>
      </c>
      <c r="C4" s="6">
        <v>56</v>
      </c>
      <c r="D4" s="6">
        <v>40</v>
      </c>
      <c r="E4" s="6">
        <v>52</v>
      </c>
      <c r="F4" s="6">
        <v>43</v>
      </c>
      <c r="G4" s="6">
        <v>18</v>
      </c>
      <c r="H4" s="6">
        <v>19</v>
      </c>
      <c r="I4" s="6">
        <v>16</v>
      </c>
      <c r="K4" s="1"/>
      <c r="L4" s="1"/>
      <c r="M4" s="1">
        <v>2005</v>
      </c>
      <c r="N4" s="1">
        <v>2006</v>
      </c>
      <c r="O4" s="1">
        <v>2007</v>
      </c>
      <c r="P4" s="1">
        <v>2008</v>
      </c>
      <c r="Q4" s="1">
        <v>2009</v>
      </c>
      <c r="R4" s="1">
        <v>2010</v>
      </c>
      <c r="S4" s="1">
        <v>2011</v>
      </c>
      <c r="T4" s="1">
        <v>2012</v>
      </c>
    </row>
    <row r="5" spans="1:20" x14ac:dyDescent="0.25">
      <c r="A5" s="92"/>
      <c r="B5" s="5" t="s">
        <v>1</v>
      </c>
      <c r="C5" s="6">
        <v>1336</v>
      </c>
      <c r="D5" s="6">
        <v>857</v>
      </c>
      <c r="E5" s="6">
        <v>1324</v>
      </c>
      <c r="F5" s="6">
        <v>1144</v>
      </c>
      <c r="G5" s="6">
        <v>860</v>
      </c>
      <c r="H5" s="6">
        <v>738</v>
      </c>
      <c r="I5" s="6">
        <v>952</v>
      </c>
      <c r="K5" s="98" t="s">
        <v>22</v>
      </c>
      <c r="L5" s="1" t="s">
        <v>18</v>
      </c>
      <c r="M5" s="2">
        <f t="shared" ref="M5:S8" si="0">C4/C$9</f>
        <v>3.8105606967882419E-3</v>
      </c>
      <c r="N5" s="2">
        <f t="shared" si="0"/>
        <v>2.9229082937522835E-3</v>
      </c>
      <c r="O5" s="2">
        <f t="shared" si="0"/>
        <v>3.4386985848432745E-3</v>
      </c>
      <c r="P5" s="2">
        <f t="shared" si="0"/>
        <v>2.8641843735429293E-3</v>
      </c>
      <c r="Q5" s="2">
        <f t="shared" si="0"/>
        <v>1.2310217480508822E-3</v>
      </c>
      <c r="R5" s="2">
        <f t="shared" si="0"/>
        <v>1.3777101007903705E-3</v>
      </c>
      <c r="S5" s="2">
        <f t="shared" si="0"/>
        <v>9.9089614169814823E-4</v>
      </c>
      <c r="T5" s="2">
        <f>D35/$D$40</f>
        <v>1.1410726082517566E-3</v>
      </c>
    </row>
    <row r="6" spans="1:20" x14ac:dyDescent="0.25">
      <c r="A6" s="92"/>
      <c r="B6" s="5" t="s">
        <v>2</v>
      </c>
      <c r="C6" s="6">
        <v>8120</v>
      </c>
      <c r="D6" s="6">
        <v>7067</v>
      </c>
      <c r="E6" s="6">
        <v>8434</v>
      </c>
      <c r="F6" s="6">
        <v>7758</v>
      </c>
      <c r="G6" s="6">
        <v>8054</v>
      </c>
      <c r="H6" s="6">
        <v>7345</v>
      </c>
      <c r="I6" s="6">
        <v>8706</v>
      </c>
      <c r="K6" s="98"/>
      <c r="L6" s="1" t="s">
        <v>19</v>
      </c>
      <c r="M6" s="2">
        <f t="shared" si="0"/>
        <v>9.0909090909090912E-2</v>
      </c>
      <c r="N6" s="2">
        <f t="shared" si="0"/>
        <v>6.2623310193642673E-2</v>
      </c>
      <c r="O6" s="2">
        <f t="shared" si="0"/>
        <v>8.7554556275624917E-2</v>
      </c>
      <c r="P6" s="2">
        <f t="shared" si="0"/>
        <v>7.6200626124025839E-2</v>
      </c>
      <c r="Q6" s="2">
        <f t="shared" si="0"/>
        <v>5.8815483517986593E-2</v>
      </c>
      <c r="R6" s="2">
        <f t="shared" si="0"/>
        <v>5.3513160757015447E-2</v>
      </c>
      <c r="S6" s="2">
        <f t="shared" si="0"/>
        <v>5.8958320431039823E-2</v>
      </c>
      <c r="T6" s="2">
        <f>D36/$D$40</f>
        <v>6.6122154825536003E-2</v>
      </c>
    </row>
    <row r="7" spans="1:20" x14ac:dyDescent="0.25">
      <c r="A7" s="92"/>
      <c r="B7" s="5" t="s">
        <v>3</v>
      </c>
      <c r="C7" s="6">
        <v>5141</v>
      </c>
      <c r="D7" s="6">
        <v>5701</v>
      </c>
      <c r="E7" s="6">
        <v>5297</v>
      </c>
      <c r="F7" s="6">
        <v>6040</v>
      </c>
      <c r="G7" s="6">
        <v>5690</v>
      </c>
      <c r="H7" s="6">
        <v>5622</v>
      </c>
      <c r="I7" s="6">
        <v>6445</v>
      </c>
      <c r="K7" s="98"/>
      <c r="L7" s="1" t="s">
        <v>20</v>
      </c>
      <c r="M7" s="2">
        <f t="shared" si="0"/>
        <v>0.55253130103429504</v>
      </c>
      <c r="N7" s="2">
        <f t="shared" si="0"/>
        <v>0.51640482279868472</v>
      </c>
      <c r="O7" s="2">
        <f t="shared" si="0"/>
        <v>0.55773045893400341</v>
      </c>
      <c r="P7" s="2">
        <f t="shared" si="0"/>
        <v>0.51675214813828019</v>
      </c>
      <c r="Q7" s="2">
        <f t="shared" si="0"/>
        <v>0.55081384215565588</v>
      </c>
      <c r="R7" s="2">
        <f t="shared" si="0"/>
        <v>0.53259372054238274</v>
      </c>
      <c r="S7" s="2">
        <f t="shared" si="0"/>
        <v>0.53917136310150493</v>
      </c>
      <c r="T7" s="2">
        <f>D37/$D$40</f>
        <v>0.56146777971293016</v>
      </c>
    </row>
    <row r="8" spans="1:20" x14ac:dyDescent="0.25">
      <c r="A8" s="92"/>
      <c r="B8" s="5" t="s">
        <v>4</v>
      </c>
      <c r="C8" s="6">
        <v>43</v>
      </c>
      <c r="D8" s="6">
        <v>20</v>
      </c>
      <c r="E8" s="6">
        <v>15</v>
      </c>
      <c r="F8" s="6">
        <v>28</v>
      </c>
      <c r="G8" s="6">
        <v>0</v>
      </c>
      <c r="H8" s="6">
        <v>67</v>
      </c>
      <c r="I8" s="6">
        <v>28</v>
      </c>
      <c r="K8" s="98"/>
      <c r="L8" s="1" t="s">
        <v>21</v>
      </c>
      <c r="M8" s="2">
        <f t="shared" si="0"/>
        <v>0.34982308111050625</v>
      </c>
      <c r="N8" s="2">
        <f t="shared" si="0"/>
        <v>0.41658750456704419</v>
      </c>
      <c r="O8" s="2">
        <f t="shared" si="0"/>
        <v>0.35028435392143897</v>
      </c>
      <c r="P8" s="2">
        <f t="shared" si="0"/>
        <v>0.40231799107440219</v>
      </c>
      <c r="Q8" s="2">
        <f t="shared" si="0"/>
        <v>0.38913965257830668</v>
      </c>
      <c r="R8" s="2">
        <f t="shared" si="0"/>
        <v>0.40765716771807703</v>
      </c>
      <c r="S8" s="2">
        <f t="shared" si="0"/>
        <v>0.39914535207778534</v>
      </c>
      <c r="T8" s="2">
        <f>D38/$D$40</f>
        <v>0.36850639601225149</v>
      </c>
    </row>
    <row r="9" spans="1:20" x14ac:dyDescent="0.25">
      <c r="A9" s="92"/>
      <c r="B9" s="7" t="s">
        <v>5</v>
      </c>
      <c r="C9" s="6">
        <v>14696</v>
      </c>
      <c r="D9" s="6">
        <v>13685</v>
      </c>
      <c r="E9" s="6">
        <v>15122</v>
      </c>
      <c r="F9" s="6">
        <v>15013</v>
      </c>
      <c r="G9" s="6">
        <v>14622</v>
      </c>
      <c r="H9" s="6">
        <v>13791</v>
      </c>
      <c r="I9" s="6">
        <v>16147</v>
      </c>
      <c r="K9" s="98" t="s">
        <v>24</v>
      </c>
      <c r="L9" s="1" t="s">
        <v>18</v>
      </c>
      <c r="M9" s="2">
        <f t="shared" ref="M9:S12" si="1">C10/C$15</f>
        <v>5.6209566231837944E-3</v>
      </c>
      <c r="N9" s="2">
        <f t="shared" si="1"/>
        <v>3.762541806020067E-3</v>
      </c>
      <c r="O9" s="2">
        <f t="shared" si="1"/>
        <v>4.5854732208363905E-3</v>
      </c>
      <c r="P9" s="2">
        <f t="shared" si="1"/>
        <v>5.7510729613733909E-3</v>
      </c>
      <c r="Q9" s="2">
        <f t="shared" si="1"/>
        <v>6.5113091158327625E-3</v>
      </c>
      <c r="R9" s="2">
        <f t="shared" si="1"/>
        <v>4.7850770478507706E-3</v>
      </c>
      <c r="S9" s="2">
        <f t="shared" si="1"/>
        <v>4.537891393132658E-3</v>
      </c>
      <c r="T9" s="2">
        <f>I35/$I$40</f>
        <v>4.2429656096471639E-3</v>
      </c>
    </row>
    <row r="10" spans="1:20" x14ac:dyDescent="0.25">
      <c r="A10" s="92" t="s">
        <v>16</v>
      </c>
      <c r="B10" s="5" t="s">
        <v>0</v>
      </c>
      <c r="C10" s="6">
        <v>53</v>
      </c>
      <c r="D10" s="6">
        <v>36</v>
      </c>
      <c r="E10" s="6">
        <v>50</v>
      </c>
      <c r="F10" s="6">
        <v>67</v>
      </c>
      <c r="G10" s="6">
        <v>76</v>
      </c>
      <c r="H10" s="6">
        <v>59</v>
      </c>
      <c r="I10" s="6">
        <v>60</v>
      </c>
      <c r="K10" s="98"/>
      <c r="L10" s="1" t="s">
        <v>19</v>
      </c>
      <c r="M10" s="2">
        <f t="shared" si="1"/>
        <v>9.4283593170007424E-2</v>
      </c>
      <c r="N10" s="2">
        <f t="shared" si="1"/>
        <v>6.4381270903010032E-2</v>
      </c>
      <c r="O10" s="2">
        <f t="shared" si="1"/>
        <v>9.0517241379310345E-2</v>
      </c>
      <c r="P10" s="2">
        <f t="shared" si="1"/>
        <v>9.3476394849785413E-2</v>
      </c>
      <c r="Q10" s="2">
        <f t="shared" si="1"/>
        <v>9.4242631939684712E-2</v>
      </c>
      <c r="R10" s="2">
        <f t="shared" si="1"/>
        <v>0.1</v>
      </c>
      <c r="S10" s="2">
        <f t="shared" si="1"/>
        <v>9.1060353955528667E-2</v>
      </c>
      <c r="T10" s="2">
        <f>I36/$I$40</f>
        <v>9.33452434122376E-2</v>
      </c>
    </row>
    <row r="11" spans="1:20" x14ac:dyDescent="0.25">
      <c r="A11" s="92"/>
      <c r="B11" s="5" t="s">
        <v>1</v>
      </c>
      <c r="C11" s="6">
        <v>889</v>
      </c>
      <c r="D11" s="6">
        <v>616</v>
      </c>
      <c r="E11" s="6">
        <v>987</v>
      </c>
      <c r="F11" s="6">
        <v>1089</v>
      </c>
      <c r="G11" s="6">
        <v>1100</v>
      </c>
      <c r="H11" s="6">
        <v>1233</v>
      </c>
      <c r="I11" s="6">
        <v>1204</v>
      </c>
      <c r="K11" s="98"/>
      <c r="L11" s="1" t="s">
        <v>20</v>
      </c>
      <c r="M11" s="2">
        <f t="shared" si="1"/>
        <v>0.57704952805175524</v>
      </c>
      <c r="N11" s="2">
        <f t="shared" si="1"/>
        <v>0.56615802675585281</v>
      </c>
      <c r="O11" s="2">
        <f t="shared" si="1"/>
        <v>0.55750183418928834</v>
      </c>
      <c r="P11" s="2">
        <f t="shared" si="1"/>
        <v>0.56351931330472105</v>
      </c>
      <c r="Q11" s="2">
        <f t="shared" si="1"/>
        <v>0.57025359835503775</v>
      </c>
      <c r="R11" s="2">
        <f t="shared" si="1"/>
        <v>0.55587996755879965</v>
      </c>
      <c r="S11" s="2">
        <f t="shared" si="1"/>
        <v>0.60527908032067768</v>
      </c>
      <c r="T11" s="2">
        <f>I37/$I$40</f>
        <v>0.62855441417299385</v>
      </c>
    </row>
    <row r="12" spans="1:20" x14ac:dyDescent="0.25">
      <c r="A12" s="92"/>
      <c r="B12" s="5" t="s">
        <v>2</v>
      </c>
      <c r="C12" s="6">
        <v>5441</v>
      </c>
      <c r="D12" s="6">
        <v>5417</v>
      </c>
      <c r="E12" s="6">
        <v>6079</v>
      </c>
      <c r="F12" s="6">
        <v>6565</v>
      </c>
      <c r="G12" s="6">
        <v>6656</v>
      </c>
      <c r="H12" s="6">
        <v>6854</v>
      </c>
      <c r="I12" s="6">
        <v>8003</v>
      </c>
      <c r="K12" s="98"/>
      <c r="L12" s="1" t="s">
        <v>21</v>
      </c>
      <c r="M12" s="2">
        <f t="shared" si="1"/>
        <v>0.30936472584579489</v>
      </c>
      <c r="N12" s="2">
        <f t="shared" si="1"/>
        <v>0.35597826086956524</v>
      </c>
      <c r="O12" s="2">
        <f t="shared" si="1"/>
        <v>0.33418928833455613</v>
      </c>
      <c r="P12" s="2">
        <f t="shared" si="1"/>
        <v>0.3261802575107296</v>
      </c>
      <c r="Q12" s="2">
        <f t="shared" si="1"/>
        <v>0.32899246058944481</v>
      </c>
      <c r="R12" s="2">
        <f t="shared" si="1"/>
        <v>0.32725060827250607</v>
      </c>
      <c r="S12" s="2">
        <f t="shared" si="1"/>
        <v>0.28770231432461052</v>
      </c>
      <c r="T12" s="2">
        <f>I38/$I$40</f>
        <v>0.25986303409260086</v>
      </c>
    </row>
    <row r="13" spans="1:20" x14ac:dyDescent="0.25">
      <c r="A13" s="92"/>
      <c r="B13" s="5" t="s">
        <v>3</v>
      </c>
      <c r="C13" s="6">
        <v>2917</v>
      </c>
      <c r="D13" s="6">
        <v>3406</v>
      </c>
      <c r="E13" s="6">
        <v>3644</v>
      </c>
      <c r="F13" s="6">
        <v>3800</v>
      </c>
      <c r="G13" s="6">
        <v>3840</v>
      </c>
      <c r="H13" s="6">
        <v>4035</v>
      </c>
      <c r="I13" s="6">
        <v>3804</v>
      </c>
      <c r="K13" s="98" t="s">
        <v>23</v>
      </c>
      <c r="L13" s="1" t="s">
        <v>18</v>
      </c>
      <c r="M13" s="2">
        <f t="shared" ref="M13:S16" si="2">C16/C$21</f>
        <v>2.7709174146135773E-3</v>
      </c>
      <c r="N13" s="2">
        <f t="shared" si="2"/>
        <v>1.4758332308449145E-3</v>
      </c>
      <c r="O13" s="2">
        <f t="shared" si="2"/>
        <v>8.9270769402443793E-4</v>
      </c>
      <c r="P13" s="2">
        <f t="shared" si="2"/>
        <v>1.8335760125114599E-3</v>
      </c>
      <c r="Q13" s="2">
        <f t="shared" si="2"/>
        <v>1.1524962020011526E-3</v>
      </c>
      <c r="R13" s="2">
        <f t="shared" si="2"/>
        <v>1.3362800020558154E-3</v>
      </c>
      <c r="S13" s="2">
        <f t="shared" si="2"/>
        <v>6.8694798822374874E-4</v>
      </c>
      <c r="T13" s="2">
        <f>N35/$N$40</f>
        <v>1.1280592476335279E-3</v>
      </c>
    </row>
    <row r="14" spans="1:20" x14ac:dyDescent="0.25">
      <c r="A14" s="92"/>
      <c r="B14" s="5" t="s">
        <v>4</v>
      </c>
      <c r="C14" s="6">
        <v>129</v>
      </c>
      <c r="D14" s="6">
        <v>93</v>
      </c>
      <c r="E14" s="6">
        <v>144</v>
      </c>
      <c r="F14" s="6">
        <v>129</v>
      </c>
      <c r="G14" s="6">
        <v>0</v>
      </c>
      <c r="H14" s="6">
        <v>149</v>
      </c>
      <c r="I14" s="6">
        <v>151</v>
      </c>
      <c r="K14" s="98"/>
      <c r="L14" s="1" t="s">
        <v>19</v>
      </c>
      <c r="M14" s="2">
        <f t="shared" si="2"/>
        <v>7.7284500933678696E-2</v>
      </c>
      <c r="N14" s="2">
        <f t="shared" si="2"/>
        <v>5.6081662772106751E-2</v>
      </c>
      <c r="O14" s="2">
        <f t="shared" si="2"/>
        <v>7.2699882832115162E-2</v>
      </c>
      <c r="P14" s="2">
        <f t="shared" si="2"/>
        <v>7.6363048050477264E-2</v>
      </c>
      <c r="Q14" s="2">
        <f t="shared" si="2"/>
        <v>6.4801718267064795E-2</v>
      </c>
      <c r="R14" s="2">
        <f t="shared" si="2"/>
        <v>6.0954926247622963E-2</v>
      </c>
      <c r="S14" s="2">
        <f t="shared" si="2"/>
        <v>5.7114818449460258E-2</v>
      </c>
      <c r="T14" s="2">
        <f>N36/$N$40</f>
        <v>5.326401491000049E-2</v>
      </c>
    </row>
    <row r="15" spans="1:20" x14ac:dyDescent="0.25">
      <c r="A15" s="92"/>
      <c r="B15" s="7" t="s">
        <v>5</v>
      </c>
      <c r="C15" s="6">
        <v>9429</v>
      </c>
      <c r="D15" s="6">
        <v>9568</v>
      </c>
      <c r="E15" s="6">
        <v>10904</v>
      </c>
      <c r="F15" s="6">
        <v>11650</v>
      </c>
      <c r="G15" s="6">
        <v>11672</v>
      </c>
      <c r="H15" s="6">
        <v>12330</v>
      </c>
      <c r="I15" s="6">
        <v>13222</v>
      </c>
      <c r="K15" s="98"/>
      <c r="L15" s="1" t="s">
        <v>20</v>
      </c>
      <c r="M15" s="2">
        <f t="shared" si="2"/>
        <v>0.5293657008613939</v>
      </c>
      <c r="N15" s="2">
        <f t="shared" si="2"/>
        <v>0.52004673471897678</v>
      </c>
      <c r="O15" s="2">
        <f t="shared" si="2"/>
        <v>0.50510517212520223</v>
      </c>
      <c r="P15" s="2">
        <f t="shared" si="2"/>
        <v>0.51561236045947256</v>
      </c>
      <c r="Q15" s="2">
        <f t="shared" si="2"/>
        <v>0.53297710723453295</v>
      </c>
      <c r="R15" s="2">
        <f t="shared" si="2"/>
        <v>0.50973942539959916</v>
      </c>
      <c r="S15" s="2">
        <f t="shared" si="2"/>
        <v>0.52345436702649661</v>
      </c>
      <c r="T15" s="2">
        <f>N37/$N$40</f>
        <v>0.53111972141841191</v>
      </c>
    </row>
    <row r="16" spans="1:20" x14ac:dyDescent="0.25">
      <c r="A16" s="92" t="s">
        <v>17</v>
      </c>
      <c r="B16" s="5" t="s">
        <v>0</v>
      </c>
      <c r="C16" s="6">
        <v>46</v>
      </c>
      <c r="D16" s="6">
        <v>24</v>
      </c>
      <c r="E16" s="6">
        <v>16</v>
      </c>
      <c r="F16" s="6">
        <v>34</v>
      </c>
      <c r="G16" s="6">
        <v>22</v>
      </c>
      <c r="H16" s="6">
        <v>26</v>
      </c>
      <c r="I16" s="6">
        <v>14</v>
      </c>
      <c r="K16" s="98"/>
      <c r="L16" s="1" t="s">
        <v>21</v>
      </c>
      <c r="M16" s="2">
        <f t="shared" si="2"/>
        <v>0.38630202999819285</v>
      </c>
      <c r="N16" s="2">
        <f t="shared" si="2"/>
        <v>0.41846021399581845</v>
      </c>
      <c r="O16" s="2">
        <f t="shared" si="2"/>
        <v>0.4175640238799308</v>
      </c>
      <c r="P16" s="2">
        <f t="shared" si="2"/>
        <v>0.40246993474626541</v>
      </c>
      <c r="Q16" s="2">
        <f t="shared" si="2"/>
        <v>0.40106867829640108</v>
      </c>
      <c r="R16" s="2">
        <f t="shared" si="2"/>
        <v>0.42324099295883227</v>
      </c>
      <c r="S16" s="2">
        <f t="shared" si="2"/>
        <v>0.41521099116781157</v>
      </c>
      <c r="T16" s="2">
        <f>N38/$N$40</f>
        <v>0.4113492569522782</v>
      </c>
    </row>
    <row r="17" spans="1:17" x14ac:dyDescent="0.25">
      <c r="A17" s="92"/>
      <c r="B17" s="5" t="s">
        <v>1</v>
      </c>
      <c r="C17" s="6">
        <v>1283</v>
      </c>
      <c r="D17" s="6">
        <v>912</v>
      </c>
      <c r="E17" s="6">
        <v>1303</v>
      </c>
      <c r="F17" s="6">
        <v>1416</v>
      </c>
      <c r="G17" s="6">
        <v>1237</v>
      </c>
      <c r="H17" s="6">
        <v>1186</v>
      </c>
      <c r="I17" s="6">
        <v>1164</v>
      </c>
    </row>
    <row r="18" spans="1:17" x14ac:dyDescent="0.25">
      <c r="A18" s="92"/>
      <c r="B18" s="5" t="s">
        <v>2</v>
      </c>
      <c r="C18" s="6">
        <v>8788</v>
      </c>
      <c r="D18" s="6">
        <v>8457</v>
      </c>
      <c r="E18" s="6">
        <v>9053</v>
      </c>
      <c r="F18" s="6">
        <v>9561</v>
      </c>
      <c r="G18" s="6">
        <v>10174</v>
      </c>
      <c r="H18" s="6">
        <v>9918</v>
      </c>
      <c r="I18" s="6">
        <v>10668</v>
      </c>
    </row>
    <row r="19" spans="1:17" x14ac:dyDescent="0.25">
      <c r="A19" s="92"/>
      <c r="B19" s="5" t="s">
        <v>3</v>
      </c>
      <c r="C19" s="6">
        <v>6413</v>
      </c>
      <c r="D19" s="6">
        <v>6805</v>
      </c>
      <c r="E19" s="6">
        <v>7484</v>
      </c>
      <c r="F19" s="6">
        <v>7463</v>
      </c>
      <c r="G19" s="6">
        <v>7656</v>
      </c>
      <c r="H19" s="6">
        <v>8235</v>
      </c>
      <c r="I19" s="6">
        <v>8462</v>
      </c>
    </row>
    <row r="20" spans="1:17" x14ac:dyDescent="0.25">
      <c r="A20" s="92"/>
      <c r="B20" s="5" t="s">
        <v>4</v>
      </c>
      <c r="C20" s="6">
        <v>71</v>
      </c>
      <c r="D20" s="6">
        <v>64</v>
      </c>
      <c r="E20" s="6">
        <v>67</v>
      </c>
      <c r="F20" s="6">
        <v>69</v>
      </c>
      <c r="G20" s="6">
        <v>0</v>
      </c>
      <c r="H20" s="6">
        <v>92</v>
      </c>
      <c r="I20" s="6">
        <v>72</v>
      </c>
    </row>
    <row r="21" spans="1:17" ht="15.75" thickBot="1" x14ac:dyDescent="0.3">
      <c r="A21" s="93"/>
      <c r="B21" s="8" t="s">
        <v>5</v>
      </c>
      <c r="C21" s="9">
        <v>16601</v>
      </c>
      <c r="D21" s="9">
        <v>16262</v>
      </c>
      <c r="E21" s="9">
        <v>17923</v>
      </c>
      <c r="F21" s="9">
        <v>18543</v>
      </c>
      <c r="G21" s="9">
        <v>19089</v>
      </c>
      <c r="H21" s="9">
        <v>19457</v>
      </c>
      <c r="I21" s="9">
        <v>20380</v>
      </c>
    </row>
    <row r="22" spans="1:17" ht="15.75" thickTop="1" x14ac:dyDescent="0.25"/>
    <row r="23" spans="1:17" ht="15.75" thickBot="1" x14ac:dyDescent="0.3"/>
    <row r="24" spans="1:17" ht="15.75" thickTop="1" x14ac:dyDescent="0.25">
      <c r="A24" s="84"/>
      <c r="B24" s="84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</row>
    <row r="25" spans="1:17" x14ac:dyDescent="0.25">
      <c r="A25" s="85"/>
      <c r="B25" s="85"/>
      <c r="C25" s="88" t="s">
        <v>22</v>
      </c>
      <c r="D25" s="88"/>
      <c r="E25" s="88"/>
      <c r="F25" s="88"/>
      <c r="G25" s="88"/>
      <c r="H25" s="88" t="s">
        <v>24</v>
      </c>
      <c r="I25" s="88"/>
      <c r="J25" s="88"/>
      <c r="K25" s="88"/>
      <c r="L25" s="88"/>
      <c r="M25" s="88" t="s">
        <v>23</v>
      </c>
      <c r="N25" s="88"/>
      <c r="O25" s="88"/>
      <c r="P25" s="88"/>
      <c r="Q25" s="88"/>
    </row>
    <row r="26" spans="1:17" x14ac:dyDescent="0.25">
      <c r="A26" s="85"/>
      <c r="B26" s="85"/>
      <c r="C26" s="88" t="s">
        <v>34</v>
      </c>
      <c r="D26" s="88"/>
      <c r="E26" s="88"/>
      <c r="F26" s="88"/>
      <c r="G26" s="88"/>
      <c r="H26" s="88" t="s">
        <v>34</v>
      </c>
      <c r="I26" s="88"/>
      <c r="J26" s="88"/>
      <c r="K26" s="88"/>
      <c r="L26" s="88"/>
      <c r="M26" s="88" t="s">
        <v>34</v>
      </c>
      <c r="N26" s="88"/>
      <c r="O26" s="88"/>
      <c r="P26" s="88"/>
      <c r="Q26" s="88"/>
    </row>
    <row r="27" spans="1:17" x14ac:dyDescent="0.25">
      <c r="A27" s="85"/>
      <c r="B27" s="85"/>
      <c r="C27" s="48" t="s">
        <v>35</v>
      </c>
      <c r="D27" s="48" t="s">
        <v>0</v>
      </c>
      <c r="E27" s="48" t="s">
        <v>1</v>
      </c>
      <c r="F27" s="48" t="s">
        <v>2</v>
      </c>
      <c r="G27" s="48" t="s">
        <v>3</v>
      </c>
      <c r="H27" s="48" t="s">
        <v>35</v>
      </c>
      <c r="I27" s="48" t="s">
        <v>0</v>
      </c>
      <c r="J27" s="48" t="s">
        <v>1</v>
      </c>
      <c r="K27" s="48" t="s">
        <v>2</v>
      </c>
      <c r="L27" s="48" t="s">
        <v>3</v>
      </c>
      <c r="M27" s="48" t="s">
        <v>35</v>
      </c>
      <c r="N27" s="48" t="s">
        <v>0</v>
      </c>
      <c r="O27" s="48" t="s">
        <v>1</v>
      </c>
      <c r="P27" s="48" t="s">
        <v>2</v>
      </c>
      <c r="Q27" s="48" t="s">
        <v>3</v>
      </c>
    </row>
    <row r="28" spans="1:17" ht="15.75" thickBot="1" x14ac:dyDescent="0.3">
      <c r="A28" s="86"/>
      <c r="B28" s="86"/>
      <c r="C28" s="49" t="s">
        <v>6</v>
      </c>
      <c r="D28" s="49" t="s">
        <v>6</v>
      </c>
      <c r="E28" s="49" t="s">
        <v>6</v>
      </c>
      <c r="F28" s="49" t="s">
        <v>6</v>
      </c>
      <c r="G28" s="49" t="s">
        <v>6</v>
      </c>
      <c r="H28" s="49" t="s">
        <v>6</v>
      </c>
      <c r="I28" s="49" t="s">
        <v>6</v>
      </c>
      <c r="J28" s="49" t="s">
        <v>6</v>
      </c>
      <c r="K28" s="49" t="s">
        <v>6</v>
      </c>
      <c r="L28" s="49" t="s">
        <v>6</v>
      </c>
      <c r="M28" s="49" t="s">
        <v>6</v>
      </c>
      <c r="N28" s="49" t="s">
        <v>6</v>
      </c>
      <c r="O28" s="49" t="s">
        <v>6</v>
      </c>
      <c r="P28" s="49" t="s">
        <v>6</v>
      </c>
      <c r="Q28" s="49" t="s">
        <v>6</v>
      </c>
    </row>
    <row r="29" spans="1:17" ht="15.75" thickTop="1" x14ac:dyDescent="0.25">
      <c r="A29" s="89" t="s">
        <v>46</v>
      </c>
      <c r="B29" s="50" t="s">
        <v>0</v>
      </c>
      <c r="C29" s="51">
        <v>11957</v>
      </c>
      <c r="D29" s="51">
        <v>7</v>
      </c>
      <c r="E29" s="51">
        <v>2</v>
      </c>
      <c r="F29" s="51">
        <v>1</v>
      </c>
      <c r="G29" s="51">
        <v>9</v>
      </c>
      <c r="H29" s="51">
        <v>5754</v>
      </c>
      <c r="I29" s="51">
        <v>19</v>
      </c>
      <c r="J29" s="51">
        <v>19</v>
      </c>
      <c r="K29" s="51">
        <v>9</v>
      </c>
      <c r="L29" s="51">
        <v>10</v>
      </c>
      <c r="M29" s="51">
        <v>6618</v>
      </c>
      <c r="N29" s="51">
        <v>8</v>
      </c>
      <c r="O29" s="51">
        <v>4</v>
      </c>
      <c r="P29" s="51">
        <v>1</v>
      </c>
      <c r="Q29" s="51">
        <v>10</v>
      </c>
    </row>
    <row r="30" spans="1:17" x14ac:dyDescent="0.25">
      <c r="A30" s="90"/>
      <c r="B30" s="52" t="s">
        <v>1</v>
      </c>
      <c r="C30" s="53">
        <v>78631</v>
      </c>
      <c r="D30" s="53">
        <v>191</v>
      </c>
      <c r="E30" s="53">
        <v>175</v>
      </c>
      <c r="F30" s="53">
        <v>82</v>
      </c>
      <c r="G30" s="53">
        <v>653</v>
      </c>
      <c r="H30" s="53">
        <v>49106</v>
      </c>
      <c r="I30" s="53">
        <v>282</v>
      </c>
      <c r="J30" s="53">
        <v>461</v>
      </c>
      <c r="K30" s="53">
        <v>229</v>
      </c>
      <c r="L30" s="53">
        <v>282</v>
      </c>
      <c r="M30" s="53">
        <v>65037</v>
      </c>
      <c r="N30" s="53">
        <v>248</v>
      </c>
      <c r="O30" s="53">
        <v>265</v>
      </c>
      <c r="P30" s="53">
        <v>112</v>
      </c>
      <c r="Q30" s="53">
        <v>461</v>
      </c>
    </row>
    <row r="31" spans="1:17" x14ac:dyDescent="0.25">
      <c r="A31" s="90"/>
      <c r="B31" s="52" t="s">
        <v>2</v>
      </c>
      <c r="C31" s="53">
        <v>82149</v>
      </c>
      <c r="D31" s="53">
        <v>1777</v>
      </c>
      <c r="E31" s="53">
        <v>2229</v>
      </c>
      <c r="F31" s="53">
        <v>2071</v>
      </c>
      <c r="G31" s="53">
        <v>3272</v>
      </c>
      <c r="H31" s="53">
        <v>42256</v>
      </c>
      <c r="I31" s="53">
        <v>1677</v>
      </c>
      <c r="J31" s="53">
        <v>2680</v>
      </c>
      <c r="K31" s="53">
        <v>3114</v>
      </c>
      <c r="L31" s="53">
        <v>973</v>
      </c>
      <c r="M31" s="53">
        <v>68170</v>
      </c>
      <c r="N31" s="53">
        <v>2169</v>
      </c>
      <c r="O31" s="53">
        <v>3393</v>
      </c>
      <c r="P31" s="53">
        <v>2859</v>
      </c>
      <c r="Q31" s="53">
        <v>2408</v>
      </c>
    </row>
    <row r="32" spans="1:17" x14ac:dyDescent="0.25">
      <c r="A32" s="90"/>
      <c r="B32" s="52" t="s">
        <v>3</v>
      </c>
      <c r="C32" s="53">
        <v>11345</v>
      </c>
      <c r="D32" s="53">
        <v>1404</v>
      </c>
      <c r="E32" s="53">
        <v>1082</v>
      </c>
      <c r="F32" s="53">
        <v>2489</v>
      </c>
      <c r="G32" s="53">
        <v>1161</v>
      </c>
      <c r="H32" s="53">
        <v>3869</v>
      </c>
      <c r="I32" s="53">
        <v>712</v>
      </c>
      <c r="J32" s="53">
        <v>646</v>
      </c>
      <c r="K32" s="53">
        <v>1868</v>
      </c>
      <c r="L32" s="53">
        <v>265</v>
      </c>
      <c r="M32" s="53">
        <v>10373</v>
      </c>
      <c r="N32" s="53">
        <v>1864</v>
      </c>
      <c r="O32" s="53">
        <v>1535</v>
      </c>
      <c r="P32" s="53">
        <v>4024</v>
      </c>
      <c r="Q32" s="53">
        <v>964</v>
      </c>
    </row>
    <row r="33" spans="1:17" ht="15.75" thickBot="1" x14ac:dyDescent="0.3">
      <c r="A33" s="91"/>
      <c r="B33" s="54" t="s">
        <v>4</v>
      </c>
      <c r="C33" s="55">
        <v>1019</v>
      </c>
      <c r="D33" s="55">
        <v>9</v>
      </c>
      <c r="E33" s="55">
        <v>10</v>
      </c>
      <c r="F33" s="55">
        <v>18</v>
      </c>
      <c r="G33" s="55">
        <v>9</v>
      </c>
      <c r="H33" s="55">
        <v>2420</v>
      </c>
      <c r="I33" s="55">
        <v>41</v>
      </c>
      <c r="J33" s="55">
        <v>36</v>
      </c>
      <c r="K33" s="55">
        <v>82</v>
      </c>
      <c r="L33" s="55">
        <v>29</v>
      </c>
      <c r="M33" s="55">
        <v>1334</v>
      </c>
      <c r="N33" s="55">
        <v>19</v>
      </c>
      <c r="O33" s="55">
        <v>14</v>
      </c>
      <c r="P33" s="55">
        <v>22</v>
      </c>
      <c r="Q33" s="55">
        <v>9</v>
      </c>
    </row>
    <row r="34" spans="1:17" ht="15.75" thickTop="1" x14ac:dyDescent="0.25"/>
    <row r="35" spans="1:17" x14ac:dyDescent="0.25">
      <c r="D35" s="39">
        <f>SUM(D29:G29)</f>
        <v>19</v>
      </c>
      <c r="I35" s="39">
        <f>SUM(I29:L29)</f>
        <v>57</v>
      </c>
      <c r="N35" s="39">
        <f>SUM(N29:Q29)</f>
        <v>23</v>
      </c>
    </row>
    <row r="36" spans="1:17" x14ac:dyDescent="0.25">
      <c r="D36" s="39">
        <f>SUM(D30:G30)</f>
        <v>1101</v>
      </c>
      <c r="I36" s="39">
        <f>SUM(I30:L30)</f>
        <v>1254</v>
      </c>
      <c r="N36" s="39">
        <f>SUM(N30:Q30)</f>
        <v>1086</v>
      </c>
    </row>
    <row r="37" spans="1:17" x14ac:dyDescent="0.25">
      <c r="D37" s="39">
        <f>SUM(D31:G31)</f>
        <v>9349</v>
      </c>
      <c r="I37" s="39">
        <f>SUM(I31:L31)</f>
        <v>8444</v>
      </c>
      <c r="N37" s="39">
        <f>SUM(N31:Q31)</f>
        <v>10829</v>
      </c>
    </row>
    <row r="38" spans="1:17" x14ac:dyDescent="0.25">
      <c r="D38" s="39">
        <f>SUM(D32:G32)</f>
        <v>6136</v>
      </c>
      <c r="I38" s="39">
        <f>SUM(I32:L32)</f>
        <v>3491</v>
      </c>
      <c r="N38" s="39">
        <f>SUM(N32:Q32)</f>
        <v>8387</v>
      </c>
    </row>
    <row r="39" spans="1:17" x14ac:dyDescent="0.25">
      <c r="D39" s="39">
        <f>SUM(D33:G33)</f>
        <v>46</v>
      </c>
      <c r="I39" s="39">
        <f>SUM(I33:L33)</f>
        <v>188</v>
      </c>
      <c r="N39" s="39">
        <f>SUM(N33:Q33)</f>
        <v>64</v>
      </c>
    </row>
    <row r="40" spans="1:17" x14ac:dyDescent="0.25">
      <c r="D40" s="39">
        <f>SUM(D29:G33)</f>
        <v>16651</v>
      </c>
      <c r="I40" s="39">
        <f>SUM(I29:L33)</f>
        <v>13434</v>
      </c>
      <c r="N40" s="39">
        <f>SUM(N29:Q33)</f>
        <v>20389</v>
      </c>
    </row>
  </sheetData>
  <mergeCells count="17">
    <mergeCell ref="A1:B3"/>
    <mergeCell ref="C1:I1"/>
    <mergeCell ref="A4:A9"/>
    <mergeCell ref="A10:A15"/>
    <mergeCell ref="K5:K8"/>
    <mergeCell ref="K9:K12"/>
    <mergeCell ref="K13:K16"/>
    <mergeCell ref="A29:A33"/>
    <mergeCell ref="A16:A21"/>
    <mergeCell ref="C26:G26"/>
    <mergeCell ref="H26:L26"/>
    <mergeCell ref="M26:Q26"/>
    <mergeCell ref="A24:B28"/>
    <mergeCell ref="C24:Q24"/>
    <mergeCell ref="C25:G25"/>
    <mergeCell ref="H25:L25"/>
    <mergeCell ref="M25:Q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workbookViewId="0">
      <selection activeCell="T16" sqref="K4:T16"/>
    </sheetView>
  </sheetViews>
  <sheetFormatPr defaultRowHeight="15" x14ac:dyDescent="0.25"/>
  <cols>
    <col min="12" max="12" width="17.7109375" bestFit="1" customWidth="1"/>
  </cols>
  <sheetData>
    <row r="1" spans="1:20" ht="15.75" thickTop="1" x14ac:dyDescent="0.25">
      <c r="A1" s="109"/>
      <c r="B1" s="109"/>
      <c r="C1" s="112" t="s">
        <v>7</v>
      </c>
      <c r="D1" s="112"/>
      <c r="E1" s="112"/>
      <c r="F1" s="112"/>
      <c r="G1" s="112"/>
      <c r="H1" s="112"/>
      <c r="I1" s="112"/>
    </row>
    <row r="2" spans="1:20" x14ac:dyDescent="0.25">
      <c r="A2" s="110"/>
      <c r="B2" s="110"/>
      <c r="C2" s="10" t="s">
        <v>25</v>
      </c>
      <c r="D2" s="10" t="s">
        <v>26</v>
      </c>
      <c r="E2" s="10" t="s">
        <v>27</v>
      </c>
      <c r="F2" s="10" t="s">
        <v>28</v>
      </c>
      <c r="G2" s="10" t="s">
        <v>29</v>
      </c>
      <c r="H2" s="10" t="s">
        <v>30</v>
      </c>
      <c r="I2" s="10" t="s">
        <v>31</v>
      </c>
    </row>
    <row r="3" spans="1:20" ht="15.75" thickBot="1" x14ac:dyDescent="0.3">
      <c r="A3" s="111"/>
      <c r="B3" s="111"/>
      <c r="C3" s="11" t="s">
        <v>6</v>
      </c>
      <c r="D3" s="11" t="s">
        <v>6</v>
      </c>
      <c r="E3" s="11" t="s">
        <v>6</v>
      </c>
      <c r="F3" s="11" t="s">
        <v>6</v>
      </c>
      <c r="G3" s="11" t="s">
        <v>6</v>
      </c>
      <c r="H3" s="11" t="s">
        <v>6</v>
      </c>
      <c r="I3" s="11" t="s">
        <v>6</v>
      </c>
    </row>
    <row r="4" spans="1:20" ht="15.75" thickTop="1" x14ac:dyDescent="0.25">
      <c r="A4" s="103" t="s">
        <v>15</v>
      </c>
      <c r="B4" s="12" t="s">
        <v>0</v>
      </c>
      <c r="C4" s="13">
        <v>92</v>
      </c>
      <c r="D4" s="13">
        <v>64</v>
      </c>
      <c r="E4" s="13">
        <v>129</v>
      </c>
      <c r="F4" s="13">
        <v>81</v>
      </c>
      <c r="G4" s="13">
        <v>57</v>
      </c>
      <c r="H4" s="13">
        <v>32</v>
      </c>
      <c r="I4" s="13">
        <v>58</v>
      </c>
      <c r="K4" s="1"/>
      <c r="L4" s="1"/>
      <c r="M4" s="1">
        <v>2005</v>
      </c>
      <c r="N4" s="1">
        <v>2006</v>
      </c>
      <c r="O4" s="1">
        <v>2007</v>
      </c>
      <c r="P4" s="1">
        <v>2008</v>
      </c>
      <c r="Q4" s="1">
        <v>2009</v>
      </c>
      <c r="R4" s="1">
        <v>2010</v>
      </c>
      <c r="S4" s="1">
        <v>2011</v>
      </c>
      <c r="T4" s="1">
        <v>2012</v>
      </c>
    </row>
    <row r="5" spans="1:20" x14ac:dyDescent="0.25">
      <c r="A5" s="103"/>
      <c r="B5" s="12" t="s">
        <v>1</v>
      </c>
      <c r="C5" s="13">
        <v>568</v>
      </c>
      <c r="D5" s="13">
        <v>254</v>
      </c>
      <c r="E5" s="13">
        <v>488</v>
      </c>
      <c r="F5" s="13">
        <v>379</v>
      </c>
      <c r="G5" s="13">
        <v>290</v>
      </c>
      <c r="H5" s="13">
        <v>201</v>
      </c>
      <c r="I5" s="13">
        <v>331</v>
      </c>
      <c r="K5" s="98" t="s">
        <v>22</v>
      </c>
      <c r="L5" s="1" t="s">
        <v>18</v>
      </c>
      <c r="M5" s="2">
        <f t="shared" ref="M5:S8" si="0">C4/C$9</f>
        <v>6.2589291788557044E-3</v>
      </c>
      <c r="N5" s="2">
        <f t="shared" si="0"/>
        <v>4.6674445740956822E-3</v>
      </c>
      <c r="O5" s="2">
        <f t="shared" si="0"/>
        <v>8.5255435860154653E-3</v>
      </c>
      <c r="P5" s="2">
        <f t="shared" si="0"/>
        <v>5.3992800959872019E-3</v>
      </c>
      <c r="Q5" s="2">
        <f t="shared" si="0"/>
        <v>3.8974358974358976E-3</v>
      </c>
      <c r="R5" s="2">
        <f t="shared" si="0"/>
        <v>2.3217006457229919E-3</v>
      </c>
      <c r="S5" s="2">
        <f t="shared" si="0"/>
        <v>3.5922209835253312E-3</v>
      </c>
      <c r="T5" s="2">
        <f>C35/$C$40</f>
        <v>2.761933353347343E-3</v>
      </c>
    </row>
    <row r="6" spans="1:20" x14ac:dyDescent="0.25">
      <c r="A6" s="103"/>
      <c r="B6" s="12" t="s">
        <v>2</v>
      </c>
      <c r="C6" s="13">
        <v>8754</v>
      </c>
      <c r="D6" s="13">
        <v>8654</v>
      </c>
      <c r="E6" s="13">
        <v>8938</v>
      </c>
      <c r="F6" s="13">
        <v>9511</v>
      </c>
      <c r="G6" s="13">
        <v>8523</v>
      </c>
      <c r="H6" s="13">
        <v>8469</v>
      </c>
      <c r="I6" s="13">
        <v>10453</v>
      </c>
      <c r="K6" s="98"/>
      <c r="L6" s="1" t="s">
        <v>19</v>
      </c>
      <c r="M6" s="2">
        <f t="shared" si="0"/>
        <v>3.8642084495543912E-2</v>
      </c>
      <c r="N6" s="2">
        <f t="shared" si="0"/>
        <v>1.8523920653442241E-2</v>
      </c>
      <c r="O6" s="2">
        <f t="shared" si="0"/>
        <v>3.2251668759500363E-2</v>
      </c>
      <c r="P6" s="2">
        <f t="shared" si="0"/>
        <v>2.526329822690308E-2</v>
      </c>
      <c r="Q6" s="2">
        <f t="shared" si="0"/>
        <v>1.9829059829059831E-2</v>
      </c>
      <c r="R6" s="2">
        <f t="shared" si="0"/>
        <v>1.4583182180947543E-2</v>
      </c>
      <c r="S6" s="2">
        <f t="shared" si="0"/>
        <v>2.0500433543911806E-2</v>
      </c>
      <c r="T6" s="2">
        <f>C36/$C$40</f>
        <v>1.849294506154308E-2</v>
      </c>
    </row>
    <row r="7" spans="1:20" x14ac:dyDescent="0.25">
      <c r="A7" s="103"/>
      <c r="B7" s="12" t="s">
        <v>3</v>
      </c>
      <c r="C7" s="13">
        <v>5248</v>
      </c>
      <c r="D7" s="13">
        <v>4721</v>
      </c>
      <c r="E7" s="13">
        <v>5542</v>
      </c>
      <c r="F7" s="13">
        <v>5003</v>
      </c>
      <c r="G7" s="13">
        <v>5755</v>
      </c>
      <c r="H7" s="13">
        <v>5049</v>
      </c>
      <c r="I7" s="13">
        <v>5277</v>
      </c>
      <c r="K7" s="98"/>
      <c r="L7" s="1" t="s">
        <v>20</v>
      </c>
      <c r="M7" s="2">
        <f t="shared" si="0"/>
        <v>0.5955507177359004</v>
      </c>
      <c r="N7" s="2">
        <f t="shared" si="0"/>
        <v>0.63112602100350057</v>
      </c>
      <c r="O7" s="2">
        <f t="shared" si="0"/>
        <v>0.59070781838609476</v>
      </c>
      <c r="P7" s="2">
        <f t="shared" si="0"/>
        <v>0.63398213571523798</v>
      </c>
      <c r="Q7" s="2">
        <f t="shared" si="0"/>
        <v>0.58276923076923082</v>
      </c>
      <c r="R7" s="2">
        <f t="shared" si="0"/>
        <v>0.61445258651962564</v>
      </c>
      <c r="S7" s="2">
        <f t="shared" si="0"/>
        <v>0.64740493001362565</v>
      </c>
      <c r="T7" s="2">
        <f>C37/$C$40</f>
        <v>0.64683278294806368</v>
      </c>
    </row>
    <row r="8" spans="1:20" x14ac:dyDescent="0.25">
      <c r="A8" s="103"/>
      <c r="B8" s="12" t="s">
        <v>4</v>
      </c>
      <c r="C8" s="13">
        <v>37</v>
      </c>
      <c r="D8" s="13">
        <v>19</v>
      </c>
      <c r="E8" s="13">
        <v>34</v>
      </c>
      <c r="F8" s="13">
        <v>28</v>
      </c>
      <c r="G8" s="13">
        <v>0</v>
      </c>
      <c r="H8" s="13">
        <v>32</v>
      </c>
      <c r="I8" s="13">
        <v>27</v>
      </c>
      <c r="K8" s="98"/>
      <c r="L8" s="1" t="s">
        <v>21</v>
      </c>
      <c r="M8" s="2">
        <f t="shared" si="0"/>
        <v>0.35703109055037757</v>
      </c>
      <c r="N8" s="2">
        <f t="shared" si="0"/>
        <v>0.34429696616102684</v>
      </c>
      <c r="O8" s="2">
        <f t="shared" si="0"/>
        <v>0.36626792677285042</v>
      </c>
      <c r="P8" s="2">
        <f t="shared" si="0"/>
        <v>0.33348886815091322</v>
      </c>
      <c r="Q8" s="2">
        <f t="shared" si="0"/>
        <v>0.39350427350427353</v>
      </c>
      <c r="R8" s="2">
        <f t="shared" si="0"/>
        <v>0.36632083000798082</v>
      </c>
      <c r="S8" s="2">
        <f t="shared" si="0"/>
        <v>0.32683017465626163</v>
      </c>
      <c r="T8" s="2">
        <f>C38/$C$40</f>
        <v>0.33017111978384872</v>
      </c>
    </row>
    <row r="9" spans="1:20" x14ac:dyDescent="0.25">
      <c r="A9" s="103"/>
      <c r="B9" s="14" t="s">
        <v>5</v>
      </c>
      <c r="C9" s="13">
        <v>14699</v>
      </c>
      <c r="D9" s="13">
        <v>13712</v>
      </c>
      <c r="E9" s="13">
        <v>15131</v>
      </c>
      <c r="F9" s="13">
        <v>15002</v>
      </c>
      <c r="G9" s="13">
        <v>14625</v>
      </c>
      <c r="H9" s="13">
        <v>13783</v>
      </c>
      <c r="I9" s="13">
        <v>16146</v>
      </c>
      <c r="K9" s="98" t="s">
        <v>24</v>
      </c>
      <c r="L9" s="1" t="s">
        <v>18</v>
      </c>
      <c r="M9" s="2">
        <f t="shared" ref="M9:S12" si="1">C10/C$15</f>
        <v>7.7453580901856766E-3</v>
      </c>
      <c r="N9" s="2">
        <f t="shared" si="1"/>
        <v>4.912207357859532E-3</v>
      </c>
      <c r="O9" s="2">
        <f t="shared" si="1"/>
        <v>5.8699440520957533E-3</v>
      </c>
      <c r="P9" s="2">
        <f t="shared" si="1"/>
        <v>7.383241758241758E-3</v>
      </c>
      <c r="Q9" s="2">
        <f t="shared" si="1"/>
        <v>5.9998285763263907E-3</v>
      </c>
      <c r="R9" s="2">
        <f t="shared" si="1"/>
        <v>6.082725060827251E-3</v>
      </c>
      <c r="S9" s="2">
        <f t="shared" si="1"/>
        <v>5.1429435788836785E-3</v>
      </c>
      <c r="T9" s="2">
        <f>H35/$H$40</f>
        <v>4.3921685401622865E-3</v>
      </c>
    </row>
    <row r="10" spans="1:20" x14ac:dyDescent="0.25">
      <c r="A10" s="103" t="s">
        <v>16</v>
      </c>
      <c r="B10" s="12" t="s">
        <v>0</v>
      </c>
      <c r="C10" s="13">
        <v>73</v>
      </c>
      <c r="D10" s="13">
        <v>47</v>
      </c>
      <c r="E10" s="13">
        <v>64</v>
      </c>
      <c r="F10" s="13">
        <v>86</v>
      </c>
      <c r="G10" s="13">
        <v>70</v>
      </c>
      <c r="H10" s="13">
        <v>75</v>
      </c>
      <c r="I10" s="13">
        <v>68</v>
      </c>
      <c r="K10" s="98"/>
      <c r="L10" s="1" t="s">
        <v>19</v>
      </c>
      <c r="M10" s="2">
        <f t="shared" si="1"/>
        <v>4.2652519893899205E-2</v>
      </c>
      <c r="N10" s="2">
        <f t="shared" si="1"/>
        <v>2.2366220735785952E-2</v>
      </c>
      <c r="O10" s="2">
        <f t="shared" si="1"/>
        <v>2.86159772539668E-2</v>
      </c>
      <c r="P10" s="2">
        <f t="shared" si="1"/>
        <v>3.210851648351648E-2</v>
      </c>
      <c r="Q10" s="2">
        <f t="shared" si="1"/>
        <v>3.1713379617725211E-2</v>
      </c>
      <c r="R10" s="2">
        <f t="shared" si="1"/>
        <v>2.7493917274939172E-2</v>
      </c>
      <c r="S10" s="2">
        <f t="shared" si="1"/>
        <v>3.2294660414460746E-2</v>
      </c>
      <c r="T10" s="2">
        <f>H36/$H$40</f>
        <v>3.2829598749348619E-2</v>
      </c>
    </row>
    <row r="11" spans="1:20" x14ac:dyDescent="0.25">
      <c r="A11" s="103"/>
      <c r="B11" s="12" t="s">
        <v>1</v>
      </c>
      <c r="C11" s="13">
        <v>402</v>
      </c>
      <c r="D11" s="13">
        <v>214</v>
      </c>
      <c r="E11" s="13">
        <v>312</v>
      </c>
      <c r="F11" s="13">
        <v>374</v>
      </c>
      <c r="G11" s="13">
        <v>370</v>
      </c>
      <c r="H11" s="13">
        <v>339</v>
      </c>
      <c r="I11" s="13">
        <v>427</v>
      </c>
      <c r="K11" s="98"/>
      <c r="L11" s="1" t="s">
        <v>20</v>
      </c>
      <c r="M11" s="2">
        <f t="shared" si="1"/>
        <v>0.66546419098143239</v>
      </c>
      <c r="N11" s="2">
        <f t="shared" si="1"/>
        <v>0.59887123745819393</v>
      </c>
      <c r="O11" s="2">
        <f t="shared" si="1"/>
        <v>0.6573420159589104</v>
      </c>
      <c r="P11" s="2">
        <f t="shared" si="1"/>
        <v>0.58731112637362637</v>
      </c>
      <c r="Q11" s="2">
        <f t="shared" si="1"/>
        <v>0.67352361361103974</v>
      </c>
      <c r="R11" s="2">
        <f t="shared" si="1"/>
        <v>0.66642335766423355</v>
      </c>
      <c r="S11" s="2">
        <f t="shared" si="1"/>
        <v>0.69732264407805178</v>
      </c>
      <c r="T11" s="2">
        <f>H37/$H$40</f>
        <v>0.70289585349512396</v>
      </c>
    </row>
    <row r="12" spans="1:20" x14ac:dyDescent="0.25">
      <c r="A12" s="103"/>
      <c r="B12" s="12" t="s">
        <v>2</v>
      </c>
      <c r="C12" s="13">
        <v>6272</v>
      </c>
      <c r="D12" s="13">
        <v>5730</v>
      </c>
      <c r="E12" s="13">
        <v>7167</v>
      </c>
      <c r="F12" s="13">
        <v>6841</v>
      </c>
      <c r="G12" s="13">
        <v>7858</v>
      </c>
      <c r="H12" s="13">
        <v>8217</v>
      </c>
      <c r="I12" s="13">
        <v>9220</v>
      </c>
      <c r="K12" s="98"/>
      <c r="L12" s="1" t="s">
        <v>21</v>
      </c>
      <c r="M12" s="2">
        <f t="shared" si="1"/>
        <v>0.27045092838196289</v>
      </c>
      <c r="N12" s="2">
        <f t="shared" si="1"/>
        <v>0.36444397993311034</v>
      </c>
      <c r="O12" s="2">
        <f t="shared" si="1"/>
        <v>0.29533156012106759</v>
      </c>
      <c r="P12" s="2">
        <f t="shared" si="1"/>
        <v>0.36212225274725274</v>
      </c>
      <c r="Q12" s="2">
        <f t="shared" si="1"/>
        <v>0.28876317819490871</v>
      </c>
      <c r="R12" s="2">
        <f t="shared" si="1"/>
        <v>0.28888888888888886</v>
      </c>
      <c r="S12" s="2">
        <f t="shared" si="1"/>
        <v>0.25328997126002117</v>
      </c>
      <c r="T12" s="2">
        <f>H38/$H$40</f>
        <v>0.24893917963224893</v>
      </c>
    </row>
    <row r="13" spans="1:20" x14ac:dyDescent="0.25">
      <c r="A13" s="103"/>
      <c r="B13" s="12" t="s">
        <v>3</v>
      </c>
      <c r="C13" s="13">
        <v>2549</v>
      </c>
      <c r="D13" s="13">
        <v>3487</v>
      </c>
      <c r="E13" s="13">
        <v>3220</v>
      </c>
      <c r="F13" s="13">
        <v>4218</v>
      </c>
      <c r="G13" s="13">
        <v>3369</v>
      </c>
      <c r="H13" s="13">
        <v>3562</v>
      </c>
      <c r="I13" s="13">
        <v>3349</v>
      </c>
      <c r="K13" s="98" t="s">
        <v>23</v>
      </c>
      <c r="L13" s="1" t="s">
        <v>18</v>
      </c>
      <c r="M13" s="2">
        <f t="shared" ref="M13:S16" si="2">C16/C$21</f>
        <v>8.1325301204819272E-3</v>
      </c>
      <c r="N13" s="2">
        <f t="shared" si="2"/>
        <v>3.7508454774641824E-3</v>
      </c>
      <c r="O13" s="2">
        <f t="shared" si="2"/>
        <v>6.6398839415243837E-3</v>
      </c>
      <c r="P13" s="2">
        <f t="shared" si="2"/>
        <v>5.5004314063848148E-3</v>
      </c>
      <c r="Q13" s="2">
        <f t="shared" si="2"/>
        <v>5.5439330543933059E-3</v>
      </c>
      <c r="R13" s="2">
        <f t="shared" si="2"/>
        <v>3.2380756578947369E-3</v>
      </c>
      <c r="S13" s="2">
        <f t="shared" si="2"/>
        <v>3.6800785083415115E-3</v>
      </c>
      <c r="T13" s="2">
        <f>M35/$M$40</f>
        <v>4.16891461081956E-3</v>
      </c>
    </row>
    <row r="14" spans="1:20" x14ac:dyDescent="0.25">
      <c r="A14" s="103"/>
      <c r="B14" s="12" t="s">
        <v>4</v>
      </c>
      <c r="C14" s="13">
        <v>129</v>
      </c>
      <c r="D14" s="13">
        <v>90</v>
      </c>
      <c r="E14" s="13">
        <v>140</v>
      </c>
      <c r="F14" s="13">
        <v>129</v>
      </c>
      <c r="G14" s="13">
        <v>0</v>
      </c>
      <c r="H14" s="13">
        <v>137</v>
      </c>
      <c r="I14" s="13">
        <v>158</v>
      </c>
      <c r="K14" s="98"/>
      <c r="L14" s="1" t="s">
        <v>19</v>
      </c>
      <c r="M14" s="2">
        <f t="shared" si="2"/>
        <v>3.6807228915662647E-2</v>
      </c>
      <c r="N14" s="2">
        <f t="shared" si="2"/>
        <v>1.9799544979401094E-2</v>
      </c>
      <c r="O14" s="2">
        <f t="shared" si="2"/>
        <v>3.3534203771900459E-2</v>
      </c>
      <c r="P14" s="2">
        <f t="shared" si="2"/>
        <v>3.1816220880069024E-2</v>
      </c>
      <c r="Q14" s="2">
        <f t="shared" si="2"/>
        <v>2.981171548117155E-2</v>
      </c>
      <c r="R14" s="2">
        <f t="shared" si="2"/>
        <v>2.2512335526315791E-2</v>
      </c>
      <c r="S14" s="2">
        <f t="shared" si="2"/>
        <v>2.3258096172718352E-2</v>
      </c>
      <c r="T14" s="2">
        <f>M36/$M$40</f>
        <v>2.27573691696503E-2</v>
      </c>
    </row>
    <row r="15" spans="1:20" x14ac:dyDescent="0.25">
      <c r="A15" s="103"/>
      <c r="B15" s="14" t="s">
        <v>5</v>
      </c>
      <c r="C15" s="13">
        <v>9425</v>
      </c>
      <c r="D15" s="13">
        <v>9568</v>
      </c>
      <c r="E15" s="13">
        <v>10903</v>
      </c>
      <c r="F15" s="13">
        <v>11648</v>
      </c>
      <c r="G15" s="13">
        <v>11667</v>
      </c>
      <c r="H15" s="13">
        <v>12330</v>
      </c>
      <c r="I15" s="13">
        <v>13222</v>
      </c>
      <c r="K15" s="98"/>
      <c r="L15" s="1" t="s">
        <v>20</v>
      </c>
      <c r="M15" s="2">
        <f t="shared" si="2"/>
        <v>0.55909638554216867</v>
      </c>
      <c r="N15" s="2">
        <f t="shared" si="2"/>
        <v>0.57055893746541231</v>
      </c>
      <c r="O15" s="2">
        <f t="shared" si="2"/>
        <v>0.57432206226983595</v>
      </c>
      <c r="P15" s="2">
        <f t="shared" si="2"/>
        <v>0.55246980155306302</v>
      </c>
      <c r="Q15" s="2">
        <f t="shared" si="2"/>
        <v>0.60031380753138075</v>
      </c>
      <c r="R15" s="2">
        <f t="shared" si="2"/>
        <v>0.56440172697368418</v>
      </c>
      <c r="S15" s="2">
        <f t="shared" si="2"/>
        <v>0.57311089303238472</v>
      </c>
      <c r="T15" s="2">
        <f>M37/$M$40</f>
        <v>0.59527196037078822</v>
      </c>
    </row>
    <row r="16" spans="1:20" x14ac:dyDescent="0.25">
      <c r="A16" s="103" t="s">
        <v>17</v>
      </c>
      <c r="B16" s="12" t="s">
        <v>0</v>
      </c>
      <c r="C16" s="13">
        <v>135</v>
      </c>
      <c r="D16" s="13">
        <v>61</v>
      </c>
      <c r="E16" s="13">
        <v>119</v>
      </c>
      <c r="F16" s="13">
        <v>102</v>
      </c>
      <c r="G16" s="13">
        <v>106</v>
      </c>
      <c r="H16" s="13">
        <v>63</v>
      </c>
      <c r="I16" s="13">
        <v>75</v>
      </c>
      <c r="K16" s="98"/>
      <c r="L16" s="1" t="s">
        <v>21</v>
      </c>
      <c r="M16" s="2">
        <f t="shared" si="2"/>
        <v>0.39162650602409638</v>
      </c>
      <c r="N16" s="2">
        <f t="shared" si="2"/>
        <v>0.40158642316915699</v>
      </c>
      <c r="O16" s="2">
        <f t="shared" si="2"/>
        <v>0.3822118067180002</v>
      </c>
      <c r="P16" s="2">
        <f t="shared" si="2"/>
        <v>0.40616911130284727</v>
      </c>
      <c r="Q16" s="2">
        <f t="shared" si="2"/>
        <v>0.36433054393305442</v>
      </c>
      <c r="R16" s="2">
        <f t="shared" si="2"/>
        <v>0.40481085526315791</v>
      </c>
      <c r="S16" s="2">
        <f t="shared" si="2"/>
        <v>0.39666339548577034</v>
      </c>
      <c r="T16" s="2">
        <f>M38/$M$40</f>
        <v>0.37485899259404581</v>
      </c>
    </row>
    <row r="17" spans="1:16" x14ac:dyDescent="0.25">
      <c r="A17" s="103"/>
      <c r="B17" s="12" t="s">
        <v>1</v>
      </c>
      <c r="C17" s="13">
        <v>611</v>
      </c>
      <c r="D17" s="13">
        <v>322</v>
      </c>
      <c r="E17" s="13">
        <v>601</v>
      </c>
      <c r="F17" s="13">
        <v>590</v>
      </c>
      <c r="G17" s="13">
        <v>570</v>
      </c>
      <c r="H17" s="13">
        <v>438</v>
      </c>
      <c r="I17" s="13">
        <v>474</v>
      </c>
    </row>
    <row r="18" spans="1:16" x14ac:dyDescent="0.25">
      <c r="A18" s="103"/>
      <c r="B18" s="12" t="s">
        <v>2</v>
      </c>
      <c r="C18" s="13">
        <v>9281</v>
      </c>
      <c r="D18" s="13">
        <v>9279</v>
      </c>
      <c r="E18" s="13">
        <v>10293</v>
      </c>
      <c r="F18" s="13">
        <v>10245</v>
      </c>
      <c r="G18" s="13">
        <v>11478</v>
      </c>
      <c r="H18" s="13">
        <v>10981</v>
      </c>
      <c r="I18" s="13">
        <v>11680</v>
      </c>
    </row>
    <row r="19" spans="1:16" x14ac:dyDescent="0.25">
      <c r="A19" s="103"/>
      <c r="B19" s="12" t="s">
        <v>3</v>
      </c>
      <c r="C19" s="13">
        <v>6501</v>
      </c>
      <c r="D19" s="13">
        <v>6531</v>
      </c>
      <c r="E19" s="13">
        <v>6850</v>
      </c>
      <c r="F19" s="13">
        <v>7532</v>
      </c>
      <c r="G19" s="13">
        <v>6966</v>
      </c>
      <c r="H19" s="13">
        <v>7876</v>
      </c>
      <c r="I19" s="13">
        <v>8084</v>
      </c>
    </row>
    <row r="20" spans="1:16" x14ac:dyDescent="0.25">
      <c r="A20" s="103"/>
      <c r="B20" s="12" t="s">
        <v>4</v>
      </c>
      <c r="C20" s="13">
        <v>72</v>
      </c>
      <c r="D20" s="13">
        <v>70</v>
      </c>
      <c r="E20" s="13">
        <v>59</v>
      </c>
      <c r="F20" s="13">
        <v>75</v>
      </c>
      <c r="G20" s="13">
        <v>0</v>
      </c>
      <c r="H20" s="13">
        <v>98</v>
      </c>
      <c r="I20" s="13">
        <v>67</v>
      </c>
    </row>
    <row r="21" spans="1:16" ht="15.75" thickBot="1" x14ac:dyDescent="0.3">
      <c r="A21" s="104"/>
      <c r="B21" s="15" t="s">
        <v>5</v>
      </c>
      <c r="C21" s="16">
        <v>16600</v>
      </c>
      <c r="D21" s="16">
        <v>16263</v>
      </c>
      <c r="E21" s="16">
        <v>17922</v>
      </c>
      <c r="F21" s="16">
        <v>18544</v>
      </c>
      <c r="G21" s="16">
        <v>19120</v>
      </c>
      <c r="H21" s="16">
        <v>19456</v>
      </c>
      <c r="I21" s="16">
        <v>20380</v>
      </c>
    </row>
    <row r="22" spans="1:16" ht="15.75" thickTop="1" x14ac:dyDescent="0.25">
      <c r="A22" s="1"/>
    </row>
    <row r="23" spans="1:16" ht="15.75" thickBot="1" x14ac:dyDescent="0.3"/>
    <row r="24" spans="1:16" ht="15.75" thickTop="1" x14ac:dyDescent="0.25">
      <c r="A24" s="105"/>
      <c r="B24" s="105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</row>
    <row r="25" spans="1:16" x14ac:dyDescent="0.25">
      <c r="A25" s="106"/>
      <c r="B25" s="106"/>
      <c r="C25" s="99" t="s">
        <v>39</v>
      </c>
      <c r="D25" s="99"/>
      <c r="E25" s="99"/>
      <c r="F25" s="99"/>
      <c r="G25" s="99" t="s">
        <v>24</v>
      </c>
      <c r="H25" s="99"/>
      <c r="I25" s="99"/>
      <c r="J25" s="99"/>
      <c r="K25" s="99"/>
      <c r="L25" s="99" t="s">
        <v>23</v>
      </c>
      <c r="M25" s="99"/>
      <c r="N25" s="99"/>
      <c r="O25" s="99"/>
      <c r="P25" s="99"/>
    </row>
    <row r="26" spans="1:16" x14ac:dyDescent="0.25">
      <c r="A26" s="106"/>
      <c r="B26" s="106"/>
      <c r="C26" s="99"/>
      <c r="D26" s="99"/>
      <c r="E26" s="99"/>
      <c r="F26" s="99"/>
      <c r="G26" s="99" t="s">
        <v>34</v>
      </c>
      <c r="H26" s="99"/>
      <c r="I26" s="99"/>
      <c r="J26" s="99"/>
      <c r="K26" s="99"/>
      <c r="L26" s="99" t="s">
        <v>34</v>
      </c>
      <c r="M26" s="99"/>
      <c r="N26" s="99"/>
      <c r="O26" s="99"/>
      <c r="P26" s="99"/>
    </row>
    <row r="27" spans="1:16" x14ac:dyDescent="0.25">
      <c r="A27" s="106"/>
      <c r="B27" s="106"/>
      <c r="C27" s="31" t="s">
        <v>0</v>
      </c>
      <c r="D27" s="31" t="s">
        <v>1</v>
      </c>
      <c r="E27" s="31" t="s">
        <v>2</v>
      </c>
      <c r="F27" s="31" t="s">
        <v>3</v>
      </c>
      <c r="G27" s="31" t="s">
        <v>35</v>
      </c>
      <c r="H27" s="31" t="s">
        <v>0</v>
      </c>
      <c r="I27" s="31" t="s">
        <v>1</v>
      </c>
      <c r="J27" s="31" t="s">
        <v>2</v>
      </c>
      <c r="K27" s="31" t="s">
        <v>3</v>
      </c>
      <c r="L27" s="31" t="s">
        <v>35</v>
      </c>
      <c r="M27" s="31" t="s">
        <v>0</v>
      </c>
      <c r="N27" s="31" t="s">
        <v>1</v>
      </c>
      <c r="O27" s="31" t="s">
        <v>2</v>
      </c>
      <c r="P27" s="31" t="s">
        <v>3</v>
      </c>
    </row>
    <row r="28" spans="1:16" ht="15.75" thickBot="1" x14ac:dyDescent="0.3">
      <c r="A28" s="107"/>
      <c r="B28" s="107"/>
      <c r="C28" s="32" t="s">
        <v>6</v>
      </c>
      <c r="D28" s="32" t="s">
        <v>6</v>
      </c>
      <c r="E28" s="32" t="s">
        <v>6</v>
      </c>
      <c r="F28" s="32" t="s">
        <v>6</v>
      </c>
      <c r="G28" s="32" t="s">
        <v>6</v>
      </c>
      <c r="H28" s="32" t="s">
        <v>6</v>
      </c>
      <c r="I28" s="32" t="s">
        <v>6</v>
      </c>
      <c r="J28" s="32" t="s">
        <v>6</v>
      </c>
      <c r="K28" s="32" t="s">
        <v>6</v>
      </c>
      <c r="L28" s="32" t="s">
        <v>6</v>
      </c>
      <c r="M28" s="32" t="s">
        <v>6</v>
      </c>
      <c r="N28" s="32" t="s">
        <v>6</v>
      </c>
      <c r="O28" s="32" t="s">
        <v>6</v>
      </c>
      <c r="P28" s="32" t="s">
        <v>6</v>
      </c>
    </row>
    <row r="29" spans="1:16" ht="15.75" thickTop="1" x14ac:dyDescent="0.25">
      <c r="A29" s="100" t="s">
        <v>40</v>
      </c>
      <c r="B29" s="33" t="s">
        <v>0</v>
      </c>
      <c r="C29" s="34">
        <v>14</v>
      </c>
      <c r="D29" s="34">
        <v>3</v>
      </c>
      <c r="E29" s="34">
        <v>1</v>
      </c>
      <c r="F29" s="34">
        <v>28</v>
      </c>
      <c r="G29" s="34">
        <v>7966</v>
      </c>
      <c r="H29" s="34">
        <v>20</v>
      </c>
      <c r="I29" s="34">
        <v>19</v>
      </c>
      <c r="J29" s="34">
        <v>11</v>
      </c>
      <c r="K29" s="34">
        <v>9</v>
      </c>
      <c r="L29" s="34">
        <v>17911</v>
      </c>
      <c r="M29" s="34">
        <v>27</v>
      </c>
      <c r="N29" s="34">
        <v>18</v>
      </c>
      <c r="O29" s="34">
        <v>6</v>
      </c>
      <c r="P29" s="34">
        <v>34</v>
      </c>
    </row>
    <row r="30" spans="1:16" x14ac:dyDescent="0.25">
      <c r="A30" s="101"/>
      <c r="B30" s="35" t="s">
        <v>1</v>
      </c>
      <c r="C30" s="36">
        <v>39</v>
      </c>
      <c r="D30" s="36">
        <v>30</v>
      </c>
      <c r="E30" s="36">
        <v>10</v>
      </c>
      <c r="F30" s="36">
        <v>229</v>
      </c>
      <c r="G30" s="36">
        <v>26661</v>
      </c>
      <c r="H30" s="36">
        <v>97</v>
      </c>
      <c r="I30" s="36">
        <v>177</v>
      </c>
      <c r="J30" s="36">
        <v>65</v>
      </c>
      <c r="K30" s="36">
        <v>102</v>
      </c>
      <c r="L30" s="36">
        <v>34540</v>
      </c>
      <c r="M30" s="36">
        <v>104</v>
      </c>
      <c r="N30" s="36">
        <v>126</v>
      </c>
      <c r="O30" s="36">
        <v>41</v>
      </c>
      <c r="P30" s="36">
        <v>193</v>
      </c>
    </row>
    <row r="31" spans="1:16" x14ac:dyDescent="0.25">
      <c r="A31" s="101"/>
      <c r="B31" s="35" t="s">
        <v>2</v>
      </c>
      <c r="C31" s="36">
        <v>2081</v>
      </c>
      <c r="D31" s="36">
        <v>2534</v>
      </c>
      <c r="E31" s="36">
        <v>2265</v>
      </c>
      <c r="F31" s="36">
        <v>3893</v>
      </c>
      <c r="G31" s="36">
        <v>62877</v>
      </c>
      <c r="H31" s="36">
        <v>1843</v>
      </c>
      <c r="I31" s="36">
        <v>3074</v>
      </c>
      <c r="J31" s="36">
        <v>3330</v>
      </c>
      <c r="K31" s="36">
        <v>1195</v>
      </c>
      <c r="L31" s="36">
        <v>89931</v>
      </c>
      <c r="M31" s="36">
        <v>2417</v>
      </c>
      <c r="N31" s="36">
        <v>3809</v>
      </c>
      <c r="O31" s="36">
        <v>3115</v>
      </c>
      <c r="P31" s="36">
        <v>2796</v>
      </c>
    </row>
    <row r="32" spans="1:16" x14ac:dyDescent="0.25">
      <c r="A32" s="101"/>
      <c r="B32" s="35" t="s">
        <v>3</v>
      </c>
      <c r="C32" s="36">
        <v>1252</v>
      </c>
      <c r="D32" s="36">
        <v>926</v>
      </c>
      <c r="E32" s="36">
        <v>2374</v>
      </c>
      <c r="F32" s="36">
        <v>947</v>
      </c>
      <c r="G32" s="36">
        <v>3462</v>
      </c>
      <c r="H32" s="36">
        <v>732</v>
      </c>
      <c r="I32" s="36">
        <v>538</v>
      </c>
      <c r="J32" s="36">
        <v>1848</v>
      </c>
      <c r="K32" s="36">
        <v>226</v>
      </c>
      <c r="L32" s="36">
        <v>7975</v>
      </c>
      <c r="M32" s="36">
        <v>1744</v>
      </c>
      <c r="N32" s="36">
        <v>1244</v>
      </c>
      <c r="O32" s="36">
        <v>3835</v>
      </c>
      <c r="P32" s="36">
        <v>820</v>
      </c>
    </row>
    <row r="33" spans="1:16" ht="15.75" thickBot="1" x14ac:dyDescent="0.3">
      <c r="A33" s="102"/>
      <c r="B33" s="37" t="s">
        <v>4</v>
      </c>
      <c r="C33" s="38">
        <v>3</v>
      </c>
      <c r="D33" s="38">
        <v>6</v>
      </c>
      <c r="E33" s="38">
        <v>13</v>
      </c>
      <c r="F33" s="38">
        <v>7</v>
      </c>
      <c r="G33" s="38">
        <v>2440</v>
      </c>
      <c r="H33" s="38">
        <v>38</v>
      </c>
      <c r="I33" s="38">
        <v>34</v>
      </c>
      <c r="J33" s="38">
        <v>48</v>
      </c>
      <c r="K33" s="38">
        <v>27</v>
      </c>
      <c r="L33" s="38">
        <v>1175</v>
      </c>
      <c r="M33" s="38">
        <v>16</v>
      </c>
      <c r="N33" s="38">
        <v>14</v>
      </c>
      <c r="O33" s="38">
        <v>21</v>
      </c>
      <c r="P33" s="38">
        <v>9</v>
      </c>
    </row>
    <row r="34" spans="1:16" ht="15.75" thickTop="1" x14ac:dyDescent="0.25"/>
    <row r="35" spans="1:16" x14ac:dyDescent="0.25">
      <c r="C35" s="39">
        <f>SUM(C29:F29)</f>
        <v>46</v>
      </c>
      <c r="D35" s="39"/>
      <c r="E35" s="39"/>
      <c r="F35" s="39"/>
      <c r="G35" s="39"/>
      <c r="H35" s="39">
        <f>SUM(H29:K29)</f>
        <v>59</v>
      </c>
      <c r="I35" s="39"/>
      <c r="J35" s="39"/>
      <c r="K35" s="39"/>
      <c r="L35" s="39"/>
      <c r="M35" s="39">
        <f>SUM(M29:P29)</f>
        <v>85</v>
      </c>
      <c r="N35" s="39"/>
      <c r="O35" s="39"/>
      <c r="P35" s="39"/>
    </row>
    <row r="36" spans="1:16" x14ac:dyDescent="0.25">
      <c r="C36" s="39">
        <f>SUM(C30:F30)</f>
        <v>308</v>
      </c>
      <c r="H36" s="39">
        <f>SUM(H30:K30)</f>
        <v>441</v>
      </c>
      <c r="M36" s="39">
        <f>SUM(M30:P30)</f>
        <v>464</v>
      </c>
    </row>
    <row r="37" spans="1:16" x14ac:dyDescent="0.25">
      <c r="C37" s="39">
        <f>SUM(C31:F31)</f>
        <v>10773</v>
      </c>
      <c r="H37" s="39">
        <f>SUM(H31:K31)</f>
        <v>9442</v>
      </c>
      <c r="M37" s="39">
        <f>SUM(M31:P31)</f>
        <v>12137</v>
      </c>
    </row>
    <row r="38" spans="1:16" x14ac:dyDescent="0.25">
      <c r="C38" s="39">
        <f>SUM(C32:F32)</f>
        <v>5499</v>
      </c>
      <c r="H38" s="39">
        <f>SUM(H32:K32)</f>
        <v>3344</v>
      </c>
      <c r="M38" s="39">
        <f>SUM(M32:P32)</f>
        <v>7643</v>
      </c>
    </row>
    <row r="39" spans="1:16" x14ac:dyDescent="0.25">
      <c r="C39" s="39">
        <f>SUM(C33:F33)</f>
        <v>29</v>
      </c>
      <c r="H39" s="39">
        <f>SUM(H33:K33)</f>
        <v>147</v>
      </c>
      <c r="M39" s="39">
        <f>SUM(M33:P33)</f>
        <v>60</v>
      </c>
    </row>
    <row r="40" spans="1:16" x14ac:dyDescent="0.25">
      <c r="C40" s="39">
        <f>SUM(C29:F33)</f>
        <v>16655</v>
      </c>
      <c r="H40" s="39">
        <f>SUM(H29:K33)</f>
        <v>13433</v>
      </c>
      <c r="M40" s="39">
        <f>SUM(M29:P33)</f>
        <v>20389</v>
      </c>
    </row>
  </sheetData>
  <mergeCells count="17">
    <mergeCell ref="A1:B3"/>
    <mergeCell ref="C1:I1"/>
    <mergeCell ref="A4:A9"/>
    <mergeCell ref="A10:A15"/>
    <mergeCell ref="A16:A21"/>
    <mergeCell ref="K5:K8"/>
    <mergeCell ref="K9:K12"/>
    <mergeCell ref="K13:K16"/>
    <mergeCell ref="A24:B28"/>
    <mergeCell ref="C24:P24"/>
    <mergeCell ref="C25:F25"/>
    <mergeCell ref="G25:K25"/>
    <mergeCell ref="L25:P25"/>
    <mergeCell ref="C26:F26"/>
    <mergeCell ref="G26:K26"/>
    <mergeCell ref="L26:P26"/>
    <mergeCell ref="A29:A33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workbookViewId="0">
      <selection activeCell="L4" sqref="L4:U16"/>
    </sheetView>
  </sheetViews>
  <sheetFormatPr defaultRowHeight="15" x14ac:dyDescent="0.25"/>
  <cols>
    <col min="13" max="13" width="17.7109375" bestFit="1" customWidth="1"/>
  </cols>
  <sheetData>
    <row r="1" spans="1:21" ht="15.75" thickTop="1" x14ac:dyDescent="0.25">
      <c r="A1" s="116"/>
      <c r="B1" s="116"/>
      <c r="C1" s="115" t="s">
        <v>7</v>
      </c>
      <c r="D1" s="115"/>
      <c r="E1" s="115"/>
      <c r="F1" s="115"/>
      <c r="G1" s="115"/>
      <c r="H1" s="115"/>
      <c r="I1" s="115"/>
      <c r="J1" s="115"/>
      <c r="K1" s="17"/>
    </row>
    <row r="2" spans="1:21" x14ac:dyDescent="0.25">
      <c r="A2" s="117"/>
      <c r="B2" s="117"/>
      <c r="C2" s="18" t="s">
        <v>32</v>
      </c>
      <c r="D2" s="18" t="s">
        <v>25</v>
      </c>
      <c r="E2" s="18" t="s">
        <v>26</v>
      </c>
      <c r="F2" s="18" t="s">
        <v>27</v>
      </c>
      <c r="G2" s="18" t="s">
        <v>28</v>
      </c>
      <c r="H2" s="18" t="s">
        <v>29</v>
      </c>
      <c r="I2" s="18" t="s">
        <v>30</v>
      </c>
      <c r="J2" s="18" t="s">
        <v>31</v>
      </c>
      <c r="K2" s="17"/>
    </row>
    <row r="3" spans="1:21" ht="15.75" thickBot="1" x14ac:dyDescent="0.3">
      <c r="A3" s="118"/>
      <c r="B3" s="118"/>
      <c r="C3" s="19" t="s">
        <v>6</v>
      </c>
      <c r="D3" s="19" t="s">
        <v>6</v>
      </c>
      <c r="E3" s="19" t="s">
        <v>6</v>
      </c>
      <c r="F3" s="19" t="s">
        <v>6</v>
      </c>
      <c r="G3" s="19" t="s">
        <v>6</v>
      </c>
      <c r="H3" s="19" t="s">
        <v>6</v>
      </c>
      <c r="I3" s="19" t="s">
        <v>6</v>
      </c>
      <c r="J3" s="19" t="s">
        <v>6</v>
      </c>
      <c r="K3" s="17"/>
    </row>
    <row r="4" spans="1:21" ht="15.75" thickTop="1" x14ac:dyDescent="0.25">
      <c r="A4" s="113" t="s">
        <v>15</v>
      </c>
      <c r="B4" s="20" t="s">
        <v>0</v>
      </c>
      <c r="C4" s="21">
        <v>34</v>
      </c>
      <c r="D4" s="21">
        <v>74</v>
      </c>
      <c r="E4" s="21">
        <v>29</v>
      </c>
      <c r="F4" s="21">
        <v>62</v>
      </c>
      <c r="G4" s="21">
        <v>37</v>
      </c>
      <c r="H4" s="21">
        <v>27</v>
      </c>
      <c r="I4" s="21">
        <v>12</v>
      </c>
      <c r="J4" s="21">
        <v>21</v>
      </c>
      <c r="K4" s="17"/>
      <c r="L4" s="1"/>
      <c r="M4" s="1"/>
      <c r="N4" s="1">
        <v>2005</v>
      </c>
      <c r="O4" s="1">
        <v>2006</v>
      </c>
      <c r="P4" s="1">
        <v>2007</v>
      </c>
      <c r="Q4" s="1">
        <v>2008</v>
      </c>
      <c r="R4" s="1">
        <v>2009</v>
      </c>
      <c r="S4" s="1">
        <v>2010</v>
      </c>
      <c r="T4" s="1">
        <v>2011</v>
      </c>
      <c r="U4" s="1">
        <v>2012</v>
      </c>
    </row>
    <row r="5" spans="1:21" x14ac:dyDescent="0.25">
      <c r="A5" s="113"/>
      <c r="B5" s="20" t="s">
        <v>1</v>
      </c>
      <c r="C5" s="21">
        <v>314</v>
      </c>
      <c r="D5" s="21">
        <v>611</v>
      </c>
      <c r="E5" s="21">
        <v>275</v>
      </c>
      <c r="F5" s="21">
        <v>403</v>
      </c>
      <c r="G5" s="21">
        <v>330</v>
      </c>
      <c r="H5" s="21">
        <v>287</v>
      </c>
      <c r="I5" s="21">
        <v>174</v>
      </c>
      <c r="J5" s="21">
        <v>270</v>
      </c>
      <c r="K5" s="17"/>
      <c r="L5" s="98" t="s">
        <v>22</v>
      </c>
      <c r="M5" s="1" t="s">
        <v>18</v>
      </c>
      <c r="N5" s="2">
        <f t="shared" ref="N5:T8" si="0">D4/D$9</f>
        <v>5.0299075584556829E-3</v>
      </c>
      <c r="O5" s="2">
        <f t="shared" si="0"/>
        <v>2.1144732045205979E-3</v>
      </c>
      <c r="P5" s="2">
        <f t="shared" si="0"/>
        <v>4.0856672158154856E-3</v>
      </c>
      <c r="Q5" s="2">
        <f t="shared" si="0"/>
        <v>2.4584717607973421E-3</v>
      </c>
      <c r="R5" s="2">
        <f t="shared" si="0"/>
        <v>1.8443882778878338E-3</v>
      </c>
      <c r="S5" s="2">
        <f t="shared" si="0"/>
        <v>8.7082728592162558E-4</v>
      </c>
      <c r="T5" s="2">
        <f t="shared" si="0"/>
        <v>1.2977382276603633E-3</v>
      </c>
      <c r="U5" s="2">
        <f>Q26/$Q$31</f>
        <v>1.8002880460873741E-3</v>
      </c>
    </row>
    <row r="6" spans="1:21" x14ac:dyDescent="0.25">
      <c r="A6" s="113"/>
      <c r="B6" s="20" t="s">
        <v>2</v>
      </c>
      <c r="C6" s="21">
        <v>1737</v>
      </c>
      <c r="D6" s="21">
        <v>3829</v>
      </c>
      <c r="E6" s="21">
        <v>2995</v>
      </c>
      <c r="F6" s="21">
        <v>3103</v>
      </c>
      <c r="G6" s="21">
        <v>3075</v>
      </c>
      <c r="H6" s="21">
        <v>2613</v>
      </c>
      <c r="I6" s="21">
        <v>2011</v>
      </c>
      <c r="J6" s="21">
        <v>2840</v>
      </c>
      <c r="K6" s="17"/>
      <c r="L6" s="98"/>
      <c r="M6" s="1" t="s">
        <v>19</v>
      </c>
      <c r="N6" s="2">
        <f t="shared" si="0"/>
        <v>4.1530723219140836E-2</v>
      </c>
      <c r="O6" s="2">
        <f t="shared" si="0"/>
        <v>2.005103900838498E-2</v>
      </c>
      <c r="P6" s="2">
        <f t="shared" si="0"/>
        <v>2.6556836902800657E-2</v>
      </c>
      <c r="Q6" s="2">
        <f t="shared" si="0"/>
        <v>2.1926910299003323E-2</v>
      </c>
      <c r="R6" s="2">
        <f t="shared" si="0"/>
        <v>1.9605164287178085E-2</v>
      </c>
      <c r="S6" s="2">
        <f t="shared" si="0"/>
        <v>1.2626995645863571E-2</v>
      </c>
      <c r="T6" s="2">
        <f t="shared" si="0"/>
        <v>1.6685205784204672E-2</v>
      </c>
      <c r="U6" s="2">
        <f>Q27/$Q$31</f>
        <v>1.6622659625540086E-2</v>
      </c>
    </row>
    <row r="7" spans="1:21" x14ac:dyDescent="0.25">
      <c r="A7" s="113"/>
      <c r="B7" s="20" t="s">
        <v>3</v>
      </c>
      <c r="C7" s="21">
        <v>4399</v>
      </c>
      <c r="D7" s="21">
        <v>10153</v>
      </c>
      <c r="E7" s="21">
        <v>10391</v>
      </c>
      <c r="F7" s="21">
        <v>11587</v>
      </c>
      <c r="G7" s="21">
        <v>11587</v>
      </c>
      <c r="H7" s="21">
        <v>11712</v>
      </c>
      <c r="I7" s="21">
        <v>11531</v>
      </c>
      <c r="J7" s="21">
        <v>13025</v>
      </c>
      <c r="K7" s="17"/>
      <c r="L7" s="98"/>
      <c r="M7" s="1" t="s">
        <v>20</v>
      </c>
      <c r="N7" s="2">
        <f t="shared" si="0"/>
        <v>0.2602637302882001</v>
      </c>
      <c r="O7" s="2">
        <f t="shared" si="0"/>
        <v>0.21837404301859278</v>
      </c>
      <c r="P7" s="2">
        <f t="shared" si="0"/>
        <v>0.20448105436573311</v>
      </c>
      <c r="Q7" s="2">
        <f t="shared" si="0"/>
        <v>0.20431893687707642</v>
      </c>
      <c r="R7" s="2">
        <f t="shared" si="0"/>
        <v>0.17849579889336703</v>
      </c>
      <c r="S7" s="2">
        <f t="shared" si="0"/>
        <v>0.14593613933236574</v>
      </c>
      <c r="T7" s="2">
        <f t="shared" si="0"/>
        <v>0.17550364602644913</v>
      </c>
      <c r="U7" s="2">
        <f>Q28/$Q$31</f>
        <v>0.16358617378780604</v>
      </c>
    </row>
    <row r="8" spans="1:21" x14ac:dyDescent="0.25">
      <c r="A8" s="113"/>
      <c r="B8" s="20" t="s">
        <v>4</v>
      </c>
      <c r="C8" s="21">
        <v>6</v>
      </c>
      <c r="D8" s="21">
        <v>45</v>
      </c>
      <c r="E8" s="21">
        <v>25</v>
      </c>
      <c r="F8" s="21">
        <v>20</v>
      </c>
      <c r="G8" s="21">
        <v>21</v>
      </c>
      <c r="H8" s="21">
        <v>0</v>
      </c>
      <c r="I8" s="21">
        <v>52</v>
      </c>
      <c r="J8" s="21">
        <v>26</v>
      </c>
      <c r="K8" s="17"/>
      <c r="L8" s="98"/>
      <c r="M8" s="1" t="s">
        <v>21</v>
      </c>
      <c r="N8" s="2">
        <f t="shared" si="0"/>
        <v>0.69011691136487219</v>
      </c>
      <c r="O8" s="2">
        <f t="shared" si="0"/>
        <v>0.75763762304046667</v>
      </c>
      <c r="P8" s="2">
        <f t="shared" si="0"/>
        <v>0.76355848434925866</v>
      </c>
      <c r="Q8" s="2">
        <f t="shared" si="0"/>
        <v>0.76990033222591359</v>
      </c>
      <c r="R8" s="2">
        <f t="shared" si="0"/>
        <v>0.80005464854156705</v>
      </c>
      <c r="S8" s="2">
        <f t="shared" si="0"/>
        <v>0.83679245283018866</v>
      </c>
      <c r="T8" s="2">
        <f t="shared" si="0"/>
        <v>0.80490668644172536</v>
      </c>
      <c r="U8" s="2">
        <f>Q29/$Q$31</f>
        <v>0.81613058089294288</v>
      </c>
    </row>
    <row r="9" spans="1:21" x14ac:dyDescent="0.25">
      <c r="A9" s="113"/>
      <c r="B9" s="22" t="s">
        <v>5</v>
      </c>
      <c r="C9" s="21">
        <v>6490</v>
      </c>
      <c r="D9" s="21">
        <v>14712</v>
      </c>
      <c r="E9" s="21">
        <v>13715</v>
      </c>
      <c r="F9" s="21">
        <v>15175</v>
      </c>
      <c r="G9" s="21">
        <v>15050</v>
      </c>
      <c r="H9" s="21">
        <v>14639</v>
      </c>
      <c r="I9" s="21">
        <v>13780</v>
      </c>
      <c r="J9" s="21">
        <v>16182</v>
      </c>
      <c r="K9" s="17"/>
      <c r="L9" s="98" t="s">
        <v>24</v>
      </c>
      <c r="M9" s="1" t="s">
        <v>18</v>
      </c>
      <c r="N9" s="2">
        <f t="shared" ref="N9:T12" si="1">D10/D$15</f>
        <v>5.2949915110356537E-2</v>
      </c>
      <c r="O9" s="2">
        <f t="shared" si="1"/>
        <v>2.4158125915080528E-2</v>
      </c>
      <c r="P9" s="2">
        <f t="shared" si="1"/>
        <v>3.7943359912015397E-2</v>
      </c>
      <c r="Q9" s="2">
        <f t="shared" si="1"/>
        <v>3.3284721626490522E-2</v>
      </c>
      <c r="R9" s="2">
        <f t="shared" si="1"/>
        <v>4.2429426860564584E-2</v>
      </c>
      <c r="S9" s="2">
        <f t="shared" si="1"/>
        <v>2.7169505271695052E-2</v>
      </c>
      <c r="T9" s="2">
        <f t="shared" si="1"/>
        <v>2.6550680786686837E-2</v>
      </c>
      <c r="U9" s="2">
        <f>R26/$R$31</f>
        <v>2.4344848123883264E-2</v>
      </c>
    </row>
    <row r="10" spans="1:21" x14ac:dyDescent="0.25">
      <c r="A10" s="113" t="s">
        <v>16</v>
      </c>
      <c r="B10" s="20" t="s">
        <v>0</v>
      </c>
      <c r="C10" s="21">
        <v>529</v>
      </c>
      <c r="D10" s="21">
        <v>499</v>
      </c>
      <c r="E10" s="21">
        <v>231</v>
      </c>
      <c r="F10" s="21">
        <v>414</v>
      </c>
      <c r="G10" s="21">
        <v>388</v>
      </c>
      <c r="H10" s="21">
        <v>496</v>
      </c>
      <c r="I10" s="21">
        <v>335</v>
      </c>
      <c r="J10" s="21">
        <v>351</v>
      </c>
      <c r="K10" s="17"/>
      <c r="L10" s="98"/>
      <c r="M10" s="1" t="s">
        <v>19</v>
      </c>
      <c r="N10" s="2">
        <f t="shared" si="1"/>
        <v>0.16022920203735144</v>
      </c>
      <c r="O10" s="2">
        <f t="shared" si="1"/>
        <v>0.12120895210207069</v>
      </c>
      <c r="P10" s="2">
        <f t="shared" si="1"/>
        <v>0.14077536431124554</v>
      </c>
      <c r="Q10" s="2">
        <f t="shared" si="1"/>
        <v>0.13270995968087845</v>
      </c>
      <c r="R10" s="2">
        <f t="shared" si="1"/>
        <v>0.14867408041060737</v>
      </c>
      <c r="S10" s="2">
        <f t="shared" si="1"/>
        <v>0.13284671532846715</v>
      </c>
      <c r="T10" s="2">
        <f t="shared" si="1"/>
        <v>0.1235249621785174</v>
      </c>
      <c r="U10" s="2">
        <f>R27/$R$31</f>
        <v>0.12127754615842763</v>
      </c>
    </row>
    <row r="11" spans="1:21" x14ac:dyDescent="0.25">
      <c r="A11" s="113"/>
      <c r="B11" s="20" t="s">
        <v>1</v>
      </c>
      <c r="C11" s="21">
        <v>1550</v>
      </c>
      <c r="D11" s="21">
        <v>1510</v>
      </c>
      <c r="E11" s="21">
        <v>1159</v>
      </c>
      <c r="F11" s="21">
        <v>1536</v>
      </c>
      <c r="G11" s="21">
        <v>1547</v>
      </c>
      <c r="H11" s="21">
        <v>1738</v>
      </c>
      <c r="I11" s="21">
        <v>1638</v>
      </c>
      <c r="J11" s="21">
        <v>1633</v>
      </c>
      <c r="K11" s="17"/>
      <c r="L11" s="98"/>
      <c r="M11" s="1" t="s">
        <v>20</v>
      </c>
      <c r="N11" s="2">
        <f t="shared" si="1"/>
        <v>0.43421052631578949</v>
      </c>
      <c r="O11" s="2">
        <f t="shared" si="1"/>
        <v>0.44268981384647565</v>
      </c>
      <c r="P11" s="2">
        <f t="shared" si="1"/>
        <v>0.43158280634222346</v>
      </c>
      <c r="Q11" s="2">
        <f t="shared" si="1"/>
        <v>0.42721111778330617</v>
      </c>
      <c r="R11" s="2">
        <f t="shared" si="1"/>
        <v>0.42112917023096663</v>
      </c>
      <c r="S11" s="2">
        <f t="shared" si="1"/>
        <v>0.40827250608272508</v>
      </c>
      <c r="T11" s="2">
        <f t="shared" si="1"/>
        <v>0.41679273827534041</v>
      </c>
      <c r="U11" s="2">
        <f>R28/$R$31</f>
        <v>0.40820428826682548</v>
      </c>
    </row>
    <row r="12" spans="1:21" x14ac:dyDescent="0.25">
      <c r="A12" s="113"/>
      <c r="B12" s="20" t="s">
        <v>2</v>
      </c>
      <c r="C12" s="21">
        <v>3596</v>
      </c>
      <c r="D12" s="21">
        <v>4092</v>
      </c>
      <c r="E12" s="21">
        <v>4233</v>
      </c>
      <c r="F12" s="21">
        <v>4709</v>
      </c>
      <c r="G12" s="21">
        <v>4980</v>
      </c>
      <c r="H12" s="21">
        <v>4923</v>
      </c>
      <c r="I12" s="21">
        <v>5034</v>
      </c>
      <c r="J12" s="21">
        <v>5510</v>
      </c>
      <c r="K12" s="17"/>
      <c r="L12" s="98"/>
      <c r="M12" s="1" t="s">
        <v>21</v>
      </c>
      <c r="N12" s="2">
        <f t="shared" si="1"/>
        <v>0.33849745331069608</v>
      </c>
      <c r="O12" s="2">
        <f t="shared" si="1"/>
        <v>0.40389039949801298</v>
      </c>
      <c r="P12" s="2">
        <f t="shared" si="1"/>
        <v>0.37897534598111998</v>
      </c>
      <c r="Q12" s="2">
        <f t="shared" si="1"/>
        <v>0.39727202539246803</v>
      </c>
      <c r="R12" s="2">
        <f t="shared" si="1"/>
        <v>0.38776732249786144</v>
      </c>
      <c r="S12" s="2">
        <f t="shared" si="1"/>
        <v>0.42124898621248985</v>
      </c>
      <c r="T12" s="2">
        <f t="shared" si="1"/>
        <v>0.42322239031770048</v>
      </c>
      <c r="U12" s="2">
        <f>R29/$R$31</f>
        <v>0.43180464562239429</v>
      </c>
    </row>
    <row r="13" spans="1:21" x14ac:dyDescent="0.25">
      <c r="A13" s="113"/>
      <c r="B13" s="20" t="s">
        <v>3</v>
      </c>
      <c r="C13" s="21">
        <v>2609</v>
      </c>
      <c r="D13" s="21">
        <v>3190</v>
      </c>
      <c r="E13" s="21">
        <v>3862</v>
      </c>
      <c r="F13" s="21">
        <v>4135</v>
      </c>
      <c r="G13" s="21">
        <v>4631</v>
      </c>
      <c r="H13" s="21">
        <v>4533</v>
      </c>
      <c r="I13" s="21">
        <v>5194</v>
      </c>
      <c r="J13" s="21">
        <v>5595</v>
      </c>
      <c r="K13" s="17"/>
      <c r="L13" s="98" t="s">
        <v>23</v>
      </c>
      <c r="M13" s="1" t="s">
        <v>18</v>
      </c>
      <c r="N13" s="2">
        <f t="shared" ref="N13:T16" si="2">D16/D$21</f>
        <v>1.5828902851619139E-2</v>
      </c>
      <c r="O13" s="2">
        <f t="shared" si="2"/>
        <v>9.7176948151792859E-3</v>
      </c>
      <c r="P13" s="2">
        <f t="shared" si="2"/>
        <v>1.0997599508736671E-2</v>
      </c>
      <c r="Q13" s="2">
        <f t="shared" si="2"/>
        <v>1.289452387375236E-2</v>
      </c>
      <c r="R13" s="2">
        <f t="shared" si="2"/>
        <v>6.9008782936010038E-3</v>
      </c>
      <c r="S13" s="2">
        <f t="shared" si="2"/>
        <v>6.6283013051073886E-3</v>
      </c>
      <c r="T13" s="2">
        <f t="shared" si="2"/>
        <v>5.3489056825988812E-3</v>
      </c>
      <c r="U13" s="2">
        <f>S26/$S$31</f>
        <v>5.8806233460746843E-3</v>
      </c>
    </row>
    <row r="14" spans="1:21" x14ac:dyDescent="0.25">
      <c r="A14" s="113"/>
      <c r="B14" s="20" t="s">
        <v>4</v>
      </c>
      <c r="C14" s="21">
        <v>124</v>
      </c>
      <c r="D14" s="21">
        <v>133</v>
      </c>
      <c r="E14" s="21">
        <v>77</v>
      </c>
      <c r="F14" s="21">
        <v>117</v>
      </c>
      <c r="G14" s="21">
        <v>111</v>
      </c>
      <c r="H14" s="21">
        <v>0</v>
      </c>
      <c r="I14" s="21">
        <v>129</v>
      </c>
      <c r="J14" s="21">
        <v>131</v>
      </c>
      <c r="K14" s="17"/>
      <c r="L14" s="98"/>
      <c r="M14" s="1" t="s">
        <v>19</v>
      </c>
      <c r="N14" s="2">
        <f t="shared" si="2"/>
        <v>8.8388110198163367E-2</v>
      </c>
      <c r="O14" s="2">
        <f t="shared" si="2"/>
        <v>6.2119441540070118E-2</v>
      </c>
      <c r="P14" s="2">
        <f t="shared" si="2"/>
        <v>7.2349690169150896E-2</v>
      </c>
      <c r="Q14" s="2">
        <f t="shared" si="2"/>
        <v>7.1432425141623956E-2</v>
      </c>
      <c r="R14" s="2">
        <f t="shared" si="2"/>
        <v>5.1286072772898372E-2</v>
      </c>
      <c r="S14" s="2">
        <f t="shared" si="2"/>
        <v>4.9737950878635293E-2</v>
      </c>
      <c r="T14" s="2">
        <f t="shared" si="2"/>
        <v>4.1515359701639019E-2</v>
      </c>
      <c r="U14" s="2">
        <f>S27/$S$31</f>
        <v>4.2144467313535237E-2</v>
      </c>
    </row>
    <row r="15" spans="1:21" x14ac:dyDescent="0.25">
      <c r="A15" s="113"/>
      <c r="B15" s="22" t="s">
        <v>5</v>
      </c>
      <c r="C15" s="21">
        <v>8408</v>
      </c>
      <c r="D15" s="21">
        <v>9424</v>
      </c>
      <c r="E15" s="21">
        <v>9562</v>
      </c>
      <c r="F15" s="21">
        <v>10911</v>
      </c>
      <c r="G15" s="21">
        <v>11657</v>
      </c>
      <c r="H15" s="21">
        <v>11690</v>
      </c>
      <c r="I15" s="21">
        <v>12330</v>
      </c>
      <c r="J15" s="21">
        <v>13220</v>
      </c>
      <c r="K15" s="17"/>
      <c r="L15" s="98"/>
      <c r="M15" s="1" t="s">
        <v>20</v>
      </c>
      <c r="N15" s="2">
        <f t="shared" si="2"/>
        <v>0.29307636539391008</v>
      </c>
      <c r="O15" s="2">
        <f t="shared" si="2"/>
        <v>0.27111138446398919</v>
      </c>
      <c r="P15" s="2">
        <f t="shared" si="2"/>
        <v>0.26427734047898177</v>
      </c>
      <c r="Q15" s="2">
        <f t="shared" si="2"/>
        <v>0.25287294308065822</v>
      </c>
      <c r="R15" s="2">
        <f t="shared" si="2"/>
        <v>0.23002927645336679</v>
      </c>
      <c r="S15" s="2">
        <f t="shared" si="2"/>
        <v>0.2200184975850375</v>
      </c>
      <c r="T15" s="2">
        <f t="shared" si="2"/>
        <v>0.21714594170183532</v>
      </c>
      <c r="U15" s="2">
        <f>S28/$S$31</f>
        <v>0.20170538077036165</v>
      </c>
    </row>
    <row r="16" spans="1:21" x14ac:dyDescent="0.25">
      <c r="A16" s="113" t="s">
        <v>17</v>
      </c>
      <c r="B16" s="20" t="s">
        <v>0</v>
      </c>
      <c r="C16" s="21">
        <v>383</v>
      </c>
      <c r="D16" s="21">
        <v>262</v>
      </c>
      <c r="E16" s="21">
        <v>158</v>
      </c>
      <c r="F16" s="21">
        <v>197</v>
      </c>
      <c r="G16" s="21">
        <v>239</v>
      </c>
      <c r="H16" s="21">
        <v>132</v>
      </c>
      <c r="I16" s="21">
        <v>129</v>
      </c>
      <c r="J16" s="21">
        <v>109</v>
      </c>
      <c r="K16" s="17"/>
      <c r="L16" s="98"/>
      <c r="M16" s="1" t="s">
        <v>21</v>
      </c>
      <c r="N16" s="2">
        <f t="shared" si="2"/>
        <v>0.59920251329144514</v>
      </c>
      <c r="O16" s="2">
        <f t="shared" si="2"/>
        <v>0.6530536933390737</v>
      </c>
      <c r="P16" s="2">
        <f t="shared" si="2"/>
        <v>0.64963992631050071</v>
      </c>
      <c r="Q16" s="2">
        <f t="shared" si="2"/>
        <v>0.65988670083625578</v>
      </c>
      <c r="R16" s="2">
        <f t="shared" si="2"/>
        <v>0.7117837724801338</v>
      </c>
      <c r="S16" s="2">
        <f t="shared" si="2"/>
        <v>0.71893947179118278</v>
      </c>
      <c r="T16" s="2">
        <f t="shared" si="2"/>
        <v>0.73314358622043385</v>
      </c>
      <c r="U16" s="2">
        <f>S29/$S$31</f>
        <v>0.74654513378418108</v>
      </c>
    </row>
    <row r="17" spans="1:19" x14ac:dyDescent="0.25">
      <c r="A17" s="113"/>
      <c r="B17" s="20" t="s">
        <v>1</v>
      </c>
      <c r="C17" s="21">
        <v>1482</v>
      </c>
      <c r="D17" s="21">
        <v>1463</v>
      </c>
      <c r="E17" s="21">
        <v>1010</v>
      </c>
      <c r="F17" s="21">
        <v>1296</v>
      </c>
      <c r="G17" s="21">
        <v>1324</v>
      </c>
      <c r="H17" s="21">
        <v>981</v>
      </c>
      <c r="I17" s="21">
        <v>968</v>
      </c>
      <c r="J17" s="21">
        <v>846</v>
      </c>
      <c r="K17" s="17"/>
    </row>
    <row r="18" spans="1:19" x14ac:dyDescent="0.25">
      <c r="A18" s="113"/>
      <c r="B18" s="20" t="s">
        <v>2</v>
      </c>
      <c r="C18" s="21">
        <v>4338</v>
      </c>
      <c r="D18" s="21">
        <v>4851</v>
      </c>
      <c r="E18" s="21">
        <v>4408</v>
      </c>
      <c r="F18" s="21">
        <v>4734</v>
      </c>
      <c r="G18" s="21">
        <v>4687</v>
      </c>
      <c r="H18" s="21">
        <v>4400</v>
      </c>
      <c r="I18" s="21">
        <v>4282</v>
      </c>
      <c r="J18" s="21">
        <v>4425</v>
      </c>
      <c r="K18" s="17"/>
    </row>
    <row r="19" spans="1:19" x14ac:dyDescent="0.25">
      <c r="A19" s="113"/>
      <c r="B19" s="20" t="s">
        <v>3</v>
      </c>
      <c r="C19" s="21">
        <v>8245</v>
      </c>
      <c r="D19" s="21">
        <v>9918</v>
      </c>
      <c r="E19" s="21">
        <v>10618</v>
      </c>
      <c r="F19" s="21">
        <v>11637</v>
      </c>
      <c r="G19" s="21">
        <v>12231</v>
      </c>
      <c r="H19" s="21">
        <v>13615</v>
      </c>
      <c r="I19" s="21">
        <v>13992</v>
      </c>
      <c r="J19" s="21">
        <v>14940</v>
      </c>
      <c r="K19" s="17"/>
    </row>
    <row r="20" spans="1:19" x14ac:dyDescent="0.25">
      <c r="A20" s="113"/>
      <c r="B20" s="20" t="s">
        <v>4</v>
      </c>
      <c r="C20" s="21">
        <v>32</v>
      </c>
      <c r="D20" s="21">
        <v>58</v>
      </c>
      <c r="E20" s="21">
        <v>65</v>
      </c>
      <c r="F20" s="21">
        <v>49</v>
      </c>
      <c r="G20" s="21">
        <v>54</v>
      </c>
      <c r="H20" s="21">
        <v>0</v>
      </c>
      <c r="I20" s="21">
        <v>91</v>
      </c>
      <c r="J20" s="21">
        <v>58</v>
      </c>
      <c r="K20" s="17"/>
    </row>
    <row r="21" spans="1:19" ht="15.75" thickBot="1" x14ac:dyDescent="0.3">
      <c r="A21" s="114"/>
      <c r="B21" s="23" t="s">
        <v>5</v>
      </c>
      <c r="C21" s="24">
        <v>14480</v>
      </c>
      <c r="D21" s="24">
        <v>16552</v>
      </c>
      <c r="E21" s="24">
        <v>16259</v>
      </c>
      <c r="F21" s="24">
        <v>17913</v>
      </c>
      <c r="G21" s="24">
        <v>18535</v>
      </c>
      <c r="H21" s="24">
        <v>19128</v>
      </c>
      <c r="I21" s="24">
        <v>19462</v>
      </c>
      <c r="J21" s="24">
        <v>20378</v>
      </c>
      <c r="K21" s="17"/>
    </row>
    <row r="22" spans="1:19" ht="15.75" thickTop="1" x14ac:dyDescent="0.25"/>
    <row r="25" spans="1:19" ht="15.75" thickBot="1" x14ac:dyDescent="0.3">
      <c r="Q25" t="s">
        <v>36</v>
      </c>
      <c r="R25" t="s">
        <v>37</v>
      </c>
      <c r="S25" t="s">
        <v>38</v>
      </c>
    </row>
    <row r="26" spans="1:19" ht="15.75" thickTop="1" x14ac:dyDescent="0.25">
      <c r="A26" s="27"/>
      <c r="B26" s="27"/>
      <c r="C26" s="115" t="s">
        <v>33</v>
      </c>
      <c r="D26" s="115"/>
      <c r="E26" s="115"/>
      <c r="F26" s="115"/>
      <c r="G26" s="115"/>
      <c r="H26" s="115"/>
      <c r="I26" s="17"/>
      <c r="Q26">
        <v>30</v>
      </c>
      <c r="R26">
        <v>327</v>
      </c>
      <c r="S26">
        <v>120</v>
      </c>
    </row>
    <row r="27" spans="1:19" x14ac:dyDescent="0.25">
      <c r="A27" s="28"/>
      <c r="B27" s="28"/>
      <c r="C27" s="18" t="s">
        <v>0</v>
      </c>
      <c r="D27" s="18" t="s">
        <v>1</v>
      </c>
      <c r="E27" s="18" t="s">
        <v>2</v>
      </c>
      <c r="F27" s="18" t="s">
        <v>3</v>
      </c>
      <c r="G27" s="18" t="s">
        <v>4</v>
      </c>
      <c r="H27" s="25" t="s">
        <v>5</v>
      </c>
      <c r="I27" s="17"/>
      <c r="Q27">
        <v>277</v>
      </c>
      <c r="R27">
        <v>1629</v>
      </c>
      <c r="S27">
        <v>860</v>
      </c>
    </row>
    <row r="28" spans="1:19" ht="15.75" thickBot="1" x14ac:dyDescent="0.3">
      <c r="A28" s="29"/>
      <c r="B28" s="29"/>
      <c r="C28" s="19" t="s">
        <v>6</v>
      </c>
      <c r="D28" s="19" t="s">
        <v>6</v>
      </c>
      <c r="E28" s="19" t="s">
        <v>6</v>
      </c>
      <c r="F28" s="19" t="s">
        <v>6</v>
      </c>
      <c r="G28" s="19" t="s">
        <v>6</v>
      </c>
      <c r="H28" s="19" t="s">
        <v>6</v>
      </c>
      <c r="I28" s="17"/>
      <c r="Q28">
        <v>2726</v>
      </c>
      <c r="R28">
        <v>5483</v>
      </c>
      <c r="S28">
        <v>4116</v>
      </c>
    </row>
    <row r="29" spans="1:19" ht="15.75" thickTop="1" x14ac:dyDescent="0.25">
      <c r="A29" s="113" t="s">
        <v>22</v>
      </c>
      <c r="B29" s="20" t="s">
        <v>35</v>
      </c>
      <c r="C29" s="21">
        <v>17324</v>
      </c>
      <c r="D29" s="21">
        <v>44541</v>
      </c>
      <c r="E29" s="21">
        <v>76939</v>
      </c>
      <c r="F29" s="21">
        <v>46816</v>
      </c>
      <c r="G29" s="21">
        <v>705</v>
      </c>
      <c r="H29" s="21">
        <v>186325</v>
      </c>
      <c r="I29" s="17"/>
      <c r="Q29">
        <v>13600</v>
      </c>
      <c r="R29">
        <v>5800</v>
      </c>
      <c r="S29">
        <v>15234</v>
      </c>
    </row>
    <row r="30" spans="1:19" x14ac:dyDescent="0.25">
      <c r="A30" s="113"/>
      <c r="B30" s="20" t="s">
        <v>0</v>
      </c>
      <c r="C30" s="21">
        <v>15</v>
      </c>
      <c r="D30" s="21">
        <v>65</v>
      </c>
      <c r="E30" s="21">
        <v>690</v>
      </c>
      <c r="F30" s="21">
        <v>2616</v>
      </c>
      <c r="G30" s="21">
        <v>4</v>
      </c>
      <c r="H30" s="21">
        <v>3390</v>
      </c>
      <c r="I30" s="30">
        <f t="shared" ref="I30:N30" si="3">SUM(C30:C33)</f>
        <v>30</v>
      </c>
      <c r="J30" s="30">
        <f t="shared" si="3"/>
        <v>277</v>
      </c>
      <c r="K30" s="30">
        <f t="shared" si="3"/>
        <v>2726</v>
      </c>
      <c r="L30" s="30">
        <f t="shared" si="3"/>
        <v>13600</v>
      </c>
      <c r="M30" s="30">
        <f t="shared" si="3"/>
        <v>31</v>
      </c>
      <c r="N30" s="30">
        <f t="shared" si="3"/>
        <v>16664</v>
      </c>
      <c r="Q30">
        <v>31</v>
      </c>
      <c r="R30">
        <v>193</v>
      </c>
      <c r="S30">
        <v>76</v>
      </c>
    </row>
    <row r="31" spans="1:19" x14ac:dyDescent="0.25">
      <c r="A31" s="113"/>
      <c r="B31" s="20" t="s">
        <v>1</v>
      </c>
      <c r="C31" s="21">
        <v>1</v>
      </c>
      <c r="D31" s="21">
        <v>7</v>
      </c>
      <c r="E31" s="21">
        <v>301</v>
      </c>
      <c r="F31" s="21">
        <v>3186</v>
      </c>
      <c r="G31" s="21">
        <v>5</v>
      </c>
      <c r="H31" s="21">
        <v>3500</v>
      </c>
      <c r="I31" s="17"/>
      <c r="Q31">
        <v>16664</v>
      </c>
      <c r="R31">
        <v>13432</v>
      </c>
      <c r="S31">
        <v>20406</v>
      </c>
    </row>
    <row r="32" spans="1:19" x14ac:dyDescent="0.25">
      <c r="A32" s="113"/>
      <c r="B32" s="20" t="s">
        <v>2</v>
      </c>
      <c r="C32" s="21">
        <v>1</v>
      </c>
      <c r="D32" s="21">
        <v>11</v>
      </c>
      <c r="E32" s="21">
        <v>274</v>
      </c>
      <c r="F32" s="21">
        <v>4362</v>
      </c>
      <c r="G32" s="21">
        <v>11</v>
      </c>
      <c r="H32" s="21">
        <v>4659</v>
      </c>
      <c r="I32" s="17"/>
    </row>
    <row r="33" spans="1:14" x14ac:dyDescent="0.25">
      <c r="A33" s="113"/>
      <c r="B33" s="20" t="s">
        <v>3</v>
      </c>
      <c r="C33" s="21">
        <v>13</v>
      </c>
      <c r="D33" s="21">
        <v>194</v>
      </c>
      <c r="E33" s="21">
        <v>1461</v>
      </c>
      <c r="F33" s="21">
        <v>3436</v>
      </c>
      <c r="G33" s="21">
        <v>11</v>
      </c>
      <c r="H33" s="21">
        <v>5115</v>
      </c>
      <c r="I33" s="17"/>
    </row>
    <row r="34" spans="1:14" x14ac:dyDescent="0.25">
      <c r="A34" s="113" t="s">
        <v>24</v>
      </c>
      <c r="B34" s="20" t="s">
        <v>35</v>
      </c>
      <c r="C34" s="21">
        <v>33776</v>
      </c>
      <c r="D34" s="21">
        <v>37544</v>
      </c>
      <c r="E34" s="21">
        <v>23679</v>
      </c>
      <c r="F34" s="21">
        <v>6026</v>
      </c>
      <c r="G34" s="21">
        <v>2340</v>
      </c>
      <c r="H34" s="21">
        <v>103365</v>
      </c>
      <c r="I34" s="17"/>
    </row>
    <row r="35" spans="1:14" x14ac:dyDescent="0.25">
      <c r="A35" s="113"/>
      <c r="B35" s="20" t="s">
        <v>0</v>
      </c>
      <c r="C35" s="21">
        <v>112</v>
      </c>
      <c r="D35" s="21">
        <v>565</v>
      </c>
      <c r="E35" s="21">
        <v>1286</v>
      </c>
      <c r="F35" s="21">
        <v>733</v>
      </c>
      <c r="G35" s="21">
        <v>38</v>
      </c>
      <c r="H35" s="21">
        <v>2734</v>
      </c>
      <c r="I35" s="30">
        <f t="shared" ref="I35:N35" si="4">SUM(C35:C38)</f>
        <v>327</v>
      </c>
      <c r="J35" s="30">
        <f t="shared" si="4"/>
        <v>1629</v>
      </c>
      <c r="K35" s="30">
        <f t="shared" si="4"/>
        <v>5483</v>
      </c>
      <c r="L35" s="30">
        <f t="shared" si="4"/>
        <v>5800</v>
      </c>
      <c r="M35" s="30">
        <f t="shared" si="4"/>
        <v>193</v>
      </c>
      <c r="N35" s="30">
        <f t="shared" si="4"/>
        <v>13432</v>
      </c>
    </row>
    <row r="36" spans="1:14" x14ac:dyDescent="0.25">
      <c r="A36" s="113"/>
      <c r="B36" s="20" t="s">
        <v>1</v>
      </c>
      <c r="C36" s="21">
        <v>69</v>
      </c>
      <c r="D36" s="21">
        <v>442</v>
      </c>
      <c r="E36" s="21">
        <v>1699</v>
      </c>
      <c r="F36" s="21">
        <v>1580</v>
      </c>
      <c r="G36" s="21">
        <v>52</v>
      </c>
      <c r="H36" s="21">
        <v>3842</v>
      </c>
      <c r="I36" s="17"/>
    </row>
    <row r="37" spans="1:14" x14ac:dyDescent="0.25">
      <c r="A37" s="113"/>
      <c r="B37" s="20" t="s">
        <v>2</v>
      </c>
      <c r="C37" s="21">
        <v>53</v>
      </c>
      <c r="D37" s="21">
        <v>274</v>
      </c>
      <c r="E37" s="21">
        <v>1811</v>
      </c>
      <c r="F37" s="21">
        <v>3078</v>
      </c>
      <c r="G37" s="21">
        <v>84</v>
      </c>
      <c r="H37" s="21">
        <v>5300</v>
      </c>
      <c r="I37" s="17"/>
    </row>
    <row r="38" spans="1:14" x14ac:dyDescent="0.25">
      <c r="A38" s="113"/>
      <c r="B38" s="20" t="s">
        <v>3</v>
      </c>
      <c r="C38" s="21">
        <v>93</v>
      </c>
      <c r="D38" s="21">
        <v>348</v>
      </c>
      <c r="E38" s="21">
        <v>687</v>
      </c>
      <c r="F38" s="21">
        <v>409</v>
      </c>
      <c r="G38" s="21">
        <v>19</v>
      </c>
      <c r="H38" s="21">
        <v>1556</v>
      </c>
      <c r="I38" s="17"/>
    </row>
    <row r="39" spans="1:14" x14ac:dyDescent="0.25">
      <c r="A39" s="113" t="s">
        <v>23</v>
      </c>
      <c r="B39" s="20" t="s">
        <v>35</v>
      </c>
      <c r="C39" s="21">
        <v>28410</v>
      </c>
      <c r="D39" s="21">
        <v>48165</v>
      </c>
      <c r="E39" s="21">
        <v>47968</v>
      </c>
      <c r="F39" s="21">
        <v>25733</v>
      </c>
      <c r="G39" s="21">
        <v>1216</v>
      </c>
      <c r="H39" s="21">
        <v>151492</v>
      </c>
      <c r="I39" s="17"/>
    </row>
    <row r="40" spans="1:14" x14ac:dyDescent="0.25">
      <c r="A40" s="113"/>
      <c r="B40" s="20" t="s">
        <v>0</v>
      </c>
      <c r="C40" s="21">
        <v>37</v>
      </c>
      <c r="D40" s="21">
        <v>304</v>
      </c>
      <c r="E40" s="21">
        <v>1275</v>
      </c>
      <c r="F40" s="21">
        <v>2674</v>
      </c>
      <c r="G40" s="21">
        <v>19</v>
      </c>
      <c r="H40" s="21">
        <v>4309</v>
      </c>
      <c r="I40" s="30">
        <f t="shared" ref="I40:N40" si="5">SUM(C40:C43)</f>
        <v>120</v>
      </c>
      <c r="J40" s="30">
        <f t="shared" si="5"/>
        <v>860</v>
      </c>
      <c r="K40" s="30">
        <f t="shared" si="5"/>
        <v>4116</v>
      </c>
      <c r="L40" s="30">
        <f t="shared" si="5"/>
        <v>15234</v>
      </c>
      <c r="M40" s="30">
        <f t="shared" si="5"/>
        <v>76</v>
      </c>
      <c r="N40" s="30">
        <f t="shared" si="5"/>
        <v>20406</v>
      </c>
    </row>
    <row r="41" spans="1:14" x14ac:dyDescent="0.25">
      <c r="A41" s="113"/>
      <c r="B41" s="20" t="s">
        <v>1</v>
      </c>
      <c r="C41" s="21">
        <v>15</v>
      </c>
      <c r="D41" s="21">
        <v>132</v>
      </c>
      <c r="E41" s="21">
        <v>881</v>
      </c>
      <c r="F41" s="21">
        <v>4180</v>
      </c>
      <c r="G41" s="21">
        <v>18</v>
      </c>
      <c r="H41" s="21">
        <v>5226</v>
      </c>
      <c r="I41" s="17"/>
    </row>
    <row r="42" spans="1:14" x14ac:dyDescent="0.25">
      <c r="A42" s="113"/>
      <c r="B42" s="20" t="s">
        <v>2</v>
      </c>
      <c r="C42" s="21">
        <v>17</v>
      </c>
      <c r="D42" s="21">
        <v>67</v>
      </c>
      <c r="E42" s="21">
        <v>684</v>
      </c>
      <c r="F42" s="21">
        <v>6221</v>
      </c>
      <c r="G42" s="21">
        <v>28</v>
      </c>
      <c r="H42" s="21">
        <v>7017</v>
      </c>
      <c r="I42" s="17"/>
    </row>
    <row r="43" spans="1:14" ht="15.75" thickBot="1" x14ac:dyDescent="0.3">
      <c r="A43" s="114"/>
      <c r="B43" s="26" t="s">
        <v>3</v>
      </c>
      <c r="C43" s="24">
        <v>51</v>
      </c>
      <c r="D43" s="24">
        <v>357</v>
      </c>
      <c r="E43" s="24">
        <v>1276</v>
      </c>
      <c r="F43" s="24">
        <v>2159</v>
      </c>
      <c r="G43" s="24">
        <v>11</v>
      </c>
      <c r="H43" s="24">
        <v>3854</v>
      </c>
      <c r="I43" s="17"/>
    </row>
    <row r="44" spans="1:14" ht="15.75" thickTop="1" x14ac:dyDescent="0.25"/>
  </sheetData>
  <mergeCells count="12">
    <mergeCell ref="A1:B3"/>
    <mergeCell ref="C1:J1"/>
    <mergeCell ref="A4:A9"/>
    <mergeCell ref="A10:A15"/>
    <mergeCell ref="A29:A33"/>
    <mergeCell ref="A34:A38"/>
    <mergeCell ref="A39:A43"/>
    <mergeCell ref="A16:A21"/>
    <mergeCell ref="L5:L8"/>
    <mergeCell ref="L9:L12"/>
    <mergeCell ref="L13:L16"/>
    <mergeCell ref="C26:H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showGridLines="0" tabSelected="1" workbookViewId="0">
      <selection activeCell="L36" sqref="L36"/>
    </sheetView>
  </sheetViews>
  <sheetFormatPr defaultColWidth="0" defaultRowHeight="15" zeroHeight="1" x14ac:dyDescent="0.25"/>
  <cols>
    <col min="1" max="1" width="5.28515625" customWidth="1"/>
    <col min="2" max="2" width="14.28515625" customWidth="1"/>
    <col min="3" max="3" width="17.7109375" bestFit="1" customWidth="1"/>
    <col min="4" max="16" width="9.140625" customWidth="1"/>
    <col min="17" max="17" width="42.42578125" customWidth="1"/>
    <col min="18" max="18" width="7.5703125" bestFit="1" customWidth="1"/>
    <col min="19" max="21" width="9.140625" customWidth="1"/>
    <col min="22" max="23" width="0" hidden="1" customWidth="1"/>
    <col min="24" max="16384" width="9.140625" hidden="1"/>
  </cols>
  <sheetData>
    <row r="1" spans="1:20" x14ac:dyDescent="0.25"/>
    <row r="2" spans="1:20" x14ac:dyDescent="0.25">
      <c r="A2" s="119"/>
      <c r="B2" s="123" t="s">
        <v>41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</row>
    <row r="3" spans="1:20" x14ac:dyDescent="0.25">
      <c r="A3" s="119"/>
      <c r="B3" s="47"/>
      <c r="C3" s="47"/>
      <c r="D3" s="120" t="s">
        <v>44</v>
      </c>
      <c r="E3" s="120"/>
      <c r="F3" s="120"/>
      <c r="G3" s="120"/>
      <c r="H3" s="120"/>
      <c r="I3" s="120"/>
      <c r="J3" s="120"/>
      <c r="K3" s="120"/>
      <c r="L3" s="121" t="s">
        <v>45</v>
      </c>
      <c r="M3" s="122"/>
      <c r="N3" s="122"/>
      <c r="O3" s="122"/>
      <c r="P3" s="122"/>
      <c r="Q3" t="s">
        <v>50</v>
      </c>
      <c r="R3" t="s">
        <v>47</v>
      </c>
      <c r="S3" t="s">
        <v>48</v>
      </c>
      <c r="T3" t="s">
        <v>49</v>
      </c>
    </row>
    <row r="4" spans="1:20" x14ac:dyDescent="0.25">
      <c r="A4" s="119"/>
      <c r="B4" s="42"/>
      <c r="C4" s="42"/>
      <c r="D4" s="42">
        <v>2005</v>
      </c>
      <c r="E4" s="42">
        <v>2006</v>
      </c>
      <c r="F4" s="42">
        <v>2007</v>
      </c>
      <c r="G4" s="42">
        <v>2008</v>
      </c>
      <c r="H4" s="42">
        <v>2009</v>
      </c>
      <c r="I4" s="42">
        <v>2010</v>
      </c>
      <c r="J4" s="42">
        <v>2011</v>
      </c>
      <c r="K4" s="42">
        <v>2012</v>
      </c>
      <c r="L4" s="77">
        <v>2013</v>
      </c>
      <c r="M4" s="42">
        <v>2014</v>
      </c>
      <c r="N4" s="42">
        <v>2015</v>
      </c>
      <c r="O4" s="42">
        <v>2016</v>
      </c>
      <c r="P4" s="42">
        <v>2017</v>
      </c>
      <c r="Q4" s="1"/>
    </row>
    <row r="5" spans="1:20" x14ac:dyDescent="0.25">
      <c r="A5" s="119"/>
      <c r="B5" s="125" t="s">
        <v>22</v>
      </c>
      <c r="C5" s="40" t="s">
        <v>18</v>
      </c>
      <c r="D5" s="41">
        <v>3.8105606967882419E-3</v>
      </c>
      <c r="E5" s="41">
        <v>2.9229082937522835E-3</v>
      </c>
      <c r="F5" s="41">
        <v>3.4386985848432745E-3</v>
      </c>
      <c r="G5" s="41">
        <v>2.8641843735429293E-3</v>
      </c>
      <c r="H5" s="41">
        <v>1.2310217480508822E-3</v>
      </c>
      <c r="I5" s="41">
        <v>1.3777101007903705E-3</v>
      </c>
      <c r="J5" s="41">
        <v>9.9089614169814823E-4</v>
      </c>
      <c r="K5" s="41">
        <v>1.1410726082517566E-3</v>
      </c>
      <c r="L5" s="78">
        <v>1E-3</v>
      </c>
      <c r="M5" s="46">
        <v>0</v>
      </c>
      <c r="N5" s="46">
        <v>0</v>
      </c>
      <c r="O5" s="46">
        <v>0</v>
      </c>
      <c r="P5" s="46">
        <v>0</v>
      </c>
      <c r="Q5" t="s">
        <v>51</v>
      </c>
    </row>
    <row r="6" spans="1:20" x14ac:dyDescent="0.25">
      <c r="A6" s="119"/>
      <c r="B6" s="125"/>
      <c r="C6" s="40" t="s">
        <v>19</v>
      </c>
      <c r="D6" s="41">
        <v>9.0909090909090912E-2</v>
      </c>
      <c r="E6" s="41">
        <v>6.2623310193642673E-2</v>
      </c>
      <c r="F6" s="41">
        <v>8.7554556275624917E-2</v>
      </c>
      <c r="G6" s="41">
        <v>7.6200626124025839E-2</v>
      </c>
      <c r="H6" s="41">
        <v>5.8815483517986593E-2</v>
      </c>
      <c r="I6" s="41">
        <v>5.3513160757015447E-2</v>
      </c>
      <c r="J6" s="41">
        <v>5.8958320431039823E-2</v>
      </c>
      <c r="K6" s="41">
        <v>6.6122154825536003E-2</v>
      </c>
      <c r="L6" s="78">
        <f>($S6/5)+K6</f>
        <v>5.3262713955482655E-2</v>
      </c>
      <c r="M6" s="46">
        <f>($S6/5)+L6</f>
        <v>4.0403273085429306E-2</v>
      </c>
      <c r="N6" s="46">
        <f>($S6/5)+M6</f>
        <v>2.7543832215375957E-2</v>
      </c>
      <c r="O6" s="46">
        <f>($S6/5)+N6</f>
        <v>1.4684391345322609E-2</v>
      </c>
      <c r="P6" s="46">
        <f>($S6/5)+O6</f>
        <v>1.8249504752692602E-3</v>
      </c>
      <c r="Q6" t="s">
        <v>52</v>
      </c>
      <c r="R6" s="56">
        <f>K6-F6</f>
        <v>-2.1432401450088914E-2</v>
      </c>
      <c r="S6" s="56">
        <f>R6*3</f>
        <v>-6.4297204350266743E-2</v>
      </c>
      <c r="T6" s="2">
        <f>K6+S6</f>
        <v>1.8249504752692602E-3</v>
      </c>
    </row>
    <row r="7" spans="1:20" x14ac:dyDescent="0.25">
      <c r="A7" s="119"/>
      <c r="B7" s="125"/>
      <c r="C7" s="40" t="s">
        <v>20</v>
      </c>
      <c r="D7" s="41">
        <v>0.55253130103429504</v>
      </c>
      <c r="E7" s="41">
        <v>0.51640482279868472</v>
      </c>
      <c r="F7" s="41">
        <v>0.55773045893400341</v>
      </c>
      <c r="G7" s="41">
        <v>0.51675214813828019</v>
      </c>
      <c r="H7" s="41">
        <v>0.55081384215565588</v>
      </c>
      <c r="I7" s="41">
        <v>0.53259372054238274</v>
      </c>
      <c r="J7" s="41">
        <v>0.53917136310150493</v>
      </c>
      <c r="K7" s="41">
        <v>0.56146777971293016</v>
      </c>
      <c r="L7" s="79"/>
      <c r="M7" s="57"/>
      <c r="N7" s="57"/>
      <c r="O7" s="57"/>
      <c r="P7" s="57"/>
      <c r="R7" s="59">
        <f>K7-G7</f>
        <v>4.4715631574649972E-2</v>
      </c>
      <c r="S7" s="56">
        <f>R7*3</f>
        <v>0.13414689472394992</v>
      </c>
      <c r="T7" s="2">
        <f>K7+S7</f>
        <v>0.69561467443688008</v>
      </c>
    </row>
    <row r="8" spans="1:20" x14ac:dyDescent="0.25">
      <c r="A8" s="119"/>
      <c r="B8" s="126"/>
      <c r="C8" s="42" t="s">
        <v>21</v>
      </c>
      <c r="D8" s="43">
        <v>0.34982308111050625</v>
      </c>
      <c r="E8" s="43">
        <v>0.41658750456704419</v>
      </c>
      <c r="F8" s="43">
        <v>0.35028435392143897</v>
      </c>
      <c r="G8" s="43">
        <v>0.40231799107440219</v>
      </c>
      <c r="H8" s="43">
        <v>0.38913965257830668</v>
      </c>
      <c r="I8" s="43">
        <v>0.40765716771807703</v>
      </c>
      <c r="J8" s="43">
        <v>0.39914535207778534</v>
      </c>
      <c r="K8" s="43">
        <v>0.36850639601225149</v>
      </c>
      <c r="L8" s="80">
        <f t="shared" ref="L8:P10" si="0">($S8/5)+K8</f>
        <v>0.3745063960122515</v>
      </c>
      <c r="M8" s="62">
        <f t="shared" si="0"/>
        <v>0.3805063960122515</v>
      </c>
      <c r="N8" s="62">
        <f t="shared" si="0"/>
        <v>0.38650639601225151</v>
      </c>
      <c r="O8" s="62">
        <f t="shared" si="0"/>
        <v>0.39250639601225151</v>
      </c>
      <c r="P8" s="62">
        <f t="shared" si="0"/>
        <v>0.39850639601225152</v>
      </c>
      <c r="Q8" t="s">
        <v>53</v>
      </c>
      <c r="R8" s="56">
        <f t="shared" ref="R8" si="1">K8-F8</f>
        <v>1.8222042090812518E-2</v>
      </c>
      <c r="S8" s="56">
        <v>0.03</v>
      </c>
      <c r="T8" s="2">
        <f t="shared" ref="T8" si="2">K8+S8</f>
        <v>0.39850639601225146</v>
      </c>
    </row>
    <row r="9" spans="1:20" x14ac:dyDescent="0.25">
      <c r="A9" s="119"/>
      <c r="B9" s="124" t="s">
        <v>24</v>
      </c>
      <c r="C9" s="44" t="s">
        <v>18</v>
      </c>
      <c r="D9" s="45">
        <v>5.6209566231837944E-3</v>
      </c>
      <c r="E9" s="45">
        <v>3.762541806020067E-3</v>
      </c>
      <c r="F9" s="45">
        <v>4.5854732208363905E-3</v>
      </c>
      <c r="G9" s="45">
        <v>5.7510729613733909E-3</v>
      </c>
      <c r="H9" s="45">
        <v>6.5113091158327625E-3</v>
      </c>
      <c r="I9" s="45">
        <v>4.7850770478507706E-3</v>
      </c>
      <c r="J9" s="45">
        <v>4.537891393132658E-3</v>
      </c>
      <c r="K9" s="45">
        <v>4.2429656096471639E-3</v>
      </c>
      <c r="L9" s="78">
        <f t="shared" si="0"/>
        <v>4.037461042933628E-3</v>
      </c>
      <c r="M9" s="46">
        <f t="shared" si="0"/>
        <v>3.8319564762200921E-3</v>
      </c>
      <c r="N9" s="46">
        <f t="shared" si="0"/>
        <v>3.6264519095065562E-3</v>
      </c>
      <c r="O9" s="46">
        <f t="shared" si="0"/>
        <v>3.4209473427930202E-3</v>
      </c>
      <c r="P9" s="46">
        <f t="shared" si="0"/>
        <v>3.2154427760794843E-3</v>
      </c>
      <c r="Q9" t="s">
        <v>52</v>
      </c>
      <c r="R9" s="56">
        <f>K9-F9</f>
        <v>-3.4250761118922654E-4</v>
      </c>
      <c r="S9" s="56">
        <f>R9*3</f>
        <v>-1.0275228335676796E-3</v>
      </c>
      <c r="T9" s="2">
        <f>K9+S9</f>
        <v>3.2154427760794843E-3</v>
      </c>
    </row>
    <row r="10" spans="1:20" x14ac:dyDescent="0.25">
      <c r="A10" s="119"/>
      <c r="B10" s="125"/>
      <c r="C10" s="40" t="s">
        <v>19</v>
      </c>
      <c r="D10" s="41">
        <v>9.4283593170007424E-2</v>
      </c>
      <c r="E10" s="41">
        <v>6.4381270903010032E-2</v>
      </c>
      <c r="F10" s="41">
        <v>9.0517241379310345E-2</v>
      </c>
      <c r="G10" s="41">
        <v>9.3476394849785413E-2</v>
      </c>
      <c r="H10" s="41">
        <v>9.4242631939684712E-2</v>
      </c>
      <c r="I10" s="41">
        <v>0.1</v>
      </c>
      <c r="J10" s="41">
        <v>9.1060353955528667E-2</v>
      </c>
      <c r="K10" s="41">
        <v>9.33452434122376E-2</v>
      </c>
      <c r="L10" s="78">
        <f t="shared" si="0"/>
        <v>8.7345243412237594E-2</v>
      </c>
      <c r="M10" s="46">
        <f t="shared" si="0"/>
        <v>8.1345243412237589E-2</v>
      </c>
      <c r="N10" s="46">
        <f t="shared" si="0"/>
        <v>7.5345243412237584E-2</v>
      </c>
      <c r="O10" s="46">
        <f t="shared" si="0"/>
        <v>6.9345243412237578E-2</v>
      </c>
      <c r="P10" s="46">
        <f t="shared" si="0"/>
        <v>6.3345243412237573E-2</v>
      </c>
      <c r="Q10" t="s">
        <v>54</v>
      </c>
      <c r="R10" s="56">
        <f>K10-F10</f>
        <v>2.8280020329272543E-3</v>
      </c>
      <c r="S10" s="56">
        <v>-0.03</v>
      </c>
      <c r="T10" s="2">
        <f>K10+S10</f>
        <v>6.3345243412237601E-2</v>
      </c>
    </row>
    <row r="11" spans="1:20" x14ac:dyDescent="0.25">
      <c r="A11" s="119"/>
      <c r="B11" s="125"/>
      <c r="C11" s="40" t="s">
        <v>20</v>
      </c>
      <c r="D11" s="41">
        <v>0.57704952805175524</v>
      </c>
      <c r="E11" s="41">
        <v>0.56615802675585281</v>
      </c>
      <c r="F11" s="41">
        <v>0.55750183418928834</v>
      </c>
      <c r="G11" s="41">
        <v>0.56351931330472105</v>
      </c>
      <c r="H11" s="41">
        <v>0.57025359835503775</v>
      </c>
      <c r="I11" s="41">
        <v>0.55587996755879965</v>
      </c>
      <c r="J11" s="41">
        <v>0.60527908032067768</v>
      </c>
      <c r="K11" s="41">
        <v>0.62855441417299385</v>
      </c>
      <c r="L11" s="81"/>
      <c r="M11" s="61"/>
      <c r="N11" s="61"/>
      <c r="O11" s="61"/>
      <c r="P11" s="61"/>
      <c r="R11" s="56"/>
      <c r="S11" s="56"/>
      <c r="T11" s="2"/>
    </row>
    <row r="12" spans="1:20" x14ac:dyDescent="0.25">
      <c r="A12" s="119"/>
      <c r="B12" s="126"/>
      <c r="C12" s="42" t="s">
        <v>21</v>
      </c>
      <c r="D12" s="43">
        <v>0.30936472584579489</v>
      </c>
      <c r="E12" s="43">
        <v>0.35597826086956524</v>
      </c>
      <c r="F12" s="43">
        <v>0.33418928833455613</v>
      </c>
      <c r="G12" s="43">
        <v>0.3261802575107296</v>
      </c>
      <c r="H12" s="43">
        <v>0.32899246058944481</v>
      </c>
      <c r="I12" s="43">
        <v>0.32725060827250607</v>
      </c>
      <c r="J12" s="43">
        <v>0.28770231432461052</v>
      </c>
      <c r="K12" s="43">
        <v>0.25986303409260086</v>
      </c>
      <c r="L12" s="80">
        <f>K12+0.03</f>
        <v>0.28986303409260084</v>
      </c>
      <c r="M12" s="62">
        <f>L12+0.03</f>
        <v>0.31986303409260086</v>
      </c>
      <c r="N12" s="62">
        <f>M12+0.03</f>
        <v>0.34986303409260089</v>
      </c>
      <c r="O12" s="62">
        <f>N12+0.03</f>
        <v>0.37986303409260092</v>
      </c>
      <c r="P12" s="62">
        <f>O12+0.03</f>
        <v>0.40986303409260094</v>
      </c>
      <c r="Q12" t="s">
        <v>57</v>
      </c>
      <c r="R12" s="56">
        <f>K12-F12</f>
        <v>-7.432625424195527E-2</v>
      </c>
      <c r="S12" s="56">
        <f>R12*3</f>
        <v>-0.22297876272586581</v>
      </c>
      <c r="T12" s="2">
        <f>K12+S12</f>
        <v>3.6884271366735055E-2</v>
      </c>
    </row>
    <row r="13" spans="1:20" x14ac:dyDescent="0.25">
      <c r="A13" s="119"/>
      <c r="B13" s="98" t="s">
        <v>23</v>
      </c>
      <c r="C13" s="1" t="s">
        <v>18</v>
      </c>
      <c r="D13" s="2">
        <v>2.7709174146135773E-3</v>
      </c>
      <c r="E13" s="2">
        <v>1.4758332308449145E-3</v>
      </c>
      <c r="F13" s="2">
        <v>8.9270769402443793E-4</v>
      </c>
      <c r="G13" s="2">
        <v>1.8335760125114599E-3</v>
      </c>
      <c r="H13" s="2">
        <v>1.1524962020011526E-3</v>
      </c>
      <c r="I13" s="2">
        <v>1.3362800020558154E-3</v>
      </c>
      <c r="J13" s="2">
        <v>6.8694798822374874E-4</v>
      </c>
      <c r="K13" s="2">
        <v>1.1280592476335279E-3</v>
      </c>
      <c r="L13" s="82">
        <v>0</v>
      </c>
      <c r="M13" s="41">
        <v>0</v>
      </c>
      <c r="N13" s="41">
        <v>0</v>
      </c>
      <c r="O13" s="41">
        <v>0</v>
      </c>
      <c r="P13" s="41">
        <v>0</v>
      </c>
      <c r="Q13" t="s">
        <v>56</v>
      </c>
      <c r="R13" s="56">
        <f t="shared" ref="R13:R14" si="3">K13-F13</f>
        <v>2.3535155360908996E-4</v>
      </c>
      <c r="S13" s="56">
        <f t="shared" ref="S13:S14" si="4">R13*3</f>
        <v>7.0605466082726987E-4</v>
      </c>
      <c r="T13" s="2">
        <f t="shared" ref="T13:T14" si="5">K13+S13</f>
        <v>1.8341139084607978E-3</v>
      </c>
    </row>
    <row r="14" spans="1:20" x14ac:dyDescent="0.25">
      <c r="A14" s="119"/>
      <c r="B14" s="98"/>
      <c r="C14" s="1" t="s">
        <v>19</v>
      </c>
      <c r="D14" s="2">
        <v>7.7284500933678696E-2</v>
      </c>
      <c r="E14" s="2">
        <v>5.6081662772106751E-2</v>
      </c>
      <c r="F14" s="2">
        <v>7.2699882832115162E-2</v>
      </c>
      <c r="G14" s="2">
        <v>7.6363048050477264E-2</v>
      </c>
      <c r="H14" s="2">
        <v>6.4801718267064795E-2</v>
      </c>
      <c r="I14" s="2">
        <v>6.0954926247622963E-2</v>
      </c>
      <c r="J14" s="2">
        <v>5.7114818449460258E-2</v>
      </c>
      <c r="K14" s="2">
        <v>5.326401491000049E-2</v>
      </c>
      <c r="L14" s="78">
        <f>($S14/5)+K14</f>
        <v>4.1602494156731687E-2</v>
      </c>
      <c r="M14" s="46">
        <f>($S14/5)+L14</f>
        <v>2.9940973403462884E-2</v>
      </c>
      <c r="N14" s="46">
        <f>($S14/5)+M14</f>
        <v>1.8279452650194081E-2</v>
      </c>
      <c r="O14" s="46">
        <f>($S14/5)+N14</f>
        <v>6.6179318969252776E-3</v>
      </c>
      <c r="P14" s="46">
        <v>0</v>
      </c>
      <c r="Q14" t="s">
        <v>52</v>
      </c>
      <c r="R14" s="56">
        <f t="shared" si="3"/>
        <v>-1.9435867922114672E-2</v>
      </c>
      <c r="S14" s="56">
        <f t="shared" si="4"/>
        <v>-5.8307603766344016E-2</v>
      </c>
      <c r="T14" s="2">
        <f t="shared" si="5"/>
        <v>-5.0435888563435255E-3</v>
      </c>
    </row>
    <row r="15" spans="1:20" x14ac:dyDescent="0.25">
      <c r="A15" s="119"/>
      <c r="B15" s="98"/>
      <c r="C15" s="1" t="s">
        <v>20</v>
      </c>
      <c r="D15" s="2">
        <v>0.5293657008613939</v>
      </c>
      <c r="E15" s="2">
        <v>0.52004673471897678</v>
      </c>
      <c r="F15" s="2">
        <v>0.50510517212520223</v>
      </c>
      <c r="G15" s="2">
        <v>0.51561236045947256</v>
      </c>
      <c r="H15" s="2">
        <v>0.53297710723453295</v>
      </c>
      <c r="I15" s="2">
        <v>0.50973942539959916</v>
      </c>
      <c r="J15" s="2">
        <v>0.52345436702649661</v>
      </c>
      <c r="K15" s="2">
        <v>0.53111972141841191</v>
      </c>
      <c r="L15" s="81"/>
      <c r="M15" s="61"/>
      <c r="N15" s="61"/>
      <c r="O15" s="61"/>
      <c r="P15" s="61"/>
      <c r="R15" s="56"/>
      <c r="S15" s="56"/>
      <c r="T15" s="2"/>
    </row>
    <row r="16" spans="1:20" x14ac:dyDescent="0.25">
      <c r="A16" s="119"/>
      <c r="B16" s="98"/>
      <c r="C16" s="1" t="s">
        <v>21</v>
      </c>
      <c r="D16" s="2">
        <v>0.38630202999819285</v>
      </c>
      <c r="E16" s="2">
        <v>0.41846021399581845</v>
      </c>
      <c r="F16" s="2">
        <v>0.4175640238799308</v>
      </c>
      <c r="G16" s="2">
        <v>0.40246993474626541</v>
      </c>
      <c r="H16" s="2">
        <v>0.40106867829640108</v>
      </c>
      <c r="I16" s="2">
        <v>0.42324099295883227</v>
      </c>
      <c r="J16" s="2">
        <v>0.41521099116781157</v>
      </c>
      <c r="K16" s="2">
        <v>0.4113492569522782</v>
      </c>
      <c r="L16" s="78">
        <f>($S16/5)+K16</f>
        <v>0.4173492569522782</v>
      </c>
      <c r="M16" s="46">
        <f>($S16/5)+L16</f>
        <v>0.42334925695227821</v>
      </c>
      <c r="N16" s="46">
        <f>($S16/5)+M16</f>
        <v>0.42934925695227821</v>
      </c>
      <c r="O16" s="46">
        <f>($S16/5)+N16</f>
        <v>0.43534925695227822</v>
      </c>
      <c r="P16" s="46">
        <f>($S16/5)+O16</f>
        <v>0.44134925695227822</v>
      </c>
      <c r="Q16" t="s">
        <v>55</v>
      </c>
      <c r="R16" s="56">
        <f t="shared" ref="R16" si="6">K16-F16</f>
        <v>-6.2147669276526041E-3</v>
      </c>
      <c r="S16" s="56">
        <v>0.03</v>
      </c>
      <c r="T16" s="2">
        <f t="shared" ref="T16" si="7">K16+S16</f>
        <v>0.44134925695227822</v>
      </c>
    </row>
    <row r="17" spans="1:20" x14ac:dyDescent="0.25">
      <c r="A17" s="119"/>
      <c r="B17" s="123" t="s">
        <v>42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</row>
    <row r="18" spans="1:20" x14ac:dyDescent="0.25">
      <c r="A18" s="119"/>
      <c r="B18" s="42"/>
      <c r="C18" s="42"/>
      <c r="D18" s="42">
        <v>2005</v>
      </c>
      <c r="E18" s="42">
        <v>2006</v>
      </c>
      <c r="F18" s="42">
        <v>2007</v>
      </c>
      <c r="G18" s="42">
        <v>2008</v>
      </c>
      <c r="H18" s="42">
        <v>2009</v>
      </c>
      <c r="I18" s="42">
        <v>2010</v>
      </c>
      <c r="J18" s="42">
        <v>2011</v>
      </c>
      <c r="K18" s="42">
        <v>2012</v>
      </c>
      <c r="L18" s="77">
        <v>2013</v>
      </c>
      <c r="M18" s="42">
        <v>2014</v>
      </c>
      <c r="N18" s="42">
        <v>2015</v>
      </c>
      <c r="O18" s="42">
        <v>2016</v>
      </c>
      <c r="P18" s="42">
        <v>2017</v>
      </c>
      <c r="R18" s="56"/>
      <c r="S18" s="56"/>
      <c r="T18" s="2"/>
    </row>
    <row r="19" spans="1:20" x14ac:dyDescent="0.25">
      <c r="A19" s="119"/>
      <c r="B19" s="125" t="s">
        <v>22</v>
      </c>
      <c r="C19" s="40" t="s">
        <v>18</v>
      </c>
      <c r="D19" s="41">
        <v>6.2589291788557044E-3</v>
      </c>
      <c r="E19" s="41">
        <v>4.6674445740956822E-3</v>
      </c>
      <c r="F19" s="41">
        <v>8.5255435860154653E-3</v>
      </c>
      <c r="G19" s="41">
        <v>5.3992800959872019E-3</v>
      </c>
      <c r="H19" s="41">
        <v>3.8974358974358976E-3</v>
      </c>
      <c r="I19" s="41">
        <v>2.3217006457229919E-3</v>
      </c>
      <c r="J19" s="41">
        <v>3.5922209835253312E-3</v>
      </c>
      <c r="K19" s="41">
        <v>2.761933353347343E-3</v>
      </c>
      <c r="L19" s="78">
        <v>2E-3</v>
      </c>
      <c r="M19" s="46">
        <v>1E-3</v>
      </c>
      <c r="N19" s="46">
        <v>0</v>
      </c>
      <c r="O19" s="46">
        <v>0</v>
      </c>
      <c r="P19" s="46">
        <v>0</v>
      </c>
      <c r="Q19" t="s">
        <v>58</v>
      </c>
      <c r="R19" s="56">
        <f t="shared" ref="R19:R44" si="8">K19-F19</f>
        <v>-5.7636102326681224E-3</v>
      </c>
      <c r="S19" s="56">
        <f t="shared" ref="S19:S44" si="9">R19*3</f>
        <v>-1.7290830698004366E-2</v>
      </c>
      <c r="T19" s="2">
        <f t="shared" ref="T19:T44" si="10">K19+S19</f>
        <v>-1.4528897344657024E-2</v>
      </c>
    </row>
    <row r="20" spans="1:20" x14ac:dyDescent="0.25">
      <c r="A20" s="119"/>
      <c r="B20" s="125"/>
      <c r="C20" s="40" t="s">
        <v>19</v>
      </c>
      <c r="D20" s="41">
        <v>3.8642084495543912E-2</v>
      </c>
      <c r="E20" s="41">
        <v>1.8523920653442241E-2</v>
      </c>
      <c r="F20" s="41">
        <v>3.2251668759500363E-2</v>
      </c>
      <c r="G20" s="41">
        <v>2.526329822690308E-2</v>
      </c>
      <c r="H20" s="41">
        <v>1.9829059829059831E-2</v>
      </c>
      <c r="I20" s="41">
        <v>1.4583182180947543E-2</v>
      </c>
      <c r="J20" s="41">
        <v>2.0500433543911806E-2</v>
      </c>
      <c r="K20" s="41">
        <v>1.849294506154308E-2</v>
      </c>
      <c r="L20" s="78">
        <f>($S20/5)+K20</f>
        <v>6.4034614011425801E-3</v>
      </c>
      <c r="M20" s="46">
        <v>0</v>
      </c>
      <c r="N20" s="46">
        <v>0</v>
      </c>
      <c r="O20" s="46">
        <v>0</v>
      </c>
      <c r="P20" s="46">
        <v>0</v>
      </c>
      <c r="Q20" t="s">
        <v>58</v>
      </c>
      <c r="R20" s="56">
        <f>K20-D20</f>
        <v>-2.0149139434000832E-2</v>
      </c>
      <c r="S20" s="56">
        <f t="shared" si="9"/>
        <v>-6.0447418302002495E-2</v>
      </c>
      <c r="T20" s="2">
        <f t="shared" si="10"/>
        <v>-4.1954473240459415E-2</v>
      </c>
    </row>
    <row r="21" spans="1:20" x14ac:dyDescent="0.25">
      <c r="A21" s="119"/>
      <c r="B21" s="125"/>
      <c r="C21" s="40" t="s">
        <v>20</v>
      </c>
      <c r="D21" s="41">
        <v>0.5955507177359004</v>
      </c>
      <c r="E21" s="41">
        <v>0.63112602100350057</v>
      </c>
      <c r="F21" s="41">
        <v>0.59070781838609476</v>
      </c>
      <c r="G21" s="41">
        <v>0.63398213571523798</v>
      </c>
      <c r="H21" s="41">
        <v>0.58276923076923082</v>
      </c>
      <c r="I21" s="41">
        <v>0.61445258651962564</v>
      </c>
      <c r="J21" s="41">
        <v>0.64740493001362565</v>
      </c>
      <c r="K21" s="41">
        <v>0.64683278294806368</v>
      </c>
      <c r="L21" s="81"/>
      <c r="M21" s="61"/>
      <c r="N21" s="61"/>
      <c r="O21" s="61"/>
      <c r="P21" s="61"/>
      <c r="R21" s="56"/>
      <c r="S21" s="56"/>
      <c r="T21" s="2"/>
    </row>
    <row r="22" spans="1:20" x14ac:dyDescent="0.25">
      <c r="A22" s="119"/>
      <c r="B22" s="126"/>
      <c r="C22" s="42" t="s">
        <v>21</v>
      </c>
      <c r="D22" s="43">
        <v>0.35703109055037757</v>
      </c>
      <c r="E22" s="43">
        <v>0.34429696616102684</v>
      </c>
      <c r="F22" s="43">
        <v>0.36626792677285042</v>
      </c>
      <c r="G22" s="43">
        <v>0.33348886815091322</v>
      </c>
      <c r="H22" s="43">
        <v>0.39350427350427353</v>
      </c>
      <c r="I22" s="43">
        <v>0.36632083000798082</v>
      </c>
      <c r="J22" s="43">
        <v>0.32683017465626163</v>
      </c>
      <c r="K22" s="43">
        <v>0.33017111978384872</v>
      </c>
      <c r="L22" s="80">
        <f t="shared" ref="L22:P24" si="11">($S22/5)+K22</f>
        <v>0.33617111978384873</v>
      </c>
      <c r="M22" s="62">
        <f t="shared" si="11"/>
        <v>0.34217111978384873</v>
      </c>
      <c r="N22" s="62">
        <f t="shared" si="11"/>
        <v>0.34817111978384874</v>
      </c>
      <c r="O22" s="62">
        <f t="shared" si="11"/>
        <v>0.35417111978384874</v>
      </c>
      <c r="P22" s="62">
        <f t="shared" si="11"/>
        <v>0.36017111978384875</v>
      </c>
      <c r="Q22" t="s">
        <v>55</v>
      </c>
      <c r="R22" s="56">
        <f t="shared" si="8"/>
        <v>-3.6096806989001695E-2</v>
      </c>
      <c r="S22" s="56">
        <v>0.03</v>
      </c>
      <c r="T22" s="2">
        <f t="shared" si="10"/>
        <v>0.36017111978384875</v>
      </c>
    </row>
    <row r="23" spans="1:20" x14ac:dyDescent="0.25">
      <c r="A23" s="119"/>
      <c r="B23" s="124" t="s">
        <v>24</v>
      </c>
      <c r="C23" s="44" t="s">
        <v>18</v>
      </c>
      <c r="D23" s="45">
        <v>7.7453580901856766E-3</v>
      </c>
      <c r="E23" s="45">
        <v>4.912207357859532E-3</v>
      </c>
      <c r="F23" s="45">
        <v>5.8699440520957533E-3</v>
      </c>
      <c r="G23" s="45">
        <v>7.383241758241758E-3</v>
      </c>
      <c r="H23" s="45">
        <v>5.9998285763263907E-3</v>
      </c>
      <c r="I23" s="45">
        <v>6.082725060827251E-3</v>
      </c>
      <c r="J23" s="45">
        <v>5.1429435788836785E-3</v>
      </c>
      <c r="K23" s="45">
        <v>4.3921685401622865E-3</v>
      </c>
      <c r="L23" s="78">
        <f t="shared" si="11"/>
        <v>3.5055032330022066E-3</v>
      </c>
      <c r="M23" s="46">
        <f t="shared" si="11"/>
        <v>2.6188379258421267E-3</v>
      </c>
      <c r="N23" s="46">
        <f t="shared" si="11"/>
        <v>1.7321726186820467E-3</v>
      </c>
      <c r="O23" s="46">
        <f t="shared" si="11"/>
        <v>8.4550731152196665E-4</v>
      </c>
      <c r="P23" s="46">
        <f t="shared" si="11"/>
        <v>-4.1157995638113403E-5</v>
      </c>
      <c r="Q23" t="s">
        <v>58</v>
      </c>
      <c r="R23" s="56">
        <f t="shared" si="8"/>
        <v>-1.4777755119334667E-3</v>
      </c>
      <c r="S23" s="56">
        <f t="shared" si="9"/>
        <v>-4.4333265358004002E-3</v>
      </c>
      <c r="T23" s="2">
        <f t="shared" si="10"/>
        <v>-4.115799563811362E-5</v>
      </c>
    </row>
    <row r="24" spans="1:20" x14ac:dyDescent="0.25">
      <c r="A24" s="119"/>
      <c r="B24" s="125"/>
      <c r="C24" s="40" t="s">
        <v>19</v>
      </c>
      <c r="D24" s="41">
        <v>4.2652519893899205E-2</v>
      </c>
      <c r="E24" s="41">
        <v>2.2366220735785952E-2</v>
      </c>
      <c r="F24" s="41">
        <v>2.86159772539668E-2</v>
      </c>
      <c r="G24" s="41">
        <v>3.210851648351648E-2</v>
      </c>
      <c r="H24" s="41">
        <v>3.1713379617725211E-2</v>
      </c>
      <c r="I24" s="41">
        <v>2.7493917274939172E-2</v>
      </c>
      <c r="J24" s="41">
        <v>3.2294660414460746E-2</v>
      </c>
      <c r="K24" s="41">
        <v>3.2829598749348619E-2</v>
      </c>
      <c r="L24" s="78">
        <f t="shared" si="11"/>
        <v>2.6935846062618268E-2</v>
      </c>
      <c r="M24" s="46">
        <f t="shared" si="11"/>
        <v>2.1042093375887916E-2</v>
      </c>
      <c r="N24" s="46">
        <f t="shared" si="11"/>
        <v>1.5148340689157564E-2</v>
      </c>
      <c r="O24" s="46">
        <f t="shared" si="11"/>
        <v>9.2545880024272123E-3</v>
      </c>
      <c r="P24" s="46">
        <f t="shared" si="11"/>
        <v>3.3608353156968614E-3</v>
      </c>
      <c r="Q24" t="s">
        <v>52</v>
      </c>
      <c r="R24" s="56">
        <f>K24-D24</f>
        <v>-9.8229211445505851E-3</v>
      </c>
      <c r="S24" s="56">
        <f t="shared" si="9"/>
        <v>-2.9468763433651755E-2</v>
      </c>
      <c r="T24" s="2">
        <f t="shared" si="10"/>
        <v>3.360835315696864E-3</v>
      </c>
    </row>
    <row r="25" spans="1:20" x14ac:dyDescent="0.25">
      <c r="A25" s="119"/>
      <c r="B25" s="125"/>
      <c r="C25" s="40" t="s">
        <v>20</v>
      </c>
      <c r="D25" s="41">
        <v>0.66546419098143239</v>
      </c>
      <c r="E25" s="41">
        <v>0.59887123745819393</v>
      </c>
      <c r="F25" s="41">
        <v>0.6573420159589104</v>
      </c>
      <c r="G25" s="41">
        <v>0.58731112637362637</v>
      </c>
      <c r="H25" s="41">
        <v>0.67352361361103974</v>
      </c>
      <c r="I25" s="41">
        <v>0.66642335766423355</v>
      </c>
      <c r="J25" s="41">
        <v>0.69732264407805178</v>
      </c>
      <c r="K25" s="41">
        <v>0.70289585349512396</v>
      </c>
      <c r="L25" s="81"/>
      <c r="M25" s="61"/>
      <c r="N25" s="61"/>
      <c r="O25" s="61"/>
      <c r="P25" s="61"/>
      <c r="R25" s="56"/>
      <c r="S25" s="56"/>
      <c r="T25" s="2"/>
    </row>
    <row r="26" spans="1:20" x14ac:dyDescent="0.25">
      <c r="A26" s="119"/>
      <c r="B26" s="126"/>
      <c r="C26" s="42" t="s">
        <v>21</v>
      </c>
      <c r="D26" s="43">
        <v>0.27045092838196289</v>
      </c>
      <c r="E26" s="43">
        <v>0.36444397993311034</v>
      </c>
      <c r="F26" s="43">
        <v>0.29533156012106759</v>
      </c>
      <c r="G26" s="43">
        <v>0.36212225274725274</v>
      </c>
      <c r="H26" s="43">
        <v>0.28876317819490871</v>
      </c>
      <c r="I26" s="43">
        <v>0.28888888888888886</v>
      </c>
      <c r="J26" s="43">
        <v>0.25328997126002117</v>
      </c>
      <c r="K26" s="43">
        <v>0.24893917963224893</v>
      </c>
      <c r="L26" s="80">
        <f>($S26/5)+K26</f>
        <v>0.25493917963224894</v>
      </c>
      <c r="M26" s="62">
        <f>($S26/5)+L26</f>
        <v>0.26093917963224894</v>
      </c>
      <c r="N26" s="62">
        <f>($S26/5)+M26</f>
        <v>0.26693917963224895</v>
      </c>
      <c r="O26" s="62">
        <f>($S26/5)+N26</f>
        <v>0.27293917963224895</v>
      </c>
      <c r="P26" s="62">
        <f>($S26/5)+O26</f>
        <v>0.27893917963224896</v>
      </c>
      <c r="Q26" t="s">
        <v>55</v>
      </c>
      <c r="R26" s="56">
        <f t="shared" si="8"/>
        <v>-4.6392380488818663E-2</v>
      </c>
      <c r="S26" s="56">
        <v>0.03</v>
      </c>
      <c r="T26" s="2">
        <f t="shared" si="10"/>
        <v>0.2789391796322489</v>
      </c>
    </row>
    <row r="27" spans="1:20" x14ac:dyDescent="0.25">
      <c r="A27" s="119"/>
      <c r="B27" s="98" t="s">
        <v>23</v>
      </c>
      <c r="C27" s="1" t="s">
        <v>18</v>
      </c>
      <c r="D27" s="2">
        <v>8.1325301204819272E-3</v>
      </c>
      <c r="E27" s="2">
        <v>3.7508454774641824E-3</v>
      </c>
      <c r="F27" s="2">
        <v>6.6398839415243837E-3</v>
      </c>
      <c r="G27" s="2">
        <v>5.5004314063848148E-3</v>
      </c>
      <c r="H27" s="2">
        <v>5.5439330543933059E-3</v>
      </c>
      <c r="I27" s="2">
        <v>3.2380756578947369E-3</v>
      </c>
      <c r="J27" s="2">
        <v>3.6800785083415115E-3</v>
      </c>
      <c r="K27" s="2">
        <v>4.16891461081956E-3</v>
      </c>
      <c r="L27" s="78">
        <f t="shared" ref="L27:N28" si="12">($S27/5)+K27</f>
        <v>2.6863330123966657E-3</v>
      </c>
      <c r="M27" s="46">
        <f t="shared" si="12"/>
        <v>1.2037514139737714E-3</v>
      </c>
      <c r="N27" s="46">
        <f t="shared" si="12"/>
        <v>-2.7883018444912295E-4</v>
      </c>
      <c r="O27" s="46">
        <v>0</v>
      </c>
      <c r="P27" s="46">
        <v>0</v>
      </c>
      <c r="Q27" t="s">
        <v>58</v>
      </c>
      <c r="R27" s="56">
        <f t="shared" si="8"/>
        <v>-2.4709693307048237E-3</v>
      </c>
      <c r="S27" s="56">
        <f t="shared" si="9"/>
        <v>-7.4129079921144711E-3</v>
      </c>
      <c r="T27" s="2">
        <f t="shared" si="10"/>
        <v>-3.2439933812949111E-3</v>
      </c>
    </row>
    <row r="28" spans="1:20" x14ac:dyDescent="0.25">
      <c r="A28" s="119"/>
      <c r="B28" s="98"/>
      <c r="C28" s="1" t="s">
        <v>19</v>
      </c>
      <c r="D28" s="2">
        <v>3.6807228915662647E-2</v>
      </c>
      <c r="E28" s="2">
        <v>1.9799544979401094E-2</v>
      </c>
      <c r="F28" s="2">
        <v>3.3534203771900459E-2</v>
      </c>
      <c r="G28" s="2">
        <v>3.1816220880069024E-2</v>
      </c>
      <c r="H28" s="2">
        <v>2.981171548117155E-2</v>
      </c>
      <c r="I28" s="2">
        <v>2.2512335526315791E-2</v>
      </c>
      <c r="J28" s="2">
        <v>2.3258096172718352E-2</v>
      </c>
      <c r="K28" s="2">
        <v>2.27573691696503E-2</v>
      </c>
      <c r="L28" s="78">
        <f t="shared" si="12"/>
        <v>1.6291268408300204E-2</v>
      </c>
      <c r="M28" s="46">
        <f t="shared" si="12"/>
        <v>9.825167646950109E-3</v>
      </c>
      <c r="N28" s="46">
        <f t="shared" si="12"/>
        <v>3.3590668856000143E-3</v>
      </c>
      <c r="O28" s="46">
        <v>0</v>
      </c>
      <c r="P28" s="46">
        <v>0</v>
      </c>
      <c r="Q28" t="s">
        <v>58</v>
      </c>
      <c r="R28" s="56">
        <f t="shared" si="8"/>
        <v>-1.0776834602250158E-2</v>
      </c>
      <c r="S28" s="56">
        <f t="shared" si="9"/>
        <v>-3.2330503806750475E-2</v>
      </c>
      <c r="T28" s="2">
        <f t="shared" si="10"/>
        <v>-9.5731346371001752E-3</v>
      </c>
    </row>
    <row r="29" spans="1:20" x14ac:dyDescent="0.25">
      <c r="A29" s="119"/>
      <c r="B29" s="98"/>
      <c r="C29" s="1" t="s">
        <v>20</v>
      </c>
      <c r="D29" s="2">
        <v>0.55909638554216867</v>
      </c>
      <c r="E29" s="2">
        <v>0.57055893746541231</v>
      </c>
      <c r="F29" s="2">
        <v>0.57432206226983595</v>
      </c>
      <c r="G29" s="2">
        <v>0.55246980155306302</v>
      </c>
      <c r="H29" s="2">
        <v>0.60031380753138075</v>
      </c>
      <c r="I29" s="2">
        <v>0.56440172697368418</v>
      </c>
      <c r="J29" s="2">
        <v>0.57311089303238472</v>
      </c>
      <c r="K29" s="2">
        <v>0.59527196037078822</v>
      </c>
      <c r="L29" s="81"/>
      <c r="M29" s="58"/>
      <c r="N29" s="58"/>
      <c r="O29" s="58"/>
      <c r="P29" s="58"/>
      <c r="R29" s="56">
        <f t="shared" si="8"/>
        <v>2.0949898100952269E-2</v>
      </c>
      <c r="S29" s="56">
        <f t="shared" si="9"/>
        <v>6.2849694302856807E-2</v>
      </c>
      <c r="T29" s="2">
        <f t="shared" si="10"/>
        <v>0.65812165467364503</v>
      </c>
    </row>
    <row r="30" spans="1:20" x14ac:dyDescent="0.25">
      <c r="A30" s="119"/>
      <c r="B30" s="98"/>
      <c r="C30" s="1" t="s">
        <v>21</v>
      </c>
      <c r="D30" s="2">
        <v>0.39162650602409638</v>
      </c>
      <c r="E30" s="2">
        <v>0.40158642316915699</v>
      </c>
      <c r="F30" s="2">
        <v>0.3822118067180002</v>
      </c>
      <c r="G30" s="2">
        <v>0.40616911130284727</v>
      </c>
      <c r="H30" s="2">
        <v>0.36433054393305442</v>
      </c>
      <c r="I30" s="2">
        <v>0.40481085526315791</v>
      </c>
      <c r="J30" s="2">
        <v>0.39666339548577034</v>
      </c>
      <c r="K30" s="2">
        <v>0.37485899259404581</v>
      </c>
      <c r="L30" s="78">
        <f>($S30/5)+K30</f>
        <v>0.38085899259404582</v>
      </c>
      <c r="M30" s="46">
        <f>($S30/5)+L30</f>
        <v>0.38685899259404583</v>
      </c>
      <c r="N30" s="46">
        <f>($S30/5)+M30</f>
        <v>0.39285899259404583</v>
      </c>
      <c r="O30" s="46">
        <f>($S30/5)+N30</f>
        <v>0.39885899259404584</v>
      </c>
      <c r="P30" s="46">
        <f>($S30/5)+O30</f>
        <v>0.40485899259404584</v>
      </c>
      <c r="Q30" t="s">
        <v>55</v>
      </c>
      <c r="R30" s="56">
        <f t="shared" si="8"/>
        <v>-7.3528141239543876E-3</v>
      </c>
      <c r="S30" s="56">
        <v>0.03</v>
      </c>
      <c r="T30" s="2">
        <f t="shared" si="10"/>
        <v>0.40485899259404579</v>
      </c>
    </row>
    <row r="31" spans="1:20" x14ac:dyDescent="0.25">
      <c r="A31" s="119"/>
      <c r="B31" s="123" t="s">
        <v>43</v>
      </c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R31" s="56"/>
      <c r="S31" s="56"/>
      <c r="T31" s="2"/>
    </row>
    <row r="32" spans="1:20" x14ac:dyDescent="0.25">
      <c r="A32" s="119"/>
      <c r="B32" s="42"/>
      <c r="C32" s="42"/>
      <c r="D32" s="42">
        <v>2005</v>
      </c>
      <c r="E32" s="42">
        <v>2006</v>
      </c>
      <c r="F32" s="42">
        <v>2007</v>
      </c>
      <c r="G32" s="42">
        <v>2008</v>
      </c>
      <c r="H32" s="42">
        <v>2009</v>
      </c>
      <c r="I32" s="42">
        <v>2010</v>
      </c>
      <c r="J32" s="42">
        <v>2011</v>
      </c>
      <c r="K32" s="42">
        <v>2012</v>
      </c>
      <c r="L32" s="77">
        <v>2013</v>
      </c>
      <c r="M32" s="42">
        <v>2014</v>
      </c>
      <c r="N32" s="42">
        <v>2015</v>
      </c>
      <c r="O32" s="42">
        <v>2016</v>
      </c>
      <c r="P32" s="42">
        <v>2017</v>
      </c>
      <c r="R32" s="56"/>
      <c r="S32" s="56"/>
      <c r="T32" s="2"/>
    </row>
    <row r="33" spans="1:20" x14ac:dyDescent="0.25">
      <c r="A33" s="119"/>
      <c r="B33" s="124" t="s">
        <v>22</v>
      </c>
      <c r="C33" s="44" t="s">
        <v>18</v>
      </c>
      <c r="D33" s="45">
        <v>5.0299075584556829E-3</v>
      </c>
      <c r="E33" s="45">
        <v>2.1144732045205979E-3</v>
      </c>
      <c r="F33" s="45">
        <v>4.0856672158154856E-3</v>
      </c>
      <c r="G33" s="45">
        <v>2.4584717607973421E-3</v>
      </c>
      <c r="H33" s="45">
        <v>1.8443882778878338E-3</v>
      </c>
      <c r="I33" s="45">
        <v>8.7082728592162558E-4</v>
      </c>
      <c r="J33" s="45">
        <v>1.2977382276603633E-3</v>
      </c>
      <c r="K33" s="45">
        <v>1.8002880460873741E-3</v>
      </c>
      <c r="L33" s="83">
        <f>($S33/5)+K33</f>
        <v>4.2906054425050728E-4</v>
      </c>
      <c r="M33" s="60">
        <v>0</v>
      </c>
      <c r="N33" s="60">
        <v>0</v>
      </c>
      <c r="O33" s="60">
        <v>0</v>
      </c>
      <c r="P33" s="60">
        <v>0</v>
      </c>
      <c r="Q33" t="s">
        <v>58</v>
      </c>
      <c r="R33" s="56">
        <f t="shared" si="8"/>
        <v>-2.2853791697281115E-3</v>
      </c>
      <c r="S33" s="56">
        <f t="shared" si="9"/>
        <v>-6.8561375091843344E-3</v>
      </c>
      <c r="T33" s="2">
        <f t="shared" si="10"/>
        <v>-5.0558494630969604E-3</v>
      </c>
    </row>
    <row r="34" spans="1:20" x14ac:dyDescent="0.25">
      <c r="A34" s="119"/>
      <c r="B34" s="125"/>
      <c r="C34" s="40" t="s">
        <v>19</v>
      </c>
      <c r="D34" s="41">
        <v>4.1530723219140836E-2</v>
      </c>
      <c r="E34" s="41">
        <v>2.005103900838498E-2</v>
      </c>
      <c r="F34" s="41">
        <v>2.6556836902800657E-2</v>
      </c>
      <c r="G34" s="41">
        <v>2.1926910299003323E-2</v>
      </c>
      <c r="H34" s="41">
        <v>1.9605164287178085E-2</v>
      </c>
      <c r="I34" s="41">
        <v>1.2626995645863571E-2</v>
      </c>
      <c r="J34" s="41">
        <v>1.6685205784204672E-2</v>
      </c>
      <c r="K34" s="41">
        <v>1.6622659625540086E-2</v>
      </c>
      <c r="L34" s="78">
        <f>($S34/5)+K34</f>
        <v>1.0662153259183745E-2</v>
      </c>
      <c r="M34" s="46">
        <f>($S34/5)+L34</f>
        <v>4.7016468928274017E-3</v>
      </c>
      <c r="N34" s="46">
        <v>0</v>
      </c>
      <c r="O34" s="46">
        <v>0</v>
      </c>
      <c r="P34" s="46">
        <v>0</v>
      </c>
      <c r="Q34" t="s">
        <v>58</v>
      </c>
      <c r="R34" s="56">
        <f t="shared" si="8"/>
        <v>-9.934177277260571E-3</v>
      </c>
      <c r="S34" s="56">
        <f t="shared" si="9"/>
        <v>-2.9802531831781713E-2</v>
      </c>
      <c r="T34" s="2">
        <f t="shared" si="10"/>
        <v>-1.3179872206241627E-2</v>
      </c>
    </row>
    <row r="35" spans="1:20" x14ac:dyDescent="0.25">
      <c r="A35" s="119"/>
      <c r="B35" s="125"/>
      <c r="C35" s="40" t="s">
        <v>20</v>
      </c>
      <c r="D35" s="41">
        <v>0.2602637302882001</v>
      </c>
      <c r="E35" s="41">
        <v>0.21837404301859278</v>
      </c>
      <c r="F35" s="41">
        <v>0.20448105436573311</v>
      </c>
      <c r="G35" s="41">
        <v>0.20431893687707642</v>
      </c>
      <c r="H35" s="41">
        <v>0.17849579889336703</v>
      </c>
      <c r="I35" s="41">
        <v>0.14593613933236574</v>
      </c>
      <c r="J35" s="41">
        <v>0.17550364602644913</v>
      </c>
      <c r="K35" s="41">
        <v>0.16358617378780604</v>
      </c>
      <c r="L35" s="81"/>
      <c r="M35" s="61"/>
      <c r="N35" s="61"/>
      <c r="O35" s="61"/>
      <c r="P35" s="61"/>
      <c r="R35" s="56"/>
      <c r="S35" s="56"/>
      <c r="T35" s="2"/>
    </row>
    <row r="36" spans="1:20" x14ac:dyDescent="0.25">
      <c r="A36" s="119"/>
      <c r="B36" s="126"/>
      <c r="C36" s="42" t="s">
        <v>21</v>
      </c>
      <c r="D36" s="43">
        <v>0.69011691136487219</v>
      </c>
      <c r="E36" s="43">
        <v>0.75763762304046667</v>
      </c>
      <c r="F36" s="43">
        <v>0.76355848434925866</v>
      </c>
      <c r="G36" s="43">
        <v>0.76990033222591359</v>
      </c>
      <c r="H36" s="43">
        <v>0.80005464854156705</v>
      </c>
      <c r="I36" s="43">
        <v>0.83679245283018866</v>
      </c>
      <c r="J36" s="43">
        <v>0.80490668644172536</v>
      </c>
      <c r="K36" s="43">
        <v>0.81613058089294288</v>
      </c>
      <c r="L36" s="80">
        <f>($S36/5)+K36</f>
        <v>0.84767383881915337</v>
      </c>
      <c r="M36" s="62">
        <f>($S36/5)+L36</f>
        <v>0.87921709674536386</v>
      </c>
      <c r="N36" s="62">
        <f>($S36/5)+M36</f>
        <v>0.91076035467157435</v>
      </c>
      <c r="O36" s="62">
        <f>($S36/5)+N36</f>
        <v>0.94230361259778483</v>
      </c>
      <c r="P36" s="62">
        <f>($S36/5)+O36</f>
        <v>0.97384687052399532</v>
      </c>
      <c r="Q36" t="s">
        <v>57</v>
      </c>
      <c r="R36" s="56">
        <f t="shared" si="8"/>
        <v>5.2572096543684221E-2</v>
      </c>
      <c r="S36" s="56">
        <f t="shared" si="9"/>
        <v>0.15771628963105266</v>
      </c>
      <c r="T36" s="2">
        <f t="shared" si="10"/>
        <v>0.97384687052399554</v>
      </c>
    </row>
    <row r="37" spans="1:20" x14ac:dyDescent="0.25">
      <c r="A37" s="119"/>
      <c r="B37" s="125" t="s">
        <v>24</v>
      </c>
      <c r="C37" s="40" t="s">
        <v>18</v>
      </c>
      <c r="D37" s="41">
        <v>5.2949915110356537E-2</v>
      </c>
      <c r="E37" s="41">
        <v>2.4158125915080528E-2</v>
      </c>
      <c r="F37" s="41">
        <v>3.7943359912015397E-2</v>
      </c>
      <c r="G37" s="41">
        <v>3.3284721626490522E-2</v>
      </c>
      <c r="H37" s="41">
        <v>4.2429426860564584E-2</v>
      </c>
      <c r="I37" s="41">
        <v>2.7169505271695052E-2</v>
      </c>
      <c r="J37" s="41">
        <v>2.6550680786686837E-2</v>
      </c>
      <c r="K37" s="41">
        <v>2.4344848123883264E-2</v>
      </c>
      <c r="L37" s="78">
        <f t="shared" ref="L37:N38" si="13">($S37/5)+K37</f>
        <v>1.6185741051003982E-2</v>
      </c>
      <c r="M37" s="46">
        <f t="shared" si="13"/>
        <v>8.0266339781247028E-3</v>
      </c>
      <c r="N37" s="46">
        <f t="shared" si="13"/>
        <v>-1.3247309475457672E-4</v>
      </c>
      <c r="O37" s="46">
        <v>0</v>
      </c>
      <c r="P37" s="46">
        <v>0</v>
      </c>
      <c r="Q37" t="s">
        <v>58</v>
      </c>
      <c r="R37" s="56">
        <f t="shared" si="8"/>
        <v>-1.3598511788132133E-2</v>
      </c>
      <c r="S37" s="56">
        <f t="shared" si="9"/>
        <v>-4.0795535364396396E-2</v>
      </c>
      <c r="T37" s="2">
        <f t="shared" si="10"/>
        <v>-1.6450687240513132E-2</v>
      </c>
    </row>
    <row r="38" spans="1:20" x14ac:dyDescent="0.25">
      <c r="A38" s="119"/>
      <c r="B38" s="125"/>
      <c r="C38" s="40" t="s">
        <v>19</v>
      </c>
      <c r="D38" s="41">
        <v>0.16022920203735144</v>
      </c>
      <c r="E38" s="41">
        <v>0.12120895210207069</v>
      </c>
      <c r="F38" s="41">
        <v>0.14077536431124554</v>
      </c>
      <c r="G38" s="41">
        <v>0.13270995968087845</v>
      </c>
      <c r="H38" s="41">
        <v>0.14867408041060737</v>
      </c>
      <c r="I38" s="41">
        <v>0.13284671532846715</v>
      </c>
      <c r="J38" s="41">
        <v>0.1235249621785174</v>
      </c>
      <c r="K38" s="41">
        <v>0.12127754615842763</v>
      </c>
      <c r="L38" s="78">
        <f t="shared" si="13"/>
        <v>0.10957885526673689</v>
      </c>
      <c r="M38" s="46">
        <f t="shared" si="13"/>
        <v>9.7880164375046139E-2</v>
      </c>
      <c r="N38" s="46">
        <f t="shared" si="13"/>
        <v>8.6181473483355392E-2</v>
      </c>
      <c r="O38" s="46">
        <f>($S38/5)+N38</f>
        <v>7.4482782591664645E-2</v>
      </c>
      <c r="P38" s="46">
        <f>($S38/5)+O38</f>
        <v>6.2784091699973898E-2</v>
      </c>
      <c r="Q38" t="s">
        <v>52</v>
      </c>
      <c r="R38" s="56">
        <f t="shared" si="8"/>
        <v>-1.9497818152817911E-2</v>
      </c>
      <c r="S38" s="56">
        <f t="shared" si="9"/>
        <v>-5.8493454458453734E-2</v>
      </c>
      <c r="T38" s="2">
        <f t="shared" si="10"/>
        <v>6.2784091699973898E-2</v>
      </c>
    </row>
    <row r="39" spans="1:20" x14ac:dyDescent="0.25">
      <c r="A39" s="119"/>
      <c r="B39" s="125"/>
      <c r="C39" s="40" t="s">
        <v>20</v>
      </c>
      <c r="D39" s="41">
        <v>0.43421052631578949</v>
      </c>
      <c r="E39" s="41">
        <v>0.44268981384647565</v>
      </c>
      <c r="F39" s="41">
        <v>0.43158280634222346</v>
      </c>
      <c r="G39" s="41">
        <v>0.42721111778330617</v>
      </c>
      <c r="H39" s="41">
        <v>0.42112917023096663</v>
      </c>
      <c r="I39" s="41">
        <v>0.40827250608272508</v>
      </c>
      <c r="J39" s="41">
        <v>0.41679273827534041</v>
      </c>
      <c r="K39" s="41">
        <v>0.40820428826682548</v>
      </c>
      <c r="L39" s="81"/>
      <c r="M39" s="61"/>
      <c r="N39" s="61"/>
      <c r="O39" s="61"/>
      <c r="P39" s="61"/>
      <c r="R39" s="56"/>
      <c r="S39" s="56"/>
      <c r="T39" s="2"/>
    </row>
    <row r="40" spans="1:20" x14ac:dyDescent="0.25">
      <c r="A40" s="119"/>
      <c r="B40" s="126"/>
      <c r="C40" s="42" t="s">
        <v>21</v>
      </c>
      <c r="D40" s="43">
        <v>0.33849745331069608</v>
      </c>
      <c r="E40" s="43">
        <v>0.40389039949801298</v>
      </c>
      <c r="F40" s="43">
        <v>0.37897534598111998</v>
      </c>
      <c r="G40" s="43">
        <v>0.39727202539246803</v>
      </c>
      <c r="H40" s="43">
        <v>0.38776732249786144</v>
      </c>
      <c r="I40" s="43">
        <v>0.42124898621248985</v>
      </c>
      <c r="J40" s="43">
        <v>0.42322239031770048</v>
      </c>
      <c r="K40" s="43">
        <v>0.43180464562239429</v>
      </c>
      <c r="L40" s="80">
        <f>($S40/5)+K40</f>
        <v>0.46350222540715885</v>
      </c>
      <c r="M40" s="62">
        <f>($S40/5)+L40</f>
        <v>0.49519980519192341</v>
      </c>
      <c r="N40" s="62">
        <f>($S40/5)+M40</f>
        <v>0.52689738497668803</v>
      </c>
      <c r="O40" s="62">
        <f>($S40/5)+N40</f>
        <v>0.55859496476145265</v>
      </c>
      <c r="P40" s="62">
        <f>($S40/5)+O40</f>
        <v>0.59029254454621727</v>
      </c>
      <c r="Q40" t="s">
        <v>57</v>
      </c>
      <c r="R40" s="56">
        <f t="shared" si="8"/>
        <v>5.2829299641274308E-2</v>
      </c>
      <c r="S40" s="56">
        <f t="shared" si="9"/>
        <v>0.15848789892382292</v>
      </c>
      <c r="T40" s="2">
        <f t="shared" si="10"/>
        <v>0.59029254454621727</v>
      </c>
    </row>
    <row r="41" spans="1:20" x14ac:dyDescent="0.25">
      <c r="A41" s="119"/>
      <c r="B41" s="125" t="s">
        <v>23</v>
      </c>
      <c r="C41" s="40" t="s">
        <v>18</v>
      </c>
      <c r="D41" s="41">
        <v>1.5828902851619139E-2</v>
      </c>
      <c r="E41" s="41">
        <v>9.7176948151792859E-3</v>
      </c>
      <c r="F41" s="41">
        <v>1.0997599508736671E-2</v>
      </c>
      <c r="G41" s="41">
        <v>1.289452387375236E-2</v>
      </c>
      <c r="H41" s="41">
        <v>6.9008782936010038E-3</v>
      </c>
      <c r="I41" s="41">
        <v>6.6283013051073886E-3</v>
      </c>
      <c r="J41" s="41">
        <v>5.3489056825988812E-3</v>
      </c>
      <c r="K41" s="41">
        <v>5.8806233460746843E-3</v>
      </c>
      <c r="L41" s="78">
        <f>($S41/5)+K41</f>
        <v>2.810437648477492E-3</v>
      </c>
      <c r="M41" s="46">
        <f>($S41/5)+L41</f>
        <v>-2.5974804911970024E-4</v>
      </c>
      <c r="N41" s="46">
        <v>0</v>
      </c>
      <c r="O41" s="46">
        <v>0</v>
      </c>
      <c r="P41" s="46">
        <v>0</v>
      </c>
      <c r="Q41" t="s">
        <v>58</v>
      </c>
      <c r="R41" s="56">
        <f t="shared" si="8"/>
        <v>-5.1169761626619868E-3</v>
      </c>
      <c r="S41" s="56">
        <f t="shared" si="9"/>
        <v>-1.535092848798596E-2</v>
      </c>
      <c r="T41" s="2">
        <f t="shared" si="10"/>
        <v>-9.4703051419112762E-3</v>
      </c>
    </row>
    <row r="42" spans="1:20" x14ac:dyDescent="0.25">
      <c r="A42" s="119"/>
      <c r="B42" s="125"/>
      <c r="C42" s="40" t="s">
        <v>19</v>
      </c>
      <c r="D42" s="41">
        <v>8.8388110198163367E-2</v>
      </c>
      <c r="E42" s="41">
        <v>6.2119441540070118E-2</v>
      </c>
      <c r="F42" s="41">
        <v>7.2349690169150896E-2</v>
      </c>
      <c r="G42" s="41">
        <v>7.1432425141623956E-2</v>
      </c>
      <c r="H42" s="41">
        <v>5.1286072772898372E-2</v>
      </c>
      <c r="I42" s="41">
        <v>4.9737950878635293E-2</v>
      </c>
      <c r="J42" s="41">
        <v>4.1515359701639019E-2</v>
      </c>
      <c r="K42" s="41">
        <v>4.2144467313535237E-2</v>
      </c>
      <c r="L42" s="78">
        <f>($S42/5)+K42</f>
        <v>2.4021333600165843E-2</v>
      </c>
      <c r="M42" s="46">
        <f>($S42/5)+L42</f>
        <v>5.8981998867964486E-3</v>
      </c>
      <c r="N42" s="46">
        <v>0</v>
      </c>
      <c r="O42" s="46">
        <v>0</v>
      </c>
      <c r="P42" s="46">
        <v>0</v>
      </c>
      <c r="Q42" t="s">
        <v>58</v>
      </c>
      <c r="R42" s="56">
        <f t="shared" si="8"/>
        <v>-3.0205222855615659E-2</v>
      </c>
      <c r="S42" s="56">
        <f t="shared" si="9"/>
        <v>-9.0615668566846969E-2</v>
      </c>
      <c r="T42" s="2">
        <f t="shared" si="10"/>
        <v>-4.8471201253311731E-2</v>
      </c>
    </row>
    <row r="43" spans="1:20" x14ac:dyDescent="0.25">
      <c r="A43" s="119"/>
      <c r="B43" s="125"/>
      <c r="C43" s="40" t="s">
        <v>20</v>
      </c>
      <c r="D43" s="41">
        <v>0.29307636539391008</v>
      </c>
      <c r="E43" s="41">
        <v>0.27111138446398919</v>
      </c>
      <c r="F43" s="41">
        <v>0.26427734047898177</v>
      </c>
      <c r="G43" s="41">
        <v>0.25287294308065822</v>
      </c>
      <c r="H43" s="41">
        <v>0.23002927645336679</v>
      </c>
      <c r="I43" s="41">
        <v>0.2200184975850375</v>
      </c>
      <c r="J43" s="41">
        <v>0.21714594170183532</v>
      </c>
      <c r="K43" s="41">
        <v>0.20170538077036165</v>
      </c>
      <c r="L43" s="81"/>
      <c r="M43" s="61"/>
      <c r="N43" s="61"/>
      <c r="O43" s="61"/>
      <c r="P43" s="61"/>
      <c r="R43" s="56"/>
      <c r="S43" s="56"/>
      <c r="T43" s="2"/>
    </row>
    <row r="44" spans="1:20" x14ac:dyDescent="0.25">
      <c r="A44" s="119"/>
      <c r="B44" s="126"/>
      <c r="C44" s="42" t="s">
        <v>21</v>
      </c>
      <c r="D44" s="43">
        <v>0.59920251329144514</v>
      </c>
      <c r="E44" s="43">
        <v>0.6530536933390737</v>
      </c>
      <c r="F44" s="43">
        <v>0.64963992631050071</v>
      </c>
      <c r="G44" s="43">
        <v>0.65988670083625578</v>
      </c>
      <c r="H44" s="43">
        <v>0.7117837724801338</v>
      </c>
      <c r="I44" s="43">
        <v>0.71893947179118278</v>
      </c>
      <c r="J44" s="43">
        <v>0.73314358622043385</v>
      </c>
      <c r="K44" s="43">
        <v>0.74654513378418108</v>
      </c>
      <c r="L44" s="80">
        <f>($S44/5)+K44</f>
        <v>0.8046882582683893</v>
      </c>
      <c r="M44" s="62">
        <f>($S44/5)+L44</f>
        <v>0.86283138275259752</v>
      </c>
      <c r="N44" s="62">
        <f>($S44/5)+M44</f>
        <v>0.92097450723680574</v>
      </c>
      <c r="O44" s="62">
        <f>($S44/5)+N44</f>
        <v>0.97911763172101396</v>
      </c>
      <c r="P44" s="62">
        <v>1</v>
      </c>
      <c r="Q44" t="s">
        <v>57</v>
      </c>
      <c r="R44" s="56">
        <f t="shared" si="8"/>
        <v>9.6905207473680366E-2</v>
      </c>
      <c r="S44" s="56">
        <f t="shared" si="9"/>
        <v>0.2907156224210411</v>
      </c>
      <c r="T44" s="2">
        <f t="shared" si="10"/>
        <v>1.0372607562052223</v>
      </c>
    </row>
    <row r="45" spans="1:20" x14ac:dyDescent="0.25"/>
    <row r="46" spans="1:20" x14ac:dyDescent="0.25"/>
  </sheetData>
  <mergeCells count="15">
    <mergeCell ref="A2:A44"/>
    <mergeCell ref="D3:K3"/>
    <mergeCell ref="L3:P3"/>
    <mergeCell ref="B17:P17"/>
    <mergeCell ref="B31:P31"/>
    <mergeCell ref="B2:P2"/>
    <mergeCell ref="B27:B30"/>
    <mergeCell ref="B33:B36"/>
    <mergeCell ref="B37:B40"/>
    <mergeCell ref="B41:B44"/>
    <mergeCell ref="B5:B8"/>
    <mergeCell ref="B9:B12"/>
    <mergeCell ref="B13:B16"/>
    <mergeCell ref="B19:B22"/>
    <mergeCell ref="B23:B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showGridLines="0" workbookViewId="0">
      <selection activeCell="S33" sqref="S33"/>
    </sheetView>
  </sheetViews>
  <sheetFormatPr defaultColWidth="0" defaultRowHeight="15" zeroHeight="1" x14ac:dyDescent="0.25"/>
  <cols>
    <col min="1" max="1" width="4.28515625" customWidth="1"/>
    <col min="2" max="2" width="12.140625" customWidth="1"/>
    <col min="3" max="3" width="15.7109375" bestFit="1" customWidth="1"/>
    <col min="4" max="16" width="9.140625" customWidth="1"/>
    <col min="17" max="17" width="45" customWidth="1"/>
    <col min="18" max="21" width="9.140625" customWidth="1"/>
    <col min="22" max="16384" width="9.140625" hidden="1"/>
  </cols>
  <sheetData>
    <row r="1" spans="2:20" x14ac:dyDescent="0.25"/>
    <row r="2" spans="2:20" x14ac:dyDescent="0.25">
      <c r="B2" s="127" t="s">
        <v>41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</row>
    <row r="3" spans="2:20" x14ac:dyDescent="0.25">
      <c r="D3" s="130" t="s">
        <v>44</v>
      </c>
      <c r="E3" s="130"/>
      <c r="F3" s="130"/>
      <c r="G3" s="130"/>
      <c r="H3" s="130"/>
      <c r="I3" s="130"/>
      <c r="J3" s="130"/>
      <c r="K3" s="130"/>
      <c r="L3" s="128" t="s">
        <v>45</v>
      </c>
      <c r="M3" s="129"/>
      <c r="N3" s="129"/>
      <c r="O3" s="129"/>
      <c r="P3" s="129"/>
      <c r="Q3" s="70" t="s">
        <v>50</v>
      </c>
      <c r="R3" s="71"/>
      <c r="S3" s="71"/>
      <c r="T3" s="71"/>
    </row>
    <row r="4" spans="2:20" x14ac:dyDescent="0.25">
      <c r="B4" s="1"/>
      <c r="C4" s="1"/>
      <c r="D4" s="1">
        <v>2005</v>
      </c>
      <c r="E4" s="1">
        <v>2006</v>
      </c>
      <c r="F4" s="1">
        <v>2007</v>
      </c>
      <c r="G4" s="1">
        <v>2008</v>
      </c>
      <c r="H4" s="1">
        <v>2009</v>
      </c>
      <c r="I4" s="1">
        <v>2010</v>
      </c>
      <c r="J4" s="1">
        <v>2011</v>
      </c>
      <c r="K4" s="1">
        <v>2012</v>
      </c>
      <c r="L4" s="76">
        <v>2013</v>
      </c>
      <c r="M4" s="1">
        <v>2014</v>
      </c>
      <c r="N4" s="1">
        <v>2015</v>
      </c>
      <c r="O4" s="1">
        <v>2016</v>
      </c>
      <c r="P4" s="1">
        <v>2017</v>
      </c>
      <c r="R4" s="71"/>
      <c r="S4" s="71"/>
      <c r="T4" s="71"/>
    </row>
    <row r="5" spans="2:20" x14ac:dyDescent="0.25">
      <c r="B5" s="125" t="s">
        <v>22</v>
      </c>
      <c r="C5" s="40" t="s">
        <v>59</v>
      </c>
      <c r="D5" s="67">
        <v>65.489849955869005</v>
      </c>
      <c r="E5" s="67">
        <v>68.639798488664994</v>
      </c>
      <c r="F5" s="67">
        <v>65.088757396448997</v>
      </c>
      <c r="G5" s="67">
        <v>64.730290456431007</v>
      </c>
      <c r="H5" s="67">
        <v>70.628571428570993</v>
      </c>
      <c r="I5" s="67">
        <v>66.520467836256998</v>
      </c>
      <c r="J5" s="67">
        <v>72.774869109947005</v>
      </c>
      <c r="K5" s="67">
        <v>65.310734463276006</v>
      </c>
      <c r="L5" s="73">
        <v>100</v>
      </c>
      <c r="M5" s="64"/>
      <c r="N5" s="64"/>
      <c r="O5" s="64"/>
      <c r="P5" s="64"/>
      <c r="R5" s="71"/>
      <c r="S5" s="71"/>
      <c r="T5" s="71"/>
    </row>
    <row r="6" spans="2:20" x14ac:dyDescent="0.25">
      <c r="B6" s="125"/>
      <c r="C6" s="40" t="s">
        <v>60</v>
      </c>
      <c r="D6" s="67">
        <v>85.763445088978003</v>
      </c>
      <c r="E6" s="67">
        <v>89.163629199092995</v>
      </c>
      <c r="F6" s="67">
        <v>88.395294117646998</v>
      </c>
      <c r="G6" s="67">
        <v>88.737511353315</v>
      </c>
      <c r="H6" s="67">
        <v>89.911797133405997</v>
      </c>
      <c r="I6" s="67">
        <v>90.772238514174006</v>
      </c>
      <c r="J6" s="67">
        <v>90.415002604617996</v>
      </c>
      <c r="K6" s="67">
        <v>90.078461149076006</v>
      </c>
      <c r="L6" s="73">
        <f t="shared" ref="L6:O7" si="0">($S6/5)+K6</f>
        <v>92.078461149076006</v>
      </c>
      <c r="M6" s="64">
        <f t="shared" si="0"/>
        <v>94.078461149076006</v>
      </c>
      <c r="N6" s="64">
        <f t="shared" si="0"/>
        <v>96.078461149076006</v>
      </c>
      <c r="O6" s="64">
        <f t="shared" si="0"/>
        <v>98.078461149076006</v>
      </c>
      <c r="P6" s="64">
        <v>100</v>
      </c>
      <c r="R6" s="71">
        <f t="shared" ref="R6:R13" si="1">K6-F6</f>
        <v>1.6831670314290079</v>
      </c>
      <c r="S6" s="71">
        <v>10</v>
      </c>
      <c r="T6" s="71">
        <f t="shared" ref="T6:T13" si="2">K6+S6</f>
        <v>100.07846114907601</v>
      </c>
    </row>
    <row r="7" spans="2:20" x14ac:dyDescent="0.25">
      <c r="B7" s="126"/>
      <c r="C7" s="42" t="s">
        <v>61</v>
      </c>
      <c r="D7" s="68">
        <v>45.361189801698998</v>
      </c>
      <c r="E7" s="68">
        <v>48.206530480939001</v>
      </c>
      <c r="F7" s="68">
        <v>44.694637939412999</v>
      </c>
      <c r="G7" s="68">
        <v>45.515952860017002</v>
      </c>
      <c r="H7" s="68">
        <v>48.922165542207999</v>
      </c>
      <c r="I7" s="68">
        <v>49.510698291590003</v>
      </c>
      <c r="J7" s="68">
        <v>47.638307092300998</v>
      </c>
      <c r="K7" s="68">
        <v>47.842693450275</v>
      </c>
      <c r="L7" s="74">
        <f t="shared" si="0"/>
        <v>49.842693450275</v>
      </c>
      <c r="M7" s="65">
        <f t="shared" si="0"/>
        <v>51.842693450275</v>
      </c>
      <c r="N7" s="65">
        <f t="shared" si="0"/>
        <v>53.842693450275</v>
      </c>
      <c r="O7" s="65">
        <f t="shared" si="0"/>
        <v>55.842693450275</v>
      </c>
      <c r="P7" s="65">
        <f>($S7/5)+O7</f>
        <v>57.842693450275</v>
      </c>
      <c r="R7" s="71">
        <f t="shared" si="1"/>
        <v>3.148055510862001</v>
      </c>
      <c r="S7" s="71">
        <v>10</v>
      </c>
      <c r="T7" s="71">
        <f t="shared" si="2"/>
        <v>57.842693450275</v>
      </c>
    </row>
    <row r="8" spans="2:20" x14ac:dyDescent="0.25">
      <c r="B8" s="124" t="s">
        <v>62</v>
      </c>
      <c r="C8" s="44" t="s">
        <v>59</v>
      </c>
      <c r="D8" s="69">
        <v>35.15625</v>
      </c>
      <c r="E8" s="69">
        <v>39.365671641791003</v>
      </c>
      <c r="F8" s="69">
        <v>32.436069986541</v>
      </c>
      <c r="G8" s="69">
        <v>33.941997851772001</v>
      </c>
      <c r="H8" s="69">
        <v>37.104994903159998</v>
      </c>
      <c r="I8" s="69">
        <v>34.451901565995001</v>
      </c>
      <c r="J8" s="69">
        <v>38.755020080321003</v>
      </c>
      <c r="K8" s="69">
        <v>36.725663716813997</v>
      </c>
      <c r="L8" s="75">
        <f t="shared" ref="L8:P8" si="3">($S8/5)+K8</f>
        <v>38.725663716813997</v>
      </c>
      <c r="M8" s="66">
        <f t="shared" si="3"/>
        <v>40.725663716813997</v>
      </c>
      <c r="N8" s="66">
        <f t="shared" si="3"/>
        <v>42.725663716813997</v>
      </c>
      <c r="O8" s="66">
        <f t="shared" si="3"/>
        <v>44.725663716813997</v>
      </c>
      <c r="P8" s="66">
        <f t="shared" si="3"/>
        <v>46.725663716813997</v>
      </c>
      <c r="R8" s="71">
        <f t="shared" si="1"/>
        <v>4.2895937302729976</v>
      </c>
      <c r="S8" s="71">
        <v>10</v>
      </c>
      <c r="T8" s="71">
        <f t="shared" si="2"/>
        <v>46.725663716813997</v>
      </c>
    </row>
    <row r="9" spans="2:20" x14ac:dyDescent="0.25">
      <c r="B9" s="125"/>
      <c r="C9" s="40" t="s">
        <v>60</v>
      </c>
      <c r="D9" s="67">
        <v>92.935635792778001</v>
      </c>
      <c r="E9" s="67">
        <v>95.064549297382996</v>
      </c>
      <c r="F9" s="67">
        <v>92.964772958664</v>
      </c>
      <c r="G9" s="67">
        <v>92.816452640725998</v>
      </c>
      <c r="H9" s="67">
        <v>93.483492155164001</v>
      </c>
      <c r="I9" s="67">
        <v>91.684048245216005</v>
      </c>
      <c r="J9" s="67">
        <v>92.531752751905003</v>
      </c>
      <c r="K9" s="67">
        <v>91.016724623282002</v>
      </c>
      <c r="L9" s="73">
        <f t="shared" ref="L9:O9" si="4">($S9/5)+K9</f>
        <v>93.016724623282002</v>
      </c>
      <c r="M9" s="64">
        <f t="shared" si="4"/>
        <v>95.016724623282002</v>
      </c>
      <c r="N9" s="64">
        <f t="shared" si="4"/>
        <v>97.016724623282002</v>
      </c>
      <c r="O9" s="64">
        <f t="shared" si="4"/>
        <v>99.016724623282002</v>
      </c>
      <c r="P9" s="64">
        <v>100</v>
      </c>
      <c r="R9" s="71">
        <f t="shared" si="1"/>
        <v>-1.9480483353819977</v>
      </c>
      <c r="S9" s="71">
        <v>10</v>
      </c>
      <c r="T9" s="71">
        <f t="shared" si="2"/>
        <v>101.016724623282</v>
      </c>
    </row>
    <row r="10" spans="2:20" x14ac:dyDescent="0.25">
      <c r="B10" s="126"/>
      <c r="C10" s="42" t="s">
        <v>61</v>
      </c>
      <c r="D10" s="68">
        <v>20.446445319826999</v>
      </c>
      <c r="E10" s="68">
        <v>22.264222264221999</v>
      </c>
      <c r="F10" s="68">
        <v>20.347056822048</v>
      </c>
      <c r="G10" s="68">
        <v>19.354838709677001</v>
      </c>
      <c r="H10" s="68">
        <v>20.217530390275002</v>
      </c>
      <c r="I10" s="68">
        <v>20.944972630365001</v>
      </c>
      <c r="J10" s="68">
        <v>15.407768381825999</v>
      </c>
      <c r="K10" s="68">
        <v>12.587015201022</v>
      </c>
      <c r="L10" s="74">
        <f t="shared" ref="L10:P10" si="5">($S10/5)+K10</f>
        <v>14.587015201022</v>
      </c>
      <c r="M10" s="65">
        <f t="shared" si="5"/>
        <v>16.587015201021998</v>
      </c>
      <c r="N10" s="65">
        <f t="shared" si="5"/>
        <v>18.587015201021998</v>
      </c>
      <c r="O10" s="65">
        <f t="shared" si="5"/>
        <v>20.587015201021998</v>
      </c>
      <c r="P10" s="65">
        <f t="shared" si="5"/>
        <v>22.587015201021998</v>
      </c>
      <c r="R10" s="71">
        <f t="shared" si="1"/>
        <v>-7.7600416210259997</v>
      </c>
      <c r="S10" s="71">
        <v>10</v>
      </c>
      <c r="T10" s="71">
        <f t="shared" si="2"/>
        <v>22.587015201021998</v>
      </c>
    </row>
    <row r="11" spans="2:20" x14ac:dyDescent="0.25">
      <c r="B11" s="124" t="s">
        <v>23</v>
      </c>
      <c r="C11" s="44" t="s">
        <v>59</v>
      </c>
      <c r="D11" s="69">
        <v>47.331786542922998</v>
      </c>
      <c r="E11" s="69">
        <v>49.302915082382</v>
      </c>
      <c r="F11" s="69">
        <v>45.484949832775001</v>
      </c>
      <c r="G11" s="69">
        <v>38.591800356505999</v>
      </c>
      <c r="H11" s="69">
        <v>48.961937716263002</v>
      </c>
      <c r="I11" s="69">
        <v>44.143167028199002</v>
      </c>
      <c r="J11" s="69">
        <v>49.499545040946003</v>
      </c>
      <c r="K11" s="69">
        <v>51.713395638629002</v>
      </c>
      <c r="L11" s="75"/>
      <c r="M11" s="66"/>
      <c r="N11" s="66"/>
      <c r="O11" s="66"/>
      <c r="P11" s="66"/>
      <c r="R11" s="71"/>
      <c r="S11" s="71"/>
      <c r="T11" s="71"/>
    </row>
    <row r="12" spans="2:20" x14ac:dyDescent="0.25">
      <c r="B12" s="125"/>
      <c r="C12" s="40" t="s">
        <v>60</v>
      </c>
      <c r="D12" s="67">
        <v>83.428074633852006</v>
      </c>
      <c r="E12" s="67">
        <v>87.749174917491004</v>
      </c>
      <c r="F12" s="67">
        <v>86.742794333169996</v>
      </c>
      <c r="G12" s="67">
        <v>84.733227680929005</v>
      </c>
      <c r="H12" s="67">
        <v>85.965210493512004</v>
      </c>
      <c r="I12" s="67">
        <v>84.869950193690997</v>
      </c>
      <c r="J12" s="67">
        <v>84.811135313180003</v>
      </c>
      <c r="K12" s="67">
        <v>84.462340123163997</v>
      </c>
      <c r="L12" s="73">
        <f t="shared" ref="L12:P12" si="6">($S12/5)+K12</f>
        <v>86.462340123163997</v>
      </c>
      <c r="M12" s="64">
        <f t="shared" si="6"/>
        <v>88.462340123163997</v>
      </c>
      <c r="N12" s="64">
        <f t="shared" si="6"/>
        <v>90.462340123163997</v>
      </c>
      <c r="O12" s="64">
        <f t="shared" si="6"/>
        <v>92.462340123163997</v>
      </c>
      <c r="P12" s="64">
        <f t="shared" si="6"/>
        <v>94.462340123163997</v>
      </c>
      <c r="R12" s="71">
        <f t="shared" si="1"/>
        <v>-2.280454210005999</v>
      </c>
      <c r="S12" s="71">
        <v>10</v>
      </c>
      <c r="T12" s="71">
        <f t="shared" si="2"/>
        <v>94.462340123163997</v>
      </c>
    </row>
    <row r="13" spans="2:20" x14ac:dyDescent="0.25">
      <c r="B13" s="126"/>
      <c r="C13" s="42" t="s">
        <v>61</v>
      </c>
      <c r="D13" s="68">
        <v>33.150554297294001</v>
      </c>
      <c r="E13" s="68">
        <v>31.899509803920999</v>
      </c>
      <c r="F13" s="68">
        <v>31.700158049220999</v>
      </c>
      <c r="G13" s="68">
        <v>27.542695529206998</v>
      </c>
      <c r="H13" s="68">
        <v>31.698191644148</v>
      </c>
      <c r="I13" s="68">
        <v>32.086974192237001</v>
      </c>
      <c r="J13" s="68">
        <v>29.840395211855999</v>
      </c>
      <c r="K13" s="68">
        <v>29.416801446103999</v>
      </c>
      <c r="L13" s="74">
        <f t="shared" ref="L13:P13" si="7">($S13/5)+K13</f>
        <v>31.416801446103999</v>
      </c>
      <c r="M13" s="65">
        <f t="shared" si="7"/>
        <v>33.416801446104003</v>
      </c>
      <c r="N13" s="65">
        <f t="shared" si="7"/>
        <v>35.416801446104003</v>
      </c>
      <c r="O13" s="65">
        <f t="shared" si="7"/>
        <v>37.416801446104003</v>
      </c>
      <c r="P13" s="65">
        <f t="shared" si="7"/>
        <v>39.416801446104003</v>
      </c>
      <c r="R13" s="71">
        <f t="shared" si="1"/>
        <v>-2.2833566031169994</v>
      </c>
      <c r="S13" s="71">
        <v>10</v>
      </c>
      <c r="T13" s="71">
        <f t="shared" si="2"/>
        <v>39.416801446104003</v>
      </c>
    </row>
    <row r="14" spans="2:20" x14ac:dyDescent="0.25">
      <c r="B14" s="127" t="s">
        <v>42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R14" s="71"/>
      <c r="S14" s="71"/>
      <c r="T14" s="71"/>
    </row>
    <row r="15" spans="2:20" x14ac:dyDescent="0.25">
      <c r="B15" s="1"/>
      <c r="C15" s="1"/>
      <c r="D15" s="1">
        <v>2005</v>
      </c>
      <c r="E15" s="1">
        <v>2006</v>
      </c>
      <c r="F15" s="1">
        <v>2007</v>
      </c>
      <c r="G15" s="1">
        <v>2008</v>
      </c>
      <c r="H15" s="1">
        <v>2009</v>
      </c>
      <c r="I15" s="1">
        <v>2010</v>
      </c>
      <c r="J15" s="1">
        <v>2011</v>
      </c>
      <c r="K15" s="1">
        <v>2012</v>
      </c>
      <c r="L15" s="76">
        <v>2013</v>
      </c>
      <c r="M15" s="1">
        <v>2014</v>
      </c>
      <c r="N15" s="1">
        <v>2015</v>
      </c>
      <c r="O15" s="1">
        <v>2016</v>
      </c>
      <c r="P15" s="1">
        <v>2017</v>
      </c>
      <c r="R15" s="71"/>
      <c r="S15" s="71"/>
      <c r="T15" s="71"/>
    </row>
    <row r="16" spans="2:20" x14ac:dyDescent="0.25">
      <c r="B16" s="125" t="s">
        <v>22</v>
      </c>
      <c r="C16" s="40" t="s">
        <v>59</v>
      </c>
      <c r="D16" s="64">
        <v>56.696428571428001</v>
      </c>
      <c r="E16" s="64">
        <v>67.361111111111001</v>
      </c>
      <c r="F16" s="64">
        <v>52.358490566036998</v>
      </c>
      <c r="G16" s="64">
        <v>63.636363636363001</v>
      </c>
      <c r="H16" s="64">
        <v>59.722222222222001</v>
      </c>
      <c r="I16" s="64">
        <v>66.108786610877999</v>
      </c>
      <c r="J16" s="64">
        <v>59.793814432989002</v>
      </c>
      <c r="K16" s="64">
        <v>60.465116279069001</v>
      </c>
      <c r="L16" s="73">
        <v>100</v>
      </c>
      <c r="M16" s="64">
        <v>100</v>
      </c>
      <c r="N16" s="64"/>
      <c r="O16" s="64"/>
      <c r="P16" s="64"/>
      <c r="R16" s="71"/>
      <c r="S16" s="71"/>
      <c r="T16" s="71"/>
    </row>
    <row r="17" spans="2:20" x14ac:dyDescent="0.25">
      <c r="B17" s="125"/>
      <c r="C17" s="40" t="s">
        <v>60</v>
      </c>
      <c r="D17" s="64">
        <v>91.662828189774004</v>
      </c>
      <c r="E17" s="64">
        <v>94.285446185604997</v>
      </c>
      <c r="F17" s="64">
        <v>92.794298785852007</v>
      </c>
      <c r="G17" s="64">
        <v>93.626448534424</v>
      </c>
      <c r="H17" s="64">
        <v>94.440087145969002</v>
      </c>
      <c r="I17" s="64">
        <v>95.950243172464994</v>
      </c>
      <c r="J17" s="64">
        <v>93.498934251516005</v>
      </c>
      <c r="K17" s="64">
        <v>94.294897549216003</v>
      </c>
      <c r="L17" s="73">
        <f t="shared" ref="L17:N18" si="8">($S17/5)+K17</f>
        <v>96.294897549216003</v>
      </c>
      <c r="M17" s="64">
        <f t="shared" si="8"/>
        <v>98.294897549216003</v>
      </c>
      <c r="N17" s="64">
        <f t="shared" si="8"/>
        <v>100.294897549216</v>
      </c>
      <c r="O17" s="64">
        <v>100</v>
      </c>
      <c r="P17" s="64">
        <v>100</v>
      </c>
      <c r="R17" s="71">
        <f t="shared" ref="R17:R24" si="9">K17-F17</f>
        <v>1.5005987633639961</v>
      </c>
      <c r="S17" s="71">
        <v>10</v>
      </c>
      <c r="T17" s="71">
        <f t="shared" ref="T17:T24" si="10">K17+S17</f>
        <v>104.294897549216</v>
      </c>
    </row>
    <row r="18" spans="2:20" x14ac:dyDescent="0.25">
      <c r="B18" s="126"/>
      <c r="C18" s="42" t="s">
        <v>61</v>
      </c>
      <c r="D18" s="65">
        <v>49.330809787751001</v>
      </c>
      <c r="E18" s="65">
        <v>45.231884057971001</v>
      </c>
      <c r="F18" s="65">
        <v>44.354031046568998</v>
      </c>
      <c r="G18" s="65">
        <v>45.433406536623004</v>
      </c>
      <c r="H18" s="65">
        <v>48.147223955084002</v>
      </c>
      <c r="I18" s="65">
        <v>51.683899556867999</v>
      </c>
      <c r="J18" s="65">
        <v>44.159963747592002</v>
      </c>
      <c r="K18" s="65">
        <v>45.779074988773999</v>
      </c>
      <c r="L18" s="74">
        <f t="shared" si="8"/>
        <v>47.779074988773999</v>
      </c>
      <c r="M18" s="65">
        <f t="shared" si="8"/>
        <v>49.779074988773999</v>
      </c>
      <c r="N18" s="65">
        <f t="shared" si="8"/>
        <v>51.779074988773999</v>
      </c>
      <c r="O18" s="65">
        <f>($S18/5)+N18</f>
        <v>53.779074988773999</v>
      </c>
      <c r="P18" s="65">
        <f>($S18/5)+O18</f>
        <v>55.779074988773999</v>
      </c>
      <c r="R18" s="71">
        <f t="shared" si="9"/>
        <v>1.4250439422050007</v>
      </c>
      <c r="S18" s="71">
        <v>10</v>
      </c>
      <c r="T18" s="71">
        <f t="shared" si="10"/>
        <v>55.779074988773999</v>
      </c>
    </row>
    <row r="19" spans="2:20" x14ac:dyDescent="0.25">
      <c r="B19" s="124" t="s">
        <v>24</v>
      </c>
      <c r="C19" s="44" t="s">
        <v>59</v>
      </c>
      <c r="D19" s="66">
        <v>34.834834834833998</v>
      </c>
      <c r="E19" s="66">
        <v>45.023696682463999</v>
      </c>
      <c r="F19" s="66">
        <v>40.468227424749003</v>
      </c>
      <c r="G19" s="66">
        <v>44.354838709676997</v>
      </c>
      <c r="H19" s="66">
        <v>44.675324675323999</v>
      </c>
      <c r="I19" s="66">
        <v>50.137741046831998</v>
      </c>
      <c r="J19" s="66">
        <v>40.498442367601001</v>
      </c>
      <c r="K19" s="66">
        <v>44.059405940593997</v>
      </c>
      <c r="L19" s="73">
        <f>($S19/4)+K19</f>
        <v>58.0445544554455</v>
      </c>
      <c r="M19" s="64">
        <f t="shared" ref="M19:O19" si="11">($S19/4)+L19</f>
        <v>72.029702970296995</v>
      </c>
      <c r="N19" s="64">
        <f t="shared" si="11"/>
        <v>86.014851485148498</v>
      </c>
      <c r="O19" s="64">
        <f t="shared" si="11"/>
        <v>100</v>
      </c>
      <c r="P19" s="64"/>
      <c r="R19" s="71">
        <f t="shared" si="9"/>
        <v>3.5911785158449945</v>
      </c>
      <c r="S19" s="71">
        <f>100-K19</f>
        <v>55.940594059406003</v>
      </c>
      <c r="T19" s="71">
        <f t="shared" si="10"/>
        <v>100</v>
      </c>
    </row>
    <row r="20" spans="2:20" x14ac:dyDescent="0.25">
      <c r="B20" s="125"/>
      <c r="C20" s="40" t="s">
        <v>60</v>
      </c>
      <c r="D20" s="64">
        <v>96.136207291904995</v>
      </c>
      <c r="E20" s="64">
        <v>97.567418822234004</v>
      </c>
      <c r="F20" s="64">
        <v>97.664233576642005</v>
      </c>
      <c r="G20" s="64">
        <v>96.437076387616003</v>
      </c>
      <c r="H20" s="64">
        <v>97.658954272179997</v>
      </c>
      <c r="I20" s="64">
        <v>96.299818449035996</v>
      </c>
      <c r="J20" s="64">
        <v>96.353290053698004</v>
      </c>
      <c r="K20" s="64">
        <v>96.591629676601002</v>
      </c>
      <c r="L20" s="73">
        <f>($S20/5)+K20</f>
        <v>98.591629676601002</v>
      </c>
      <c r="M20" s="64">
        <v>100</v>
      </c>
      <c r="N20" s="64">
        <v>100</v>
      </c>
      <c r="O20" s="64">
        <v>100</v>
      </c>
      <c r="P20" s="64">
        <v>100</v>
      </c>
      <c r="R20" s="71">
        <f t="shared" si="9"/>
        <v>-1.0726039000410026</v>
      </c>
      <c r="S20" s="71">
        <v>10</v>
      </c>
      <c r="T20" s="71">
        <f t="shared" si="10"/>
        <v>106.591629676601</v>
      </c>
    </row>
    <row r="21" spans="2:20" x14ac:dyDescent="0.25">
      <c r="B21" s="126"/>
      <c r="C21" s="42" t="s">
        <v>61</v>
      </c>
      <c r="D21" s="65">
        <v>22.013374299656</v>
      </c>
      <c r="E21" s="65">
        <v>36.297998030850003</v>
      </c>
      <c r="F21" s="65">
        <v>25.387509405568</v>
      </c>
      <c r="G21" s="65">
        <v>32.523953274707999</v>
      </c>
      <c r="H21" s="65">
        <v>23.046875</v>
      </c>
      <c r="I21" s="65">
        <v>26.895095048110001</v>
      </c>
      <c r="J21" s="65">
        <v>21.338863924415001</v>
      </c>
      <c r="K21" s="65">
        <v>20.80892293826</v>
      </c>
      <c r="L21" s="74">
        <f>($S21/5)+K21</f>
        <v>22.80892293826</v>
      </c>
      <c r="M21" s="65">
        <f>($S21/5)+L21</f>
        <v>24.80892293826</v>
      </c>
      <c r="N21" s="65">
        <f>($S21/5)+M21</f>
        <v>26.80892293826</v>
      </c>
      <c r="O21" s="65">
        <f>($S21/5)+N21</f>
        <v>28.80892293826</v>
      </c>
      <c r="P21" s="65">
        <f>($S21/5)+O21</f>
        <v>30.80892293826</v>
      </c>
      <c r="R21" s="71">
        <f t="shared" si="9"/>
        <v>-4.5785864673079999</v>
      </c>
      <c r="S21" s="71">
        <v>10</v>
      </c>
      <c r="T21" s="71">
        <f t="shared" si="10"/>
        <v>30.80892293826</v>
      </c>
    </row>
    <row r="22" spans="2:20" x14ac:dyDescent="0.25">
      <c r="B22" s="98" t="s">
        <v>23</v>
      </c>
      <c r="C22" s="1" t="s">
        <v>59</v>
      </c>
      <c r="D22" s="63">
        <v>48.480243161094002</v>
      </c>
      <c r="E22" s="63">
        <v>53.766233766233</v>
      </c>
      <c r="F22" s="63">
        <v>46.771378708550998</v>
      </c>
      <c r="G22" s="63">
        <v>53.28125</v>
      </c>
      <c r="H22" s="63">
        <v>52.158894645940997</v>
      </c>
      <c r="I22" s="63">
        <v>59.393939393939</v>
      </c>
      <c r="J22" s="63">
        <v>49.330357142856997</v>
      </c>
      <c r="K22" s="63">
        <v>48.588709677418997</v>
      </c>
      <c r="L22" s="73">
        <v>100</v>
      </c>
      <c r="M22" s="64">
        <v>100</v>
      </c>
      <c r="N22" s="64"/>
      <c r="O22" s="64"/>
      <c r="P22" s="64"/>
      <c r="R22" s="71">
        <f t="shared" si="9"/>
        <v>1.8173309688679993</v>
      </c>
      <c r="S22" s="71">
        <v>3</v>
      </c>
      <c r="T22" s="71">
        <f t="shared" si="10"/>
        <v>51.588709677418997</v>
      </c>
    </row>
    <row r="23" spans="2:20" x14ac:dyDescent="0.25">
      <c r="B23" s="98"/>
      <c r="C23" s="1" t="s">
        <v>60</v>
      </c>
      <c r="D23" s="63">
        <v>90.344517867453007</v>
      </c>
      <c r="E23" s="63">
        <v>93.431971695078005</v>
      </c>
      <c r="F23" s="63">
        <v>92.540298858688999</v>
      </c>
      <c r="G23" s="63">
        <v>92.161899868698995</v>
      </c>
      <c r="H23" s="63">
        <v>92.433705895244003</v>
      </c>
      <c r="I23" s="63">
        <v>92.237566080483006</v>
      </c>
      <c r="J23" s="63">
        <v>91.336684448091006</v>
      </c>
      <c r="K23" s="63">
        <v>91.234466468110995</v>
      </c>
      <c r="L23" s="73">
        <f t="shared" ref="L23:O24" si="12">($S23/5)+K23</f>
        <v>93.234466468110995</v>
      </c>
      <c r="M23" s="64">
        <f t="shared" si="12"/>
        <v>95.234466468110995</v>
      </c>
      <c r="N23" s="64">
        <f t="shared" si="12"/>
        <v>97.234466468110995</v>
      </c>
      <c r="O23" s="64">
        <f t="shared" si="12"/>
        <v>99.234466468110995</v>
      </c>
      <c r="P23" s="64">
        <v>100</v>
      </c>
      <c r="R23" s="71">
        <f t="shared" si="9"/>
        <v>-1.3058323905780043</v>
      </c>
      <c r="S23" s="71">
        <v>10</v>
      </c>
      <c r="T23" s="71">
        <f t="shared" si="10"/>
        <v>101.23446646811099</v>
      </c>
    </row>
    <row r="24" spans="2:20" x14ac:dyDescent="0.25">
      <c r="B24" s="98"/>
      <c r="C24" s="1" t="s">
        <v>61</v>
      </c>
      <c r="D24" s="63">
        <v>34.485815602835999</v>
      </c>
      <c r="E24" s="63">
        <v>36.806526806526001</v>
      </c>
      <c r="F24" s="63">
        <v>29.860291223927</v>
      </c>
      <c r="G24" s="63">
        <v>34.491711603753998</v>
      </c>
      <c r="H24" s="63">
        <v>25.785123966941999</v>
      </c>
      <c r="I24" s="63">
        <v>31.962563811683999</v>
      </c>
      <c r="J24" s="63">
        <v>26.504139834406001</v>
      </c>
      <c r="K24" s="63">
        <v>26.955759964957998</v>
      </c>
      <c r="L24" s="73">
        <f t="shared" si="12"/>
        <v>28.955759964957998</v>
      </c>
      <c r="M24" s="64">
        <f t="shared" si="12"/>
        <v>30.955759964957998</v>
      </c>
      <c r="N24" s="64">
        <f t="shared" si="12"/>
        <v>32.955759964957998</v>
      </c>
      <c r="O24" s="64">
        <f t="shared" si="12"/>
        <v>34.955759964957998</v>
      </c>
      <c r="P24" s="64">
        <f>($S24/5)+O24</f>
        <v>36.955759964957998</v>
      </c>
      <c r="R24" s="71">
        <f t="shared" si="9"/>
        <v>-2.9045312589690013</v>
      </c>
      <c r="S24" s="71">
        <v>10</v>
      </c>
      <c r="T24" s="71">
        <f t="shared" si="10"/>
        <v>36.955759964957998</v>
      </c>
    </row>
    <row r="25" spans="2:20" x14ac:dyDescent="0.25">
      <c r="B25" s="127" t="s">
        <v>43</v>
      </c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</row>
    <row r="26" spans="2:20" x14ac:dyDescent="0.25">
      <c r="B26" s="1"/>
      <c r="C26" s="1"/>
      <c r="D26" s="1">
        <v>2005</v>
      </c>
      <c r="E26" s="1">
        <v>2006</v>
      </c>
      <c r="F26" s="1">
        <v>2007</v>
      </c>
      <c r="G26" s="1">
        <v>2008</v>
      </c>
      <c r="H26" s="1">
        <v>2009</v>
      </c>
      <c r="I26" s="1">
        <v>2010</v>
      </c>
      <c r="J26" s="1">
        <v>2011</v>
      </c>
      <c r="K26" s="1">
        <v>2012</v>
      </c>
      <c r="L26" s="72">
        <v>2013</v>
      </c>
      <c r="M26" s="1">
        <v>2014</v>
      </c>
      <c r="N26" s="1">
        <v>2015</v>
      </c>
      <c r="O26" s="1">
        <v>2016</v>
      </c>
      <c r="P26" s="1">
        <v>2017</v>
      </c>
    </row>
    <row r="27" spans="2:20" x14ac:dyDescent="0.25">
      <c r="B27" s="125" t="s">
        <v>22</v>
      </c>
      <c r="C27" s="40" t="s">
        <v>59</v>
      </c>
      <c r="D27" s="64">
        <v>48.076923076923002</v>
      </c>
      <c r="E27" s="64">
        <v>51.304347826087003</v>
      </c>
      <c r="F27" s="64">
        <v>49.068322981366002</v>
      </c>
      <c r="G27" s="64">
        <v>48.175182481751001</v>
      </c>
      <c r="H27" s="64">
        <v>41.5</v>
      </c>
      <c r="I27" s="64">
        <v>52.482269503546</v>
      </c>
      <c r="J27" s="64">
        <v>48.603351955306998</v>
      </c>
      <c r="K27" s="64">
        <v>35.593220338983002</v>
      </c>
      <c r="L27" s="73"/>
      <c r="M27" s="64"/>
      <c r="N27" s="64"/>
      <c r="O27" s="64"/>
      <c r="P27" s="64"/>
    </row>
    <row r="28" spans="2:20" x14ac:dyDescent="0.25">
      <c r="B28" s="125"/>
      <c r="C28" s="40" t="s">
        <v>60</v>
      </c>
      <c r="D28" s="64">
        <v>86.597170513774998</v>
      </c>
      <c r="E28" s="64">
        <v>82.527985074626002</v>
      </c>
      <c r="F28" s="64">
        <v>87.590736259937003</v>
      </c>
      <c r="G28" s="64">
        <v>84.424322977238006</v>
      </c>
      <c r="H28" s="64">
        <v>90.347024885902997</v>
      </c>
      <c r="I28" s="64">
        <v>88.333951074870001</v>
      </c>
      <c r="J28" s="64">
        <v>89.627359251491995</v>
      </c>
      <c r="K28" s="64">
        <v>87.750415709874005</v>
      </c>
      <c r="L28" s="73">
        <f t="shared" ref="L28:P29" si="13">($S28/5)+K28</f>
        <v>89.750415709874005</v>
      </c>
      <c r="M28" s="64">
        <f t="shared" si="13"/>
        <v>91.750415709874005</v>
      </c>
      <c r="N28" s="64">
        <f t="shared" si="13"/>
        <v>93.750415709874005</v>
      </c>
      <c r="O28" s="64">
        <f t="shared" si="13"/>
        <v>95.750415709874005</v>
      </c>
      <c r="P28" s="64">
        <f t="shared" si="13"/>
        <v>97.750415709874005</v>
      </c>
      <c r="R28" s="71">
        <f>K28-F28</f>
        <v>0.159679449937002</v>
      </c>
      <c r="S28" s="71">
        <v>10</v>
      </c>
      <c r="T28" s="71">
        <f>K28+S28</f>
        <v>97.750415709874005</v>
      </c>
    </row>
    <row r="29" spans="2:20" x14ac:dyDescent="0.25">
      <c r="B29" s="126"/>
      <c r="C29" s="42" t="s">
        <v>61</v>
      </c>
      <c r="D29" s="65">
        <v>45.614035087719003</v>
      </c>
      <c r="E29" s="65">
        <v>57.072430792566998</v>
      </c>
      <c r="F29" s="65">
        <v>54.513064133016002</v>
      </c>
      <c r="G29" s="65">
        <v>48.481353325644001</v>
      </c>
      <c r="H29" s="65">
        <v>53.739213806327001</v>
      </c>
      <c r="I29" s="65">
        <v>52.151373768791998</v>
      </c>
      <c r="J29" s="65">
        <v>48.353909465020003</v>
      </c>
      <c r="K29" s="65">
        <v>46.287451150673</v>
      </c>
      <c r="L29" s="74">
        <f t="shared" si="13"/>
        <v>48.287451150673</v>
      </c>
      <c r="M29" s="65">
        <f t="shared" si="13"/>
        <v>50.287451150673</v>
      </c>
      <c r="N29" s="65">
        <f t="shared" si="13"/>
        <v>52.287451150673</v>
      </c>
      <c r="O29" s="65">
        <f t="shared" si="13"/>
        <v>54.287451150673</v>
      </c>
      <c r="P29" s="65">
        <f t="shared" si="13"/>
        <v>56.287451150673</v>
      </c>
      <c r="R29" s="71">
        <f>K29-F29</f>
        <v>-8.2256129823430015</v>
      </c>
      <c r="S29" s="71">
        <v>10</v>
      </c>
      <c r="T29" s="71">
        <f>K29+S29</f>
        <v>56.287451150673</v>
      </c>
    </row>
    <row r="30" spans="2:20" x14ac:dyDescent="0.25">
      <c r="B30" s="124" t="s">
        <v>24</v>
      </c>
      <c r="C30" s="44" t="s">
        <v>59</v>
      </c>
      <c r="D30" s="66">
        <v>13.493800145878</v>
      </c>
      <c r="E30" s="66">
        <v>19.756838905774998</v>
      </c>
      <c r="F30" s="66">
        <v>10.320284697508001</v>
      </c>
      <c r="G30" s="66">
        <v>13.978494623654999</v>
      </c>
      <c r="H30" s="66">
        <v>9.1135045567519999</v>
      </c>
      <c r="I30" s="66">
        <v>13.253968253968001</v>
      </c>
      <c r="J30" s="66">
        <v>12.511170688113999</v>
      </c>
      <c r="K30" s="66">
        <v>14.828209764918</v>
      </c>
      <c r="L30" s="75"/>
      <c r="M30" s="66"/>
      <c r="N30" s="66"/>
      <c r="O30" s="66"/>
      <c r="P30" s="66"/>
      <c r="R30" s="71"/>
      <c r="S30" s="71"/>
      <c r="T30" s="71"/>
    </row>
    <row r="31" spans="2:20" x14ac:dyDescent="0.25">
      <c r="B31" s="125"/>
      <c r="C31" s="40" t="s">
        <v>60</v>
      </c>
      <c r="D31" s="64">
        <v>87.061574434918001</v>
      </c>
      <c r="E31" s="64">
        <v>89.834401063700994</v>
      </c>
      <c r="F31" s="64">
        <v>86.447118429385</v>
      </c>
      <c r="G31" s="64">
        <v>87.910880207812994</v>
      </c>
      <c r="H31" s="64">
        <v>85.568527420779006</v>
      </c>
      <c r="I31" s="64">
        <v>88.080089820359007</v>
      </c>
      <c r="J31" s="64">
        <v>88.254402461959003</v>
      </c>
      <c r="K31" s="64">
        <v>87.811447811446996</v>
      </c>
      <c r="L31" s="73">
        <f t="shared" ref="L31:P35" si="14">($S31/5)+K31</f>
        <v>89.811447811446996</v>
      </c>
      <c r="M31" s="64">
        <f t="shared" si="14"/>
        <v>91.811447811446996</v>
      </c>
      <c r="N31" s="64">
        <f t="shared" si="14"/>
        <v>93.811447811446996</v>
      </c>
      <c r="O31" s="64">
        <f t="shared" si="14"/>
        <v>95.811447811446996</v>
      </c>
      <c r="P31" s="64">
        <f t="shared" si="14"/>
        <v>97.811447811446996</v>
      </c>
      <c r="R31" s="71">
        <f>K31-F31</f>
        <v>1.3643293820619959</v>
      </c>
      <c r="S31" s="71">
        <v>10</v>
      </c>
      <c r="T31" s="71">
        <f>K31+S31</f>
        <v>97.811447811446996</v>
      </c>
    </row>
    <row r="32" spans="2:20" x14ac:dyDescent="0.25">
      <c r="B32" s="126"/>
      <c r="C32" s="42" t="s">
        <v>61</v>
      </c>
      <c r="D32" s="65">
        <v>5.5235513385289998</v>
      </c>
      <c r="E32" s="65">
        <v>10.236220472439999</v>
      </c>
      <c r="F32" s="65">
        <v>5.3507340946159996</v>
      </c>
      <c r="G32" s="65">
        <v>8.5486531061019999</v>
      </c>
      <c r="H32" s="65">
        <v>4.7827446076889997</v>
      </c>
      <c r="I32" s="65">
        <v>7.9405162738490001</v>
      </c>
      <c r="J32" s="65">
        <v>4.0327471194660003</v>
      </c>
      <c r="K32" s="65">
        <v>5.7654631961930001</v>
      </c>
      <c r="L32" s="74">
        <f t="shared" si="14"/>
        <v>7.7654631961930001</v>
      </c>
      <c r="M32" s="65">
        <f t="shared" si="14"/>
        <v>9.7654631961930001</v>
      </c>
      <c r="N32" s="65">
        <f t="shared" si="14"/>
        <v>11.765463196193</v>
      </c>
      <c r="O32" s="65">
        <f t="shared" si="14"/>
        <v>13.765463196193</v>
      </c>
      <c r="P32" s="65">
        <f t="shared" si="14"/>
        <v>15.765463196193</v>
      </c>
      <c r="R32" s="71">
        <f>K32-F32</f>
        <v>0.41472910157700049</v>
      </c>
      <c r="S32" s="71">
        <v>10</v>
      </c>
      <c r="T32" s="71">
        <f>K32+S32</f>
        <v>15.765463196193</v>
      </c>
    </row>
    <row r="33" spans="2:20" x14ac:dyDescent="0.25">
      <c r="B33" s="98" t="s">
        <v>23</v>
      </c>
      <c r="C33" s="1" t="s">
        <v>59</v>
      </c>
      <c r="D33" s="63">
        <v>29.045643153526999</v>
      </c>
      <c r="E33" s="63">
        <v>30</v>
      </c>
      <c r="F33" s="63">
        <v>26.149914821124</v>
      </c>
      <c r="G33" s="63">
        <v>19.125127161748999</v>
      </c>
      <c r="H33" s="63">
        <v>29.293993677555001</v>
      </c>
      <c r="I33" s="63">
        <v>26.571428571428001</v>
      </c>
      <c r="J33" s="63">
        <v>36.046511627907002</v>
      </c>
      <c r="K33" s="63">
        <v>30.473372781064999</v>
      </c>
      <c r="L33" s="73">
        <f t="shared" si="14"/>
        <v>32.473372781064995</v>
      </c>
      <c r="M33" s="64">
        <f t="shared" si="14"/>
        <v>34.473372781064995</v>
      </c>
      <c r="N33" s="64">
        <f t="shared" si="14"/>
        <v>36.473372781064995</v>
      </c>
      <c r="O33" s="64">
        <f t="shared" si="14"/>
        <v>38.473372781064995</v>
      </c>
      <c r="P33" s="64">
        <f t="shared" si="14"/>
        <v>40.473372781064995</v>
      </c>
      <c r="R33" s="71">
        <f>K33-F33</f>
        <v>4.323457959940999</v>
      </c>
      <c r="S33" s="71">
        <v>10</v>
      </c>
      <c r="T33" s="71">
        <f>K33+S33</f>
        <v>40.473372781064995</v>
      </c>
    </row>
    <row r="34" spans="2:20" x14ac:dyDescent="0.25">
      <c r="B34" s="98"/>
      <c r="C34" s="1" t="s">
        <v>60</v>
      </c>
      <c r="D34" s="63">
        <v>77.674827539564006</v>
      </c>
      <c r="E34" s="63">
        <v>83.087114938721001</v>
      </c>
      <c r="F34" s="63">
        <v>79.037570139058005</v>
      </c>
      <c r="G34" s="63">
        <v>79.675600255798997</v>
      </c>
      <c r="H34" s="63">
        <v>78.700703831973996</v>
      </c>
      <c r="I34" s="63">
        <v>81.208785219903007</v>
      </c>
      <c r="J34" s="63">
        <v>79.234659298262997</v>
      </c>
      <c r="K34" s="63">
        <v>81.574721574720996</v>
      </c>
      <c r="L34" s="73">
        <f t="shared" si="14"/>
        <v>83.574721574720996</v>
      </c>
      <c r="M34" s="64">
        <f t="shared" si="14"/>
        <v>85.574721574720996</v>
      </c>
      <c r="N34" s="64">
        <f t="shared" si="14"/>
        <v>87.574721574720996</v>
      </c>
      <c r="O34" s="64">
        <f t="shared" si="14"/>
        <v>89.574721574720996</v>
      </c>
      <c r="P34" s="64">
        <f t="shared" si="14"/>
        <v>91.574721574720996</v>
      </c>
      <c r="R34" s="71">
        <f>K34-F34</f>
        <v>2.5371514356629916</v>
      </c>
      <c r="S34" s="71">
        <v>10</v>
      </c>
      <c r="T34" s="71">
        <f>K34+S34</f>
        <v>91.574721574720996</v>
      </c>
    </row>
    <row r="35" spans="2:20" x14ac:dyDescent="0.25">
      <c r="B35" s="98"/>
      <c r="C35" s="1" t="s">
        <v>61</v>
      </c>
      <c r="D35" s="63">
        <v>31.104528142191999</v>
      </c>
      <c r="E35" s="63">
        <v>32.579787234042001</v>
      </c>
      <c r="F35" s="63">
        <v>28.723404255319</v>
      </c>
      <c r="G35" s="63">
        <v>26.088089653375</v>
      </c>
      <c r="H35" s="63">
        <v>32.073228720873999</v>
      </c>
      <c r="I35" s="63">
        <v>28.458498023714998</v>
      </c>
      <c r="J35" s="63">
        <v>31.765557163531</v>
      </c>
      <c r="K35" s="63">
        <v>34.192348565355999</v>
      </c>
      <c r="L35" s="73">
        <f t="shared" si="14"/>
        <v>36.192348565355999</v>
      </c>
      <c r="M35" s="64">
        <f t="shared" si="14"/>
        <v>38.192348565355999</v>
      </c>
      <c r="N35" s="64">
        <f t="shared" si="14"/>
        <v>40.192348565355999</v>
      </c>
      <c r="O35" s="64">
        <f t="shared" si="14"/>
        <v>42.192348565355999</v>
      </c>
      <c r="P35" s="64">
        <f t="shared" si="14"/>
        <v>44.192348565355999</v>
      </c>
      <c r="R35" s="71">
        <f>K35-F35</f>
        <v>5.4689443100369992</v>
      </c>
      <c r="S35" s="71">
        <v>10</v>
      </c>
      <c r="T35" s="71">
        <f>K35+S35</f>
        <v>44.192348565355999</v>
      </c>
    </row>
    <row r="36" spans="2:20" x14ac:dyDescent="0.25"/>
    <row r="37" spans="2:20" x14ac:dyDescent="0.25"/>
    <row r="38" spans="2:20" x14ac:dyDescent="0.25"/>
    <row r="39" spans="2:20" hidden="1" x14ac:dyDescent="0.25"/>
    <row r="40" spans="2:20" hidden="1" x14ac:dyDescent="0.25"/>
    <row r="41" spans="2:20" hidden="1" x14ac:dyDescent="0.25"/>
    <row r="42" spans="2:20" hidden="1" x14ac:dyDescent="0.25"/>
    <row r="43" spans="2:20" hidden="1" x14ac:dyDescent="0.25"/>
    <row r="44" spans="2:20" hidden="1" x14ac:dyDescent="0.25"/>
    <row r="45" spans="2:20" hidden="1" x14ac:dyDescent="0.25"/>
    <row r="46" spans="2:20" hidden="1" x14ac:dyDescent="0.25"/>
    <row r="47" spans="2:20" hidden="1" x14ac:dyDescent="0.25"/>
    <row r="48" spans="2:20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</sheetData>
  <mergeCells count="14">
    <mergeCell ref="B27:B29"/>
    <mergeCell ref="B30:B32"/>
    <mergeCell ref="B33:B35"/>
    <mergeCell ref="B16:B18"/>
    <mergeCell ref="B14:P14"/>
    <mergeCell ref="B25:P25"/>
    <mergeCell ref="B2:P2"/>
    <mergeCell ref="L3:P3"/>
    <mergeCell ref="D3:K3"/>
    <mergeCell ref="B19:B21"/>
    <mergeCell ref="B22:B24"/>
    <mergeCell ref="B5:B7"/>
    <mergeCell ref="B8:B10"/>
    <mergeCell ref="B11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writing</vt:lpstr>
      <vt:lpstr>reading</vt:lpstr>
      <vt:lpstr>math</vt:lpstr>
      <vt:lpstr>proficiency goals</vt:lpstr>
      <vt:lpstr>growth goals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Hai</dc:creator>
  <cp:lastModifiedBy>Medina, Jacquelin</cp:lastModifiedBy>
  <dcterms:created xsi:type="dcterms:W3CDTF">2013-02-22T19:16:33Z</dcterms:created>
  <dcterms:modified xsi:type="dcterms:W3CDTF">2013-04-23T11:42:43Z</dcterms:modified>
</cp:coreProperties>
</file>