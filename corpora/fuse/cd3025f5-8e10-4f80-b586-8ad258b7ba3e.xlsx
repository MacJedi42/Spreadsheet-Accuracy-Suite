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0" yWindow="45" windowWidth="17115" windowHeight="10230"/>
  </bookViews>
  <sheets>
    <sheet name="Feed Cost Calculator" sheetId="14" r:id="rId1"/>
    <sheet name="Instructions" sheetId="13" r:id="rId2"/>
    <sheet name="F1" sheetId="12" r:id="rId3"/>
    <sheet name="F2" sheetId="11" r:id="rId4"/>
    <sheet name="F3" sheetId="10" r:id="rId5"/>
    <sheet name="F4" sheetId="9" r:id="rId6"/>
    <sheet name="F5" sheetId="8" r:id="rId7"/>
    <sheet name="F6" sheetId="7" r:id="rId8"/>
    <sheet name="F7" sheetId="6" r:id="rId9"/>
    <sheet name="F8" sheetId="5" r:id="rId10"/>
    <sheet name="F9" sheetId="4" r:id="rId11"/>
    <sheet name="Cornstalks (10)" sheetId="3" r:id="rId12"/>
    <sheet name="Calculations" sheetId="15" state="hidden" r:id="rId13"/>
    <sheet name="Per Pound" sheetId="2" r:id="rId14"/>
    <sheet name="Whole Herd" sheetId="1" r:id="rId15"/>
  </sheets>
  <definedNames>
    <definedName name="Calc">Calculations!$A$10:$W$19</definedName>
    <definedName name="Costs">Calculations!$A$26:$N$35</definedName>
    <definedName name="perpound" localSheetId="12">Calculations!#REF!</definedName>
    <definedName name="perpound" localSheetId="0">#REF!</definedName>
    <definedName name="perpound" localSheetId="1">#REF!</definedName>
    <definedName name="perpound">#REF!</definedName>
    <definedName name="_xlnm.Print_Area" localSheetId="12">Calculations!$A$23:$N$35</definedName>
    <definedName name="_xlnm.Print_Area" localSheetId="13">'Per Pound'!$C$3:$H$34</definedName>
  </definedNames>
  <calcPr calcId="145621"/>
</workbook>
</file>

<file path=xl/calcChain.xml><?xml version="1.0" encoding="utf-8"?>
<calcChain xmlns="http://schemas.openxmlformats.org/spreadsheetml/2006/main">
  <c r="J3" i="3" l="1"/>
  <c r="P8" i="3"/>
  <c r="P17" i="3" s="1"/>
  <c r="P6" i="3"/>
  <c r="D35" i="15" s="1"/>
  <c r="J5" i="3"/>
  <c r="L32" i="8"/>
  <c r="M30" i="15" s="1"/>
  <c r="L32" i="7"/>
  <c r="M31" i="15" s="1"/>
  <c r="L32" i="6"/>
  <c r="M32" i="15" s="1"/>
  <c r="L32" i="5"/>
  <c r="M33" i="15" s="1"/>
  <c r="L32" i="4"/>
  <c r="M34" i="15" s="1"/>
  <c r="L30" i="8"/>
  <c r="L30" i="15" s="1"/>
  <c r="L30" i="7"/>
  <c r="L31" i="15" s="1"/>
  <c r="L30" i="6"/>
  <c r="L32" i="15" s="1"/>
  <c r="L30" i="5"/>
  <c r="L33" i="15" s="1"/>
  <c r="L30" i="4"/>
  <c r="L34" i="15" s="1"/>
  <c r="L34" i="11"/>
  <c r="L30" i="11" s="1"/>
  <c r="L27" i="15" s="1"/>
  <c r="F32" i="2" s="1"/>
  <c r="L34" i="10"/>
  <c r="N28" i="15" s="1"/>
  <c r="G34" i="2" s="1"/>
  <c r="L34" i="9"/>
  <c r="N29" i="15" s="1"/>
  <c r="H34" i="2" s="1"/>
  <c r="L34" i="8"/>
  <c r="L34" i="7"/>
  <c r="L34" i="6"/>
  <c r="N32" i="15" s="1"/>
  <c r="L34" i="5"/>
  <c r="L34" i="4"/>
  <c r="N34" i="15" s="1"/>
  <c r="L34" i="12"/>
  <c r="N26" i="15" s="1"/>
  <c r="E34" i="2" s="1"/>
  <c r="L23" i="8"/>
  <c r="J30" i="15" s="1"/>
  <c r="L23" i="7"/>
  <c r="J31" i="15" s="1"/>
  <c r="L23" i="6"/>
  <c r="J32" i="15" s="1"/>
  <c r="L23" i="5"/>
  <c r="J33" i="15" s="1"/>
  <c r="L23" i="4"/>
  <c r="L21" i="8"/>
  <c r="I30" i="15" s="1"/>
  <c r="L21" i="7"/>
  <c r="I31" i="15" s="1"/>
  <c r="L21" i="6"/>
  <c r="I32" i="15" s="1"/>
  <c r="L21" i="5"/>
  <c r="L21" i="4"/>
  <c r="L25" i="11"/>
  <c r="K27" i="15" s="1"/>
  <c r="F28" i="2" s="1"/>
  <c r="L25" i="10"/>
  <c r="K28" i="15" s="1"/>
  <c r="G28" i="2" s="1"/>
  <c r="L25" i="9"/>
  <c r="K29" i="15" s="1"/>
  <c r="H28" i="2" s="1"/>
  <c r="L25" i="8"/>
  <c r="K30" i="15" s="1"/>
  <c r="L25" i="7"/>
  <c r="K31" i="15" s="1"/>
  <c r="L25" i="6"/>
  <c r="K32" i="15" s="1"/>
  <c r="L25" i="5"/>
  <c r="L25" i="4"/>
  <c r="L25" i="12"/>
  <c r="L23" i="12" s="1"/>
  <c r="J26" i="15" s="1"/>
  <c r="E27" i="2" s="1"/>
  <c r="L14" i="9"/>
  <c r="G29" i="15" s="1"/>
  <c r="H21" i="2" s="1"/>
  <c r="L14" i="8"/>
  <c r="G30" i="15" s="1"/>
  <c r="L14" i="7"/>
  <c r="G31" i="15" s="1"/>
  <c r="L14" i="6"/>
  <c r="G32" i="15" s="1"/>
  <c r="L14" i="5"/>
  <c r="G33" i="15" s="1"/>
  <c r="L14" i="4"/>
  <c r="G34" i="15" s="1"/>
  <c r="L12" i="8"/>
  <c r="F30" i="15" s="1"/>
  <c r="L12" i="7"/>
  <c r="F31" i="15" s="1"/>
  <c r="L12" i="6"/>
  <c r="F32" i="15" s="1"/>
  <c r="L12" i="5"/>
  <c r="F33" i="15" s="1"/>
  <c r="L12" i="4"/>
  <c r="F34" i="15" s="1"/>
  <c r="L16" i="11"/>
  <c r="L14" i="11" s="1"/>
  <c r="G27" i="15" s="1"/>
  <c r="F21" i="2" s="1"/>
  <c r="L16" i="10"/>
  <c r="H28" i="15" s="1"/>
  <c r="G22" i="2" s="1"/>
  <c r="L16" i="9"/>
  <c r="L12" i="9" s="1"/>
  <c r="F29" i="15" s="1"/>
  <c r="H20" i="2" s="1"/>
  <c r="L16" i="8"/>
  <c r="H30" i="15" s="1"/>
  <c r="L16" i="7"/>
  <c r="H31" i="15" s="1"/>
  <c r="L16" i="6"/>
  <c r="H32" i="15" s="1"/>
  <c r="L16" i="5"/>
  <c r="H33" i="15" s="1"/>
  <c r="L16" i="4"/>
  <c r="H34" i="15" s="1"/>
  <c r="L16" i="12"/>
  <c r="H26" i="15" s="1"/>
  <c r="E22" i="2" s="1"/>
  <c r="L7" i="11"/>
  <c r="E27" i="15" s="1"/>
  <c r="F13" i="2" s="1"/>
  <c r="L7" i="10"/>
  <c r="L5" i="10" s="1"/>
  <c r="D28" i="15" s="1"/>
  <c r="G12" i="2" s="1"/>
  <c r="L7" i="9"/>
  <c r="L3" i="9" s="1"/>
  <c r="C29" i="15" s="1"/>
  <c r="H11" i="2" s="1"/>
  <c r="L7" i="8"/>
  <c r="E30" i="15" s="1"/>
  <c r="L7" i="7"/>
  <c r="E31" i="15" s="1"/>
  <c r="L7" i="6"/>
  <c r="E32" i="15" s="1"/>
  <c r="L7" i="5"/>
  <c r="E33" i="15" s="1"/>
  <c r="L7" i="4"/>
  <c r="E34" i="15" s="1"/>
  <c r="L7" i="12"/>
  <c r="E26" i="15" s="1"/>
  <c r="E13" i="2" s="1"/>
  <c r="L5" i="9"/>
  <c r="L5" i="8"/>
  <c r="D30" i="15" s="1"/>
  <c r="L5" i="7"/>
  <c r="D31" i="15" s="1"/>
  <c r="L5" i="6"/>
  <c r="D32" i="15" s="1"/>
  <c r="L5" i="5"/>
  <c r="D33" i="15" s="1"/>
  <c r="L5" i="4"/>
  <c r="D34" i="15" s="1"/>
  <c r="L3" i="11"/>
  <c r="C27" i="15" s="1"/>
  <c r="F11" i="2" s="1"/>
  <c r="L3" i="8"/>
  <c r="C30" i="15" s="1"/>
  <c r="L3" i="7"/>
  <c r="C31" i="15" s="1"/>
  <c r="L3" i="6"/>
  <c r="C32" i="15" s="1"/>
  <c r="L3" i="5"/>
  <c r="C33" i="15" s="1"/>
  <c r="L3" i="4"/>
  <c r="C34" i="15" s="1"/>
  <c r="H29" i="15"/>
  <c r="H22" i="2" s="1"/>
  <c r="D29" i="15"/>
  <c r="H12" i="2" s="1"/>
  <c r="V35" i="3"/>
  <c r="J25" i="3"/>
  <c r="J27" i="3"/>
  <c r="J13" i="3"/>
  <c r="E35" i="15"/>
  <c r="P4" i="3"/>
  <c r="C35" i="15"/>
  <c r="B35" i="15"/>
  <c r="B34" i="15"/>
  <c r="B33" i="15"/>
  <c r="B32" i="15"/>
  <c r="B31" i="15"/>
  <c r="B30" i="15"/>
  <c r="B29" i="15"/>
  <c r="B28" i="15"/>
  <c r="B27" i="15"/>
  <c r="B26" i="15"/>
  <c r="M11" i="15"/>
  <c r="F16" i="2"/>
  <c r="K11" i="15"/>
  <c r="F14" i="2"/>
  <c r="L11" i="15"/>
  <c r="F15" i="2" s="1"/>
  <c r="M12" i="15"/>
  <c r="G16" i="2"/>
  <c r="K12" i="15"/>
  <c r="N12" i="15" s="1"/>
  <c r="L12" i="15"/>
  <c r="K13" i="1" s="1"/>
  <c r="G15" i="2"/>
  <c r="M13" i="15"/>
  <c r="H16" i="2"/>
  <c r="K13" i="15"/>
  <c r="N13" i="15" s="1"/>
  <c r="H14" i="2"/>
  <c r="L13" i="15"/>
  <c r="H15" i="2"/>
  <c r="M10" i="15"/>
  <c r="E16" i="2" s="1"/>
  <c r="K10" i="15"/>
  <c r="E14" i="2"/>
  <c r="L10" i="15"/>
  <c r="E15" i="2" s="1"/>
  <c r="I2" i="1"/>
  <c r="I20" i="1" s="1"/>
  <c r="U10" i="15"/>
  <c r="J2" i="1"/>
  <c r="J20" i="1" s="1"/>
  <c r="U11" i="15"/>
  <c r="J26" i="1"/>
  <c r="K2" i="1"/>
  <c r="K19" i="1" s="1"/>
  <c r="U12" i="15"/>
  <c r="G30" i="2" s="1"/>
  <c r="K26" i="1"/>
  <c r="T10" i="15"/>
  <c r="T11" i="15"/>
  <c r="J25" i="1"/>
  <c r="T12" i="15"/>
  <c r="K25" i="1" s="1"/>
  <c r="R10" i="15"/>
  <c r="R11" i="15"/>
  <c r="R12" i="15"/>
  <c r="K20" i="1"/>
  <c r="Q10" i="15"/>
  <c r="Q11" i="15"/>
  <c r="J19" i="1"/>
  <c r="Q12" i="15"/>
  <c r="B10" i="15"/>
  <c r="B11" i="15"/>
  <c r="J3" i="1" s="1"/>
  <c r="B12" i="15"/>
  <c r="G5" i="2" s="1"/>
  <c r="K3" i="1"/>
  <c r="J12" i="1"/>
  <c r="O10" i="15"/>
  <c r="E18" i="2" s="1"/>
  <c r="E19" i="2" s="1"/>
  <c r="O11" i="15"/>
  <c r="P11" i="15" s="1"/>
  <c r="S11" i="15" s="1"/>
  <c r="V11" i="15" s="1"/>
  <c r="J15" i="1"/>
  <c r="O12" i="15"/>
  <c r="D10" i="15"/>
  <c r="E7" i="2" s="1"/>
  <c r="C10" i="15"/>
  <c r="D11" i="15"/>
  <c r="F7" i="2" s="1"/>
  <c r="C11" i="15"/>
  <c r="J5" i="1"/>
  <c r="D12" i="15"/>
  <c r="K7" i="1" s="1"/>
  <c r="D20" i="1" s="1"/>
  <c r="C12" i="15"/>
  <c r="G6" i="2" s="1"/>
  <c r="K5" i="1"/>
  <c r="L2" i="1"/>
  <c r="L12" i="1" s="1"/>
  <c r="D13" i="15"/>
  <c r="H7" i="2" s="1"/>
  <c r="U13" i="15"/>
  <c r="R13" i="15"/>
  <c r="H24" i="2" s="1"/>
  <c r="O13" i="15"/>
  <c r="C13" i="15"/>
  <c r="H6" i="2" s="1"/>
  <c r="L5" i="1"/>
  <c r="E10" i="15"/>
  <c r="E11" i="15"/>
  <c r="E12" i="15"/>
  <c r="T13" i="15"/>
  <c r="H29" i="2" s="1"/>
  <c r="L25" i="1"/>
  <c r="Q13" i="15"/>
  <c r="L19" i="1"/>
  <c r="L13" i="1"/>
  <c r="L11" i="1"/>
  <c r="E13" i="15"/>
  <c r="L6" i="1"/>
  <c r="B13" i="15"/>
  <c r="L3" i="1"/>
  <c r="R42" i="3"/>
  <c r="R41" i="3"/>
  <c r="R40" i="3"/>
  <c r="H42" i="3"/>
  <c r="F42" i="3"/>
  <c r="J33" i="3"/>
  <c r="J32" i="3" s="1"/>
  <c r="G19" i="15"/>
  <c r="F19" i="15"/>
  <c r="E19" i="15"/>
  <c r="D19" i="15"/>
  <c r="C19" i="15"/>
  <c r="F20" i="12"/>
  <c r="W10" i="15" s="1"/>
  <c r="E6" i="1" s="1"/>
  <c r="W14" i="15"/>
  <c r="F20" i="9"/>
  <c r="W13" i="15" s="1"/>
  <c r="E27" i="1" s="1"/>
  <c r="F20" i="10"/>
  <c r="W12" i="15" s="1"/>
  <c r="E20" i="1" s="1"/>
  <c r="F20" i="11"/>
  <c r="C20" i="11" s="1"/>
  <c r="U18" i="15"/>
  <c r="U17" i="15"/>
  <c r="U16" i="15"/>
  <c r="U15" i="15"/>
  <c r="U14" i="15"/>
  <c r="T18" i="15"/>
  <c r="T17" i="15"/>
  <c r="T16" i="15"/>
  <c r="T15" i="15"/>
  <c r="T14" i="15"/>
  <c r="R18" i="15"/>
  <c r="R17" i="15"/>
  <c r="R16" i="15"/>
  <c r="R15" i="15"/>
  <c r="R14" i="15"/>
  <c r="Q18" i="15"/>
  <c r="Q17" i="15"/>
  <c r="Q16" i="15"/>
  <c r="Q15" i="15"/>
  <c r="Q14" i="15"/>
  <c r="O18" i="15"/>
  <c r="P18" i="15" s="1"/>
  <c r="S18" i="15" s="1"/>
  <c r="V18" i="15" s="1"/>
  <c r="O17" i="15"/>
  <c r="P17" i="15" s="1"/>
  <c r="S17" i="15" s="1"/>
  <c r="V17" i="15" s="1"/>
  <c r="O16" i="15"/>
  <c r="P16" i="15" s="1"/>
  <c r="S16" i="15" s="1"/>
  <c r="V16" i="15" s="1"/>
  <c r="O15" i="15"/>
  <c r="O14" i="15"/>
  <c r="P14" i="15" s="1"/>
  <c r="S14" i="15" s="1"/>
  <c r="M18" i="15"/>
  <c r="N18" i="15" s="1"/>
  <c r="M17" i="15"/>
  <c r="N17" i="15" s="1"/>
  <c r="M16" i="15"/>
  <c r="M15" i="15"/>
  <c r="M14" i="15"/>
  <c r="L18" i="15"/>
  <c r="L17" i="15"/>
  <c r="L16" i="15"/>
  <c r="L15" i="15"/>
  <c r="L14" i="15"/>
  <c r="G11" i="15"/>
  <c r="K18" i="15"/>
  <c r="K17" i="15"/>
  <c r="K16" i="15"/>
  <c r="K15" i="15"/>
  <c r="K14" i="15"/>
  <c r="G10" i="15"/>
  <c r="G18" i="15"/>
  <c r="G17" i="15"/>
  <c r="G16" i="15"/>
  <c r="G15" i="15"/>
  <c r="G14" i="15"/>
  <c r="G13" i="15"/>
  <c r="G12" i="15"/>
  <c r="G10" i="2" s="1"/>
  <c r="F10" i="15"/>
  <c r="F18" i="15"/>
  <c r="F17" i="15"/>
  <c r="F16" i="15"/>
  <c r="F15" i="15"/>
  <c r="F14" i="15"/>
  <c r="F13" i="15"/>
  <c r="F12" i="15"/>
  <c r="G9" i="2" s="1"/>
  <c r="F11" i="15"/>
  <c r="F9" i="2" s="1"/>
  <c r="E17" i="15"/>
  <c r="E15" i="15"/>
  <c r="E18" i="15"/>
  <c r="E16" i="15"/>
  <c r="I16" i="15" s="1"/>
  <c r="E14" i="15"/>
  <c r="D18" i="15"/>
  <c r="H18" i="15" s="1"/>
  <c r="D17" i="15"/>
  <c r="H17" i="15" s="1"/>
  <c r="D16" i="15"/>
  <c r="H16" i="15" s="1"/>
  <c r="D15" i="15"/>
  <c r="H15" i="15" s="1"/>
  <c r="D14" i="15"/>
  <c r="H14" i="15" s="1"/>
  <c r="C18" i="15"/>
  <c r="C17" i="15"/>
  <c r="C16" i="15"/>
  <c r="C15" i="15"/>
  <c r="C14" i="15"/>
  <c r="B19" i="15"/>
  <c r="B18" i="15"/>
  <c r="B17" i="15"/>
  <c r="B16" i="15"/>
  <c r="B15" i="15"/>
  <c r="B14" i="15"/>
  <c r="P12" i="15"/>
  <c r="S12" i="15" s="1"/>
  <c r="V12" i="15" s="1"/>
  <c r="N14" i="15"/>
  <c r="V14" i="15"/>
  <c r="I15" i="15"/>
  <c r="J15" i="15"/>
  <c r="N15" i="15"/>
  <c r="P15" i="15"/>
  <c r="S15" i="15" s="1"/>
  <c r="V15" i="15" s="1"/>
  <c r="N16" i="15"/>
  <c r="I17" i="15"/>
  <c r="J17" i="15"/>
  <c r="I18" i="15"/>
  <c r="J18" i="15"/>
  <c r="J15" i="3"/>
  <c r="J11" i="3"/>
  <c r="J26" i="3"/>
  <c r="J14" i="3"/>
  <c r="H44" i="3"/>
  <c r="H46" i="3" s="1"/>
  <c r="F6" i="2"/>
  <c r="F18" i="2"/>
  <c r="F19" i="2" s="1"/>
  <c r="F23" i="2"/>
  <c r="F24" i="2"/>
  <c r="F29" i="2"/>
  <c r="F30" i="2"/>
  <c r="G18" i="2"/>
  <c r="G19" i="2" s="1"/>
  <c r="G23" i="2"/>
  <c r="G24" i="2"/>
  <c r="G8" i="2"/>
  <c r="H23" i="2"/>
  <c r="H8" i="2"/>
  <c r="H9" i="2"/>
  <c r="H30" i="2"/>
  <c r="F10" i="2"/>
  <c r="H10" i="2"/>
  <c r="E6" i="2"/>
  <c r="E23" i="2"/>
  <c r="E24" i="2"/>
  <c r="E29" i="2"/>
  <c r="E8" i="2"/>
  <c r="E30" i="2"/>
  <c r="E10" i="2"/>
  <c r="K34" i="15"/>
  <c r="J34" i="15"/>
  <c r="I34" i="15"/>
  <c r="N33" i="15"/>
  <c r="K33" i="15"/>
  <c r="I33" i="15"/>
  <c r="N31" i="15"/>
  <c r="N30" i="15"/>
  <c r="F20" i="4"/>
  <c r="C20" i="4" s="1"/>
  <c r="F20" i="5"/>
  <c r="C20" i="5" s="1"/>
  <c r="F20" i="6"/>
  <c r="F28" i="6" s="1"/>
  <c r="F20" i="7"/>
  <c r="C20" i="7" s="1"/>
  <c r="F20" i="8"/>
  <c r="F24" i="8" s="1"/>
  <c r="H5" i="2"/>
  <c r="E5" i="2"/>
  <c r="AH6" i="4"/>
  <c r="AI6" i="4"/>
  <c r="AJ6" i="4"/>
  <c r="AK6" i="4"/>
  <c r="AL6" i="4"/>
  <c r="AM6" i="4"/>
  <c r="AQ6" i="4"/>
  <c r="AR6" i="4"/>
  <c r="AS6" i="4"/>
  <c r="AU6" i="4"/>
  <c r="AW6" i="4"/>
  <c r="AX6" i="4"/>
  <c r="AZ6" i="4"/>
  <c r="BA6" i="4"/>
  <c r="AH6" i="5"/>
  <c r="AI6" i="5"/>
  <c r="AJ6" i="5"/>
  <c r="AK6" i="5"/>
  <c r="AL6" i="5"/>
  <c r="AM6" i="5"/>
  <c r="AQ6" i="5"/>
  <c r="AR6" i="5"/>
  <c r="AS6" i="5"/>
  <c r="AU6" i="5"/>
  <c r="AW6" i="5"/>
  <c r="AX6" i="5"/>
  <c r="AZ6" i="5"/>
  <c r="BA6" i="5"/>
  <c r="AH6" i="6"/>
  <c r="AI6" i="6"/>
  <c r="AJ6" i="6"/>
  <c r="AK6" i="6"/>
  <c r="AL6" i="6"/>
  <c r="AM6" i="6"/>
  <c r="AQ6" i="6"/>
  <c r="AR6" i="6"/>
  <c r="AS6" i="6"/>
  <c r="AU6" i="6"/>
  <c r="AW6" i="6"/>
  <c r="AX6" i="6"/>
  <c r="AZ6" i="6"/>
  <c r="BA6" i="6"/>
  <c r="AH6" i="7"/>
  <c r="AI6" i="7"/>
  <c r="AJ6" i="7"/>
  <c r="AK6" i="7"/>
  <c r="AL6" i="7"/>
  <c r="AM6" i="7"/>
  <c r="AQ6" i="7"/>
  <c r="AR6" i="7"/>
  <c r="AS6" i="7"/>
  <c r="AU6" i="7"/>
  <c r="AW6" i="7"/>
  <c r="AX6" i="7"/>
  <c r="AZ6" i="7"/>
  <c r="BA6" i="7"/>
  <c r="AH6" i="8"/>
  <c r="AI6" i="8"/>
  <c r="AJ6" i="8"/>
  <c r="AK6" i="8"/>
  <c r="AL6" i="8"/>
  <c r="AM6" i="8"/>
  <c r="AQ6" i="8"/>
  <c r="AR6" i="8"/>
  <c r="AS6" i="8"/>
  <c r="AU6" i="8"/>
  <c r="AW6" i="8"/>
  <c r="AX6" i="8"/>
  <c r="AZ6" i="8"/>
  <c r="BA6" i="8"/>
  <c r="AH6" i="9"/>
  <c r="AI6" i="9"/>
  <c r="AJ6" i="9"/>
  <c r="AK6" i="9"/>
  <c r="AL6" i="9"/>
  <c r="AM6" i="9"/>
  <c r="AQ6" i="9"/>
  <c r="AR6" i="9"/>
  <c r="AS6" i="9"/>
  <c r="AU6" i="9"/>
  <c r="AW6" i="9"/>
  <c r="AX6" i="9"/>
  <c r="AZ6" i="9"/>
  <c r="BA6" i="9"/>
  <c r="AH6" i="10"/>
  <c r="AI6" i="10"/>
  <c r="AJ6" i="10"/>
  <c r="AK6" i="10"/>
  <c r="AL6" i="10"/>
  <c r="AM6" i="10"/>
  <c r="AQ6" i="10"/>
  <c r="AR6" i="10"/>
  <c r="AS6" i="10"/>
  <c r="AU6" i="10"/>
  <c r="AW6" i="10"/>
  <c r="AX6" i="10"/>
  <c r="AZ6" i="10"/>
  <c r="BA6" i="10"/>
  <c r="AH6" i="11"/>
  <c r="AI6" i="11"/>
  <c r="AJ6" i="11"/>
  <c r="AK6" i="11"/>
  <c r="AL6" i="11"/>
  <c r="AM6" i="11"/>
  <c r="AQ6" i="11"/>
  <c r="AR6" i="11"/>
  <c r="AS6" i="11"/>
  <c r="AU6" i="11"/>
  <c r="AW6" i="11"/>
  <c r="AX6" i="11"/>
  <c r="AZ6" i="11"/>
  <c r="BA6" i="11"/>
  <c r="AH6" i="12"/>
  <c r="AU6" i="12"/>
  <c r="AX6" i="12"/>
  <c r="BA6" i="12"/>
  <c r="AZ6" i="12"/>
  <c r="AW6" i="12"/>
  <c r="AS6" i="12"/>
  <c r="AQ6" i="12"/>
  <c r="AR6" i="12"/>
  <c r="AK6" i="12"/>
  <c r="AI6" i="12"/>
  <c r="AJ6" i="12"/>
  <c r="AM6" i="12"/>
  <c r="AL6" i="12"/>
  <c r="L21" i="10" l="1"/>
  <c r="I28" i="15" s="1"/>
  <c r="G26" i="2" s="1"/>
  <c r="L5" i="11"/>
  <c r="D27" i="15" s="1"/>
  <c r="F12" i="2" s="1"/>
  <c r="L3" i="12"/>
  <c r="C26" i="15" s="1"/>
  <c r="E11" i="2" s="1"/>
  <c r="L5" i="12"/>
  <c r="D26" i="15" s="1"/>
  <c r="E12" i="2" s="1"/>
  <c r="L14" i="10"/>
  <c r="G28" i="15" s="1"/>
  <c r="G21" i="2" s="1"/>
  <c r="L7" i="1"/>
  <c r="D27" i="1" s="1"/>
  <c r="J7" i="1"/>
  <c r="D13" i="1" s="1"/>
  <c r="J27" i="1" s="1"/>
  <c r="H27" i="15"/>
  <c r="F22" i="2" s="1"/>
  <c r="F24" i="10"/>
  <c r="F28" i="9"/>
  <c r="L32" i="11"/>
  <c r="M27" i="15" s="1"/>
  <c r="F33" i="2" s="1"/>
  <c r="F24" i="12"/>
  <c r="F24" i="11"/>
  <c r="C20" i="10"/>
  <c r="F24" i="9"/>
  <c r="F24" i="4"/>
  <c r="F28" i="12"/>
  <c r="C20" i="9"/>
  <c r="L23" i="9"/>
  <c r="J29" i="15" s="1"/>
  <c r="H27" i="2" s="1"/>
  <c r="W17" i="15"/>
  <c r="K26" i="15"/>
  <c r="E28" i="2" s="1"/>
  <c r="F24" i="6"/>
  <c r="F28" i="5"/>
  <c r="E25" i="2"/>
  <c r="E31" i="2" s="1"/>
  <c r="W18" i="15"/>
  <c r="C20" i="12"/>
  <c r="F28" i="10"/>
  <c r="C20" i="6"/>
  <c r="F24" i="5"/>
  <c r="F28" i="4"/>
  <c r="I12" i="15"/>
  <c r="H17" i="2"/>
  <c r="N27" i="15"/>
  <c r="F34" i="2" s="1"/>
  <c r="L32" i="12"/>
  <c r="M26" i="15" s="1"/>
  <c r="E33" i="2" s="1"/>
  <c r="G7" i="2"/>
  <c r="C20" i="8"/>
  <c r="G35" i="15"/>
  <c r="J19" i="15"/>
  <c r="P15" i="3"/>
  <c r="K27" i="1"/>
  <c r="K21" i="1" s="1"/>
  <c r="K22" i="1" s="1"/>
  <c r="L32" i="9"/>
  <c r="M29" i="15" s="1"/>
  <c r="H33" i="2" s="1"/>
  <c r="L30" i="9"/>
  <c r="L29" i="15" s="1"/>
  <c r="H32" i="2" s="1"/>
  <c r="L21" i="9"/>
  <c r="I29" i="15" s="1"/>
  <c r="H26" i="2" s="1"/>
  <c r="L3" i="10"/>
  <c r="C28" i="15" s="1"/>
  <c r="G11" i="2" s="1"/>
  <c r="E28" i="15"/>
  <c r="G13" i="2" s="1"/>
  <c r="L23" i="10"/>
  <c r="J28" i="15" s="1"/>
  <c r="G27" i="2" s="1"/>
  <c r="L30" i="10"/>
  <c r="L28" i="15" s="1"/>
  <c r="G32" i="2" s="1"/>
  <c r="L32" i="10"/>
  <c r="M28" i="15" s="1"/>
  <c r="G33" i="2" s="1"/>
  <c r="L12" i="10"/>
  <c r="F28" i="15" s="1"/>
  <c r="G20" i="2" s="1"/>
  <c r="L21" i="11"/>
  <c r="I27" i="15" s="1"/>
  <c r="F26" i="2" s="1"/>
  <c r="L23" i="11"/>
  <c r="J27" i="15" s="1"/>
  <c r="F27" i="2" s="1"/>
  <c r="L12" i="11"/>
  <c r="F27" i="15" s="1"/>
  <c r="F20" i="2" s="1"/>
  <c r="F25" i="2"/>
  <c r="F31" i="2" s="1"/>
  <c r="L30" i="12"/>
  <c r="L26" i="15" s="1"/>
  <c r="E32" i="2" s="1"/>
  <c r="L12" i="12"/>
  <c r="F26" i="15" s="1"/>
  <c r="E20" i="2" s="1"/>
  <c r="L14" i="12"/>
  <c r="G26" i="15" s="1"/>
  <c r="E21" i="2" s="1"/>
  <c r="L21" i="12"/>
  <c r="I26" i="15" s="1"/>
  <c r="E26" i="2" s="1"/>
  <c r="P13" i="3"/>
  <c r="F35" i="15" s="1"/>
  <c r="P26" i="3"/>
  <c r="P35" i="3" s="1"/>
  <c r="E29" i="15"/>
  <c r="H13" i="2" s="1"/>
  <c r="L15" i="1"/>
  <c r="P13" i="15"/>
  <c r="S13" i="15" s="1"/>
  <c r="V13" i="15" s="1"/>
  <c r="H18" i="2"/>
  <c r="H19" i="2" s="1"/>
  <c r="H25" i="2" s="1"/>
  <c r="H31" i="2" s="1"/>
  <c r="J13" i="1"/>
  <c r="J12" i="15"/>
  <c r="I19" i="15"/>
  <c r="J42" i="3"/>
  <c r="D42" i="3" s="1"/>
  <c r="D44" i="3" s="1"/>
  <c r="D46" i="3" s="1"/>
  <c r="J31" i="3"/>
  <c r="J44" i="3" s="1"/>
  <c r="J46" i="3" s="1"/>
  <c r="H19" i="15"/>
  <c r="N11" i="15"/>
  <c r="H11" i="15" s="1"/>
  <c r="F44" i="3"/>
  <c r="F46" i="3" s="1"/>
  <c r="I11" i="1"/>
  <c r="I12" i="1"/>
  <c r="I7" i="1"/>
  <c r="D6" i="1" s="1"/>
  <c r="I26" i="1"/>
  <c r="I25" i="1"/>
  <c r="I5" i="1"/>
  <c r="I3" i="1"/>
  <c r="I19" i="1"/>
  <c r="I15" i="1"/>
  <c r="I13" i="1"/>
  <c r="I6" i="1"/>
  <c r="I13" i="15"/>
  <c r="E9" i="2"/>
  <c r="G25" i="2"/>
  <c r="G31" i="2" s="1"/>
  <c r="J6" i="1"/>
  <c r="F8" i="2"/>
  <c r="E17" i="2"/>
  <c r="F17" i="2"/>
  <c r="F24" i="7"/>
  <c r="F28" i="7"/>
  <c r="W15" i="15"/>
  <c r="J14" i="15"/>
  <c r="I14" i="15"/>
  <c r="L14" i="1"/>
  <c r="H12" i="15"/>
  <c r="P10" i="15"/>
  <c r="S10" i="15" s="1"/>
  <c r="V10" i="15" s="1"/>
  <c r="F28" i="11"/>
  <c r="F5" i="2"/>
  <c r="G29" i="2"/>
  <c r="H13" i="15"/>
  <c r="N10" i="15"/>
  <c r="H10" i="15" s="1"/>
  <c r="W11" i="15"/>
  <c r="E13" i="1" s="1"/>
  <c r="W16" i="15"/>
  <c r="L20" i="1"/>
  <c r="K12" i="1"/>
  <c r="G14" i="2"/>
  <c r="G17" i="2" s="1"/>
  <c r="H35" i="15"/>
  <c r="F28" i="8"/>
  <c r="J10" i="15"/>
  <c r="K6" i="1"/>
  <c r="L26" i="1"/>
  <c r="L27" i="1" s="1"/>
  <c r="L28" i="1" s="1"/>
  <c r="K11" i="1"/>
  <c r="J16" i="15"/>
  <c r="K15" i="1"/>
  <c r="J11" i="1"/>
  <c r="K28" i="1" l="1"/>
  <c r="J14" i="1"/>
  <c r="P24" i="3"/>
  <c r="J35" i="15" s="1"/>
  <c r="P22" i="3"/>
  <c r="I35" i="15" s="1"/>
  <c r="K35" i="15"/>
  <c r="L21" i="1"/>
  <c r="K8" i="1"/>
  <c r="K9" i="1" s="1"/>
  <c r="P33" i="3"/>
  <c r="M35" i="15" s="1"/>
  <c r="P31" i="3"/>
  <c r="L35" i="15" s="1"/>
  <c r="N35" i="15"/>
  <c r="I27" i="1"/>
  <c r="I10" i="15"/>
  <c r="J11" i="15"/>
  <c r="K14" i="1"/>
  <c r="I11" i="15"/>
  <c r="J21" i="1"/>
  <c r="J28" i="1"/>
  <c r="I14" i="1"/>
  <c r="J13" i="15"/>
  <c r="I28" i="1" l="1"/>
  <c r="I21" i="1"/>
  <c r="J8" i="1"/>
  <c r="J22" i="1"/>
  <c r="K16" i="1"/>
  <c r="K17" i="1" s="1"/>
  <c r="K23" i="1" s="1"/>
  <c r="K29" i="1" s="1"/>
  <c r="L22" i="1"/>
  <c r="L8" i="1"/>
  <c r="J9" i="1" l="1"/>
  <c r="J16" i="1"/>
  <c r="I8" i="1"/>
  <c r="I22" i="1"/>
  <c r="L9" i="1"/>
  <c r="L16" i="1"/>
  <c r="L17" i="1" l="1"/>
  <c r="L23" i="1" s="1"/>
  <c r="L29" i="1" s="1"/>
  <c r="I9" i="1"/>
  <c r="I16" i="1"/>
  <c r="J17" i="1"/>
  <c r="J23" i="1" s="1"/>
  <c r="J29" i="1" s="1"/>
  <c r="M9" i="1" l="1"/>
  <c r="I17" i="1"/>
  <c r="M17" i="1" l="1"/>
  <c r="I23" i="1"/>
  <c r="M23" i="1" l="1"/>
  <c r="I29" i="1"/>
  <c r="M29" i="1" s="1"/>
</calcChain>
</file>

<file path=xl/comments1.xml><?xml version="1.0" encoding="utf-8"?>
<comments xmlns="http://schemas.openxmlformats.org/spreadsheetml/2006/main">
  <authors>
    <author>Roger Wilson</author>
  </authors>
  <commentList>
    <comment ref="H8" authorId="0">
      <text>
        <r>
          <rPr>
            <b/>
            <sz val="8"/>
            <color indexed="81"/>
            <rFont val="Tahoma"/>
          </rPr>
          <t xml:space="preserve">Roger Wilson:
</t>
        </r>
        <r>
          <rPr>
            <sz val="8"/>
            <color indexed="81"/>
            <rFont val="Tahoma"/>
          </rPr>
          <t xml:space="preserve">
</t>
        </r>
        <r>
          <rPr>
            <u/>
            <sz val="8"/>
            <color indexed="81"/>
            <rFont val="Tahoma"/>
            <family val="2"/>
          </rPr>
          <t xml:space="preserve">Units Delivered
</t>
        </r>
        <r>
          <rPr>
            <sz val="8"/>
            <color indexed="81"/>
            <rFont val="Tahoma"/>
            <family val="2"/>
          </rPr>
          <t>(1-Hauling Waste)</t>
        </r>
      </text>
    </comment>
    <comment ref="H9" authorId="0">
      <text>
        <r>
          <rPr>
            <b/>
            <sz val="8"/>
            <color indexed="81"/>
            <rFont val="Tahoma"/>
          </rPr>
          <t>Roger Wilson:</t>
        </r>
        <r>
          <rPr>
            <sz val="8"/>
            <color indexed="81"/>
            <rFont val="Tahoma"/>
          </rPr>
          <t xml:space="preserve">
Price x Units Consumed</t>
        </r>
      </text>
    </comment>
    <comment ref="H14" authorId="0">
      <text>
        <r>
          <rPr>
            <b/>
            <sz val="8"/>
            <color indexed="81"/>
            <rFont val="Tahoma"/>
          </rPr>
          <t>Roger Wilson:</t>
        </r>
        <r>
          <rPr>
            <sz val="8"/>
            <color indexed="81"/>
            <rFont val="Tahoma"/>
          </rPr>
          <t xml:space="preserve">
</t>
        </r>
        <r>
          <rPr>
            <u/>
            <sz val="8"/>
            <color indexed="81"/>
            <rFont val="Tahoma"/>
            <family val="2"/>
          </rPr>
          <t xml:space="preserve">Cost per Mile X Miles
</t>
        </r>
        <r>
          <rPr>
            <sz val="8"/>
            <color indexed="81"/>
            <rFont val="Tahoma"/>
            <family val="2"/>
          </rPr>
          <t>Units per Load</t>
        </r>
      </text>
    </comment>
    <comment ref="H17" authorId="0">
      <text>
        <r>
          <rPr>
            <b/>
            <sz val="8"/>
            <color indexed="81"/>
            <rFont val="Tahoma"/>
          </rPr>
          <t>Roger Wilson:</t>
        </r>
        <r>
          <rPr>
            <sz val="8"/>
            <color indexed="81"/>
            <rFont val="Tahoma"/>
          </rPr>
          <t xml:space="preserve">
</t>
        </r>
        <r>
          <rPr>
            <sz val="8"/>
            <color indexed="81"/>
            <rFont val="Tahoma"/>
            <family val="2"/>
          </rPr>
          <t>Purchase Cost+Hauling Cost per Unit x Units Purchased</t>
        </r>
      </text>
    </comment>
    <comment ref="H21" authorId="0">
      <text>
        <r>
          <rPr>
            <b/>
            <sz val="8"/>
            <color indexed="81"/>
            <rFont val="Tahoma"/>
          </rPr>
          <t xml:space="preserve">Roger Wilson:
</t>
        </r>
        <r>
          <rPr>
            <sz val="8"/>
            <color indexed="81"/>
            <rFont val="Tahoma"/>
          </rPr>
          <t xml:space="preserve">
</t>
        </r>
        <r>
          <rPr>
            <u/>
            <sz val="8"/>
            <color indexed="81"/>
            <rFont val="Tahoma"/>
            <family val="2"/>
          </rPr>
          <t xml:space="preserve">Units Fed
</t>
        </r>
        <r>
          <rPr>
            <sz val="8"/>
            <color indexed="81"/>
            <rFont val="Tahoma"/>
            <family val="2"/>
          </rPr>
          <t>(1 - Storage Waste%)</t>
        </r>
      </text>
    </comment>
    <comment ref="H22" authorId="0">
      <text>
        <r>
          <rPr>
            <b/>
            <sz val="8"/>
            <color indexed="81"/>
            <rFont val="Tahoma"/>
          </rPr>
          <t>Roger Wilson:</t>
        </r>
        <r>
          <rPr>
            <sz val="8"/>
            <color indexed="81"/>
            <rFont val="Tahoma"/>
          </rPr>
          <t xml:space="preserve">
Units Stored X Cost per Unit Stored</t>
        </r>
      </text>
    </comment>
    <comment ref="H23" authorId="0">
      <text>
        <r>
          <rPr>
            <b/>
            <sz val="8"/>
            <color indexed="81"/>
            <rFont val="Tahoma"/>
          </rPr>
          <t>Roger Wilson:</t>
        </r>
        <r>
          <rPr>
            <sz val="8"/>
            <color indexed="81"/>
            <rFont val="Tahoma"/>
          </rPr>
          <t xml:space="preserve">
Units Stored X Unit Price + Feeding Cost + Storage Cost</t>
        </r>
      </text>
    </comment>
    <comment ref="H27" authorId="0">
      <text>
        <r>
          <rPr>
            <b/>
            <sz val="8"/>
            <color indexed="81"/>
            <rFont val="Tahoma"/>
          </rPr>
          <t xml:space="preserve">Roger Wilson:
</t>
        </r>
        <r>
          <rPr>
            <sz val="8"/>
            <color indexed="81"/>
            <rFont val="Tahoma"/>
          </rPr>
          <t xml:space="preserve">
</t>
        </r>
        <r>
          <rPr>
            <u/>
            <sz val="8"/>
            <color indexed="81"/>
            <rFont val="Tahoma"/>
            <family val="2"/>
          </rPr>
          <t xml:space="preserve">Feed Consumption Needed
</t>
        </r>
        <r>
          <rPr>
            <sz val="8"/>
            <color indexed="81"/>
            <rFont val="Tahoma"/>
            <family val="2"/>
          </rPr>
          <t>(1-Feeding Waste%)</t>
        </r>
      </text>
    </comment>
    <comment ref="H28" authorId="0">
      <text>
        <r>
          <rPr>
            <b/>
            <sz val="8"/>
            <color indexed="81"/>
            <rFont val="Tahoma"/>
          </rPr>
          <t>Roger Wilson:</t>
        </r>
        <r>
          <rPr>
            <sz val="8"/>
            <color indexed="81"/>
            <rFont val="Tahoma"/>
          </rPr>
          <t xml:space="preserve">
Units Fed X Cost per Unit</t>
        </r>
      </text>
    </comment>
    <comment ref="H29" authorId="0">
      <text>
        <r>
          <rPr>
            <b/>
            <sz val="8"/>
            <color indexed="81"/>
            <rFont val="Tahoma"/>
          </rPr>
          <t>Roger Wilson:</t>
        </r>
        <r>
          <rPr>
            <sz val="8"/>
            <color indexed="81"/>
            <rFont val="Tahoma"/>
          </rPr>
          <t xml:space="preserve">
Units Fed X Unit Price + Feeding Cost</t>
        </r>
      </text>
    </comment>
  </commentList>
</comments>
</file>

<file path=xl/sharedStrings.xml><?xml version="1.0" encoding="utf-8"?>
<sst xmlns="http://schemas.openxmlformats.org/spreadsheetml/2006/main" count="828" uniqueCount="161">
  <si>
    <t>Feed Needed</t>
  </si>
  <si>
    <t>Feed Costs</t>
  </si>
  <si>
    <t>Feed Number</t>
  </si>
  <si>
    <t>Lbs / Hd / Day (As Fed)</t>
  </si>
  <si>
    <t>Total Costs</t>
  </si>
  <si>
    <t>Number of Days Fed</t>
  </si>
  <si>
    <t>Feed</t>
  </si>
  <si>
    <t>Number of Cows Fed</t>
  </si>
  <si>
    <t>Purchase</t>
  </si>
  <si>
    <t>Unit Price</t>
  </si>
  <si>
    <t>% Dry Matter</t>
  </si>
  <si>
    <t>lbs per Unit</t>
  </si>
  <si>
    <t>Units Purchased</t>
  </si>
  <si>
    <t>Cost</t>
  </si>
  <si>
    <t>Hauling</t>
  </si>
  <si>
    <t>Units per Load</t>
  </si>
  <si>
    <t>Cost per Mile</t>
  </si>
  <si>
    <t>Miles</t>
  </si>
  <si>
    <t>Cost per Unit</t>
  </si>
  <si>
    <t>Waste %</t>
  </si>
  <si>
    <t>Hauling Cost</t>
  </si>
  <si>
    <t>Storage</t>
  </si>
  <si>
    <t>Units Stored</t>
  </si>
  <si>
    <t>Storage Cost</t>
  </si>
  <si>
    <t>Subtotal Cost</t>
  </si>
  <si>
    <t xml:space="preserve">Feeding </t>
  </si>
  <si>
    <t>Units Fed</t>
  </si>
  <si>
    <t>Feeding Cost</t>
  </si>
  <si>
    <t>Total Cost</t>
  </si>
  <si>
    <t>Description</t>
  </si>
  <si>
    <t>Price per Unit</t>
  </si>
  <si>
    <t>Pounds per unit</t>
  </si>
  <si>
    <t>Nutrient values</t>
  </si>
  <si>
    <t>%DM</t>
  </si>
  <si>
    <t>%CP</t>
  </si>
  <si>
    <t>%TDN</t>
  </si>
  <si>
    <t>Cost per Pound of Nutrient Purchased</t>
  </si>
  <si>
    <t>CP $ per lb</t>
  </si>
  <si>
    <t>TDN $ per lb</t>
  </si>
  <si>
    <t>DM $ per lb</t>
  </si>
  <si>
    <t>Freight</t>
  </si>
  <si>
    <t>Rate per mile</t>
  </si>
  <si>
    <t>Units per load</t>
  </si>
  <si>
    <t>Cost per unit</t>
  </si>
  <si>
    <t>Waste (per cent)</t>
  </si>
  <si>
    <t>Per cent delivered</t>
  </si>
  <si>
    <t>Cost per Pound of Nutrient Delivered</t>
  </si>
  <si>
    <t>Per cent fed</t>
  </si>
  <si>
    <t>Cost per Pound of Nutrient Fed</t>
  </si>
  <si>
    <t>Feeding</t>
  </si>
  <si>
    <t>Per cent consumed</t>
  </si>
  <si>
    <t>Costs per Pound of Nutrient Consumed</t>
  </si>
  <si>
    <t>Cost per Pound of Purchased Nutrient</t>
  </si>
  <si>
    <t>Calculated Values</t>
  </si>
  <si>
    <t>FEED AVAILABILITY</t>
  </si>
  <si>
    <t>Corn yield</t>
  </si>
  <si>
    <t>bu/ac</t>
  </si>
  <si>
    <t>lbs DM per acre</t>
  </si>
  <si>
    <t>$</t>
  </si>
  <si>
    <t>Stalk harvest efficiency (50% Recommended)</t>
  </si>
  <si>
    <t>Available DM</t>
  </si>
  <si>
    <t>Total number of animals</t>
  </si>
  <si>
    <t>head</t>
  </si>
  <si>
    <t>Average animal weight</t>
  </si>
  <si>
    <t>Days on corn stalks</t>
  </si>
  <si>
    <t>days</t>
  </si>
  <si>
    <t>AUMs needed</t>
  </si>
  <si>
    <t>Cost per Pound of Available Nutrient</t>
  </si>
  <si>
    <t>Acres rented</t>
  </si>
  <si>
    <t>acres</t>
  </si>
  <si>
    <t>Acres needed</t>
  </si>
  <si>
    <t>Total CS lease</t>
  </si>
  <si>
    <t>Cost per acre</t>
  </si>
  <si>
    <t>per acre</t>
  </si>
  <si>
    <t>per animal per day</t>
  </si>
  <si>
    <t>NUTRITION</t>
  </si>
  <si>
    <t>Percent dry matter</t>
  </si>
  <si>
    <t>Percent crude protein (on a DM basis)</t>
  </si>
  <si>
    <t>Cost per Pound With Cattle Hauling</t>
  </si>
  <si>
    <t>Percent TDN (on a DM basis)</t>
  </si>
  <si>
    <t>TRANSPORTATION</t>
  </si>
  <si>
    <t>Cattle transportation distance (ranch to corn field)</t>
  </si>
  <si>
    <t>miles</t>
  </si>
  <si>
    <t>Transportation cost per loaded mile</t>
  </si>
  <si>
    <t>per mile</t>
  </si>
  <si>
    <t>Cost per trip</t>
  </si>
  <si>
    <t>DM/AUM</t>
  </si>
  <si>
    <t>Cost per head</t>
  </si>
  <si>
    <t>Animals per load</t>
  </si>
  <si>
    <t>Total trans. cost</t>
  </si>
  <si>
    <t>CARE &amp; SUPERVISION</t>
  </si>
  <si>
    <t>How far to check cattle (one way)</t>
  </si>
  <si>
    <t>Cost per Pound of Nutrient Consumed</t>
  </si>
  <si>
    <t>Transportation cost per mile to check cattle</t>
  </si>
  <si>
    <t>Total C&amp;S cost</t>
  </si>
  <si>
    <t>Other charges (labor) per visit</t>
  </si>
  <si>
    <t>Number of supervisory visits</t>
  </si>
  <si>
    <t>Supervision Cost per Head</t>
  </si>
  <si>
    <t>Totals</t>
  </si>
  <si>
    <t>Grand Total</t>
  </si>
  <si>
    <t>=</t>
  </si>
  <si>
    <t>Cornstalk Lease</t>
  </si>
  <si>
    <t>+</t>
  </si>
  <si>
    <t>Trans. Costs</t>
  </si>
  <si>
    <t>C &amp; S Costs</t>
  </si>
  <si>
    <t>Total Cost Per Head</t>
  </si>
  <si>
    <t>Total Cost Per Head Per Day</t>
  </si>
  <si>
    <r>
      <t xml:space="preserve">per pound of </t>
    </r>
    <r>
      <rPr>
        <b/>
        <sz val="10"/>
        <rFont val="Arial"/>
        <family val="2"/>
      </rPr>
      <t>Crude Protein</t>
    </r>
  </si>
  <si>
    <r>
      <t xml:space="preserve">per pound of </t>
    </r>
    <r>
      <rPr>
        <b/>
        <sz val="10"/>
        <rFont val="Arial"/>
        <family val="2"/>
      </rPr>
      <t>TDN</t>
    </r>
  </si>
  <si>
    <r>
      <t xml:space="preserve">per pound of </t>
    </r>
    <r>
      <rPr>
        <b/>
        <sz val="10"/>
        <rFont val="Arial"/>
        <family val="2"/>
      </rPr>
      <t>DM</t>
    </r>
  </si>
  <si>
    <t>Purchased Cost of Nutrient</t>
  </si>
  <si>
    <t>Inputs</t>
  </si>
  <si>
    <t>What is the name of this feed?</t>
  </si>
  <si>
    <t>lbs per unit</t>
  </si>
  <si>
    <t>CP</t>
  </si>
  <si>
    <t>TDN</t>
  </si>
  <si>
    <t>Units consumed</t>
  </si>
  <si>
    <t>How much does this feed cost?</t>
  </si>
  <si>
    <t>The above price is for how many pounds of feed?</t>
  </si>
  <si>
    <t>pounds per unit</t>
  </si>
  <si>
    <t>What is the percent dry matter?</t>
  </si>
  <si>
    <t>Delivered Cost of Nutrient</t>
  </si>
  <si>
    <t>What is the percent Crude Protein (on a DM basis)</t>
  </si>
  <si>
    <t>What is the percent TDN (on a DM basis)</t>
  </si>
  <si>
    <t>How far will this feed be transported?</t>
  </si>
  <si>
    <t>What is the cost per loaded mile?</t>
  </si>
  <si>
    <t>Fed Cost of Nutrient</t>
  </si>
  <si>
    <t>How much of the feed will be lost in hauling?</t>
  </si>
  <si>
    <t>How much will it cost to store this feed?</t>
  </si>
  <si>
    <t>How much of the feed will be lost in storage?</t>
  </si>
  <si>
    <t>How much will it cost to feed this feed?</t>
  </si>
  <si>
    <t>Consumed Cost of Nutrient</t>
  </si>
  <si>
    <t>How much will be lost when feeding?</t>
  </si>
  <si>
    <t>Corn</t>
  </si>
  <si>
    <t>Alfalfa Hay (Good)</t>
  </si>
  <si>
    <t>Grass Hay (Premium)</t>
  </si>
  <si>
    <t>The Purpose</t>
  </si>
  <si>
    <t>Objective 1</t>
  </si>
  <si>
    <t>Objective 2</t>
  </si>
  <si>
    <t>Step 1</t>
  </si>
  <si>
    <t>Step 2</t>
  </si>
  <si>
    <t>Step 3</t>
  </si>
  <si>
    <t>Written by</t>
  </si>
  <si>
    <t>Matt Stockton</t>
  </si>
  <si>
    <t>Roger Wilson</t>
  </si>
  <si>
    <t>University of Nebraska - West Central Research and Extension Center</t>
  </si>
  <si>
    <t>North Platte, NE  69101</t>
  </si>
  <si>
    <t>Dry Matter Basis</t>
  </si>
  <si>
    <t>Values</t>
  </si>
  <si>
    <t>Cost per pound</t>
  </si>
  <si>
    <t>DM</t>
  </si>
  <si>
    <t>Units Delivered</t>
  </si>
  <si>
    <t>Unit Name</t>
  </si>
  <si>
    <t>Grass Hay</t>
  </si>
  <si>
    <t>Data for 'Whole Herd' Calculations</t>
  </si>
  <si>
    <t>Corn Stalks</t>
  </si>
  <si>
    <t>Delivered Cost</t>
  </si>
  <si>
    <t>Fed Cost</t>
  </si>
  <si>
    <t>Consumed Cost</t>
  </si>
  <si>
    <t>Purchased Cost</t>
  </si>
  <si>
    <t>Feed Cost Cow-Q-lator</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</si>
</sst>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4" formatCode="_(&quot;$&quot;* #,##0.00_);_(&quot;$&quot;* \(#,##0.00\);_(&quot;$&quot;* &quot;-&quot;??_);_(@_)"/>
    <numFmt numFmtId="43" formatCode="_(* #,##0.00_);_(* \(#,##0.00\);_(* &quot;-&quot;??_);_(@_)"/>
    <numFmt numFmtId="164" formatCode="0.0%"/>
    <numFmt numFmtId="165" formatCode="#,##0.0000_);\(#,##0.0000\)"/>
    <numFmt numFmtId="166" formatCode="_(* #,##0_);_(* \(#,##0\);_(* &quot;-&quot;??_);_(@_)"/>
    <numFmt numFmtId="167" formatCode="0.0000"/>
    <numFmt numFmtId="168" formatCode="0.000"/>
    <numFmt numFmtId="169" formatCode="_(&quot;$&quot;* #,##0.000_);_(&quot;$&quot;* \(#,##0.000\);_(&quot;$&quot;* &quot;-&quot;??_);_(@_)"/>
    <numFmt numFmtId="170" formatCode="&quot;$&quot;#,##0.00"/>
    <numFmt numFmtId="171" formatCode="&quot;$&quot;#,##0"/>
  </numFmts>
  <fonts count="36" x14ac:knownFonts="1">
    <font>
      <sz val="10"/>
      <name val="Arial"/>
    </font>
    <font>
      <sz val="10"/>
      <name val="Arial"/>
    </font>
    <font>
      <sz val="8"/>
      <name val="Arial"/>
    </font>
    <font>
      <b/>
      <sz val="18"/>
      <name val="Arial"/>
      <family val="2"/>
    </font>
    <font>
      <b/>
      <sz val="10"/>
      <name val="Arial"/>
      <family val="2"/>
    </font>
    <font>
      <sz val="10"/>
      <color indexed="22"/>
      <name val="Arial"/>
    </font>
    <font>
      <b/>
      <sz val="14"/>
      <name val="Arial"/>
      <family val="2"/>
    </font>
    <font>
      <b/>
      <sz val="14"/>
      <color indexed="9"/>
      <name val="Arial"/>
      <family val="2"/>
    </font>
    <font>
      <b/>
      <sz val="10"/>
      <color indexed="22"/>
      <name val="Arial"/>
    </font>
    <font>
      <b/>
      <sz val="10"/>
      <color indexed="41"/>
      <name val="Arial"/>
      <family val="2"/>
    </font>
    <font>
      <b/>
      <sz val="10"/>
      <color indexed="12"/>
      <name val="Arial"/>
      <family val="2"/>
    </font>
    <font>
      <b/>
      <sz val="10"/>
      <color indexed="8"/>
      <name val="Arial"/>
      <family val="2"/>
    </font>
    <font>
      <b/>
      <sz val="12"/>
      <name val="Arial"/>
      <family val="2"/>
    </font>
    <font>
      <b/>
      <sz val="8"/>
      <color indexed="81"/>
      <name val="Tahoma"/>
    </font>
    <font>
      <sz val="8"/>
      <color indexed="81"/>
      <name val="Tahoma"/>
    </font>
    <font>
      <u/>
      <sz val="8"/>
      <color indexed="81"/>
      <name val="Tahoma"/>
      <family val="2"/>
    </font>
    <font>
      <sz val="8"/>
      <color indexed="81"/>
      <name val="Tahoma"/>
      <family val="2"/>
    </font>
    <font>
      <sz val="10"/>
      <color indexed="13"/>
      <name val="Arial"/>
    </font>
    <font>
      <sz val="10"/>
      <color indexed="12"/>
      <name val="Arial"/>
    </font>
    <font>
      <sz val="14"/>
      <name val="Arial"/>
    </font>
    <font>
      <sz val="10"/>
      <color indexed="8"/>
      <name val="Arial"/>
    </font>
    <font>
      <b/>
      <sz val="11"/>
      <color indexed="8"/>
      <name val="Arial"/>
    </font>
    <font>
      <b/>
      <sz val="11"/>
      <color indexed="9"/>
      <name val="Arial"/>
      <family val="2"/>
    </font>
    <font>
      <b/>
      <sz val="10"/>
      <color indexed="8"/>
      <name val="Arial"/>
    </font>
    <font>
      <b/>
      <sz val="11"/>
      <name val="Arial"/>
      <family val="2"/>
    </font>
    <font>
      <b/>
      <sz val="11"/>
      <color indexed="12"/>
      <name val="Arial"/>
      <family val="2"/>
    </font>
    <font>
      <b/>
      <sz val="10"/>
      <color indexed="47"/>
      <name val="Arial"/>
      <family val="2"/>
    </font>
    <font>
      <sz val="10"/>
      <color indexed="47"/>
      <name val="Arial"/>
      <family val="2"/>
    </font>
    <font>
      <sz val="10"/>
      <name val="Arial"/>
      <family val="2"/>
    </font>
    <font>
      <sz val="10"/>
      <color indexed="12"/>
      <name val="Arial"/>
      <family val="2"/>
    </font>
    <font>
      <b/>
      <sz val="12"/>
      <color indexed="12"/>
      <name val="Arial"/>
      <family val="2"/>
    </font>
    <font>
      <sz val="14"/>
      <color indexed="12"/>
      <name val="Arial"/>
    </font>
    <font>
      <sz val="48"/>
      <color indexed="48"/>
      <name val="Arial Rounded MT Bold"/>
      <family val="2"/>
    </font>
    <font>
      <sz val="24"/>
      <name val="Arial"/>
    </font>
    <font>
      <sz val="24"/>
      <color indexed="12"/>
      <name val="Arial Rounded MT Bold"/>
      <family val="2"/>
    </font>
    <font>
      <b/>
      <sz val="10"/>
      <color indexed="18"/>
      <name val="Arial"/>
      <family val="2"/>
    </font>
  </fonts>
  <fills count="8">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10"/>
        <bgColor indexed="64"/>
      </patternFill>
    </fill>
    <fill>
      <patternFill patternType="solid">
        <fgColor indexed="47"/>
        <bgColor indexed="64"/>
      </patternFill>
    </fill>
    <fill>
      <patternFill patternType="solid">
        <fgColor indexed="9"/>
        <bgColor indexed="64"/>
      </patternFill>
    </fill>
    <fill>
      <patternFill patternType="solid">
        <fgColor indexed="11"/>
        <bgColor indexed="64"/>
      </patternFill>
    </fill>
  </fills>
  <borders count="46">
    <border>
      <left/>
      <right/>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double">
        <color indexed="64"/>
      </bottom>
      <diagonal/>
    </border>
    <border>
      <left/>
      <right/>
      <top/>
      <bottom style="double">
        <color indexed="64"/>
      </bottom>
      <diagonal/>
    </border>
    <border>
      <left/>
      <right/>
      <top style="double">
        <color indexed="64"/>
      </top>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medium">
        <color indexed="64"/>
      </right>
      <top/>
      <bottom style="thin">
        <color indexed="64"/>
      </bottom>
      <diagonal/>
    </border>
    <border>
      <left/>
      <right/>
      <top style="medium">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double">
        <color indexed="64"/>
      </bottom>
      <diagonal/>
    </border>
    <border>
      <left style="thin">
        <color indexed="64"/>
      </left>
      <right style="thin">
        <color indexed="64"/>
      </right>
      <top/>
      <bottom style="double">
        <color indexed="64"/>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right/>
      <top style="thin">
        <color indexed="64"/>
      </top>
      <bottom/>
      <diagonal/>
    </border>
    <border>
      <left style="medium">
        <color indexed="64"/>
      </left>
      <right/>
      <top style="medium">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style="double">
        <color indexed="64"/>
      </right>
      <top/>
      <bottom style="double">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thin">
        <color indexed="64"/>
      </top>
      <bottom/>
      <diagonal/>
    </border>
    <border>
      <left style="medium">
        <color indexed="64"/>
      </left>
      <right/>
      <top style="double">
        <color indexed="64"/>
      </top>
      <bottom/>
      <diagonal/>
    </border>
    <border>
      <left/>
      <right style="medium">
        <color indexed="64"/>
      </right>
      <top/>
      <bottom style="double">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67">
    <xf numFmtId="0" fontId="0" fillId="0" borderId="0" xfId="0"/>
    <xf numFmtId="0" fontId="3" fillId="2" borderId="0" xfId="0" applyFont="1" applyFill="1" applyAlignment="1">
      <alignment horizontal="left"/>
    </xf>
    <xf numFmtId="0" fontId="4" fillId="2" borderId="0" xfId="0" applyFont="1" applyFill="1"/>
    <xf numFmtId="0" fontId="4" fillId="2" borderId="0" xfId="0" applyFont="1" applyFill="1" applyAlignment="1">
      <alignment horizontal="center"/>
    </xf>
    <xf numFmtId="0" fontId="5" fillId="2" borderId="0" xfId="0" applyFont="1" applyFill="1"/>
    <xf numFmtId="166" fontId="4" fillId="2" borderId="0" xfId="1" applyNumberFormat="1" applyFont="1" applyFill="1" applyAlignment="1">
      <alignment horizontal="center"/>
    </xf>
    <xf numFmtId="0" fontId="0" fillId="2" borderId="0" xfId="0" applyFill="1"/>
    <xf numFmtId="0" fontId="6" fillId="3" borderId="1" xfId="0" applyFont="1" applyFill="1" applyBorder="1" applyAlignment="1">
      <alignment horizontal="center"/>
    </xf>
    <xf numFmtId="0" fontId="6" fillId="3" borderId="2" xfId="0" applyFont="1" applyFill="1" applyBorder="1" applyAlignment="1">
      <alignment horizontal="center"/>
    </xf>
    <xf numFmtId="0" fontId="7" fillId="4" borderId="2" xfId="0" applyFont="1" applyFill="1" applyBorder="1" applyAlignment="1" applyProtection="1">
      <alignment horizontal="center"/>
      <protection locked="0"/>
    </xf>
    <xf numFmtId="0" fontId="0" fillId="3" borderId="3" xfId="0" applyFill="1" applyBorder="1" applyAlignment="1">
      <alignment wrapText="1"/>
    </xf>
    <xf numFmtId="0" fontId="8" fillId="2" borderId="0" xfId="0" applyFont="1" applyFill="1" applyBorder="1"/>
    <xf numFmtId="0" fontId="9" fillId="5" borderId="4" xfId="0" applyFont="1" applyFill="1" applyBorder="1"/>
    <xf numFmtId="0" fontId="10" fillId="5" borderId="5" xfId="0" applyFont="1" applyFill="1" applyBorder="1"/>
    <xf numFmtId="0" fontId="10" fillId="5" borderId="5" xfId="0" applyFont="1" applyFill="1" applyBorder="1" applyAlignment="1">
      <alignment horizontal="center" wrapText="1"/>
    </xf>
    <xf numFmtId="0" fontId="10" fillId="5" borderId="6" xfId="0" applyFont="1" applyFill="1" applyBorder="1" applyAlignment="1">
      <alignment horizontal="center" wrapText="1"/>
    </xf>
    <xf numFmtId="0" fontId="4" fillId="3" borderId="7" xfId="0" applyFont="1" applyFill="1" applyBorder="1" applyAlignment="1">
      <alignment horizontal="center"/>
    </xf>
    <xf numFmtId="0" fontId="4" fillId="3" borderId="0" xfId="0" applyFont="1" applyFill="1" applyBorder="1" applyAlignment="1">
      <alignment horizontal="center"/>
    </xf>
    <xf numFmtId="0" fontId="4" fillId="0" borderId="0" xfId="0" applyFont="1" applyFill="1" applyBorder="1" applyAlignment="1" applyProtection="1">
      <alignment horizontal="center"/>
      <protection locked="0"/>
    </xf>
    <xf numFmtId="0" fontId="0" fillId="3" borderId="8" xfId="0" applyFill="1" applyBorder="1"/>
    <xf numFmtId="0" fontId="9" fillId="5" borderId="7" xfId="0" applyFont="1" applyFill="1" applyBorder="1"/>
    <xf numFmtId="0" fontId="10" fillId="5" borderId="0" xfId="0" applyFont="1" applyFill="1" applyBorder="1"/>
    <xf numFmtId="0" fontId="8" fillId="2" borderId="0" xfId="0" applyFont="1" applyFill="1" applyBorder="1" applyAlignment="1">
      <alignment wrapText="1"/>
    </xf>
    <xf numFmtId="0" fontId="9" fillId="5" borderId="9" xfId="0" applyFont="1" applyFill="1" applyBorder="1" applyAlignment="1">
      <alignment wrapText="1"/>
    </xf>
    <xf numFmtId="0" fontId="11" fillId="5" borderId="10" xfId="0" applyFont="1" applyFill="1" applyBorder="1" applyAlignment="1">
      <alignment wrapText="1"/>
    </xf>
    <xf numFmtId="0" fontId="8" fillId="2" borderId="0" xfId="0" applyFont="1" applyFill="1"/>
    <xf numFmtId="0" fontId="4" fillId="5" borderId="11" xfId="0" applyFont="1" applyFill="1" applyBorder="1"/>
    <xf numFmtId="43" fontId="10" fillId="5" borderId="11" xfId="1" applyFont="1" applyFill="1" applyBorder="1"/>
    <xf numFmtId="43" fontId="10" fillId="5" borderId="8" xfId="1" applyFont="1" applyFill="1" applyBorder="1"/>
    <xf numFmtId="0" fontId="0" fillId="2" borderId="0" xfId="0" applyFill="1" applyAlignment="1">
      <alignment wrapText="1"/>
    </xf>
    <xf numFmtId="0" fontId="4" fillId="5" borderId="12" xfId="0" applyFont="1" applyFill="1" applyBorder="1" applyAlignment="1">
      <alignment horizontal="right"/>
    </xf>
    <xf numFmtId="43" fontId="10" fillId="5" borderId="12" xfId="1" applyNumberFormat="1" applyFont="1" applyFill="1" applyBorder="1" applyAlignment="1">
      <alignment horizontal="center"/>
    </xf>
    <xf numFmtId="164" fontId="10" fillId="3" borderId="8" xfId="3" applyNumberFormat="1" applyFont="1" applyFill="1" applyBorder="1"/>
    <xf numFmtId="0" fontId="4" fillId="5" borderId="0" xfId="0" applyFont="1" applyFill="1" applyBorder="1"/>
    <xf numFmtId="164" fontId="10" fillId="5" borderId="0" xfId="3" applyNumberFormat="1" applyFont="1" applyFill="1" applyBorder="1"/>
    <xf numFmtId="164" fontId="10" fillId="5" borderId="8" xfId="3" applyNumberFormat="1" applyFont="1" applyFill="1" applyBorder="1"/>
    <xf numFmtId="0" fontId="0" fillId="3" borderId="13" xfId="0" applyFill="1" applyBorder="1"/>
    <xf numFmtId="0" fontId="0" fillId="3" borderId="14" xfId="0" applyFill="1" applyBorder="1"/>
    <xf numFmtId="0" fontId="0" fillId="3" borderId="15" xfId="0" applyFill="1" applyBorder="1"/>
    <xf numFmtId="166" fontId="10" fillId="5" borderId="0" xfId="1" applyNumberFormat="1" applyFont="1" applyFill="1" applyBorder="1"/>
    <xf numFmtId="166" fontId="10" fillId="5" borderId="8" xfId="1" applyNumberFormat="1" applyFont="1" applyFill="1" applyBorder="1"/>
    <xf numFmtId="43" fontId="10" fillId="5" borderId="0" xfId="1" applyFont="1" applyFill="1" applyBorder="1"/>
    <xf numFmtId="0" fontId="4" fillId="5" borderId="16" xfId="0" applyFont="1" applyFill="1" applyBorder="1"/>
    <xf numFmtId="43" fontId="10" fillId="5" borderId="16" xfId="1" applyFont="1" applyFill="1" applyBorder="1"/>
    <xf numFmtId="43" fontId="10" fillId="5" borderId="17" xfId="1" applyFont="1" applyFill="1" applyBorder="1"/>
    <xf numFmtId="0" fontId="10" fillId="5" borderId="8" xfId="0" applyFont="1" applyFill="1" applyBorder="1"/>
    <xf numFmtId="0" fontId="4" fillId="5" borderId="7" xfId="0" applyFont="1" applyFill="1" applyBorder="1"/>
    <xf numFmtId="0" fontId="4" fillId="5" borderId="14" xfId="0" applyFont="1" applyFill="1" applyBorder="1"/>
    <xf numFmtId="43" fontId="10" fillId="5" borderId="14" xfId="1" applyFont="1" applyFill="1" applyBorder="1"/>
    <xf numFmtId="43" fontId="10" fillId="5" borderId="15" xfId="1" applyFont="1" applyFill="1" applyBorder="1"/>
    <xf numFmtId="0" fontId="17" fillId="3" borderId="4" xfId="0" applyFont="1" applyFill="1" applyBorder="1"/>
    <xf numFmtId="0" fontId="0" fillId="3" borderId="18" xfId="0" applyFill="1" applyBorder="1"/>
    <xf numFmtId="0" fontId="0" fillId="3" borderId="6" xfId="0" applyFill="1" applyBorder="1"/>
    <xf numFmtId="0" fontId="17" fillId="3" borderId="7" xfId="0" applyFont="1" applyFill="1" applyBorder="1"/>
    <xf numFmtId="0" fontId="18" fillId="3" borderId="0" xfId="0" applyFont="1" applyFill="1" applyBorder="1"/>
    <xf numFmtId="0" fontId="20" fillId="3" borderId="0" xfId="0" applyFont="1" applyFill="1" applyBorder="1"/>
    <xf numFmtId="0" fontId="21" fillId="3" borderId="0" xfId="0" applyFont="1" applyFill="1" applyBorder="1" applyAlignment="1">
      <alignment horizontal="center"/>
    </xf>
    <xf numFmtId="0" fontId="22" fillId="4" borderId="19" xfId="0" applyFont="1" applyFill="1" applyBorder="1" applyAlignment="1" applyProtection="1">
      <alignment horizontal="center" wrapText="1"/>
      <protection locked="0"/>
    </xf>
    <xf numFmtId="0" fontId="22" fillId="4" borderId="20" xfId="0" applyFont="1" applyFill="1" applyBorder="1" applyAlignment="1" applyProtection="1">
      <alignment horizontal="center" wrapText="1"/>
      <protection locked="0"/>
    </xf>
    <xf numFmtId="0" fontId="22" fillId="4" borderId="0" xfId="0" applyFont="1" applyFill="1" applyBorder="1" applyAlignment="1" applyProtection="1">
      <alignment horizontal="center" wrapText="1"/>
      <protection locked="0"/>
    </xf>
    <xf numFmtId="0" fontId="17" fillId="3" borderId="7" xfId="0" applyFont="1" applyFill="1" applyBorder="1" applyAlignment="1">
      <alignment horizontal="center" wrapText="1"/>
    </xf>
    <xf numFmtId="0" fontId="23" fillId="3" borderId="10" xfId="0" applyFont="1" applyFill="1" applyBorder="1" applyAlignment="1">
      <alignment horizontal="center" wrapText="1"/>
    </xf>
    <xf numFmtId="0" fontId="21" fillId="3" borderId="10" xfId="0" applyFont="1" applyFill="1" applyBorder="1" applyAlignment="1">
      <alignment horizontal="center" wrapText="1"/>
    </xf>
    <xf numFmtId="0" fontId="24" fillId="3" borderId="21" xfId="0" applyFont="1" applyFill="1" applyBorder="1" applyAlignment="1">
      <alignment horizontal="center" wrapText="1"/>
    </xf>
    <xf numFmtId="0" fontId="24" fillId="3" borderId="22" xfId="0" applyFont="1" applyFill="1" applyBorder="1" applyAlignment="1">
      <alignment horizontal="center" wrapText="1"/>
    </xf>
    <xf numFmtId="0" fontId="24" fillId="3" borderId="10" xfId="0" applyFont="1" applyFill="1" applyBorder="1" applyAlignment="1">
      <alignment horizontal="center" wrapText="1"/>
    </xf>
    <xf numFmtId="0" fontId="0" fillId="3" borderId="8" xfId="0" applyFill="1" applyBorder="1" applyAlignment="1">
      <alignment horizontal="center" wrapText="1"/>
    </xf>
    <xf numFmtId="0" fontId="0" fillId="2" borderId="0" xfId="0" applyFill="1" applyAlignment="1">
      <alignment horizontal="center" wrapText="1"/>
    </xf>
    <xf numFmtId="0" fontId="23" fillId="3" borderId="0" xfId="0" applyFont="1" applyFill="1" applyBorder="1"/>
    <xf numFmtId="0" fontId="21" fillId="3" borderId="0" xfId="0" applyFont="1" applyFill="1" applyBorder="1"/>
    <xf numFmtId="44" fontId="25" fillId="3" borderId="23" xfId="2" applyFont="1" applyFill="1" applyBorder="1" applyAlignment="1">
      <alignment horizontal="right"/>
    </xf>
    <xf numFmtId="44" fontId="25" fillId="3" borderId="24" xfId="2" applyFont="1" applyFill="1" applyBorder="1" applyAlignment="1">
      <alignment horizontal="right"/>
    </xf>
    <xf numFmtId="44" fontId="25" fillId="3" borderId="0" xfId="2" applyFont="1" applyFill="1" applyBorder="1" applyAlignment="1">
      <alignment horizontal="right"/>
    </xf>
    <xf numFmtId="0" fontId="23" fillId="3" borderId="16" xfId="0" applyFont="1" applyFill="1" applyBorder="1"/>
    <xf numFmtId="0" fontId="21" fillId="3" borderId="16" xfId="0" applyFont="1" applyFill="1" applyBorder="1"/>
    <xf numFmtId="43" fontId="25" fillId="3" borderId="25" xfId="1" applyFont="1" applyFill="1" applyBorder="1" applyAlignment="1">
      <alignment horizontal="right"/>
    </xf>
    <xf numFmtId="43" fontId="25" fillId="3" borderId="23" xfId="1" applyFont="1" applyFill="1" applyBorder="1" applyAlignment="1">
      <alignment horizontal="right"/>
    </xf>
    <xf numFmtId="43" fontId="25" fillId="3" borderId="24" xfId="1" applyFont="1" applyFill="1" applyBorder="1" applyAlignment="1">
      <alignment horizontal="right"/>
    </xf>
    <xf numFmtId="43" fontId="25" fillId="3" borderId="0" xfId="1" applyFont="1" applyFill="1" applyBorder="1" applyAlignment="1">
      <alignment horizontal="right"/>
    </xf>
    <xf numFmtId="0" fontId="21" fillId="3" borderId="26" xfId="0" applyFont="1" applyFill="1" applyBorder="1"/>
    <xf numFmtId="164" fontId="25" fillId="3" borderId="19" xfId="3" applyNumberFormat="1" applyFont="1" applyFill="1" applyBorder="1" applyAlignment="1">
      <alignment horizontal="right"/>
    </xf>
    <xf numFmtId="164" fontId="25" fillId="3" borderId="20" xfId="3" applyNumberFormat="1" applyFont="1" applyFill="1" applyBorder="1" applyAlignment="1">
      <alignment horizontal="right"/>
    </xf>
    <xf numFmtId="164" fontId="25" fillId="3" borderId="26" xfId="3" applyNumberFormat="1" applyFont="1" applyFill="1" applyBorder="1" applyAlignment="1">
      <alignment horizontal="right"/>
    </xf>
    <xf numFmtId="164" fontId="25" fillId="3" borderId="23" xfId="3" applyNumberFormat="1" applyFont="1" applyFill="1" applyBorder="1" applyAlignment="1">
      <alignment horizontal="right"/>
    </xf>
    <xf numFmtId="164" fontId="25" fillId="3" borderId="24" xfId="3" applyNumberFormat="1" applyFont="1" applyFill="1" applyBorder="1" applyAlignment="1">
      <alignment horizontal="right"/>
    </xf>
    <xf numFmtId="164" fontId="25" fillId="3" borderId="0" xfId="3" applyNumberFormat="1" applyFont="1" applyFill="1" applyBorder="1" applyAlignment="1">
      <alignment horizontal="right"/>
    </xf>
    <xf numFmtId="0" fontId="21" fillId="5" borderId="26" xfId="0" applyFont="1" applyFill="1" applyBorder="1"/>
    <xf numFmtId="169" fontId="25" fillId="5" borderId="19" xfId="2" applyNumberFormat="1" applyFont="1" applyFill="1" applyBorder="1" applyAlignment="1">
      <alignment horizontal="right"/>
    </xf>
    <xf numFmtId="0" fontId="21" fillId="5" borderId="0" xfId="0" applyFont="1" applyFill="1" applyBorder="1"/>
    <xf numFmtId="169" fontId="25" fillId="5" borderId="23" xfId="2" applyNumberFormat="1" applyFont="1" applyFill="1" applyBorder="1" applyAlignment="1">
      <alignment horizontal="right"/>
    </xf>
    <xf numFmtId="0" fontId="21" fillId="5" borderId="16" xfId="0" applyFont="1" applyFill="1" applyBorder="1"/>
    <xf numFmtId="169" fontId="25" fillId="5" borderId="25" xfId="2" applyNumberFormat="1" applyFont="1" applyFill="1" applyBorder="1" applyAlignment="1">
      <alignment horizontal="right"/>
    </xf>
    <xf numFmtId="164" fontId="25" fillId="3" borderId="25" xfId="3" applyNumberFormat="1" applyFont="1" applyFill="1" applyBorder="1" applyAlignment="1">
      <alignment horizontal="right"/>
    </xf>
    <xf numFmtId="44" fontId="25" fillId="3" borderId="19" xfId="2" applyFont="1" applyFill="1" applyBorder="1" applyAlignment="1">
      <alignment horizontal="right"/>
    </xf>
    <xf numFmtId="0" fontId="17" fillId="3" borderId="13" xfId="0" applyFont="1" applyFill="1" applyBorder="1"/>
    <xf numFmtId="0" fontId="6" fillId="2" borderId="0" xfId="0" applyFont="1" applyFill="1"/>
    <xf numFmtId="0" fontId="6" fillId="3" borderId="27" xfId="0" applyFont="1" applyFill="1" applyBorder="1"/>
    <xf numFmtId="0" fontId="0" fillId="3" borderId="5" xfId="0" applyFill="1" applyBorder="1"/>
    <xf numFmtId="0" fontId="4" fillId="3" borderId="19" xfId="0" applyFont="1" applyFill="1" applyBorder="1"/>
    <xf numFmtId="0" fontId="0" fillId="3" borderId="26" xfId="0" applyFill="1" applyBorder="1" applyAlignment="1">
      <alignment horizontal="right"/>
    </xf>
    <xf numFmtId="2" fontId="4" fillId="3" borderId="26" xfId="0" applyNumberFormat="1" applyFont="1" applyFill="1" applyBorder="1" applyProtection="1">
      <protection locked="0"/>
    </xf>
    <xf numFmtId="0" fontId="0" fillId="3" borderId="26" xfId="0" applyFill="1" applyBorder="1"/>
    <xf numFmtId="3" fontId="10" fillId="5" borderId="19" xfId="0" applyNumberFormat="1" applyFont="1" applyFill="1" applyBorder="1"/>
    <xf numFmtId="0" fontId="0" fillId="5" borderId="28" xfId="0" applyFill="1" applyBorder="1"/>
    <xf numFmtId="0" fontId="0" fillId="5" borderId="4" xfId="0" applyFill="1" applyBorder="1"/>
    <xf numFmtId="0" fontId="0" fillId="5" borderId="5" xfId="0" applyFill="1" applyBorder="1"/>
    <xf numFmtId="0" fontId="0" fillId="5" borderId="6" xfId="0" applyFill="1" applyBorder="1"/>
    <xf numFmtId="0" fontId="4" fillId="3" borderId="23" xfId="0" applyFont="1" applyFill="1" applyBorder="1"/>
    <xf numFmtId="0" fontId="0" fillId="3" borderId="0" xfId="0" applyFill="1" applyBorder="1"/>
    <xf numFmtId="0" fontId="4" fillId="3" borderId="0" xfId="0" applyFont="1" applyFill="1" applyBorder="1" applyProtection="1">
      <protection locked="0"/>
    </xf>
    <xf numFmtId="0" fontId="10" fillId="5" borderId="23" xfId="0" applyFont="1" applyFill="1" applyBorder="1"/>
    <xf numFmtId="0" fontId="0" fillId="5" borderId="29" xfId="0" applyFill="1" applyBorder="1"/>
    <xf numFmtId="0" fontId="0" fillId="5" borderId="7" xfId="0" applyFill="1" applyBorder="1" applyAlignment="1">
      <alignment horizontal="center"/>
    </xf>
    <xf numFmtId="0" fontId="0" fillId="5" borderId="16" xfId="0" applyFill="1" applyBorder="1" applyAlignment="1">
      <alignment horizontal="right"/>
    </xf>
    <xf numFmtId="167" fontId="10" fillId="5" borderId="16" xfId="0" applyNumberFormat="1" applyFont="1" applyFill="1" applyBorder="1"/>
    <xf numFmtId="0" fontId="0" fillId="5" borderId="16" xfId="0" applyFill="1" applyBorder="1"/>
    <xf numFmtId="0" fontId="0" fillId="5" borderId="8" xfId="0" applyFill="1" applyBorder="1"/>
    <xf numFmtId="164" fontId="4" fillId="0" borderId="0" xfId="3" applyNumberFormat="1" applyFont="1" applyFill="1" applyBorder="1" applyProtection="1">
      <protection locked="0"/>
    </xf>
    <xf numFmtId="164" fontId="4" fillId="3" borderId="0" xfId="3" applyNumberFormat="1" applyFont="1" applyFill="1" applyBorder="1" applyProtection="1">
      <protection locked="0"/>
    </xf>
    <xf numFmtId="3" fontId="10" fillId="5" borderId="23" xfId="0" applyNumberFormat="1" applyFont="1" applyFill="1" applyBorder="1"/>
    <xf numFmtId="0" fontId="0" fillId="5" borderId="0" xfId="0" applyFill="1" applyBorder="1" applyAlignment="1">
      <alignment horizontal="right"/>
    </xf>
    <xf numFmtId="168" fontId="10" fillId="5" borderId="0" xfId="0" applyNumberFormat="1" applyFont="1" applyFill="1" applyBorder="1"/>
    <xf numFmtId="0" fontId="0" fillId="5" borderId="0" xfId="0" applyFill="1" applyBorder="1"/>
    <xf numFmtId="0" fontId="0" fillId="5" borderId="7" xfId="0" applyFill="1" applyBorder="1"/>
    <xf numFmtId="0" fontId="4" fillId="0" borderId="0" xfId="0" applyFont="1" applyFill="1" applyBorder="1" applyProtection="1">
      <protection locked="0"/>
    </xf>
    <xf numFmtId="170" fontId="26" fillId="5" borderId="23" xfId="0" applyNumberFormat="1" applyFont="1" applyFill="1" applyBorder="1"/>
    <xf numFmtId="0" fontId="27" fillId="5" borderId="29" xfId="0" applyFont="1" applyFill="1" applyBorder="1"/>
    <xf numFmtId="0" fontId="0" fillId="2" borderId="0" xfId="0" applyFill="1" applyBorder="1" applyAlignment="1">
      <alignment horizontal="center"/>
    </xf>
    <xf numFmtId="0" fontId="4" fillId="3" borderId="0" xfId="0" applyFont="1" applyFill="1" applyBorder="1"/>
    <xf numFmtId="3" fontId="4" fillId="0" borderId="0" xfId="0" applyNumberFormat="1" applyFont="1" applyFill="1" applyBorder="1" applyProtection="1">
      <protection locked="0"/>
    </xf>
    <xf numFmtId="3" fontId="4" fillId="3" borderId="0" xfId="0" applyNumberFormat="1" applyFont="1" applyFill="1" applyBorder="1" applyProtection="1">
      <protection locked="0"/>
    </xf>
    <xf numFmtId="0" fontId="4" fillId="5" borderId="29" xfId="0" applyFont="1" applyFill="1" applyBorder="1"/>
    <xf numFmtId="0" fontId="0" fillId="5" borderId="13" xfId="0" applyFill="1" applyBorder="1"/>
    <xf numFmtId="0" fontId="0" fillId="5" borderId="14" xfId="0" applyFill="1" applyBorder="1"/>
    <xf numFmtId="168" fontId="0" fillId="5" borderId="14" xfId="0" applyNumberFormat="1" applyFill="1" applyBorder="1"/>
    <xf numFmtId="0" fontId="0" fillId="5" borderId="15" xfId="0" applyFill="1" applyBorder="1"/>
    <xf numFmtId="2" fontId="0" fillId="2" borderId="0" xfId="0" applyNumberFormat="1" applyFill="1"/>
    <xf numFmtId="168" fontId="0" fillId="2" borderId="0" xfId="0" applyNumberFormat="1" applyFill="1"/>
    <xf numFmtId="0" fontId="0" fillId="2" borderId="0" xfId="0" applyFill="1" applyBorder="1"/>
    <xf numFmtId="0" fontId="28" fillId="3" borderId="0" xfId="0" applyFont="1" applyFill="1" applyBorder="1"/>
    <xf numFmtId="0" fontId="0" fillId="3" borderId="23" xfId="0" applyFill="1" applyBorder="1"/>
    <xf numFmtId="168" fontId="0" fillId="5" borderId="5" xfId="0" applyNumberFormat="1" applyFill="1" applyBorder="1"/>
    <xf numFmtId="0" fontId="28" fillId="5" borderId="29" xfId="0" applyFont="1" applyFill="1" applyBorder="1"/>
    <xf numFmtId="171" fontId="26" fillId="5" borderId="23" xfId="0" applyNumberFormat="1" applyFont="1" applyFill="1" applyBorder="1"/>
    <xf numFmtId="0" fontId="4" fillId="3" borderId="25" xfId="0" applyFont="1" applyFill="1" applyBorder="1"/>
    <xf numFmtId="0" fontId="0" fillId="3" borderId="16" xfId="0" applyFill="1" applyBorder="1" applyAlignment="1">
      <alignment horizontal="right"/>
    </xf>
    <xf numFmtId="0" fontId="4" fillId="0" borderId="16" xfId="0" applyFont="1" applyFill="1" applyBorder="1" applyProtection="1">
      <protection locked="0"/>
    </xf>
    <xf numFmtId="0" fontId="4" fillId="3" borderId="16" xfId="0" applyFont="1" applyFill="1" applyBorder="1" applyProtection="1">
      <protection locked="0"/>
    </xf>
    <xf numFmtId="0" fontId="0" fillId="3" borderId="16" xfId="0" applyFill="1" applyBorder="1"/>
    <xf numFmtId="170" fontId="10" fillId="5" borderId="25" xfId="0" applyNumberFormat="1" applyFont="1" applyFill="1" applyBorder="1"/>
    <xf numFmtId="0" fontId="28" fillId="5" borderId="30" xfId="0" applyFont="1" applyFill="1" applyBorder="1"/>
    <xf numFmtId="0" fontId="4" fillId="3" borderId="8" xfId="0" applyFont="1" applyFill="1" applyBorder="1"/>
    <xf numFmtId="0" fontId="0" fillId="3" borderId="7" xfId="0" applyFill="1" applyBorder="1" applyAlignment="1">
      <alignment vertical="center" textRotation="90" wrapText="1"/>
    </xf>
    <xf numFmtId="0" fontId="29" fillId="3" borderId="25" xfId="0" applyFont="1" applyFill="1" applyBorder="1"/>
    <xf numFmtId="0" fontId="0" fillId="3" borderId="30" xfId="0" applyFill="1" applyBorder="1"/>
    <xf numFmtId="164" fontId="4" fillId="0" borderId="31" xfId="3" applyNumberFormat="1" applyFont="1" applyFill="1" applyBorder="1" applyProtection="1">
      <protection locked="0"/>
    </xf>
    <xf numFmtId="164" fontId="4" fillId="3" borderId="26" xfId="3" applyNumberFormat="1" applyFont="1" applyFill="1" applyBorder="1" applyProtection="1">
      <protection locked="0"/>
    </xf>
    <xf numFmtId="0" fontId="29" fillId="5" borderId="19" xfId="0" applyFont="1" applyFill="1" applyBorder="1"/>
    <xf numFmtId="0" fontId="29" fillId="5" borderId="23" xfId="0" applyFont="1" applyFill="1" applyBorder="1"/>
    <xf numFmtId="164" fontId="4" fillId="0" borderId="16" xfId="3" applyNumberFormat="1" applyFont="1" applyFill="1" applyBorder="1" applyProtection="1">
      <protection locked="0"/>
    </xf>
    <xf numFmtId="164" fontId="4" fillId="3" borderId="16" xfId="3" applyNumberFormat="1" applyFont="1" applyFill="1" applyBorder="1" applyProtection="1">
      <protection locked="0"/>
    </xf>
    <xf numFmtId="0" fontId="29" fillId="5" borderId="25" xfId="0" applyFont="1" applyFill="1" applyBorder="1"/>
    <xf numFmtId="0" fontId="0" fillId="5" borderId="30" xfId="0" applyFill="1" applyBorder="1"/>
    <xf numFmtId="0" fontId="0" fillId="3" borderId="7" xfId="0" applyFill="1" applyBorder="1" applyAlignment="1"/>
    <xf numFmtId="0" fontId="29" fillId="3" borderId="19" xfId="0" applyFont="1" applyFill="1" applyBorder="1"/>
    <xf numFmtId="0" fontId="0" fillId="3" borderId="28" xfId="0" applyFill="1" applyBorder="1"/>
    <xf numFmtId="0" fontId="4" fillId="0" borderId="31" xfId="0" applyFont="1" applyFill="1" applyBorder="1" applyProtection="1">
      <protection locked="0"/>
    </xf>
    <xf numFmtId="0" fontId="4" fillId="3" borderId="26" xfId="0" applyFont="1" applyFill="1" applyBorder="1" applyProtection="1">
      <protection locked="0"/>
    </xf>
    <xf numFmtId="0" fontId="0" fillId="3" borderId="0" xfId="0" applyFill="1"/>
    <xf numFmtId="0" fontId="0" fillId="3" borderId="0" xfId="0" applyFill="1" applyBorder="1" applyAlignment="1">
      <alignment horizontal="right"/>
    </xf>
    <xf numFmtId="2" fontId="4" fillId="0" borderId="16" xfId="0" applyNumberFormat="1" applyFont="1" applyFill="1" applyBorder="1" applyProtection="1">
      <protection locked="0"/>
    </xf>
    <xf numFmtId="2" fontId="4" fillId="3" borderId="0" xfId="0" applyNumberFormat="1" applyFont="1" applyFill="1" applyBorder="1" applyProtection="1">
      <protection locked="0"/>
    </xf>
    <xf numFmtId="171" fontId="10" fillId="5" borderId="23" xfId="0" applyNumberFormat="1" applyFont="1" applyFill="1" applyBorder="1"/>
    <xf numFmtId="170" fontId="26" fillId="5" borderId="25" xfId="0" applyNumberFormat="1" applyFont="1" applyFill="1" applyBorder="1"/>
    <xf numFmtId="0" fontId="27" fillId="5" borderId="30" xfId="0" applyFont="1" applyFill="1" applyBorder="1"/>
    <xf numFmtId="0" fontId="29" fillId="3" borderId="23" xfId="0" applyFont="1" applyFill="1" applyBorder="1"/>
    <xf numFmtId="0" fontId="0" fillId="3" borderId="29" xfId="0" applyFill="1" applyBorder="1"/>
    <xf numFmtId="2" fontId="29" fillId="5" borderId="25" xfId="0" applyNumberFormat="1" applyFont="1" applyFill="1" applyBorder="1"/>
    <xf numFmtId="0" fontId="0" fillId="3" borderId="13" xfId="0" applyFill="1" applyBorder="1" applyAlignment="1"/>
    <xf numFmtId="0" fontId="4" fillId="3" borderId="14" xfId="0" applyFont="1" applyFill="1" applyBorder="1"/>
    <xf numFmtId="0" fontId="4" fillId="3" borderId="14" xfId="0" applyFont="1" applyFill="1" applyBorder="1" applyProtection="1">
      <protection locked="0"/>
    </xf>
    <xf numFmtId="0" fontId="12" fillId="5" borderId="0" xfId="0" applyFont="1" applyFill="1" applyBorder="1" applyAlignment="1">
      <alignment horizontal="right" wrapText="1"/>
    </xf>
    <xf numFmtId="0" fontId="12" fillId="5" borderId="0" xfId="0" quotePrefix="1" applyFont="1" applyFill="1" applyBorder="1" applyAlignment="1">
      <alignment horizontal="center" vertical="center" wrapText="1"/>
    </xf>
    <xf numFmtId="0" fontId="12" fillId="5" borderId="0" xfId="0" applyFont="1" applyFill="1" applyBorder="1" applyAlignment="1">
      <alignment horizontal="center" wrapText="1"/>
    </xf>
    <xf numFmtId="0" fontId="12" fillId="5" borderId="0" xfId="0" applyFont="1" applyFill="1" applyBorder="1" applyAlignment="1">
      <alignment horizontal="right"/>
    </xf>
    <xf numFmtId="171" fontId="30" fillId="5" borderId="0" xfId="0" applyNumberFormat="1" applyFont="1" applyFill="1" applyBorder="1"/>
    <xf numFmtId="171" fontId="30" fillId="5" borderId="0" xfId="0" quotePrefix="1" applyNumberFormat="1" applyFont="1" applyFill="1" applyBorder="1" applyAlignment="1">
      <alignment horizontal="center"/>
    </xf>
    <xf numFmtId="171" fontId="30" fillId="5" borderId="0" xfId="1" applyNumberFormat="1" applyFont="1" applyFill="1" applyBorder="1" applyAlignment="1">
      <alignment horizontal="center"/>
    </xf>
    <xf numFmtId="43" fontId="30" fillId="5" borderId="0" xfId="1" quotePrefix="1" applyFont="1" applyFill="1" applyBorder="1" applyAlignment="1">
      <alignment horizontal="center"/>
    </xf>
    <xf numFmtId="171" fontId="30" fillId="5" borderId="0" xfId="0" applyNumberFormat="1" applyFont="1" applyFill="1" applyBorder="1" applyAlignment="1">
      <alignment horizontal="center"/>
    </xf>
    <xf numFmtId="0" fontId="0" fillId="5" borderId="0" xfId="0" applyFill="1" applyBorder="1" applyAlignment="1">
      <alignment horizontal="center"/>
    </xf>
    <xf numFmtId="170" fontId="30" fillId="5" borderId="0" xfId="0" applyNumberFormat="1" applyFont="1" applyFill="1" applyBorder="1"/>
    <xf numFmtId="170" fontId="30" fillId="5" borderId="0" xfId="1" applyNumberFormat="1" applyFont="1" applyFill="1" applyBorder="1" applyAlignment="1">
      <alignment horizontal="center"/>
    </xf>
    <xf numFmtId="170" fontId="30" fillId="5" borderId="0" xfId="1" quotePrefix="1" applyNumberFormat="1" applyFont="1" applyFill="1" applyBorder="1" applyAlignment="1">
      <alignment horizontal="center"/>
    </xf>
    <xf numFmtId="170" fontId="30" fillId="5" borderId="0" xfId="0" applyNumberFormat="1" applyFont="1" applyFill="1" applyBorder="1" applyAlignment="1">
      <alignment horizontal="center"/>
    </xf>
    <xf numFmtId="170" fontId="30" fillId="5" borderId="0" xfId="0" quotePrefix="1" applyNumberFormat="1" applyFont="1" applyFill="1" applyBorder="1" applyAlignment="1">
      <alignment horizontal="center"/>
    </xf>
    <xf numFmtId="0" fontId="0" fillId="3" borderId="4" xfId="0" applyFill="1" applyBorder="1"/>
    <xf numFmtId="168" fontId="10" fillId="5" borderId="16" xfId="0" applyNumberFormat="1" applyFont="1" applyFill="1" applyBorder="1"/>
    <xf numFmtId="0" fontId="0" fillId="3" borderId="7" xfId="0" applyFill="1" applyBorder="1"/>
    <xf numFmtId="0" fontId="0" fillId="3" borderId="8" xfId="0" applyFill="1" applyBorder="1" applyAlignment="1">
      <alignment horizontal="center"/>
    </xf>
    <xf numFmtId="2" fontId="10" fillId="0" borderId="16" xfId="0" applyNumberFormat="1" applyFont="1" applyFill="1" applyBorder="1" applyProtection="1">
      <protection locked="0"/>
    </xf>
    <xf numFmtId="0" fontId="10" fillId="3" borderId="0" xfId="0" applyFont="1" applyFill="1" applyBorder="1" applyProtection="1">
      <protection locked="0"/>
    </xf>
    <xf numFmtId="0" fontId="10" fillId="0" borderId="16" xfId="0" applyFont="1" applyFill="1" applyBorder="1" applyProtection="1">
      <protection locked="0"/>
    </xf>
    <xf numFmtId="164" fontId="10" fillId="0" borderId="16" xfId="3" applyNumberFormat="1" applyFont="1" applyFill="1" applyBorder="1" applyProtection="1">
      <protection locked="0"/>
    </xf>
    <xf numFmtId="0" fontId="31" fillId="3" borderId="7" xfId="0" applyFont="1" applyFill="1" applyBorder="1"/>
    <xf numFmtId="0" fontId="31" fillId="3" borderId="7" xfId="0" applyFont="1" applyFill="1" applyBorder="1" applyAlignment="1">
      <alignment horizontal="right"/>
    </xf>
    <xf numFmtId="0" fontId="0" fillId="3" borderId="7" xfId="0" applyFill="1" applyBorder="1" applyAlignment="1">
      <alignment horizontal="right"/>
    </xf>
    <xf numFmtId="0" fontId="0" fillId="3" borderId="32" xfId="0" applyFill="1" applyBorder="1"/>
    <xf numFmtId="0" fontId="0" fillId="3" borderId="11" xfId="0" applyFill="1" applyBorder="1"/>
    <xf numFmtId="0" fontId="0" fillId="3" borderId="33" xfId="0" applyFill="1" applyBorder="1"/>
    <xf numFmtId="0" fontId="0" fillId="3" borderId="34" xfId="0" applyFill="1" applyBorder="1"/>
    <xf numFmtId="0" fontId="0" fillId="3" borderId="35" xfId="0" applyFill="1" applyBorder="1"/>
    <xf numFmtId="0" fontId="32" fillId="3" borderId="0" xfId="0" applyFont="1" applyFill="1" applyBorder="1" applyAlignment="1">
      <alignment horizontal="center"/>
    </xf>
    <xf numFmtId="0" fontId="33" fillId="3" borderId="0" xfId="0" applyFont="1" applyFill="1" applyBorder="1" applyAlignment="1">
      <alignment horizontal="center"/>
    </xf>
    <xf numFmtId="0" fontId="34" fillId="3" borderId="0" xfId="0" applyFont="1" applyFill="1" applyBorder="1" applyAlignment="1">
      <alignment horizontal="center"/>
    </xf>
    <xf numFmtId="0" fontId="19" fillId="3" borderId="0" xfId="0" applyFont="1" applyFill="1" applyBorder="1" applyAlignment="1">
      <alignment horizontal="center"/>
    </xf>
    <xf numFmtId="0" fontId="0" fillId="3" borderId="36" xfId="0" applyFill="1" applyBorder="1"/>
    <xf numFmtId="0" fontId="0" fillId="3" borderId="10" xfId="0" applyFill="1" applyBorder="1"/>
    <xf numFmtId="0" fontId="0" fillId="3" borderId="37" xfId="0" applyFill="1" applyBorder="1"/>
    <xf numFmtId="0" fontId="0" fillId="0" borderId="0" xfId="0" applyAlignment="1">
      <alignment horizontal="center"/>
    </xf>
    <xf numFmtId="0" fontId="0" fillId="0" borderId="0" xfId="0" applyAlignment="1">
      <alignment wrapText="1"/>
    </xf>
    <xf numFmtId="0" fontId="0" fillId="0" borderId="16" xfId="0" applyBorder="1" applyAlignment="1">
      <alignment wrapText="1"/>
    </xf>
    <xf numFmtId="0" fontId="0" fillId="0" borderId="16" xfId="0" applyBorder="1" applyAlignment="1">
      <alignment horizontal="center" wrapText="1"/>
    </xf>
    <xf numFmtId="1" fontId="0" fillId="0" borderId="0" xfId="0" applyNumberFormat="1"/>
    <xf numFmtId="2" fontId="0" fillId="0" borderId="0" xfId="0" applyNumberFormat="1"/>
    <xf numFmtId="164" fontId="1" fillId="0" borderId="0" xfId="3" applyNumberFormat="1"/>
    <xf numFmtId="165" fontId="1" fillId="0" borderId="0" xfId="2" applyNumberFormat="1"/>
    <xf numFmtId="164" fontId="1" fillId="0" borderId="0" xfId="3" applyNumberFormat="1" applyFont="1"/>
    <xf numFmtId="10" fontId="0" fillId="0" borderId="0" xfId="0" applyNumberFormat="1"/>
    <xf numFmtId="1" fontId="4" fillId="6" borderId="26" xfId="0" applyNumberFormat="1" applyFont="1" applyFill="1" applyBorder="1" applyProtection="1">
      <protection locked="0"/>
    </xf>
    <xf numFmtId="166" fontId="4" fillId="0" borderId="0" xfId="1" applyNumberFormat="1" applyFont="1" applyFill="1" applyBorder="1" applyProtection="1">
      <protection locked="0"/>
    </xf>
    <xf numFmtId="166" fontId="10" fillId="5" borderId="23" xfId="1" applyNumberFormat="1" applyFont="1" applyFill="1" applyBorder="1"/>
    <xf numFmtId="0" fontId="4" fillId="5" borderId="7" xfId="0" applyFont="1" applyFill="1" applyBorder="1" applyAlignment="1">
      <alignment horizontal="center"/>
    </xf>
    <xf numFmtId="0" fontId="4" fillId="5" borderId="0" xfId="0" applyFont="1" applyFill="1" applyBorder="1" applyAlignment="1">
      <alignment horizontal="left"/>
    </xf>
    <xf numFmtId="2" fontId="10" fillId="0" borderId="20" xfId="0" applyNumberFormat="1" applyFont="1" applyFill="1" applyBorder="1" applyAlignment="1" applyProtection="1">
      <alignment horizontal="center"/>
      <protection locked="0"/>
    </xf>
    <xf numFmtId="0" fontId="10" fillId="0" borderId="24" xfId="0" applyFont="1" applyFill="1" applyBorder="1" applyAlignment="1" applyProtection="1">
      <alignment horizontal="center"/>
      <protection locked="0"/>
    </xf>
    <xf numFmtId="0" fontId="10" fillId="0" borderId="38" xfId="0" applyFont="1" applyFill="1" applyBorder="1" applyAlignment="1" applyProtection="1">
      <alignment horizontal="center"/>
      <protection locked="0"/>
    </xf>
    <xf numFmtId="0" fontId="17" fillId="2" borderId="0" xfId="0" applyFont="1" applyFill="1"/>
    <xf numFmtId="2" fontId="35" fillId="7" borderId="20" xfId="0" applyNumberFormat="1" applyFont="1" applyFill="1" applyBorder="1" applyAlignment="1" applyProtection="1">
      <alignment horizontal="center"/>
      <protection locked="0"/>
    </xf>
    <xf numFmtId="0" fontId="35" fillId="7" borderId="24" xfId="0" applyFont="1" applyFill="1" applyBorder="1" applyAlignment="1" applyProtection="1">
      <alignment horizontal="center"/>
      <protection locked="0"/>
    </xf>
    <xf numFmtId="0" fontId="35" fillId="7" borderId="38" xfId="0" applyFont="1" applyFill="1" applyBorder="1" applyAlignment="1" applyProtection="1">
      <alignment horizontal="center"/>
      <protection locked="0"/>
    </xf>
    <xf numFmtId="0" fontId="10" fillId="0" borderId="16" xfId="0" applyFont="1" applyFill="1" applyBorder="1" applyAlignment="1" applyProtection="1">
      <alignment horizontal="center"/>
      <protection locked="0"/>
    </xf>
    <xf numFmtId="0" fontId="0" fillId="3" borderId="7" xfId="0" applyFill="1" applyBorder="1" applyAlignment="1">
      <alignment horizontal="center" vertical="center" textRotation="90" wrapText="1"/>
    </xf>
    <xf numFmtId="0" fontId="0" fillId="3" borderId="39" xfId="0" applyFill="1" applyBorder="1" applyAlignment="1">
      <alignment horizontal="center" vertical="center" textRotation="90" wrapText="1"/>
    </xf>
    <xf numFmtId="0" fontId="4" fillId="3" borderId="5" xfId="0" applyFont="1" applyFill="1" applyBorder="1" applyAlignment="1">
      <alignment horizontal="center"/>
    </xf>
    <xf numFmtId="0" fontId="0" fillId="3" borderId="40" xfId="0" applyFill="1" applyBorder="1" applyAlignment="1">
      <alignment horizontal="center" vertical="center" textRotation="90" wrapText="1"/>
    </xf>
    <xf numFmtId="0" fontId="0" fillId="3" borderId="41" xfId="0" applyFill="1" applyBorder="1" applyAlignment="1">
      <alignment horizontal="center" vertical="center" textRotation="90" wrapText="1"/>
    </xf>
    <xf numFmtId="0" fontId="0" fillId="3" borderId="42" xfId="0" applyFill="1" applyBorder="1" applyAlignment="1">
      <alignment horizontal="center" vertical="center" textRotation="90" wrapText="1"/>
    </xf>
    <xf numFmtId="0" fontId="0" fillId="0" borderId="0" xfId="0" applyAlignment="1">
      <alignment horizontal="center"/>
    </xf>
    <xf numFmtId="0" fontId="19" fillId="3" borderId="31" xfId="0" applyFont="1" applyFill="1" applyBorder="1" applyAlignment="1">
      <alignment horizontal="center" wrapText="1"/>
    </xf>
    <xf numFmtId="0" fontId="21" fillId="3" borderId="26" xfId="0" applyFont="1" applyFill="1" applyBorder="1" applyAlignment="1">
      <alignment horizontal="center" vertical="center" textRotation="90" wrapText="1"/>
    </xf>
    <xf numFmtId="0" fontId="21" fillId="3" borderId="0" xfId="0" applyFont="1" applyFill="1" applyBorder="1" applyAlignment="1">
      <alignment horizontal="center" vertical="center" textRotation="90" wrapText="1"/>
    </xf>
    <xf numFmtId="0" fontId="21" fillId="3" borderId="16" xfId="0" applyFont="1" applyFill="1" applyBorder="1" applyAlignment="1">
      <alignment horizontal="center" vertical="center" textRotation="90" wrapText="1"/>
    </xf>
    <xf numFmtId="0" fontId="20" fillId="3" borderId="0" xfId="0" applyFont="1" applyFill="1" applyBorder="1"/>
    <xf numFmtId="0" fontId="20" fillId="3" borderId="16" xfId="0" applyFont="1" applyFill="1" applyBorder="1"/>
    <xf numFmtId="0" fontId="21" fillId="5" borderId="26" xfId="0" applyFont="1" applyFill="1" applyBorder="1" applyAlignment="1">
      <alignment horizontal="center" vertical="center" textRotation="90" wrapText="1"/>
    </xf>
    <xf numFmtId="0" fontId="21" fillId="5" borderId="0" xfId="0" applyFont="1" applyFill="1" applyBorder="1" applyAlignment="1">
      <alignment horizontal="center" vertical="center" textRotation="90" wrapText="1"/>
    </xf>
    <xf numFmtId="0" fontId="21" fillId="5" borderId="16" xfId="0" applyFont="1" applyFill="1" applyBorder="1" applyAlignment="1">
      <alignment horizontal="center" vertical="center" textRotation="90" wrapText="1"/>
    </xf>
    <xf numFmtId="0" fontId="12" fillId="5" borderId="7" xfId="0" applyFont="1" applyFill="1" applyBorder="1" applyAlignment="1">
      <alignment horizontal="center" vertical="center" textRotation="90"/>
    </xf>
    <xf numFmtId="0" fontId="12" fillId="5" borderId="13" xfId="0" applyFont="1" applyFill="1" applyBorder="1" applyAlignment="1">
      <alignment horizontal="center" vertical="center" textRotation="90"/>
    </xf>
    <xf numFmtId="0" fontId="12" fillId="5" borderId="39" xfId="0" applyFont="1" applyFill="1" applyBorder="1" applyAlignment="1">
      <alignment horizontal="center" vertical="center" textRotation="90"/>
    </xf>
    <xf numFmtId="0" fontId="12" fillId="5" borderId="43" xfId="0" applyFont="1" applyFill="1" applyBorder="1" applyAlignment="1">
      <alignment horizontal="center" vertical="center" textRotation="90"/>
    </xf>
    <xf numFmtId="0" fontId="12" fillId="5" borderId="44" xfId="0" applyFont="1" applyFill="1" applyBorder="1" applyAlignment="1">
      <alignment horizontal="center" vertical="center" textRotation="90"/>
    </xf>
    <xf numFmtId="43" fontId="11" fillId="5" borderId="8" xfId="1" applyFont="1" applyFill="1" applyBorder="1" applyAlignment="1">
      <alignment horizontal="center" wrapText="1"/>
    </xf>
    <xf numFmtId="43" fontId="11" fillId="5" borderId="45" xfId="1" applyFont="1" applyFill="1" applyBorder="1" applyAlignment="1">
      <alignment horizontal="center" wrapText="1"/>
    </xf>
    <xf numFmtId="43" fontId="10" fillId="5" borderId="0" xfId="1" applyFont="1" applyFill="1" applyBorder="1" applyAlignment="1">
      <alignment horizontal="center" wrapText="1"/>
    </xf>
    <xf numFmtId="43" fontId="10" fillId="5" borderId="10" xfId="1" applyFont="1" applyFill="1" applyBorder="1" applyAlignment="1">
      <alignment horizontal="center" wrapText="1"/>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95250</xdr:colOff>
      <xdr:row>3</xdr:row>
      <xdr:rowOff>142875</xdr:rowOff>
    </xdr:from>
    <xdr:to>
      <xdr:col>2</xdr:col>
      <xdr:colOff>6124575</xdr:colOff>
      <xdr:row>11</xdr:row>
      <xdr:rowOff>9525</xdr:rowOff>
    </xdr:to>
    <xdr:pic>
      <xdr:nvPicPr>
        <xdr:cNvPr id="4097" name="Picture 1" descr="Extlogo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4450" y="647700"/>
          <a:ext cx="6029325" cy="1162050"/>
        </a:xfrm>
        <a:prstGeom prst="rect">
          <a:avLst/>
        </a:prstGeom>
        <a:noFill/>
        <a:ln w="76200" cmpd="tri">
          <a:solidFill>
            <a:srgbClr xmlns:mc="http://schemas.openxmlformats.org/markup-compatibility/2006" xmlns:a14="http://schemas.microsoft.com/office/drawing/2010/main" val="FF0000" mc:Ignorable="a14" a14:legacySpreadsheetColorIndex="1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xdr:colOff>
      <xdr:row>2</xdr:row>
      <xdr:rowOff>38100</xdr:rowOff>
    </xdr:from>
    <xdr:to>
      <xdr:col>13</xdr:col>
      <xdr:colOff>600075</xdr:colOff>
      <xdr:row>6</xdr:row>
      <xdr:rowOff>28575</xdr:rowOff>
    </xdr:to>
    <xdr:sp macro="" textlink="">
      <xdr:nvSpPr>
        <xdr:cNvPr id="3073" name="Text Box 1"/>
        <xdr:cNvSpPr txBox="1">
          <a:spLocks noChangeArrowheads="1"/>
        </xdr:cNvSpPr>
      </xdr:nvSpPr>
      <xdr:spPr bwMode="auto">
        <a:xfrm>
          <a:off x="1419225" y="371475"/>
          <a:ext cx="7286625" cy="7048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This decision aid is to help you calculate the cost for providing selected nutrients to your cow herd.  Purchasing a feedstuff is only part of your costs for making it avaiable; you also must pay to transport and feed it.  In addition to the expenses associated with the hauling and feeding,there is an added cost when some of the feed is lost in these operations.  Paying to haul and feed material that is wasted compounds the costs.</a:t>
          </a:r>
          <a:endParaRPr lang="en-US"/>
        </a:p>
      </xdr:txBody>
    </xdr:sp>
    <xdr:clientData/>
  </xdr:twoCellAnchor>
  <xdr:twoCellAnchor>
    <xdr:from>
      <xdr:col>2</xdr:col>
      <xdr:colOff>0</xdr:colOff>
      <xdr:row>7</xdr:row>
      <xdr:rowOff>19050</xdr:rowOff>
    </xdr:from>
    <xdr:to>
      <xdr:col>14</xdr:col>
      <xdr:colOff>9525</xdr:colOff>
      <xdr:row>10</xdr:row>
      <xdr:rowOff>114300</xdr:rowOff>
    </xdr:to>
    <xdr:sp macro="" textlink="">
      <xdr:nvSpPr>
        <xdr:cNvPr id="3074" name="Text Box 2"/>
        <xdr:cNvSpPr txBox="1">
          <a:spLocks noChangeArrowheads="1"/>
        </xdr:cNvSpPr>
      </xdr:nvSpPr>
      <xdr:spPr bwMode="auto">
        <a:xfrm>
          <a:off x="1400175" y="1304925"/>
          <a:ext cx="7324725" cy="6477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The first objective is to compare the effective cost for a specific nutrient from different available feeds.  This cost is calculated by dividing the sum of the costs for purchasing, hauling, storing and feeding a feed by the pounds of nutrient injested by the animal after losses including waste are subtracted.  In this way, the most inexpensive source of a nutrient can be determined after all associated costs and losses have been taken into account.</a:t>
          </a:r>
          <a:endParaRPr lang="en-US"/>
        </a:p>
      </xdr:txBody>
    </xdr:sp>
    <xdr:clientData/>
  </xdr:twoCellAnchor>
  <xdr:twoCellAnchor>
    <xdr:from>
      <xdr:col>2</xdr:col>
      <xdr:colOff>19050</xdr:colOff>
      <xdr:row>12</xdr:row>
      <xdr:rowOff>9525</xdr:rowOff>
    </xdr:from>
    <xdr:to>
      <xdr:col>14</xdr:col>
      <xdr:colOff>9525</xdr:colOff>
      <xdr:row>14</xdr:row>
      <xdr:rowOff>38100</xdr:rowOff>
    </xdr:to>
    <xdr:sp macro="" textlink="">
      <xdr:nvSpPr>
        <xdr:cNvPr id="3075" name="Text Box 3"/>
        <xdr:cNvSpPr txBox="1">
          <a:spLocks noChangeArrowheads="1"/>
        </xdr:cNvSpPr>
      </xdr:nvSpPr>
      <xdr:spPr bwMode="auto">
        <a:xfrm>
          <a:off x="1419225" y="2171700"/>
          <a:ext cx="7305675" cy="4191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The second objective is to determine the total quantity and effective cost of feeds needed for a herd of cattle given the fact that some feed is always lost and there is always some cost involved in making it available to livestock.  </a:t>
          </a:r>
          <a:endParaRPr lang="en-US"/>
        </a:p>
      </xdr:txBody>
    </xdr:sp>
    <xdr:clientData/>
  </xdr:twoCellAnchor>
  <xdr:twoCellAnchor>
    <xdr:from>
      <xdr:col>2</xdr:col>
      <xdr:colOff>9525</xdr:colOff>
      <xdr:row>15</xdr:row>
      <xdr:rowOff>0</xdr:rowOff>
    </xdr:from>
    <xdr:to>
      <xdr:col>14</xdr:col>
      <xdr:colOff>9525</xdr:colOff>
      <xdr:row>18</xdr:row>
      <xdr:rowOff>76200</xdr:rowOff>
    </xdr:to>
    <xdr:sp macro="" textlink="">
      <xdr:nvSpPr>
        <xdr:cNvPr id="3076" name="Text Box 4"/>
        <xdr:cNvSpPr txBox="1">
          <a:spLocks noChangeArrowheads="1"/>
        </xdr:cNvSpPr>
      </xdr:nvSpPr>
      <xdr:spPr bwMode="auto">
        <a:xfrm>
          <a:off x="1409700" y="2828925"/>
          <a:ext cx="7315200" cy="6286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Enter data for the specific feeds.  The labels on the tabs, F1, F2…F10, stand for feed 1, feed 2, etc.  Data should be entered in the cells having gold backgrounds.  Cost calculations will be displayed in the cells with the magenta colored backgrounds.  No calculations will be displayed until sufficient data is entered.  Enter data for only as many feeds as you want to consider.</a:t>
          </a:r>
          <a:endParaRPr lang="en-US"/>
        </a:p>
      </xdr:txBody>
    </xdr:sp>
    <xdr:clientData/>
  </xdr:twoCellAnchor>
  <xdr:twoCellAnchor>
    <xdr:from>
      <xdr:col>2</xdr:col>
      <xdr:colOff>9525</xdr:colOff>
      <xdr:row>20</xdr:row>
      <xdr:rowOff>0</xdr:rowOff>
    </xdr:from>
    <xdr:to>
      <xdr:col>14</xdr:col>
      <xdr:colOff>9525</xdr:colOff>
      <xdr:row>22</xdr:row>
      <xdr:rowOff>152400</xdr:rowOff>
    </xdr:to>
    <xdr:sp macro="" textlink="">
      <xdr:nvSpPr>
        <xdr:cNvPr id="3077" name="Text Box 5"/>
        <xdr:cNvSpPr txBox="1">
          <a:spLocks noChangeArrowheads="1"/>
        </xdr:cNvSpPr>
      </xdr:nvSpPr>
      <xdr:spPr bwMode="auto">
        <a:xfrm>
          <a:off x="1409700" y="3705225"/>
          <a:ext cx="7315200" cy="54292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The worksheet with the "Per Pound" tab allows for side by side comparisons of the feeds.  All the calculations for each of the feeds is displayed in this worksheet by simply designating the feed number.  The feed number corresponds to the "F" tabs.  For example, entering the number "1" in cell E4 would list the data from the worksheet labeled "F1".</a:t>
          </a:r>
          <a:endParaRPr lang="en-US"/>
        </a:p>
      </xdr:txBody>
    </xdr:sp>
    <xdr:clientData/>
  </xdr:twoCellAnchor>
  <xdr:twoCellAnchor>
    <xdr:from>
      <xdr:col>2</xdr:col>
      <xdr:colOff>9525</xdr:colOff>
      <xdr:row>24</xdr:row>
      <xdr:rowOff>9525</xdr:rowOff>
    </xdr:from>
    <xdr:to>
      <xdr:col>13</xdr:col>
      <xdr:colOff>600075</xdr:colOff>
      <xdr:row>28</xdr:row>
      <xdr:rowOff>133350</xdr:rowOff>
    </xdr:to>
    <xdr:sp macro="" textlink="">
      <xdr:nvSpPr>
        <xdr:cNvPr id="3078" name="Text Box 6"/>
        <xdr:cNvSpPr txBox="1">
          <a:spLocks noChangeArrowheads="1"/>
        </xdr:cNvSpPr>
      </xdr:nvSpPr>
      <xdr:spPr bwMode="auto">
        <a:xfrm>
          <a:off x="1409700" y="4476750"/>
          <a:ext cx="7296150" cy="8382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The worksheet with the "Whole Herd" tab allows you to calculate the quantity of feed you need to purchase and its cost.  You enter the feed number in the cells with gold backgrounds, just like in Step 2 above, for up to four feeds, the amount of each feed consumed by an animal each day, the number of days they are to be fed, and the number of animals being fed.  The calculations show how much feed needs to be purchased given the feed losses specified for hauling, storing and feeding, and its total cost.  These costs are broken down by operation for your information.</a:t>
          </a:r>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B1:D27"/>
  <sheetViews>
    <sheetView tabSelected="1" workbookViewId="0">
      <selection activeCell="C31" sqref="C31"/>
    </sheetView>
  </sheetViews>
  <sheetFormatPr defaultRowHeight="12.75" x14ac:dyDescent="0.2"/>
  <cols>
    <col min="1" max="2" width="9.140625" style="6"/>
    <col min="3" max="3" width="92.140625" style="6" customWidth="1"/>
    <col min="4" max="16384" width="9.140625" style="6"/>
  </cols>
  <sheetData>
    <row r="1" spans="2:4" ht="13.5" thickBot="1" x14ac:dyDescent="0.25"/>
    <row r="2" spans="2:4" ht="13.5" thickTop="1" x14ac:dyDescent="0.2">
      <c r="B2" s="207"/>
      <c r="C2" s="208"/>
      <c r="D2" s="209"/>
    </row>
    <row r="3" spans="2:4" x14ac:dyDescent="0.2">
      <c r="B3" s="210"/>
      <c r="C3" s="108"/>
      <c r="D3" s="211"/>
    </row>
    <row r="4" spans="2:4" x14ac:dyDescent="0.2">
      <c r="B4" s="210"/>
      <c r="C4" s="108"/>
      <c r="D4" s="211"/>
    </row>
    <row r="5" spans="2:4" x14ac:dyDescent="0.2">
      <c r="B5" s="210"/>
      <c r="C5" s="108"/>
      <c r="D5" s="211"/>
    </row>
    <row r="6" spans="2:4" x14ac:dyDescent="0.2">
      <c r="B6" s="210"/>
      <c r="C6" s="108"/>
      <c r="D6" s="211"/>
    </row>
    <row r="7" spans="2:4" x14ac:dyDescent="0.2">
      <c r="B7" s="210"/>
      <c r="C7" s="108"/>
      <c r="D7" s="211"/>
    </row>
    <row r="8" spans="2:4" x14ac:dyDescent="0.2">
      <c r="B8" s="210"/>
      <c r="C8" s="108"/>
      <c r="D8" s="211"/>
    </row>
    <row r="9" spans="2:4" x14ac:dyDescent="0.2">
      <c r="B9" s="210"/>
      <c r="C9" s="108"/>
      <c r="D9" s="211"/>
    </row>
    <row r="10" spans="2:4" x14ac:dyDescent="0.2">
      <c r="B10" s="210"/>
      <c r="C10" s="108"/>
      <c r="D10" s="211"/>
    </row>
    <row r="11" spans="2:4" x14ac:dyDescent="0.2">
      <c r="B11" s="210"/>
      <c r="C11" s="108"/>
      <c r="D11" s="211"/>
    </row>
    <row r="12" spans="2:4" x14ac:dyDescent="0.2">
      <c r="B12" s="210"/>
      <c r="C12" s="108"/>
      <c r="D12" s="211"/>
    </row>
    <row r="13" spans="2:4" x14ac:dyDescent="0.2">
      <c r="B13" s="210"/>
      <c r="C13" s="108"/>
      <c r="D13" s="211"/>
    </row>
    <row r="14" spans="2:4" x14ac:dyDescent="0.2">
      <c r="B14" s="210"/>
      <c r="C14" s="108"/>
      <c r="D14" s="211"/>
    </row>
    <row r="15" spans="2:4" x14ac:dyDescent="0.2">
      <c r="B15" s="210"/>
      <c r="C15" s="108"/>
      <c r="D15" s="211"/>
    </row>
    <row r="16" spans="2:4" ht="59.25" x14ac:dyDescent="0.75">
      <c r="B16" s="210"/>
      <c r="C16" s="212" t="s">
        <v>160</v>
      </c>
      <c r="D16" s="211"/>
    </row>
    <row r="17" spans="2:4" x14ac:dyDescent="0.2">
      <c r="B17" s="210"/>
      <c r="C17" s="108"/>
      <c r="D17" s="211"/>
    </row>
    <row r="18" spans="2:4" x14ac:dyDescent="0.2">
      <c r="B18" s="210"/>
      <c r="C18" s="108"/>
      <c r="D18" s="211"/>
    </row>
    <row r="19" spans="2:4" ht="30" x14ac:dyDescent="0.4">
      <c r="B19" s="210"/>
      <c r="C19" s="213" t="s">
        <v>142</v>
      </c>
      <c r="D19" s="211"/>
    </row>
    <row r="20" spans="2:4" ht="30" x14ac:dyDescent="0.4">
      <c r="B20" s="210"/>
      <c r="C20" s="214" t="s">
        <v>143</v>
      </c>
      <c r="D20" s="211"/>
    </row>
    <row r="21" spans="2:4" ht="30" x14ac:dyDescent="0.4">
      <c r="B21" s="210"/>
      <c r="C21" s="214" t="s">
        <v>144</v>
      </c>
      <c r="D21" s="211"/>
    </row>
    <row r="22" spans="2:4" x14ac:dyDescent="0.2">
      <c r="B22" s="210"/>
      <c r="C22" s="108"/>
      <c r="D22" s="211"/>
    </row>
    <row r="23" spans="2:4" ht="18" x14ac:dyDescent="0.25">
      <c r="B23" s="210"/>
      <c r="C23" s="215" t="s">
        <v>145</v>
      </c>
      <c r="D23" s="211"/>
    </row>
    <row r="24" spans="2:4" ht="18" x14ac:dyDescent="0.25">
      <c r="B24" s="210"/>
      <c r="C24" s="215" t="s">
        <v>146</v>
      </c>
      <c r="D24" s="211"/>
    </row>
    <row r="25" spans="2:4" x14ac:dyDescent="0.2">
      <c r="B25" s="210"/>
      <c r="C25" s="108"/>
      <c r="D25" s="211"/>
    </row>
    <row r="26" spans="2:4" ht="13.5" thickBot="1" x14ac:dyDescent="0.25">
      <c r="B26" s="216"/>
      <c r="C26" s="217"/>
      <c r="D26" s="218"/>
    </row>
    <row r="27" spans="2:4" ht="13.5" thickTop="1" x14ac:dyDescent="0.2"/>
  </sheetData>
  <phoneticPr fontId="2" type="noConversion"/>
  <pageMargins left="0.75" right="0.75" top="1" bottom="1" header="0.5" footer="0.5"/>
  <pageSetup orientation="portrait" horizontalDpi="4294967293" verticalDpi="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B1:O30"/>
  <sheetViews>
    <sheetView workbookViewId="0">
      <selection activeCell="J39" sqref="J39"/>
    </sheetView>
  </sheetViews>
  <sheetFormatPr defaultRowHeight="12.75" x14ac:dyDescent="0.2"/>
  <cols>
    <col min="1" max="1" width="4.5703125" style="6" customWidth="1"/>
    <col min="2" max="2" width="16.42578125" style="6" customWidth="1"/>
    <col min="3" max="14" width="9.140625" style="6"/>
    <col min="15" max="15" width="5.28515625" style="6" customWidth="1"/>
    <col min="16" max="16384" width="9.140625" style="6"/>
  </cols>
  <sheetData>
    <row r="1" spans="2:15" ht="13.5" thickBot="1" x14ac:dyDescent="0.25"/>
    <row r="2" spans="2:15" x14ac:dyDescent="0.2">
      <c r="B2" s="196"/>
      <c r="C2" s="97"/>
      <c r="D2" s="97"/>
      <c r="E2" s="97"/>
      <c r="F2" s="97"/>
      <c r="G2" s="97"/>
      <c r="H2" s="97"/>
      <c r="I2" s="97"/>
      <c r="J2" s="97"/>
      <c r="K2" s="97"/>
      <c r="L2" s="97"/>
      <c r="M2" s="97"/>
      <c r="N2" s="97"/>
      <c r="O2" s="52"/>
    </row>
    <row r="3" spans="2:15" ht="18" x14ac:dyDescent="0.25">
      <c r="B3" s="204" t="s">
        <v>136</v>
      </c>
      <c r="C3" s="108"/>
      <c r="D3" s="108"/>
      <c r="E3" s="108"/>
      <c r="F3" s="108"/>
      <c r="G3" s="108"/>
      <c r="H3" s="108"/>
      <c r="I3" s="108"/>
      <c r="J3" s="108"/>
      <c r="K3" s="108"/>
      <c r="L3" s="108"/>
      <c r="M3" s="108"/>
      <c r="N3" s="108"/>
      <c r="O3" s="19"/>
    </row>
    <row r="4" spans="2:15" x14ac:dyDescent="0.2">
      <c r="B4" s="198"/>
      <c r="C4" s="108"/>
      <c r="D4" s="108"/>
      <c r="E4" s="108"/>
      <c r="F4" s="108"/>
      <c r="G4" s="108"/>
      <c r="H4" s="108"/>
      <c r="I4" s="108"/>
      <c r="J4" s="108"/>
      <c r="K4" s="108"/>
      <c r="L4" s="108"/>
      <c r="M4" s="108"/>
      <c r="N4" s="108"/>
      <c r="O4" s="19"/>
    </row>
    <row r="5" spans="2:15" x14ac:dyDescent="0.2">
      <c r="B5" s="198"/>
      <c r="C5" s="108"/>
      <c r="D5" s="108"/>
      <c r="E5" s="108"/>
      <c r="F5" s="108"/>
      <c r="G5" s="108"/>
      <c r="H5" s="108"/>
      <c r="I5" s="108"/>
      <c r="J5" s="108"/>
      <c r="K5" s="108"/>
      <c r="L5" s="108"/>
      <c r="M5" s="108"/>
      <c r="N5" s="108"/>
      <c r="O5" s="19"/>
    </row>
    <row r="6" spans="2:15" x14ac:dyDescent="0.2">
      <c r="B6" s="198"/>
      <c r="C6" s="108"/>
      <c r="D6" s="108"/>
      <c r="E6" s="108"/>
      <c r="F6" s="108"/>
      <c r="G6" s="108"/>
      <c r="H6" s="108"/>
      <c r="I6" s="108"/>
      <c r="J6" s="108"/>
      <c r="K6" s="108"/>
      <c r="L6" s="108"/>
      <c r="M6" s="108"/>
      <c r="N6" s="108"/>
      <c r="O6" s="19"/>
    </row>
    <row r="7" spans="2:15" ht="18.75" customHeight="1" x14ac:dyDescent="0.2">
      <c r="B7" s="198"/>
      <c r="C7" s="108"/>
      <c r="D7" s="108"/>
      <c r="E7" s="108"/>
      <c r="F7" s="108"/>
      <c r="G7" s="108"/>
      <c r="H7" s="108"/>
      <c r="I7" s="108"/>
      <c r="J7" s="108"/>
      <c r="K7" s="108"/>
      <c r="L7" s="108"/>
      <c r="M7" s="108"/>
      <c r="N7" s="108"/>
      <c r="O7" s="19"/>
    </row>
    <row r="8" spans="2:15" ht="18" x14ac:dyDescent="0.25">
      <c r="B8" s="204" t="s">
        <v>137</v>
      </c>
      <c r="C8" s="108"/>
      <c r="D8" s="108"/>
      <c r="E8" s="108"/>
      <c r="F8" s="108"/>
      <c r="G8" s="108"/>
      <c r="H8" s="108"/>
      <c r="I8" s="108"/>
      <c r="J8" s="108"/>
      <c r="K8" s="108"/>
      <c r="L8" s="108"/>
      <c r="M8" s="108"/>
      <c r="N8" s="108"/>
      <c r="O8" s="19"/>
    </row>
    <row r="9" spans="2:15" x14ac:dyDescent="0.2">
      <c r="B9" s="198"/>
      <c r="C9" s="108"/>
      <c r="D9" s="108"/>
      <c r="E9" s="108"/>
      <c r="F9" s="108"/>
      <c r="G9" s="108"/>
      <c r="H9" s="108"/>
      <c r="I9" s="108"/>
      <c r="J9" s="108"/>
      <c r="K9" s="108"/>
      <c r="L9" s="108"/>
      <c r="M9" s="108"/>
      <c r="N9" s="108"/>
      <c r="O9" s="19"/>
    </row>
    <row r="10" spans="2:15" x14ac:dyDescent="0.2">
      <c r="B10" s="198"/>
      <c r="C10" s="108"/>
      <c r="D10" s="108"/>
      <c r="E10" s="108"/>
      <c r="F10" s="108"/>
      <c r="G10" s="108"/>
      <c r="H10" s="108"/>
      <c r="I10" s="108"/>
      <c r="J10" s="108"/>
      <c r="K10" s="108"/>
      <c r="L10" s="108"/>
      <c r="M10" s="108"/>
      <c r="N10" s="108"/>
      <c r="O10" s="19"/>
    </row>
    <row r="11" spans="2:15" x14ac:dyDescent="0.2">
      <c r="B11" s="198"/>
      <c r="C11" s="108"/>
      <c r="D11" s="108"/>
      <c r="E11" s="108"/>
      <c r="F11" s="108"/>
      <c r="G11" s="108"/>
      <c r="H11" s="108"/>
      <c r="I11" s="108"/>
      <c r="J11" s="108"/>
      <c r="K11" s="108"/>
      <c r="L11" s="108"/>
      <c r="M11" s="108"/>
      <c r="N11" s="108"/>
      <c r="O11" s="19"/>
    </row>
    <row r="12" spans="2:15" x14ac:dyDescent="0.2">
      <c r="B12" s="198"/>
      <c r="C12" s="108"/>
      <c r="D12" s="108"/>
      <c r="E12" s="108"/>
      <c r="F12" s="108"/>
      <c r="G12" s="108"/>
      <c r="H12" s="108"/>
      <c r="I12" s="108"/>
      <c r="J12" s="108"/>
      <c r="K12" s="108"/>
      <c r="L12" s="108"/>
      <c r="M12" s="108"/>
      <c r="N12" s="108"/>
      <c r="O12" s="19"/>
    </row>
    <row r="13" spans="2:15" ht="18" x14ac:dyDescent="0.25">
      <c r="B13" s="204" t="s">
        <v>138</v>
      </c>
      <c r="C13" s="108"/>
      <c r="D13" s="108"/>
      <c r="E13" s="108"/>
      <c r="F13" s="108"/>
      <c r="G13" s="108"/>
      <c r="H13" s="108"/>
      <c r="I13" s="108"/>
      <c r="J13" s="108"/>
      <c r="K13" s="108"/>
      <c r="L13" s="108"/>
      <c r="M13" s="108"/>
      <c r="N13" s="108"/>
      <c r="O13" s="19"/>
    </row>
    <row r="14" spans="2:15" x14ac:dyDescent="0.2">
      <c r="B14" s="198"/>
      <c r="C14" s="108"/>
      <c r="D14" s="108"/>
      <c r="E14" s="108"/>
      <c r="F14" s="108"/>
      <c r="G14" s="108"/>
      <c r="H14" s="108"/>
      <c r="I14" s="108"/>
      <c r="J14" s="108"/>
      <c r="K14" s="108"/>
      <c r="L14" s="108"/>
      <c r="M14" s="108"/>
      <c r="N14" s="108"/>
      <c r="O14" s="19"/>
    </row>
    <row r="15" spans="2:15" ht="21.75" customHeight="1" x14ac:dyDescent="0.2">
      <c r="B15" s="198"/>
      <c r="C15" s="108"/>
      <c r="D15" s="108"/>
      <c r="E15" s="108"/>
      <c r="F15" s="108"/>
      <c r="G15" s="108"/>
      <c r="H15" s="108"/>
      <c r="I15" s="108"/>
      <c r="J15" s="108"/>
      <c r="K15" s="108"/>
      <c r="L15" s="108"/>
      <c r="M15" s="108"/>
      <c r="N15" s="108"/>
      <c r="O15" s="19"/>
    </row>
    <row r="16" spans="2:15" ht="18" x14ac:dyDescent="0.25">
      <c r="B16" s="205" t="s">
        <v>139</v>
      </c>
      <c r="C16" s="108"/>
      <c r="D16" s="108"/>
      <c r="E16" s="108"/>
      <c r="F16" s="108"/>
      <c r="G16" s="108"/>
      <c r="H16" s="108"/>
      <c r="I16" s="108"/>
      <c r="J16" s="108"/>
      <c r="K16" s="108"/>
      <c r="L16" s="108"/>
      <c r="M16" s="108"/>
      <c r="N16" s="108"/>
      <c r="O16" s="19"/>
    </row>
    <row r="17" spans="2:15" x14ac:dyDescent="0.2">
      <c r="B17" s="206"/>
      <c r="C17" s="108"/>
      <c r="D17" s="108"/>
      <c r="E17" s="108"/>
      <c r="F17" s="108"/>
      <c r="G17" s="108"/>
      <c r="H17" s="108"/>
      <c r="I17" s="108"/>
      <c r="J17" s="108"/>
      <c r="K17" s="108"/>
      <c r="L17" s="108"/>
      <c r="M17" s="108"/>
      <c r="N17" s="108"/>
      <c r="O17" s="19"/>
    </row>
    <row r="18" spans="2:15" x14ac:dyDescent="0.2">
      <c r="B18" s="206"/>
      <c r="C18" s="108"/>
      <c r="D18" s="108"/>
      <c r="E18" s="108"/>
      <c r="F18" s="108"/>
      <c r="G18" s="108"/>
      <c r="H18" s="108"/>
      <c r="I18" s="108"/>
      <c r="J18" s="108"/>
      <c r="K18" s="108"/>
      <c r="L18" s="108"/>
      <c r="M18" s="108"/>
      <c r="N18" s="108"/>
      <c r="O18" s="19"/>
    </row>
    <row r="19" spans="2:15" x14ac:dyDescent="0.2">
      <c r="B19" s="206"/>
      <c r="C19" s="108"/>
      <c r="D19" s="108"/>
      <c r="E19" s="108"/>
      <c r="F19" s="108"/>
      <c r="G19" s="108"/>
      <c r="H19" s="108"/>
      <c r="I19" s="108"/>
      <c r="J19" s="108"/>
      <c r="K19" s="108"/>
      <c r="L19" s="108"/>
      <c r="M19" s="108"/>
      <c r="N19" s="108"/>
      <c r="O19" s="19"/>
    </row>
    <row r="20" spans="2:15" x14ac:dyDescent="0.2">
      <c r="B20" s="206"/>
      <c r="C20" s="108"/>
      <c r="D20" s="108"/>
      <c r="E20" s="108"/>
      <c r="F20" s="108"/>
      <c r="G20" s="108"/>
      <c r="H20" s="108"/>
      <c r="I20" s="108"/>
      <c r="J20" s="108"/>
      <c r="K20" s="108"/>
      <c r="L20" s="108"/>
      <c r="M20" s="108"/>
      <c r="N20" s="108"/>
      <c r="O20" s="19"/>
    </row>
    <row r="21" spans="2:15" ht="18" x14ac:dyDescent="0.25">
      <c r="B21" s="205" t="s">
        <v>140</v>
      </c>
      <c r="C21" s="108"/>
      <c r="D21" s="108"/>
      <c r="E21" s="108"/>
      <c r="F21" s="108"/>
      <c r="G21" s="108"/>
      <c r="H21" s="108"/>
      <c r="I21" s="108"/>
      <c r="J21" s="108"/>
      <c r="K21" s="108"/>
      <c r="L21" s="108"/>
      <c r="M21" s="108"/>
      <c r="N21" s="108"/>
      <c r="O21" s="19"/>
    </row>
    <row r="22" spans="2:15" x14ac:dyDescent="0.2">
      <c r="B22" s="206"/>
      <c r="C22" s="108"/>
      <c r="D22" s="108"/>
      <c r="E22" s="108"/>
      <c r="F22" s="108"/>
      <c r="G22" s="108"/>
      <c r="H22" s="108"/>
      <c r="I22" s="108"/>
      <c r="J22" s="108"/>
      <c r="K22" s="108"/>
      <c r="L22" s="108"/>
      <c r="M22" s="108"/>
      <c r="N22" s="108"/>
      <c r="O22" s="19"/>
    </row>
    <row r="23" spans="2:15" x14ac:dyDescent="0.2">
      <c r="B23" s="206"/>
      <c r="C23" s="108"/>
      <c r="D23" s="108"/>
      <c r="E23" s="108"/>
      <c r="F23" s="108"/>
      <c r="G23" s="108"/>
      <c r="H23" s="108"/>
      <c r="I23" s="108"/>
      <c r="J23" s="108"/>
      <c r="K23" s="108"/>
      <c r="L23" s="108"/>
      <c r="M23" s="108"/>
      <c r="N23" s="108"/>
      <c r="O23" s="19"/>
    </row>
    <row r="24" spans="2:15" ht="16.5" customHeight="1" x14ac:dyDescent="0.2">
      <c r="B24" s="206"/>
      <c r="C24" s="108"/>
      <c r="D24" s="108"/>
      <c r="E24" s="108"/>
      <c r="F24" s="108"/>
      <c r="G24" s="108"/>
      <c r="H24" s="108"/>
      <c r="I24" s="108"/>
      <c r="J24" s="108"/>
      <c r="K24" s="108"/>
      <c r="L24" s="108"/>
      <c r="M24" s="108"/>
      <c r="N24" s="108"/>
      <c r="O24" s="19"/>
    </row>
    <row r="25" spans="2:15" ht="18" x14ac:dyDescent="0.25">
      <c r="B25" s="205" t="s">
        <v>141</v>
      </c>
      <c r="C25" s="108"/>
      <c r="D25" s="108"/>
      <c r="E25" s="108"/>
      <c r="F25" s="108"/>
      <c r="G25" s="108"/>
      <c r="H25" s="108"/>
      <c r="I25" s="108"/>
      <c r="J25" s="108"/>
      <c r="K25" s="108"/>
      <c r="L25" s="108"/>
      <c r="M25" s="108"/>
      <c r="N25" s="108"/>
      <c r="O25" s="19"/>
    </row>
    <row r="26" spans="2:15" x14ac:dyDescent="0.2">
      <c r="B26" s="198"/>
      <c r="C26" s="108"/>
      <c r="D26" s="108"/>
      <c r="E26" s="108"/>
      <c r="F26" s="108"/>
      <c r="G26" s="108"/>
      <c r="H26" s="108"/>
      <c r="I26" s="108"/>
      <c r="J26" s="108"/>
      <c r="K26" s="108"/>
      <c r="L26" s="108"/>
      <c r="M26" s="108"/>
      <c r="N26" s="108"/>
      <c r="O26" s="19"/>
    </row>
    <row r="27" spans="2:15" x14ac:dyDescent="0.2">
      <c r="B27" s="198"/>
      <c r="C27" s="108"/>
      <c r="D27" s="108"/>
      <c r="E27" s="108"/>
      <c r="F27" s="108"/>
      <c r="G27" s="108"/>
      <c r="H27" s="108"/>
      <c r="I27" s="108"/>
      <c r="J27" s="108"/>
      <c r="K27" s="108"/>
      <c r="L27" s="108"/>
      <c r="M27" s="108"/>
      <c r="N27" s="108"/>
      <c r="O27" s="19"/>
    </row>
    <row r="28" spans="2:15" x14ac:dyDescent="0.2">
      <c r="B28" s="198"/>
      <c r="C28" s="108"/>
      <c r="D28" s="108"/>
      <c r="E28" s="108"/>
      <c r="F28" s="108"/>
      <c r="G28" s="108"/>
      <c r="H28" s="108"/>
      <c r="I28" s="108"/>
      <c r="J28" s="108"/>
      <c r="K28" s="108"/>
      <c r="L28" s="108"/>
      <c r="M28" s="108"/>
      <c r="N28" s="108"/>
      <c r="O28" s="19"/>
    </row>
    <row r="29" spans="2:15" x14ac:dyDescent="0.2">
      <c r="B29" s="198"/>
      <c r="C29" s="108"/>
      <c r="D29" s="108"/>
      <c r="E29" s="108"/>
      <c r="F29" s="108"/>
      <c r="G29" s="108"/>
      <c r="H29" s="108"/>
      <c r="I29" s="108"/>
      <c r="J29" s="108"/>
      <c r="K29" s="108"/>
      <c r="L29" s="108"/>
      <c r="M29" s="108"/>
      <c r="N29" s="108"/>
      <c r="O29" s="19"/>
    </row>
    <row r="30" spans="2:15" ht="13.5" thickBot="1" x14ac:dyDescent="0.25">
      <c r="B30" s="36"/>
      <c r="C30" s="37"/>
      <c r="D30" s="37"/>
      <c r="E30" s="37"/>
      <c r="F30" s="37"/>
      <c r="G30" s="37"/>
      <c r="H30" s="37"/>
      <c r="I30" s="37"/>
      <c r="J30" s="37"/>
      <c r="K30" s="37"/>
      <c r="L30" s="37"/>
      <c r="M30" s="37"/>
      <c r="N30" s="37"/>
      <c r="O30" s="38"/>
    </row>
  </sheetData>
  <sheetProtection sheet="1" objects="1" scenarios="1"/>
  <phoneticPr fontId="2" type="noConversion"/>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BB35"/>
  <sheetViews>
    <sheetView workbookViewId="0">
      <selection activeCell="L34" sqref="L34"/>
    </sheetView>
  </sheetViews>
  <sheetFormatPr defaultRowHeight="12.75" x14ac:dyDescent="0.2"/>
  <cols>
    <col min="1" max="1" width="4" style="6" customWidth="1"/>
    <col min="2" max="2" width="4.42578125" style="6" customWidth="1"/>
    <col min="3" max="3" width="36.85546875" style="6" customWidth="1"/>
    <col min="4" max="4" width="9.140625" style="6"/>
    <col min="5" max="5" width="10.7109375" style="6" customWidth="1"/>
    <col min="6" max="7" width="9.140625" style="6"/>
    <col min="8" max="9" width="4.85546875" style="6" customWidth="1"/>
    <col min="10" max="10" width="4.5703125" style="6" customWidth="1"/>
    <col min="11" max="11" width="3.7109375" style="6" customWidth="1"/>
    <col min="12" max="12" width="9.5703125" style="6" bestFit="1" customWidth="1"/>
    <col min="13" max="13" width="9.140625" style="6"/>
    <col min="14" max="14" width="13.7109375" style="6" bestFit="1" customWidth="1"/>
    <col min="15" max="15" width="13.7109375" style="6" customWidth="1"/>
    <col min="16" max="16" width="4.5703125" style="6" customWidth="1"/>
    <col min="17" max="17" width="19.28515625" style="6" bestFit="1" customWidth="1"/>
    <col min="18" max="16384" width="9.140625" style="6"/>
  </cols>
  <sheetData>
    <row r="1" spans="2:54" ht="18.75" thickBot="1" x14ac:dyDescent="0.3">
      <c r="B1" s="6">
        <v>1</v>
      </c>
      <c r="J1" s="95" t="s">
        <v>110</v>
      </c>
    </row>
    <row r="2" spans="2:54" ht="18.75" thickBot="1" x14ac:dyDescent="0.3">
      <c r="B2" s="95" t="s">
        <v>111</v>
      </c>
      <c r="J2" s="104"/>
      <c r="K2" s="105"/>
      <c r="L2" s="105"/>
      <c r="M2" s="105"/>
      <c r="N2" s="105"/>
      <c r="O2" s="105"/>
      <c r="P2" s="106"/>
    </row>
    <row r="3" spans="2:54" x14ac:dyDescent="0.2">
      <c r="B3" s="196"/>
      <c r="C3" s="97"/>
      <c r="D3" s="97"/>
      <c r="E3" s="97"/>
      <c r="F3" s="97"/>
      <c r="G3" s="97"/>
      <c r="H3" s="52"/>
      <c r="J3" s="112"/>
      <c r="K3" s="113" t="s">
        <v>58</v>
      </c>
      <c r="L3" s="197">
        <f>IF(E12=0,"",IF(L7="","",L7/E12))</f>
        <v>1.0683760683760684</v>
      </c>
      <c r="M3" s="115" t="s">
        <v>107</v>
      </c>
      <c r="N3" s="115"/>
      <c r="O3" s="115"/>
      <c r="P3" s="116"/>
    </row>
    <row r="4" spans="2:54" x14ac:dyDescent="0.2">
      <c r="B4" s="198"/>
      <c r="C4" s="128" t="s">
        <v>112</v>
      </c>
      <c r="D4" s="108"/>
      <c r="E4" s="241" t="s">
        <v>135</v>
      </c>
      <c r="F4" s="241"/>
      <c r="G4" s="241"/>
      <c r="H4" s="199"/>
      <c r="I4" s="127"/>
      <c r="J4" s="112"/>
      <c r="K4" s="120"/>
      <c r="L4" s="121"/>
      <c r="M4" s="122"/>
      <c r="N4" s="122"/>
      <c r="O4" s="122"/>
      <c r="P4" s="116"/>
      <c r="AH4" s="6" t="s">
        <v>6</v>
      </c>
      <c r="AI4" s="6" t="s">
        <v>30</v>
      </c>
      <c r="AJ4" s="6" t="s">
        <v>113</v>
      </c>
      <c r="AK4" s="6" t="s">
        <v>33</v>
      </c>
      <c r="AL4" s="6" t="s">
        <v>114</v>
      </c>
      <c r="AM4" s="6" t="s">
        <v>115</v>
      </c>
      <c r="AQ4" s="6" t="s">
        <v>41</v>
      </c>
      <c r="AR4" s="6" t="s">
        <v>82</v>
      </c>
      <c r="AS4" s="6" t="s">
        <v>42</v>
      </c>
      <c r="AU4" s="6" t="s">
        <v>44</v>
      </c>
      <c r="AW4" s="6" t="s">
        <v>30</v>
      </c>
      <c r="AX4" s="6" t="s">
        <v>44</v>
      </c>
      <c r="AZ4" s="6" t="s">
        <v>30</v>
      </c>
      <c r="BA4" s="6" t="s">
        <v>44</v>
      </c>
      <c r="BB4" s="6" t="s">
        <v>116</v>
      </c>
    </row>
    <row r="5" spans="2:54" x14ac:dyDescent="0.2">
      <c r="B5" s="198"/>
      <c r="C5" s="128"/>
      <c r="D5" s="108"/>
      <c r="E5" s="108"/>
      <c r="F5" s="108"/>
      <c r="G5" s="108"/>
      <c r="H5" s="19"/>
      <c r="I5" s="127"/>
      <c r="J5" s="123"/>
      <c r="K5" s="113" t="s">
        <v>58</v>
      </c>
      <c r="L5" s="197">
        <f>IF(E14=0,"",IF(L7="","",L7/E14))</f>
        <v>0.24366471734892792</v>
      </c>
      <c r="M5" s="115" t="s">
        <v>108</v>
      </c>
      <c r="N5" s="115"/>
      <c r="O5" s="115"/>
      <c r="P5" s="116"/>
    </row>
    <row r="6" spans="2:54" x14ac:dyDescent="0.2">
      <c r="B6" s="198"/>
      <c r="C6" s="128" t="s">
        <v>117</v>
      </c>
      <c r="D6" s="169" t="s">
        <v>58</v>
      </c>
      <c r="E6" s="200">
        <v>250</v>
      </c>
      <c r="F6" s="108"/>
      <c r="G6" s="108"/>
      <c r="H6" s="19"/>
      <c r="J6" s="123"/>
      <c r="K6" s="120"/>
      <c r="L6" s="121"/>
      <c r="M6" s="122"/>
      <c r="N6" s="122"/>
      <c r="O6" s="122"/>
      <c r="P6" s="116"/>
      <c r="AG6" s="6">
        <v>1</v>
      </c>
      <c r="AH6" s="6" t="str">
        <f>E4</f>
        <v>Grass Hay (Premium)</v>
      </c>
      <c r="AI6" s="136">
        <f>E6</f>
        <v>250</v>
      </c>
      <c r="AJ6" s="136">
        <f>E8</f>
        <v>2000</v>
      </c>
      <c r="AK6" s="136">
        <f>E10</f>
        <v>0.9</v>
      </c>
      <c r="AL6" s="136">
        <f>E12</f>
        <v>0.13</v>
      </c>
      <c r="AM6" s="136">
        <f>E14</f>
        <v>0.56999999999999995</v>
      </c>
      <c r="AQ6" s="136">
        <f>E18</f>
        <v>4.5</v>
      </c>
      <c r="AR6" s="136">
        <f>E16</f>
        <v>100</v>
      </c>
      <c r="AS6" s="136">
        <f>E20</f>
        <v>20</v>
      </c>
      <c r="AU6" s="136">
        <f>E22</f>
        <v>0.01</v>
      </c>
      <c r="AW6" s="136">
        <f>E24</f>
        <v>1</v>
      </c>
      <c r="AX6" s="136">
        <f>E26</f>
        <v>0.02</v>
      </c>
      <c r="AZ6" s="136">
        <f>E28</f>
        <v>5</v>
      </c>
      <c r="BA6" s="136">
        <f>E30</f>
        <v>0.1</v>
      </c>
    </row>
    <row r="7" spans="2:54" x14ac:dyDescent="0.2">
      <c r="B7" s="198"/>
      <c r="C7" s="128"/>
      <c r="D7" s="108"/>
      <c r="E7" s="201"/>
      <c r="F7" s="108"/>
      <c r="G7" s="108"/>
      <c r="H7" s="19"/>
      <c r="J7" s="123"/>
      <c r="K7" s="113" t="s">
        <v>58</v>
      </c>
      <c r="L7" s="197">
        <f>IF(E8=0,"",IF(E10=0,"",$E$6/$E$8/$E$10))</f>
        <v>0.1388888888888889</v>
      </c>
      <c r="M7" s="115" t="s">
        <v>109</v>
      </c>
      <c r="N7" s="115"/>
      <c r="O7" s="115"/>
      <c r="P7" s="116"/>
      <c r="AI7" s="136"/>
      <c r="AJ7" s="136"/>
      <c r="AK7" s="136"/>
      <c r="AL7" s="136"/>
      <c r="AM7" s="136"/>
      <c r="AQ7" s="136"/>
      <c r="AR7" s="136"/>
      <c r="AS7" s="136"/>
      <c r="AU7" s="136"/>
      <c r="AW7" s="136"/>
      <c r="AX7" s="136"/>
      <c r="AZ7" s="136"/>
      <c r="BA7" s="136"/>
    </row>
    <row r="8" spans="2:54" ht="13.5" thickBot="1" x14ac:dyDescent="0.25">
      <c r="B8" s="198"/>
      <c r="C8" s="128" t="s">
        <v>118</v>
      </c>
      <c r="D8" s="108"/>
      <c r="E8" s="202">
        <v>2000</v>
      </c>
      <c r="F8" s="108" t="s">
        <v>119</v>
      </c>
      <c r="G8" s="108"/>
      <c r="H8" s="19"/>
      <c r="J8" s="132"/>
      <c r="K8" s="133"/>
      <c r="L8" s="134"/>
      <c r="M8" s="133"/>
      <c r="N8" s="133"/>
      <c r="O8" s="133"/>
      <c r="P8" s="135"/>
    </row>
    <row r="9" spans="2:54" x14ac:dyDescent="0.2">
      <c r="B9" s="198"/>
      <c r="C9" s="128"/>
      <c r="D9" s="108"/>
      <c r="E9" s="201"/>
      <c r="F9" s="108"/>
      <c r="G9" s="108"/>
      <c r="H9" s="19"/>
      <c r="L9" s="137"/>
    </row>
    <row r="10" spans="2:54" ht="18.75" thickBot="1" x14ac:dyDescent="0.3">
      <c r="B10" s="198"/>
      <c r="C10" s="128" t="s">
        <v>120</v>
      </c>
      <c r="D10" s="108"/>
      <c r="E10" s="203">
        <v>0.9</v>
      </c>
      <c r="F10" s="108"/>
      <c r="G10" s="108"/>
      <c r="H10" s="19"/>
      <c r="J10" s="95" t="s">
        <v>121</v>
      </c>
      <c r="L10" s="137"/>
    </row>
    <row r="11" spans="2:54" x14ac:dyDescent="0.2">
      <c r="B11" s="198"/>
      <c r="C11" s="128"/>
      <c r="D11" s="108"/>
      <c r="E11" s="201"/>
      <c r="F11" s="108"/>
      <c r="G11" s="108"/>
      <c r="H11" s="19"/>
      <c r="J11" s="104"/>
      <c r="K11" s="105"/>
      <c r="L11" s="141"/>
      <c r="M11" s="105"/>
      <c r="N11" s="105"/>
      <c r="O11" s="105"/>
      <c r="P11" s="106"/>
    </row>
    <row r="12" spans="2:54" x14ac:dyDescent="0.2">
      <c r="B12" s="198"/>
      <c r="C12" s="128" t="s">
        <v>122</v>
      </c>
      <c r="D12" s="108"/>
      <c r="E12" s="203">
        <v>0.13</v>
      </c>
      <c r="F12" s="108"/>
      <c r="G12" s="108"/>
      <c r="H12" s="19"/>
      <c r="J12" s="112"/>
      <c r="K12" s="113" t="s">
        <v>58</v>
      </c>
      <c r="L12" s="197">
        <f>IF(E12=0,"",IF(L16="","",L16/E12))</f>
        <v>1.1762928429595099</v>
      </c>
      <c r="M12" s="115" t="s">
        <v>107</v>
      </c>
      <c r="N12" s="115"/>
      <c r="O12" s="115"/>
      <c r="P12" s="116"/>
    </row>
    <row r="13" spans="2:54" x14ac:dyDescent="0.2">
      <c r="B13" s="198"/>
      <c r="C13" s="128"/>
      <c r="D13" s="108"/>
      <c r="E13" s="201"/>
      <c r="F13" s="108"/>
      <c r="G13" s="108"/>
      <c r="H13" s="19"/>
      <c r="J13" s="112"/>
      <c r="K13" s="120"/>
      <c r="L13" s="121"/>
      <c r="M13" s="122"/>
      <c r="N13" s="122"/>
      <c r="O13" s="122"/>
      <c r="P13" s="116"/>
    </row>
    <row r="14" spans="2:54" x14ac:dyDescent="0.2">
      <c r="B14" s="198"/>
      <c r="C14" s="128" t="s">
        <v>123</v>
      </c>
      <c r="D14" s="108"/>
      <c r="E14" s="203">
        <v>0.56999999999999995</v>
      </c>
      <c r="F14" s="108"/>
      <c r="G14" s="108"/>
      <c r="H14" s="19"/>
      <c r="J14" s="123"/>
      <c r="K14" s="113" t="s">
        <v>58</v>
      </c>
      <c r="L14" s="197">
        <f>IF(E14=0,"",IF(L16="","",L16/E14))</f>
        <v>0.26827731506094088</v>
      </c>
      <c r="M14" s="115" t="s">
        <v>108</v>
      </c>
      <c r="N14" s="115"/>
      <c r="O14" s="115"/>
      <c r="P14" s="116"/>
    </row>
    <row r="15" spans="2:54" x14ac:dyDescent="0.2">
      <c r="B15" s="198"/>
      <c r="C15" s="128"/>
      <c r="D15" s="108"/>
      <c r="E15" s="201"/>
      <c r="F15" s="108"/>
      <c r="G15" s="108"/>
      <c r="H15" s="19"/>
      <c r="J15" s="123"/>
      <c r="K15" s="120"/>
      <c r="L15" s="121"/>
      <c r="M15" s="122"/>
      <c r="N15" s="122"/>
      <c r="O15" s="122"/>
      <c r="P15" s="116"/>
    </row>
    <row r="16" spans="2:54" x14ac:dyDescent="0.2">
      <c r="B16" s="198"/>
      <c r="C16" s="128" t="s">
        <v>124</v>
      </c>
      <c r="D16" s="108"/>
      <c r="E16" s="202">
        <v>100</v>
      </c>
      <c r="F16" s="108" t="s">
        <v>82</v>
      </c>
      <c r="G16" s="108"/>
      <c r="H16" s="19"/>
      <c r="J16" s="123"/>
      <c r="K16" s="113" t="s">
        <v>58</v>
      </c>
      <c r="L16" s="197">
        <f>IF(E8=0,"",IF(E10=0,"",($E$6+$E$16*IF($E$20="",0,IF(E20=0,0,$E$18/E20)))/$E$8/$E$10/(1-$E$22)))</f>
        <v>0.15291806958473628</v>
      </c>
      <c r="M16" s="115" t="s">
        <v>109</v>
      </c>
      <c r="N16" s="115"/>
      <c r="O16" s="115"/>
      <c r="P16" s="116"/>
    </row>
    <row r="17" spans="2:16" ht="13.5" thickBot="1" x14ac:dyDescent="0.25">
      <c r="B17" s="198"/>
      <c r="C17" s="128"/>
      <c r="D17" s="108"/>
      <c r="E17" s="201"/>
      <c r="F17" s="108"/>
      <c r="G17" s="108"/>
      <c r="H17" s="19"/>
      <c r="J17" s="132"/>
      <c r="K17" s="133"/>
      <c r="L17" s="134"/>
      <c r="M17" s="133"/>
      <c r="N17" s="133"/>
      <c r="O17" s="133"/>
      <c r="P17" s="135"/>
    </row>
    <row r="18" spans="2:16" x14ac:dyDescent="0.2">
      <c r="B18" s="198"/>
      <c r="C18" s="128" t="s">
        <v>125</v>
      </c>
      <c r="D18" s="169" t="s">
        <v>58</v>
      </c>
      <c r="E18" s="200">
        <v>4.5</v>
      </c>
      <c r="F18" s="108" t="s">
        <v>84</v>
      </c>
      <c r="G18" s="108"/>
      <c r="H18" s="19"/>
      <c r="L18" s="137"/>
    </row>
    <row r="19" spans="2:16" ht="18.75" thickBot="1" x14ac:dyDescent="0.3">
      <c r="B19" s="198"/>
      <c r="C19" s="128"/>
      <c r="D19" s="108"/>
      <c r="E19" s="201"/>
      <c r="F19" s="108"/>
      <c r="G19" s="108"/>
      <c r="H19" s="19"/>
      <c r="J19" s="95" t="s">
        <v>126</v>
      </c>
      <c r="L19" s="137"/>
    </row>
    <row r="20" spans="2:16" x14ac:dyDescent="0.2">
      <c r="B20" s="198"/>
      <c r="C20" s="128" t="str">
        <f>CONCATENATE("How many ",$F$20,"s are hauled per load?")</f>
        <v>How many tons are hauled per load?</v>
      </c>
      <c r="D20" s="108"/>
      <c r="E20" s="202">
        <v>20</v>
      </c>
      <c r="F20" s="108" t="str">
        <f>IF(E8=2000,"ton",IF(E8=100,"hundredweight",IF(E8&gt;31,IF(E8&lt;71,"bushel","unit"),"unit")))</f>
        <v>ton</v>
      </c>
      <c r="G20" s="108"/>
      <c r="H20" s="19"/>
      <c r="J20" s="104"/>
      <c r="K20" s="105"/>
      <c r="L20" s="141"/>
      <c r="M20" s="105"/>
      <c r="N20" s="105"/>
      <c r="O20" s="105"/>
      <c r="P20" s="106"/>
    </row>
    <row r="21" spans="2:16" x14ac:dyDescent="0.2">
      <c r="B21" s="198"/>
      <c r="C21" s="128"/>
      <c r="D21" s="108"/>
      <c r="E21" s="201"/>
      <c r="F21" s="108"/>
      <c r="G21" s="108"/>
      <c r="H21" s="19"/>
      <c r="J21" s="112"/>
      <c r="K21" s="113" t="s">
        <v>58</v>
      </c>
      <c r="L21" s="197">
        <f>IF(E12=0,"",IF(L25="","",L25/E12))</f>
        <v>1.2046595379928713</v>
      </c>
      <c r="M21" s="115" t="s">
        <v>107</v>
      </c>
      <c r="N21" s="115"/>
      <c r="O21" s="115"/>
      <c r="P21" s="116"/>
    </row>
    <row r="22" spans="2:16" x14ac:dyDescent="0.2">
      <c r="B22" s="198"/>
      <c r="C22" s="128" t="s">
        <v>127</v>
      </c>
      <c r="D22" s="108"/>
      <c r="E22" s="203">
        <v>0.01</v>
      </c>
      <c r="F22" s="108"/>
      <c r="G22" s="108"/>
      <c r="H22" s="19"/>
      <c r="J22" s="112"/>
      <c r="K22" s="120"/>
      <c r="L22" s="121"/>
      <c r="M22" s="122"/>
      <c r="N22" s="122"/>
      <c r="O22" s="122"/>
      <c r="P22" s="116"/>
    </row>
    <row r="23" spans="2:16" x14ac:dyDescent="0.2">
      <c r="B23" s="198"/>
      <c r="C23" s="128"/>
      <c r="D23" s="108"/>
      <c r="E23" s="201"/>
      <c r="F23" s="108"/>
      <c r="G23" s="108"/>
      <c r="H23" s="19"/>
      <c r="J23" s="123"/>
      <c r="K23" s="113" t="s">
        <v>58</v>
      </c>
      <c r="L23" s="197">
        <f>IF(E14=0,"",IF(L25="","",L25/E14))</f>
        <v>0.27474691217381281</v>
      </c>
      <c r="M23" s="115" t="s">
        <v>108</v>
      </c>
      <c r="N23" s="115"/>
      <c r="O23" s="115"/>
      <c r="P23" s="116"/>
    </row>
    <row r="24" spans="2:16" x14ac:dyDescent="0.2">
      <c r="B24" s="198"/>
      <c r="C24" s="128" t="s">
        <v>128</v>
      </c>
      <c r="D24" s="169" t="s">
        <v>58</v>
      </c>
      <c r="E24" s="200">
        <v>1</v>
      </c>
      <c r="F24" s="108" t="str">
        <f>CONCATENATE("per ",$F$20)</f>
        <v>per ton</v>
      </c>
      <c r="G24" s="108"/>
      <c r="H24" s="19"/>
      <c r="J24" s="123"/>
      <c r="K24" s="120"/>
      <c r="L24" s="121"/>
      <c r="M24" s="122"/>
      <c r="N24" s="122"/>
      <c r="O24" s="122"/>
      <c r="P24" s="116"/>
    </row>
    <row r="25" spans="2:16" x14ac:dyDescent="0.2">
      <c r="B25" s="198"/>
      <c r="C25" s="128"/>
      <c r="D25" s="108"/>
      <c r="E25" s="201"/>
      <c r="F25" s="108"/>
      <c r="G25" s="108"/>
      <c r="H25" s="19"/>
      <c r="J25" s="123"/>
      <c r="K25" s="113" t="s">
        <v>58</v>
      </c>
      <c r="L25" s="197">
        <f>IF(E8=0,"",IF(E10=0,"",IF(E20=0,"",(E6+E16*E18/E20+E24*(1-E22))/E8/E10/(1-E22)/(1-E26))))</f>
        <v>0.15660573993907329</v>
      </c>
      <c r="M25" s="115" t="s">
        <v>109</v>
      </c>
      <c r="N25" s="115"/>
      <c r="O25" s="115"/>
      <c r="P25" s="116"/>
    </row>
    <row r="26" spans="2:16" ht="13.5" thickBot="1" x14ac:dyDescent="0.25">
      <c r="B26" s="198"/>
      <c r="C26" s="128" t="s">
        <v>129</v>
      </c>
      <c r="D26" s="108"/>
      <c r="E26" s="203">
        <v>0.02</v>
      </c>
      <c r="F26" s="108"/>
      <c r="G26" s="108"/>
      <c r="H26" s="19"/>
      <c r="J26" s="132"/>
      <c r="K26" s="133"/>
      <c r="L26" s="134"/>
      <c r="M26" s="133"/>
      <c r="N26" s="133"/>
      <c r="O26" s="133"/>
      <c r="P26" s="135"/>
    </row>
    <row r="27" spans="2:16" x14ac:dyDescent="0.2">
      <c r="B27" s="198"/>
      <c r="C27" s="128"/>
      <c r="D27" s="108"/>
      <c r="E27" s="201"/>
      <c r="F27" s="108"/>
      <c r="G27" s="108"/>
      <c r="H27" s="19"/>
      <c r="L27" s="137"/>
    </row>
    <row r="28" spans="2:16" ht="18.75" thickBot="1" x14ac:dyDescent="0.3">
      <c r="B28" s="198"/>
      <c r="C28" s="128" t="s">
        <v>130</v>
      </c>
      <c r="D28" s="169" t="s">
        <v>58</v>
      </c>
      <c r="E28" s="200">
        <v>5</v>
      </c>
      <c r="F28" s="108" t="str">
        <f>CONCATENATE("per ",$F$20)</f>
        <v>per ton</v>
      </c>
      <c r="G28" s="108"/>
      <c r="H28" s="19"/>
      <c r="J28" s="95" t="s">
        <v>131</v>
      </c>
      <c r="L28" s="137"/>
    </row>
    <row r="29" spans="2:16" x14ac:dyDescent="0.2">
      <c r="B29" s="198"/>
      <c r="C29" s="128"/>
      <c r="D29" s="108"/>
      <c r="E29" s="201"/>
      <c r="F29" s="108"/>
      <c r="G29" s="108"/>
      <c r="H29" s="19"/>
      <c r="J29" s="104"/>
      <c r="K29" s="105"/>
      <c r="L29" s="141"/>
      <c r="M29" s="105"/>
      <c r="N29" s="105"/>
      <c r="O29" s="105"/>
      <c r="P29" s="106"/>
    </row>
    <row r="30" spans="2:16" x14ac:dyDescent="0.2">
      <c r="B30" s="198"/>
      <c r="C30" s="128" t="s">
        <v>132</v>
      </c>
      <c r="D30" s="108"/>
      <c r="E30" s="203">
        <v>0.1</v>
      </c>
      <c r="F30" s="108"/>
      <c r="G30" s="108"/>
      <c r="H30" s="19"/>
      <c r="J30" s="112"/>
      <c r="K30" s="113" t="s">
        <v>58</v>
      </c>
      <c r="L30" s="197">
        <f>IF(E12=0,"",IF(L34="","",L34/E12))</f>
        <v>1.362252288178214</v>
      </c>
      <c r="M30" s="115" t="s">
        <v>107</v>
      </c>
      <c r="N30" s="115"/>
      <c r="O30" s="115"/>
      <c r="P30" s="116"/>
    </row>
    <row r="31" spans="2:16" ht="13.5" thickBot="1" x14ac:dyDescent="0.25">
      <c r="B31" s="36"/>
      <c r="C31" s="37"/>
      <c r="D31" s="37"/>
      <c r="E31" s="37"/>
      <c r="F31" s="37"/>
      <c r="G31" s="37"/>
      <c r="H31" s="38"/>
      <c r="J31" s="112"/>
      <c r="K31" s="120"/>
      <c r="L31" s="121"/>
      <c r="M31" s="122"/>
      <c r="N31" s="122"/>
      <c r="O31" s="122"/>
      <c r="P31" s="116"/>
    </row>
    <row r="32" spans="2:16" x14ac:dyDescent="0.2">
      <c r="J32" s="123"/>
      <c r="K32" s="113" t="s">
        <v>58</v>
      </c>
      <c r="L32" s="197">
        <f>IF(E14=0,"",IF(L34="","",L34/E14))</f>
        <v>0.31068911835643481</v>
      </c>
      <c r="M32" s="115" t="s">
        <v>108</v>
      </c>
      <c r="N32" s="115"/>
      <c r="O32" s="115"/>
      <c r="P32" s="116"/>
    </row>
    <row r="33" spans="10:16" x14ac:dyDescent="0.2">
      <c r="J33" s="123"/>
      <c r="K33" s="120"/>
      <c r="L33" s="121"/>
      <c r="M33" s="122"/>
      <c r="N33" s="122"/>
      <c r="O33" s="122"/>
      <c r="P33" s="116"/>
    </row>
    <row r="34" spans="10:16" x14ac:dyDescent="0.2">
      <c r="J34" s="123"/>
      <c r="K34" s="113" t="s">
        <v>58</v>
      </c>
      <c r="L34" s="197">
        <f>IF(E8=0,"",IF(E10=0,"",IF(E20=0,"",(E6+E16*E18/E20+E24*(1-E22)+E28*(1-E22)*(1-E26))/E8/E10/(1-E22)/(1-E26)/(1-E30))))</f>
        <v>0.17709279746316783</v>
      </c>
      <c r="M34" s="115" t="s">
        <v>109</v>
      </c>
      <c r="N34" s="115"/>
      <c r="O34" s="115"/>
      <c r="P34" s="116"/>
    </row>
    <row r="35" spans="10:16" ht="13.5" thickBot="1" x14ac:dyDescent="0.25">
      <c r="J35" s="132"/>
      <c r="K35" s="133"/>
      <c r="L35" s="133"/>
      <c r="M35" s="133"/>
      <c r="N35" s="133"/>
      <c r="O35" s="133"/>
      <c r="P35" s="135"/>
    </row>
  </sheetData>
  <mergeCells count="1">
    <mergeCell ref="E4:G4"/>
  </mergeCells>
  <phoneticPr fontId="2" type="noConversion"/>
  <dataValidations disablePrompts="1" count="4">
    <dataValidation type="decimal" operator="greaterThanOrEqual" allowBlank="1" showInputMessage="1" showErrorMessage="1" sqref="E9 E11 E17 E29 E27 E25 E23 E21 E19 E15 E7">
      <formula1>0</formula1>
    </dataValidation>
    <dataValidation type="decimal" operator="greaterThan" allowBlank="1" showInputMessage="1" showErrorMessage="1" sqref="E13">
      <formula1>0</formula1>
    </dataValidation>
    <dataValidation type="decimal" operator="greaterThan" allowBlank="1" showInputMessage="1" showErrorMessage="1" errorTitle="Restricted Data Entry" error="Only numbers greater than zero can be entered into this cell." sqref="E8 E10 E12 E14">
      <formula1>0</formula1>
    </dataValidation>
    <dataValidation type="decimal" operator="greaterThanOrEqual" allowBlank="1" showInputMessage="1" showErrorMessage="1" errorTitle="Restricted Data Entry" error="Only numbers greater than or equal to zero can be entered into this cell." sqref="E6 E16 E18 E20 E22 E24 E26 E28 E30">
      <formula1>0</formula1>
    </dataValidation>
  </dataValidations>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B1:BB35"/>
  <sheetViews>
    <sheetView workbookViewId="0">
      <selection activeCell="C35" sqref="C35"/>
    </sheetView>
  </sheetViews>
  <sheetFormatPr defaultRowHeight="12.75" x14ac:dyDescent="0.2"/>
  <cols>
    <col min="1" max="1" width="4" style="6" customWidth="1"/>
    <col min="2" max="2" width="4.42578125" style="6" customWidth="1"/>
    <col min="3" max="3" width="36.85546875" style="6" customWidth="1"/>
    <col min="4" max="4" width="9.140625" style="6"/>
    <col min="5" max="5" width="10.7109375" style="6" customWidth="1"/>
    <col min="6" max="7" width="9.140625" style="6"/>
    <col min="8" max="9" width="4.85546875" style="6" customWidth="1"/>
    <col min="10" max="10" width="4.5703125" style="6" customWidth="1"/>
    <col min="11" max="11" width="3.7109375" style="6" customWidth="1"/>
    <col min="12" max="12" width="9.5703125" style="6" bestFit="1" customWidth="1"/>
    <col min="13" max="13" width="9.140625" style="6"/>
    <col min="14" max="14" width="13.7109375" style="6" bestFit="1" customWidth="1"/>
    <col min="15" max="15" width="13.7109375" style="6" customWidth="1"/>
    <col min="16" max="16" width="4.5703125" style="6" customWidth="1"/>
    <col min="17" max="17" width="19.28515625" style="6" bestFit="1" customWidth="1"/>
    <col min="18" max="16384" width="9.140625" style="6"/>
  </cols>
  <sheetData>
    <row r="1" spans="2:54" ht="18.75" thickBot="1" x14ac:dyDescent="0.3">
      <c r="B1" s="6">
        <v>2</v>
      </c>
      <c r="J1" s="95" t="s">
        <v>110</v>
      </c>
    </row>
    <row r="2" spans="2:54" ht="18.75" thickBot="1" x14ac:dyDescent="0.3">
      <c r="B2" s="95" t="s">
        <v>111</v>
      </c>
      <c r="J2" s="104"/>
      <c r="K2" s="105"/>
      <c r="L2" s="105"/>
      <c r="M2" s="105"/>
      <c r="N2" s="105"/>
      <c r="O2" s="105"/>
      <c r="P2" s="106"/>
    </row>
    <row r="3" spans="2:54" x14ac:dyDescent="0.2">
      <c r="B3" s="196"/>
      <c r="C3" s="97"/>
      <c r="D3" s="97"/>
      <c r="E3" s="97"/>
      <c r="F3" s="97"/>
      <c r="G3" s="97"/>
      <c r="H3" s="52"/>
      <c r="J3" s="112"/>
      <c r="K3" s="113" t="s">
        <v>58</v>
      </c>
      <c r="L3" s="197">
        <f>IF(E12=0,"",IF(L7="","",L7/E12))</f>
        <v>1.0101010101010102</v>
      </c>
      <c r="M3" s="115" t="s">
        <v>107</v>
      </c>
      <c r="N3" s="115"/>
      <c r="O3" s="115"/>
      <c r="P3" s="116"/>
    </row>
    <row r="4" spans="2:54" x14ac:dyDescent="0.2">
      <c r="B4" s="198"/>
      <c r="C4" s="128" t="s">
        <v>112</v>
      </c>
      <c r="D4" s="108"/>
      <c r="E4" s="241" t="s">
        <v>153</v>
      </c>
      <c r="F4" s="241"/>
      <c r="G4" s="241"/>
      <c r="H4" s="199"/>
      <c r="I4" s="127"/>
      <c r="J4" s="112"/>
      <c r="K4" s="120"/>
      <c r="L4" s="121"/>
      <c r="M4" s="122"/>
      <c r="N4" s="122"/>
      <c r="O4" s="122"/>
      <c r="P4" s="116"/>
      <c r="AH4" s="6" t="s">
        <v>6</v>
      </c>
      <c r="AI4" s="6" t="s">
        <v>30</v>
      </c>
      <c r="AJ4" s="6" t="s">
        <v>113</v>
      </c>
      <c r="AK4" s="6" t="s">
        <v>33</v>
      </c>
      <c r="AL4" s="6" t="s">
        <v>114</v>
      </c>
      <c r="AM4" s="6" t="s">
        <v>115</v>
      </c>
      <c r="AQ4" s="6" t="s">
        <v>41</v>
      </c>
      <c r="AR4" s="6" t="s">
        <v>82</v>
      </c>
      <c r="AS4" s="6" t="s">
        <v>42</v>
      </c>
      <c r="AU4" s="6" t="s">
        <v>44</v>
      </c>
      <c r="AW4" s="6" t="s">
        <v>30</v>
      </c>
      <c r="AX4" s="6" t="s">
        <v>44</v>
      </c>
      <c r="AZ4" s="6" t="s">
        <v>30</v>
      </c>
      <c r="BA4" s="6" t="s">
        <v>44</v>
      </c>
      <c r="BB4" s="6" t="s">
        <v>116</v>
      </c>
    </row>
    <row r="5" spans="2:54" x14ac:dyDescent="0.2">
      <c r="B5" s="198"/>
      <c r="C5" s="128"/>
      <c r="D5" s="108"/>
      <c r="E5" s="108"/>
      <c r="F5" s="108"/>
      <c r="G5" s="108"/>
      <c r="H5" s="19"/>
      <c r="I5" s="127"/>
      <c r="J5" s="123"/>
      <c r="K5" s="113" t="s">
        <v>58</v>
      </c>
      <c r="L5" s="197">
        <f>IF(E14=0,"",IF(L7="","",L7/E14))</f>
        <v>0.22222222222222224</v>
      </c>
      <c r="M5" s="115" t="s">
        <v>108</v>
      </c>
      <c r="N5" s="115"/>
      <c r="O5" s="115"/>
      <c r="P5" s="116"/>
    </row>
    <row r="6" spans="2:54" x14ac:dyDescent="0.2">
      <c r="B6" s="198"/>
      <c r="C6" s="128" t="s">
        <v>117</v>
      </c>
      <c r="D6" s="169" t="s">
        <v>58</v>
      </c>
      <c r="E6" s="200">
        <v>200</v>
      </c>
      <c r="F6" s="108"/>
      <c r="G6" s="108"/>
      <c r="H6" s="19"/>
      <c r="J6" s="123"/>
      <c r="K6" s="120"/>
      <c r="L6" s="121"/>
      <c r="M6" s="122"/>
      <c r="N6" s="122"/>
      <c r="O6" s="122"/>
      <c r="P6" s="116"/>
      <c r="AG6" s="6">
        <v>1</v>
      </c>
      <c r="AH6" s="6" t="str">
        <f>E4</f>
        <v>Grass Hay</v>
      </c>
      <c r="AI6" s="136">
        <f>E6</f>
        <v>200</v>
      </c>
      <c r="AJ6" s="136">
        <f>E8</f>
        <v>2000</v>
      </c>
      <c r="AK6" s="136">
        <f>E10</f>
        <v>0.9</v>
      </c>
      <c r="AL6" s="136">
        <f>E12</f>
        <v>0.11</v>
      </c>
      <c r="AM6" s="136">
        <f>E14</f>
        <v>0.5</v>
      </c>
      <c r="AQ6" s="136">
        <f>E18</f>
        <v>4.5</v>
      </c>
      <c r="AR6" s="136">
        <f>E16</f>
        <v>50</v>
      </c>
      <c r="AS6" s="136">
        <f>E20</f>
        <v>20</v>
      </c>
      <c r="AU6" s="136">
        <f>E22</f>
        <v>0.01</v>
      </c>
      <c r="AW6" s="136">
        <f>E24</f>
        <v>1</v>
      </c>
      <c r="AX6" s="136">
        <f>E26</f>
        <v>0.02</v>
      </c>
      <c r="AZ6" s="136">
        <f>E28</f>
        <v>5</v>
      </c>
      <c r="BA6" s="136">
        <f>E30</f>
        <v>0.15</v>
      </c>
    </row>
    <row r="7" spans="2:54" x14ac:dyDescent="0.2">
      <c r="B7" s="198"/>
      <c r="C7" s="128"/>
      <c r="D7" s="108"/>
      <c r="E7" s="201"/>
      <c r="F7" s="108"/>
      <c r="G7" s="108"/>
      <c r="H7" s="19"/>
      <c r="J7" s="123"/>
      <c r="K7" s="113" t="s">
        <v>58</v>
      </c>
      <c r="L7" s="197">
        <f>IF(E8=0,"",IF(E10=0,"",$E$6/$E$8/$E$10))</f>
        <v>0.11111111111111112</v>
      </c>
      <c r="M7" s="115" t="s">
        <v>109</v>
      </c>
      <c r="N7" s="115"/>
      <c r="O7" s="115"/>
      <c r="P7" s="116"/>
      <c r="AI7" s="136"/>
      <c r="AJ7" s="136"/>
      <c r="AK7" s="136"/>
      <c r="AL7" s="136"/>
      <c r="AM7" s="136"/>
      <c r="AQ7" s="136"/>
      <c r="AR7" s="136"/>
      <c r="AS7" s="136"/>
      <c r="AU7" s="136"/>
      <c r="AW7" s="136"/>
      <c r="AX7" s="136"/>
      <c r="AZ7" s="136"/>
      <c r="BA7" s="136"/>
    </row>
    <row r="8" spans="2:54" ht="13.5" thickBot="1" x14ac:dyDescent="0.25">
      <c r="B8" s="198"/>
      <c r="C8" s="128" t="s">
        <v>118</v>
      </c>
      <c r="D8" s="108"/>
      <c r="E8" s="202">
        <v>2000</v>
      </c>
      <c r="F8" s="108" t="s">
        <v>119</v>
      </c>
      <c r="G8" s="108"/>
      <c r="H8" s="19"/>
      <c r="J8" s="132"/>
      <c r="K8" s="133"/>
      <c r="L8" s="134"/>
      <c r="M8" s="133"/>
      <c r="N8" s="133"/>
      <c r="O8" s="133"/>
      <c r="P8" s="135"/>
    </row>
    <row r="9" spans="2:54" x14ac:dyDescent="0.2">
      <c r="B9" s="198"/>
      <c r="C9" s="128"/>
      <c r="D9" s="108"/>
      <c r="E9" s="201"/>
      <c r="F9" s="108"/>
      <c r="G9" s="108"/>
      <c r="H9" s="19"/>
      <c r="L9" s="137"/>
    </row>
    <row r="10" spans="2:54" ht="18.75" thickBot="1" x14ac:dyDescent="0.3">
      <c r="B10" s="198"/>
      <c r="C10" s="128" t="s">
        <v>120</v>
      </c>
      <c r="D10" s="108"/>
      <c r="E10" s="203">
        <v>0.9</v>
      </c>
      <c r="F10" s="108"/>
      <c r="G10" s="108"/>
      <c r="H10" s="19"/>
      <c r="J10" s="95" t="s">
        <v>121</v>
      </c>
      <c r="L10" s="137"/>
    </row>
    <row r="11" spans="2:54" x14ac:dyDescent="0.2">
      <c r="B11" s="198"/>
      <c r="C11" s="128"/>
      <c r="D11" s="108"/>
      <c r="E11" s="201"/>
      <c r="F11" s="108"/>
      <c r="G11" s="108"/>
      <c r="H11" s="19"/>
      <c r="J11" s="104"/>
      <c r="K11" s="105"/>
      <c r="L11" s="141"/>
      <c r="M11" s="105"/>
      <c r="N11" s="105"/>
      <c r="O11" s="105"/>
      <c r="P11" s="106"/>
    </row>
    <row r="12" spans="2:54" x14ac:dyDescent="0.2">
      <c r="B12" s="198"/>
      <c r="C12" s="128" t="s">
        <v>122</v>
      </c>
      <c r="D12" s="108"/>
      <c r="E12" s="203">
        <v>0.11</v>
      </c>
      <c r="F12" s="108"/>
      <c r="G12" s="108"/>
      <c r="H12" s="19"/>
      <c r="J12" s="112"/>
      <c r="K12" s="113" t="s">
        <v>58</v>
      </c>
      <c r="L12" s="197">
        <f>IF(E12=0,"",IF(L16="","",L16/E12))</f>
        <v>1.0776961534537293</v>
      </c>
      <c r="M12" s="115" t="s">
        <v>107</v>
      </c>
      <c r="N12" s="115"/>
      <c r="O12" s="115"/>
      <c r="P12" s="116"/>
    </row>
    <row r="13" spans="2:54" x14ac:dyDescent="0.2">
      <c r="B13" s="198"/>
      <c r="C13" s="128"/>
      <c r="D13" s="108"/>
      <c r="E13" s="201"/>
      <c r="F13" s="108"/>
      <c r="G13" s="108"/>
      <c r="H13" s="19"/>
      <c r="J13" s="112"/>
      <c r="K13" s="120"/>
      <c r="L13" s="121"/>
      <c r="M13" s="122"/>
      <c r="N13" s="122"/>
      <c r="O13" s="122"/>
      <c r="P13" s="116"/>
    </row>
    <row r="14" spans="2:54" x14ac:dyDescent="0.2">
      <c r="B14" s="198"/>
      <c r="C14" s="128" t="s">
        <v>123</v>
      </c>
      <c r="D14" s="108"/>
      <c r="E14" s="203">
        <v>0.5</v>
      </c>
      <c r="F14" s="108"/>
      <c r="G14" s="108"/>
      <c r="H14" s="19"/>
      <c r="J14" s="123"/>
      <c r="K14" s="113" t="s">
        <v>58</v>
      </c>
      <c r="L14" s="197">
        <f>IF(E14=0,"",IF(L16="","",L16/E14))</f>
        <v>0.23709315375982043</v>
      </c>
      <c r="M14" s="115" t="s">
        <v>108</v>
      </c>
      <c r="N14" s="115"/>
      <c r="O14" s="115"/>
      <c r="P14" s="116"/>
    </row>
    <row r="15" spans="2:54" x14ac:dyDescent="0.2">
      <c r="B15" s="198"/>
      <c r="C15" s="128"/>
      <c r="D15" s="108"/>
      <c r="E15" s="201"/>
      <c r="F15" s="108"/>
      <c r="G15" s="108"/>
      <c r="H15" s="19"/>
      <c r="J15" s="123"/>
      <c r="K15" s="120"/>
      <c r="L15" s="121"/>
      <c r="M15" s="122"/>
      <c r="N15" s="122"/>
      <c r="O15" s="122"/>
      <c r="P15" s="116"/>
    </row>
    <row r="16" spans="2:54" x14ac:dyDescent="0.2">
      <c r="B16" s="198"/>
      <c r="C16" s="128" t="s">
        <v>124</v>
      </c>
      <c r="D16" s="108"/>
      <c r="E16" s="202">
        <v>50</v>
      </c>
      <c r="F16" s="108" t="s">
        <v>82</v>
      </c>
      <c r="G16" s="108"/>
      <c r="H16" s="19"/>
      <c r="J16" s="123"/>
      <c r="K16" s="113" t="s">
        <v>58</v>
      </c>
      <c r="L16" s="197">
        <f>IF(E8=0,"",IF(E10=0,"",($E$6+$E$16*IF($E$20="",0,IF(E20=0,0,$E$18/E20)))/$E$8/$E$10/(1-$E$22)))</f>
        <v>0.11854657687991021</v>
      </c>
      <c r="M16" s="115" t="s">
        <v>109</v>
      </c>
      <c r="N16" s="115"/>
      <c r="O16" s="115"/>
      <c r="P16" s="116"/>
    </row>
    <row r="17" spans="2:16" ht="13.5" thickBot="1" x14ac:dyDescent="0.25">
      <c r="B17" s="198"/>
      <c r="C17" s="128"/>
      <c r="D17" s="108"/>
      <c r="E17" s="201"/>
      <c r="F17" s="108"/>
      <c r="G17" s="108"/>
      <c r="H17" s="19"/>
      <c r="J17" s="132"/>
      <c r="K17" s="133"/>
      <c r="L17" s="134"/>
      <c r="M17" s="133"/>
      <c r="N17" s="133"/>
      <c r="O17" s="133"/>
      <c r="P17" s="135"/>
    </row>
    <row r="18" spans="2:16" x14ac:dyDescent="0.2">
      <c r="B18" s="198"/>
      <c r="C18" s="128" t="s">
        <v>125</v>
      </c>
      <c r="D18" s="169" t="s">
        <v>58</v>
      </c>
      <c r="E18" s="200">
        <v>4.5</v>
      </c>
      <c r="F18" s="108" t="s">
        <v>84</v>
      </c>
      <c r="G18" s="108"/>
      <c r="H18" s="19"/>
      <c r="L18" s="137"/>
    </row>
    <row r="19" spans="2:16" ht="18.75" thickBot="1" x14ac:dyDescent="0.3">
      <c r="B19" s="198"/>
      <c r="C19" s="128"/>
      <c r="D19" s="108"/>
      <c r="E19" s="201"/>
      <c r="F19" s="108"/>
      <c r="G19" s="108"/>
      <c r="H19" s="19"/>
      <c r="J19" s="95" t="s">
        <v>126</v>
      </c>
      <c r="L19" s="137"/>
    </row>
    <row r="20" spans="2:16" x14ac:dyDescent="0.2">
      <c r="B20" s="198"/>
      <c r="C20" s="128" t="str">
        <f>CONCATENATE("How many ",$F$20,"s are hauled per load?")</f>
        <v>How many tons are hauled per load?</v>
      </c>
      <c r="D20" s="108"/>
      <c r="E20" s="202">
        <v>20</v>
      </c>
      <c r="F20" s="108" t="str">
        <f>IF(E8=2000,"ton",IF(E8=100,"hundredweight",IF(E8&gt;31,IF(E8&lt;71,"bushel","unit"),"unit")))</f>
        <v>ton</v>
      </c>
      <c r="G20" s="108"/>
      <c r="H20" s="19"/>
      <c r="J20" s="104"/>
      <c r="K20" s="105"/>
      <c r="L20" s="141"/>
      <c r="M20" s="105"/>
      <c r="N20" s="105"/>
      <c r="O20" s="105"/>
      <c r="P20" s="106"/>
    </row>
    <row r="21" spans="2:16" x14ac:dyDescent="0.2">
      <c r="B21" s="198"/>
      <c r="C21" s="128"/>
      <c r="D21" s="108"/>
      <c r="E21" s="201"/>
      <c r="F21" s="108"/>
      <c r="G21" s="108"/>
      <c r="H21" s="19"/>
      <c r="J21" s="112"/>
      <c r="K21" s="113" t="s">
        <v>58</v>
      </c>
      <c r="L21" s="197">
        <f>IF(E12=0,"",IF(L25="","",L25/E12))</f>
        <v>1.1048435290859533</v>
      </c>
      <c r="M21" s="115" t="s">
        <v>107</v>
      </c>
      <c r="N21" s="115"/>
      <c r="O21" s="115"/>
      <c r="P21" s="116"/>
    </row>
    <row r="22" spans="2:16" x14ac:dyDescent="0.2">
      <c r="B22" s="198"/>
      <c r="C22" s="128" t="s">
        <v>127</v>
      </c>
      <c r="D22" s="108"/>
      <c r="E22" s="203">
        <v>0.01</v>
      </c>
      <c r="F22" s="108"/>
      <c r="G22" s="108"/>
      <c r="H22" s="19"/>
      <c r="J22" s="112"/>
      <c r="K22" s="120"/>
      <c r="L22" s="121"/>
      <c r="M22" s="122"/>
      <c r="N22" s="122"/>
      <c r="O22" s="122"/>
      <c r="P22" s="116"/>
    </row>
    <row r="23" spans="2:16" x14ac:dyDescent="0.2">
      <c r="B23" s="198"/>
      <c r="C23" s="128"/>
      <c r="D23" s="108"/>
      <c r="E23" s="201"/>
      <c r="F23" s="108"/>
      <c r="G23" s="108"/>
      <c r="H23" s="19"/>
      <c r="J23" s="123"/>
      <c r="K23" s="113" t="s">
        <v>58</v>
      </c>
      <c r="L23" s="197">
        <f>IF(E14=0,"",IF(L25="","",L25/E14))</f>
        <v>0.24306557639890974</v>
      </c>
      <c r="M23" s="115" t="s">
        <v>108</v>
      </c>
      <c r="N23" s="115"/>
      <c r="O23" s="115"/>
      <c r="P23" s="116"/>
    </row>
    <row r="24" spans="2:16" x14ac:dyDescent="0.2">
      <c r="B24" s="198"/>
      <c r="C24" s="128" t="s">
        <v>128</v>
      </c>
      <c r="D24" s="169" t="s">
        <v>58</v>
      </c>
      <c r="E24" s="200">
        <v>1</v>
      </c>
      <c r="F24" s="108" t="str">
        <f>CONCATENATE("per ",$F$20)</f>
        <v>per ton</v>
      </c>
      <c r="G24" s="108"/>
      <c r="H24" s="19"/>
      <c r="J24" s="123"/>
      <c r="K24" s="120"/>
      <c r="L24" s="121"/>
      <c r="M24" s="122"/>
      <c r="N24" s="122"/>
      <c r="O24" s="122"/>
      <c r="P24" s="116"/>
    </row>
    <row r="25" spans="2:16" x14ac:dyDescent="0.2">
      <c r="B25" s="198"/>
      <c r="C25" s="128"/>
      <c r="D25" s="108"/>
      <c r="E25" s="201"/>
      <c r="F25" s="108"/>
      <c r="G25" s="108"/>
      <c r="H25" s="19"/>
      <c r="J25" s="123"/>
      <c r="K25" s="113" t="s">
        <v>58</v>
      </c>
      <c r="L25" s="197">
        <f>IF(E8=0,"",IF(E10=0,"",IF(E20=0,"",(E6+E16*E18/E20+E24*(1-E22))/E8/E10/(1-E22)/(1-E26))))</f>
        <v>0.12153278819945487</v>
      </c>
      <c r="M25" s="115" t="s">
        <v>109</v>
      </c>
      <c r="N25" s="115"/>
      <c r="O25" s="115"/>
      <c r="P25" s="116"/>
    </row>
    <row r="26" spans="2:16" ht="13.5" thickBot="1" x14ac:dyDescent="0.25">
      <c r="B26" s="198"/>
      <c r="C26" s="128" t="s">
        <v>129</v>
      </c>
      <c r="D26" s="108"/>
      <c r="E26" s="203">
        <v>0.02</v>
      </c>
      <c r="F26" s="108"/>
      <c r="G26" s="108"/>
      <c r="H26" s="19"/>
      <c r="J26" s="132"/>
      <c r="K26" s="133"/>
      <c r="L26" s="134"/>
      <c r="M26" s="133"/>
      <c r="N26" s="133"/>
      <c r="O26" s="133"/>
      <c r="P26" s="135"/>
    </row>
    <row r="27" spans="2:16" x14ac:dyDescent="0.2">
      <c r="B27" s="198"/>
      <c r="C27" s="128"/>
      <c r="D27" s="108"/>
      <c r="E27" s="201"/>
      <c r="F27" s="108"/>
      <c r="G27" s="108"/>
      <c r="H27" s="19"/>
      <c r="L27" s="137"/>
    </row>
    <row r="28" spans="2:16" ht="18.75" thickBot="1" x14ac:dyDescent="0.3">
      <c r="B28" s="198"/>
      <c r="C28" s="128" t="s">
        <v>130</v>
      </c>
      <c r="D28" s="169" t="s">
        <v>58</v>
      </c>
      <c r="E28" s="200">
        <v>5</v>
      </c>
      <c r="F28" s="108" t="str">
        <f>CONCATENATE("per ",$F$20)</f>
        <v>per ton</v>
      </c>
      <c r="G28" s="108"/>
      <c r="H28" s="19"/>
      <c r="J28" s="95" t="s">
        <v>131</v>
      </c>
      <c r="L28" s="137"/>
    </row>
    <row r="29" spans="2:16" x14ac:dyDescent="0.2">
      <c r="B29" s="198"/>
      <c r="C29" s="128"/>
      <c r="D29" s="108"/>
      <c r="E29" s="201"/>
      <c r="F29" s="108"/>
      <c r="G29" s="108"/>
      <c r="H29" s="19"/>
      <c r="J29" s="104"/>
      <c r="K29" s="105"/>
      <c r="L29" s="141"/>
      <c r="M29" s="105"/>
      <c r="N29" s="105"/>
      <c r="O29" s="105"/>
      <c r="P29" s="106"/>
    </row>
    <row r="30" spans="2:16" x14ac:dyDescent="0.2">
      <c r="B30" s="198"/>
      <c r="C30" s="128" t="s">
        <v>132</v>
      </c>
      <c r="D30" s="108"/>
      <c r="E30" s="203">
        <v>0.15</v>
      </c>
      <c r="F30" s="108"/>
      <c r="G30" s="108"/>
      <c r="H30" s="19"/>
      <c r="J30" s="112"/>
      <c r="K30" s="113" t="s">
        <v>58</v>
      </c>
      <c r="L30" s="197">
        <f>IF(E12=0,"",IF(L34="","",L34/E12))</f>
        <v>1.3295247698099748</v>
      </c>
      <c r="M30" s="115" t="s">
        <v>107</v>
      </c>
      <c r="N30" s="115"/>
      <c r="O30" s="115"/>
      <c r="P30" s="116"/>
    </row>
    <row r="31" spans="2:16" ht="13.5" thickBot="1" x14ac:dyDescent="0.25">
      <c r="B31" s="36"/>
      <c r="C31" s="37"/>
      <c r="D31" s="37"/>
      <c r="E31" s="37"/>
      <c r="F31" s="37"/>
      <c r="G31" s="37"/>
      <c r="H31" s="38"/>
      <c r="J31" s="112"/>
      <c r="K31" s="120"/>
      <c r="L31" s="121"/>
      <c r="M31" s="122"/>
      <c r="N31" s="122"/>
      <c r="O31" s="122"/>
      <c r="P31" s="116"/>
    </row>
    <row r="32" spans="2:16" x14ac:dyDescent="0.2">
      <c r="J32" s="123"/>
      <c r="K32" s="113" t="s">
        <v>58</v>
      </c>
      <c r="L32" s="197">
        <f>IF(E14=0,"",IF(L34="","",L34/E14))</f>
        <v>0.29249544935819444</v>
      </c>
      <c r="M32" s="115" t="s">
        <v>108</v>
      </c>
      <c r="N32" s="115"/>
      <c r="O32" s="115"/>
      <c r="P32" s="116"/>
    </row>
    <row r="33" spans="10:16" x14ac:dyDescent="0.2">
      <c r="J33" s="123"/>
      <c r="K33" s="120"/>
      <c r="L33" s="121"/>
      <c r="M33" s="122"/>
      <c r="N33" s="122"/>
      <c r="O33" s="122"/>
      <c r="P33" s="116"/>
    </row>
    <row r="34" spans="10:16" x14ac:dyDescent="0.2">
      <c r="J34" s="123"/>
      <c r="K34" s="113" t="s">
        <v>58</v>
      </c>
      <c r="L34" s="197">
        <f>IF(E8=0,"",IF(E10=0,"",IF(E20=0,"",(E6+E16*E18/E20+E24*(1-E22)+E28*(1-E22)*(1-E26))/E8/E10/(1-E22)/(1-E26)/(1-E30))))</f>
        <v>0.14624772467909722</v>
      </c>
      <c r="M34" s="115" t="s">
        <v>109</v>
      </c>
      <c r="N34" s="115"/>
      <c r="O34" s="115"/>
      <c r="P34" s="116"/>
    </row>
    <row r="35" spans="10:16" ht="13.5" thickBot="1" x14ac:dyDescent="0.25">
      <c r="J35" s="132"/>
      <c r="K35" s="133"/>
      <c r="L35" s="133"/>
      <c r="M35" s="133"/>
      <c r="N35" s="133"/>
      <c r="O35" s="133"/>
      <c r="P35" s="135"/>
    </row>
  </sheetData>
  <sheetProtection sheet="1" objects="1" scenarios="1"/>
  <mergeCells count="1">
    <mergeCell ref="E4:G4"/>
  </mergeCells>
  <phoneticPr fontId="2" type="noConversion"/>
  <dataValidations count="2">
    <dataValidation type="decimal" operator="greaterThan" allowBlank="1" showInputMessage="1" showErrorMessage="1" errorTitle="Restricted Data Entry" error="Only numbers greater than zero can be entered into this cell." sqref="E8 E10 E12 E14">
      <formula1>0</formula1>
    </dataValidation>
    <dataValidation type="decimal" operator="greaterThanOrEqual" allowBlank="1" showInputMessage="1" showErrorMessage="1" errorTitle="Restricted Data Entry" error="Only numbers greater than or equal to zero can be entered into this cell." sqref="E6 E16 E18 E20 E22 E24 E26 E28 E30">
      <formula1>0</formula1>
    </dataValidation>
  </dataValidations>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1:BB35"/>
  <sheetViews>
    <sheetView workbookViewId="0">
      <selection activeCell="F15" sqref="F15"/>
    </sheetView>
  </sheetViews>
  <sheetFormatPr defaultRowHeight="12.75" x14ac:dyDescent="0.2"/>
  <cols>
    <col min="1" max="1" width="4" style="6" customWidth="1"/>
    <col min="2" max="2" width="4.42578125" style="6" customWidth="1"/>
    <col min="3" max="3" width="36.85546875" style="6" customWidth="1"/>
    <col min="4" max="4" width="9.140625" style="6"/>
    <col min="5" max="5" width="10.7109375" style="6" customWidth="1"/>
    <col min="6" max="7" width="9.140625" style="6"/>
    <col min="8" max="9" width="4.85546875" style="6" customWidth="1"/>
    <col min="10" max="10" width="4.5703125" style="6" customWidth="1"/>
    <col min="11" max="11" width="3.7109375" style="6" customWidth="1"/>
    <col min="12" max="12" width="9.5703125" style="6" bestFit="1" customWidth="1"/>
    <col min="13" max="13" width="9.140625" style="6"/>
    <col min="14" max="14" width="13.7109375" style="6" bestFit="1" customWidth="1"/>
    <col min="15" max="15" width="13.7109375" style="6" customWidth="1"/>
    <col min="16" max="16" width="4.5703125" style="6" customWidth="1"/>
    <col min="17" max="17" width="19.28515625" style="6" bestFit="1" customWidth="1"/>
    <col min="18" max="16384" width="9.140625" style="6"/>
  </cols>
  <sheetData>
    <row r="1" spans="2:54" ht="18.75" thickBot="1" x14ac:dyDescent="0.3">
      <c r="B1" s="6">
        <v>3</v>
      </c>
      <c r="J1" s="95" t="s">
        <v>110</v>
      </c>
    </row>
    <row r="2" spans="2:54" ht="18.75" thickBot="1" x14ac:dyDescent="0.3">
      <c r="B2" s="95" t="s">
        <v>111</v>
      </c>
      <c r="J2" s="104"/>
      <c r="K2" s="105"/>
      <c r="L2" s="105"/>
      <c r="M2" s="105"/>
      <c r="N2" s="105"/>
      <c r="O2" s="105"/>
      <c r="P2" s="106"/>
    </row>
    <row r="3" spans="2:54" x14ac:dyDescent="0.2">
      <c r="B3" s="196"/>
      <c r="C3" s="97"/>
      <c r="D3" s="97"/>
      <c r="E3" s="97"/>
      <c r="F3" s="97"/>
      <c r="G3" s="97"/>
      <c r="H3" s="52"/>
      <c r="J3" s="112"/>
      <c r="K3" s="113" t="s">
        <v>58</v>
      </c>
      <c r="L3" s="197">
        <f>IF(E12=0,"",IF(L7="","",L7/E12))</f>
        <v>0.90579710144927528</v>
      </c>
      <c r="M3" s="115" t="s">
        <v>107</v>
      </c>
      <c r="N3" s="115"/>
      <c r="O3" s="115"/>
      <c r="P3" s="116"/>
    </row>
    <row r="4" spans="2:54" x14ac:dyDescent="0.2">
      <c r="B4" s="198"/>
      <c r="C4" s="128" t="s">
        <v>112</v>
      </c>
      <c r="D4" s="108"/>
      <c r="E4" s="241" t="s">
        <v>134</v>
      </c>
      <c r="F4" s="241"/>
      <c r="G4" s="241"/>
      <c r="H4" s="199"/>
      <c r="I4" s="127"/>
      <c r="J4" s="112"/>
      <c r="K4" s="120"/>
      <c r="L4" s="121"/>
      <c r="M4" s="122"/>
      <c r="N4" s="122"/>
      <c r="O4" s="122"/>
      <c r="P4" s="116"/>
      <c r="AH4" s="6" t="s">
        <v>6</v>
      </c>
      <c r="AI4" s="6" t="s">
        <v>30</v>
      </c>
      <c r="AJ4" s="6" t="s">
        <v>113</v>
      </c>
      <c r="AK4" s="6" t="s">
        <v>33</v>
      </c>
      <c r="AL4" s="6" t="s">
        <v>114</v>
      </c>
      <c r="AM4" s="6" t="s">
        <v>115</v>
      </c>
      <c r="AQ4" s="6" t="s">
        <v>41</v>
      </c>
      <c r="AR4" s="6" t="s">
        <v>82</v>
      </c>
      <c r="AS4" s="6" t="s">
        <v>42</v>
      </c>
      <c r="AU4" s="6" t="s">
        <v>44</v>
      </c>
      <c r="AW4" s="6" t="s">
        <v>30</v>
      </c>
      <c r="AX4" s="6" t="s">
        <v>44</v>
      </c>
      <c r="AZ4" s="6" t="s">
        <v>30</v>
      </c>
      <c r="BA4" s="6" t="s">
        <v>44</v>
      </c>
      <c r="BB4" s="6" t="s">
        <v>116</v>
      </c>
    </row>
    <row r="5" spans="2:54" x14ac:dyDescent="0.2">
      <c r="B5" s="198"/>
      <c r="C5" s="128"/>
      <c r="D5" s="108"/>
      <c r="E5" s="108"/>
      <c r="F5" s="108"/>
      <c r="G5" s="108"/>
      <c r="H5" s="19"/>
      <c r="I5" s="127"/>
      <c r="J5" s="123"/>
      <c r="K5" s="113" t="s">
        <v>58</v>
      </c>
      <c r="L5" s="197">
        <f>IF(E14=0,"",IF(L7="","",L7/E14))</f>
        <v>0.2824858757062147</v>
      </c>
      <c r="M5" s="115" t="s">
        <v>108</v>
      </c>
      <c r="N5" s="115"/>
      <c r="O5" s="115"/>
      <c r="P5" s="116"/>
    </row>
    <row r="6" spans="2:54" x14ac:dyDescent="0.2">
      <c r="B6" s="198"/>
      <c r="C6" s="128" t="s">
        <v>117</v>
      </c>
      <c r="D6" s="169" t="s">
        <v>58</v>
      </c>
      <c r="E6" s="200">
        <v>300</v>
      </c>
      <c r="F6" s="108"/>
      <c r="G6" s="108"/>
      <c r="H6" s="19"/>
      <c r="J6" s="123"/>
      <c r="K6" s="120"/>
      <c r="L6" s="121"/>
      <c r="M6" s="122"/>
      <c r="N6" s="122"/>
      <c r="O6" s="122"/>
      <c r="P6" s="116"/>
      <c r="AG6" s="6">
        <v>1</v>
      </c>
      <c r="AH6" s="6" t="str">
        <f>E4</f>
        <v>Alfalfa Hay (Good)</v>
      </c>
      <c r="AI6" s="136">
        <f>E6</f>
        <v>300</v>
      </c>
      <c r="AJ6" s="136">
        <f>E8</f>
        <v>2000</v>
      </c>
      <c r="AK6" s="136">
        <f>E10</f>
        <v>0.9</v>
      </c>
      <c r="AL6" s="136">
        <f>E12</f>
        <v>0.184</v>
      </c>
      <c r="AM6" s="136">
        <f>E14</f>
        <v>0.59</v>
      </c>
      <c r="AQ6" s="136">
        <f>E18</f>
        <v>4.5</v>
      </c>
      <c r="AR6" s="136">
        <f>E16</f>
        <v>80</v>
      </c>
      <c r="AS6" s="136">
        <f>E20</f>
        <v>20</v>
      </c>
      <c r="AU6" s="136">
        <f>E22</f>
        <v>5.0000000000000001E-3</v>
      </c>
      <c r="AW6" s="136">
        <f>E24</f>
        <v>1</v>
      </c>
      <c r="AX6" s="136">
        <f>E26</f>
        <v>0.01</v>
      </c>
      <c r="AZ6" s="136">
        <f>E28</f>
        <v>7</v>
      </c>
      <c r="BA6" s="136">
        <f>E30</f>
        <v>0.1</v>
      </c>
    </row>
    <row r="7" spans="2:54" x14ac:dyDescent="0.2">
      <c r="B7" s="198"/>
      <c r="C7" s="128"/>
      <c r="D7" s="108"/>
      <c r="E7" s="201"/>
      <c r="F7" s="108"/>
      <c r="G7" s="108"/>
      <c r="H7" s="19"/>
      <c r="J7" s="123"/>
      <c r="K7" s="113" t="s">
        <v>58</v>
      </c>
      <c r="L7" s="197">
        <f>IF(E8=0,"",IF(E10=0,"",$E$6/$E$8/$E$10))</f>
        <v>0.16666666666666666</v>
      </c>
      <c r="M7" s="115" t="s">
        <v>109</v>
      </c>
      <c r="N7" s="115"/>
      <c r="O7" s="115"/>
      <c r="P7" s="116"/>
      <c r="AI7" s="136"/>
      <c r="AJ7" s="136"/>
      <c r="AK7" s="136"/>
      <c r="AL7" s="136"/>
      <c r="AM7" s="136"/>
      <c r="AQ7" s="136"/>
      <c r="AR7" s="136"/>
      <c r="AS7" s="136"/>
      <c r="AU7" s="136"/>
      <c r="AW7" s="136"/>
      <c r="AX7" s="136"/>
      <c r="AZ7" s="136"/>
      <c r="BA7" s="136"/>
    </row>
    <row r="8" spans="2:54" ht="13.5" thickBot="1" x14ac:dyDescent="0.25">
      <c r="B8" s="198"/>
      <c r="C8" s="128" t="s">
        <v>118</v>
      </c>
      <c r="D8" s="108"/>
      <c r="E8" s="202">
        <v>2000</v>
      </c>
      <c r="F8" s="108" t="s">
        <v>119</v>
      </c>
      <c r="G8" s="108"/>
      <c r="H8" s="19"/>
      <c r="J8" s="132"/>
      <c r="K8" s="133"/>
      <c r="L8" s="134"/>
      <c r="M8" s="133"/>
      <c r="N8" s="133"/>
      <c r="O8" s="133"/>
      <c r="P8" s="135"/>
    </row>
    <row r="9" spans="2:54" x14ac:dyDescent="0.2">
      <c r="B9" s="198"/>
      <c r="C9" s="128"/>
      <c r="D9" s="108"/>
      <c r="E9" s="201"/>
      <c r="F9" s="108"/>
      <c r="G9" s="108"/>
      <c r="H9" s="19"/>
      <c r="L9" s="137"/>
    </row>
    <row r="10" spans="2:54" ht="18.75" thickBot="1" x14ac:dyDescent="0.3">
      <c r="B10" s="198"/>
      <c r="C10" s="128" t="s">
        <v>120</v>
      </c>
      <c r="D10" s="108"/>
      <c r="E10" s="203">
        <v>0.9</v>
      </c>
      <c r="F10" s="108"/>
      <c r="G10" s="108"/>
      <c r="H10" s="19"/>
      <c r="J10" s="95" t="s">
        <v>121</v>
      </c>
      <c r="L10" s="137"/>
    </row>
    <row r="11" spans="2:54" x14ac:dyDescent="0.2">
      <c r="B11" s="198"/>
      <c r="C11" s="128"/>
      <c r="D11" s="108"/>
      <c r="E11" s="201"/>
      <c r="F11" s="108"/>
      <c r="G11" s="108"/>
      <c r="H11" s="19"/>
      <c r="J11" s="104"/>
      <c r="K11" s="105"/>
      <c r="L11" s="141"/>
      <c r="M11" s="105"/>
      <c r="N11" s="105"/>
      <c r="O11" s="105"/>
      <c r="P11" s="106"/>
    </row>
    <row r="12" spans="2:54" x14ac:dyDescent="0.2">
      <c r="B12" s="198"/>
      <c r="C12" s="128" t="s">
        <v>122</v>
      </c>
      <c r="D12" s="108"/>
      <c r="E12" s="203">
        <v>0.184</v>
      </c>
      <c r="F12" s="108"/>
      <c r="G12" s="108"/>
      <c r="H12" s="19"/>
      <c r="J12" s="112"/>
      <c r="K12" s="113" t="s">
        <v>58</v>
      </c>
      <c r="L12" s="197">
        <f>IF(E12=0,"",IF(L16="","",L16/E12))</f>
        <v>0.96496977641832349</v>
      </c>
      <c r="M12" s="115" t="s">
        <v>107</v>
      </c>
      <c r="N12" s="115"/>
      <c r="O12" s="115"/>
      <c r="P12" s="116"/>
    </row>
    <row r="13" spans="2:54" x14ac:dyDescent="0.2">
      <c r="B13" s="198"/>
      <c r="C13" s="128"/>
      <c r="D13" s="108"/>
      <c r="E13" s="201"/>
      <c r="F13" s="108"/>
      <c r="G13" s="108"/>
      <c r="H13" s="19"/>
      <c r="J13" s="112"/>
      <c r="K13" s="120"/>
      <c r="L13" s="121"/>
      <c r="M13" s="122"/>
      <c r="N13" s="122"/>
      <c r="O13" s="122"/>
      <c r="P13" s="116"/>
    </row>
    <row r="14" spans="2:54" x14ac:dyDescent="0.2">
      <c r="B14" s="198"/>
      <c r="C14" s="128" t="s">
        <v>123</v>
      </c>
      <c r="D14" s="108"/>
      <c r="E14" s="203">
        <v>0.59</v>
      </c>
      <c r="F14" s="108"/>
      <c r="G14" s="108"/>
      <c r="H14" s="19"/>
      <c r="J14" s="123"/>
      <c r="K14" s="113" t="s">
        <v>58</v>
      </c>
      <c r="L14" s="197">
        <f>IF(E14=0,"",IF(L16="","",L16/E14))</f>
        <v>0.30093972688300258</v>
      </c>
      <c r="M14" s="115" t="s">
        <v>108</v>
      </c>
      <c r="N14" s="115"/>
      <c r="O14" s="115"/>
      <c r="P14" s="116"/>
    </row>
    <row r="15" spans="2:54" x14ac:dyDescent="0.2">
      <c r="B15" s="198"/>
      <c r="C15" s="128"/>
      <c r="D15" s="108"/>
      <c r="E15" s="201"/>
      <c r="F15" s="108"/>
      <c r="G15" s="108"/>
      <c r="H15" s="19"/>
      <c r="J15" s="123"/>
      <c r="K15" s="120"/>
      <c r="L15" s="121"/>
      <c r="M15" s="122"/>
      <c r="N15" s="122"/>
      <c r="O15" s="122"/>
      <c r="P15" s="116"/>
    </row>
    <row r="16" spans="2:54" x14ac:dyDescent="0.2">
      <c r="B16" s="198"/>
      <c r="C16" s="128" t="s">
        <v>124</v>
      </c>
      <c r="D16" s="108"/>
      <c r="E16" s="202">
        <v>80</v>
      </c>
      <c r="F16" s="108" t="s">
        <v>82</v>
      </c>
      <c r="G16" s="108"/>
      <c r="H16" s="19"/>
      <c r="J16" s="123"/>
      <c r="K16" s="113" t="s">
        <v>58</v>
      </c>
      <c r="L16" s="197">
        <f>IF(E8=0,"",IF(E10=0,"",($E$6+$E$16*IF($E$20="",0,IF(E20=0,0,$E$18/E20)))/$E$8/$E$10/(1-$E$22)))</f>
        <v>0.17755443886097153</v>
      </c>
      <c r="M16" s="115" t="s">
        <v>109</v>
      </c>
      <c r="N16" s="115"/>
      <c r="O16" s="115"/>
      <c r="P16" s="116"/>
    </row>
    <row r="17" spans="2:16" ht="13.5" thickBot="1" x14ac:dyDescent="0.25">
      <c r="B17" s="198"/>
      <c r="C17" s="128"/>
      <c r="D17" s="108"/>
      <c r="E17" s="201"/>
      <c r="F17" s="108"/>
      <c r="G17" s="108"/>
      <c r="H17" s="19"/>
      <c r="J17" s="132"/>
      <c r="K17" s="133"/>
      <c r="L17" s="134"/>
      <c r="M17" s="133"/>
      <c r="N17" s="133"/>
      <c r="O17" s="133"/>
      <c r="P17" s="135"/>
    </row>
    <row r="18" spans="2:16" x14ac:dyDescent="0.2">
      <c r="B18" s="198"/>
      <c r="C18" s="128" t="s">
        <v>125</v>
      </c>
      <c r="D18" s="169" t="s">
        <v>58</v>
      </c>
      <c r="E18" s="200">
        <v>4.5</v>
      </c>
      <c r="F18" s="108" t="s">
        <v>84</v>
      </c>
      <c r="G18" s="108"/>
      <c r="H18" s="19"/>
      <c r="L18" s="137"/>
    </row>
    <row r="19" spans="2:16" ht="18.75" thickBot="1" x14ac:dyDescent="0.3">
      <c r="B19" s="198"/>
      <c r="C19" s="128"/>
      <c r="D19" s="108"/>
      <c r="E19" s="201"/>
      <c r="F19" s="108"/>
      <c r="G19" s="108"/>
      <c r="H19" s="19"/>
      <c r="J19" s="95" t="s">
        <v>126</v>
      </c>
      <c r="L19" s="137"/>
    </row>
    <row r="20" spans="2:16" x14ac:dyDescent="0.2">
      <c r="B20" s="198"/>
      <c r="C20" s="128" t="str">
        <f>CONCATENATE("How many ",$F$20,"s are hauled per load?")</f>
        <v>How many tons are hauled per load?</v>
      </c>
      <c r="D20" s="108"/>
      <c r="E20" s="202">
        <v>20</v>
      </c>
      <c r="F20" s="108" t="str">
        <f>IF(E8=2000,"ton",IF(E8=100,"hundredweight",IF(E8&gt;31,IF(E8&lt;71,"bushel","unit"),"unit")))</f>
        <v>ton</v>
      </c>
      <c r="G20" s="108"/>
      <c r="H20" s="19"/>
      <c r="J20" s="104"/>
      <c r="K20" s="105"/>
      <c r="L20" s="141"/>
      <c r="M20" s="105"/>
      <c r="N20" s="105"/>
      <c r="O20" s="105"/>
      <c r="P20" s="106"/>
    </row>
    <row r="21" spans="2:16" x14ac:dyDescent="0.2">
      <c r="B21" s="198"/>
      <c r="C21" s="128"/>
      <c r="D21" s="108"/>
      <c r="E21" s="201"/>
      <c r="F21" s="108"/>
      <c r="G21" s="108"/>
      <c r="H21" s="19"/>
      <c r="J21" s="112"/>
      <c r="K21" s="113" t="s">
        <v>58</v>
      </c>
      <c r="L21" s="197">
        <f>IF(E12=0,"",IF(L25="","",L25/E12))</f>
        <v>0.97776676776749616</v>
      </c>
      <c r="M21" s="115" t="s">
        <v>107</v>
      </c>
      <c r="N21" s="115"/>
      <c r="O21" s="115"/>
      <c r="P21" s="116"/>
    </row>
    <row r="22" spans="2:16" x14ac:dyDescent="0.2">
      <c r="B22" s="198"/>
      <c r="C22" s="128" t="s">
        <v>127</v>
      </c>
      <c r="D22" s="108"/>
      <c r="E22" s="203">
        <v>5.0000000000000001E-3</v>
      </c>
      <c r="F22" s="108"/>
      <c r="G22" s="108"/>
      <c r="H22" s="19"/>
      <c r="J22" s="112"/>
      <c r="K22" s="120"/>
      <c r="L22" s="121"/>
      <c r="M22" s="122"/>
      <c r="N22" s="122"/>
      <c r="O22" s="122"/>
      <c r="P22" s="116"/>
    </row>
    <row r="23" spans="2:16" x14ac:dyDescent="0.2">
      <c r="B23" s="198"/>
      <c r="C23" s="128"/>
      <c r="D23" s="108"/>
      <c r="E23" s="201"/>
      <c r="F23" s="108"/>
      <c r="G23" s="108"/>
      <c r="H23" s="19"/>
      <c r="J23" s="123"/>
      <c r="K23" s="113" t="s">
        <v>58</v>
      </c>
      <c r="L23" s="197">
        <f>IF(E14=0,"",IF(L25="","",L25/E14))</f>
        <v>0.30493065299867678</v>
      </c>
      <c r="M23" s="115" t="s">
        <v>108</v>
      </c>
      <c r="N23" s="115"/>
      <c r="O23" s="115"/>
      <c r="P23" s="116"/>
    </row>
    <row r="24" spans="2:16" x14ac:dyDescent="0.2">
      <c r="B24" s="198"/>
      <c r="C24" s="128" t="s">
        <v>128</v>
      </c>
      <c r="D24" s="169" t="s">
        <v>58</v>
      </c>
      <c r="E24" s="200">
        <v>1</v>
      </c>
      <c r="F24" s="108" t="str">
        <f>CONCATENATE("per ",$F$20)</f>
        <v>per ton</v>
      </c>
      <c r="G24" s="108"/>
      <c r="H24" s="19"/>
      <c r="J24" s="123"/>
      <c r="K24" s="120"/>
      <c r="L24" s="121"/>
      <c r="M24" s="122"/>
      <c r="N24" s="122"/>
      <c r="O24" s="122"/>
      <c r="P24" s="116"/>
    </row>
    <row r="25" spans="2:16" x14ac:dyDescent="0.2">
      <c r="B25" s="198"/>
      <c r="C25" s="128"/>
      <c r="D25" s="108"/>
      <c r="E25" s="201"/>
      <c r="F25" s="108"/>
      <c r="G25" s="108"/>
      <c r="H25" s="19"/>
      <c r="J25" s="123"/>
      <c r="K25" s="113" t="s">
        <v>58</v>
      </c>
      <c r="L25" s="197">
        <f>IF(E8=0,"",IF(E10=0,"",IF(E20=0,"",(E6+E16*E18/E20+E24*(1-E22))/E8/E10/(1-E22)/(1-E26))))</f>
        <v>0.17990908526921928</v>
      </c>
      <c r="M25" s="115" t="s">
        <v>109</v>
      </c>
      <c r="N25" s="115"/>
      <c r="O25" s="115"/>
      <c r="P25" s="116"/>
    </row>
    <row r="26" spans="2:16" ht="13.5" thickBot="1" x14ac:dyDescent="0.25">
      <c r="B26" s="198"/>
      <c r="C26" s="128" t="s">
        <v>129</v>
      </c>
      <c r="D26" s="108"/>
      <c r="E26" s="203">
        <v>0.01</v>
      </c>
      <c r="F26" s="108"/>
      <c r="G26" s="108"/>
      <c r="H26" s="19"/>
      <c r="J26" s="132"/>
      <c r="K26" s="133"/>
      <c r="L26" s="134"/>
      <c r="M26" s="133"/>
      <c r="N26" s="133"/>
      <c r="O26" s="133"/>
      <c r="P26" s="135"/>
    </row>
    <row r="27" spans="2:16" x14ac:dyDescent="0.2">
      <c r="B27" s="198"/>
      <c r="C27" s="128"/>
      <c r="D27" s="108"/>
      <c r="E27" s="201"/>
      <c r="F27" s="108"/>
      <c r="G27" s="108"/>
      <c r="H27" s="19"/>
      <c r="L27" s="137"/>
    </row>
    <row r="28" spans="2:16" ht="18.75" thickBot="1" x14ac:dyDescent="0.3">
      <c r="B28" s="198"/>
      <c r="C28" s="128" t="s">
        <v>130</v>
      </c>
      <c r="D28" s="169" t="s">
        <v>58</v>
      </c>
      <c r="E28" s="200">
        <v>7</v>
      </c>
      <c r="F28" s="108" t="str">
        <f>CONCATENATE("per ",$F$20)</f>
        <v>per ton</v>
      </c>
      <c r="G28" s="108"/>
      <c r="H28" s="19"/>
      <c r="J28" s="95" t="s">
        <v>131</v>
      </c>
      <c r="L28" s="137"/>
    </row>
    <row r="29" spans="2:16" x14ac:dyDescent="0.2">
      <c r="B29" s="198"/>
      <c r="C29" s="128"/>
      <c r="D29" s="108"/>
      <c r="E29" s="201"/>
      <c r="F29" s="108"/>
      <c r="G29" s="108"/>
      <c r="H29" s="19"/>
      <c r="J29" s="104"/>
      <c r="K29" s="105"/>
      <c r="L29" s="141"/>
      <c r="M29" s="105"/>
      <c r="N29" s="105"/>
      <c r="O29" s="105"/>
      <c r="P29" s="106"/>
    </row>
    <row r="30" spans="2:16" x14ac:dyDescent="0.2">
      <c r="B30" s="198"/>
      <c r="C30" s="128" t="s">
        <v>132</v>
      </c>
      <c r="D30" s="108"/>
      <c r="E30" s="203">
        <v>0.1</v>
      </c>
      <c r="F30" s="108"/>
      <c r="G30" s="108"/>
      <c r="H30" s="19"/>
      <c r="J30" s="112"/>
      <c r="K30" s="113" t="s">
        <v>58</v>
      </c>
      <c r="L30" s="197">
        <f>IF(E12=0,"",IF(L34="","",L34/E12))</f>
        <v>1.1098911482977547</v>
      </c>
      <c r="M30" s="115" t="s">
        <v>107</v>
      </c>
      <c r="N30" s="115"/>
      <c r="O30" s="115"/>
      <c r="P30" s="116"/>
    </row>
    <row r="31" spans="2:16" ht="13.5" thickBot="1" x14ac:dyDescent="0.25">
      <c r="B31" s="36"/>
      <c r="C31" s="37"/>
      <c r="D31" s="37"/>
      <c r="E31" s="37"/>
      <c r="F31" s="37"/>
      <c r="G31" s="37"/>
      <c r="H31" s="38"/>
      <c r="J31" s="112"/>
      <c r="K31" s="120"/>
      <c r="L31" s="121"/>
      <c r="M31" s="122"/>
      <c r="N31" s="122"/>
      <c r="O31" s="122"/>
      <c r="P31" s="116"/>
    </row>
    <row r="32" spans="2:16" x14ac:dyDescent="0.2">
      <c r="J32" s="123"/>
      <c r="K32" s="113" t="s">
        <v>58</v>
      </c>
      <c r="L32" s="197">
        <f>IF(E14=0,"",IF(L34="","",L34/E14))</f>
        <v>0.34613554455387602</v>
      </c>
      <c r="M32" s="115" t="s">
        <v>108</v>
      </c>
      <c r="N32" s="115"/>
      <c r="O32" s="115"/>
      <c r="P32" s="116"/>
    </row>
    <row r="33" spans="10:16" x14ac:dyDescent="0.2">
      <c r="J33" s="123"/>
      <c r="K33" s="120"/>
      <c r="L33" s="121"/>
      <c r="M33" s="122"/>
      <c r="N33" s="122"/>
      <c r="O33" s="122"/>
      <c r="P33" s="116"/>
    </row>
    <row r="34" spans="10:16" x14ac:dyDescent="0.2">
      <c r="J34" s="123"/>
      <c r="K34" s="113" t="s">
        <v>58</v>
      </c>
      <c r="L34" s="197">
        <f>IF(E8=0,"",IF(E10=0,"",IF(E20=0,"",(E6+E16*E18/E20+E24*(1-E22)+E28*(1-E22)*(1-E26))/E8/E10/(1-E22)/(1-E26)/(1-E30))))</f>
        <v>0.20421997128678684</v>
      </c>
      <c r="M34" s="115" t="s">
        <v>109</v>
      </c>
      <c r="N34" s="115"/>
      <c r="O34" s="115"/>
      <c r="P34" s="116"/>
    </row>
    <row r="35" spans="10:16" ht="13.5" thickBot="1" x14ac:dyDescent="0.25">
      <c r="J35" s="132"/>
      <c r="K35" s="133"/>
      <c r="L35" s="133"/>
      <c r="M35" s="133"/>
      <c r="N35" s="133"/>
      <c r="O35" s="133"/>
      <c r="P35" s="135"/>
    </row>
  </sheetData>
  <sheetProtection sheet="1" objects="1" scenarios="1"/>
  <mergeCells count="1">
    <mergeCell ref="E4:G4"/>
  </mergeCells>
  <phoneticPr fontId="2" type="noConversion"/>
  <dataValidations count="2">
    <dataValidation type="decimal" operator="greaterThanOrEqual" allowBlank="1" showInputMessage="1" showErrorMessage="1" errorTitle="Restricted Data Entry" error="Only numbers greater than or equal to zero can be entered in this cell." sqref="E6 E16 E18 E20 E22 E24 E26 E28 E30">
      <formula1>0</formula1>
    </dataValidation>
    <dataValidation type="decimal" operator="greaterThan" allowBlank="1" showInputMessage="1" showErrorMessage="1" errorTitle="Restricted Data Entry" error="Only numbers greater than zero can be entered into this cell." sqref="E8 E10 E12 E14">
      <formula1>0</formula1>
    </dataValidation>
  </dataValidations>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B1:BB35"/>
  <sheetViews>
    <sheetView workbookViewId="0">
      <selection activeCell="E9" sqref="E9"/>
    </sheetView>
  </sheetViews>
  <sheetFormatPr defaultRowHeight="12.75" x14ac:dyDescent="0.2"/>
  <cols>
    <col min="1" max="1" width="4" style="6" customWidth="1"/>
    <col min="2" max="2" width="4.42578125" style="6" customWidth="1"/>
    <col min="3" max="3" width="36.85546875" style="6" customWidth="1"/>
    <col min="4" max="4" width="9.140625" style="6"/>
    <col min="5" max="5" width="10.7109375" style="6" customWidth="1"/>
    <col min="6" max="7" width="9.140625" style="6"/>
    <col min="8" max="9" width="4.85546875" style="6" customWidth="1"/>
    <col min="10" max="10" width="4.5703125" style="6" customWidth="1"/>
    <col min="11" max="11" width="3.7109375" style="6" customWidth="1"/>
    <col min="12" max="12" width="9.5703125" style="6" bestFit="1" customWidth="1"/>
    <col min="13" max="13" width="9.140625" style="6"/>
    <col min="14" max="14" width="13.7109375" style="6" bestFit="1" customWidth="1"/>
    <col min="15" max="15" width="13.7109375" style="6" customWidth="1"/>
    <col min="16" max="16" width="4.5703125" style="6" customWidth="1"/>
    <col min="17" max="17" width="19.28515625" style="6" bestFit="1" customWidth="1"/>
    <col min="18" max="16384" width="9.140625" style="6"/>
  </cols>
  <sheetData>
    <row r="1" spans="2:54" ht="18.75" thickBot="1" x14ac:dyDescent="0.3">
      <c r="B1" s="6">
        <v>4</v>
      </c>
      <c r="J1" s="95" t="s">
        <v>110</v>
      </c>
    </row>
    <row r="2" spans="2:54" ht="18.75" thickBot="1" x14ac:dyDescent="0.3">
      <c r="B2" s="95" t="s">
        <v>111</v>
      </c>
      <c r="J2" s="104"/>
      <c r="K2" s="105"/>
      <c r="L2" s="105"/>
      <c r="M2" s="105"/>
      <c r="N2" s="105"/>
      <c r="O2" s="105"/>
      <c r="P2" s="106"/>
    </row>
    <row r="3" spans="2:54" x14ac:dyDescent="0.2">
      <c r="B3" s="196"/>
      <c r="C3" s="97"/>
      <c r="D3" s="97"/>
      <c r="E3" s="97"/>
      <c r="F3" s="97"/>
      <c r="G3" s="97"/>
      <c r="H3" s="52"/>
      <c r="J3" s="112"/>
      <c r="K3" s="113" t="s">
        <v>58</v>
      </c>
      <c r="L3" s="197">
        <f>IF(E12=0,"",IF(L7="","",L7/E12))</f>
        <v>4.1035353535353536E-2</v>
      </c>
      <c r="M3" s="115" t="s">
        <v>107</v>
      </c>
      <c r="N3" s="115"/>
      <c r="O3" s="115"/>
      <c r="P3" s="116"/>
    </row>
    <row r="4" spans="2:54" x14ac:dyDescent="0.2">
      <c r="B4" s="198"/>
      <c r="C4" s="128" t="s">
        <v>112</v>
      </c>
      <c r="D4" s="108"/>
      <c r="E4" s="241" t="s">
        <v>133</v>
      </c>
      <c r="F4" s="241"/>
      <c r="G4" s="241"/>
      <c r="H4" s="199"/>
      <c r="I4" s="127"/>
      <c r="J4" s="112"/>
      <c r="K4" s="120"/>
      <c r="L4" s="121"/>
      <c r="M4" s="122"/>
      <c r="N4" s="122"/>
      <c r="O4" s="122"/>
      <c r="P4" s="116"/>
      <c r="AH4" s="6" t="s">
        <v>6</v>
      </c>
      <c r="AI4" s="6" t="s">
        <v>30</v>
      </c>
      <c r="AJ4" s="6" t="s">
        <v>113</v>
      </c>
      <c r="AK4" s="6" t="s">
        <v>33</v>
      </c>
      <c r="AL4" s="6" t="s">
        <v>114</v>
      </c>
      <c r="AM4" s="6" t="s">
        <v>115</v>
      </c>
      <c r="AQ4" s="6" t="s">
        <v>41</v>
      </c>
      <c r="AR4" s="6" t="s">
        <v>82</v>
      </c>
      <c r="AS4" s="6" t="s">
        <v>42</v>
      </c>
      <c r="AU4" s="6" t="s">
        <v>44</v>
      </c>
      <c r="AW4" s="6" t="s">
        <v>30</v>
      </c>
      <c r="AX4" s="6" t="s">
        <v>44</v>
      </c>
      <c r="AZ4" s="6" t="s">
        <v>30</v>
      </c>
      <c r="BA4" s="6" t="s">
        <v>44</v>
      </c>
      <c r="BB4" s="6" t="s">
        <v>116</v>
      </c>
    </row>
    <row r="5" spans="2:54" x14ac:dyDescent="0.2">
      <c r="B5" s="198"/>
      <c r="C5" s="128"/>
      <c r="D5" s="108"/>
      <c r="E5" s="108"/>
      <c r="F5" s="108"/>
      <c r="G5" s="108"/>
      <c r="H5" s="19"/>
      <c r="I5" s="127"/>
      <c r="J5" s="123"/>
      <c r="K5" s="113" t="s">
        <v>58</v>
      </c>
      <c r="L5" s="197">
        <f>IF(E14=0,"",IF(L7="","",L7/E14))</f>
        <v>4.7963400236127503E-3</v>
      </c>
      <c r="M5" s="115" t="s">
        <v>108</v>
      </c>
      <c r="N5" s="115"/>
      <c r="O5" s="115"/>
      <c r="P5" s="116"/>
    </row>
    <row r="6" spans="2:54" x14ac:dyDescent="0.2">
      <c r="B6" s="198"/>
      <c r="C6" s="128" t="s">
        <v>117</v>
      </c>
      <c r="D6" s="169" t="s">
        <v>58</v>
      </c>
      <c r="E6" s="200">
        <v>6.5</v>
      </c>
      <c r="F6" s="108"/>
      <c r="G6" s="108"/>
      <c r="H6" s="19"/>
      <c r="J6" s="123"/>
      <c r="K6" s="120"/>
      <c r="L6" s="121"/>
      <c r="M6" s="122"/>
      <c r="N6" s="122"/>
      <c r="O6" s="122"/>
      <c r="P6" s="116"/>
      <c r="AG6" s="6">
        <v>1</v>
      </c>
      <c r="AH6" s="6" t="str">
        <f>E4</f>
        <v>Corn</v>
      </c>
      <c r="AI6" s="136">
        <f>E6</f>
        <v>6.5</v>
      </c>
      <c r="AJ6" s="136">
        <f>E8</f>
        <v>2000</v>
      </c>
      <c r="AK6" s="136">
        <f>E10</f>
        <v>0.88</v>
      </c>
      <c r="AL6" s="136">
        <f>E12</f>
        <v>0.09</v>
      </c>
      <c r="AM6" s="136">
        <f>E14</f>
        <v>0.77</v>
      </c>
      <c r="AQ6" s="136">
        <f>E18</f>
        <v>5</v>
      </c>
      <c r="AR6" s="136">
        <f>E16</f>
        <v>60</v>
      </c>
      <c r="AS6" s="136">
        <f>E20</f>
        <v>900</v>
      </c>
      <c r="AU6" s="136">
        <f>E22</f>
        <v>5.0000000000000001E-3</v>
      </c>
      <c r="AW6" s="136">
        <f>E24</f>
        <v>0.25</v>
      </c>
      <c r="AX6" s="136">
        <f>E26</f>
        <v>0.02</v>
      </c>
      <c r="AZ6" s="136">
        <f>E28</f>
        <v>0.1</v>
      </c>
      <c r="BA6" s="136">
        <f>E30</f>
        <v>0.05</v>
      </c>
    </row>
    <row r="7" spans="2:54" x14ac:dyDescent="0.2">
      <c r="B7" s="198"/>
      <c r="C7" s="128"/>
      <c r="D7" s="108"/>
      <c r="E7" s="201"/>
      <c r="F7" s="108"/>
      <c r="G7" s="108"/>
      <c r="H7" s="19"/>
      <c r="J7" s="123"/>
      <c r="K7" s="113" t="s">
        <v>58</v>
      </c>
      <c r="L7" s="197">
        <f>IF(E8=0,"",IF(E10=0,"",$E$6/$E$8/$E$10))</f>
        <v>3.6931818181818181E-3</v>
      </c>
      <c r="M7" s="115" t="s">
        <v>109</v>
      </c>
      <c r="N7" s="115"/>
      <c r="O7" s="115"/>
      <c r="P7" s="116"/>
      <c r="AI7" s="136"/>
      <c r="AJ7" s="136"/>
      <c r="AK7" s="136"/>
      <c r="AL7" s="136"/>
      <c r="AM7" s="136"/>
      <c r="AQ7" s="136"/>
      <c r="AR7" s="136"/>
      <c r="AS7" s="136"/>
      <c r="AU7" s="136"/>
      <c r="AW7" s="136"/>
      <c r="AX7" s="136"/>
      <c r="AZ7" s="136"/>
      <c r="BA7" s="136"/>
    </row>
    <row r="8" spans="2:54" ht="13.5" thickBot="1" x14ac:dyDescent="0.25">
      <c r="B8" s="198"/>
      <c r="C8" s="128" t="s">
        <v>118</v>
      </c>
      <c r="D8" s="108"/>
      <c r="E8" s="202">
        <v>2000</v>
      </c>
      <c r="F8" s="108" t="s">
        <v>119</v>
      </c>
      <c r="G8" s="108"/>
      <c r="H8" s="19"/>
      <c r="J8" s="132"/>
      <c r="K8" s="133"/>
      <c r="L8" s="134"/>
      <c r="M8" s="133"/>
      <c r="N8" s="133"/>
      <c r="O8" s="133"/>
      <c r="P8" s="135"/>
    </row>
    <row r="9" spans="2:54" x14ac:dyDescent="0.2">
      <c r="B9" s="198"/>
      <c r="C9" s="128"/>
      <c r="D9" s="108"/>
      <c r="E9" s="201"/>
      <c r="F9" s="108"/>
      <c r="G9" s="108"/>
      <c r="H9" s="19"/>
      <c r="L9" s="137"/>
    </row>
    <row r="10" spans="2:54" ht="18.75" thickBot="1" x14ac:dyDescent="0.3">
      <c r="B10" s="198"/>
      <c r="C10" s="128" t="s">
        <v>120</v>
      </c>
      <c r="D10" s="108"/>
      <c r="E10" s="203">
        <v>0.88</v>
      </c>
      <c r="F10" s="108"/>
      <c r="G10" s="108"/>
      <c r="H10" s="19"/>
      <c r="J10" s="95" t="s">
        <v>121</v>
      </c>
      <c r="L10" s="137"/>
    </row>
    <row r="11" spans="2:54" x14ac:dyDescent="0.2">
      <c r="B11" s="198"/>
      <c r="C11" s="128"/>
      <c r="D11" s="108"/>
      <c r="E11" s="201"/>
      <c r="F11" s="108"/>
      <c r="G11" s="108"/>
      <c r="H11" s="19"/>
      <c r="J11" s="104"/>
      <c r="K11" s="105"/>
      <c r="L11" s="141"/>
      <c r="M11" s="105"/>
      <c r="N11" s="105"/>
      <c r="O11" s="105"/>
      <c r="P11" s="106"/>
    </row>
    <row r="12" spans="2:54" x14ac:dyDescent="0.2">
      <c r="B12" s="198"/>
      <c r="C12" s="128" t="s">
        <v>122</v>
      </c>
      <c r="D12" s="108"/>
      <c r="E12" s="203">
        <v>0.09</v>
      </c>
      <c r="F12" s="108"/>
      <c r="G12" s="108"/>
      <c r="H12" s="19"/>
      <c r="J12" s="112"/>
      <c r="K12" s="113" t="s">
        <v>58</v>
      </c>
      <c r="L12" s="197">
        <f>IF(E12=0,"",IF(L16="","",L16/E12))</f>
        <v>4.3356513205759437E-2</v>
      </c>
      <c r="M12" s="115" t="s">
        <v>107</v>
      </c>
      <c r="N12" s="115"/>
      <c r="O12" s="115"/>
      <c r="P12" s="116"/>
    </row>
    <row r="13" spans="2:54" x14ac:dyDescent="0.2">
      <c r="B13" s="198"/>
      <c r="C13" s="128"/>
      <c r="D13" s="108"/>
      <c r="E13" s="201"/>
      <c r="F13" s="108"/>
      <c r="G13" s="108"/>
      <c r="H13" s="19"/>
      <c r="J13" s="112"/>
      <c r="K13" s="120"/>
      <c r="L13" s="121"/>
      <c r="M13" s="122"/>
      <c r="N13" s="122"/>
      <c r="O13" s="122"/>
      <c r="P13" s="116"/>
    </row>
    <row r="14" spans="2:54" x14ac:dyDescent="0.2">
      <c r="B14" s="198"/>
      <c r="C14" s="128" t="s">
        <v>123</v>
      </c>
      <c r="D14" s="108"/>
      <c r="E14" s="203">
        <v>0.77</v>
      </c>
      <c r="F14" s="108"/>
      <c r="G14" s="108"/>
      <c r="H14" s="19"/>
      <c r="J14" s="123"/>
      <c r="K14" s="113" t="s">
        <v>58</v>
      </c>
      <c r="L14" s="197">
        <f>IF(E14=0,"",IF(L16="","",L16/E14))</f>
        <v>5.0676444006731809E-3</v>
      </c>
      <c r="M14" s="115" t="s">
        <v>108</v>
      </c>
      <c r="N14" s="115"/>
      <c r="O14" s="115"/>
      <c r="P14" s="116"/>
    </row>
    <row r="15" spans="2:54" x14ac:dyDescent="0.2">
      <c r="B15" s="198"/>
      <c r="C15" s="128"/>
      <c r="D15" s="108"/>
      <c r="E15" s="201"/>
      <c r="F15" s="108"/>
      <c r="G15" s="108"/>
      <c r="H15" s="19"/>
      <c r="J15" s="123"/>
      <c r="K15" s="120"/>
      <c r="L15" s="121"/>
      <c r="M15" s="122"/>
      <c r="N15" s="122"/>
      <c r="O15" s="122"/>
      <c r="P15" s="116"/>
    </row>
    <row r="16" spans="2:54" x14ac:dyDescent="0.2">
      <c r="B16" s="198"/>
      <c r="C16" s="128" t="s">
        <v>124</v>
      </c>
      <c r="D16" s="108"/>
      <c r="E16" s="202">
        <v>60</v>
      </c>
      <c r="F16" s="108" t="s">
        <v>82</v>
      </c>
      <c r="G16" s="108"/>
      <c r="H16" s="19"/>
      <c r="J16" s="123"/>
      <c r="K16" s="113" t="s">
        <v>58</v>
      </c>
      <c r="L16" s="197">
        <f>IF(E8=0,"",IF(E10=0,"",($E$6+$E$16*IF($E$20="",0,IF(E20=0,0,$E$18/E20)))/$E$8/$E$10/(1-$E$22)))</f>
        <v>3.9020861885183493E-3</v>
      </c>
      <c r="M16" s="115" t="s">
        <v>109</v>
      </c>
      <c r="N16" s="115"/>
      <c r="O16" s="115"/>
      <c r="P16" s="116"/>
    </row>
    <row r="17" spans="2:16" ht="13.5" thickBot="1" x14ac:dyDescent="0.25">
      <c r="B17" s="198"/>
      <c r="C17" s="128"/>
      <c r="D17" s="108"/>
      <c r="E17" s="201"/>
      <c r="F17" s="108"/>
      <c r="G17" s="108"/>
      <c r="H17" s="19"/>
      <c r="J17" s="132"/>
      <c r="K17" s="133"/>
      <c r="L17" s="134"/>
      <c r="M17" s="133"/>
      <c r="N17" s="133"/>
      <c r="O17" s="133"/>
      <c r="P17" s="135"/>
    </row>
    <row r="18" spans="2:16" x14ac:dyDescent="0.2">
      <c r="B18" s="198"/>
      <c r="C18" s="128" t="s">
        <v>125</v>
      </c>
      <c r="D18" s="169" t="s">
        <v>58</v>
      </c>
      <c r="E18" s="200">
        <v>5</v>
      </c>
      <c r="F18" s="108" t="s">
        <v>84</v>
      </c>
      <c r="G18" s="108"/>
      <c r="H18" s="19"/>
      <c r="L18" s="137"/>
    </row>
    <row r="19" spans="2:16" ht="18.75" thickBot="1" x14ac:dyDescent="0.3">
      <c r="B19" s="198"/>
      <c r="C19" s="128"/>
      <c r="D19" s="108"/>
      <c r="E19" s="201"/>
      <c r="F19" s="108"/>
      <c r="G19" s="108"/>
      <c r="H19" s="19"/>
      <c r="J19" s="95" t="s">
        <v>126</v>
      </c>
      <c r="L19" s="137"/>
    </row>
    <row r="20" spans="2:16" x14ac:dyDescent="0.2">
      <c r="B20" s="198"/>
      <c r="C20" s="128" t="str">
        <f>CONCATENATE("How many ",$F$20,"s are hauled per load?")</f>
        <v>How many tons are hauled per load?</v>
      </c>
      <c r="D20" s="108"/>
      <c r="E20" s="202">
        <v>900</v>
      </c>
      <c r="F20" s="108" t="str">
        <f>IF(E8=2000,"ton",IF(E8=100,"hundredweight",IF(E8&gt;31,IF(E8&lt;71,"bushel","unit"),"unit")))</f>
        <v>ton</v>
      </c>
      <c r="G20" s="108"/>
      <c r="H20" s="19"/>
      <c r="J20" s="104"/>
      <c r="K20" s="105"/>
      <c r="L20" s="141"/>
      <c r="M20" s="105"/>
      <c r="N20" s="105"/>
      <c r="O20" s="105"/>
      <c r="P20" s="106"/>
    </row>
    <row r="21" spans="2:16" x14ac:dyDescent="0.2">
      <c r="B21" s="198"/>
      <c r="C21" s="128"/>
      <c r="D21" s="108"/>
      <c r="E21" s="201"/>
      <c r="F21" s="108"/>
      <c r="G21" s="108"/>
      <c r="H21" s="19"/>
      <c r="J21" s="112"/>
      <c r="K21" s="113" t="s">
        <v>58</v>
      </c>
      <c r="L21" s="197">
        <f>IF(E12=0,"",IF(L25="","",L25/E12))</f>
        <v>4.585183268779823E-2</v>
      </c>
      <c r="M21" s="115" t="s">
        <v>107</v>
      </c>
      <c r="N21" s="115"/>
      <c r="O21" s="115"/>
      <c r="P21" s="116"/>
    </row>
    <row r="22" spans="2:16" x14ac:dyDescent="0.2">
      <c r="B22" s="198"/>
      <c r="C22" s="128" t="s">
        <v>127</v>
      </c>
      <c r="D22" s="108"/>
      <c r="E22" s="203">
        <v>5.0000000000000001E-3</v>
      </c>
      <c r="F22" s="108"/>
      <c r="G22" s="108"/>
      <c r="H22" s="19"/>
      <c r="J22" s="112"/>
      <c r="K22" s="120"/>
      <c r="L22" s="121"/>
      <c r="M22" s="122"/>
      <c r="N22" s="122"/>
      <c r="O22" s="122"/>
      <c r="P22" s="116"/>
    </row>
    <row r="23" spans="2:16" x14ac:dyDescent="0.2">
      <c r="B23" s="198"/>
      <c r="C23" s="128"/>
      <c r="D23" s="108"/>
      <c r="E23" s="201"/>
      <c r="F23" s="108"/>
      <c r="G23" s="108"/>
      <c r="H23" s="19"/>
      <c r="J23" s="123"/>
      <c r="K23" s="113" t="s">
        <v>58</v>
      </c>
      <c r="L23" s="197">
        <f>IF(E14=0,"",IF(L25="","",L25/E14))</f>
        <v>5.3593051193530396E-3</v>
      </c>
      <c r="M23" s="115" t="s">
        <v>108</v>
      </c>
      <c r="N23" s="115"/>
      <c r="O23" s="115"/>
      <c r="P23" s="116"/>
    </row>
    <row r="24" spans="2:16" x14ac:dyDescent="0.2">
      <c r="B24" s="198"/>
      <c r="C24" s="128" t="s">
        <v>128</v>
      </c>
      <c r="D24" s="169" t="s">
        <v>58</v>
      </c>
      <c r="E24" s="200">
        <v>0.25</v>
      </c>
      <c r="F24" s="108" t="str">
        <f>CONCATENATE("per ",$F$20)</f>
        <v>per ton</v>
      </c>
      <c r="G24" s="108"/>
      <c r="H24" s="19"/>
      <c r="J24" s="123"/>
      <c r="K24" s="120"/>
      <c r="L24" s="121"/>
      <c r="M24" s="122"/>
      <c r="N24" s="122"/>
      <c r="O24" s="122"/>
      <c r="P24" s="116"/>
    </row>
    <row r="25" spans="2:16" x14ac:dyDescent="0.2">
      <c r="B25" s="198"/>
      <c r="C25" s="128"/>
      <c r="D25" s="108"/>
      <c r="E25" s="201"/>
      <c r="F25" s="108"/>
      <c r="G25" s="108"/>
      <c r="H25" s="19"/>
      <c r="J25" s="123"/>
      <c r="K25" s="113" t="s">
        <v>58</v>
      </c>
      <c r="L25" s="197">
        <f>IF(E8=0,"",IF(E10=0,"",IF(E20=0,"",(E6+E16*E18/E20+E24*(1-E22))/E8/E10/(1-E22)/(1-E26))))</f>
        <v>4.1266649419018408E-3</v>
      </c>
      <c r="M25" s="115" t="s">
        <v>109</v>
      </c>
      <c r="N25" s="115"/>
      <c r="O25" s="115"/>
      <c r="P25" s="116"/>
    </row>
    <row r="26" spans="2:16" ht="13.5" thickBot="1" x14ac:dyDescent="0.25">
      <c r="B26" s="198"/>
      <c r="C26" s="128" t="s">
        <v>129</v>
      </c>
      <c r="D26" s="108"/>
      <c r="E26" s="203">
        <v>0.02</v>
      </c>
      <c r="F26" s="108"/>
      <c r="G26" s="108"/>
      <c r="H26" s="19"/>
      <c r="J26" s="132"/>
      <c r="K26" s="133"/>
      <c r="L26" s="134"/>
      <c r="M26" s="133"/>
      <c r="N26" s="133"/>
      <c r="O26" s="133"/>
      <c r="P26" s="135"/>
    </row>
    <row r="27" spans="2:16" x14ac:dyDescent="0.2">
      <c r="B27" s="198"/>
      <c r="C27" s="128"/>
      <c r="D27" s="108"/>
      <c r="E27" s="201"/>
      <c r="F27" s="108"/>
      <c r="G27" s="108"/>
      <c r="H27" s="19"/>
      <c r="L27" s="137"/>
    </row>
    <row r="28" spans="2:16" ht="18.75" thickBot="1" x14ac:dyDescent="0.3">
      <c r="B28" s="198"/>
      <c r="C28" s="128" t="s">
        <v>130</v>
      </c>
      <c r="D28" s="169" t="s">
        <v>58</v>
      </c>
      <c r="E28" s="200">
        <v>0.1</v>
      </c>
      <c r="F28" s="108" t="str">
        <f>CONCATENATE("per ",$F$20)</f>
        <v>per ton</v>
      </c>
      <c r="G28" s="108"/>
      <c r="H28" s="19"/>
      <c r="J28" s="95" t="s">
        <v>131</v>
      </c>
      <c r="L28" s="137"/>
    </row>
    <row r="29" spans="2:16" x14ac:dyDescent="0.2">
      <c r="B29" s="198"/>
      <c r="C29" s="128"/>
      <c r="D29" s="108"/>
      <c r="E29" s="201"/>
      <c r="F29" s="108"/>
      <c r="G29" s="108"/>
      <c r="H29" s="19"/>
      <c r="J29" s="104"/>
      <c r="K29" s="105"/>
      <c r="L29" s="141"/>
      <c r="M29" s="105"/>
      <c r="N29" s="105"/>
      <c r="O29" s="105"/>
      <c r="P29" s="106"/>
    </row>
    <row r="30" spans="2:16" x14ac:dyDescent="0.2">
      <c r="B30" s="198"/>
      <c r="C30" s="128" t="s">
        <v>132</v>
      </c>
      <c r="D30" s="108"/>
      <c r="E30" s="203">
        <v>0.05</v>
      </c>
      <c r="F30" s="108"/>
      <c r="G30" s="108"/>
      <c r="H30" s="19"/>
      <c r="J30" s="112"/>
      <c r="K30" s="113" t="s">
        <v>58</v>
      </c>
      <c r="L30" s="197">
        <f>IF(E12=0,"",IF(L34="","",L34/E12))</f>
        <v>4.892962717801197E-2</v>
      </c>
      <c r="M30" s="115" t="s">
        <v>107</v>
      </c>
      <c r="N30" s="115"/>
      <c r="O30" s="115"/>
      <c r="P30" s="116"/>
    </row>
    <row r="31" spans="2:16" ht="13.5" thickBot="1" x14ac:dyDescent="0.25">
      <c r="B31" s="36"/>
      <c r="C31" s="37"/>
      <c r="D31" s="37"/>
      <c r="E31" s="37"/>
      <c r="F31" s="37"/>
      <c r="G31" s="37"/>
      <c r="H31" s="38"/>
      <c r="J31" s="112"/>
      <c r="K31" s="120"/>
      <c r="L31" s="121"/>
      <c r="M31" s="122"/>
      <c r="N31" s="122"/>
      <c r="O31" s="122"/>
      <c r="P31" s="116"/>
    </row>
    <row r="32" spans="2:16" x14ac:dyDescent="0.2">
      <c r="J32" s="123"/>
      <c r="K32" s="113" t="s">
        <v>58</v>
      </c>
      <c r="L32" s="197">
        <f>IF(E14=0,"",IF(L34="","",L34/E14))</f>
        <v>5.7190473324949054E-3</v>
      </c>
      <c r="M32" s="115" t="s">
        <v>108</v>
      </c>
      <c r="N32" s="115"/>
      <c r="O32" s="115"/>
      <c r="P32" s="116"/>
    </row>
    <row r="33" spans="10:16" x14ac:dyDescent="0.2">
      <c r="J33" s="123"/>
      <c r="K33" s="120"/>
      <c r="L33" s="121"/>
      <c r="M33" s="122"/>
      <c r="N33" s="122"/>
      <c r="O33" s="122"/>
      <c r="P33" s="116"/>
    </row>
    <row r="34" spans="10:16" x14ac:dyDescent="0.2">
      <c r="J34" s="123"/>
      <c r="K34" s="113" t="s">
        <v>58</v>
      </c>
      <c r="L34" s="197">
        <f>IF(E8=0,"",IF(E10=0,"",IF(E20=0,"",(E6+E16*E18/E20+E24*(1-E22)+E28*(1-E22)*(1-E26))/E8/E10/(1-E22)/(1-E26)/(1-E30))))</f>
        <v>4.4036664460210774E-3</v>
      </c>
      <c r="M34" s="115" t="s">
        <v>109</v>
      </c>
      <c r="N34" s="115"/>
      <c r="O34" s="115"/>
      <c r="P34" s="116"/>
    </row>
    <row r="35" spans="10:16" ht="13.5" thickBot="1" x14ac:dyDescent="0.25">
      <c r="J35" s="132"/>
      <c r="K35" s="133"/>
      <c r="L35" s="133"/>
      <c r="M35" s="133"/>
      <c r="N35" s="133"/>
      <c r="O35" s="133"/>
      <c r="P35" s="135"/>
    </row>
  </sheetData>
  <sheetProtection sheet="1" objects="1" scenarios="1"/>
  <mergeCells count="1">
    <mergeCell ref="E4:G4"/>
  </mergeCells>
  <phoneticPr fontId="2" type="noConversion"/>
  <dataValidations count="2">
    <dataValidation type="decimal" operator="greaterThanOrEqual" allowBlank="1" showInputMessage="1" showErrorMessage="1" errorTitle="Restricted Data Entry" error="Only numbers greater to or equal to zero can be entered into this cell." sqref="E6 E16 E18 E20 E22 E24 E26 E28 E30">
      <formula1>0</formula1>
    </dataValidation>
    <dataValidation type="decimal" operator="greaterThan" allowBlank="1" showInputMessage="1" showErrorMessage="1" errorTitle="Restricted Data Entry" error="Only numbers greater than zero can be entered into this cell." sqref="E8 E10 E12 E14">
      <formula1>0</formula1>
    </dataValidation>
  </dataValidations>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B1:BB35"/>
  <sheetViews>
    <sheetView workbookViewId="0">
      <selection activeCell="E9" sqref="E9"/>
    </sheetView>
  </sheetViews>
  <sheetFormatPr defaultRowHeight="12.75" x14ac:dyDescent="0.2"/>
  <cols>
    <col min="1" max="1" width="4" style="6" customWidth="1"/>
    <col min="2" max="2" width="4.42578125" style="6" customWidth="1"/>
    <col min="3" max="3" width="36.85546875" style="6" customWidth="1"/>
    <col min="4" max="4" width="9.140625" style="6"/>
    <col min="5" max="5" width="10.7109375" style="6" customWidth="1"/>
    <col min="6" max="7" width="9.140625" style="6"/>
    <col min="8" max="9" width="4.85546875" style="6" customWidth="1"/>
    <col min="10" max="10" width="4.5703125" style="6" customWidth="1"/>
    <col min="11" max="11" width="3.7109375" style="6" customWidth="1"/>
    <col min="12" max="13" width="9.140625" style="6"/>
    <col min="14" max="14" width="13.7109375" style="6" bestFit="1" customWidth="1"/>
    <col min="15" max="15" width="13.7109375" style="6" customWidth="1"/>
    <col min="16" max="16" width="4.5703125" style="6" customWidth="1"/>
    <col min="17" max="17" width="19.28515625" style="6" bestFit="1" customWidth="1"/>
    <col min="18" max="16384" width="9.140625" style="6"/>
  </cols>
  <sheetData>
    <row r="1" spans="2:54" ht="18.75" thickBot="1" x14ac:dyDescent="0.3">
      <c r="B1" s="6">
        <v>5</v>
      </c>
      <c r="J1" s="95" t="s">
        <v>110</v>
      </c>
    </row>
    <row r="2" spans="2:54" ht="18.75" thickBot="1" x14ac:dyDescent="0.3">
      <c r="B2" s="95" t="s">
        <v>111</v>
      </c>
      <c r="J2" s="104"/>
      <c r="K2" s="105"/>
      <c r="L2" s="105"/>
      <c r="M2" s="105"/>
      <c r="N2" s="105"/>
      <c r="O2" s="105"/>
      <c r="P2" s="106"/>
    </row>
    <row r="3" spans="2:54" x14ac:dyDescent="0.2">
      <c r="B3" s="196"/>
      <c r="C3" s="97"/>
      <c r="D3" s="97"/>
      <c r="E3" s="97"/>
      <c r="F3" s="97"/>
      <c r="G3" s="97"/>
      <c r="H3" s="52"/>
      <c r="J3" s="112"/>
      <c r="K3" s="113" t="s">
        <v>58</v>
      </c>
      <c r="L3" s="197" t="str">
        <f>IF(E12=0,"",IF(L7="","",L7/E12))</f>
        <v/>
      </c>
      <c r="M3" s="115" t="s">
        <v>107</v>
      </c>
      <c r="N3" s="115"/>
      <c r="O3" s="115"/>
      <c r="P3" s="116"/>
    </row>
    <row r="4" spans="2:54" x14ac:dyDescent="0.2">
      <c r="B4" s="198"/>
      <c r="C4" s="128" t="s">
        <v>112</v>
      </c>
      <c r="D4" s="108"/>
      <c r="E4" s="241"/>
      <c r="F4" s="241"/>
      <c r="G4" s="241"/>
      <c r="H4" s="199"/>
      <c r="I4" s="127"/>
      <c r="J4" s="112"/>
      <c r="K4" s="120"/>
      <c r="L4" s="121"/>
      <c r="M4" s="122"/>
      <c r="N4" s="122"/>
      <c r="O4" s="122"/>
      <c r="P4" s="116"/>
      <c r="AH4" s="6" t="s">
        <v>6</v>
      </c>
      <c r="AI4" s="6" t="s">
        <v>30</v>
      </c>
      <c r="AJ4" s="6" t="s">
        <v>113</v>
      </c>
      <c r="AK4" s="6" t="s">
        <v>33</v>
      </c>
      <c r="AL4" s="6" t="s">
        <v>114</v>
      </c>
      <c r="AM4" s="6" t="s">
        <v>115</v>
      </c>
      <c r="AQ4" s="6" t="s">
        <v>41</v>
      </c>
      <c r="AR4" s="6" t="s">
        <v>82</v>
      </c>
      <c r="AS4" s="6" t="s">
        <v>42</v>
      </c>
      <c r="AU4" s="6" t="s">
        <v>44</v>
      </c>
      <c r="AW4" s="6" t="s">
        <v>30</v>
      </c>
      <c r="AX4" s="6" t="s">
        <v>44</v>
      </c>
      <c r="AZ4" s="6" t="s">
        <v>30</v>
      </c>
      <c r="BA4" s="6" t="s">
        <v>44</v>
      </c>
      <c r="BB4" s="6" t="s">
        <v>116</v>
      </c>
    </row>
    <row r="5" spans="2:54" x14ac:dyDescent="0.2">
      <c r="B5" s="198"/>
      <c r="C5" s="128"/>
      <c r="D5" s="108"/>
      <c r="E5" s="108"/>
      <c r="F5" s="108"/>
      <c r="G5" s="108"/>
      <c r="H5" s="19"/>
      <c r="I5" s="127"/>
      <c r="J5" s="123"/>
      <c r="K5" s="113" t="s">
        <v>58</v>
      </c>
      <c r="L5" s="197" t="str">
        <f>IF(E14=0,"",IF(L7="","",L7/E14))</f>
        <v/>
      </c>
      <c r="M5" s="115" t="s">
        <v>108</v>
      </c>
      <c r="N5" s="115"/>
      <c r="O5" s="115"/>
      <c r="P5" s="116"/>
    </row>
    <row r="6" spans="2:54" x14ac:dyDescent="0.2">
      <c r="B6" s="198"/>
      <c r="C6" s="128" t="s">
        <v>117</v>
      </c>
      <c r="D6" s="169" t="s">
        <v>58</v>
      </c>
      <c r="E6" s="200"/>
      <c r="F6" s="108"/>
      <c r="G6" s="108"/>
      <c r="H6" s="19"/>
      <c r="J6" s="123"/>
      <c r="K6" s="120"/>
      <c r="L6" s="121"/>
      <c r="M6" s="122"/>
      <c r="N6" s="122"/>
      <c r="O6" s="122"/>
      <c r="P6" s="116"/>
      <c r="AG6" s="6">
        <v>1</v>
      </c>
      <c r="AH6" s="6">
        <f>E4</f>
        <v>0</v>
      </c>
      <c r="AI6" s="136">
        <f>E6</f>
        <v>0</v>
      </c>
      <c r="AJ6" s="136">
        <f>E8</f>
        <v>2000</v>
      </c>
      <c r="AK6" s="136">
        <f>E10</f>
        <v>0</v>
      </c>
      <c r="AL6" s="136">
        <f>E12</f>
        <v>0</v>
      </c>
      <c r="AM6" s="136">
        <f>E14</f>
        <v>0</v>
      </c>
      <c r="AQ6" s="136">
        <f>E18</f>
        <v>0</v>
      </c>
      <c r="AR6" s="136">
        <f>E16</f>
        <v>0</v>
      </c>
      <c r="AS6" s="136">
        <f>E20</f>
        <v>0</v>
      </c>
      <c r="AU6" s="136">
        <f>E22</f>
        <v>0</v>
      </c>
      <c r="AW6" s="136">
        <f>E24</f>
        <v>0</v>
      </c>
      <c r="AX6" s="136">
        <f>E26</f>
        <v>0</v>
      </c>
      <c r="AZ6" s="136">
        <f>E28</f>
        <v>0</v>
      </c>
      <c r="BA6" s="136">
        <f>E30</f>
        <v>0</v>
      </c>
    </row>
    <row r="7" spans="2:54" x14ac:dyDescent="0.2">
      <c r="B7" s="198"/>
      <c r="C7" s="128"/>
      <c r="D7" s="108"/>
      <c r="E7" s="201"/>
      <c r="F7" s="108"/>
      <c r="G7" s="108"/>
      <c r="H7" s="19"/>
      <c r="J7" s="123"/>
      <c r="K7" s="113" t="s">
        <v>58</v>
      </c>
      <c r="L7" s="197" t="str">
        <f>IF(E8=0,"",IF(E10=0,"",$E$6/$E$8/$E$10))</f>
        <v/>
      </c>
      <c r="M7" s="115" t="s">
        <v>109</v>
      </c>
      <c r="N7" s="115"/>
      <c r="O7" s="115"/>
      <c r="P7" s="116"/>
      <c r="AI7" s="136"/>
      <c r="AJ7" s="136"/>
      <c r="AK7" s="136"/>
      <c r="AL7" s="136"/>
      <c r="AM7" s="136"/>
      <c r="AQ7" s="136"/>
      <c r="AR7" s="136"/>
      <c r="AS7" s="136"/>
      <c r="AU7" s="136"/>
      <c r="AW7" s="136"/>
      <c r="AX7" s="136"/>
      <c r="AZ7" s="136"/>
      <c r="BA7" s="136"/>
    </row>
    <row r="8" spans="2:54" ht="13.5" thickBot="1" x14ac:dyDescent="0.25">
      <c r="B8" s="198"/>
      <c r="C8" s="128" t="s">
        <v>118</v>
      </c>
      <c r="D8" s="108"/>
      <c r="E8" s="202">
        <v>2000</v>
      </c>
      <c r="F8" s="108" t="s">
        <v>119</v>
      </c>
      <c r="G8" s="108"/>
      <c r="H8" s="19"/>
      <c r="J8" s="132"/>
      <c r="K8" s="133"/>
      <c r="L8" s="134"/>
      <c r="M8" s="133"/>
      <c r="N8" s="133"/>
      <c r="O8" s="133"/>
      <c r="P8" s="135"/>
    </row>
    <row r="9" spans="2:54" x14ac:dyDescent="0.2">
      <c r="B9" s="198"/>
      <c r="C9" s="128"/>
      <c r="D9" s="108"/>
      <c r="E9" s="201"/>
      <c r="F9" s="108"/>
      <c r="G9" s="108"/>
      <c r="H9" s="19"/>
      <c r="L9" s="137"/>
    </row>
    <row r="10" spans="2:54" ht="18.75" thickBot="1" x14ac:dyDescent="0.3">
      <c r="B10" s="198"/>
      <c r="C10" s="128" t="s">
        <v>120</v>
      </c>
      <c r="D10" s="108"/>
      <c r="E10" s="203"/>
      <c r="F10" s="108"/>
      <c r="G10" s="108"/>
      <c r="H10" s="19"/>
      <c r="J10" s="95" t="s">
        <v>121</v>
      </c>
      <c r="L10" s="137"/>
    </row>
    <row r="11" spans="2:54" x14ac:dyDescent="0.2">
      <c r="B11" s="198"/>
      <c r="C11" s="128"/>
      <c r="D11" s="108"/>
      <c r="E11" s="201"/>
      <c r="F11" s="108"/>
      <c r="G11" s="108"/>
      <c r="H11" s="19"/>
      <c r="J11" s="104"/>
      <c r="K11" s="105"/>
      <c r="L11" s="141"/>
      <c r="M11" s="105"/>
      <c r="N11" s="105"/>
      <c r="O11" s="105"/>
      <c r="P11" s="106"/>
    </row>
    <row r="12" spans="2:54" x14ac:dyDescent="0.2">
      <c r="B12" s="198"/>
      <c r="C12" s="128" t="s">
        <v>122</v>
      </c>
      <c r="D12" s="108"/>
      <c r="E12" s="203"/>
      <c r="F12" s="108"/>
      <c r="G12" s="108"/>
      <c r="H12" s="19"/>
      <c r="J12" s="112"/>
      <c r="K12" s="113" t="s">
        <v>58</v>
      </c>
      <c r="L12" s="197" t="str">
        <f>IF(E12=0,"",IF(L16="","",L16/E12))</f>
        <v/>
      </c>
      <c r="M12" s="115" t="s">
        <v>107</v>
      </c>
      <c r="N12" s="115"/>
      <c r="O12" s="115"/>
      <c r="P12" s="116"/>
    </row>
    <row r="13" spans="2:54" x14ac:dyDescent="0.2">
      <c r="B13" s="198"/>
      <c r="C13" s="128"/>
      <c r="D13" s="108"/>
      <c r="E13" s="201"/>
      <c r="F13" s="108"/>
      <c r="G13" s="108"/>
      <c r="H13" s="19"/>
      <c r="J13" s="112"/>
      <c r="K13" s="120"/>
      <c r="L13" s="121"/>
      <c r="M13" s="122"/>
      <c r="N13" s="122"/>
      <c r="O13" s="122"/>
      <c r="P13" s="116"/>
    </row>
    <row r="14" spans="2:54" x14ac:dyDescent="0.2">
      <c r="B14" s="198"/>
      <c r="C14" s="128" t="s">
        <v>123</v>
      </c>
      <c r="D14" s="108"/>
      <c r="E14" s="203"/>
      <c r="F14" s="108"/>
      <c r="G14" s="108"/>
      <c r="H14" s="19"/>
      <c r="J14" s="123"/>
      <c r="K14" s="113" t="s">
        <v>58</v>
      </c>
      <c r="L14" s="197" t="str">
        <f>IF(E14=0,"",IF(L16="","",L16/E14))</f>
        <v/>
      </c>
      <c r="M14" s="115" t="s">
        <v>108</v>
      </c>
      <c r="N14" s="115"/>
      <c r="O14" s="115"/>
      <c r="P14" s="116"/>
    </row>
    <row r="15" spans="2:54" x14ac:dyDescent="0.2">
      <c r="B15" s="198"/>
      <c r="C15" s="128"/>
      <c r="D15" s="108"/>
      <c r="E15" s="201"/>
      <c r="F15" s="108"/>
      <c r="G15" s="108"/>
      <c r="H15" s="19"/>
      <c r="J15" s="123"/>
      <c r="K15" s="120"/>
      <c r="L15" s="121"/>
      <c r="M15" s="122"/>
      <c r="N15" s="122"/>
      <c r="O15" s="122"/>
      <c r="P15" s="116"/>
    </row>
    <row r="16" spans="2:54" x14ac:dyDescent="0.2">
      <c r="B16" s="198"/>
      <c r="C16" s="128" t="s">
        <v>124</v>
      </c>
      <c r="D16" s="108"/>
      <c r="E16" s="202"/>
      <c r="F16" s="108" t="s">
        <v>82</v>
      </c>
      <c r="G16" s="108"/>
      <c r="H16" s="19"/>
      <c r="J16" s="123"/>
      <c r="K16" s="113" t="s">
        <v>58</v>
      </c>
      <c r="L16" s="197" t="str">
        <f>IF(E8=0,"",IF(E10=0,"",($E$6+$E$16*IF($E$20="",0,IF(E20=0,0,$E$18/E20)))/$E$8/$E$10/(1-$E$22)))</f>
        <v/>
      </c>
      <c r="M16" s="115" t="s">
        <v>109</v>
      </c>
      <c r="N16" s="115"/>
      <c r="O16" s="115"/>
      <c r="P16" s="116"/>
    </row>
    <row r="17" spans="2:16" ht="13.5" thickBot="1" x14ac:dyDescent="0.25">
      <c r="B17" s="198"/>
      <c r="C17" s="128"/>
      <c r="D17" s="108"/>
      <c r="E17" s="201"/>
      <c r="F17" s="108"/>
      <c r="G17" s="108"/>
      <c r="H17" s="19"/>
      <c r="J17" s="132"/>
      <c r="K17" s="133"/>
      <c r="L17" s="134"/>
      <c r="M17" s="133"/>
      <c r="N17" s="133"/>
      <c r="O17" s="133"/>
      <c r="P17" s="135"/>
    </row>
    <row r="18" spans="2:16" x14ac:dyDescent="0.2">
      <c r="B18" s="198"/>
      <c r="C18" s="128" t="s">
        <v>125</v>
      </c>
      <c r="D18" s="169" t="s">
        <v>58</v>
      </c>
      <c r="E18" s="200"/>
      <c r="F18" s="108" t="s">
        <v>84</v>
      </c>
      <c r="G18" s="108"/>
      <c r="H18" s="19"/>
      <c r="L18" s="137"/>
    </row>
    <row r="19" spans="2:16" ht="18.75" thickBot="1" x14ac:dyDescent="0.3">
      <c r="B19" s="198"/>
      <c r="C19" s="128"/>
      <c r="D19" s="108"/>
      <c r="E19" s="201"/>
      <c r="F19" s="108"/>
      <c r="G19" s="108"/>
      <c r="H19" s="19"/>
      <c r="J19" s="95" t="s">
        <v>126</v>
      </c>
      <c r="L19" s="137"/>
    </row>
    <row r="20" spans="2:16" x14ac:dyDescent="0.2">
      <c r="B20" s="198"/>
      <c r="C20" s="128" t="str">
        <f>CONCATENATE("How many ",$F$20,"s are hauled per load?")</f>
        <v>How many tons are hauled per load?</v>
      </c>
      <c r="D20" s="108"/>
      <c r="E20" s="202"/>
      <c r="F20" s="108" t="str">
        <f>IF(E8=2000,"ton",IF(E8=100,"hundredweight",IF(E8&gt;31,IF(E8&lt;71,"bushel","unit"),"unit")))</f>
        <v>ton</v>
      </c>
      <c r="G20" s="108"/>
      <c r="H20" s="19"/>
      <c r="J20" s="104"/>
      <c r="K20" s="105"/>
      <c r="L20" s="141"/>
      <c r="M20" s="105"/>
      <c r="N20" s="105"/>
      <c r="O20" s="105"/>
      <c r="P20" s="106"/>
    </row>
    <row r="21" spans="2:16" x14ac:dyDescent="0.2">
      <c r="B21" s="198"/>
      <c r="C21" s="128"/>
      <c r="D21" s="108"/>
      <c r="E21" s="201"/>
      <c r="F21" s="108"/>
      <c r="G21" s="108"/>
      <c r="H21" s="19"/>
      <c r="J21" s="112"/>
      <c r="K21" s="113" t="s">
        <v>58</v>
      </c>
      <c r="L21" s="197" t="str">
        <f>IF(E12=0,"",IF(L25="","",L25/E12))</f>
        <v/>
      </c>
      <c r="M21" s="115" t="s">
        <v>107</v>
      </c>
      <c r="N21" s="115"/>
      <c r="O21" s="115"/>
      <c r="P21" s="116"/>
    </row>
    <row r="22" spans="2:16" x14ac:dyDescent="0.2">
      <c r="B22" s="198"/>
      <c r="C22" s="128" t="s">
        <v>127</v>
      </c>
      <c r="D22" s="108"/>
      <c r="E22" s="203"/>
      <c r="F22" s="108"/>
      <c r="G22" s="108"/>
      <c r="H22" s="19"/>
      <c r="J22" s="112"/>
      <c r="K22" s="120"/>
      <c r="L22" s="121"/>
      <c r="M22" s="122"/>
      <c r="N22" s="122"/>
      <c r="O22" s="122"/>
      <c r="P22" s="116"/>
    </row>
    <row r="23" spans="2:16" x14ac:dyDescent="0.2">
      <c r="B23" s="198"/>
      <c r="C23" s="128"/>
      <c r="D23" s="108"/>
      <c r="E23" s="201"/>
      <c r="F23" s="108"/>
      <c r="G23" s="108"/>
      <c r="H23" s="19"/>
      <c r="J23" s="123"/>
      <c r="K23" s="113" t="s">
        <v>58</v>
      </c>
      <c r="L23" s="197" t="str">
        <f>IF(E14=0,"",IF(L25="","",L25/E14))</f>
        <v/>
      </c>
      <c r="M23" s="115" t="s">
        <v>108</v>
      </c>
      <c r="N23" s="115"/>
      <c r="O23" s="115"/>
      <c r="P23" s="116"/>
    </row>
    <row r="24" spans="2:16" x14ac:dyDescent="0.2">
      <c r="B24" s="198"/>
      <c r="C24" s="128" t="s">
        <v>128</v>
      </c>
      <c r="D24" s="169" t="s">
        <v>58</v>
      </c>
      <c r="E24" s="200"/>
      <c r="F24" s="108" t="str">
        <f>CONCATENATE("per ",$F$20)</f>
        <v>per ton</v>
      </c>
      <c r="G24" s="108"/>
      <c r="H24" s="19"/>
      <c r="J24" s="123"/>
      <c r="K24" s="120"/>
      <c r="L24" s="121"/>
      <c r="M24" s="122"/>
      <c r="N24" s="122"/>
      <c r="O24" s="122"/>
      <c r="P24" s="116"/>
    </row>
    <row r="25" spans="2:16" x14ac:dyDescent="0.2">
      <c r="B25" s="198"/>
      <c r="C25" s="128"/>
      <c r="D25" s="108"/>
      <c r="E25" s="201"/>
      <c r="F25" s="108"/>
      <c r="G25" s="108"/>
      <c r="H25" s="19"/>
      <c r="J25" s="123"/>
      <c r="K25" s="113" t="s">
        <v>58</v>
      </c>
      <c r="L25" s="197" t="str">
        <f>IF(E8=0,"",IF(E10=0,"",IF(E20=0,"",(E6+E16*E18/E20+E24*(1-E22))/E8/E10/(1-E22)/(1-E26))))</f>
        <v/>
      </c>
      <c r="M25" s="115" t="s">
        <v>109</v>
      </c>
      <c r="N25" s="115"/>
      <c r="O25" s="115"/>
      <c r="P25" s="116"/>
    </row>
    <row r="26" spans="2:16" ht="13.5" thickBot="1" x14ac:dyDescent="0.25">
      <c r="B26" s="198"/>
      <c r="C26" s="128" t="s">
        <v>129</v>
      </c>
      <c r="D26" s="108"/>
      <c r="E26" s="203"/>
      <c r="F26" s="108"/>
      <c r="G26" s="108"/>
      <c r="H26" s="19"/>
      <c r="J26" s="132"/>
      <c r="K26" s="133"/>
      <c r="L26" s="134"/>
      <c r="M26" s="133"/>
      <c r="N26" s="133"/>
      <c r="O26" s="133"/>
      <c r="P26" s="135"/>
    </row>
    <row r="27" spans="2:16" x14ac:dyDescent="0.2">
      <c r="B27" s="198"/>
      <c r="C27" s="128"/>
      <c r="D27" s="108"/>
      <c r="E27" s="201"/>
      <c r="F27" s="108"/>
      <c r="G27" s="108"/>
      <c r="H27" s="19"/>
      <c r="L27" s="137"/>
    </row>
    <row r="28" spans="2:16" ht="18.75" thickBot="1" x14ac:dyDescent="0.3">
      <c r="B28" s="198"/>
      <c r="C28" s="128" t="s">
        <v>130</v>
      </c>
      <c r="D28" s="169" t="s">
        <v>58</v>
      </c>
      <c r="E28" s="200"/>
      <c r="F28" s="108" t="str">
        <f>CONCATENATE("per ",$F$20)</f>
        <v>per ton</v>
      </c>
      <c r="G28" s="108"/>
      <c r="H28" s="19"/>
      <c r="J28" s="95" t="s">
        <v>131</v>
      </c>
      <c r="L28" s="137"/>
    </row>
    <row r="29" spans="2:16" x14ac:dyDescent="0.2">
      <c r="B29" s="198"/>
      <c r="C29" s="128"/>
      <c r="D29" s="108"/>
      <c r="E29" s="201"/>
      <c r="F29" s="108"/>
      <c r="G29" s="108"/>
      <c r="H29" s="19"/>
      <c r="J29" s="104"/>
      <c r="K29" s="105"/>
      <c r="L29" s="141"/>
      <c r="M29" s="105"/>
      <c r="N29" s="105"/>
      <c r="O29" s="105"/>
      <c r="P29" s="106"/>
    </row>
    <row r="30" spans="2:16" x14ac:dyDescent="0.2">
      <c r="B30" s="198"/>
      <c r="C30" s="128" t="s">
        <v>132</v>
      </c>
      <c r="D30" s="108"/>
      <c r="E30" s="203"/>
      <c r="F30" s="108"/>
      <c r="G30" s="108"/>
      <c r="H30" s="19"/>
      <c r="J30" s="112"/>
      <c r="K30" s="113" t="s">
        <v>58</v>
      </c>
      <c r="L30" s="197" t="str">
        <f>IF(E12=0,"",IF(L34="","",L34/E12))</f>
        <v/>
      </c>
      <c r="M30" s="115" t="s">
        <v>107</v>
      </c>
      <c r="N30" s="115"/>
      <c r="O30" s="115"/>
      <c r="P30" s="116"/>
    </row>
    <row r="31" spans="2:16" ht="13.5" thickBot="1" x14ac:dyDescent="0.25">
      <c r="B31" s="36"/>
      <c r="C31" s="37"/>
      <c r="D31" s="37"/>
      <c r="E31" s="37"/>
      <c r="F31" s="37"/>
      <c r="G31" s="37"/>
      <c r="H31" s="38"/>
      <c r="J31" s="112"/>
      <c r="K31" s="120"/>
      <c r="L31" s="121"/>
      <c r="M31" s="122"/>
      <c r="N31" s="122"/>
      <c r="O31" s="122"/>
      <c r="P31" s="116"/>
    </row>
    <row r="32" spans="2:16" x14ac:dyDescent="0.2">
      <c r="J32" s="123"/>
      <c r="K32" s="113" t="s">
        <v>58</v>
      </c>
      <c r="L32" s="197" t="str">
        <f>IF(E14=0,"",IF(L34="","",L34/E14))</f>
        <v/>
      </c>
      <c r="M32" s="115" t="s">
        <v>108</v>
      </c>
      <c r="N32" s="115"/>
      <c r="O32" s="115"/>
      <c r="P32" s="116"/>
    </row>
    <row r="33" spans="10:16" x14ac:dyDescent="0.2">
      <c r="J33" s="123"/>
      <c r="K33" s="120"/>
      <c r="L33" s="121"/>
      <c r="M33" s="122"/>
      <c r="N33" s="122"/>
      <c r="O33" s="122"/>
      <c r="P33" s="116"/>
    </row>
    <row r="34" spans="10:16" x14ac:dyDescent="0.2">
      <c r="J34" s="123"/>
      <c r="K34" s="113" t="s">
        <v>58</v>
      </c>
      <c r="L34" s="197" t="str">
        <f>IF(E8=0,"",IF(E10=0,"",IF(E20=0,"",(E6+E16*E18/E20+E24*(1-E22)+E28*(1-E22)*(1-E26))/E8/E10/(1-E22)/(1-E26)/(1-E30))))</f>
        <v/>
      </c>
      <c r="M34" s="115" t="s">
        <v>109</v>
      </c>
      <c r="N34" s="115"/>
      <c r="O34" s="115"/>
      <c r="P34" s="116"/>
    </row>
    <row r="35" spans="10:16" ht="13.5" thickBot="1" x14ac:dyDescent="0.25">
      <c r="J35" s="132"/>
      <c r="K35" s="133"/>
      <c r="L35" s="133"/>
      <c r="M35" s="133"/>
      <c r="N35" s="133"/>
      <c r="O35" s="133"/>
      <c r="P35" s="135"/>
    </row>
  </sheetData>
  <sheetProtection sheet="1" objects="1" scenarios="1"/>
  <mergeCells count="1">
    <mergeCell ref="E4:G4"/>
  </mergeCells>
  <phoneticPr fontId="2" type="noConversion"/>
  <dataValidations count="2">
    <dataValidation type="decimal" operator="greaterThanOrEqual" allowBlank="1" showInputMessage="1" showErrorMessage="1" errorTitle="Restricted Data Entry" error="Only numbers greater than or equal to zero can be entered in this cell." sqref="E6 E16 E18 E20 E22 E24 E26 E28 E30">
      <formula1>0</formula1>
    </dataValidation>
    <dataValidation type="decimal" operator="greaterThan" allowBlank="1" showInputMessage="1" showErrorMessage="1" errorTitle="Restricted Data Entry" error="Only numbers greater than zero can be entered in this cell." sqref="E8 E10 E12 E14">
      <formula1>0</formula1>
    </dataValidation>
  </dataValidations>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B1:BB35"/>
  <sheetViews>
    <sheetView workbookViewId="0">
      <selection activeCell="E9" sqref="E9"/>
    </sheetView>
  </sheetViews>
  <sheetFormatPr defaultRowHeight="12.75" x14ac:dyDescent="0.2"/>
  <cols>
    <col min="1" max="1" width="4" style="6" customWidth="1"/>
    <col min="2" max="2" width="4.42578125" style="6" customWidth="1"/>
    <col min="3" max="3" width="36.85546875" style="6" customWidth="1"/>
    <col min="4" max="4" width="9.140625" style="6"/>
    <col min="5" max="5" width="10.7109375" style="6" customWidth="1"/>
    <col min="6" max="7" width="9.140625" style="6"/>
    <col min="8" max="9" width="4.85546875" style="6" customWidth="1"/>
    <col min="10" max="10" width="4.5703125" style="6" customWidth="1"/>
    <col min="11" max="11" width="3.7109375" style="6" customWidth="1"/>
    <col min="12" max="13" width="9.140625" style="6"/>
    <col min="14" max="14" width="13.7109375" style="6" bestFit="1" customWidth="1"/>
    <col min="15" max="15" width="13.7109375" style="6" customWidth="1"/>
    <col min="16" max="16" width="4.5703125" style="6" customWidth="1"/>
    <col min="17" max="17" width="19.28515625" style="6" bestFit="1" customWidth="1"/>
    <col min="18" max="16384" width="9.140625" style="6"/>
  </cols>
  <sheetData>
    <row r="1" spans="2:54" ht="18.75" thickBot="1" x14ac:dyDescent="0.3">
      <c r="B1" s="6">
        <v>6</v>
      </c>
      <c r="J1" s="95" t="s">
        <v>110</v>
      </c>
    </row>
    <row r="2" spans="2:54" ht="18.75" thickBot="1" x14ac:dyDescent="0.3">
      <c r="B2" s="95" t="s">
        <v>111</v>
      </c>
      <c r="J2" s="104"/>
      <c r="K2" s="105"/>
      <c r="L2" s="105"/>
      <c r="M2" s="105"/>
      <c r="N2" s="105"/>
      <c r="O2" s="105"/>
      <c r="P2" s="106"/>
    </row>
    <row r="3" spans="2:54" x14ac:dyDescent="0.2">
      <c r="B3" s="196"/>
      <c r="C3" s="97"/>
      <c r="D3" s="97"/>
      <c r="E3" s="97"/>
      <c r="F3" s="97"/>
      <c r="G3" s="97"/>
      <c r="H3" s="52"/>
      <c r="J3" s="112"/>
      <c r="K3" s="113" t="s">
        <v>58</v>
      </c>
      <c r="L3" s="197" t="str">
        <f>IF(E12=0,"",IF(L7="","",L7/E12))</f>
        <v/>
      </c>
      <c r="M3" s="115" t="s">
        <v>107</v>
      </c>
      <c r="N3" s="115"/>
      <c r="O3" s="115"/>
      <c r="P3" s="116"/>
    </row>
    <row r="4" spans="2:54" x14ac:dyDescent="0.2">
      <c r="B4" s="198"/>
      <c r="C4" s="128" t="s">
        <v>112</v>
      </c>
      <c r="D4" s="108"/>
      <c r="E4" s="241"/>
      <c r="F4" s="241"/>
      <c r="G4" s="241"/>
      <c r="H4" s="199"/>
      <c r="I4" s="127"/>
      <c r="J4" s="112"/>
      <c r="K4" s="120"/>
      <c r="L4" s="121"/>
      <c r="M4" s="122"/>
      <c r="N4" s="122"/>
      <c r="O4" s="122"/>
      <c r="P4" s="116"/>
      <c r="AH4" s="6" t="s">
        <v>6</v>
      </c>
      <c r="AI4" s="6" t="s">
        <v>30</v>
      </c>
      <c r="AJ4" s="6" t="s">
        <v>113</v>
      </c>
      <c r="AK4" s="6" t="s">
        <v>33</v>
      </c>
      <c r="AL4" s="6" t="s">
        <v>114</v>
      </c>
      <c r="AM4" s="6" t="s">
        <v>115</v>
      </c>
      <c r="AQ4" s="6" t="s">
        <v>41</v>
      </c>
      <c r="AR4" s="6" t="s">
        <v>82</v>
      </c>
      <c r="AS4" s="6" t="s">
        <v>42</v>
      </c>
      <c r="AU4" s="6" t="s">
        <v>44</v>
      </c>
      <c r="AW4" s="6" t="s">
        <v>30</v>
      </c>
      <c r="AX4" s="6" t="s">
        <v>44</v>
      </c>
      <c r="AZ4" s="6" t="s">
        <v>30</v>
      </c>
      <c r="BA4" s="6" t="s">
        <v>44</v>
      </c>
      <c r="BB4" s="6" t="s">
        <v>116</v>
      </c>
    </row>
    <row r="5" spans="2:54" x14ac:dyDescent="0.2">
      <c r="B5" s="198"/>
      <c r="C5" s="128"/>
      <c r="D5" s="108"/>
      <c r="E5" s="108"/>
      <c r="F5" s="108"/>
      <c r="G5" s="108"/>
      <c r="H5" s="19"/>
      <c r="I5" s="127"/>
      <c r="J5" s="123"/>
      <c r="K5" s="113" t="s">
        <v>58</v>
      </c>
      <c r="L5" s="197" t="str">
        <f>IF(E14=0,"",IF(L7="","",L7/E14))</f>
        <v/>
      </c>
      <c r="M5" s="115" t="s">
        <v>108</v>
      </c>
      <c r="N5" s="115"/>
      <c r="O5" s="115"/>
      <c r="P5" s="116"/>
    </row>
    <row r="6" spans="2:54" x14ac:dyDescent="0.2">
      <c r="B6" s="198"/>
      <c r="C6" s="128" t="s">
        <v>117</v>
      </c>
      <c r="D6" s="169" t="s">
        <v>58</v>
      </c>
      <c r="E6" s="200"/>
      <c r="F6" s="108"/>
      <c r="G6" s="108"/>
      <c r="H6" s="19"/>
      <c r="J6" s="123"/>
      <c r="K6" s="120"/>
      <c r="L6" s="121"/>
      <c r="M6" s="122"/>
      <c r="N6" s="122"/>
      <c r="O6" s="122"/>
      <c r="P6" s="116"/>
      <c r="AG6" s="6">
        <v>1</v>
      </c>
      <c r="AH6" s="6">
        <f>E4</f>
        <v>0</v>
      </c>
      <c r="AI6" s="136">
        <f>E6</f>
        <v>0</v>
      </c>
      <c r="AJ6" s="136">
        <f>E8</f>
        <v>2000</v>
      </c>
      <c r="AK6" s="136">
        <f>E10</f>
        <v>0</v>
      </c>
      <c r="AL6" s="136">
        <f>E12</f>
        <v>0</v>
      </c>
      <c r="AM6" s="136">
        <f>E14</f>
        <v>0</v>
      </c>
      <c r="AQ6" s="136">
        <f>E18</f>
        <v>0</v>
      </c>
      <c r="AR6" s="136">
        <f>E16</f>
        <v>0</v>
      </c>
      <c r="AS6" s="136">
        <f>E20</f>
        <v>0</v>
      </c>
      <c r="AU6" s="136">
        <f>E22</f>
        <v>0</v>
      </c>
      <c r="AW6" s="136">
        <f>E24</f>
        <v>0</v>
      </c>
      <c r="AX6" s="136">
        <f>E26</f>
        <v>0</v>
      </c>
      <c r="AZ6" s="136">
        <f>E28</f>
        <v>0</v>
      </c>
      <c r="BA6" s="136">
        <f>E30</f>
        <v>0</v>
      </c>
    </row>
    <row r="7" spans="2:54" x14ac:dyDescent="0.2">
      <c r="B7" s="198"/>
      <c r="C7" s="128"/>
      <c r="D7" s="108"/>
      <c r="E7" s="201"/>
      <c r="F7" s="108"/>
      <c r="G7" s="108"/>
      <c r="H7" s="19"/>
      <c r="J7" s="123"/>
      <c r="K7" s="113" t="s">
        <v>58</v>
      </c>
      <c r="L7" s="197" t="str">
        <f>IF(E8=0,"",IF(E10=0,"",$E$6/$E$8/$E$10))</f>
        <v/>
      </c>
      <c r="M7" s="115" t="s">
        <v>109</v>
      </c>
      <c r="N7" s="115"/>
      <c r="O7" s="115"/>
      <c r="P7" s="116"/>
      <c r="AI7" s="136"/>
      <c r="AJ7" s="136"/>
      <c r="AK7" s="136"/>
      <c r="AL7" s="136"/>
      <c r="AM7" s="136"/>
      <c r="AQ7" s="136"/>
      <c r="AR7" s="136"/>
      <c r="AS7" s="136"/>
      <c r="AU7" s="136"/>
      <c r="AW7" s="136"/>
      <c r="AX7" s="136"/>
      <c r="AZ7" s="136"/>
      <c r="BA7" s="136"/>
    </row>
    <row r="8" spans="2:54" ht="13.5" thickBot="1" x14ac:dyDescent="0.25">
      <c r="B8" s="198"/>
      <c r="C8" s="128" t="s">
        <v>118</v>
      </c>
      <c r="D8" s="108"/>
      <c r="E8" s="202">
        <v>2000</v>
      </c>
      <c r="F8" s="108" t="s">
        <v>119</v>
      </c>
      <c r="G8" s="108"/>
      <c r="H8" s="19"/>
      <c r="J8" s="132"/>
      <c r="K8" s="133"/>
      <c r="L8" s="134"/>
      <c r="M8" s="133"/>
      <c r="N8" s="133"/>
      <c r="O8" s="133"/>
      <c r="P8" s="135"/>
    </row>
    <row r="9" spans="2:54" x14ac:dyDescent="0.2">
      <c r="B9" s="198"/>
      <c r="C9" s="128"/>
      <c r="D9" s="108"/>
      <c r="E9" s="201"/>
      <c r="F9" s="108"/>
      <c r="G9" s="108"/>
      <c r="H9" s="19"/>
      <c r="L9" s="137"/>
    </row>
    <row r="10" spans="2:54" ht="18.75" thickBot="1" x14ac:dyDescent="0.3">
      <c r="B10" s="198"/>
      <c r="C10" s="128" t="s">
        <v>120</v>
      </c>
      <c r="D10" s="108"/>
      <c r="E10" s="203"/>
      <c r="F10" s="108"/>
      <c r="G10" s="108"/>
      <c r="H10" s="19"/>
      <c r="J10" s="95" t="s">
        <v>121</v>
      </c>
      <c r="L10" s="137"/>
    </row>
    <row r="11" spans="2:54" x14ac:dyDescent="0.2">
      <c r="B11" s="198"/>
      <c r="C11" s="128"/>
      <c r="D11" s="108"/>
      <c r="E11" s="201"/>
      <c r="F11" s="108"/>
      <c r="G11" s="108"/>
      <c r="H11" s="19"/>
      <c r="J11" s="104"/>
      <c r="K11" s="105"/>
      <c r="L11" s="141"/>
      <c r="M11" s="105"/>
      <c r="N11" s="105"/>
      <c r="O11" s="105"/>
      <c r="P11" s="106"/>
    </row>
    <row r="12" spans="2:54" x14ac:dyDescent="0.2">
      <c r="B12" s="198"/>
      <c r="C12" s="128" t="s">
        <v>122</v>
      </c>
      <c r="D12" s="108"/>
      <c r="E12" s="203"/>
      <c r="F12" s="108"/>
      <c r="G12" s="108"/>
      <c r="H12" s="19"/>
      <c r="J12" s="112"/>
      <c r="K12" s="113" t="s">
        <v>58</v>
      </c>
      <c r="L12" s="197" t="str">
        <f>IF(E12=0,"",IF(L16="","",L16/E12))</f>
        <v/>
      </c>
      <c r="M12" s="115" t="s">
        <v>107</v>
      </c>
      <c r="N12" s="115"/>
      <c r="O12" s="115"/>
      <c r="P12" s="116"/>
    </row>
    <row r="13" spans="2:54" x14ac:dyDescent="0.2">
      <c r="B13" s="198"/>
      <c r="C13" s="128"/>
      <c r="D13" s="108"/>
      <c r="E13" s="201"/>
      <c r="F13" s="108"/>
      <c r="G13" s="108"/>
      <c r="H13" s="19"/>
      <c r="J13" s="112"/>
      <c r="K13" s="120"/>
      <c r="L13" s="121"/>
      <c r="M13" s="122"/>
      <c r="N13" s="122"/>
      <c r="O13" s="122"/>
      <c r="P13" s="116"/>
    </row>
    <row r="14" spans="2:54" x14ac:dyDescent="0.2">
      <c r="B14" s="198"/>
      <c r="C14" s="128" t="s">
        <v>123</v>
      </c>
      <c r="D14" s="108"/>
      <c r="E14" s="203"/>
      <c r="F14" s="108"/>
      <c r="G14" s="108"/>
      <c r="H14" s="19"/>
      <c r="J14" s="123"/>
      <c r="K14" s="113" t="s">
        <v>58</v>
      </c>
      <c r="L14" s="197" t="str">
        <f>IF(E14=0,"",IF(L16="","",L16/E14))</f>
        <v/>
      </c>
      <c r="M14" s="115" t="s">
        <v>108</v>
      </c>
      <c r="N14" s="115"/>
      <c r="O14" s="115"/>
      <c r="P14" s="116"/>
    </row>
    <row r="15" spans="2:54" x14ac:dyDescent="0.2">
      <c r="B15" s="198"/>
      <c r="C15" s="128"/>
      <c r="D15" s="108"/>
      <c r="E15" s="201"/>
      <c r="F15" s="108"/>
      <c r="G15" s="108"/>
      <c r="H15" s="19"/>
      <c r="J15" s="123"/>
      <c r="K15" s="120"/>
      <c r="L15" s="121"/>
      <c r="M15" s="122"/>
      <c r="N15" s="122"/>
      <c r="O15" s="122"/>
      <c r="P15" s="116"/>
    </row>
    <row r="16" spans="2:54" x14ac:dyDescent="0.2">
      <c r="B16" s="198"/>
      <c r="C16" s="128" t="s">
        <v>124</v>
      </c>
      <c r="D16" s="108"/>
      <c r="E16" s="202"/>
      <c r="F16" s="108" t="s">
        <v>82</v>
      </c>
      <c r="G16" s="108"/>
      <c r="H16" s="19"/>
      <c r="J16" s="123"/>
      <c r="K16" s="113" t="s">
        <v>58</v>
      </c>
      <c r="L16" s="197" t="str">
        <f>IF(E8=0,"",IF(E10=0,"",($E$6+$E$16*IF($E$20="",0,IF(E20=0,0,$E$18/E20)))/$E$8/$E$10/(1-$E$22)))</f>
        <v/>
      </c>
      <c r="M16" s="115" t="s">
        <v>109</v>
      </c>
      <c r="N16" s="115"/>
      <c r="O16" s="115"/>
      <c r="P16" s="116"/>
    </row>
    <row r="17" spans="2:16" ht="13.5" thickBot="1" x14ac:dyDescent="0.25">
      <c r="B17" s="198"/>
      <c r="C17" s="128"/>
      <c r="D17" s="108"/>
      <c r="E17" s="201"/>
      <c r="F17" s="108"/>
      <c r="G17" s="108"/>
      <c r="H17" s="19"/>
      <c r="J17" s="132"/>
      <c r="K17" s="133"/>
      <c r="L17" s="134"/>
      <c r="M17" s="133"/>
      <c r="N17" s="133"/>
      <c r="O17" s="133"/>
      <c r="P17" s="135"/>
    </row>
    <row r="18" spans="2:16" x14ac:dyDescent="0.2">
      <c r="B18" s="198"/>
      <c r="C18" s="128" t="s">
        <v>125</v>
      </c>
      <c r="D18" s="169" t="s">
        <v>58</v>
      </c>
      <c r="E18" s="200"/>
      <c r="F18" s="108" t="s">
        <v>84</v>
      </c>
      <c r="G18" s="108"/>
      <c r="H18" s="19"/>
      <c r="L18" s="137"/>
    </row>
    <row r="19" spans="2:16" ht="18.75" thickBot="1" x14ac:dyDescent="0.3">
      <c r="B19" s="198"/>
      <c r="C19" s="128"/>
      <c r="D19" s="108"/>
      <c r="E19" s="201"/>
      <c r="F19" s="108"/>
      <c r="G19" s="108"/>
      <c r="H19" s="19"/>
      <c r="J19" s="95" t="s">
        <v>126</v>
      </c>
      <c r="L19" s="137"/>
    </row>
    <row r="20" spans="2:16" x14ac:dyDescent="0.2">
      <c r="B20" s="198"/>
      <c r="C20" s="128" t="str">
        <f>CONCATENATE("How many ",$F$20,"s are hauled per load?")</f>
        <v>How many tons are hauled per load?</v>
      </c>
      <c r="D20" s="108"/>
      <c r="E20" s="202"/>
      <c r="F20" s="108" t="str">
        <f>IF(E8=2000,"ton",IF(E8=100,"hundredweight",IF(E8&gt;31,IF(E8&lt;71,"bushel","unit"),"unit")))</f>
        <v>ton</v>
      </c>
      <c r="G20" s="108"/>
      <c r="H20" s="19"/>
      <c r="J20" s="104"/>
      <c r="K20" s="105"/>
      <c r="L20" s="141"/>
      <c r="M20" s="105"/>
      <c r="N20" s="105"/>
      <c r="O20" s="105"/>
      <c r="P20" s="106"/>
    </row>
    <row r="21" spans="2:16" x14ac:dyDescent="0.2">
      <c r="B21" s="198"/>
      <c r="C21" s="128"/>
      <c r="D21" s="108"/>
      <c r="E21" s="201"/>
      <c r="F21" s="108"/>
      <c r="G21" s="108"/>
      <c r="H21" s="19"/>
      <c r="J21" s="112"/>
      <c r="K21" s="113" t="s">
        <v>58</v>
      </c>
      <c r="L21" s="197" t="str">
        <f>IF(E12=0,"",IF(L25="","",L25/E12))</f>
        <v/>
      </c>
      <c r="M21" s="115" t="s">
        <v>107</v>
      </c>
      <c r="N21" s="115"/>
      <c r="O21" s="115"/>
      <c r="P21" s="116"/>
    </row>
    <row r="22" spans="2:16" x14ac:dyDescent="0.2">
      <c r="B22" s="198"/>
      <c r="C22" s="128" t="s">
        <v>127</v>
      </c>
      <c r="D22" s="108"/>
      <c r="E22" s="203"/>
      <c r="F22" s="108"/>
      <c r="G22" s="108"/>
      <c r="H22" s="19"/>
      <c r="J22" s="112"/>
      <c r="K22" s="120"/>
      <c r="L22" s="121"/>
      <c r="M22" s="122"/>
      <c r="N22" s="122"/>
      <c r="O22" s="122"/>
      <c r="P22" s="116"/>
    </row>
    <row r="23" spans="2:16" x14ac:dyDescent="0.2">
      <c r="B23" s="198"/>
      <c r="C23" s="128"/>
      <c r="D23" s="108"/>
      <c r="E23" s="201"/>
      <c r="F23" s="108"/>
      <c r="G23" s="108"/>
      <c r="H23" s="19"/>
      <c r="J23" s="123"/>
      <c r="K23" s="113" t="s">
        <v>58</v>
      </c>
      <c r="L23" s="197" t="str">
        <f>IF(E14=0,"",IF(L25="","",L25/E14))</f>
        <v/>
      </c>
      <c r="M23" s="115" t="s">
        <v>108</v>
      </c>
      <c r="N23" s="115"/>
      <c r="O23" s="115"/>
      <c r="P23" s="116"/>
    </row>
    <row r="24" spans="2:16" x14ac:dyDescent="0.2">
      <c r="B24" s="198"/>
      <c r="C24" s="128" t="s">
        <v>128</v>
      </c>
      <c r="D24" s="169" t="s">
        <v>58</v>
      </c>
      <c r="E24" s="200"/>
      <c r="F24" s="108" t="str">
        <f>CONCATENATE("per ",$F$20)</f>
        <v>per ton</v>
      </c>
      <c r="G24" s="108"/>
      <c r="H24" s="19"/>
      <c r="J24" s="123"/>
      <c r="K24" s="120"/>
      <c r="L24" s="121"/>
      <c r="M24" s="122"/>
      <c r="N24" s="122"/>
      <c r="O24" s="122"/>
      <c r="P24" s="116"/>
    </row>
    <row r="25" spans="2:16" x14ac:dyDescent="0.2">
      <c r="B25" s="198"/>
      <c r="C25" s="128"/>
      <c r="D25" s="108"/>
      <c r="E25" s="201"/>
      <c r="F25" s="108"/>
      <c r="G25" s="108"/>
      <c r="H25" s="19"/>
      <c r="J25" s="123"/>
      <c r="K25" s="113" t="s">
        <v>58</v>
      </c>
      <c r="L25" s="197" t="str">
        <f>IF(E8=0,"",IF(E10=0,"",IF(E20=0,"",(E6+E16*E18/E20+E24*(1-E22))/E8/E10/(1-E22)/(1-E26))))</f>
        <v/>
      </c>
      <c r="M25" s="115" t="s">
        <v>109</v>
      </c>
      <c r="N25" s="115"/>
      <c r="O25" s="115"/>
      <c r="P25" s="116"/>
    </row>
    <row r="26" spans="2:16" ht="13.5" thickBot="1" x14ac:dyDescent="0.25">
      <c r="B26" s="198"/>
      <c r="C26" s="128" t="s">
        <v>129</v>
      </c>
      <c r="D26" s="108"/>
      <c r="E26" s="203"/>
      <c r="F26" s="108"/>
      <c r="G26" s="108"/>
      <c r="H26" s="19"/>
      <c r="J26" s="132"/>
      <c r="K26" s="133"/>
      <c r="L26" s="134"/>
      <c r="M26" s="133"/>
      <c r="N26" s="133"/>
      <c r="O26" s="133"/>
      <c r="P26" s="135"/>
    </row>
    <row r="27" spans="2:16" x14ac:dyDescent="0.2">
      <c r="B27" s="198"/>
      <c r="C27" s="128"/>
      <c r="D27" s="108"/>
      <c r="E27" s="201"/>
      <c r="F27" s="108"/>
      <c r="G27" s="108"/>
      <c r="H27" s="19"/>
      <c r="L27" s="137"/>
    </row>
    <row r="28" spans="2:16" ht="18.75" thickBot="1" x14ac:dyDescent="0.3">
      <c r="B28" s="198"/>
      <c r="C28" s="128" t="s">
        <v>130</v>
      </c>
      <c r="D28" s="169" t="s">
        <v>58</v>
      </c>
      <c r="E28" s="200"/>
      <c r="F28" s="108" t="str">
        <f>CONCATENATE("per ",$F$20)</f>
        <v>per ton</v>
      </c>
      <c r="G28" s="108"/>
      <c r="H28" s="19"/>
      <c r="J28" s="95" t="s">
        <v>131</v>
      </c>
      <c r="L28" s="137"/>
    </row>
    <row r="29" spans="2:16" x14ac:dyDescent="0.2">
      <c r="B29" s="198"/>
      <c r="C29" s="128"/>
      <c r="D29" s="108"/>
      <c r="E29" s="201"/>
      <c r="F29" s="108"/>
      <c r="G29" s="108"/>
      <c r="H29" s="19"/>
      <c r="J29" s="104"/>
      <c r="K29" s="105"/>
      <c r="L29" s="141"/>
      <c r="M29" s="105"/>
      <c r="N29" s="105"/>
      <c r="O29" s="105"/>
      <c r="P29" s="106"/>
    </row>
    <row r="30" spans="2:16" x14ac:dyDescent="0.2">
      <c r="B30" s="198"/>
      <c r="C30" s="128" t="s">
        <v>132</v>
      </c>
      <c r="D30" s="108"/>
      <c r="E30" s="203"/>
      <c r="F30" s="108"/>
      <c r="G30" s="108"/>
      <c r="H30" s="19"/>
      <c r="J30" s="112"/>
      <c r="K30" s="113" t="s">
        <v>58</v>
      </c>
      <c r="L30" s="197" t="str">
        <f>IF(E12=0,"",IF(L34="","",L34/E12))</f>
        <v/>
      </c>
      <c r="M30" s="115" t="s">
        <v>107</v>
      </c>
      <c r="N30" s="115"/>
      <c r="O30" s="115"/>
      <c r="P30" s="116"/>
    </row>
    <row r="31" spans="2:16" ht="13.5" thickBot="1" x14ac:dyDescent="0.25">
      <c r="B31" s="36"/>
      <c r="C31" s="37"/>
      <c r="D31" s="37"/>
      <c r="E31" s="37"/>
      <c r="F31" s="37"/>
      <c r="G31" s="37"/>
      <c r="H31" s="38"/>
      <c r="J31" s="112"/>
      <c r="K31" s="120"/>
      <c r="L31" s="121"/>
      <c r="M31" s="122"/>
      <c r="N31" s="122"/>
      <c r="O31" s="122"/>
      <c r="P31" s="116"/>
    </row>
    <row r="32" spans="2:16" x14ac:dyDescent="0.2">
      <c r="J32" s="123"/>
      <c r="K32" s="113" t="s">
        <v>58</v>
      </c>
      <c r="L32" s="197" t="str">
        <f>IF(E14=0,"",IF(L34="","",L34/E14))</f>
        <v/>
      </c>
      <c r="M32" s="115" t="s">
        <v>108</v>
      </c>
      <c r="N32" s="115"/>
      <c r="O32" s="115"/>
      <c r="P32" s="116"/>
    </row>
    <row r="33" spans="10:16" x14ac:dyDescent="0.2">
      <c r="J33" s="123"/>
      <c r="K33" s="120"/>
      <c r="L33" s="121"/>
      <c r="M33" s="122"/>
      <c r="N33" s="122"/>
      <c r="O33" s="122"/>
      <c r="P33" s="116"/>
    </row>
    <row r="34" spans="10:16" x14ac:dyDescent="0.2">
      <c r="J34" s="123"/>
      <c r="K34" s="113" t="s">
        <v>58</v>
      </c>
      <c r="L34" s="197" t="str">
        <f>IF(E8=0,"",IF(E10=0,"",IF(E20=0,"",(E6+E16*E18/E20+E24*(1-E22)+E28*(1-E22)*(1-E26))/E8/E10/(1-E22)/(1-E26)/(1-E30))))</f>
        <v/>
      </c>
      <c r="M34" s="115" t="s">
        <v>109</v>
      </c>
      <c r="N34" s="115"/>
      <c r="O34" s="115"/>
      <c r="P34" s="116"/>
    </row>
    <row r="35" spans="10:16" ht="13.5" thickBot="1" x14ac:dyDescent="0.25">
      <c r="J35" s="132"/>
      <c r="K35" s="133"/>
      <c r="L35" s="133"/>
      <c r="M35" s="133"/>
      <c r="N35" s="133"/>
      <c r="O35" s="133"/>
      <c r="P35" s="135"/>
    </row>
  </sheetData>
  <sheetProtection sheet="1" objects="1" scenarios="1"/>
  <mergeCells count="1">
    <mergeCell ref="E4:G4"/>
  </mergeCells>
  <phoneticPr fontId="2" type="noConversion"/>
  <dataValidations count="2">
    <dataValidation type="decimal" operator="greaterThanOrEqual" allowBlank="1" showInputMessage="1" showErrorMessage="1" errorTitle="Restricted Data Entry" error="Only numbers greater to or equal to zero can be entered in this cell." sqref="E6 E16 E18 E20 E22 E24 E26 E28 E30">
      <formula1>0</formula1>
    </dataValidation>
    <dataValidation type="decimal" operator="greaterThan" allowBlank="1" showInputMessage="1" showErrorMessage="1" errorTitle="Restricted Data Entry" error="Only numbers greater than zero can be entered in this cell" sqref="E8 E10 E12 E14">
      <formula1>0</formula1>
    </dataValidation>
  </dataValidations>
  <pageMargins left="0.75" right="0.75" top="1" bottom="1" header="0.5" footer="0.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B1:BB35"/>
  <sheetViews>
    <sheetView workbookViewId="0">
      <selection activeCell="E9" sqref="E9"/>
    </sheetView>
  </sheetViews>
  <sheetFormatPr defaultRowHeight="12.75" x14ac:dyDescent="0.2"/>
  <cols>
    <col min="1" max="1" width="4" style="6" customWidth="1"/>
    <col min="2" max="2" width="4.42578125" style="6" customWidth="1"/>
    <col min="3" max="3" width="36.85546875" style="6" customWidth="1"/>
    <col min="4" max="4" width="9.140625" style="6"/>
    <col min="5" max="5" width="10.7109375" style="6" customWidth="1"/>
    <col min="6" max="7" width="9.140625" style="6"/>
    <col min="8" max="9" width="4.85546875" style="6" customWidth="1"/>
    <col min="10" max="10" width="4.5703125" style="6" customWidth="1"/>
    <col min="11" max="11" width="3.7109375" style="6" customWidth="1"/>
    <col min="12" max="13" width="9.140625" style="6"/>
    <col min="14" max="14" width="13.7109375" style="6" bestFit="1" customWidth="1"/>
    <col min="15" max="15" width="13.7109375" style="6" customWidth="1"/>
    <col min="16" max="16" width="4.5703125" style="6" customWidth="1"/>
    <col min="17" max="17" width="19.28515625" style="6" bestFit="1" customWidth="1"/>
    <col min="18" max="16384" width="9.140625" style="6"/>
  </cols>
  <sheetData>
    <row r="1" spans="2:54" ht="18.75" thickBot="1" x14ac:dyDescent="0.3">
      <c r="B1" s="6">
        <v>7</v>
      </c>
      <c r="J1" s="95" t="s">
        <v>110</v>
      </c>
    </row>
    <row r="2" spans="2:54" ht="18.75" thickBot="1" x14ac:dyDescent="0.3">
      <c r="B2" s="95" t="s">
        <v>111</v>
      </c>
      <c r="J2" s="104"/>
      <c r="K2" s="105"/>
      <c r="L2" s="105"/>
      <c r="M2" s="105"/>
      <c r="N2" s="105"/>
      <c r="O2" s="105"/>
      <c r="P2" s="106"/>
    </row>
    <row r="3" spans="2:54" x14ac:dyDescent="0.2">
      <c r="B3" s="196"/>
      <c r="C3" s="97"/>
      <c r="D3" s="97"/>
      <c r="E3" s="97"/>
      <c r="F3" s="97"/>
      <c r="G3" s="97"/>
      <c r="H3" s="52"/>
      <c r="J3" s="112"/>
      <c r="K3" s="113" t="s">
        <v>58</v>
      </c>
      <c r="L3" s="197" t="str">
        <f>IF(E12=0,"",IF(L7="","",L7/E12))</f>
        <v/>
      </c>
      <c r="M3" s="115" t="s">
        <v>107</v>
      </c>
      <c r="N3" s="115"/>
      <c r="O3" s="115"/>
      <c r="P3" s="116"/>
    </row>
    <row r="4" spans="2:54" x14ac:dyDescent="0.2">
      <c r="B4" s="198"/>
      <c r="C4" s="128" t="s">
        <v>112</v>
      </c>
      <c r="D4" s="108"/>
      <c r="E4" s="241"/>
      <c r="F4" s="241"/>
      <c r="G4" s="241"/>
      <c r="H4" s="199"/>
      <c r="I4" s="127"/>
      <c r="J4" s="112"/>
      <c r="K4" s="120"/>
      <c r="L4" s="121"/>
      <c r="M4" s="122"/>
      <c r="N4" s="122"/>
      <c r="O4" s="122"/>
      <c r="P4" s="116"/>
      <c r="AH4" s="6" t="s">
        <v>6</v>
      </c>
      <c r="AI4" s="6" t="s">
        <v>30</v>
      </c>
      <c r="AJ4" s="6" t="s">
        <v>113</v>
      </c>
      <c r="AK4" s="6" t="s">
        <v>33</v>
      </c>
      <c r="AL4" s="6" t="s">
        <v>114</v>
      </c>
      <c r="AM4" s="6" t="s">
        <v>115</v>
      </c>
      <c r="AQ4" s="6" t="s">
        <v>41</v>
      </c>
      <c r="AR4" s="6" t="s">
        <v>82</v>
      </c>
      <c r="AS4" s="6" t="s">
        <v>42</v>
      </c>
      <c r="AU4" s="6" t="s">
        <v>44</v>
      </c>
      <c r="AW4" s="6" t="s">
        <v>30</v>
      </c>
      <c r="AX4" s="6" t="s">
        <v>44</v>
      </c>
      <c r="AZ4" s="6" t="s">
        <v>30</v>
      </c>
      <c r="BA4" s="6" t="s">
        <v>44</v>
      </c>
      <c r="BB4" s="6" t="s">
        <v>116</v>
      </c>
    </row>
    <row r="5" spans="2:54" x14ac:dyDescent="0.2">
      <c r="B5" s="198"/>
      <c r="C5" s="128"/>
      <c r="D5" s="108"/>
      <c r="E5" s="108"/>
      <c r="F5" s="108"/>
      <c r="G5" s="108"/>
      <c r="H5" s="19"/>
      <c r="I5" s="127"/>
      <c r="J5" s="123"/>
      <c r="K5" s="113" t="s">
        <v>58</v>
      </c>
      <c r="L5" s="197" t="str">
        <f>IF(E14=0,"",IF(L7="","",L7/E14))</f>
        <v/>
      </c>
      <c r="M5" s="115" t="s">
        <v>108</v>
      </c>
      <c r="N5" s="115"/>
      <c r="O5" s="115"/>
      <c r="P5" s="116"/>
    </row>
    <row r="6" spans="2:54" x14ac:dyDescent="0.2">
      <c r="B6" s="198"/>
      <c r="C6" s="128" t="s">
        <v>117</v>
      </c>
      <c r="D6" s="169" t="s">
        <v>58</v>
      </c>
      <c r="E6" s="200"/>
      <c r="F6" s="108"/>
      <c r="G6" s="108"/>
      <c r="H6" s="19"/>
      <c r="J6" s="123"/>
      <c r="K6" s="120"/>
      <c r="L6" s="121"/>
      <c r="M6" s="122"/>
      <c r="N6" s="122"/>
      <c r="O6" s="122"/>
      <c r="P6" s="116"/>
      <c r="AG6" s="6">
        <v>1</v>
      </c>
      <c r="AH6" s="6">
        <f>E4</f>
        <v>0</v>
      </c>
      <c r="AI6" s="136">
        <f>E6</f>
        <v>0</v>
      </c>
      <c r="AJ6" s="136">
        <f>E8</f>
        <v>2000</v>
      </c>
      <c r="AK6" s="136">
        <f>E10</f>
        <v>0</v>
      </c>
      <c r="AL6" s="136">
        <f>E12</f>
        <v>0</v>
      </c>
      <c r="AM6" s="136">
        <f>E14</f>
        <v>0</v>
      </c>
      <c r="AQ6" s="136">
        <f>E18</f>
        <v>0</v>
      </c>
      <c r="AR6" s="136">
        <f>E16</f>
        <v>0</v>
      </c>
      <c r="AS6" s="136">
        <f>E20</f>
        <v>0</v>
      </c>
      <c r="AU6" s="136">
        <f>E22</f>
        <v>0</v>
      </c>
      <c r="AW6" s="136">
        <f>E24</f>
        <v>0</v>
      </c>
      <c r="AX6" s="136">
        <f>E26</f>
        <v>0</v>
      </c>
      <c r="AZ6" s="136">
        <f>E28</f>
        <v>0</v>
      </c>
      <c r="BA6" s="136">
        <f>E30</f>
        <v>0</v>
      </c>
    </row>
    <row r="7" spans="2:54" x14ac:dyDescent="0.2">
      <c r="B7" s="198"/>
      <c r="C7" s="128"/>
      <c r="D7" s="108"/>
      <c r="E7" s="201"/>
      <c r="F7" s="108"/>
      <c r="G7" s="108"/>
      <c r="H7" s="19"/>
      <c r="J7" s="123"/>
      <c r="K7" s="113" t="s">
        <v>58</v>
      </c>
      <c r="L7" s="197" t="str">
        <f>IF(E8=0,"",IF(E10=0,"",$E$6/$E$8/$E$10))</f>
        <v/>
      </c>
      <c r="M7" s="115" t="s">
        <v>109</v>
      </c>
      <c r="N7" s="115"/>
      <c r="O7" s="115"/>
      <c r="P7" s="116"/>
      <c r="AI7" s="136"/>
      <c r="AJ7" s="136"/>
      <c r="AK7" s="136"/>
      <c r="AL7" s="136"/>
      <c r="AM7" s="136"/>
      <c r="AQ7" s="136"/>
      <c r="AR7" s="136"/>
      <c r="AS7" s="136"/>
      <c r="AU7" s="136"/>
      <c r="AW7" s="136"/>
      <c r="AX7" s="136"/>
      <c r="AZ7" s="136"/>
      <c r="BA7" s="136"/>
    </row>
    <row r="8" spans="2:54" ht="13.5" thickBot="1" x14ac:dyDescent="0.25">
      <c r="B8" s="198"/>
      <c r="C8" s="128" t="s">
        <v>118</v>
      </c>
      <c r="D8" s="108"/>
      <c r="E8" s="202">
        <v>2000</v>
      </c>
      <c r="F8" s="108" t="s">
        <v>119</v>
      </c>
      <c r="G8" s="108"/>
      <c r="H8" s="19"/>
      <c r="J8" s="132"/>
      <c r="K8" s="133"/>
      <c r="L8" s="134"/>
      <c r="M8" s="133"/>
      <c r="N8" s="133"/>
      <c r="O8" s="133"/>
      <c r="P8" s="135"/>
    </row>
    <row r="9" spans="2:54" x14ac:dyDescent="0.2">
      <c r="B9" s="198"/>
      <c r="C9" s="128"/>
      <c r="D9" s="108"/>
      <c r="E9" s="201"/>
      <c r="F9" s="108"/>
      <c r="G9" s="108"/>
      <c r="H9" s="19"/>
      <c r="L9" s="137"/>
    </row>
    <row r="10" spans="2:54" ht="18.75" thickBot="1" x14ac:dyDescent="0.3">
      <c r="B10" s="198"/>
      <c r="C10" s="128" t="s">
        <v>120</v>
      </c>
      <c r="D10" s="108"/>
      <c r="E10" s="203"/>
      <c r="F10" s="108"/>
      <c r="G10" s="108"/>
      <c r="H10" s="19"/>
      <c r="J10" s="95" t="s">
        <v>121</v>
      </c>
      <c r="L10" s="137"/>
    </row>
    <row r="11" spans="2:54" x14ac:dyDescent="0.2">
      <c r="B11" s="198"/>
      <c r="C11" s="128"/>
      <c r="D11" s="108"/>
      <c r="E11" s="201"/>
      <c r="F11" s="108"/>
      <c r="G11" s="108"/>
      <c r="H11" s="19"/>
      <c r="J11" s="104"/>
      <c r="K11" s="105"/>
      <c r="L11" s="141"/>
      <c r="M11" s="105"/>
      <c r="N11" s="105"/>
      <c r="O11" s="105"/>
      <c r="P11" s="106"/>
    </row>
    <row r="12" spans="2:54" x14ac:dyDescent="0.2">
      <c r="B12" s="198"/>
      <c r="C12" s="128" t="s">
        <v>122</v>
      </c>
      <c r="D12" s="108"/>
      <c r="E12" s="203"/>
      <c r="F12" s="108"/>
      <c r="G12" s="108"/>
      <c r="H12" s="19"/>
      <c r="J12" s="112"/>
      <c r="K12" s="113" t="s">
        <v>58</v>
      </c>
      <c r="L12" s="197" t="str">
        <f>IF(E12=0,"",IF(L16="","",L16/E12))</f>
        <v/>
      </c>
      <c r="M12" s="115" t="s">
        <v>107</v>
      </c>
      <c r="N12" s="115"/>
      <c r="O12" s="115"/>
      <c r="P12" s="116"/>
    </row>
    <row r="13" spans="2:54" x14ac:dyDescent="0.2">
      <c r="B13" s="198"/>
      <c r="C13" s="128"/>
      <c r="D13" s="108"/>
      <c r="E13" s="201"/>
      <c r="F13" s="108"/>
      <c r="G13" s="108"/>
      <c r="H13" s="19"/>
      <c r="J13" s="112"/>
      <c r="K13" s="120"/>
      <c r="L13" s="121"/>
      <c r="M13" s="122"/>
      <c r="N13" s="122"/>
      <c r="O13" s="122"/>
      <c r="P13" s="116"/>
    </row>
    <row r="14" spans="2:54" x14ac:dyDescent="0.2">
      <c r="B14" s="198"/>
      <c r="C14" s="128" t="s">
        <v>123</v>
      </c>
      <c r="D14" s="108"/>
      <c r="E14" s="203"/>
      <c r="F14" s="108"/>
      <c r="G14" s="108"/>
      <c r="H14" s="19"/>
      <c r="J14" s="123"/>
      <c r="K14" s="113" t="s">
        <v>58</v>
      </c>
      <c r="L14" s="197" t="str">
        <f>IF(E14=0,"",IF(L16="","",L16/E14))</f>
        <v/>
      </c>
      <c r="M14" s="115" t="s">
        <v>108</v>
      </c>
      <c r="N14" s="115"/>
      <c r="O14" s="115"/>
      <c r="P14" s="116"/>
    </row>
    <row r="15" spans="2:54" x14ac:dyDescent="0.2">
      <c r="B15" s="198"/>
      <c r="C15" s="128"/>
      <c r="D15" s="108"/>
      <c r="E15" s="201"/>
      <c r="F15" s="108"/>
      <c r="G15" s="108"/>
      <c r="H15" s="19"/>
      <c r="J15" s="123"/>
      <c r="K15" s="120"/>
      <c r="L15" s="121"/>
      <c r="M15" s="122"/>
      <c r="N15" s="122"/>
      <c r="O15" s="122"/>
      <c r="P15" s="116"/>
    </row>
    <row r="16" spans="2:54" x14ac:dyDescent="0.2">
      <c r="B16" s="198"/>
      <c r="C16" s="128" t="s">
        <v>124</v>
      </c>
      <c r="D16" s="108"/>
      <c r="E16" s="202"/>
      <c r="F16" s="108" t="s">
        <v>82</v>
      </c>
      <c r="G16" s="108"/>
      <c r="H16" s="19"/>
      <c r="J16" s="123"/>
      <c r="K16" s="113" t="s">
        <v>58</v>
      </c>
      <c r="L16" s="197" t="str">
        <f>IF(E8=0,"",IF(E10=0,"",($E$6+$E$16*IF($E$20="",0,IF(E20=0,0,$E$18/E20)))/$E$8/$E$10/(1-$E$22)))</f>
        <v/>
      </c>
      <c r="M16" s="115" t="s">
        <v>109</v>
      </c>
      <c r="N16" s="115"/>
      <c r="O16" s="115"/>
      <c r="P16" s="116"/>
    </row>
    <row r="17" spans="2:16" ht="13.5" thickBot="1" x14ac:dyDescent="0.25">
      <c r="B17" s="198"/>
      <c r="C17" s="128"/>
      <c r="D17" s="108"/>
      <c r="E17" s="201"/>
      <c r="F17" s="108"/>
      <c r="G17" s="108"/>
      <c r="H17" s="19"/>
      <c r="J17" s="132"/>
      <c r="K17" s="133"/>
      <c r="L17" s="134"/>
      <c r="M17" s="133"/>
      <c r="N17" s="133"/>
      <c r="O17" s="133"/>
      <c r="P17" s="135"/>
    </row>
    <row r="18" spans="2:16" x14ac:dyDescent="0.2">
      <c r="B18" s="198"/>
      <c r="C18" s="128" t="s">
        <v>125</v>
      </c>
      <c r="D18" s="169" t="s">
        <v>58</v>
      </c>
      <c r="E18" s="200"/>
      <c r="F18" s="108" t="s">
        <v>84</v>
      </c>
      <c r="G18" s="108"/>
      <c r="H18" s="19"/>
      <c r="L18" s="137"/>
    </row>
    <row r="19" spans="2:16" ht="18.75" thickBot="1" x14ac:dyDescent="0.3">
      <c r="B19" s="198"/>
      <c r="C19" s="128"/>
      <c r="D19" s="108"/>
      <c r="E19" s="201"/>
      <c r="F19" s="108"/>
      <c r="G19" s="108"/>
      <c r="H19" s="19"/>
      <c r="J19" s="95" t="s">
        <v>126</v>
      </c>
      <c r="L19" s="137"/>
    </row>
    <row r="20" spans="2:16" x14ac:dyDescent="0.2">
      <c r="B20" s="198"/>
      <c r="C20" s="128" t="str">
        <f>CONCATENATE("How many ",$F$20,"s are hauled per load?")</f>
        <v>How many tons are hauled per load?</v>
      </c>
      <c r="D20" s="108"/>
      <c r="E20" s="202"/>
      <c r="F20" s="108" t="str">
        <f>IF(E8=2000,"ton",IF(E8=100,"hundredweight",IF(E8&gt;31,IF(E8&lt;71,"bushel","unit"),"unit")))</f>
        <v>ton</v>
      </c>
      <c r="G20" s="108"/>
      <c r="H20" s="19"/>
      <c r="J20" s="104"/>
      <c r="K20" s="105"/>
      <c r="L20" s="141"/>
      <c r="M20" s="105"/>
      <c r="N20" s="105"/>
      <c r="O20" s="105"/>
      <c r="P20" s="106"/>
    </row>
    <row r="21" spans="2:16" x14ac:dyDescent="0.2">
      <c r="B21" s="198"/>
      <c r="C21" s="128"/>
      <c r="D21" s="108"/>
      <c r="E21" s="201"/>
      <c r="F21" s="108"/>
      <c r="G21" s="108"/>
      <c r="H21" s="19"/>
      <c r="J21" s="112"/>
      <c r="K21" s="113" t="s">
        <v>58</v>
      </c>
      <c r="L21" s="197" t="str">
        <f>IF(E12=0,"",IF(L25="","",L25/E12))</f>
        <v/>
      </c>
      <c r="M21" s="115" t="s">
        <v>107</v>
      </c>
      <c r="N21" s="115"/>
      <c r="O21" s="115"/>
      <c r="P21" s="116"/>
    </row>
    <row r="22" spans="2:16" x14ac:dyDescent="0.2">
      <c r="B22" s="198"/>
      <c r="C22" s="128" t="s">
        <v>127</v>
      </c>
      <c r="D22" s="108"/>
      <c r="E22" s="203"/>
      <c r="F22" s="108"/>
      <c r="G22" s="108"/>
      <c r="H22" s="19"/>
      <c r="J22" s="112"/>
      <c r="K22" s="120"/>
      <c r="L22" s="121"/>
      <c r="M22" s="122"/>
      <c r="N22" s="122"/>
      <c r="O22" s="122"/>
      <c r="P22" s="116"/>
    </row>
    <row r="23" spans="2:16" x14ac:dyDescent="0.2">
      <c r="B23" s="198"/>
      <c r="C23" s="128"/>
      <c r="D23" s="108"/>
      <c r="E23" s="201"/>
      <c r="F23" s="108"/>
      <c r="G23" s="108"/>
      <c r="H23" s="19"/>
      <c r="J23" s="123"/>
      <c r="K23" s="113" t="s">
        <v>58</v>
      </c>
      <c r="L23" s="197" t="str">
        <f>IF(E14=0,"",IF(L25="","",L25/E14))</f>
        <v/>
      </c>
      <c r="M23" s="115" t="s">
        <v>108</v>
      </c>
      <c r="N23" s="115"/>
      <c r="O23" s="115"/>
      <c r="P23" s="116"/>
    </row>
    <row r="24" spans="2:16" x14ac:dyDescent="0.2">
      <c r="B24" s="198"/>
      <c r="C24" s="128" t="s">
        <v>128</v>
      </c>
      <c r="D24" s="169" t="s">
        <v>58</v>
      </c>
      <c r="E24" s="200"/>
      <c r="F24" s="108" t="str">
        <f>CONCATENATE("per ",$F$20)</f>
        <v>per ton</v>
      </c>
      <c r="G24" s="108"/>
      <c r="H24" s="19"/>
      <c r="J24" s="123"/>
      <c r="K24" s="120"/>
      <c r="L24" s="121"/>
      <c r="M24" s="122"/>
      <c r="N24" s="122"/>
      <c r="O24" s="122"/>
      <c r="P24" s="116"/>
    </row>
    <row r="25" spans="2:16" x14ac:dyDescent="0.2">
      <c r="B25" s="198"/>
      <c r="C25" s="128"/>
      <c r="D25" s="108"/>
      <c r="E25" s="201"/>
      <c r="F25" s="108"/>
      <c r="G25" s="108"/>
      <c r="H25" s="19"/>
      <c r="J25" s="123"/>
      <c r="K25" s="113" t="s">
        <v>58</v>
      </c>
      <c r="L25" s="197" t="str">
        <f>IF(E8=0,"",IF(E10=0,"",IF(E20=0,"",(E6+E16*E18/E20+E24*(1-E22))/E8/E10/(1-E22)/(1-E26))))</f>
        <v/>
      </c>
      <c r="M25" s="115" t="s">
        <v>109</v>
      </c>
      <c r="N25" s="115"/>
      <c r="O25" s="115"/>
      <c r="P25" s="116"/>
    </row>
    <row r="26" spans="2:16" ht="13.5" thickBot="1" x14ac:dyDescent="0.25">
      <c r="B26" s="198"/>
      <c r="C26" s="128" t="s">
        <v>129</v>
      </c>
      <c r="D26" s="108"/>
      <c r="E26" s="203"/>
      <c r="F26" s="108"/>
      <c r="G26" s="108"/>
      <c r="H26" s="19"/>
      <c r="J26" s="132"/>
      <c r="K26" s="133"/>
      <c r="L26" s="134"/>
      <c r="M26" s="133"/>
      <c r="N26" s="133"/>
      <c r="O26" s="133"/>
      <c r="P26" s="135"/>
    </row>
    <row r="27" spans="2:16" x14ac:dyDescent="0.2">
      <c r="B27" s="198"/>
      <c r="C27" s="128"/>
      <c r="D27" s="108"/>
      <c r="E27" s="201"/>
      <c r="F27" s="108"/>
      <c r="G27" s="108"/>
      <c r="H27" s="19"/>
      <c r="L27" s="137"/>
    </row>
    <row r="28" spans="2:16" ht="18.75" thickBot="1" x14ac:dyDescent="0.3">
      <c r="B28" s="198"/>
      <c r="C28" s="128" t="s">
        <v>130</v>
      </c>
      <c r="D28" s="169" t="s">
        <v>58</v>
      </c>
      <c r="E28" s="200"/>
      <c r="F28" s="108" t="str">
        <f>CONCATENATE("per ",$F$20)</f>
        <v>per ton</v>
      </c>
      <c r="G28" s="108"/>
      <c r="H28" s="19"/>
      <c r="J28" s="95" t="s">
        <v>131</v>
      </c>
      <c r="L28" s="137"/>
    </row>
    <row r="29" spans="2:16" x14ac:dyDescent="0.2">
      <c r="B29" s="198"/>
      <c r="C29" s="128"/>
      <c r="D29" s="108"/>
      <c r="E29" s="201"/>
      <c r="F29" s="108"/>
      <c r="G29" s="108"/>
      <c r="H29" s="19"/>
      <c r="J29" s="104"/>
      <c r="K29" s="105"/>
      <c r="L29" s="141"/>
      <c r="M29" s="105"/>
      <c r="N29" s="105"/>
      <c r="O29" s="105"/>
      <c r="P29" s="106"/>
    </row>
    <row r="30" spans="2:16" x14ac:dyDescent="0.2">
      <c r="B30" s="198"/>
      <c r="C30" s="128" t="s">
        <v>132</v>
      </c>
      <c r="D30" s="108"/>
      <c r="E30" s="203"/>
      <c r="F30" s="108"/>
      <c r="G30" s="108"/>
      <c r="H30" s="19"/>
      <c r="J30" s="112"/>
      <c r="K30" s="113" t="s">
        <v>58</v>
      </c>
      <c r="L30" s="197" t="str">
        <f>IF(E12=0,"",IF(L34="","",L34/E12))</f>
        <v/>
      </c>
      <c r="M30" s="115" t="s">
        <v>107</v>
      </c>
      <c r="N30" s="115"/>
      <c r="O30" s="115"/>
      <c r="P30" s="116"/>
    </row>
    <row r="31" spans="2:16" ht="13.5" thickBot="1" x14ac:dyDescent="0.25">
      <c r="B31" s="36"/>
      <c r="C31" s="37"/>
      <c r="D31" s="37"/>
      <c r="E31" s="37"/>
      <c r="F31" s="37"/>
      <c r="G31" s="37"/>
      <c r="H31" s="38"/>
      <c r="J31" s="112"/>
      <c r="K31" s="120"/>
      <c r="L31" s="121"/>
      <c r="M31" s="122"/>
      <c r="N31" s="122"/>
      <c r="O31" s="122"/>
      <c r="P31" s="116"/>
    </row>
    <row r="32" spans="2:16" x14ac:dyDescent="0.2">
      <c r="J32" s="123"/>
      <c r="K32" s="113" t="s">
        <v>58</v>
      </c>
      <c r="L32" s="197" t="str">
        <f>IF(E14=0,"",IF(L34="","",L34/E14))</f>
        <v/>
      </c>
      <c r="M32" s="115" t="s">
        <v>108</v>
      </c>
      <c r="N32" s="115"/>
      <c r="O32" s="115"/>
      <c r="P32" s="116"/>
    </row>
    <row r="33" spans="10:16" x14ac:dyDescent="0.2">
      <c r="J33" s="123"/>
      <c r="K33" s="120"/>
      <c r="L33" s="121"/>
      <c r="M33" s="122"/>
      <c r="N33" s="122"/>
      <c r="O33" s="122"/>
      <c r="P33" s="116"/>
    </row>
    <row r="34" spans="10:16" x14ac:dyDescent="0.2">
      <c r="J34" s="123"/>
      <c r="K34" s="113" t="s">
        <v>58</v>
      </c>
      <c r="L34" s="197" t="str">
        <f>IF(E8=0,"",IF(E10=0,"",IF(E20=0,"",(E6+E16*E18/E20+E24*(1-E22)+E28*(1-E22)*(1-E26))/E8/E10/(1-E22)/(1-E26)/(1-E30))))</f>
        <v/>
      </c>
      <c r="M34" s="115" t="s">
        <v>109</v>
      </c>
      <c r="N34" s="115"/>
      <c r="O34" s="115"/>
      <c r="P34" s="116"/>
    </row>
    <row r="35" spans="10:16" ht="13.5" thickBot="1" x14ac:dyDescent="0.25">
      <c r="J35" s="132"/>
      <c r="K35" s="133"/>
      <c r="L35" s="133"/>
      <c r="M35" s="133"/>
      <c r="N35" s="133"/>
      <c r="O35" s="133"/>
      <c r="P35" s="135"/>
    </row>
  </sheetData>
  <sheetProtection sheet="1" objects="1" scenarios="1"/>
  <mergeCells count="1">
    <mergeCell ref="E4:G4"/>
  </mergeCells>
  <phoneticPr fontId="2" type="noConversion"/>
  <dataValidations count="2">
    <dataValidation type="decimal" operator="greaterThanOrEqual" allowBlank="1" showInputMessage="1" showErrorMessage="1" errorTitle="Restricted Data Entry" error="Only numbers greater than or equal to zero can be entered in this cell." sqref="E6 E16 E18 E20 E22 E24 E26 E28 E30">
      <formula1>0</formula1>
    </dataValidation>
    <dataValidation type="decimal" operator="greaterThan" allowBlank="1" showInputMessage="1" showErrorMessage="1" errorTitle="Restricted Data Entry" error="Only numbers greater than zero can be entered into this cell." sqref="E8 E10 E12 E14">
      <formula1>0</formula1>
    </dataValidation>
  </dataValidations>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B1:BB35"/>
  <sheetViews>
    <sheetView workbookViewId="0">
      <selection activeCell="E9" sqref="E9"/>
    </sheetView>
  </sheetViews>
  <sheetFormatPr defaultRowHeight="12.75" x14ac:dyDescent="0.2"/>
  <cols>
    <col min="1" max="1" width="4" style="6" customWidth="1"/>
    <col min="2" max="2" width="4.42578125" style="6" customWidth="1"/>
    <col min="3" max="3" width="36.85546875" style="6" customWidth="1"/>
    <col min="4" max="4" width="9.140625" style="6"/>
    <col min="5" max="5" width="10.7109375" style="6" customWidth="1"/>
    <col min="6" max="7" width="9.140625" style="6"/>
    <col min="8" max="9" width="4.85546875" style="6" customWidth="1"/>
    <col min="10" max="10" width="4.5703125" style="6" customWidth="1"/>
    <col min="11" max="11" width="3.7109375" style="6" customWidth="1"/>
    <col min="12" max="13" width="9.140625" style="6"/>
    <col min="14" max="14" width="13.7109375" style="6" bestFit="1" customWidth="1"/>
    <col min="15" max="15" width="13.7109375" style="6" customWidth="1"/>
    <col min="16" max="16" width="4.5703125" style="6" customWidth="1"/>
    <col min="17" max="17" width="19.28515625" style="6" bestFit="1" customWidth="1"/>
    <col min="18" max="16384" width="9.140625" style="6"/>
  </cols>
  <sheetData>
    <row r="1" spans="2:54" ht="18.75" thickBot="1" x14ac:dyDescent="0.3">
      <c r="B1" s="6">
        <v>8</v>
      </c>
      <c r="J1" s="95" t="s">
        <v>110</v>
      </c>
    </row>
    <row r="2" spans="2:54" ht="18.75" thickBot="1" x14ac:dyDescent="0.3">
      <c r="B2" s="95" t="s">
        <v>111</v>
      </c>
      <c r="J2" s="104"/>
      <c r="K2" s="105"/>
      <c r="L2" s="105"/>
      <c r="M2" s="105"/>
      <c r="N2" s="105"/>
      <c r="O2" s="105"/>
      <c r="P2" s="106"/>
    </row>
    <row r="3" spans="2:54" x14ac:dyDescent="0.2">
      <c r="B3" s="196"/>
      <c r="C3" s="97"/>
      <c r="D3" s="97"/>
      <c r="E3" s="97"/>
      <c r="F3" s="97"/>
      <c r="G3" s="97"/>
      <c r="H3" s="52"/>
      <c r="J3" s="112"/>
      <c r="K3" s="113" t="s">
        <v>58</v>
      </c>
      <c r="L3" s="197" t="str">
        <f>IF(E12=0,"",IF(L7="","",L7/E12))</f>
        <v/>
      </c>
      <c r="M3" s="115" t="s">
        <v>107</v>
      </c>
      <c r="N3" s="115"/>
      <c r="O3" s="115"/>
      <c r="P3" s="116"/>
    </row>
    <row r="4" spans="2:54" x14ac:dyDescent="0.2">
      <c r="B4" s="198"/>
      <c r="C4" s="128" t="s">
        <v>112</v>
      </c>
      <c r="D4" s="108"/>
      <c r="E4" s="241"/>
      <c r="F4" s="241"/>
      <c r="G4" s="241"/>
      <c r="H4" s="199"/>
      <c r="I4" s="127"/>
      <c r="J4" s="112"/>
      <c r="K4" s="120"/>
      <c r="L4" s="121"/>
      <c r="M4" s="122"/>
      <c r="N4" s="122"/>
      <c r="O4" s="122"/>
      <c r="P4" s="116"/>
      <c r="AH4" s="6" t="s">
        <v>6</v>
      </c>
      <c r="AI4" s="6" t="s">
        <v>30</v>
      </c>
      <c r="AJ4" s="6" t="s">
        <v>113</v>
      </c>
      <c r="AK4" s="6" t="s">
        <v>33</v>
      </c>
      <c r="AL4" s="6" t="s">
        <v>114</v>
      </c>
      <c r="AM4" s="6" t="s">
        <v>115</v>
      </c>
      <c r="AQ4" s="6" t="s">
        <v>41</v>
      </c>
      <c r="AR4" s="6" t="s">
        <v>82</v>
      </c>
      <c r="AS4" s="6" t="s">
        <v>42</v>
      </c>
      <c r="AU4" s="6" t="s">
        <v>44</v>
      </c>
      <c r="AW4" s="6" t="s">
        <v>30</v>
      </c>
      <c r="AX4" s="6" t="s">
        <v>44</v>
      </c>
      <c r="AZ4" s="6" t="s">
        <v>30</v>
      </c>
      <c r="BA4" s="6" t="s">
        <v>44</v>
      </c>
      <c r="BB4" s="6" t="s">
        <v>116</v>
      </c>
    </row>
    <row r="5" spans="2:54" x14ac:dyDescent="0.2">
      <c r="B5" s="198"/>
      <c r="C5" s="128"/>
      <c r="D5" s="108"/>
      <c r="E5" s="108"/>
      <c r="F5" s="108"/>
      <c r="G5" s="108"/>
      <c r="H5" s="19"/>
      <c r="I5" s="127"/>
      <c r="J5" s="123"/>
      <c r="K5" s="113" t="s">
        <v>58</v>
      </c>
      <c r="L5" s="197" t="str">
        <f>IF(E14=0,"",IF(L7="","",L7/E14))</f>
        <v/>
      </c>
      <c r="M5" s="115" t="s">
        <v>108</v>
      </c>
      <c r="N5" s="115"/>
      <c r="O5" s="115"/>
      <c r="P5" s="116"/>
    </row>
    <row r="6" spans="2:54" x14ac:dyDescent="0.2">
      <c r="B6" s="198"/>
      <c r="C6" s="128" t="s">
        <v>117</v>
      </c>
      <c r="D6" s="169" t="s">
        <v>58</v>
      </c>
      <c r="E6" s="200"/>
      <c r="F6" s="108"/>
      <c r="G6" s="108"/>
      <c r="H6" s="19"/>
      <c r="J6" s="123"/>
      <c r="K6" s="120"/>
      <c r="L6" s="121"/>
      <c r="M6" s="122"/>
      <c r="N6" s="122"/>
      <c r="O6" s="122"/>
      <c r="P6" s="116"/>
      <c r="AG6" s="6">
        <v>1</v>
      </c>
      <c r="AH6" s="6">
        <f>E4</f>
        <v>0</v>
      </c>
      <c r="AI6" s="136">
        <f>E6</f>
        <v>0</v>
      </c>
      <c r="AJ6" s="136">
        <f>E8</f>
        <v>2000</v>
      </c>
      <c r="AK6" s="136">
        <f>E10</f>
        <v>0</v>
      </c>
      <c r="AL6" s="136">
        <f>E12</f>
        <v>0</v>
      </c>
      <c r="AM6" s="136">
        <f>E14</f>
        <v>0</v>
      </c>
      <c r="AQ6" s="136">
        <f>E18</f>
        <v>0</v>
      </c>
      <c r="AR6" s="136">
        <f>E16</f>
        <v>0</v>
      </c>
      <c r="AS6" s="136">
        <f>E20</f>
        <v>0</v>
      </c>
      <c r="AU6" s="136">
        <f>E22</f>
        <v>0</v>
      </c>
      <c r="AW6" s="136">
        <f>E24</f>
        <v>0</v>
      </c>
      <c r="AX6" s="136">
        <f>E26</f>
        <v>0</v>
      </c>
      <c r="AZ6" s="136">
        <f>E28</f>
        <v>0</v>
      </c>
      <c r="BA6" s="136">
        <f>E30</f>
        <v>0</v>
      </c>
    </row>
    <row r="7" spans="2:54" x14ac:dyDescent="0.2">
      <c r="B7" s="198"/>
      <c r="C7" s="128"/>
      <c r="D7" s="108"/>
      <c r="E7" s="201"/>
      <c r="F7" s="108"/>
      <c r="G7" s="108"/>
      <c r="H7" s="19"/>
      <c r="J7" s="123"/>
      <c r="K7" s="113" t="s">
        <v>58</v>
      </c>
      <c r="L7" s="197" t="str">
        <f>IF(E8=0,"",IF(E10=0,"",$E$6/$E$8/$E$10))</f>
        <v/>
      </c>
      <c r="M7" s="115" t="s">
        <v>109</v>
      </c>
      <c r="N7" s="115"/>
      <c r="O7" s="115"/>
      <c r="P7" s="116"/>
      <c r="AI7" s="136"/>
      <c r="AJ7" s="136"/>
      <c r="AK7" s="136"/>
      <c r="AL7" s="136"/>
      <c r="AM7" s="136"/>
      <c r="AQ7" s="136"/>
      <c r="AR7" s="136"/>
      <c r="AS7" s="136"/>
      <c r="AU7" s="136"/>
      <c r="AW7" s="136"/>
      <c r="AX7" s="136"/>
      <c r="AZ7" s="136"/>
      <c r="BA7" s="136"/>
    </row>
    <row r="8" spans="2:54" ht="13.5" thickBot="1" x14ac:dyDescent="0.25">
      <c r="B8" s="198"/>
      <c r="C8" s="128" t="s">
        <v>118</v>
      </c>
      <c r="D8" s="108"/>
      <c r="E8" s="202">
        <v>2000</v>
      </c>
      <c r="F8" s="108" t="s">
        <v>119</v>
      </c>
      <c r="G8" s="108"/>
      <c r="H8" s="19"/>
      <c r="J8" s="132"/>
      <c r="K8" s="133"/>
      <c r="L8" s="134"/>
      <c r="M8" s="133"/>
      <c r="N8" s="133"/>
      <c r="O8" s="133"/>
      <c r="P8" s="135"/>
    </row>
    <row r="9" spans="2:54" x14ac:dyDescent="0.2">
      <c r="B9" s="198"/>
      <c r="C9" s="128"/>
      <c r="D9" s="108"/>
      <c r="E9" s="201"/>
      <c r="F9" s="108"/>
      <c r="G9" s="108"/>
      <c r="H9" s="19"/>
      <c r="L9" s="137"/>
    </row>
    <row r="10" spans="2:54" ht="18.75" thickBot="1" x14ac:dyDescent="0.3">
      <c r="B10" s="198"/>
      <c r="C10" s="128" t="s">
        <v>120</v>
      </c>
      <c r="D10" s="108"/>
      <c r="E10" s="203"/>
      <c r="F10" s="108"/>
      <c r="G10" s="108"/>
      <c r="H10" s="19"/>
      <c r="J10" s="95" t="s">
        <v>121</v>
      </c>
      <c r="L10" s="137"/>
    </row>
    <row r="11" spans="2:54" x14ac:dyDescent="0.2">
      <c r="B11" s="198"/>
      <c r="C11" s="128"/>
      <c r="D11" s="108"/>
      <c r="E11" s="201"/>
      <c r="F11" s="108"/>
      <c r="G11" s="108"/>
      <c r="H11" s="19"/>
      <c r="J11" s="104"/>
      <c r="K11" s="105"/>
      <c r="L11" s="141"/>
      <c r="M11" s="105"/>
      <c r="N11" s="105"/>
      <c r="O11" s="105"/>
      <c r="P11" s="106"/>
    </row>
    <row r="12" spans="2:54" x14ac:dyDescent="0.2">
      <c r="B12" s="198"/>
      <c r="C12" s="128" t="s">
        <v>122</v>
      </c>
      <c r="D12" s="108"/>
      <c r="E12" s="203"/>
      <c r="F12" s="108"/>
      <c r="G12" s="108"/>
      <c r="H12" s="19"/>
      <c r="J12" s="112"/>
      <c r="K12" s="113" t="s">
        <v>58</v>
      </c>
      <c r="L12" s="197" t="str">
        <f>IF(E12=0,"",IF(L16="","",L16/E12))</f>
        <v/>
      </c>
      <c r="M12" s="115" t="s">
        <v>107</v>
      </c>
      <c r="N12" s="115"/>
      <c r="O12" s="115"/>
      <c r="P12" s="116"/>
    </row>
    <row r="13" spans="2:54" x14ac:dyDescent="0.2">
      <c r="B13" s="198"/>
      <c r="C13" s="128"/>
      <c r="D13" s="108"/>
      <c r="E13" s="201"/>
      <c r="F13" s="108"/>
      <c r="G13" s="108"/>
      <c r="H13" s="19"/>
      <c r="J13" s="112"/>
      <c r="K13" s="120"/>
      <c r="L13" s="121"/>
      <c r="M13" s="122"/>
      <c r="N13" s="122"/>
      <c r="O13" s="122"/>
      <c r="P13" s="116"/>
    </row>
    <row r="14" spans="2:54" x14ac:dyDescent="0.2">
      <c r="B14" s="198"/>
      <c r="C14" s="128" t="s">
        <v>123</v>
      </c>
      <c r="D14" s="108"/>
      <c r="E14" s="203"/>
      <c r="F14" s="108"/>
      <c r="G14" s="108"/>
      <c r="H14" s="19"/>
      <c r="J14" s="123"/>
      <c r="K14" s="113" t="s">
        <v>58</v>
      </c>
      <c r="L14" s="197" t="str">
        <f>IF(E14=0,"",IF(L16="","",L16/E14))</f>
        <v/>
      </c>
      <c r="M14" s="115" t="s">
        <v>108</v>
      </c>
      <c r="N14" s="115"/>
      <c r="O14" s="115"/>
      <c r="P14" s="116"/>
    </row>
    <row r="15" spans="2:54" x14ac:dyDescent="0.2">
      <c r="B15" s="198"/>
      <c r="C15" s="128"/>
      <c r="D15" s="108"/>
      <c r="E15" s="201"/>
      <c r="F15" s="108"/>
      <c r="G15" s="108"/>
      <c r="H15" s="19"/>
      <c r="J15" s="123"/>
      <c r="K15" s="120"/>
      <c r="L15" s="121"/>
      <c r="M15" s="122"/>
      <c r="N15" s="122"/>
      <c r="O15" s="122"/>
      <c r="P15" s="116"/>
    </row>
    <row r="16" spans="2:54" x14ac:dyDescent="0.2">
      <c r="B16" s="198"/>
      <c r="C16" s="128" t="s">
        <v>124</v>
      </c>
      <c r="D16" s="108"/>
      <c r="E16" s="202"/>
      <c r="F16" s="108" t="s">
        <v>82</v>
      </c>
      <c r="G16" s="108"/>
      <c r="H16" s="19"/>
      <c r="J16" s="123"/>
      <c r="K16" s="113" t="s">
        <v>58</v>
      </c>
      <c r="L16" s="197" t="str">
        <f>IF(E8=0,"",IF(E10=0,"",($E$6+$E$16*IF($E$20="",0,IF(E20=0,0,$E$18/E20)))/$E$8/$E$10/(1-$E$22)))</f>
        <v/>
      </c>
      <c r="M16" s="115" t="s">
        <v>109</v>
      </c>
      <c r="N16" s="115"/>
      <c r="O16" s="115"/>
      <c r="P16" s="116"/>
    </row>
    <row r="17" spans="2:16" ht="13.5" thickBot="1" x14ac:dyDescent="0.25">
      <c r="B17" s="198"/>
      <c r="C17" s="128"/>
      <c r="D17" s="108"/>
      <c r="E17" s="201"/>
      <c r="F17" s="108"/>
      <c r="G17" s="108"/>
      <c r="H17" s="19"/>
      <c r="J17" s="132"/>
      <c r="K17" s="133"/>
      <c r="L17" s="134"/>
      <c r="M17" s="133"/>
      <c r="N17" s="133"/>
      <c r="O17" s="133"/>
      <c r="P17" s="135"/>
    </row>
    <row r="18" spans="2:16" x14ac:dyDescent="0.2">
      <c r="B18" s="198"/>
      <c r="C18" s="128" t="s">
        <v>125</v>
      </c>
      <c r="D18" s="169" t="s">
        <v>58</v>
      </c>
      <c r="E18" s="200"/>
      <c r="F18" s="108" t="s">
        <v>84</v>
      </c>
      <c r="G18" s="108"/>
      <c r="H18" s="19"/>
      <c r="L18" s="137"/>
    </row>
    <row r="19" spans="2:16" ht="18.75" thickBot="1" x14ac:dyDescent="0.3">
      <c r="B19" s="198"/>
      <c r="C19" s="128"/>
      <c r="D19" s="108"/>
      <c r="E19" s="201"/>
      <c r="F19" s="108"/>
      <c r="G19" s="108"/>
      <c r="H19" s="19"/>
      <c r="J19" s="95" t="s">
        <v>126</v>
      </c>
      <c r="L19" s="137"/>
    </row>
    <row r="20" spans="2:16" x14ac:dyDescent="0.2">
      <c r="B20" s="198"/>
      <c r="C20" s="128" t="str">
        <f>CONCATENATE("How many ",$F$20,"s are hauled per load?")</f>
        <v>How many tons are hauled per load?</v>
      </c>
      <c r="D20" s="108"/>
      <c r="E20" s="202"/>
      <c r="F20" s="108" t="str">
        <f>IF(E8=2000,"ton",IF(E8=100,"hundredweight",IF(E8&gt;31,IF(E8&lt;71,"bushel","unit"),"unit")))</f>
        <v>ton</v>
      </c>
      <c r="G20" s="108"/>
      <c r="H20" s="19"/>
      <c r="J20" s="104"/>
      <c r="K20" s="105"/>
      <c r="L20" s="141"/>
      <c r="M20" s="105"/>
      <c r="N20" s="105"/>
      <c r="O20" s="105"/>
      <c r="P20" s="106"/>
    </row>
    <row r="21" spans="2:16" x14ac:dyDescent="0.2">
      <c r="B21" s="198"/>
      <c r="C21" s="128"/>
      <c r="D21" s="108"/>
      <c r="E21" s="201"/>
      <c r="F21" s="108"/>
      <c r="G21" s="108"/>
      <c r="H21" s="19"/>
      <c r="J21" s="112"/>
      <c r="K21" s="113" t="s">
        <v>58</v>
      </c>
      <c r="L21" s="197" t="str">
        <f>IF(E12=0,"",IF(L25="","",L25/E12))</f>
        <v/>
      </c>
      <c r="M21" s="115" t="s">
        <v>107</v>
      </c>
      <c r="N21" s="115"/>
      <c r="O21" s="115"/>
      <c r="P21" s="116"/>
    </row>
    <row r="22" spans="2:16" x14ac:dyDescent="0.2">
      <c r="B22" s="198"/>
      <c r="C22" s="128" t="s">
        <v>127</v>
      </c>
      <c r="D22" s="108"/>
      <c r="E22" s="203"/>
      <c r="F22" s="108"/>
      <c r="G22" s="108"/>
      <c r="H22" s="19"/>
      <c r="J22" s="112"/>
      <c r="K22" s="120"/>
      <c r="L22" s="121"/>
      <c r="M22" s="122"/>
      <c r="N22" s="122"/>
      <c r="O22" s="122"/>
      <c r="P22" s="116"/>
    </row>
    <row r="23" spans="2:16" x14ac:dyDescent="0.2">
      <c r="B23" s="198"/>
      <c r="C23" s="128"/>
      <c r="D23" s="108"/>
      <c r="E23" s="201"/>
      <c r="F23" s="108"/>
      <c r="G23" s="108"/>
      <c r="H23" s="19"/>
      <c r="J23" s="123"/>
      <c r="K23" s="113" t="s">
        <v>58</v>
      </c>
      <c r="L23" s="197" t="str">
        <f>IF(E14=0,"",IF(L25="","",L25/E14))</f>
        <v/>
      </c>
      <c r="M23" s="115" t="s">
        <v>108</v>
      </c>
      <c r="N23" s="115"/>
      <c r="O23" s="115"/>
      <c r="P23" s="116"/>
    </row>
    <row r="24" spans="2:16" x14ac:dyDescent="0.2">
      <c r="B24" s="198"/>
      <c r="C24" s="128" t="s">
        <v>128</v>
      </c>
      <c r="D24" s="169" t="s">
        <v>58</v>
      </c>
      <c r="E24" s="200"/>
      <c r="F24" s="108" t="str">
        <f>CONCATENATE("per ",$F$20)</f>
        <v>per ton</v>
      </c>
      <c r="G24" s="108"/>
      <c r="H24" s="19"/>
      <c r="J24" s="123"/>
      <c r="K24" s="120"/>
      <c r="L24" s="121"/>
      <c r="M24" s="122"/>
      <c r="N24" s="122"/>
      <c r="O24" s="122"/>
      <c r="P24" s="116"/>
    </row>
    <row r="25" spans="2:16" x14ac:dyDescent="0.2">
      <c r="B25" s="198"/>
      <c r="C25" s="128"/>
      <c r="D25" s="108"/>
      <c r="E25" s="201"/>
      <c r="F25" s="108"/>
      <c r="G25" s="108"/>
      <c r="H25" s="19"/>
      <c r="J25" s="123"/>
      <c r="K25" s="113" t="s">
        <v>58</v>
      </c>
      <c r="L25" s="197" t="str">
        <f>IF(E8=0,"",IF(E10=0,"",IF(E20=0,"",(E6+E16*E18/E20+E24*(1-E22))/E8/E10/(1-E22)/(1-E26))))</f>
        <v/>
      </c>
      <c r="M25" s="115" t="s">
        <v>109</v>
      </c>
      <c r="N25" s="115"/>
      <c r="O25" s="115"/>
      <c r="P25" s="116"/>
    </row>
    <row r="26" spans="2:16" ht="13.5" thickBot="1" x14ac:dyDescent="0.25">
      <c r="B26" s="198"/>
      <c r="C26" s="128" t="s">
        <v>129</v>
      </c>
      <c r="D26" s="108"/>
      <c r="E26" s="203"/>
      <c r="F26" s="108"/>
      <c r="G26" s="108"/>
      <c r="H26" s="19"/>
      <c r="J26" s="132"/>
      <c r="K26" s="133"/>
      <c r="L26" s="134"/>
      <c r="M26" s="133"/>
      <c r="N26" s="133"/>
      <c r="O26" s="133"/>
      <c r="P26" s="135"/>
    </row>
    <row r="27" spans="2:16" x14ac:dyDescent="0.2">
      <c r="B27" s="198"/>
      <c r="C27" s="128"/>
      <c r="D27" s="108"/>
      <c r="E27" s="201"/>
      <c r="F27" s="108"/>
      <c r="G27" s="108"/>
      <c r="H27" s="19"/>
      <c r="L27" s="137"/>
    </row>
    <row r="28" spans="2:16" ht="18.75" thickBot="1" x14ac:dyDescent="0.3">
      <c r="B28" s="198"/>
      <c r="C28" s="128" t="s">
        <v>130</v>
      </c>
      <c r="D28" s="169" t="s">
        <v>58</v>
      </c>
      <c r="E28" s="200"/>
      <c r="F28" s="108" t="str">
        <f>CONCATENATE("per ",$F$20)</f>
        <v>per ton</v>
      </c>
      <c r="G28" s="108"/>
      <c r="H28" s="19"/>
      <c r="J28" s="95" t="s">
        <v>131</v>
      </c>
      <c r="L28" s="137"/>
    </row>
    <row r="29" spans="2:16" x14ac:dyDescent="0.2">
      <c r="B29" s="198"/>
      <c r="C29" s="128"/>
      <c r="D29" s="108"/>
      <c r="E29" s="201"/>
      <c r="F29" s="108"/>
      <c r="G29" s="108"/>
      <c r="H29" s="19"/>
      <c r="J29" s="104"/>
      <c r="K29" s="105"/>
      <c r="L29" s="141"/>
      <c r="M29" s="105"/>
      <c r="N29" s="105"/>
      <c r="O29" s="105"/>
      <c r="P29" s="106"/>
    </row>
    <row r="30" spans="2:16" x14ac:dyDescent="0.2">
      <c r="B30" s="198"/>
      <c r="C30" s="128" t="s">
        <v>132</v>
      </c>
      <c r="D30" s="108"/>
      <c r="E30" s="203"/>
      <c r="F30" s="108"/>
      <c r="G30" s="108"/>
      <c r="H30" s="19"/>
      <c r="J30" s="112"/>
      <c r="K30" s="113" t="s">
        <v>58</v>
      </c>
      <c r="L30" s="197" t="str">
        <f>IF(E12=0,"",IF(L34="","",L34/E12))</f>
        <v/>
      </c>
      <c r="M30" s="115" t="s">
        <v>107</v>
      </c>
      <c r="N30" s="115"/>
      <c r="O30" s="115"/>
      <c r="P30" s="116"/>
    </row>
    <row r="31" spans="2:16" ht="13.5" thickBot="1" x14ac:dyDescent="0.25">
      <c r="B31" s="36"/>
      <c r="C31" s="37"/>
      <c r="D31" s="37"/>
      <c r="E31" s="37"/>
      <c r="F31" s="37"/>
      <c r="G31" s="37"/>
      <c r="H31" s="38"/>
      <c r="J31" s="112"/>
      <c r="K31" s="120"/>
      <c r="L31" s="121"/>
      <c r="M31" s="122"/>
      <c r="N31" s="122"/>
      <c r="O31" s="122"/>
      <c r="P31" s="116"/>
    </row>
    <row r="32" spans="2:16" x14ac:dyDescent="0.2">
      <c r="J32" s="123"/>
      <c r="K32" s="113" t="s">
        <v>58</v>
      </c>
      <c r="L32" s="197" t="str">
        <f>IF(E14=0,"",IF(L34="","",L34/E14))</f>
        <v/>
      </c>
      <c r="M32" s="115" t="s">
        <v>108</v>
      </c>
      <c r="N32" s="115"/>
      <c r="O32" s="115"/>
      <c r="P32" s="116"/>
    </row>
    <row r="33" spans="10:16" x14ac:dyDescent="0.2">
      <c r="J33" s="123"/>
      <c r="K33" s="120"/>
      <c r="L33" s="121"/>
      <c r="M33" s="122"/>
      <c r="N33" s="122"/>
      <c r="O33" s="122"/>
      <c r="P33" s="116"/>
    </row>
    <row r="34" spans="10:16" x14ac:dyDescent="0.2">
      <c r="J34" s="123"/>
      <c r="K34" s="113" t="s">
        <v>58</v>
      </c>
      <c r="L34" s="197" t="str">
        <f>IF(E8=0,"",IF(E10=0,"",IF(E20=0,"",(E6+E16*E18/E20+E24*(1-E22)+E28*(1-E22)*(1-E26))/E8/E10/(1-E22)/(1-E26)/(1-E30))))</f>
        <v/>
      </c>
      <c r="M34" s="115" t="s">
        <v>109</v>
      </c>
      <c r="N34" s="115"/>
      <c r="O34" s="115"/>
      <c r="P34" s="116"/>
    </row>
    <row r="35" spans="10:16" ht="13.5" thickBot="1" x14ac:dyDescent="0.25">
      <c r="J35" s="132"/>
      <c r="K35" s="133"/>
      <c r="L35" s="133"/>
      <c r="M35" s="133"/>
      <c r="N35" s="133"/>
      <c r="O35" s="133"/>
      <c r="P35" s="135"/>
    </row>
  </sheetData>
  <sheetProtection sheet="1" objects="1" scenarios="1"/>
  <mergeCells count="1">
    <mergeCell ref="E4:G4"/>
  </mergeCells>
  <phoneticPr fontId="2" type="noConversion"/>
  <dataValidations count="2">
    <dataValidation type="decimal" operator="greaterThanOrEqual" allowBlank="1" showInputMessage="1" showErrorMessage="1" errorTitle="Restricted Data Entry" error="Only numbers greater than or equal to zero can be entered in this cell." sqref="E6 E16 E18 E20 E22 E24 E26 E28 E30">
      <formula1>0</formula1>
    </dataValidation>
    <dataValidation type="decimal" operator="greaterThan" allowBlank="1" showInputMessage="1" showErrorMessage="1" errorTitle="Restricted Data Entry" error="Only numbers greater than zero may be entered in this cell." sqref="E8 E10 E12 E14">
      <formula1>0</formula1>
    </dataValidation>
  </dataValidations>
  <pageMargins left="0.75" right="0.75" top="1" bottom="1" header="0.5" footer="0.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B1:BB35"/>
  <sheetViews>
    <sheetView workbookViewId="0">
      <selection activeCell="E9" sqref="E9"/>
    </sheetView>
  </sheetViews>
  <sheetFormatPr defaultRowHeight="12.75" x14ac:dyDescent="0.2"/>
  <cols>
    <col min="1" max="1" width="4" style="6" customWidth="1"/>
    <col min="2" max="2" width="4.42578125" style="6" customWidth="1"/>
    <col min="3" max="3" width="36.85546875" style="6" customWidth="1"/>
    <col min="4" max="4" width="9.140625" style="6"/>
    <col min="5" max="5" width="10.7109375" style="6" customWidth="1"/>
    <col min="6" max="7" width="9.140625" style="6"/>
    <col min="8" max="9" width="4.85546875" style="6" customWidth="1"/>
    <col min="10" max="10" width="4.5703125" style="6" customWidth="1"/>
    <col min="11" max="11" width="3.7109375" style="6" customWidth="1"/>
    <col min="12" max="13" width="9.140625" style="6"/>
    <col min="14" max="14" width="13.7109375" style="6" bestFit="1" customWidth="1"/>
    <col min="15" max="15" width="13.7109375" style="6" customWidth="1"/>
    <col min="16" max="16" width="4.5703125" style="6" customWidth="1"/>
    <col min="17" max="17" width="19.28515625" style="6" bestFit="1" customWidth="1"/>
    <col min="18" max="16384" width="9.140625" style="6"/>
  </cols>
  <sheetData>
    <row r="1" spans="2:54" ht="18.75" thickBot="1" x14ac:dyDescent="0.3">
      <c r="B1" s="6">
        <v>9</v>
      </c>
      <c r="J1" s="95" t="s">
        <v>110</v>
      </c>
    </row>
    <row r="2" spans="2:54" ht="18.75" thickBot="1" x14ac:dyDescent="0.3">
      <c r="B2" s="95" t="s">
        <v>111</v>
      </c>
      <c r="J2" s="104"/>
      <c r="K2" s="105"/>
      <c r="L2" s="105"/>
      <c r="M2" s="105"/>
      <c r="N2" s="105"/>
      <c r="O2" s="105"/>
      <c r="P2" s="106"/>
    </row>
    <row r="3" spans="2:54" x14ac:dyDescent="0.2">
      <c r="B3" s="196"/>
      <c r="C3" s="97"/>
      <c r="D3" s="97"/>
      <c r="E3" s="97"/>
      <c r="F3" s="97"/>
      <c r="G3" s="97"/>
      <c r="H3" s="52"/>
      <c r="J3" s="112"/>
      <c r="K3" s="113" t="s">
        <v>58</v>
      </c>
      <c r="L3" s="197" t="str">
        <f>IF(E12=0,"",IF(L7="","",L7/E12))</f>
        <v/>
      </c>
      <c r="M3" s="115" t="s">
        <v>107</v>
      </c>
      <c r="N3" s="115"/>
      <c r="O3" s="115"/>
      <c r="P3" s="116"/>
    </row>
    <row r="4" spans="2:54" x14ac:dyDescent="0.2">
      <c r="B4" s="198"/>
      <c r="C4" s="128" t="s">
        <v>112</v>
      </c>
      <c r="D4" s="108"/>
      <c r="E4" s="241"/>
      <c r="F4" s="241"/>
      <c r="G4" s="241"/>
      <c r="H4" s="199"/>
      <c r="I4" s="127"/>
      <c r="J4" s="112"/>
      <c r="K4" s="120"/>
      <c r="L4" s="121"/>
      <c r="M4" s="122"/>
      <c r="N4" s="122"/>
      <c r="O4" s="122"/>
      <c r="P4" s="116"/>
      <c r="AH4" s="6" t="s">
        <v>6</v>
      </c>
      <c r="AI4" s="6" t="s">
        <v>30</v>
      </c>
      <c r="AJ4" s="6" t="s">
        <v>113</v>
      </c>
      <c r="AK4" s="6" t="s">
        <v>33</v>
      </c>
      <c r="AL4" s="6" t="s">
        <v>114</v>
      </c>
      <c r="AM4" s="6" t="s">
        <v>115</v>
      </c>
      <c r="AQ4" s="6" t="s">
        <v>41</v>
      </c>
      <c r="AR4" s="6" t="s">
        <v>82</v>
      </c>
      <c r="AS4" s="6" t="s">
        <v>42</v>
      </c>
      <c r="AU4" s="6" t="s">
        <v>44</v>
      </c>
      <c r="AW4" s="6" t="s">
        <v>30</v>
      </c>
      <c r="AX4" s="6" t="s">
        <v>44</v>
      </c>
      <c r="AZ4" s="6" t="s">
        <v>30</v>
      </c>
      <c r="BA4" s="6" t="s">
        <v>44</v>
      </c>
      <c r="BB4" s="6" t="s">
        <v>116</v>
      </c>
    </row>
    <row r="5" spans="2:54" x14ac:dyDescent="0.2">
      <c r="B5" s="198"/>
      <c r="C5" s="128"/>
      <c r="D5" s="108"/>
      <c r="E5" s="108"/>
      <c r="F5" s="108"/>
      <c r="G5" s="108"/>
      <c r="H5" s="19"/>
      <c r="I5" s="127"/>
      <c r="J5" s="123"/>
      <c r="K5" s="113" t="s">
        <v>58</v>
      </c>
      <c r="L5" s="197" t="str">
        <f>IF(E14=0,"",IF(L7="","",L7/E14))</f>
        <v/>
      </c>
      <c r="M5" s="115" t="s">
        <v>108</v>
      </c>
      <c r="N5" s="115"/>
      <c r="O5" s="115"/>
      <c r="P5" s="116"/>
    </row>
    <row r="6" spans="2:54" x14ac:dyDescent="0.2">
      <c r="B6" s="198"/>
      <c r="C6" s="128" t="s">
        <v>117</v>
      </c>
      <c r="D6" s="169" t="s">
        <v>58</v>
      </c>
      <c r="E6" s="200"/>
      <c r="F6" s="108"/>
      <c r="G6" s="108"/>
      <c r="H6" s="19"/>
      <c r="J6" s="123"/>
      <c r="K6" s="120"/>
      <c r="L6" s="121"/>
      <c r="M6" s="122"/>
      <c r="N6" s="122"/>
      <c r="O6" s="122"/>
      <c r="P6" s="116"/>
      <c r="AG6" s="6">
        <v>1</v>
      </c>
      <c r="AH6" s="6">
        <f>E4</f>
        <v>0</v>
      </c>
      <c r="AI6" s="136">
        <f>E6</f>
        <v>0</v>
      </c>
      <c r="AJ6" s="136">
        <f>E8</f>
        <v>2000</v>
      </c>
      <c r="AK6" s="136">
        <f>E10</f>
        <v>0</v>
      </c>
      <c r="AL6" s="136">
        <f>E12</f>
        <v>0</v>
      </c>
      <c r="AM6" s="136">
        <f>E14</f>
        <v>0</v>
      </c>
      <c r="AQ6" s="136">
        <f>E18</f>
        <v>0</v>
      </c>
      <c r="AR6" s="136">
        <f>E16</f>
        <v>0</v>
      </c>
      <c r="AS6" s="136">
        <f>E20</f>
        <v>0</v>
      </c>
      <c r="AU6" s="136">
        <f>E22</f>
        <v>0</v>
      </c>
      <c r="AW6" s="136">
        <f>E24</f>
        <v>0</v>
      </c>
      <c r="AX6" s="136">
        <f>E26</f>
        <v>0</v>
      </c>
      <c r="AZ6" s="136">
        <f>E28</f>
        <v>0</v>
      </c>
      <c r="BA6" s="136">
        <f>E30</f>
        <v>0</v>
      </c>
    </row>
    <row r="7" spans="2:54" x14ac:dyDescent="0.2">
      <c r="B7" s="198"/>
      <c r="C7" s="128"/>
      <c r="D7" s="108"/>
      <c r="E7" s="201"/>
      <c r="F7" s="108"/>
      <c r="G7" s="108"/>
      <c r="H7" s="19"/>
      <c r="J7" s="123"/>
      <c r="K7" s="113" t="s">
        <v>58</v>
      </c>
      <c r="L7" s="197" t="str">
        <f>IF(E8=0,"",IF(E10=0,"",$E$6/$E$8/$E$10))</f>
        <v/>
      </c>
      <c r="M7" s="115" t="s">
        <v>109</v>
      </c>
      <c r="N7" s="115"/>
      <c r="O7" s="115"/>
      <c r="P7" s="116"/>
      <c r="AI7" s="136"/>
      <c r="AJ7" s="136"/>
      <c r="AK7" s="136"/>
      <c r="AL7" s="136"/>
      <c r="AM7" s="136"/>
      <c r="AQ7" s="136"/>
      <c r="AR7" s="136"/>
      <c r="AS7" s="136"/>
      <c r="AU7" s="136"/>
      <c r="AW7" s="136"/>
      <c r="AX7" s="136"/>
      <c r="AZ7" s="136"/>
      <c r="BA7" s="136"/>
    </row>
    <row r="8" spans="2:54" ht="13.5" thickBot="1" x14ac:dyDescent="0.25">
      <c r="B8" s="198"/>
      <c r="C8" s="128" t="s">
        <v>118</v>
      </c>
      <c r="D8" s="108"/>
      <c r="E8" s="202">
        <v>2000</v>
      </c>
      <c r="F8" s="108" t="s">
        <v>119</v>
      </c>
      <c r="G8" s="108"/>
      <c r="H8" s="19"/>
      <c r="J8" s="132"/>
      <c r="K8" s="133"/>
      <c r="L8" s="134"/>
      <c r="M8" s="133"/>
      <c r="N8" s="133"/>
      <c r="O8" s="133"/>
      <c r="P8" s="135"/>
    </row>
    <row r="9" spans="2:54" x14ac:dyDescent="0.2">
      <c r="B9" s="198"/>
      <c r="C9" s="128"/>
      <c r="D9" s="108"/>
      <c r="E9" s="201"/>
      <c r="F9" s="108"/>
      <c r="G9" s="108"/>
      <c r="H9" s="19"/>
      <c r="L9" s="137"/>
    </row>
    <row r="10" spans="2:54" ht="18.75" thickBot="1" x14ac:dyDescent="0.3">
      <c r="B10" s="198"/>
      <c r="C10" s="128" t="s">
        <v>120</v>
      </c>
      <c r="D10" s="108"/>
      <c r="E10" s="203"/>
      <c r="F10" s="108"/>
      <c r="G10" s="108"/>
      <c r="H10" s="19"/>
      <c r="J10" s="95" t="s">
        <v>121</v>
      </c>
      <c r="L10" s="137"/>
    </row>
    <row r="11" spans="2:54" x14ac:dyDescent="0.2">
      <c r="B11" s="198"/>
      <c r="C11" s="128"/>
      <c r="D11" s="108"/>
      <c r="E11" s="201"/>
      <c r="F11" s="108"/>
      <c r="G11" s="108"/>
      <c r="H11" s="19"/>
      <c r="J11" s="104"/>
      <c r="K11" s="105"/>
      <c r="L11" s="141"/>
      <c r="M11" s="105"/>
      <c r="N11" s="105"/>
      <c r="O11" s="105"/>
      <c r="P11" s="106"/>
    </row>
    <row r="12" spans="2:54" x14ac:dyDescent="0.2">
      <c r="B12" s="198"/>
      <c r="C12" s="128" t="s">
        <v>122</v>
      </c>
      <c r="D12" s="108"/>
      <c r="E12" s="203"/>
      <c r="F12" s="108"/>
      <c r="G12" s="108"/>
      <c r="H12" s="19"/>
      <c r="J12" s="112"/>
      <c r="K12" s="113" t="s">
        <v>58</v>
      </c>
      <c r="L12" s="197" t="str">
        <f>IF(E12=0,"",IF(L16="","",L16/E12))</f>
        <v/>
      </c>
      <c r="M12" s="115" t="s">
        <v>107</v>
      </c>
      <c r="N12" s="115"/>
      <c r="O12" s="115"/>
      <c r="P12" s="116"/>
    </row>
    <row r="13" spans="2:54" x14ac:dyDescent="0.2">
      <c r="B13" s="198"/>
      <c r="C13" s="128"/>
      <c r="D13" s="108"/>
      <c r="E13" s="201"/>
      <c r="F13" s="108"/>
      <c r="G13" s="108"/>
      <c r="H13" s="19"/>
      <c r="J13" s="112"/>
      <c r="K13" s="120"/>
      <c r="L13" s="121"/>
      <c r="M13" s="122"/>
      <c r="N13" s="122"/>
      <c r="O13" s="122"/>
      <c r="P13" s="116"/>
    </row>
    <row r="14" spans="2:54" x14ac:dyDescent="0.2">
      <c r="B14" s="198"/>
      <c r="C14" s="128" t="s">
        <v>123</v>
      </c>
      <c r="D14" s="108"/>
      <c r="E14" s="203"/>
      <c r="F14" s="108"/>
      <c r="G14" s="108"/>
      <c r="H14" s="19"/>
      <c r="J14" s="123"/>
      <c r="K14" s="113" t="s">
        <v>58</v>
      </c>
      <c r="L14" s="197" t="str">
        <f>IF(E14=0,"",IF(L16="","",L16/E14))</f>
        <v/>
      </c>
      <c r="M14" s="115" t="s">
        <v>108</v>
      </c>
      <c r="N14" s="115"/>
      <c r="O14" s="115"/>
      <c r="P14" s="116"/>
    </row>
    <row r="15" spans="2:54" x14ac:dyDescent="0.2">
      <c r="B15" s="198"/>
      <c r="C15" s="128"/>
      <c r="D15" s="108"/>
      <c r="E15" s="201"/>
      <c r="F15" s="108"/>
      <c r="G15" s="108"/>
      <c r="H15" s="19"/>
      <c r="J15" s="123"/>
      <c r="K15" s="120"/>
      <c r="L15" s="121"/>
      <c r="M15" s="122"/>
      <c r="N15" s="122"/>
      <c r="O15" s="122"/>
      <c r="P15" s="116"/>
    </row>
    <row r="16" spans="2:54" x14ac:dyDescent="0.2">
      <c r="B16" s="198"/>
      <c r="C16" s="128" t="s">
        <v>124</v>
      </c>
      <c r="D16" s="108"/>
      <c r="E16" s="202"/>
      <c r="F16" s="108" t="s">
        <v>82</v>
      </c>
      <c r="G16" s="108"/>
      <c r="H16" s="19"/>
      <c r="J16" s="123"/>
      <c r="K16" s="113" t="s">
        <v>58</v>
      </c>
      <c r="L16" s="197" t="str">
        <f>IF(E8=0,"",IF(E10=0,"",($E$6+$E$16*IF($E$20="",0,IF(E20=0,0,$E$18/E20)))/$E$8/$E$10/(1-$E$22)))</f>
        <v/>
      </c>
      <c r="M16" s="115" t="s">
        <v>109</v>
      </c>
      <c r="N16" s="115"/>
      <c r="O16" s="115"/>
      <c r="P16" s="116"/>
    </row>
    <row r="17" spans="2:16" ht="13.5" thickBot="1" x14ac:dyDescent="0.25">
      <c r="B17" s="198"/>
      <c r="C17" s="128"/>
      <c r="D17" s="108"/>
      <c r="E17" s="201"/>
      <c r="F17" s="108"/>
      <c r="G17" s="108"/>
      <c r="H17" s="19"/>
      <c r="J17" s="132"/>
      <c r="K17" s="133"/>
      <c r="L17" s="134"/>
      <c r="M17" s="133"/>
      <c r="N17" s="133"/>
      <c r="O17" s="133"/>
      <c r="P17" s="135"/>
    </row>
    <row r="18" spans="2:16" x14ac:dyDescent="0.2">
      <c r="B18" s="198"/>
      <c r="C18" s="128" t="s">
        <v>125</v>
      </c>
      <c r="D18" s="169" t="s">
        <v>58</v>
      </c>
      <c r="E18" s="200"/>
      <c r="F18" s="108" t="s">
        <v>84</v>
      </c>
      <c r="G18" s="108"/>
      <c r="H18" s="19"/>
      <c r="L18" s="137"/>
    </row>
    <row r="19" spans="2:16" ht="18.75" thickBot="1" x14ac:dyDescent="0.3">
      <c r="B19" s="198"/>
      <c r="C19" s="128"/>
      <c r="D19" s="108"/>
      <c r="E19" s="201"/>
      <c r="F19" s="108"/>
      <c r="G19" s="108"/>
      <c r="H19" s="19"/>
      <c r="J19" s="95" t="s">
        <v>126</v>
      </c>
      <c r="L19" s="137"/>
    </row>
    <row r="20" spans="2:16" x14ac:dyDescent="0.2">
      <c r="B20" s="198"/>
      <c r="C20" s="128" t="str">
        <f>CONCATENATE("How many ",$F$20,"s are hauled per load?")</f>
        <v>How many tons are hauled per load?</v>
      </c>
      <c r="D20" s="108"/>
      <c r="E20" s="202"/>
      <c r="F20" s="108" t="str">
        <f>IF(E8=2000,"ton",IF(E8=100,"hundredweight",IF(E8&gt;31,IF(E8&lt;71,"bushel","unit"),"unit")))</f>
        <v>ton</v>
      </c>
      <c r="G20" s="108"/>
      <c r="H20" s="19"/>
      <c r="J20" s="104"/>
      <c r="K20" s="105"/>
      <c r="L20" s="141"/>
      <c r="M20" s="105"/>
      <c r="N20" s="105"/>
      <c r="O20" s="105"/>
      <c r="P20" s="106"/>
    </row>
    <row r="21" spans="2:16" x14ac:dyDescent="0.2">
      <c r="B21" s="198"/>
      <c r="C21" s="128"/>
      <c r="D21" s="108"/>
      <c r="E21" s="201"/>
      <c r="F21" s="108"/>
      <c r="G21" s="108"/>
      <c r="H21" s="19"/>
      <c r="J21" s="112"/>
      <c r="K21" s="113" t="s">
        <v>58</v>
      </c>
      <c r="L21" s="197" t="str">
        <f>IF(E12=0,"",IF(L25="","",L25/E12))</f>
        <v/>
      </c>
      <c r="M21" s="115" t="s">
        <v>107</v>
      </c>
      <c r="N21" s="115"/>
      <c r="O21" s="115"/>
      <c r="P21" s="116"/>
    </row>
    <row r="22" spans="2:16" x14ac:dyDescent="0.2">
      <c r="B22" s="198"/>
      <c r="C22" s="128" t="s">
        <v>127</v>
      </c>
      <c r="D22" s="108"/>
      <c r="E22" s="203"/>
      <c r="F22" s="108"/>
      <c r="G22" s="108"/>
      <c r="H22" s="19"/>
      <c r="J22" s="112"/>
      <c r="K22" s="120"/>
      <c r="L22" s="121"/>
      <c r="M22" s="122"/>
      <c r="N22" s="122"/>
      <c r="O22" s="122"/>
      <c r="P22" s="116"/>
    </row>
    <row r="23" spans="2:16" x14ac:dyDescent="0.2">
      <c r="B23" s="198"/>
      <c r="C23" s="128"/>
      <c r="D23" s="108"/>
      <c r="E23" s="201"/>
      <c r="F23" s="108"/>
      <c r="G23" s="108"/>
      <c r="H23" s="19"/>
      <c r="J23" s="123"/>
      <c r="K23" s="113" t="s">
        <v>58</v>
      </c>
      <c r="L23" s="197" t="str">
        <f>IF(E14=0,"",IF(L25="","",L25/E14))</f>
        <v/>
      </c>
      <c r="M23" s="115" t="s">
        <v>108</v>
      </c>
      <c r="N23" s="115"/>
      <c r="O23" s="115"/>
      <c r="P23" s="116"/>
    </row>
    <row r="24" spans="2:16" x14ac:dyDescent="0.2">
      <c r="B24" s="198"/>
      <c r="C24" s="128" t="s">
        <v>128</v>
      </c>
      <c r="D24" s="169" t="s">
        <v>58</v>
      </c>
      <c r="E24" s="200"/>
      <c r="F24" s="108" t="str">
        <f>CONCATENATE("per ",$F$20)</f>
        <v>per ton</v>
      </c>
      <c r="G24" s="108"/>
      <c r="H24" s="19"/>
      <c r="J24" s="123"/>
      <c r="K24" s="120"/>
      <c r="L24" s="121"/>
      <c r="M24" s="122"/>
      <c r="N24" s="122"/>
      <c r="O24" s="122"/>
      <c r="P24" s="116"/>
    </row>
    <row r="25" spans="2:16" x14ac:dyDescent="0.2">
      <c r="B25" s="198"/>
      <c r="C25" s="128"/>
      <c r="D25" s="108"/>
      <c r="E25" s="201"/>
      <c r="F25" s="108"/>
      <c r="G25" s="108"/>
      <c r="H25" s="19"/>
      <c r="J25" s="123"/>
      <c r="K25" s="113" t="s">
        <v>58</v>
      </c>
      <c r="L25" s="197" t="str">
        <f>IF(E8=0,"",IF(E10=0,"",IF(E20=0,"",(E6+E16*E18/E20+E24*(1-E22))/E8/E10/(1-E22)/(1-E26))))</f>
        <v/>
      </c>
      <c r="M25" s="115" t="s">
        <v>109</v>
      </c>
      <c r="N25" s="115"/>
      <c r="O25" s="115"/>
      <c r="P25" s="116"/>
    </row>
    <row r="26" spans="2:16" ht="13.5" thickBot="1" x14ac:dyDescent="0.25">
      <c r="B26" s="198"/>
      <c r="C26" s="128" t="s">
        <v>129</v>
      </c>
      <c r="D26" s="108"/>
      <c r="E26" s="203"/>
      <c r="F26" s="108"/>
      <c r="G26" s="108"/>
      <c r="H26" s="19"/>
      <c r="J26" s="132"/>
      <c r="K26" s="133"/>
      <c r="L26" s="134"/>
      <c r="M26" s="133"/>
      <c r="N26" s="133"/>
      <c r="O26" s="133"/>
      <c r="P26" s="135"/>
    </row>
    <row r="27" spans="2:16" x14ac:dyDescent="0.2">
      <c r="B27" s="198"/>
      <c r="C27" s="128"/>
      <c r="D27" s="108"/>
      <c r="E27" s="201"/>
      <c r="F27" s="108"/>
      <c r="G27" s="108"/>
      <c r="H27" s="19"/>
      <c r="L27" s="137"/>
    </row>
    <row r="28" spans="2:16" ht="18.75" thickBot="1" x14ac:dyDescent="0.3">
      <c r="B28" s="198"/>
      <c r="C28" s="128" t="s">
        <v>130</v>
      </c>
      <c r="D28" s="169" t="s">
        <v>58</v>
      </c>
      <c r="E28" s="200"/>
      <c r="F28" s="108" t="str">
        <f>CONCATENATE("per ",$F$20)</f>
        <v>per ton</v>
      </c>
      <c r="G28" s="108"/>
      <c r="H28" s="19"/>
      <c r="J28" s="95" t="s">
        <v>131</v>
      </c>
      <c r="L28" s="137"/>
    </row>
    <row r="29" spans="2:16" x14ac:dyDescent="0.2">
      <c r="B29" s="198"/>
      <c r="C29" s="128"/>
      <c r="D29" s="108"/>
      <c r="E29" s="201"/>
      <c r="F29" s="108"/>
      <c r="G29" s="108"/>
      <c r="H29" s="19"/>
      <c r="J29" s="104"/>
      <c r="K29" s="105"/>
      <c r="L29" s="141"/>
      <c r="M29" s="105"/>
      <c r="N29" s="105"/>
      <c r="O29" s="105"/>
      <c r="P29" s="106"/>
    </row>
    <row r="30" spans="2:16" x14ac:dyDescent="0.2">
      <c r="B30" s="198"/>
      <c r="C30" s="128" t="s">
        <v>132</v>
      </c>
      <c r="D30" s="108"/>
      <c r="E30" s="203"/>
      <c r="F30" s="108"/>
      <c r="G30" s="108"/>
      <c r="H30" s="19"/>
      <c r="J30" s="112"/>
      <c r="K30" s="113" t="s">
        <v>58</v>
      </c>
      <c r="L30" s="197" t="str">
        <f>IF(E12=0,"",IF(L34="","",L34/E12))</f>
        <v/>
      </c>
      <c r="M30" s="115" t="s">
        <v>107</v>
      </c>
      <c r="N30" s="115"/>
      <c r="O30" s="115"/>
      <c r="P30" s="116"/>
    </row>
    <row r="31" spans="2:16" ht="13.5" thickBot="1" x14ac:dyDescent="0.25">
      <c r="B31" s="36"/>
      <c r="C31" s="37"/>
      <c r="D31" s="37"/>
      <c r="E31" s="37"/>
      <c r="F31" s="37"/>
      <c r="G31" s="37"/>
      <c r="H31" s="38"/>
      <c r="J31" s="112"/>
      <c r="K31" s="120"/>
      <c r="L31" s="121"/>
      <c r="M31" s="122"/>
      <c r="N31" s="122"/>
      <c r="O31" s="122"/>
      <c r="P31" s="116"/>
    </row>
    <row r="32" spans="2:16" x14ac:dyDescent="0.2">
      <c r="J32" s="123"/>
      <c r="K32" s="113" t="s">
        <v>58</v>
      </c>
      <c r="L32" s="197" t="str">
        <f>IF(E14=0,"",IF(L34="","",L34/E14))</f>
        <v/>
      </c>
      <c r="M32" s="115" t="s">
        <v>108</v>
      </c>
      <c r="N32" s="115"/>
      <c r="O32" s="115"/>
      <c r="P32" s="116"/>
    </row>
    <row r="33" spans="10:16" x14ac:dyDescent="0.2">
      <c r="J33" s="123"/>
      <c r="K33" s="120"/>
      <c r="L33" s="121"/>
      <c r="M33" s="122"/>
      <c r="N33" s="122"/>
      <c r="O33" s="122"/>
      <c r="P33" s="116"/>
    </row>
    <row r="34" spans="10:16" x14ac:dyDescent="0.2">
      <c r="J34" s="123"/>
      <c r="K34" s="113" t="s">
        <v>58</v>
      </c>
      <c r="L34" s="197" t="str">
        <f>IF(E8=0,"",IF(E10=0,"",IF(E20=0,"",(E6+E16*E18/E20+E24*(1-E22)+E28*(1-E22)*(1-E26))/E8/E10/(1-E22)/(1-E26)/(1-E30))))</f>
        <v/>
      </c>
      <c r="M34" s="115" t="s">
        <v>109</v>
      </c>
      <c r="N34" s="115"/>
      <c r="O34" s="115"/>
      <c r="P34" s="116"/>
    </row>
    <row r="35" spans="10:16" ht="13.5" thickBot="1" x14ac:dyDescent="0.25">
      <c r="J35" s="132"/>
      <c r="K35" s="133"/>
      <c r="L35" s="133"/>
      <c r="M35" s="133"/>
      <c r="N35" s="133"/>
      <c r="O35" s="133"/>
      <c r="P35" s="135"/>
    </row>
  </sheetData>
  <sheetProtection sheet="1" objects="1" scenarios="1"/>
  <mergeCells count="1">
    <mergeCell ref="E4:G4"/>
  </mergeCells>
  <phoneticPr fontId="2" type="noConversion"/>
  <dataValidations count="2">
    <dataValidation type="decimal" operator="greaterThanOrEqual" allowBlank="1" showInputMessage="1" showErrorMessage="1" errorTitle="Restricted Data Entry" error="Only numbers greater or equal to zero may be entered in this cell." sqref="E6 E16 E18 E20 E22 E24 E26 E28 E30">
      <formula1>0</formula1>
    </dataValidation>
    <dataValidation type="decimal" operator="greaterThan" allowBlank="1" showInputMessage="1" showErrorMessage="1" errorTitle="Restricted Data Entry" error="Only numbers greater than zero may be entered into this cell." sqref="E8 E10 E12 E14">
      <formula1>0</formula1>
    </dataValidation>
  </dataValidations>
  <pageMargins left="0.75" right="0.75" top="1" bottom="1" header="0.5" footer="0.5"/>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B1:BE49"/>
  <sheetViews>
    <sheetView workbookViewId="0">
      <selection activeCell="P26" sqref="P26"/>
    </sheetView>
  </sheetViews>
  <sheetFormatPr defaultRowHeight="12.75" x14ac:dyDescent="0.2"/>
  <cols>
    <col min="1" max="1" width="2.140625" style="6" customWidth="1"/>
    <col min="2" max="2" width="5.42578125" style="6" customWidth="1"/>
    <col min="3" max="3" width="33.5703125" style="6" customWidth="1"/>
    <col min="4" max="4" width="11.7109375" style="6" customWidth="1"/>
    <col min="5" max="5" width="3" style="6" customWidth="1"/>
    <col min="6" max="6" width="14.42578125" style="6" customWidth="1"/>
    <col min="7" max="7" width="1.7109375" style="6" customWidth="1"/>
    <col min="8" max="8" width="11.7109375" style="6" customWidth="1"/>
    <col min="9" max="9" width="3.5703125" style="6" customWidth="1"/>
    <col min="10" max="10" width="10.85546875" style="6" customWidth="1"/>
    <col min="11" max="11" width="16.140625" style="6" customWidth="1"/>
    <col min="12" max="12" width="5.28515625" style="6" customWidth="1"/>
    <col min="13" max="13" width="3.5703125" style="6" customWidth="1"/>
    <col min="14" max="14" width="2.7109375" style="6" customWidth="1"/>
    <col min="15" max="15" width="3.7109375" style="6" customWidth="1"/>
    <col min="16" max="17" width="9.140625" style="6"/>
    <col min="18" max="18" width="15.140625" style="6" customWidth="1"/>
    <col min="19" max="19" width="2.7109375" style="6" customWidth="1"/>
    <col min="20" max="20" width="4.5703125" style="6" customWidth="1"/>
    <col min="21" max="21" width="19.28515625" style="6" bestFit="1" customWidth="1"/>
    <col min="22" max="16384" width="9.140625" style="6"/>
  </cols>
  <sheetData>
    <row r="1" spans="2:57" ht="18.75" thickBot="1" x14ac:dyDescent="0.3">
      <c r="B1" s="95" t="s">
        <v>155</v>
      </c>
      <c r="N1" s="95" t="s">
        <v>52</v>
      </c>
    </row>
    <row r="2" spans="2:57" ht="12.75" customHeight="1" thickBot="1" x14ac:dyDescent="0.3">
      <c r="B2" s="96"/>
      <c r="C2" s="97"/>
      <c r="D2" s="97"/>
      <c r="E2" s="97"/>
      <c r="F2" s="97"/>
      <c r="G2" s="97"/>
      <c r="H2" s="97"/>
      <c r="I2" s="97"/>
      <c r="J2" s="244" t="s">
        <v>53</v>
      </c>
      <c r="K2" s="244"/>
      <c r="L2" s="52"/>
      <c r="N2" s="95"/>
    </row>
    <row r="3" spans="2:57" ht="12.75" customHeight="1" x14ac:dyDescent="0.2">
      <c r="B3" s="242" t="s">
        <v>54</v>
      </c>
      <c r="C3" s="98" t="s">
        <v>55</v>
      </c>
      <c r="D3" s="99"/>
      <c r="E3" s="99"/>
      <c r="F3" s="229">
        <v>230</v>
      </c>
      <c r="G3" s="100"/>
      <c r="H3" s="101" t="s">
        <v>56</v>
      </c>
      <c r="I3" s="101"/>
      <c r="J3" s="102">
        <f>IF(F3=0,0,((F3*38.2+429)*0.39)*F17)</f>
        <v>3234.4650000000001</v>
      </c>
      <c r="K3" s="103" t="s">
        <v>57</v>
      </c>
      <c r="L3" s="19"/>
      <c r="N3" s="104"/>
      <c r="O3" s="105"/>
      <c r="P3" s="105"/>
      <c r="Q3" s="105"/>
      <c r="R3" s="105"/>
      <c r="S3" s="106"/>
    </row>
    <row r="4" spans="2:57" ht="12.75" customHeight="1" x14ac:dyDescent="0.2">
      <c r="B4" s="242"/>
      <c r="C4" s="107"/>
      <c r="D4" s="108"/>
      <c r="E4" s="108"/>
      <c r="F4" s="109"/>
      <c r="G4" s="109"/>
      <c r="H4" s="108"/>
      <c r="I4" s="108"/>
      <c r="J4" s="110"/>
      <c r="K4" s="111"/>
      <c r="L4" s="19"/>
      <c r="N4" s="112"/>
      <c r="O4" s="113" t="s">
        <v>58</v>
      </c>
      <c r="P4" s="114">
        <f>IF(F19=0,0,P8/$F$19)</f>
        <v>6.183402819322515E-2</v>
      </c>
      <c r="Q4" s="115" t="s">
        <v>107</v>
      </c>
      <c r="R4" s="115"/>
      <c r="S4" s="116"/>
    </row>
    <row r="5" spans="2:57" ht="12.75" customHeight="1" x14ac:dyDescent="0.2">
      <c r="B5" s="242"/>
      <c r="C5" s="107" t="s">
        <v>59</v>
      </c>
      <c r="D5" s="108"/>
      <c r="E5" s="108"/>
      <c r="F5" s="117">
        <v>0.5</v>
      </c>
      <c r="G5" s="118"/>
      <c r="H5" s="108"/>
      <c r="I5" s="108"/>
      <c r="J5" s="119">
        <f>J3*F5</f>
        <v>1617.2325000000001</v>
      </c>
      <c r="K5" s="111" t="s">
        <v>60</v>
      </c>
      <c r="L5" s="19"/>
      <c r="N5" s="112"/>
      <c r="O5" s="120"/>
      <c r="P5" s="121"/>
      <c r="Q5" s="122"/>
      <c r="R5" s="122"/>
      <c r="S5" s="116"/>
    </row>
    <row r="6" spans="2:57" ht="12.75" customHeight="1" x14ac:dyDescent="0.2">
      <c r="B6" s="242"/>
      <c r="C6" s="107"/>
      <c r="D6" s="108"/>
      <c r="E6" s="108"/>
      <c r="F6" s="109"/>
      <c r="G6" s="109"/>
      <c r="H6" s="108"/>
      <c r="I6" s="108"/>
      <c r="J6" s="110"/>
      <c r="K6" s="111"/>
      <c r="L6" s="19"/>
      <c r="N6" s="123"/>
      <c r="O6" s="113" t="s">
        <v>58</v>
      </c>
      <c r="P6" s="114">
        <f>IF(F21=0,0,P8/$F$21)</f>
        <v>8.8334325990321629E-3</v>
      </c>
      <c r="Q6" s="115" t="s">
        <v>108</v>
      </c>
      <c r="R6" s="115"/>
      <c r="S6" s="116"/>
    </row>
    <row r="7" spans="2:57" ht="12.75" customHeight="1" x14ac:dyDescent="0.2">
      <c r="B7" s="242"/>
      <c r="C7" s="107" t="s">
        <v>61</v>
      </c>
      <c r="D7" s="108"/>
      <c r="E7" s="108"/>
      <c r="F7" s="230">
        <v>100</v>
      </c>
      <c r="G7" s="109"/>
      <c r="H7" s="108" t="s">
        <v>62</v>
      </c>
      <c r="I7" s="108"/>
      <c r="J7" s="125"/>
      <c r="K7" s="126"/>
      <c r="L7" s="19"/>
      <c r="M7" s="127"/>
      <c r="N7" s="123"/>
      <c r="O7" s="120"/>
      <c r="P7" s="121"/>
      <c r="Q7" s="122"/>
      <c r="R7" s="122"/>
      <c r="S7" s="116"/>
    </row>
    <row r="8" spans="2:57" ht="12.75" customHeight="1" x14ac:dyDescent="0.2">
      <c r="B8" s="242"/>
      <c r="C8" s="107"/>
      <c r="D8" s="108"/>
      <c r="E8" s="108"/>
      <c r="F8" s="109"/>
      <c r="G8" s="109"/>
      <c r="H8" s="108"/>
      <c r="I8" s="108"/>
      <c r="J8" s="125"/>
      <c r="K8" s="126"/>
      <c r="L8" s="19"/>
      <c r="M8" s="127"/>
      <c r="N8" s="123"/>
      <c r="O8" s="113" t="s">
        <v>58</v>
      </c>
      <c r="P8" s="114">
        <f>IF(J3=0,"",F15/J3)</f>
        <v>4.9467222554580121E-3</v>
      </c>
      <c r="Q8" s="115" t="s">
        <v>109</v>
      </c>
      <c r="R8" s="115"/>
      <c r="S8" s="116"/>
    </row>
    <row r="9" spans="2:57" ht="12.75" customHeight="1" thickBot="1" x14ac:dyDescent="0.25">
      <c r="B9" s="242"/>
      <c r="C9" s="107" t="s">
        <v>63</v>
      </c>
      <c r="D9" s="128"/>
      <c r="E9" s="128"/>
      <c r="F9" s="129">
        <v>1000</v>
      </c>
      <c r="G9" s="130"/>
      <c r="H9" s="128"/>
      <c r="I9" s="128"/>
      <c r="J9" s="110"/>
      <c r="K9" s="131"/>
      <c r="L9" s="19"/>
      <c r="N9" s="132"/>
      <c r="O9" s="133"/>
      <c r="P9" s="134"/>
      <c r="Q9" s="133"/>
      <c r="R9" s="133"/>
      <c r="S9" s="135"/>
      <c r="AM9" s="136"/>
      <c r="AN9" s="136"/>
      <c r="AO9" s="136"/>
      <c r="AP9" s="136"/>
      <c r="AQ9" s="136"/>
      <c r="AU9" s="136"/>
      <c r="AV9" s="136"/>
      <c r="AW9" s="136"/>
      <c r="AY9" s="136"/>
      <c r="BA9" s="136"/>
      <c r="BB9" s="136"/>
      <c r="BD9" s="136"/>
      <c r="BE9" s="136"/>
    </row>
    <row r="10" spans="2:57" ht="12.75" customHeight="1" x14ac:dyDescent="0.2">
      <c r="B10" s="242"/>
      <c r="C10" s="107"/>
      <c r="D10" s="108"/>
      <c r="E10" s="108"/>
      <c r="F10" s="109"/>
      <c r="G10" s="109"/>
      <c r="H10" s="108"/>
      <c r="I10" s="108"/>
      <c r="J10" s="110"/>
      <c r="K10" s="111"/>
      <c r="L10" s="19"/>
      <c r="P10" s="137"/>
      <c r="S10" s="138"/>
      <c r="AM10" s="136"/>
      <c r="AN10" s="136"/>
      <c r="AO10" s="136"/>
      <c r="AP10" s="136"/>
      <c r="AQ10" s="136"/>
      <c r="AU10" s="136"/>
      <c r="AV10" s="136"/>
      <c r="AW10" s="136"/>
      <c r="AY10" s="136"/>
      <c r="BA10" s="136"/>
      <c r="BB10" s="136"/>
      <c r="BD10" s="136"/>
      <c r="BE10" s="136"/>
    </row>
    <row r="11" spans="2:57" ht="18.75" customHeight="1" thickBot="1" x14ac:dyDescent="0.3">
      <c r="B11" s="242"/>
      <c r="C11" s="107" t="s">
        <v>64</v>
      </c>
      <c r="D11" s="128"/>
      <c r="E11" s="128"/>
      <c r="F11" s="124">
        <v>90</v>
      </c>
      <c r="G11" s="109"/>
      <c r="H11" s="139" t="s">
        <v>65</v>
      </c>
      <c r="I11" s="139"/>
      <c r="J11" s="231">
        <f>F7*F11*F9/30000</f>
        <v>300</v>
      </c>
      <c r="K11" s="111" t="s">
        <v>66</v>
      </c>
      <c r="L11" s="19"/>
      <c r="N11" s="95" t="s">
        <v>67</v>
      </c>
      <c r="P11" s="137"/>
      <c r="S11" s="138"/>
    </row>
    <row r="12" spans="2:57" ht="12.75" customHeight="1" x14ac:dyDescent="0.2">
      <c r="B12" s="242"/>
      <c r="C12" s="140"/>
      <c r="D12" s="108"/>
      <c r="E12" s="108"/>
      <c r="F12" s="108"/>
      <c r="G12" s="108"/>
      <c r="H12" s="108"/>
      <c r="I12" s="108"/>
      <c r="J12" s="110"/>
      <c r="K12" s="111"/>
      <c r="L12" s="19"/>
      <c r="N12" s="104"/>
      <c r="O12" s="105"/>
      <c r="P12" s="141"/>
      <c r="Q12" s="105"/>
      <c r="R12" s="105"/>
      <c r="S12" s="106"/>
    </row>
    <row r="13" spans="2:57" ht="12.75" customHeight="1" x14ac:dyDescent="0.2">
      <c r="B13" s="242"/>
      <c r="C13" s="107" t="s">
        <v>68</v>
      </c>
      <c r="D13" s="128"/>
      <c r="E13" s="128"/>
      <c r="F13" s="230">
        <v>130</v>
      </c>
      <c r="G13" s="109"/>
      <c r="H13" s="139" t="s">
        <v>69</v>
      </c>
      <c r="I13" s="139"/>
      <c r="J13" s="231">
        <f>IF(J5=0,0,J11*V25/J5)</f>
        <v>130.22246337493218</v>
      </c>
      <c r="K13" s="142" t="s">
        <v>70</v>
      </c>
      <c r="L13" s="19"/>
      <c r="N13" s="112"/>
      <c r="O13" s="113" t="s">
        <v>58</v>
      </c>
      <c r="P13" s="114">
        <f>IF(F5=0,0,IF(F19=0,0,P17/$F$19))</f>
        <v>0.1236680563864503</v>
      </c>
      <c r="Q13" s="115" t="s">
        <v>107</v>
      </c>
      <c r="R13" s="115"/>
      <c r="S13" s="116"/>
    </row>
    <row r="14" spans="2:57" ht="12.75" customHeight="1" x14ac:dyDescent="0.2">
      <c r="B14" s="242"/>
      <c r="C14" s="140"/>
      <c r="D14" s="108"/>
      <c r="E14" s="108"/>
      <c r="F14" s="108"/>
      <c r="G14" s="108"/>
      <c r="H14" s="108"/>
      <c r="I14" s="108"/>
      <c r="J14" s="143">
        <f>F15*F13</f>
        <v>2080</v>
      </c>
      <c r="K14" s="126" t="s">
        <v>71</v>
      </c>
      <c r="L14" s="19"/>
      <c r="N14" s="112"/>
      <c r="O14" s="120"/>
      <c r="P14" s="121"/>
      <c r="Q14" s="122"/>
      <c r="R14" s="122"/>
      <c r="S14" s="116"/>
    </row>
    <row r="15" spans="2:57" ht="12.75" customHeight="1" x14ac:dyDescent="0.2">
      <c r="B15" s="243"/>
      <c r="C15" s="144" t="s">
        <v>72</v>
      </c>
      <c r="D15" s="145"/>
      <c r="E15" s="145" t="s">
        <v>58</v>
      </c>
      <c r="F15" s="146">
        <v>16</v>
      </c>
      <c r="G15" s="147"/>
      <c r="H15" s="148" t="s">
        <v>73</v>
      </c>
      <c r="I15" s="148"/>
      <c r="J15" s="149">
        <f>IF(F7=0,0,IF(F11=0,"",F15*F13/F7/F11))</f>
        <v>0.23111111111111113</v>
      </c>
      <c r="K15" s="150" t="s">
        <v>74</v>
      </c>
      <c r="L15" s="151"/>
      <c r="N15" s="123"/>
      <c r="O15" s="113" t="s">
        <v>58</v>
      </c>
      <c r="P15" s="114">
        <f>IF(F5=0,0,IF(F21=0,0,P17/$F$21))</f>
        <v>1.7666865198064326E-2</v>
      </c>
      <c r="Q15" s="115" t="s">
        <v>108</v>
      </c>
      <c r="R15" s="115"/>
      <c r="S15" s="116"/>
    </row>
    <row r="16" spans="2:57" ht="12.75" customHeight="1" x14ac:dyDescent="0.2">
      <c r="B16" s="152"/>
      <c r="C16" s="108"/>
      <c r="D16" s="108"/>
      <c r="E16" s="108"/>
      <c r="F16" s="108"/>
      <c r="G16" s="108"/>
      <c r="H16" s="108"/>
      <c r="I16" s="108"/>
      <c r="J16" s="153"/>
      <c r="K16" s="154"/>
      <c r="L16" s="151"/>
      <c r="N16" s="123"/>
      <c r="O16" s="120"/>
      <c r="P16" s="121"/>
      <c r="Q16" s="122"/>
      <c r="R16" s="122"/>
      <c r="S16" s="116"/>
    </row>
    <row r="17" spans="2:23" ht="12.75" customHeight="1" x14ac:dyDescent="0.2">
      <c r="B17" s="245" t="s">
        <v>75</v>
      </c>
      <c r="C17" s="98" t="s">
        <v>76</v>
      </c>
      <c r="D17" s="101"/>
      <c r="E17" s="101"/>
      <c r="F17" s="155">
        <v>0.9</v>
      </c>
      <c r="G17" s="156"/>
      <c r="H17" s="101"/>
      <c r="I17" s="101"/>
      <c r="J17" s="157"/>
      <c r="K17" s="103"/>
      <c r="L17" s="151"/>
      <c r="N17" s="123"/>
      <c r="O17" s="113" t="s">
        <v>58</v>
      </c>
      <c r="P17" s="114">
        <f>IF(F5=0,0,P8/$F$5)</f>
        <v>9.8934445109160243E-3</v>
      </c>
      <c r="Q17" s="115" t="s">
        <v>109</v>
      </c>
      <c r="R17" s="115"/>
      <c r="S17" s="116"/>
    </row>
    <row r="18" spans="2:23" ht="12.75" customHeight="1" thickBot="1" x14ac:dyDescent="0.25">
      <c r="B18" s="246"/>
      <c r="C18" s="107"/>
      <c r="D18" s="108"/>
      <c r="E18" s="108"/>
      <c r="F18" s="109"/>
      <c r="G18" s="109"/>
      <c r="H18" s="108"/>
      <c r="I18" s="108"/>
      <c r="J18" s="158"/>
      <c r="K18" s="111"/>
      <c r="L18" s="19"/>
      <c r="N18" s="132"/>
      <c r="O18" s="133"/>
      <c r="P18" s="134"/>
      <c r="Q18" s="133"/>
      <c r="R18" s="133"/>
      <c r="S18" s="135"/>
    </row>
    <row r="19" spans="2:23" ht="12.75" customHeight="1" x14ac:dyDescent="0.2">
      <c r="B19" s="246"/>
      <c r="C19" s="107" t="s">
        <v>77</v>
      </c>
      <c r="D19" s="108"/>
      <c r="E19" s="108"/>
      <c r="F19" s="159">
        <v>0.08</v>
      </c>
      <c r="G19" s="118"/>
      <c r="H19" s="108"/>
      <c r="I19" s="108"/>
      <c r="J19" s="158"/>
      <c r="K19" s="111"/>
      <c r="L19" s="19"/>
      <c r="P19" s="137"/>
      <c r="S19" s="138"/>
    </row>
    <row r="20" spans="2:23" ht="18.75" customHeight="1" thickBot="1" x14ac:dyDescent="0.3">
      <c r="B20" s="246"/>
      <c r="C20" s="107"/>
      <c r="D20" s="108"/>
      <c r="E20" s="108"/>
      <c r="F20" s="109"/>
      <c r="G20" s="109"/>
      <c r="H20" s="108"/>
      <c r="I20" s="108"/>
      <c r="J20" s="158"/>
      <c r="K20" s="111"/>
      <c r="L20" s="19"/>
      <c r="N20" s="95" t="s">
        <v>78</v>
      </c>
      <c r="P20" s="137"/>
      <c r="S20" s="138"/>
    </row>
    <row r="21" spans="2:23" ht="12.75" customHeight="1" x14ac:dyDescent="0.2">
      <c r="B21" s="247"/>
      <c r="C21" s="144" t="s">
        <v>79</v>
      </c>
      <c r="D21" s="148"/>
      <c r="E21" s="148"/>
      <c r="F21" s="159">
        <v>0.56000000000000005</v>
      </c>
      <c r="G21" s="160"/>
      <c r="H21" s="148"/>
      <c r="I21" s="148"/>
      <c r="J21" s="161"/>
      <c r="K21" s="162"/>
      <c r="L21" s="19"/>
      <c r="N21" s="104"/>
      <c r="O21" s="105"/>
      <c r="P21" s="141"/>
      <c r="Q21" s="105"/>
      <c r="R21" s="105"/>
      <c r="S21" s="106"/>
    </row>
    <row r="22" spans="2:23" ht="12.75" customHeight="1" x14ac:dyDescent="0.2">
      <c r="B22" s="163"/>
      <c r="C22" s="128"/>
      <c r="D22" s="108"/>
      <c r="E22" s="108"/>
      <c r="F22" s="109"/>
      <c r="G22" s="109"/>
      <c r="H22" s="108"/>
      <c r="I22" s="108"/>
      <c r="J22" s="164"/>
      <c r="K22" s="165"/>
      <c r="L22" s="19"/>
      <c r="N22" s="112"/>
      <c r="O22" s="113" t="s">
        <v>58</v>
      </c>
      <c r="P22" s="114">
        <f>IF(F19=0,0,IF(P26="",0,P26/$F$19))</f>
        <v>0.15934153419023406</v>
      </c>
      <c r="Q22" s="115" t="s">
        <v>107</v>
      </c>
      <c r="R22" s="115"/>
      <c r="S22" s="116"/>
    </row>
    <row r="23" spans="2:23" ht="12.75" customHeight="1" x14ac:dyDescent="0.2">
      <c r="B23" s="245" t="s">
        <v>80</v>
      </c>
      <c r="C23" s="98" t="s">
        <v>81</v>
      </c>
      <c r="D23" s="101"/>
      <c r="E23" s="101"/>
      <c r="F23" s="166">
        <v>20</v>
      </c>
      <c r="G23" s="167"/>
      <c r="H23" s="101" t="s">
        <v>82</v>
      </c>
      <c r="I23" s="101"/>
      <c r="J23" s="157"/>
      <c r="K23" s="103"/>
      <c r="L23" s="19"/>
      <c r="N23" s="112"/>
      <c r="O23" s="120"/>
      <c r="P23" s="121"/>
      <c r="Q23" s="122"/>
      <c r="R23" s="122"/>
      <c r="S23" s="116"/>
    </row>
    <row r="24" spans="2:23" ht="12.75" customHeight="1" x14ac:dyDescent="0.2">
      <c r="B24" s="246"/>
      <c r="C24" s="107"/>
      <c r="D24" s="108"/>
      <c r="E24" s="108"/>
      <c r="F24" s="109"/>
      <c r="G24" s="109"/>
      <c r="H24" s="108"/>
      <c r="I24" s="108"/>
      <c r="J24" s="158"/>
      <c r="K24" s="111"/>
      <c r="L24" s="19"/>
      <c r="N24" s="123"/>
      <c r="O24" s="113" t="s">
        <v>58</v>
      </c>
      <c r="P24" s="114">
        <f>IF(F21=0,0,IF(P26="",0,P26/$F$21))</f>
        <v>2.2763076312890578E-2</v>
      </c>
      <c r="Q24" s="115" t="s">
        <v>108</v>
      </c>
      <c r="R24" s="115"/>
      <c r="S24" s="116"/>
      <c r="U24" s="237"/>
    </row>
    <row r="25" spans="2:23" ht="12.75" customHeight="1" x14ac:dyDescent="0.2">
      <c r="B25" s="246"/>
      <c r="C25" s="107" t="s">
        <v>83</v>
      </c>
      <c r="D25" s="168"/>
      <c r="E25" s="169" t="s">
        <v>58</v>
      </c>
      <c r="F25" s="170">
        <v>5</v>
      </c>
      <c r="G25" s="171"/>
      <c r="H25" s="108" t="s">
        <v>84</v>
      </c>
      <c r="I25" s="108"/>
      <c r="J25" s="172">
        <f>F23*F25</f>
        <v>100</v>
      </c>
      <c r="K25" s="111" t="s">
        <v>85</v>
      </c>
      <c r="L25" s="19"/>
      <c r="N25" s="123"/>
      <c r="O25" s="120"/>
      <c r="P25" s="121"/>
      <c r="Q25" s="122"/>
      <c r="R25" s="122"/>
      <c r="S25" s="116"/>
      <c r="V25" s="6">
        <v>702</v>
      </c>
      <c r="W25" s="6" t="s">
        <v>86</v>
      </c>
    </row>
    <row r="26" spans="2:23" ht="12.75" customHeight="1" x14ac:dyDescent="0.2">
      <c r="B26" s="246"/>
      <c r="C26" s="107"/>
      <c r="D26" s="108"/>
      <c r="E26" s="108"/>
      <c r="F26" s="109"/>
      <c r="G26" s="109"/>
      <c r="H26" s="108"/>
      <c r="I26" s="108"/>
      <c r="J26" s="125">
        <f>IF(F27=0,0,IF(F7=0,"",J27/F7))</f>
        <v>6</v>
      </c>
      <c r="K26" s="126" t="s">
        <v>87</v>
      </c>
      <c r="L26" s="19"/>
      <c r="N26" s="123"/>
      <c r="O26" s="113" t="s">
        <v>58</v>
      </c>
      <c r="P26" s="114">
        <f>IF(F13=0,0,IF(F5=0,0,IF(F11=0,0,IF(F27=0,P17,IF(F9=0,0,J27/(J5*F13)+P17)))))</f>
        <v>1.2747322735218725E-2</v>
      </c>
      <c r="Q26" s="115" t="s">
        <v>109</v>
      </c>
      <c r="R26" s="115"/>
      <c r="S26" s="116"/>
    </row>
    <row r="27" spans="2:23" ht="12.75" customHeight="1" thickBot="1" x14ac:dyDescent="0.25">
      <c r="B27" s="247"/>
      <c r="C27" s="144" t="s">
        <v>88</v>
      </c>
      <c r="D27" s="148"/>
      <c r="E27" s="148"/>
      <c r="F27" s="146">
        <v>35</v>
      </c>
      <c r="G27" s="147"/>
      <c r="H27" s="148"/>
      <c r="I27" s="148"/>
      <c r="J27" s="173">
        <f>IF(F27=0,0,ROUNDUP(F7/F27,0)*J25*2)</f>
        <v>600</v>
      </c>
      <c r="K27" s="174" t="s">
        <v>89</v>
      </c>
      <c r="L27" s="19"/>
      <c r="N27" s="132"/>
      <c r="O27" s="133"/>
      <c r="P27" s="134"/>
      <c r="Q27" s="133"/>
      <c r="R27" s="133"/>
      <c r="S27" s="135"/>
    </row>
    <row r="28" spans="2:23" ht="12.75" customHeight="1" x14ac:dyDescent="0.2">
      <c r="B28" s="163"/>
      <c r="C28" s="128"/>
      <c r="D28" s="108"/>
      <c r="E28" s="108"/>
      <c r="F28" s="109"/>
      <c r="G28" s="109"/>
      <c r="H28" s="108"/>
      <c r="I28" s="108"/>
      <c r="J28" s="175"/>
      <c r="K28" s="176"/>
      <c r="L28" s="19"/>
      <c r="S28" s="138"/>
    </row>
    <row r="29" spans="2:23" ht="18.75" customHeight="1" thickBot="1" x14ac:dyDescent="0.3">
      <c r="B29" s="245" t="s">
        <v>90</v>
      </c>
      <c r="C29" s="98" t="s">
        <v>91</v>
      </c>
      <c r="D29" s="101"/>
      <c r="E29" s="101"/>
      <c r="F29" s="166">
        <v>15</v>
      </c>
      <c r="G29" s="167"/>
      <c r="H29" s="101" t="s">
        <v>82</v>
      </c>
      <c r="I29" s="101"/>
      <c r="J29" s="157"/>
      <c r="K29" s="103"/>
      <c r="L29" s="19"/>
      <c r="N29" s="95" t="s">
        <v>92</v>
      </c>
      <c r="P29" s="137"/>
      <c r="S29" s="138"/>
    </row>
    <row r="30" spans="2:23" ht="12.75" customHeight="1" x14ac:dyDescent="0.2">
      <c r="B30" s="246"/>
      <c r="C30" s="107"/>
      <c r="D30" s="108"/>
      <c r="E30" s="108"/>
      <c r="F30" s="109"/>
      <c r="G30" s="109"/>
      <c r="H30" s="108"/>
      <c r="I30" s="108"/>
      <c r="J30" s="158"/>
      <c r="K30" s="111"/>
      <c r="L30" s="19"/>
      <c r="N30" s="104"/>
      <c r="O30" s="105"/>
      <c r="P30" s="141"/>
      <c r="Q30" s="105"/>
      <c r="R30" s="105"/>
      <c r="S30" s="106"/>
    </row>
    <row r="31" spans="2:23" ht="12.75" customHeight="1" x14ac:dyDescent="0.2">
      <c r="B31" s="246"/>
      <c r="C31" s="107" t="s">
        <v>93</v>
      </c>
      <c r="D31" s="168"/>
      <c r="E31" s="169" t="s">
        <v>58</v>
      </c>
      <c r="F31" s="170">
        <v>0.45</v>
      </c>
      <c r="G31" s="171"/>
      <c r="H31" s="108" t="s">
        <v>84</v>
      </c>
      <c r="I31" s="108"/>
      <c r="J31" s="125">
        <f>IF(F7=0,0,J32/F7)</f>
        <v>1.74</v>
      </c>
      <c r="K31" s="126" t="s">
        <v>87</v>
      </c>
      <c r="L31" s="19"/>
      <c r="N31" s="112"/>
      <c r="O31" s="113" t="s">
        <v>58</v>
      </c>
      <c r="P31" s="114">
        <f>IF(F19=0,0,IF(P35="",0,P35/$F$19))</f>
        <v>0.16966916951786939</v>
      </c>
      <c r="Q31" s="115" t="s">
        <v>107</v>
      </c>
      <c r="R31" s="115"/>
      <c r="S31" s="116"/>
    </row>
    <row r="32" spans="2:23" ht="12.75" customHeight="1" x14ac:dyDescent="0.2">
      <c r="B32" s="246"/>
      <c r="C32" s="107"/>
      <c r="D32" s="108"/>
      <c r="E32" s="108"/>
      <c r="F32" s="109"/>
      <c r="G32" s="109"/>
      <c r="H32" s="108"/>
      <c r="I32" s="108"/>
      <c r="J32" s="125">
        <f>J33*F35</f>
        <v>174</v>
      </c>
      <c r="K32" s="126" t="s">
        <v>94</v>
      </c>
      <c r="L32" s="19"/>
      <c r="N32" s="112"/>
      <c r="O32" s="120"/>
      <c r="P32" s="121"/>
      <c r="Q32" s="122"/>
      <c r="R32" s="122"/>
      <c r="S32" s="116"/>
    </row>
    <row r="33" spans="2:23" ht="12.75" customHeight="1" x14ac:dyDescent="0.2">
      <c r="B33" s="246"/>
      <c r="C33" s="107" t="s">
        <v>95</v>
      </c>
      <c r="D33" s="108"/>
      <c r="E33" s="108"/>
      <c r="F33" s="146">
        <v>30</v>
      </c>
      <c r="G33" s="109"/>
      <c r="H33" s="108"/>
      <c r="I33" s="108"/>
      <c r="J33" s="172">
        <f>2*F31*F29+F33</f>
        <v>43.5</v>
      </c>
      <c r="K33" s="111" t="s">
        <v>85</v>
      </c>
      <c r="L33" s="19"/>
      <c r="N33" s="123"/>
      <c r="O33" s="113" t="s">
        <v>58</v>
      </c>
      <c r="P33" s="114">
        <f>IF(F21=0,0,IF(P35="",0,P35/$F$21))</f>
        <v>2.4238452788267053E-2</v>
      </c>
      <c r="Q33" s="115" t="s">
        <v>108</v>
      </c>
      <c r="R33" s="115"/>
      <c r="S33" s="116"/>
    </row>
    <row r="34" spans="2:23" ht="12.75" customHeight="1" x14ac:dyDescent="0.2">
      <c r="B34" s="246"/>
      <c r="C34" s="107"/>
      <c r="D34" s="108"/>
      <c r="E34" s="108"/>
      <c r="F34" s="109"/>
      <c r="G34" s="109"/>
      <c r="H34" s="108"/>
      <c r="I34" s="108"/>
      <c r="J34" s="158"/>
      <c r="K34" s="111"/>
      <c r="L34" s="19"/>
      <c r="N34" s="123"/>
      <c r="O34" s="120"/>
      <c r="P34" s="121"/>
      <c r="Q34" s="122"/>
      <c r="R34" s="122"/>
      <c r="S34" s="116"/>
    </row>
    <row r="35" spans="2:23" ht="12.75" customHeight="1" x14ac:dyDescent="0.2">
      <c r="B35" s="247"/>
      <c r="C35" s="144" t="s">
        <v>96</v>
      </c>
      <c r="D35" s="148"/>
      <c r="E35" s="148"/>
      <c r="F35" s="146">
        <v>4</v>
      </c>
      <c r="G35" s="147"/>
      <c r="H35" s="148"/>
      <c r="I35" s="148"/>
      <c r="J35" s="177"/>
      <c r="K35" s="162"/>
      <c r="L35" s="19"/>
      <c r="N35" s="123"/>
      <c r="O35" s="113" t="s">
        <v>58</v>
      </c>
      <c r="P35" s="114">
        <f>IF(F13=0,0,IF(F5=0,0,IF(F11=0,0,IF(F7=0,0,IF(F9=0,"",V35/F9*1000*30/F11/V25+P26)))))</f>
        <v>1.3573533561429551E-2</v>
      </c>
      <c r="Q35" s="115" t="s">
        <v>109</v>
      </c>
      <c r="R35" s="115"/>
      <c r="S35" s="116"/>
      <c r="V35" s="6">
        <f>IF(F7=0,0,(((F29*2*F31)+F33)*F35)/F7)</f>
        <v>1.74</v>
      </c>
      <c r="W35" s="6" t="s">
        <v>97</v>
      </c>
    </row>
    <row r="36" spans="2:23" ht="12.75" customHeight="1" thickBot="1" x14ac:dyDescent="0.25">
      <c r="B36" s="178"/>
      <c r="C36" s="179"/>
      <c r="D36" s="37"/>
      <c r="E36" s="37"/>
      <c r="F36" s="180"/>
      <c r="G36" s="180"/>
      <c r="H36" s="37"/>
      <c r="I36" s="37"/>
      <c r="J36" s="37"/>
      <c r="K36" s="37"/>
      <c r="L36" s="38"/>
      <c r="N36" s="132"/>
      <c r="O36" s="133"/>
      <c r="P36" s="134"/>
      <c r="Q36" s="133"/>
      <c r="R36" s="133"/>
      <c r="S36" s="135"/>
    </row>
    <row r="37" spans="2:23" ht="12.75" customHeight="1" x14ac:dyDescent="0.2"/>
    <row r="38" spans="2:23" ht="18.75" customHeight="1" thickBot="1" x14ac:dyDescent="0.3">
      <c r="B38" s="95" t="s">
        <v>98</v>
      </c>
      <c r="N38" s="95" t="s">
        <v>154</v>
      </c>
    </row>
    <row r="39" spans="2:23" ht="12.75" customHeight="1" x14ac:dyDescent="0.2">
      <c r="B39" s="104"/>
      <c r="C39" s="105"/>
      <c r="D39" s="105"/>
      <c r="E39" s="105"/>
      <c r="F39" s="105"/>
      <c r="G39" s="105"/>
      <c r="H39" s="105"/>
      <c r="I39" s="105"/>
      <c r="J39" s="105"/>
      <c r="K39" s="105"/>
      <c r="L39" s="106"/>
      <c r="N39" s="104"/>
      <c r="O39" s="105"/>
      <c r="P39" s="105"/>
      <c r="Q39" s="105"/>
      <c r="R39" s="105"/>
      <c r="S39" s="106"/>
    </row>
    <row r="40" spans="2:23" ht="12.75" customHeight="1" x14ac:dyDescent="0.25">
      <c r="B40" s="123"/>
      <c r="C40" s="122"/>
      <c r="D40" s="181" t="s">
        <v>99</v>
      </c>
      <c r="E40" s="182" t="s">
        <v>100</v>
      </c>
      <c r="F40" s="183" t="s">
        <v>101</v>
      </c>
      <c r="G40" s="182" t="s">
        <v>102</v>
      </c>
      <c r="H40" s="183" t="s">
        <v>103</v>
      </c>
      <c r="I40" s="182" t="s">
        <v>102</v>
      </c>
      <c r="J40" s="183" t="s">
        <v>104</v>
      </c>
      <c r="K40" s="122"/>
      <c r="L40" s="116"/>
      <c r="N40" s="232"/>
      <c r="O40" s="233" t="s">
        <v>3</v>
      </c>
      <c r="P40" s="122"/>
      <c r="Q40" s="122"/>
      <c r="R40" s="238">
        <f>IF(F3=0,0,((F3*38.2+429)*0.39)*F13*F5/F7/F11)</f>
        <v>25.955583333333333</v>
      </c>
      <c r="S40" s="116"/>
    </row>
    <row r="41" spans="2:23" ht="12.75" customHeight="1" x14ac:dyDescent="0.2">
      <c r="B41" s="123"/>
      <c r="C41" s="122"/>
      <c r="D41" s="122"/>
      <c r="E41" s="122"/>
      <c r="F41" s="122"/>
      <c r="G41" s="122"/>
      <c r="H41" s="122"/>
      <c r="I41" s="122"/>
      <c r="J41" s="122"/>
      <c r="K41" s="122"/>
      <c r="L41" s="116"/>
      <c r="N41" s="232"/>
      <c r="O41" s="233" t="s">
        <v>5</v>
      </c>
      <c r="P41" s="122"/>
      <c r="Q41" s="122"/>
      <c r="R41" s="239">
        <f>F11</f>
        <v>90</v>
      </c>
      <c r="S41" s="116"/>
    </row>
    <row r="42" spans="2:23" ht="12.75" customHeight="1" x14ac:dyDescent="0.25">
      <c r="B42" s="123"/>
      <c r="C42" s="184" t="s">
        <v>28</v>
      </c>
      <c r="D42" s="185">
        <f>F42+H42+J42</f>
        <v>2854</v>
      </c>
      <c r="E42" s="186" t="s">
        <v>100</v>
      </c>
      <c r="F42" s="187">
        <f>F15*F13</f>
        <v>2080</v>
      </c>
      <c r="G42" s="188" t="s">
        <v>102</v>
      </c>
      <c r="H42" s="189">
        <f>J27</f>
        <v>600</v>
      </c>
      <c r="I42" s="186" t="s">
        <v>102</v>
      </c>
      <c r="J42" s="189">
        <f>J32</f>
        <v>174</v>
      </c>
      <c r="K42" s="122"/>
      <c r="L42" s="116"/>
      <c r="N42" s="232"/>
      <c r="O42" s="233" t="s">
        <v>7</v>
      </c>
      <c r="P42" s="122"/>
      <c r="Q42" s="122"/>
      <c r="R42" s="240">
        <f>F7</f>
        <v>100</v>
      </c>
      <c r="S42" s="116"/>
    </row>
    <row r="43" spans="2:23" ht="12.75" customHeight="1" thickBot="1" x14ac:dyDescent="0.3">
      <c r="B43" s="123"/>
      <c r="C43" s="184"/>
      <c r="D43" s="185"/>
      <c r="E43" s="189"/>
      <c r="F43" s="190"/>
      <c r="G43" s="190"/>
      <c r="H43" s="190"/>
      <c r="I43" s="190"/>
      <c r="J43" s="190"/>
      <c r="K43" s="122"/>
      <c r="L43" s="116"/>
      <c r="N43" s="132"/>
      <c r="O43" s="133"/>
      <c r="P43" s="133"/>
      <c r="Q43" s="133"/>
      <c r="R43" s="133"/>
      <c r="S43" s="135"/>
    </row>
    <row r="44" spans="2:23" ht="12.75" customHeight="1" x14ac:dyDescent="0.25">
      <c r="B44" s="123"/>
      <c r="C44" s="184" t="s">
        <v>105</v>
      </c>
      <c r="D44" s="191">
        <f>IF(F7=0,0,D42/F7)</f>
        <v>28.54</v>
      </c>
      <c r="E44" s="186" t="s">
        <v>100</v>
      </c>
      <c r="F44" s="192">
        <f>IF(F7=0,0,F42/F7)</f>
        <v>20.8</v>
      </c>
      <c r="G44" s="193" t="s">
        <v>102</v>
      </c>
      <c r="H44" s="194">
        <f>J26</f>
        <v>6</v>
      </c>
      <c r="I44" s="195" t="s">
        <v>102</v>
      </c>
      <c r="J44" s="194">
        <f>J31</f>
        <v>1.74</v>
      </c>
      <c r="K44" s="122"/>
      <c r="L44" s="116"/>
    </row>
    <row r="45" spans="2:23" ht="12.75" customHeight="1" x14ac:dyDescent="0.2">
      <c r="B45" s="123"/>
      <c r="C45" s="122"/>
      <c r="D45" s="122"/>
      <c r="E45" s="190"/>
      <c r="F45" s="190"/>
      <c r="G45" s="190"/>
      <c r="H45" s="190"/>
      <c r="I45" s="190"/>
      <c r="J45" s="190"/>
      <c r="K45" s="122"/>
      <c r="L45" s="116"/>
    </row>
    <row r="46" spans="2:23" ht="12.75" customHeight="1" x14ac:dyDescent="0.25">
      <c r="B46" s="123"/>
      <c r="C46" s="184" t="s">
        <v>106</v>
      </c>
      <c r="D46" s="191">
        <f>IF(F11=0,0,D44/F11)</f>
        <v>0.31711111111111112</v>
      </c>
      <c r="E46" s="186" t="s">
        <v>100</v>
      </c>
      <c r="F46" s="192">
        <f>IF($F$11=0,0,F44/$F$11)</f>
        <v>0.23111111111111113</v>
      </c>
      <c r="G46" s="188" t="s">
        <v>102</v>
      </c>
      <c r="H46" s="192">
        <f>IF($F$11=0,0,H44/$F$11)</f>
        <v>6.6666666666666666E-2</v>
      </c>
      <c r="I46" s="186" t="s">
        <v>102</v>
      </c>
      <c r="J46" s="192">
        <f>IF($F$11=0,0,J44/$F$11)</f>
        <v>1.9333333333333334E-2</v>
      </c>
      <c r="K46" s="122"/>
      <c r="L46" s="116"/>
    </row>
    <row r="47" spans="2:23" ht="12.75" customHeight="1" thickBot="1" x14ac:dyDescent="0.25">
      <c r="B47" s="132"/>
      <c r="C47" s="133"/>
      <c r="D47" s="133"/>
      <c r="E47" s="133"/>
      <c r="F47" s="133"/>
      <c r="G47" s="133"/>
      <c r="H47" s="133"/>
      <c r="I47" s="133"/>
      <c r="J47" s="133"/>
      <c r="K47" s="133"/>
      <c r="L47" s="135"/>
    </row>
    <row r="48" spans="2:23" ht="12.75" customHeight="1" x14ac:dyDescent="0.2"/>
    <row r="49" ht="12.75" customHeight="1" x14ac:dyDescent="0.2"/>
  </sheetData>
  <mergeCells count="5">
    <mergeCell ref="B3:B15"/>
    <mergeCell ref="J2:K2"/>
    <mergeCell ref="B29:B35"/>
    <mergeCell ref="B23:B27"/>
    <mergeCell ref="B17:B21"/>
  </mergeCells>
  <phoneticPr fontId="2" type="noConversion"/>
  <dataValidations count="5">
    <dataValidation type="whole" operator="greaterThanOrEqual" allowBlank="1" showInputMessage="1" showErrorMessage="1" errorTitle="Restricted Data Entry" error="Only positive, whole numbers can be entered into this cell" sqref="R41:R42">
      <formula1>0</formula1>
    </dataValidation>
    <dataValidation type="decimal" operator="greaterThanOrEqual" allowBlank="1" showInputMessage="1" showErrorMessage="1" errorTitle="Restricted Data Entry" error="Only numbers greater than or equal to zero can be entered into this cell." sqref="F29:G29 F31:G31 F33:G33 F23:G23 F25:G25 F27:G27 F7:G7 F5:G5 F3:G3 F35:G35">
      <formula1>0</formula1>
    </dataValidation>
    <dataValidation type="decimal" operator="greaterThanOrEqual" allowBlank="1" showInputMessage="1" showErrorMessage="1" sqref="F36:G36 F30:G30 F34:G34 F26:G26 F24:G24 F28:G28 F18:G18 F6:G6 F4:G4 F8:G8 F10:G10 F22:G22 F32:G32">
      <formula1>0</formula1>
    </dataValidation>
    <dataValidation type="decimal" operator="greaterThan" allowBlank="1" showInputMessage="1" showErrorMessage="1" errorTitle="Restricted Data Entry" error="Only numbers greater than zero can be entered into this cell." sqref="F21:G21 F19:G19 F17:G17 F15:G15">
      <formula1>0</formula1>
    </dataValidation>
    <dataValidation type="decimal" operator="greaterThan" allowBlank="1" showInputMessage="1" showErrorMessage="1" sqref="F20:G20">
      <formula1>0</formula1>
    </dataValidation>
  </dataValidations>
  <pageMargins left="0.75" right="0.75" top="1" bottom="1" header="0.5" footer="0.5"/>
  <pageSetup orientation="portrait" horizontalDpi="4294967293"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5:W35"/>
  <sheetViews>
    <sheetView workbookViewId="0">
      <selection activeCell="F10" sqref="F10"/>
    </sheetView>
  </sheetViews>
  <sheetFormatPr defaultRowHeight="12.75" x14ac:dyDescent="0.2"/>
  <cols>
    <col min="1" max="1" width="4.42578125" customWidth="1"/>
    <col min="2" max="2" width="21.5703125" bestFit="1" customWidth="1"/>
    <col min="6" max="6" width="7.28515625" customWidth="1"/>
    <col min="7" max="7" width="7" customWidth="1"/>
    <col min="9" max="9" width="8.5703125" customWidth="1"/>
    <col min="10" max="10" width="8.28515625" customWidth="1"/>
    <col min="11" max="11" width="8" bestFit="1" customWidth="1"/>
    <col min="12" max="12" width="6.85546875" customWidth="1"/>
    <col min="13" max="13" width="8.42578125" bestFit="1" customWidth="1"/>
    <col min="14" max="14" width="7.140625" customWidth="1"/>
    <col min="15" max="15" width="8.5703125" customWidth="1"/>
    <col min="16" max="16" width="8.85546875" customWidth="1"/>
    <col min="17" max="17" width="7.42578125" bestFit="1" customWidth="1"/>
    <col min="18" max="18" width="7.42578125" customWidth="1"/>
    <col min="19" max="19" width="6.42578125" bestFit="1" customWidth="1"/>
    <col min="20" max="20" width="7.42578125" bestFit="1" customWidth="1"/>
    <col min="21" max="21" width="9.28515625" customWidth="1"/>
    <col min="22" max="22" width="10.140625" customWidth="1"/>
  </cols>
  <sheetData>
    <row r="5" spans="1:23" x14ac:dyDescent="0.2">
      <c r="B5" t="s">
        <v>147</v>
      </c>
    </row>
    <row r="7" spans="1:23" x14ac:dyDescent="0.2">
      <c r="B7">
        <v>1</v>
      </c>
      <c r="C7">
        <v>2</v>
      </c>
      <c r="D7">
        <v>3</v>
      </c>
      <c r="E7">
        <v>4</v>
      </c>
      <c r="F7">
        <v>5</v>
      </c>
      <c r="G7">
        <v>6</v>
      </c>
      <c r="H7">
        <v>7</v>
      </c>
      <c r="I7">
        <v>8</v>
      </c>
      <c r="J7">
        <v>9</v>
      </c>
      <c r="K7">
        <v>10</v>
      </c>
      <c r="L7">
        <v>11</v>
      </c>
      <c r="M7">
        <v>12</v>
      </c>
      <c r="N7">
        <v>13</v>
      </c>
      <c r="O7">
        <v>14</v>
      </c>
      <c r="P7">
        <v>15</v>
      </c>
      <c r="Q7">
        <v>16</v>
      </c>
      <c r="R7">
        <v>17</v>
      </c>
      <c r="S7">
        <v>18</v>
      </c>
      <c r="T7">
        <v>19</v>
      </c>
      <c r="U7">
        <v>20</v>
      </c>
      <c r="V7">
        <v>21</v>
      </c>
      <c r="W7">
        <v>22</v>
      </c>
    </row>
    <row r="8" spans="1:23" x14ac:dyDescent="0.2">
      <c r="E8" s="248" t="s">
        <v>148</v>
      </c>
      <c r="F8" s="248"/>
      <c r="G8" s="248"/>
      <c r="H8" s="248" t="s">
        <v>149</v>
      </c>
      <c r="I8" s="248"/>
      <c r="J8" s="248"/>
      <c r="K8" s="248" t="s">
        <v>40</v>
      </c>
      <c r="L8" s="248"/>
      <c r="M8" s="248"/>
      <c r="N8" s="248"/>
      <c r="O8" s="248"/>
      <c r="P8" s="248"/>
      <c r="Q8" s="248" t="s">
        <v>21</v>
      </c>
      <c r="R8" s="248"/>
      <c r="S8" s="248"/>
      <c r="T8" s="248" t="s">
        <v>49</v>
      </c>
      <c r="U8" s="248"/>
      <c r="V8" s="248"/>
    </row>
    <row r="9" spans="1:23" s="220" customFormat="1" ht="38.25" x14ac:dyDescent="0.2">
      <c r="B9" s="221" t="s">
        <v>6</v>
      </c>
      <c r="C9" s="222" t="s">
        <v>30</v>
      </c>
      <c r="D9" s="222" t="s">
        <v>113</v>
      </c>
      <c r="E9" s="222" t="s">
        <v>33</v>
      </c>
      <c r="F9" s="222" t="s">
        <v>114</v>
      </c>
      <c r="G9" s="222" t="s">
        <v>115</v>
      </c>
      <c r="H9" s="222" t="s">
        <v>114</v>
      </c>
      <c r="I9" s="222" t="s">
        <v>115</v>
      </c>
      <c r="J9" s="222" t="s">
        <v>150</v>
      </c>
      <c r="K9" s="222" t="s">
        <v>41</v>
      </c>
      <c r="L9" s="222" t="s">
        <v>82</v>
      </c>
      <c r="M9" s="222" t="s">
        <v>42</v>
      </c>
      <c r="N9" s="222" t="s">
        <v>18</v>
      </c>
      <c r="O9" s="222" t="s">
        <v>44</v>
      </c>
      <c r="P9" s="222" t="s">
        <v>151</v>
      </c>
      <c r="Q9" s="222" t="s">
        <v>30</v>
      </c>
      <c r="R9" s="222" t="s">
        <v>44</v>
      </c>
      <c r="S9" s="222" t="s">
        <v>26</v>
      </c>
      <c r="T9" s="222" t="s">
        <v>30</v>
      </c>
      <c r="U9" s="222" t="s">
        <v>44</v>
      </c>
      <c r="V9" s="222" t="s">
        <v>116</v>
      </c>
      <c r="W9" s="220" t="s">
        <v>152</v>
      </c>
    </row>
    <row r="10" spans="1:23" x14ac:dyDescent="0.2">
      <c r="A10" s="223">
        <v>1</v>
      </c>
      <c r="B10" s="224" t="str">
        <f>'F1'!$E$4</f>
        <v>Grass Hay (Premium)</v>
      </c>
      <c r="C10" s="224">
        <f>'F1'!$E$6</f>
        <v>250</v>
      </c>
      <c r="D10" s="224">
        <f>'F1'!$E$8</f>
        <v>2000</v>
      </c>
      <c r="E10" s="228">
        <f>'F1'!$E$10</f>
        <v>0.9</v>
      </c>
      <c r="F10" s="228">
        <f>'F1'!$E$12</f>
        <v>0.13</v>
      </c>
      <c r="G10" s="228">
        <f>'F1'!$E$14</f>
        <v>0.56999999999999995</v>
      </c>
      <c r="H10" s="226">
        <f t="shared" ref="H10:H19" si="0">IF(D10=0,"",IF(F10=0,"",(($C10+$N10+$Q10*$P10+$T10*$S10)/$E10)/($D10*(1-$O10)*(1-$R10)*(1-$U10)*F10)))</f>
        <v>1.362252288178214</v>
      </c>
      <c r="I10" s="226">
        <f t="shared" ref="I10:I19" si="1">IF(E10=0,"",IF(G10=0,"",(($C10+$N10+$Q10*$P10+$T10*$S10)/$E10)/($D10*(1-$O10)*(1-$R10)*(1-$U10)*G10)))</f>
        <v>0.31068911835643481</v>
      </c>
      <c r="J10" s="226">
        <f t="shared" ref="J10:J19" si="2">IF(E10=0,"",(($C10+$N10+$Q10*$P10+$T10*$S10)/$E10)/($D10*(1-$O10)*(1-$R10)*(1-$U10)*E10))</f>
        <v>0.19676977495907538</v>
      </c>
      <c r="K10" s="224">
        <f>'F1'!$E$18</f>
        <v>4.5</v>
      </c>
      <c r="L10" s="224">
        <f>'F1'!$E$16</f>
        <v>100</v>
      </c>
      <c r="M10" s="224">
        <f>'F1'!$E$20</f>
        <v>20</v>
      </c>
      <c r="N10" s="224">
        <f t="shared" ref="N10:N18" si="3">IF(M10=0,0,K10*L10/M10)</f>
        <v>22.5</v>
      </c>
      <c r="O10" s="228">
        <f>'F1'!$E$22</f>
        <v>0.01</v>
      </c>
      <c r="P10" s="227">
        <f t="shared" ref="P10:P18" si="4">(1-O10)</f>
        <v>0.99</v>
      </c>
      <c r="Q10" s="224">
        <f>'F1'!$E$24</f>
        <v>1</v>
      </c>
      <c r="R10" s="228">
        <f>'F1'!$E$26</f>
        <v>0.02</v>
      </c>
      <c r="S10" s="224">
        <f t="shared" ref="S10:S18" si="5">P10*(1-R10)</f>
        <v>0.97019999999999995</v>
      </c>
      <c r="T10" s="224">
        <f>'F1'!$E$28</f>
        <v>5</v>
      </c>
      <c r="U10" s="228">
        <f>'F1'!$E$30</f>
        <v>0.1</v>
      </c>
      <c r="V10" s="224">
        <f t="shared" ref="V10:V18" si="6">S10*(1-U10)</f>
        <v>0.87317999999999996</v>
      </c>
      <c r="W10" s="224" t="str">
        <f>'F1'!$F$20</f>
        <v>ton</v>
      </c>
    </row>
    <row r="11" spans="1:23" x14ac:dyDescent="0.2">
      <c r="A11" s="223">
        <v>2</v>
      </c>
      <c r="B11" s="224" t="str">
        <f>'F2'!$E$4</f>
        <v>Grass Hay</v>
      </c>
      <c r="C11" s="224">
        <f>'F2'!$E$6</f>
        <v>200</v>
      </c>
      <c r="D11" s="224">
        <f>'F2'!$E$8</f>
        <v>2000</v>
      </c>
      <c r="E11" s="228">
        <f>'F2'!$E$10</f>
        <v>0.9</v>
      </c>
      <c r="F11" s="228">
        <f>'F2'!$E$12</f>
        <v>0.11</v>
      </c>
      <c r="G11" s="228">
        <f>'F2'!$E$14</f>
        <v>0.5</v>
      </c>
      <c r="H11" s="226">
        <f t="shared" si="0"/>
        <v>1.3295247698099748</v>
      </c>
      <c r="I11" s="226">
        <f t="shared" si="1"/>
        <v>0.29249544935819449</v>
      </c>
      <c r="J11" s="226">
        <f t="shared" si="2"/>
        <v>0.1624974718656636</v>
      </c>
      <c r="K11" s="224">
        <f>'F2'!$E$18</f>
        <v>4.5</v>
      </c>
      <c r="L11" s="224">
        <f>'F2'!$E$16</f>
        <v>50</v>
      </c>
      <c r="M11" s="224">
        <f>'F2'!$E$20</f>
        <v>20</v>
      </c>
      <c r="N11" s="224">
        <f t="shared" si="3"/>
        <v>11.25</v>
      </c>
      <c r="O11" s="228">
        <f>'F2'!$E$22</f>
        <v>0.01</v>
      </c>
      <c r="P11" s="227">
        <f t="shared" si="4"/>
        <v>0.99</v>
      </c>
      <c r="Q11" s="224">
        <f>'F2'!$E$24</f>
        <v>1</v>
      </c>
      <c r="R11" s="228">
        <f>'F2'!$E$26</f>
        <v>0.02</v>
      </c>
      <c r="S11" s="224">
        <f t="shared" si="5"/>
        <v>0.97019999999999995</v>
      </c>
      <c r="T11" s="224">
        <f>'F2'!$E$28</f>
        <v>5</v>
      </c>
      <c r="U11" s="228">
        <f>'F2'!$E$30</f>
        <v>0.15</v>
      </c>
      <c r="V11" s="224">
        <f t="shared" si="6"/>
        <v>0.8246699999999999</v>
      </c>
      <c r="W11" s="224" t="str">
        <f>'F2'!$F$20</f>
        <v>ton</v>
      </c>
    </row>
    <row r="12" spans="1:23" x14ac:dyDescent="0.2">
      <c r="A12" s="223">
        <v>3</v>
      </c>
      <c r="B12" s="224" t="str">
        <f>'F3'!$E$4</f>
        <v>Alfalfa Hay (Good)</v>
      </c>
      <c r="C12" s="224">
        <f>'F3'!$E$6</f>
        <v>300</v>
      </c>
      <c r="D12" s="224">
        <f>'F3'!$E$8</f>
        <v>2000</v>
      </c>
      <c r="E12" s="228">
        <f>'F3'!$E$10</f>
        <v>0.9</v>
      </c>
      <c r="F12" s="228">
        <f>'F3'!$E$12</f>
        <v>0.184</v>
      </c>
      <c r="G12" s="228">
        <f>'F3'!$E$14</f>
        <v>0.59</v>
      </c>
      <c r="H12" s="226">
        <f t="shared" si="0"/>
        <v>1.1098911482977547</v>
      </c>
      <c r="I12" s="226">
        <f t="shared" si="1"/>
        <v>0.34613554455387613</v>
      </c>
      <c r="J12" s="226">
        <f t="shared" si="2"/>
        <v>0.22691107920754097</v>
      </c>
      <c r="K12" s="224">
        <f>'F3'!$E$18</f>
        <v>4.5</v>
      </c>
      <c r="L12" s="224">
        <f>'F3'!$E$16</f>
        <v>80</v>
      </c>
      <c r="M12" s="224">
        <f>'F3'!$E$20</f>
        <v>20</v>
      </c>
      <c r="N12" s="224">
        <f t="shared" si="3"/>
        <v>18</v>
      </c>
      <c r="O12" s="228">
        <f>'F3'!$E$22</f>
        <v>5.0000000000000001E-3</v>
      </c>
      <c r="P12" s="227">
        <f t="shared" si="4"/>
        <v>0.995</v>
      </c>
      <c r="Q12" s="224">
        <f>'F3'!$E$24</f>
        <v>1</v>
      </c>
      <c r="R12" s="228">
        <f>'F3'!$E$26</f>
        <v>0.01</v>
      </c>
      <c r="S12" s="224">
        <f t="shared" si="5"/>
        <v>0.98504999999999998</v>
      </c>
      <c r="T12" s="224">
        <f>'F3'!$E$28</f>
        <v>7</v>
      </c>
      <c r="U12" s="228">
        <f>'F3'!$E$30</f>
        <v>0.1</v>
      </c>
      <c r="V12" s="224">
        <f t="shared" si="6"/>
        <v>0.88654500000000003</v>
      </c>
      <c r="W12" s="224" t="str">
        <f>'F3'!$F$20</f>
        <v>ton</v>
      </c>
    </row>
    <row r="13" spans="1:23" x14ac:dyDescent="0.2">
      <c r="A13" s="223">
        <v>4</v>
      </c>
      <c r="B13" s="224" t="str">
        <f>'F4'!$E$4</f>
        <v>Corn</v>
      </c>
      <c r="C13" s="224">
        <f>'F4'!$E$6</f>
        <v>6.5</v>
      </c>
      <c r="D13" s="224">
        <f>'F4'!$E$8</f>
        <v>2000</v>
      </c>
      <c r="E13" s="228">
        <f>'F4'!$E$10</f>
        <v>0.88</v>
      </c>
      <c r="F13" s="228">
        <f>'F4'!$E$12</f>
        <v>0.09</v>
      </c>
      <c r="G13" s="228">
        <f>'F4'!$E$14</f>
        <v>0.77</v>
      </c>
      <c r="H13" s="226">
        <f t="shared" si="0"/>
        <v>4.8929627178011963E-2</v>
      </c>
      <c r="I13" s="226">
        <f t="shared" si="1"/>
        <v>5.7190473324949045E-3</v>
      </c>
      <c r="J13" s="226">
        <f t="shared" si="2"/>
        <v>5.0041664159330406E-3</v>
      </c>
      <c r="K13" s="224">
        <f>'F4'!$E$18</f>
        <v>5</v>
      </c>
      <c r="L13" s="224">
        <f>'F4'!$E$16</f>
        <v>60</v>
      </c>
      <c r="M13" s="224">
        <f>'F4'!$E$20</f>
        <v>900</v>
      </c>
      <c r="N13" s="224">
        <f t="shared" si="3"/>
        <v>0.33333333333333331</v>
      </c>
      <c r="O13" s="228">
        <f>'F4'!$E$22</f>
        <v>5.0000000000000001E-3</v>
      </c>
      <c r="P13" s="227">
        <f t="shared" si="4"/>
        <v>0.995</v>
      </c>
      <c r="Q13" s="224">
        <f>'F4'!$E$24</f>
        <v>0.25</v>
      </c>
      <c r="R13" s="228">
        <f>'F4'!$E$26</f>
        <v>0.02</v>
      </c>
      <c r="S13" s="224">
        <f t="shared" si="5"/>
        <v>0.97509999999999997</v>
      </c>
      <c r="T13" s="224">
        <f>'F4'!$E$28</f>
        <v>0.1</v>
      </c>
      <c r="U13" s="228">
        <f>'F4'!$E$30</f>
        <v>0.05</v>
      </c>
      <c r="V13" s="224">
        <f t="shared" si="6"/>
        <v>0.92634499999999997</v>
      </c>
      <c r="W13" s="224" t="str">
        <f>'F4'!$F$20</f>
        <v>ton</v>
      </c>
    </row>
    <row r="14" spans="1:23" x14ac:dyDescent="0.2">
      <c r="A14" s="223">
        <v>5</v>
      </c>
      <c r="B14" s="224">
        <f>'F5'!$E$4</f>
        <v>0</v>
      </c>
      <c r="C14" s="224">
        <f>'F5'!$E$6</f>
        <v>0</v>
      </c>
      <c r="D14" s="224">
        <f>'F5'!$E$8</f>
        <v>2000</v>
      </c>
      <c r="E14" s="228">
        <f>'F5'!$E$10</f>
        <v>0</v>
      </c>
      <c r="F14" s="228">
        <f>'F5'!$E$12</f>
        <v>0</v>
      </c>
      <c r="G14" s="228">
        <f>'F5'!$E$14</f>
        <v>0</v>
      </c>
      <c r="H14" s="226" t="str">
        <f t="shared" si="0"/>
        <v/>
      </c>
      <c r="I14" s="226" t="str">
        <f t="shared" si="1"/>
        <v/>
      </c>
      <c r="J14" s="226" t="str">
        <f t="shared" si="2"/>
        <v/>
      </c>
      <c r="K14" s="224">
        <f>'F5'!$E$18</f>
        <v>0</v>
      </c>
      <c r="L14" s="224">
        <f>'F5'!$E$16</f>
        <v>0</v>
      </c>
      <c r="M14" s="224">
        <f>'F5'!$E$20</f>
        <v>0</v>
      </c>
      <c r="N14" s="224">
        <f t="shared" si="3"/>
        <v>0</v>
      </c>
      <c r="O14" s="228">
        <f>'F5'!$E$22</f>
        <v>0</v>
      </c>
      <c r="P14" s="227">
        <f t="shared" si="4"/>
        <v>1</v>
      </c>
      <c r="Q14" s="224">
        <f>'F5'!$E$24</f>
        <v>0</v>
      </c>
      <c r="R14" s="228">
        <f>'F5'!$E$26</f>
        <v>0</v>
      </c>
      <c r="S14" s="224">
        <f t="shared" si="5"/>
        <v>1</v>
      </c>
      <c r="T14" s="224">
        <f>'F5'!$E$28</f>
        <v>0</v>
      </c>
      <c r="U14" s="228">
        <f>'F5'!$E$30</f>
        <v>0</v>
      </c>
      <c r="V14" s="224">
        <f t="shared" si="6"/>
        <v>1</v>
      </c>
      <c r="W14" s="224" t="str">
        <f>'F5'!$F$20</f>
        <v>ton</v>
      </c>
    </row>
    <row r="15" spans="1:23" x14ac:dyDescent="0.2">
      <c r="A15" s="223">
        <v>6</v>
      </c>
      <c r="B15" s="224">
        <f>'F6'!$E$4</f>
        <v>0</v>
      </c>
      <c r="C15" s="224">
        <f>'F6'!$E$6</f>
        <v>0</v>
      </c>
      <c r="D15" s="224">
        <f>'F8'!$E$8</f>
        <v>2000</v>
      </c>
      <c r="E15" s="228">
        <f>'F6'!$E$10</f>
        <v>0</v>
      </c>
      <c r="F15" s="228">
        <f>'F6'!$E$12</f>
        <v>0</v>
      </c>
      <c r="G15" s="228">
        <f>'F6'!$E$14</f>
        <v>0</v>
      </c>
      <c r="H15" s="226" t="str">
        <f t="shared" si="0"/>
        <v/>
      </c>
      <c r="I15" s="226" t="str">
        <f t="shared" si="1"/>
        <v/>
      </c>
      <c r="J15" s="226" t="str">
        <f t="shared" si="2"/>
        <v/>
      </c>
      <c r="K15" s="224">
        <f>'F6'!$E$18</f>
        <v>0</v>
      </c>
      <c r="L15" s="224">
        <f>'F6'!$E$16</f>
        <v>0</v>
      </c>
      <c r="M15" s="224">
        <f>'F6'!$E$20</f>
        <v>0</v>
      </c>
      <c r="N15" s="224">
        <f t="shared" si="3"/>
        <v>0</v>
      </c>
      <c r="O15" s="228">
        <f>'F6'!$E$22</f>
        <v>0</v>
      </c>
      <c r="P15" s="227">
        <f t="shared" si="4"/>
        <v>1</v>
      </c>
      <c r="Q15" s="224">
        <f>'F6'!$E$24</f>
        <v>0</v>
      </c>
      <c r="R15" s="228">
        <f>'F6'!$E$26</f>
        <v>0</v>
      </c>
      <c r="S15" s="224">
        <f t="shared" si="5"/>
        <v>1</v>
      </c>
      <c r="T15" s="224">
        <f>'F6'!$E$28</f>
        <v>0</v>
      </c>
      <c r="U15" s="228">
        <f>'F6'!$E$30</f>
        <v>0</v>
      </c>
      <c r="V15" s="224">
        <f t="shared" si="6"/>
        <v>1</v>
      </c>
      <c r="W15" s="224" t="str">
        <f>'F6'!$F$20</f>
        <v>ton</v>
      </c>
    </row>
    <row r="16" spans="1:23" x14ac:dyDescent="0.2">
      <c r="A16" s="223">
        <v>7</v>
      </c>
      <c r="B16" s="224">
        <f>'F7'!$E$4</f>
        <v>0</v>
      </c>
      <c r="C16" s="224">
        <f>'F7'!$E$6</f>
        <v>0</v>
      </c>
      <c r="D16" s="224">
        <f>'F7'!$E$8</f>
        <v>2000</v>
      </c>
      <c r="E16" s="228">
        <f>'F7'!$E$10</f>
        <v>0</v>
      </c>
      <c r="F16" s="228">
        <f>'F7'!$E$12</f>
        <v>0</v>
      </c>
      <c r="G16" s="228">
        <f>'F7'!$E$14</f>
        <v>0</v>
      </c>
      <c r="H16" s="226" t="str">
        <f t="shared" si="0"/>
        <v/>
      </c>
      <c r="I16" s="226" t="str">
        <f t="shared" si="1"/>
        <v/>
      </c>
      <c r="J16" s="226" t="str">
        <f t="shared" si="2"/>
        <v/>
      </c>
      <c r="K16" s="224">
        <f>'F7'!$E$18</f>
        <v>0</v>
      </c>
      <c r="L16" s="224">
        <f>'F7'!$E$16</f>
        <v>0</v>
      </c>
      <c r="M16" s="224">
        <f>'F7'!$E$20</f>
        <v>0</v>
      </c>
      <c r="N16" s="224">
        <f t="shared" si="3"/>
        <v>0</v>
      </c>
      <c r="O16" s="228">
        <f>'F7'!$E$22</f>
        <v>0</v>
      </c>
      <c r="P16" s="227">
        <f t="shared" si="4"/>
        <v>1</v>
      </c>
      <c r="Q16" s="224">
        <f>'F7'!$E$24</f>
        <v>0</v>
      </c>
      <c r="R16" s="228">
        <f>'F7'!$E$26</f>
        <v>0</v>
      </c>
      <c r="S16" s="224">
        <f t="shared" si="5"/>
        <v>1</v>
      </c>
      <c r="T16" s="224">
        <f>'F7'!$E$28</f>
        <v>0</v>
      </c>
      <c r="U16" s="228">
        <f>'F7'!$E$30</f>
        <v>0</v>
      </c>
      <c r="V16" s="224">
        <f t="shared" si="6"/>
        <v>1</v>
      </c>
      <c r="W16" s="224" t="str">
        <f>'F7'!$F$20</f>
        <v>ton</v>
      </c>
    </row>
    <row r="17" spans="1:23" x14ac:dyDescent="0.2">
      <c r="A17" s="223">
        <v>8</v>
      </c>
      <c r="B17" s="224">
        <f>'F8'!$E$4</f>
        <v>0</v>
      </c>
      <c r="C17" s="224">
        <f>'F8'!$E$6</f>
        <v>0</v>
      </c>
      <c r="D17" s="224">
        <f>'F8'!$E$8</f>
        <v>2000</v>
      </c>
      <c r="E17" s="228">
        <f>'F8'!$E$10</f>
        <v>0</v>
      </c>
      <c r="F17" s="228">
        <f>'F8'!$E$12</f>
        <v>0</v>
      </c>
      <c r="G17" s="228">
        <f>'F8'!$E$14</f>
        <v>0</v>
      </c>
      <c r="H17" s="226" t="str">
        <f t="shared" si="0"/>
        <v/>
      </c>
      <c r="I17" s="226" t="str">
        <f t="shared" si="1"/>
        <v/>
      </c>
      <c r="J17" s="226" t="str">
        <f t="shared" si="2"/>
        <v/>
      </c>
      <c r="K17" s="224">
        <f>'F8'!$E$18</f>
        <v>0</v>
      </c>
      <c r="L17" s="224">
        <f>'F8'!$E$16</f>
        <v>0</v>
      </c>
      <c r="M17" s="224">
        <f>'F8'!$E$20</f>
        <v>0</v>
      </c>
      <c r="N17" s="224">
        <f t="shared" si="3"/>
        <v>0</v>
      </c>
      <c r="O17" s="228">
        <f>'F8'!$E$22</f>
        <v>0</v>
      </c>
      <c r="P17" s="227">
        <f t="shared" si="4"/>
        <v>1</v>
      </c>
      <c r="Q17" s="224">
        <f>'F8'!$E$24</f>
        <v>0</v>
      </c>
      <c r="R17" s="228">
        <f>'F8'!$E$26</f>
        <v>0</v>
      </c>
      <c r="S17" s="224">
        <f t="shared" si="5"/>
        <v>1</v>
      </c>
      <c r="T17" s="224">
        <f>'F8'!$E$28</f>
        <v>0</v>
      </c>
      <c r="U17" s="228">
        <f>'F8'!$E$30</f>
        <v>0</v>
      </c>
      <c r="V17" s="224">
        <f t="shared" si="6"/>
        <v>1</v>
      </c>
      <c r="W17" s="224" t="str">
        <f>'F8'!$F$20</f>
        <v>ton</v>
      </c>
    </row>
    <row r="18" spans="1:23" x14ac:dyDescent="0.2">
      <c r="A18" s="223">
        <v>9</v>
      </c>
      <c r="B18" s="224">
        <f>'F9'!$E$4</f>
        <v>0</v>
      </c>
      <c r="C18" s="224">
        <f>'F9'!$E$6</f>
        <v>0</v>
      </c>
      <c r="D18" s="224">
        <f>'F9'!$E$8</f>
        <v>2000</v>
      </c>
      <c r="E18" s="228">
        <f>'F9'!$E$10</f>
        <v>0</v>
      </c>
      <c r="F18" s="228">
        <f>'F9'!$E$12</f>
        <v>0</v>
      </c>
      <c r="G18" s="228">
        <f>'F9'!$E$14</f>
        <v>0</v>
      </c>
      <c r="H18" s="226" t="str">
        <f t="shared" si="0"/>
        <v/>
      </c>
      <c r="I18" s="226" t="str">
        <f t="shared" si="1"/>
        <v/>
      </c>
      <c r="J18" s="226" t="str">
        <f t="shared" si="2"/>
        <v/>
      </c>
      <c r="K18" s="224">
        <f>'F9'!$E$18</f>
        <v>0</v>
      </c>
      <c r="L18" s="224">
        <f>'F9'!$E$16</f>
        <v>0</v>
      </c>
      <c r="M18" s="224">
        <f>'F9'!$E$20</f>
        <v>0</v>
      </c>
      <c r="N18" s="224">
        <f t="shared" si="3"/>
        <v>0</v>
      </c>
      <c r="O18" s="228">
        <f>'F9'!$E$22</f>
        <v>0</v>
      </c>
      <c r="P18" s="227">
        <f t="shared" si="4"/>
        <v>1</v>
      </c>
      <c r="Q18" s="224">
        <f>'F9'!$E$24</f>
        <v>0</v>
      </c>
      <c r="R18" s="228">
        <f>'F9'!$E$26</f>
        <v>0</v>
      </c>
      <c r="S18" s="224">
        <f t="shared" si="5"/>
        <v>1</v>
      </c>
      <c r="T18" s="224">
        <f>'F9'!$E$28</f>
        <v>0</v>
      </c>
      <c r="U18" s="228">
        <f>'F9'!$E$30</f>
        <v>0</v>
      </c>
      <c r="V18" s="224">
        <f t="shared" si="6"/>
        <v>1</v>
      </c>
      <c r="W18" s="224" t="str">
        <f>'F9'!$F$20</f>
        <v>ton</v>
      </c>
    </row>
    <row r="19" spans="1:23" x14ac:dyDescent="0.2">
      <c r="A19" s="223">
        <v>10</v>
      </c>
      <c r="B19" s="224" t="str">
        <f>'Cornstalks (10)'!B1</f>
        <v>Corn Stalks</v>
      </c>
      <c r="C19" s="223">
        <f>'Cornstalks (10)'!F15</f>
        <v>16</v>
      </c>
      <c r="D19" s="223">
        <f>'Cornstalks (10)'!J5</f>
        <v>1617.2325000000001</v>
      </c>
      <c r="E19" s="225">
        <f>'Cornstalks (10)'!F17</f>
        <v>0.9</v>
      </c>
      <c r="F19" s="225">
        <f>'Cornstalks (10)'!F19</f>
        <v>0.08</v>
      </c>
      <c r="G19" s="225">
        <f>'Cornstalks (10)'!F21</f>
        <v>0.56000000000000005</v>
      </c>
      <c r="H19" s="226">
        <f t="shared" si="0"/>
        <v>0.13740895154050034</v>
      </c>
      <c r="I19" s="226">
        <f t="shared" si="1"/>
        <v>1.9629850220071476E-2</v>
      </c>
      <c r="J19" s="226">
        <f t="shared" si="2"/>
        <v>1.2214129025822253E-2</v>
      </c>
      <c r="K19" s="224"/>
      <c r="L19" s="224"/>
      <c r="M19" s="224"/>
      <c r="N19" s="224"/>
      <c r="O19" s="225"/>
      <c r="P19" s="227"/>
      <c r="Q19" s="224"/>
      <c r="R19" s="225"/>
      <c r="S19" s="224"/>
      <c r="T19" s="224"/>
      <c r="U19" s="225"/>
      <c r="V19" s="224"/>
    </row>
    <row r="20" spans="1:23" x14ac:dyDescent="0.2">
      <c r="D20" s="219"/>
      <c r="Q20" s="224"/>
      <c r="R20" s="224"/>
    </row>
    <row r="23" spans="1:23" x14ac:dyDescent="0.2">
      <c r="A23">
        <v>1</v>
      </c>
      <c r="B23">
        <v>2</v>
      </c>
      <c r="C23">
        <v>3</v>
      </c>
      <c r="D23">
        <v>4</v>
      </c>
      <c r="E23">
        <v>5</v>
      </c>
      <c r="F23">
        <v>6</v>
      </c>
      <c r="G23">
        <v>7</v>
      </c>
      <c r="H23">
        <v>8</v>
      </c>
      <c r="I23">
        <v>9</v>
      </c>
      <c r="J23">
        <v>10</v>
      </c>
      <c r="K23">
        <v>11</v>
      </c>
      <c r="L23">
        <v>12</v>
      </c>
      <c r="M23">
        <v>13</v>
      </c>
      <c r="N23">
        <v>14</v>
      </c>
    </row>
    <row r="24" spans="1:23" x14ac:dyDescent="0.2">
      <c r="C24" s="248" t="s">
        <v>159</v>
      </c>
      <c r="D24" s="248"/>
      <c r="E24" s="248"/>
      <c r="F24" s="248" t="s">
        <v>156</v>
      </c>
      <c r="G24" s="248"/>
      <c r="H24" s="248"/>
      <c r="I24" s="248" t="s">
        <v>157</v>
      </c>
      <c r="J24" s="248"/>
      <c r="K24" s="248"/>
      <c r="L24" s="248" t="s">
        <v>158</v>
      </c>
      <c r="M24" s="248"/>
      <c r="N24" s="248"/>
    </row>
    <row r="25" spans="1:23" x14ac:dyDescent="0.2">
      <c r="A25" s="220"/>
      <c r="B25" s="221" t="s">
        <v>6</v>
      </c>
      <c r="C25" t="s">
        <v>114</v>
      </c>
      <c r="D25" t="s">
        <v>115</v>
      </c>
      <c r="E25" t="s">
        <v>150</v>
      </c>
      <c r="F25" t="s">
        <v>114</v>
      </c>
      <c r="G25" t="s">
        <v>115</v>
      </c>
      <c r="H25" t="s">
        <v>150</v>
      </c>
      <c r="I25" t="s">
        <v>114</v>
      </c>
      <c r="J25" t="s">
        <v>115</v>
      </c>
      <c r="K25" t="s">
        <v>150</v>
      </c>
      <c r="L25" t="s">
        <v>114</v>
      </c>
      <c r="M25" t="s">
        <v>115</v>
      </c>
      <c r="N25" t="s">
        <v>150</v>
      </c>
    </row>
    <row r="26" spans="1:23" x14ac:dyDescent="0.2">
      <c r="A26" s="223">
        <v>1</v>
      </c>
      <c r="B26" s="224" t="str">
        <f>'F1'!$E$4</f>
        <v>Grass Hay (Premium)</v>
      </c>
      <c r="C26">
        <f>'F1'!$L$3</f>
        <v>1.0683760683760684</v>
      </c>
      <c r="D26">
        <f>'F1'!$L$5</f>
        <v>0.24366471734892792</v>
      </c>
      <c r="E26">
        <f>'F1'!$L$7</f>
        <v>0.1388888888888889</v>
      </c>
      <c r="F26">
        <f>'F1'!$L$12</f>
        <v>1.1762928429595099</v>
      </c>
      <c r="G26">
        <f>'F1'!$L$14</f>
        <v>0.26827731506094088</v>
      </c>
      <c r="H26">
        <f>'F1'!$L$16</f>
        <v>0.15291806958473628</v>
      </c>
      <c r="I26">
        <f>'F1'!$L$21</f>
        <v>1.2046595379928713</v>
      </c>
      <c r="J26">
        <f>'F1'!$L$23</f>
        <v>0.27474691217381281</v>
      </c>
      <c r="K26">
        <f>'F1'!$L$25</f>
        <v>0.15660573993907329</v>
      </c>
      <c r="L26">
        <f>'F1'!$L$30</f>
        <v>1.362252288178214</v>
      </c>
      <c r="M26">
        <f>'F1'!$L$32</f>
        <v>0.31068911835643481</v>
      </c>
      <c r="N26">
        <f>'F1'!$L$34</f>
        <v>0.17709279746316783</v>
      </c>
    </row>
    <row r="27" spans="1:23" x14ac:dyDescent="0.2">
      <c r="A27" s="223">
        <v>2</v>
      </c>
      <c r="B27" s="224" t="str">
        <f>'F2'!$E$4</f>
        <v>Grass Hay</v>
      </c>
      <c r="C27">
        <f>'F2'!$L$3</f>
        <v>1.0101010101010102</v>
      </c>
      <c r="D27">
        <f>'F2'!$L$5</f>
        <v>0.22222222222222224</v>
      </c>
      <c r="E27">
        <f>'F2'!$L$7</f>
        <v>0.11111111111111112</v>
      </c>
      <c r="F27">
        <f>'F2'!$L$12</f>
        <v>1.0776961534537293</v>
      </c>
      <c r="G27">
        <f>'F2'!$L$14</f>
        <v>0.23709315375982043</v>
      </c>
      <c r="H27">
        <f>'F2'!$L$16</f>
        <v>0.11854657687991021</v>
      </c>
      <c r="I27">
        <f>'F2'!$L$21</f>
        <v>1.1048435290859533</v>
      </c>
      <c r="J27">
        <f>'F2'!$L$23</f>
        <v>0.24306557639890974</v>
      </c>
      <c r="K27">
        <f>'F2'!$L$25</f>
        <v>0.12153278819945487</v>
      </c>
      <c r="L27">
        <f>'F2'!$L$30</f>
        <v>1.3295247698099748</v>
      </c>
      <c r="M27">
        <f>'F2'!$L$32</f>
        <v>0.29249544935819444</v>
      </c>
      <c r="N27">
        <f>'F2'!$L$34</f>
        <v>0.14624772467909722</v>
      </c>
    </row>
    <row r="28" spans="1:23" x14ac:dyDescent="0.2">
      <c r="A28" s="223">
        <v>3</v>
      </c>
      <c r="B28" s="224" t="str">
        <f>'F3'!$E$4</f>
        <v>Alfalfa Hay (Good)</v>
      </c>
      <c r="C28">
        <f>'F3'!$L$3</f>
        <v>0.90579710144927528</v>
      </c>
      <c r="D28">
        <f>'F3'!$L$5</f>
        <v>0.2824858757062147</v>
      </c>
      <c r="E28">
        <f>'F3'!$L$7</f>
        <v>0.16666666666666666</v>
      </c>
      <c r="F28">
        <f>'F3'!$L$12</f>
        <v>0.96496977641832349</v>
      </c>
      <c r="G28">
        <f>'F3'!$L$14</f>
        <v>0.30093972688300258</v>
      </c>
      <c r="H28">
        <f>'F3'!$L$16</f>
        <v>0.17755443886097153</v>
      </c>
      <c r="I28">
        <f>'F3'!$L$21</f>
        <v>0.97776676776749616</v>
      </c>
      <c r="J28">
        <f>'F3'!$L$23</f>
        <v>0.30493065299867678</v>
      </c>
      <c r="K28">
        <f>'F3'!$L$25</f>
        <v>0.17990908526921928</v>
      </c>
      <c r="L28">
        <f>'F3'!$L$30</f>
        <v>1.1098911482977547</v>
      </c>
      <c r="M28">
        <f>'F3'!$L$32</f>
        <v>0.34613554455387602</v>
      </c>
      <c r="N28">
        <f>'F3'!$L$34</f>
        <v>0.20421997128678684</v>
      </c>
    </row>
    <row r="29" spans="1:23" x14ac:dyDescent="0.2">
      <c r="A29" s="223">
        <v>4</v>
      </c>
      <c r="B29" s="224" t="str">
        <f>'F4'!$E$4</f>
        <v>Corn</v>
      </c>
      <c r="C29">
        <f>'F4'!$L$3</f>
        <v>4.1035353535353536E-2</v>
      </c>
      <c r="D29">
        <f>'F4'!$L$5</f>
        <v>4.7963400236127503E-3</v>
      </c>
      <c r="E29">
        <f>'F4'!$L$7</f>
        <v>3.6931818181818181E-3</v>
      </c>
      <c r="F29">
        <f>'F4'!$L$12</f>
        <v>4.3356513205759437E-2</v>
      </c>
      <c r="G29">
        <f>'F4'!$L$14</f>
        <v>5.0676444006731809E-3</v>
      </c>
      <c r="H29">
        <f>'F4'!$L$16</f>
        <v>3.9020861885183493E-3</v>
      </c>
      <c r="I29">
        <f>'F4'!$L$21</f>
        <v>4.585183268779823E-2</v>
      </c>
      <c r="J29">
        <f>'F4'!$L$23</f>
        <v>5.3593051193530396E-3</v>
      </c>
      <c r="K29">
        <f>'F4'!$L$25</f>
        <v>4.1266649419018408E-3</v>
      </c>
      <c r="L29">
        <f>'F4'!$L$30</f>
        <v>4.892962717801197E-2</v>
      </c>
      <c r="M29">
        <f>'F4'!$L$32</f>
        <v>5.7190473324949054E-3</v>
      </c>
      <c r="N29">
        <f>'F4'!$L$34</f>
        <v>4.4036664460210774E-3</v>
      </c>
    </row>
    <row r="30" spans="1:23" x14ac:dyDescent="0.2">
      <c r="A30" s="223">
        <v>5</v>
      </c>
      <c r="B30" s="224">
        <f>'F5'!$E$4</f>
        <v>0</v>
      </c>
      <c r="C30" t="str">
        <f>'F5'!$L$3</f>
        <v/>
      </c>
      <c r="D30" t="str">
        <f>'F5'!$L$5</f>
        <v/>
      </c>
      <c r="E30" t="str">
        <f>'F5'!$L$7</f>
        <v/>
      </c>
      <c r="F30" t="str">
        <f>'F5'!$L$12</f>
        <v/>
      </c>
      <c r="G30" t="str">
        <f>'F5'!$L$14</f>
        <v/>
      </c>
      <c r="H30" t="str">
        <f>'F5'!$L$16</f>
        <v/>
      </c>
      <c r="I30" t="str">
        <f>'F5'!$L$21</f>
        <v/>
      </c>
      <c r="J30" t="str">
        <f>'F5'!$L$23</f>
        <v/>
      </c>
      <c r="K30" t="str">
        <f>'F5'!$L$25</f>
        <v/>
      </c>
      <c r="L30" t="str">
        <f>'F5'!$L$30</f>
        <v/>
      </c>
      <c r="M30" t="str">
        <f>'F5'!$L$32</f>
        <v/>
      </c>
      <c r="N30" t="str">
        <f>'F5'!$L$34</f>
        <v/>
      </c>
    </row>
    <row r="31" spans="1:23" x14ac:dyDescent="0.2">
      <c r="A31" s="223">
        <v>6</v>
      </c>
      <c r="B31" s="224">
        <f>'F6'!$E$4</f>
        <v>0</v>
      </c>
      <c r="C31" t="str">
        <f>'F6'!$L$3</f>
        <v/>
      </c>
      <c r="D31" t="str">
        <f>'F6'!$L$5</f>
        <v/>
      </c>
      <c r="E31" t="str">
        <f>'F6'!$L$7</f>
        <v/>
      </c>
      <c r="F31" t="str">
        <f>'F6'!$L$12</f>
        <v/>
      </c>
      <c r="G31" t="str">
        <f>'F6'!$L$14</f>
        <v/>
      </c>
      <c r="H31" t="str">
        <f>'F6'!$L$16</f>
        <v/>
      </c>
      <c r="I31" t="str">
        <f>'F6'!$L$21</f>
        <v/>
      </c>
      <c r="J31" t="str">
        <f>'F6'!$L$23</f>
        <v/>
      </c>
      <c r="K31" t="str">
        <f>'F6'!$L$25</f>
        <v/>
      </c>
      <c r="L31" t="str">
        <f>'F6'!$L$30</f>
        <v/>
      </c>
      <c r="M31" t="str">
        <f>'F6'!$L$32</f>
        <v/>
      </c>
      <c r="N31" t="str">
        <f>'F6'!$L$34</f>
        <v/>
      </c>
    </row>
    <row r="32" spans="1:23" x14ac:dyDescent="0.2">
      <c r="A32" s="223">
        <v>7</v>
      </c>
      <c r="B32" s="224">
        <f>'F7'!$E$4</f>
        <v>0</v>
      </c>
      <c r="C32" t="str">
        <f>'F7'!$L$3</f>
        <v/>
      </c>
      <c r="D32" t="str">
        <f>'F7'!$L$5</f>
        <v/>
      </c>
      <c r="E32" t="str">
        <f>'F7'!$L$7</f>
        <v/>
      </c>
      <c r="F32" t="str">
        <f>'F7'!$L$12</f>
        <v/>
      </c>
      <c r="G32" t="str">
        <f>'F7'!$L$14</f>
        <v/>
      </c>
      <c r="H32" t="str">
        <f>'F7'!$L$16</f>
        <v/>
      </c>
      <c r="I32" t="str">
        <f>'F7'!$L$21</f>
        <v/>
      </c>
      <c r="J32" t="str">
        <f>'F7'!$L$23</f>
        <v/>
      </c>
      <c r="K32" t="str">
        <f>'F7'!$L$25</f>
        <v/>
      </c>
      <c r="L32" t="str">
        <f>'F7'!$L$30</f>
        <v/>
      </c>
      <c r="M32" t="str">
        <f>'F7'!$L$32</f>
        <v/>
      </c>
      <c r="N32" t="str">
        <f>'F7'!$L$34</f>
        <v/>
      </c>
    </row>
    <row r="33" spans="1:14" x14ac:dyDescent="0.2">
      <c r="A33" s="223">
        <v>8</v>
      </c>
      <c r="B33" s="224">
        <f>'F8'!$E$4</f>
        <v>0</v>
      </c>
      <c r="C33" t="str">
        <f>'F8'!$L$3</f>
        <v/>
      </c>
      <c r="D33" t="str">
        <f>'F8'!$L$5</f>
        <v/>
      </c>
      <c r="E33" t="str">
        <f>'F8'!$L$7</f>
        <v/>
      </c>
      <c r="F33" t="str">
        <f>'F8'!$L$12</f>
        <v/>
      </c>
      <c r="G33" t="str">
        <f>'F8'!$L$14</f>
        <v/>
      </c>
      <c r="H33" t="str">
        <f>'F8'!$L$16</f>
        <v/>
      </c>
      <c r="I33" t="str">
        <f>'F8'!$L$21</f>
        <v/>
      </c>
      <c r="J33" t="str">
        <f>'F8'!$L$23</f>
        <v/>
      </c>
      <c r="K33" t="str">
        <f>'F8'!$L$25</f>
        <v/>
      </c>
      <c r="L33" t="str">
        <f>'F8'!$L$30</f>
        <v/>
      </c>
      <c r="M33" t="str">
        <f>'F8'!$L$32</f>
        <v/>
      </c>
      <c r="N33" t="str">
        <f>'F8'!$L$34</f>
        <v/>
      </c>
    </row>
    <row r="34" spans="1:14" x14ac:dyDescent="0.2">
      <c r="A34" s="223">
        <v>9</v>
      </c>
      <c r="B34" s="224">
        <f>'F9'!$E$4</f>
        <v>0</v>
      </c>
      <c r="C34" t="str">
        <f>'F9'!$L$3</f>
        <v/>
      </c>
      <c r="D34" t="str">
        <f>'F9'!$L$5</f>
        <v/>
      </c>
      <c r="E34" t="str">
        <f>'F9'!$L$7</f>
        <v/>
      </c>
      <c r="F34" t="str">
        <f>'F9'!$L$12</f>
        <v/>
      </c>
      <c r="G34" t="str">
        <f>'F9'!$L$14</f>
        <v/>
      </c>
      <c r="H34" t="str">
        <f>'F9'!$L$16</f>
        <v/>
      </c>
      <c r="I34" t="str">
        <f>'F9'!$L$21</f>
        <v/>
      </c>
      <c r="J34" t="str">
        <f>'F9'!$L$23</f>
        <v/>
      </c>
      <c r="K34" t="str">
        <f>'F9'!$L$25</f>
        <v/>
      </c>
      <c r="L34" t="str">
        <f>'F9'!$L$30</f>
        <v/>
      </c>
      <c r="M34" t="str">
        <f>'F9'!$L$32</f>
        <v/>
      </c>
      <c r="N34" t="str">
        <f>'F9'!$L$34</f>
        <v/>
      </c>
    </row>
    <row r="35" spans="1:14" x14ac:dyDescent="0.2">
      <c r="A35" s="223">
        <v>10</v>
      </c>
      <c r="B35" s="224" t="str">
        <f>'Cornstalks (10)'!B1</f>
        <v>Corn Stalks</v>
      </c>
      <c r="C35">
        <f>'Cornstalks (10)'!P4</f>
        <v>6.183402819322515E-2</v>
      </c>
      <c r="D35">
        <f>'Cornstalks (10)'!P6</f>
        <v>8.8334325990321629E-3</v>
      </c>
      <c r="E35">
        <f>'Cornstalks (10)'!P8</f>
        <v>4.9467222554580121E-3</v>
      </c>
      <c r="F35">
        <f>'Cornstalks (10)'!P13</f>
        <v>0.1236680563864503</v>
      </c>
      <c r="G35">
        <f>'Cornstalks (10)'!P15</f>
        <v>1.7666865198064326E-2</v>
      </c>
      <c r="H35">
        <f>'Cornstalks (10)'!P17</f>
        <v>9.8934445109160243E-3</v>
      </c>
      <c r="I35">
        <f>'Cornstalks (10)'!P22</f>
        <v>0.15934153419023406</v>
      </c>
      <c r="J35">
        <f>'Cornstalks (10)'!P24</f>
        <v>2.2763076312890578E-2</v>
      </c>
      <c r="K35">
        <f>'Cornstalks (10)'!P26</f>
        <v>1.2747322735218725E-2</v>
      </c>
      <c r="L35">
        <f>'Cornstalks (10)'!P31</f>
        <v>0.16966916951786939</v>
      </c>
      <c r="M35">
        <f>'Cornstalks (10)'!P33</f>
        <v>2.4238452788267053E-2</v>
      </c>
      <c r="N35">
        <f>'Cornstalks (10)'!P35</f>
        <v>1.3573533561429551E-2</v>
      </c>
    </row>
  </sheetData>
  <mergeCells count="9">
    <mergeCell ref="T8:V8"/>
    <mergeCell ref="E8:G8"/>
    <mergeCell ref="H8:J8"/>
    <mergeCell ref="K8:P8"/>
    <mergeCell ref="C24:E24"/>
    <mergeCell ref="F24:H24"/>
    <mergeCell ref="I24:K24"/>
    <mergeCell ref="L24:N24"/>
    <mergeCell ref="Q8:S8"/>
  </mergeCells>
  <phoneticPr fontId="2" type="noConversion"/>
  <pageMargins left="0.75" right="0.75" top="1" bottom="1" header="0.5" footer="0.5"/>
  <pageSetup scale="97" orientation="landscape" horizontalDpi="4294967293" verticalDpi="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B1:I35"/>
  <sheetViews>
    <sheetView workbookViewId="0"/>
  </sheetViews>
  <sheetFormatPr defaultRowHeight="12.75" x14ac:dyDescent="0.2"/>
  <cols>
    <col min="1" max="1" width="3.7109375" style="6" customWidth="1"/>
    <col min="2" max="2" width="5.140625" style="6" customWidth="1"/>
    <col min="3" max="3" width="18" style="6" customWidth="1"/>
    <col min="4" max="4" width="20.85546875" style="6" customWidth="1"/>
    <col min="5" max="8" width="12.7109375" style="6" customWidth="1"/>
    <col min="9" max="9" width="4.85546875" style="6" customWidth="1"/>
    <col min="10" max="16384" width="9.140625" style="6"/>
  </cols>
  <sheetData>
    <row r="1" spans="2:9" ht="13.5" thickBot="1" x14ac:dyDescent="0.25"/>
    <row r="2" spans="2:9" x14ac:dyDescent="0.2">
      <c r="B2" s="50"/>
      <c r="C2" s="51"/>
      <c r="D2" s="51"/>
      <c r="E2" s="51"/>
      <c r="F2" s="51"/>
      <c r="G2" s="51"/>
      <c r="H2" s="51"/>
      <c r="I2" s="52"/>
    </row>
    <row r="3" spans="2:9" ht="18" x14ac:dyDescent="0.25">
      <c r="B3" s="53"/>
      <c r="C3" s="54"/>
      <c r="D3" s="54"/>
      <c r="E3" s="249" t="s">
        <v>6</v>
      </c>
      <c r="F3" s="249"/>
      <c r="G3" s="249"/>
      <c r="H3" s="249"/>
      <c r="I3" s="19"/>
    </row>
    <row r="4" spans="2:9" ht="15" x14ac:dyDescent="0.25">
      <c r="B4" s="53"/>
      <c r="C4" s="55"/>
      <c r="D4" s="56" t="s">
        <v>2</v>
      </c>
      <c r="E4" s="57">
        <v>1</v>
      </c>
      <c r="F4" s="57">
        <v>2</v>
      </c>
      <c r="G4" s="58">
        <v>3</v>
      </c>
      <c r="H4" s="59">
        <v>4</v>
      </c>
      <c r="I4" s="19"/>
    </row>
    <row r="5" spans="2:9" s="67" customFormat="1" ht="48" customHeight="1" thickBot="1" x14ac:dyDescent="0.3">
      <c r="B5" s="60"/>
      <c r="C5" s="61"/>
      <c r="D5" s="62" t="s">
        <v>29</v>
      </c>
      <c r="E5" s="63" t="str">
        <f>IF(E$4="","",VLOOKUP(E$4,Calc,2,FALSE))</f>
        <v>Grass Hay (Premium)</v>
      </c>
      <c r="F5" s="63" t="str">
        <f>IF(F$4="","",VLOOKUP(F$4,Calc,2,FALSE))</f>
        <v>Grass Hay</v>
      </c>
      <c r="G5" s="64" t="str">
        <f>IF(G$4="","",VLOOKUP(G$4,Calc,2,FALSE))</f>
        <v>Alfalfa Hay (Good)</v>
      </c>
      <c r="H5" s="65" t="str">
        <f>IF(H$4="","",VLOOKUP(H$4,Calc,2,FALSE))</f>
        <v>Corn</v>
      </c>
      <c r="I5" s="66"/>
    </row>
    <row r="6" spans="2:9" ht="15" customHeight="1" thickTop="1" x14ac:dyDescent="0.25">
      <c r="B6" s="53">
        <v>3</v>
      </c>
      <c r="C6" s="68"/>
      <c r="D6" s="69" t="s">
        <v>30</v>
      </c>
      <c r="E6" s="70">
        <f t="shared" ref="E6:H10" si="0">IF(E$4="","",VLOOKUP(E$4,Calc,$B6,FALSE))</f>
        <v>250</v>
      </c>
      <c r="F6" s="70">
        <f t="shared" si="0"/>
        <v>200</v>
      </c>
      <c r="G6" s="71">
        <f t="shared" si="0"/>
        <v>300</v>
      </c>
      <c r="H6" s="72">
        <f t="shared" si="0"/>
        <v>6.5</v>
      </c>
      <c r="I6" s="19"/>
    </row>
    <row r="7" spans="2:9" ht="15" customHeight="1" x14ac:dyDescent="0.25">
      <c r="B7" s="53">
        <v>4</v>
      </c>
      <c r="C7" s="73"/>
      <c r="D7" s="74" t="s">
        <v>31</v>
      </c>
      <c r="E7" s="75">
        <f t="shared" si="0"/>
        <v>2000</v>
      </c>
      <c r="F7" s="76">
        <f t="shared" si="0"/>
        <v>2000</v>
      </c>
      <c r="G7" s="77">
        <f t="shared" si="0"/>
        <v>2000</v>
      </c>
      <c r="H7" s="78">
        <f t="shared" si="0"/>
        <v>2000</v>
      </c>
      <c r="I7" s="108"/>
    </row>
    <row r="8" spans="2:9" ht="17.100000000000001" customHeight="1" x14ac:dyDescent="0.25">
      <c r="B8" s="53">
        <v>5</v>
      </c>
      <c r="C8" s="250" t="s">
        <v>32</v>
      </c>
      <c r="D8" s="79" t="s">
        <v>33</v>
      </c>
      <c r="E8" s="80">
        <f t="shared" si="0"/>
        <v>0.9</v>
      </c>
      <c r="F8" s="80">
        <f t="shared" si="0"/>
        <v>0.9</v>
      </c>
      <c r="G8" s="81">
        <f t="shared" si="0"/>
        <v>0.9</v>
      </c>
      <c r="H8" s="82">
        <f t="shared" si="0"/>
        <v>0.88</v>
      </c>
      <c r="I8" s="108"/>
    </row>
    <row r="9" spans="2:9" ht="17.100000000000001" customHeight="1" x14ac:dyDescent="0.25">
      <c r="B9" s="53">
        <v>6</v>
      </c>
      <c r="C9" s="253"/>
      <c r="D9" s="69" t="s">
        <v>34</v>
      </c>
      <c r="E9" s="83">
        <f t="shared" si="0"/>
        <v>0.13</v>
      </c>
      <c r="F9" s="83">
        <f t="shared" si="0"/>
        <v>0.11</v>
      </c>
      <c r="G9" s="84">
        <f t="shared" si="0"/>
        <v>0.184</v>
      </c>
      <c r="H9" s="85">
        <f t="shared" si="0"/>
        <v>0.09</v>
      </c>
      <c r="I9" s="108"/>
    </row>
    <row r="10" spans="2:9" ht="17.100000000000001" customHeight="1" x14ac:dyDescent="0.25">
      <c r="B10" s="53">
        <v>7</v>
      </c>
      <c r="C10" s="254"/>
      <c r="D10" s="74" t="s">
        <v>35</v>
      </c>
      <c r="E10" s="83">
        <f t="shared" si="0"/>
        <v>0.56999999999999995</v>
      </c>
      <c r="F10" s="83">
        <f t="shared" si="0"/>
        <v>0.5</v>
      </c>
      <c r="G10" s="84">
        <f t="shared" si="0"/>
        <v>0.59</v>
      </c>
      <c r="H10" s="85">
        <f t="shared" si="0"/>
        <v>0.77</v>
      </c>
      <c r="I10" s="108"/>
    </row>
    <row r="11" spans="2:9" ht="21.75" customHeight="1" x14ac:dyDescent="0.25">
      <c r="B11" s="53">
        <v>3</v>
      </c>
      <c r="C11" s="255" t="s">
        <v>36</v>
      </c>
      <c r="D11" s="86" t="s">
        <v>37</v>
      </c>
      <c r="E11" s="87">
        <f t="shared" ref="E11:H13" si="1">IF(E$4="","",VLOOKUP(E$4,Costs,$B11))</f>
        <v>1.0683760683760684</v>
      </c>
      <c r="F11" s="87">
        <f t="shared" si="1"/>
        <v>1.0101010101010102</v>
      </c>
      <c r="G11" s="87">
        <f t="shared" si="1"/>
        <v>0.90579710144927528</v>
      </c>
      <c r="H11" s="87">
        <f t="shared" si="1"/>
        <v>4.1035353535353536E-2</v>
      </c>
      <c r="I11" s="108"/>
    </row>
    <row r="12" spans="2:9" ht="21.75" customHeight="1" x14ac:dyDescent="0.25">
      <c r="B12" s="53">
        <v>4</v>
      </c>
      <c r="C12" s="256"/>
      <c r="D12" s="88" t="s">
        <v>38</v>
      </c>
      <c r="E12" s="89">
        <f t="shared" si="1"/>
        <v>0.24366471734892792</v>
      </c>
      <c r="F12" s="89">
        <f t="shared" si="1"/>
        <v>0.22222222222222224</v>
      </c>
      <c r="G12" s="89">
        <f t="shared" si="1"/>
        <v>0.2824858757062147</v>
      </c>
      <c r="H12" s="89">
        <f t="shared" si="1"/>
        <v>4.7963400236127503E-3</v>
      </c>
      <c r="I12" s="108"/>
    </row>
    <row r="13" spans="2:9" ht="21.75" customHeight="1" x14ac:dyDescent="0.25">
      <c r="B13" s="53">
        <v>5</v>
      </c>
      <c r="C13" s="257"/>
      <c r="D13" s="90" t="s">
        <v>39</v>
      </c>
      <c r="E13" s="91">
        <f t="shared" si="1"/>
        <v>0.1388888888888889</v>
      </c>
      <c r="F13" s="91">
        <f t="shared" si="1"/>
        <v>0.11111111111111112</v>
      </c>
      <c r="G13" s="91">
        <f t="shared" si="1"/>
        <v>0.16666666666666666</v>
      </c>
      <c r="H13" s="91">
        <f t="shared" si="1"/>
        <v>3.6931818181818181E-3</v>
      </c>
      <c r="I13" s="108"/>
    </row>
    <row r="14" spans="2:9" ht="17.100000000000001" customHeight="1" x14ac:dyDescent="0.25">
      <c r="B14" s="53">
        <v>11</v>
      </c>
      <c r="C14" s="250" t="s">
        <v>40</v>
      </c>
      <c r="D14" s="79" t="s">
        <v>41</v>
      </c>
      <c r="E14" s="70">
        <f t="shared" ref="E14:H16" si="2">IF(E$4=10,"",IF(E$4="","",VLOOKUP(E$4,Calc,$B14,FALSE)))</f>
        <v>4.5</v>
      </c>
      <c r="F14" s="70">
        <f t="shared" si="2"/>
        <v>4.5</v>
      </c>
      <c r="G14" s="70">
        <f t="shared" si="2"/>
        <v>4.5</v>
      </c>
      <c r="H14" s="70">
        <f t="shared" si="2"/>
        <v>5</v>
      </c>
      <c r="I14" s="108"/>
    </row>
    <row r="15" spans="2:9" ht="17.100000000000001" customHeight="1" x14ac:dyDescent="0.25">
      <c r="B15" s="53">
        <v>12</v>
      </c>
      <c r="C15" s="251"/>
      <c r="D15" s="69" t="s">
        <v>17</v>
      </c>
      <c r="E15" s="76">
        <f t="shared" si="2"/>
        <v>100</v>
      </c>
      <c r="F15" s="76">
        <f t="shared" si="2"/>
        <v>50</v>
      </c>
      <c r="G15" s="76">
        <f t="shared" si="2"/>
        <v>80</v>
      </c>
      <c r="H15" s="76">
        <f t="shared" si="2"/>
        <v>60</v>
      </c>
      <c r="I15" s="108"/>
    </row>
    <row r="16" spans="2:9" ht="17.100000000000001" customHeight="1" x14ac:dyDescent="0.25">
      <c r="B16" s="53">
        <v>13</v>
      </c>
      <c r="C16" s="251"/>
      <c r="D16" s="69" t="s">
        <v>42</v>
      </c>
      <c r="E16" s="76">
        <f t="shared" si="2"/>
        <v>20</v>
      </c>
      <c r="F16" s="76">
        <f t="shared" si="2"/>
        <v>20</v>
      </c>
      <c r="G16" s="76">
        <f t="shared" si="2"/>
        <v>20</v>
      </c>
      <c r="H16" s="76">
        <f t="shared" si="2"/>
        <v>900</v>
      </c>
      <c r="I16" s="108"/>
    </row>
    <row r="17" spans="2:9" ht="17.100000000000001" customHeight="1" x14ac:dyDescent="0.25">
      <c r="B17" s="53">
        <v>14</v>
      </c>
      <c r="C17" s="251"/>
      <c r="D17" s="69" t="s">
        <v>43</v>
      </c>
      <c r="E17" s="70">
        <f>IF(E4=10,"",IF(E$4="","",IF(E16=0,0,E14*E15/E16)))</f>
        <v>22.5</v>
      </c>
      <c r="F17" s="70">
        <f>IF(F4=10,"",IF(F$4="","",IF(F16=0,0,F14*F15/F16)))</f>
        <v>11.25</v>
      </c>
      <c r="G17" s="70">
        <f>IF(G4=10,"",IF(G$4="","",IF(G16=0,0,G14*G15/G16)))</f>
        <v>18</v>
      </c>
      <c r="H17" s="70">
        <f>IF(H4=10,"",IF(H$4="","",IF(H16=0,0,H14*H15/H16)))</f>
        <v>0.33333333333333331</v>
      </c>
      <c r="I17" s="108"/>
    </row>
    <row r="18" spans="2:9" ht="17.100000000000001" customHeight="1" x14ac:dyDescent="0.25">
      <c r="B18" s="53">
        <v>15</v>
      </c>
      <c r="C18" s="251"/>
      <c r="D18" s="69" t="s">
        <v>44</v>
      </c>
      <c r="E18" s="83">
        <f>IF(E4=10,"",IF(E$4="","",VLOOKUP(E$4,Calc,$B18,FALSE)))</f>
        <v>0.01</v>
      </c>
      <c r="F18" s="83">
        <f>IF(F4=10,"",IF(F$4="","",VLOOKUP(F$4,Calc,$B18,FALSE)))</f>
        <v>0.01</v>
      </c>
      <c r="G18" s="83">
        <f>IF(G4=10,"",IF(G$4="","",VLOOKUP(G$4,Calc,$B18,FALSE)))</f>
        <v>5.0000000000000001E-3</v>
      </c>
      <c r="H18" s="83">
        <f>IF(H4=10,"",IF(H$4="","",VLOOKUP(H$4,Calc,$B18,FALSE)))</f>
        <v>5.0000000000000001E-3</v>
      </c>
      <c r="I18" s="108"/>
    </row>
    <row r="19" spans="2:9" ht="14.25" customHeight="1" x14ac:dyDescent="0.25">
      <c r="B19" s="53">
        <v>16</v>
      </c>
      <c r="C19" s="252"/>
      <c r="D19" s="74" t="s">
        <v>45</v>
      </c>
      <c r="E19" s="92">
        <f>IF(E4=10,"",IF(E$4="","",(1-E18)))</f>
        <v>0.99</v>
      </c>
      <c r="F19" s="92">
        <f>IF(F4=10,"",IF(F$4="","",(1-F18)))</f>
        <v>0.99</v>
      </c>
      <c r="G19" s="92">
        <f>IF(G4=10,"",IF(G$4="","",(1-G18)))</f>
        <v>0.995</v>
      </c>
      <c r="H19" s="92">
        <f>IF(H4=10,"",IF(H$4="","",(1-H18)))</f>
        <v>0.995</v>
      </c>
      <c r="I19" s="108"/>
    </row>
    <row r="20" spans="2:9" ht="19.5" customHeight="1" x14ac:dyDescent="0.25">
      <c r="B20" s="53">
        <v>6</v>
      </c>
      <c r="C20" s="255" t="s">
        <v>46</v>
      </c>
      <c r="D20" s="86" t="s">
        <v>37</v>
      </c>
      <c r="E20" s="87">
        <f t="shared" ref="E20:H22" si="3">IF(E$4="","",VLOOKUP(E$4,Costs,$B20))</f>
        <v>1.1762928429595099</v>
      </c>
      <c r="F20" s="87">
        <f t="shared" si="3"/>
        <v>1.0776961534537293</v>
      </c>
      <c r="G20" s="87">
        <f t="shared" si="3"/>
        <v>0.96496977641832349</v>
      </c>
      <c r="H20" s="87">
        <f t="shared" si="3"/>
        <v>4.3356513205759437E-2</v>
      </c>
      <c r="I20" s="108"/>
    </row>
    <row r="21" spans="2:9" ht="19.5" customHeight="1" x14ac:dyDescent="0.25">
      <c r="B21" s="53">
        <v>7</v>
      </c>
      <c r="C21" s="256"/>
      <c r="D21" s="88" t="s">
        <v>38</v>
      </c>
      <c r="E21" s="89">
        <f t="shared" si="3"/>
        <v>0.26827731506094088</v>
      </c>
      <c r="F21" s="89">
        <f t="shared" si="3"/>
        <v>0.23709315375982043</v>
      </c>
      <c r="G21" s="89">
        <f t="shared" si="3"/>
        <v>0.30093972688300258</v>
      </c>
      <c r="H21" s="89">
        <f t="shared" si="3"/>
        <v>5.0676444006731809E-3</v>
      </c>
      <c r="I21" s="108"/>
    </row>
    <row r="22" spans="2:9" ht="19.5" customHeight="1" x14ac:dyDescent="0.25">
      <c r="B22" s="53">
        <v>8</v>
      </c>
      <c r="C22" s="257"/>
      <c r="D22" s="90" t="s">
        <v>39</v>
      </c>
      <c r="E22" s="91">
        <f t="shared" si="3"/>
        <v>0.15291806958473628</v>
      </c>
      <c r="F22" s="91">
        <f t="shared" si="3"/>
        <v>0.11854657687991021</v>
      </c>
      <c r="G22" s="91">
        <f t="shared" si="3"/>
        <v>0.17755443886097153</v>
      </c>
      <c r="H22" s="91">
        <f t="shared" si="3"/>
        <v>3.9020861885183493E-3</v>
      </c>
      <c r="I22" s="108"/>
    </row>
    <row r="23" spans="2:9" ht="17.100000000000001" customHeight="1" x14ac:dyDescent="0.25">
      <c r="B23" s="53">
        <v>17</v>
      </c>
      <c r="C23" s="250" t="s">
        <v>21</v>
      </c>
      <c r="D23" s="79" t="s">
        <v>43</v>
      </c>
      <c r="E23" s="93">
        <f>IF(E4=10,"",IF(E$4="","",VLOOKUP(E$4,Calc,$B23,FALSE)))</f>
        <v>1</v>
      </c>
      <c r="F23" s="93">
        <f>IF(F4=10,"",IF(F$4="","",VLOOKUP(F$4,Calc,$B23,FALSE)))</f>
        <v>1</v>
      </c>
      <c r="G23" s="93">
        <f>IF(G4=10,"",IF(G$4="","",VLOOKUP(G$4,Calc,$B23,FALSE)))</f>
        <v>1</v>
      </c>
      <c r="H23" s="93">
        <f>IF(H4=10,"",IF(H$4="","",VLOOKUP(H$4,Calc,$B23,FALSE)))</f>
        <v>0.25</v>
      </c>
      <c r="I23" s="108"/>
    </row>
    <row r="24" spans="2:9" ht="17.100000000000001" customHeight="1" x14ac:dyDescent="0.25">
      <c r="B24" s="53">
        <v>18</v>
      </c>
      <c r="C24" s="251"/>
      <c r="D24" s="69" t="s">
        <v>44</v>
      </c>
      <c r="E24" s="83">
        <f>IF(E4=10,"",IF(E$4="","",VLOOKUP(E$4,Calc,$B24,FALSE)))</f>
        <v>0.02</v>
      </c>
      <c r="F24" s="83">
        <f>IF(F4=10,"",IF(F$4="","",VLOOKUP(F$4,Calc,$B24,FALSE)))</f>
        <v>0.02</v>
      </c>
      <c r="G24" s="83">
        <f>IF(G4=10,"",IF(G$4="","",VLOOKUP(G$4,Calc,$B24,FALSE)))</f>
        <v>0.01</v>
      </c>
      <c r="H24" s="83">
        <f>IF(H4=10,"",IF(H$4="","",VLOOKUP(H$4,Calc,$B24,FALSE)))</f>
        <v>0.02</v>
      </c>
      <c r="I24" s="108"/>
    </row>
    <row r="25" spans="2:9" ht="17.100000000000001" customHeight="1" x14ac:dyDescent="0.25">
      <c r="B25" s="53">
        <v>19</v>
      </c>
      <c r="C25" s="252"/>
      <c r="D25" s="74" t="s">
        <v>47</v>
      </c>
      <c r="E25" s="92">
        <f>IF(E4=10,"",IF(E$4="","",E19*(1-E24)))</f>
        <v>0.97019999999999995</v>
      </c>
      <c r="F25" s="92">
        <f>IF(F4=10,"",IF(F$4="","",F19*(1-F24)))</f>
        <v>0.97019999999999995</v>
      </c>
      <c r="G25" s="92">
        <f>IF(G4=10,"",IF(G$4="","",G19*(1-G24)))</f>
        <v>0.98504999999999998</v>
      </c>
      <c r="H25" s="92">
        <f>IF(H4=10,"",IF(H$4="","",H19*(1-H24)))</f>
        <v>0.97509999999999997</v>
      </c>
      <c r="I25" s="108"/>
    </row>
    <row r="26" spans="2:9" ht="17.25" customHeight="1" x14ac:dyDescent="0.25">
      <c r="B26" s="53">
        <v>9</v>
      </c>
      <c r="C26" s="255" t="s">
        <v>48</v>
      </c>
      <c r="D26" s="86" t="s">
        <v>37</v>
      </c>
      <c r="E26" s="87">
        <f t="shared" ref="E26:H28" si="4">IF(E$4="","",VLOOKUP(E$4,Costs,$B26))</f>
        <v>1.2046595379928713</v>
      </c>
      <c r="F26" s="87">
        <f t="shared" si="4"/>
        <v>1.1048435290859533</v>
      </c>
      <c r="G26" s="87">
        <f t="shared" si="4"/>
        <v>0.97776676776749616</v>
      </c>
      <c r="H26" s="87">
        <f t="shared" si="4"/>
        <v>4.585183268779823E-2</v>
      </c>
      <c r="I26" s="108"/>
    </row>
    <row r="27" spans="2:9" ht="17.25" customHeight="1" x14ac:dyDescent="0.25">
      <c r="B27" s="53">
        <v>10</v>
      </c>
      <c r="C27" s="256"/>
      <c r="D27" s="88" t="s">
        <v>38</v>
      </c>
      <c r="E27" s="89">
        <f t="shared" si="4"/>
        <v>0.27474691217381281</v>
      </c>
      <c r="F27" s="89">
        <f t="shared" si="4"/>
        <v>0.24306557639890974</v>
      </c>
      <c r="G27" s="89">
        <f t="shared" si="4"/>
        <v>0.30493065299867678</v>
      </c>
      <c r="H27" s="89">
        <f t="shared" si="4"/>
        <v>5.3593051193530396E-3</v>
      </c>
      <c r="I27" s="108"/>
    </row>
    <row r="28" spans="2:9" ht="17.25" customHeight="1" x14ac:dyDescent="0.25">
      <c r="B28" s="53">
        <v>11</v>
      </c>
      <c r="C28" s="257"/>
      <c r="D28" s="90" t="s">
        <v>39</v>
      </c>
      <c r="E28" s="91">
        <f t="shared" si="4"/>
        <v>0.15660573993907329</v>
      </c>
      <c r="F28" s="91">
        <f t="shared" si="4"/>
        <v>0.12153278819945487</v>
      </c>
      <c r="G28" s="91">
        <f t="shared" si="4"/>
        <v>0.17990908526921928</v>
      </c>
      <c r="H28" s="91">
        <f t="shared" si="4"/>
        <v>4.1266649419018408E-3</v>
      </c>
      <c r="I28" s="108"/>
    </row>
    <row r="29" spans="2:9" ht="17.100000000000001" customHeight="1" x14ac:dyDescent="0.25">
      <c r="B29" s="53">
        <v>20</v>
      </c>
      <c r="C29" s="250" t="s">
        <v>49</v>
      </c>
      <c r="D29" s="79" t="s">
        <v>43</v>
      </c>
      <c r="E29" s="93">
        <f>IF(E4=10,"",IF(E$4="","",VLOOKUP(E$4,Calc,$B29,FALSE)))</f>
        <v>5</v>
      </c>
      <c r="F29" s="93">
        <f>IF(F4=10,"",IF(F$4="","",VLOOKUP(F$4,Calc,$B29,FALSE)))</f>
        <v>5</v>
      </c>
      <c r="G29" s="93">
        <f>IF(G4=10,"",IF(G$4="","",VLOOKUP(G$4,Calc,$B29,FALSE)))</f>
        <v>7</v>
      </c>
      <c r="H29" s="93">
        <f>IF(H4=10,"",IF(H$4="","",VLOOKUP(H$4,Calc,$B29,FALSE)))</f>
        <v>0.1</v>
      </c>
      <c r="I29" s="108"/>
    </row>
    <row r="30" spans="2:9" ht="17.100000000000001" customHeight="1" x14ac:dyDescent="0.25">
      <c r="B30" s="53">
        <v>21</v>
      </c>
      <c r="C30" s="251"/>
      <c r="D30" s="69" t="s">
        <v>44</v>
      </c>
      <c r="E30" s="83">
        <f>IF(E4=10,"",IF(E$4="","",VLOOKUP(E$4,Calc,$B30,FALSE)))</f>
        <v>0.1</v>
      </c>
      <c r="F30" s="83">
        <f>IF(F4=10,"",IF(F$4="","",VLOOKUP(F$4,Calc,$B30,FALSE)))</f>
        <v>0.15</v>
      </c>
      <c r="G30" s="83">
        <f>IF(G4=10,"",IF(G$4="","",VLOOKUP(G$4,Calc,$B30,FALSE)))</f>
        <v>0.1</v>
      </c>
      <c r="H30" s="83">
        <f>IF(H4=10,"",IF(H$4="","",VLOOKUP(H$4,Calc,$B30,FALSE)))</f>
        <v>0.05</v>
      </c>
      <c r="I30" s="108"/>
    </row>
    <row r="31" spans="2:9" ht="17.100000000000001" customHeight="1" x14ac:dyDescent="0.25">
      <c r="B31" s="53">
        <v>22</v>
      </c>
      <c r="C31" s="252"/>
      <c r="D31" s="74" t="s">
        <v>50</v>
      </c>
      <c r="E31" s="92">
        <f>IF(E4=10,"",IF(E$4="","",E25*(1-E30)))</f>
        <v>0.87317999999999996</v>
      </c>
      <c r="F31" s="92">
        <f>IF(F4=10,"",IF(F$4="","",F25*(1-F30)))</f>
        <v>0.8246699999999999</v>
      </c>
      <c r="G31" s="92">
        <f>IF(G4=10,"",IF(G$4="","",G25*(1-G30)))</f>
        <v>0.88654500000000003</v>
      </c>
      <c r="H31" s="92">
        <f>IF(H4=10,"",IF(H$4="","",H25*(1-H30)))</f>
        <v>0.92634499999999997</v>
      </c>
      <c r="I31" s="108"/>
    </row>
    <row r="32" spans="2:9" ht="24.75" customHeight="1" x14ac:dyDescent="0.25">
      <c r="B32" s="53">
        <v>12</v>
      </c>
      <c r="C32" s="255" t="s">
        <v>51</v>
      </c>
      <c r="D32" s="86" t="s">
        <v>37</v>
      </c>
      <c r="E32" s="87">
        <f t="shared" ref="E32:H34" si="5">IF(E$4="","",VLOOKUP(E$4,Costs,$B32))</f>
        <v>1.362252288178214</v>
      </c>
      <c r="F32" s="87">
        <f t="shared" si="5"/>
        <v>1.3295247698099748</v>
      </c>
      <c r="G32" s="87">
        <f t="shared" si="5"/>
        <v>1.1098911482977547</v>
      </c>
      <c r="H32" s="87">
        <f t="shared" si="5"/>
        <v>4.892962717801197E-2</v>
      </c>
      <c r="I32" s="108"/>
    </row>
    <row r="33" spans="2:9" ht="24.75" customHeight="1" x14ac:dyDescent="0.25">
      <c r="B33" s="53">
        <v>13</v>
      </c>
      <c r="C33" s="256"/>
      <c r="D33" s="88" t="s">
        <v>38</v>
      </c>
      <c r="E33" s="89">
        <f t="shared" si="5"/>
        <v>0.31068911835643481</v>
      </c>
      <c r="F33" s="89">
        <f t="shared" si="5"/>
        <v>0.29249544935819444</v>
      </c>
      <c r="G33" s="89">
        <f t="shared" si="5"/>
        <v>0.34613554455387602</v>
      </c>
      <c r="H33" s="89">
        <f t="shared" si="5"/>
        <v>5.7190473324949054E-3</v>
      </c>
      <c r="I33" s="108"/>
    </row>
    <row r="34" spans="2:9" ht="24.75" customHeight="1" x14ac:dyDescent="0.25">
      <c r="B34" s="53">
        <v>14</v>
      </c>
      <c r="C34" s="257"/>
      <c r="D34" s="90" t="s">
        <v>39</v>
      </c>
      <c r="E34" s="91">
        <f t="shared" si="5"/>
        <v>0.17709279746316783</v>
      </c>
      <c r="F34" s="91">
        <f t="shared" si="5"/>
        <v>0.14624772467909722</v>
      </c>
      <c r="G34" s="91">
        <f t="shared" si="5"/>
        <v>0.20421997128678684</v>
      </c>
      <c r="H34" s="91">
        <f t="shared" si="5"/>
        <v>4.4036664460210774E-3</v>
      </c>
      <c r="I34" s="108"/>
    </row>
    <row r="35" spans="2:9" ht="13.5" thickBot="1" x14ac:dyDescent="0.25">
      <c r="B35" s="94"/>
      <c r="C35" s="37"/>
      <c r="D35" s="37"/>
      <c r="E35" s="37"/>
      <c r="F35" s="37"/>
      <c r="G35" s="37"/>
      <c r="H35" s="37"/>
      <c r="I35" s="108"/>
    </row>
  </sheetData>
  <sheetProtection sheet="1" objects="1" scenarios="1"/>
  <mergeCells count="9">
    <mergeCell ref="E3:H3"/>
    <mergeCell ref="C29:C31"/>
    <mergeCell ref="C8:C10"/>
    <mergeCell ref="C32:C34"/>
    <mergeCell ref="C14:C19"/>
    <mergeCell ref="C23:C25"/>
    <mergeCell ref="C11:C13"/>
    <mergeCell ref="C20:C22"/>
    <mergeCell ref="C26:C28"/>
  </mergeCells>
  <phoneticPr fontId="2" type="noConversion"/>
  <dataValidations count="1">
    <dataValidation type="whole" operator="greaterThan" allowBlank="1" showInputMessage="1" showErrorMessage="1" errorTitle="Restricted Data Entry" error="Only whole numbers between 1 and 10 can be entered into this cell." sqref="E4:H4">
      <formula1>0</formula1>
    </dataValidation>
  </dataValidations>
  <pageMargins left="0.75" right="0.75" top="0.28000000000000003" bottom="0.37" header="0.28000000000000003" footer="0.28000000000000003"/>
  <pageSetup orientation="portrait" r:id="rId1"/>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B1:M34"/>
  <sheetViews>
    <sheetView workbookViewId="0"/>
  </sheetViews>
  <sheetFormatPr defaultColWidth="10.42578125" defaultRowHeight="12.75" x14ac:dyDescent="0.2"/>
  <cols>
    <col min="1" max="1" width="5" style="6" customWidth="1"/>
    <col min="2" max="2" width="4.42578125" style="6" customWidth="1"/>
    <col min="3" max="3" width="26.140625" style="6" customWidth="1"/>
    <col min="4" max="4" width="11.42578125" style="6" customWidth="1"/>
    <col min="5" max="5" width="7" style="6" customWidth="1"/>
    <col min="6" max="6" width="3.140625" style="4" customWidth="1"/>
    <col min="7" max="7" width="4.7109375" style="6" customWidth="1"/>
    <col min="8" max="8" width="15.7109375" style="6" customWidth="1"/>
    <col min="9" max="12" width="11.140625" style="6" customWidth="1"/>
    <col min="13" max="13" width="12.42578125" style="6" customWidth="1"/>
    <col min="14" max="16384" width="10.42578125" style="6"/>
  </cols>
  <sheetData>
    <row r="1" spans="2:13" ht="22.5" customHeight="1" thickBot="1" x14ac:dyDescent="0.4">
      <c r="B1" s="1" t="s">
        <v>0</v>
      </c>
      <c r="C1" s="2"/>
      <c r="D1" s="2"/>
      <c r="E1" s="3"/>
      <c r="G1" s="1" t="s">
        <v>1</v>
      </c>
      <c r="H1" s="3"/>
      <c r="I1" s="3"/>
      <c r="J1" s="3"/>
      <c r="K1" s="5"/>
      <c r="L1" s="2"/>
      <c r="M1" s="2"/>
    </row>
    <row r="2" spans="2:13" ht="18.75" thickBot="1" x14ac:dyDescent="0.3">
      <c r="B2" s="7"/>
      <c r="C2" s="8" t="s">
        <v>2</v>
      </c>
      <c r="D2" s="9">
        <v>1</v>
      </c>
      <c r="E2" s="10"/>
      <c r="F2" s="11"/>
      <c r="G2" s="12"/>
      <c r="H2" s="13"/>
      <c r="I2" s="14">
        <f>D2</f>
        <v>1</v>
      </c>
      <c r="J2" s="14">
        <f>D9</f>
        <v>2</v>
      </c>
      <c r="K2" s="14">
        <f>D16</f>
        <v>3</v>
      </c>
      <c r="L2" s="14">
        <f>D23</f>
        <v>4</v>
      </c>
      <c r="M2" s="15"/>
    </row>
    <row r="3" spans="2:13" ht="13.5" customHeight="1" thickTop="1" x14ac:dyDescent="0.2">
      <c r="B3" s="16"/>
      <c r="C3" s="17" t="s">
        <v>3</v>
      </c>
      <c r="D3" s="18">
        <v>5</v>
      </c>
      <c r="E3" s="19"/>
      <c r="F3" s="11"/>
      <c r="G3" s="20"/>
      <c r="H3" s="21"/>
      <c r="I3" s="265" t="str">
        <f>IF(I$2=0,"",VLOOKUP(I$2,Calc,$F4,FALSE))</f>
        <v>Grass Hay (Premium)</v>
      </c>
      <c r="J3" s="265" t="str">
        <f>IF(J$2=0,"",VLOOKUP(J$2,Calc,$F4,FALSE))</f>
        <v>Grass Hay</v>
      </c>
      <c r="K3" s="265" t="str">
        <f>IF(K$2=0,"",VLOOKUP(K$2,Calc,$F4,FALSE))</f>
        <v>Alfalfa Hay (Good)</v>
      </c>
      <c r="L3" s="265" t="str">
        <f>IF(L$2=0,"",VLOOKUP(L$2,Calc,$F4,FALSE))</f>
        <v>Corn</v>
      </c>
      <c r="M3" s="263" t="s">
        <v>4</v>
      </c>
    </row>
    <row r="4" spans="2:13" ht="13.5" customHeight="1" thickBot="1" x14ac:dyDescent="0.25">
      <c r="B4" s="16"/>
      <c r="C4" s="17" t="s">
        <v>5</v>
      </c>
      <c r="D4" s="18">
        <v>90</v>
      </c>
      <c r="E4" s="19"/>
      <c r="F4" s="22">
        <v>2</v>
      </c>
      <c r="G4" s="23"/>
      <c r="H4" s="24" t="s">
        <v>6</v>
      </c>
      <c r="I4" s="266"/>
      <c r="J4" s="266"/>
      <c r="K4" s="266"/>
      <c r="L4" s="266"/>
      <c r="M4" s="264"/>
    </row>
    <row r="5" spans="2:13" s="29" customFormat="1" ht="13.5" customHeight="1" thickTop="1" x14ac:dyDescent="0.2">
      <c r="B5" s="16"/>
      <c r="C5" s="17" t="s">
        <v>7</v>
      </c>
      <c r="D5" s="18">
        <v>30</v>
      </c>
      <c r="E5" s="19"/>
      <c r="F5" s="25">
        <v>3</v>
      </c>
      <c r="G5" s="262" t="s">
        <v>8</v>
      </c>
      <c r="H5" s="26" t="s">
        <v>9</v>
      </c>
      <c r="I5" s="27">
        <f t="shared" ref="I5:L6" si="0">IF(I$2=0,"",VLOOKUP(I$2,Calc,$F5,FALSE))</f>
        <v>250</v>
      </c>
      <c r="J5" s="27">
        <f t="shared" si="0"/>
        <v>200</v>
      </c>
      <c r="K5" s="27">
        <f t="shared" si="0"/>
        <v>300</v>
      </c>
      <c r="L5" s="27">
        <f t="shared" si="0"/>
        <v>6.5</v>
      </c>
      <c r="M5" s="28"/>
    </row>
    <row r="6" spans="2:13" ht="13.5" customHeight="1" x14ac:dyDescent="0.2">
      <c r="B6" s="16"/>
      <c r="C6" s="30" t="s">
        <v>0</v>
      </c>
      <c r="D6" s="31">
        <f>IF(I7=0,"",IF(D3="","",IF(D4="","",IF(D5="","",D3*D4*D5/I7))))</f>
        <v>6.75</v>
      </c>
      <c r="E6" s="32" t="str">
        <f>IF(D2=10,"",IF(D2="","",VLOOKUP(D2,Calc,23,FALSE)))</f>
        <v>ton</v>
      </c>
      <c r="F6" s="25">
        <v>5</v>
      </c>
      <c r="G6" s="258"/>
      <c r="H6" s="33" t="s">
        <v>10</v>
      </c>
      <c r="I6" s="34">
        <f t="shared" si="0"/>
        <v>0.9</v>
      </c>
      <c r="J6" s="34">
        <f t="shared" si="0"/>
        <v>0.9</v>
      </c>
      <c r="K6" s="34">
        <f t="shared" si="0"/>
        <v>0.9</v>
      </c>
      <c r="L6" s="34">
        <f t="shared" si="0"/>
        <v>0.88</v>
      </c>
      <c r="M6" s="35"/>
    </row>
    <row r="7" spans="2:13" ht="13.5" customHeight="1" thickBot="1" x14ac:dyDescent="0.25">
      <c r="B7" s="36"/>
      <c r="C7" s="37"/>
      <c r="D7" s="37"/>
      <c r="E7" s="38"/>
      <c r="F7" s="25">
        <v>6</v>
      </c>
      <c r="G7" s="258"/>
      <c r="H7" s="33" t="s">
        <v>11</v>
      </c>
      <c r="I7" s="39">
        <f>IF(I$2=0,"",VLOOKUP(I$2,Calc,$F8,FALSE))</f>
        <v>2000</v>
      </c>
      <c r="J7" s="39">
        <f>IF(J$2=0,"",VLOOKUP(J$2,Calc,$F8,FALSE))</f>
        <v>2000</v>
      </c>
      <c r="K7" s="39">
        <f>IF(K$2=0,"",VLOOKUP(K$2,Calc,$F8,FALSE))</f>
        <v>2000</v>
      </c>
      <c r="L7" s="39">
        <f>IF(L$2=0,"",VLOOKUP(L$2,Calc,$F8,FALSE))</f>
        <v>2000</v>
      </c>
      <c r="M7" s="40"/>
    </row>
    <row r="8" spans="2:13" ht="15.75" customHeight="1" thickBot="1" x14ac:dyDescent="0.25">
      <c r="F8" s="25">
        <v>4</v>
      </c>
      <c r="G8" s="258"/>
      <c r="H8" s="33" t="s">
        <v>12</v>
      </c>
      <c r="I8" s="41">
        <f>IF(I21="","",I21/(1-I15))</f>
        <v>7.7303648732220163</v>
      </c>
      <c r="J8" s="41">
        <f>IF(D13="","",J21/(1-J15))</f>
        <v>141.63256211575541</v>
      </c>
      <c r="K8" s="41">
        <f>IF(D20="","",K21/(1-K15))</f>
        <v>2.5379422364346986</v>
      </c>
      <c r="L8" s="41">
        <f>IF(D27="","",L21/(1-L15))</f>
        <v>32.385342394032463</v>
      </c>
      <c r="M8" s="28"/>
    </row>
    <row r="9" spans="2:13" ht="18.75" thickBot="1" x14ac:dyDescent="0.3">
      <c r="B9" s="7"/>
      <c r="C9" s="8" t="s">
        <v>2</v>
      </c>
      <c r="D9" s="9">
        <v>2</v>
      </c>
      <c r="E9" s="10"/>
      <c r="F9" s="25"/>
      <c r="G9" s="260"/>
      <c r="H9" s="42" t="s">
        <v>13</v>
      </c>
      <c r="I9" s="43">
        <f>IF(I8="","",I5*I8)</f>
        <v>1932.5912183055041</v>
      </c>
      <c r="J9" s="43">
        <f>IF(J8="","",J5*J8)</f>
        <v>28326.512423151082</v>
      </c>
      <c r="K9" s="43">
        <f>IF(K8="","",K5*K8)</f>
        <v>761.38267093040963</v>
      </c>
      <c r="L9" s="43">
        <f>IF(L8="","",L5*L8)</f>
        <v>210.50472556121102</v>
      </c>
      <c r="M9" s="44">
        <f>SUM(I9:L9)</f>
        <v>31230.991037948206</v>
      </c>
    </row>
    <row r="10" spans="2:13" ht="13.5" thickTop="1" x14ac:dyDescent="0.2">
      <c r="B10" s="16"/>
      <c r="C10" s="17" t="s">
        <v>3</v>
      </c>
      <c r="D10" s="234">
        <v>25.955583333333333</v>
      </c>
      <c r="E10" s="19"/>
      <c r="F10" s="25">
        <v>13</v>
      </c>
      <c r="G10" s="261" t="s">
        <v>14</v>
      </c>
      <c r="H10" s="33"/>
      <c r="I10" s="21"/>
      <c r="J10" s="21"/>
      <c r="K10" s="21"/>
      <c r="L10" s="21"/>
      <c r="M10" s="45"/>
    </row>
    <row r="11" spans="2:13" x14ac:dyDescent="0.2">
      <c r="B11" s="16"/>
      <c r="C11" s="17" t="s">
        <v>5</v>
      </c>
      <c r="D11" s="235">
        <v>90</v>
      </c>
      <c r="E11" s="19"/>
      <c r="F11" s="25">
        <v>11</v>
      </c>
      <c r="G11" s="258"/>
      <c r="H11" s="33" t="s">
        <v>15</v>
      </c>
      <c r="I11" s="41">
        <f t="shared" ref="I11:L13" si="1">IF(I$2=0,"",VLOOKUP(I$2,Calc,$F10,FALSE))</f>
        <v>20</v>
      </c>
      <c r="J11" s="41">
        <f t="shared" si="1"/>
        <v>20</v>
      </c>
      <c r="K11" s="41">
        <f t="shared" si="1"/>
        <v>20</v>
      </c>
      <c r="L11" s="41">
        <f t="shared" si="1"/>
        <v>900</v>
      </c>
      <c r="M11" s="28"/>
    </row>
    <row r="12" spans="2:13" ht="12.75" customHeight="1" x14ac:dyDescent="0.2">
      <c r="B12" s="16"/>
      <c r="C12" s="17" t="s">
        <v>7</v>
      </c>
      <c r="D12" s="236">
        <v>100</v>
      </c>
      <c r="E12" s="19"/>
      <c r="F12" s="25">
        <v>12</v>
      </c>
      <c r="G12" s="258"/>
      <c r="H12" s="33" t="s">
        <v>16</v>
      </c>
      <c r="I12" s="41">
        <f t="shared" si="1"/>
        <v>4.5</v>
      </c>
      <c r="J12" s="41">
        <f t="shared" si="1"/>
        <v>4.5</v>
      </c>
      <c r="K12" s="41">
        <f t="shared" si="1"/>
        <v>4.5</v>
      </c>
      <c r="L12" s="41">
        <f t="shared" si="1"/>
        <v>5</v>
      </c>
      <c r="M12" s="28"/>
    </row>
    <row r="13" spans="2:13" x14ac:dyDescent="0.2">
      <c r="B13" s="16"/>
      <c r="C13" s="30" t="s">
        <v>0</v>
      </c>
      <c r="D13" s="31">
        <f>IF(J7=0,"",IF(D10="","",IF(D11="","",IF(D12="","",D10*D11*D12/J7))))</f>
        <v>116.80012499999999</v>
      </c>
      <c r="E13" s="32" t="str">
        <f>IF(D9=10,"",IF(D9="","",VLOOKUP(D9,Calc,23,FALSE)))</f>
        <v>ton</v>
      </c>
      <c r="F13" s="25"/>
      <c r="G13" s="258"/>
      <c r="H13" s="33" t="s">
        <v>17</v>
      </c>
      <c r="I13" s="41">
        <f t="shared" si="1"/>
        <v>100</v>
      </c>
      <c r="J13" s="41">
        <f t="shared" si="1"/>
        <v>50</v>
      </c>
      <c r="K13" s="41">
        <f t="shared" si="1"/>
        <v>80</v>
      </c>
      <c r="L13" s="41">
        <f t="shared" si="1"/>
        <v>60</v>
      </c>
      <c r="M13" s="28"/>
    </row>
    <row r="14" spans="2:13" ht="13.5" thickBot="1" x14ac:dyDescent="0.25">
      <c r="B14" s="36"/>
      <c r="C14" s="37"/>
      <c r="D14" s="37"/>
      <c r="E14" s="38"/>
      <c r="F14" s="25">
        <v>15</v>
      </c>
      <c r="G14" s="258"/>
      <c r="H14" s="33" t="s">
        <v>18</v>
      </c>
      <c r="I14" s="41">
        <f>IF(I11=0,0,IF(I2=0,"",I12*I13/I11))</f>
        <v>22.5</v>
      </c>
      <c r="J14" s="41">
        <f>IF(J11=0,0,IF(J2=0,"",J12*J13/J11))</f>
        <v>11.25</v>
      </c>
      <c r="K14" s="41">
        <f>IF(K11=0,0,IF(K2=0,"",K12*K13/K11))</f>
        <v>18</v>
      </c>
      <c r="L14" s="41">
        <f>IF(L11=0,0,IF(L2=0,"",L12*L13/L11))</f>
        <v>0.33333333333333331</v>
      </c>
      <c r="M14" s="28"/>
    </row>
    <row r="15" spans="2:13" ht="13.5" thickBot="1" x14ac:dyDescent="0.25">
      <c r="F15" s="25"/>
      <c r="G15" s="258"/>
      <c r="H15" s="33" t="s">
        <v>19</v>
      </c>
      <c r="I15" s="34">
        <f>IF(I2=10,0,IF(I2=0,"",VLOOKUP(I2,Calc,$F14,FALSE)))</f>
        <v>0.01</v>
      </c>
      <c r="J15" s="34">
        <f>IF(J2=10,0,IF(J2=0,"",VLOOKUP(J2,Calc,$F14,FALSE)))</f>
        <v>0.01</v>
      </c>
      <c r="K15" s="34">
        <f>IF(K2=10,0,IF(K2=0,"",VLOOKUP(K2,Calc,$F14,FALSE)))</f>
        <v>5.0000000000000001E-3</v>
      </c>
      <c r="L15" s="34">
        <f>IF(L2=10,0,IF(L2=0,"",VLOOKUP(L2,Calc,$F14,FALSE)))</f>
        <v>5.0000000000000001E-3</v>
      </c>
      <c r="M15" s="35"/>
    </row>
    <row r="16" spans="2:13" ht="18.75" thickBot="1" x14ac:dyDescent="0.3">
      <c r="B16" s="7"/>
      <c r="C16" s="8" t="s">
        <v>2</v>
      </c>
      <c r="D16" s="9">
        <v>3</v>
      </c>
      <c r="E16" s="10"/>
      <c r="F16" s="25"/>
      <c r="G16" s="258"/>
      <c r="H16" s="33" t="s">
        <v>20</v>
      </c>
      <c r="I16" s="41">
        <f>IF(I8="","",I14*I8)</f>
        <v>173.93320964749537</v>
      </c>
      <c r="J16" s="41">
        <f>IF(D13="","",J14*J8)</f>
        <v>1593.3663238022484</v>
      </c>
      <c r="K16" s="41">
        <f>IF(D20="","",K14*K8)</f>
        <v>45.682960255824575</v>
      </c>
      <c r="L16" s="41">
        <f>IF(D27="","",L14*L8)</f>
        <v>10.795114131344153</v>
      </c>
      <c r="M16" s="28"/>
    </row>
    <row r="17" spans="2:13" ht="13.5" thickTop="1" x14ac:dyDescent="0.2">
      <c r="B17" s="16"/>
      <c r="C17" s="17" t="s">
        <v>3</v>
      </c>
      <c r="D17" s="18">
        <v>5</v>
      </c>
      <c r="E17" s="19"/>
      <c r="F17" s="25"/>
      <c r="G17" s="260"/>
      <c r="H17" s="42" t="s">
        <v>13</v>
      </c>
      <c r="I17" s="43">
        <f>IF(I9="","",I9+I16)</f>
        <v>2106.5244279529993</v>
      </c>
      <c r="J17" s="43">
        <f>IF(D13="","",J9+J16)</f>
        <v>29919.878746953331</v>
      </c>
      <c r="K17" s="43">
        <f>IF(D20="","",K9+K16)</f>
        <v>807.06563118623421</v>
      </c>
      <c r="L17" s="43">
        <f>IF(D27="","",L9+L16)</f>
        <v>221.29983969255517</v>
      </c>
      <c r="M17" s="44">
        <f>SUM(I17:L17)</f>
        <v>33054.768645785116</v>
      </c>
    </row>
    <row r="18" spans="2:13" x14ac:dyDescent="0.2">
      <c r="B18" s="16"/>
      <c r="C18" s="17" t="s">
        <v>5</v>
      </c>
      <c r="D18" s="18">
        <v>30</v>
      </c>
      <c r="E18" s="19"/>
      <c r="F18" s="25"/>
      <c r="G18" s="46"/>
      <c r="H18" s="33"/>
      <c r="I18" s="21"/>
      <c r="J18" s="21"/>
      <c r="K18" s="21"/>
      <c r="L18" s="21"/>
      <c r="M18" s="45"/>
    </row>
    <row r="19" spans="2:13" x14ac:dyDescent="0.2">
      <c r="B19" s="16"/>
      <c r="C19" s="17" t="s">
        <v>7</v>
      </c>
      <c r="D19" s="18">
        <v>30</v>
      </c>
      <c r="E19" s="19"/>
      <c r="F19" s="25">
        <v>17</v>
      </c>
      <c r="G19" s="258" t="s">
        <v>21</v>
      </c>
      <c r="H19" s="33" t="s">
        <v>18</v>
      </c>
      <c r="I19" s="41">
        <f t="shared" ref="I19:L20" si="2">IF(I$2=0,"",VLOOKUP(I$2,Calc,$F19,FALSE))</f>
        <v>1</v>
      </c>
      <c r="J19" s="41">
        <f t="shared" si="2"/>
        <v>1</v>
      </c>
      <c r="K19" s="41">
        <f t="shared" si="2"/>
        <v>1</v>
      </c>
      <c r="L19" s="41">
        <f t="shared" si="2"/>
        <v>0.25</v>
      </c>
      <c r="M19" s="28"/>
    </row>
    <row r="20" spans="2:13" x14ac:dyDescent="0.2">
      <c r="B20" s="16"/>
      <c r="C20" s="30" t="s">
        <v>0</v>
      </c>
      <c r="D20" s="31">
        <f>IF(K7=0,"",IF(D17="","",IF(D18="","",IF(D19="","",D17*D18*D19/K7))))</f>
        <v>2.25</v>
      </c>
      <c r="E20" s="32" t="str">
        <f>IF(D16=10,"",IF(D16="","",VLOOKUP(D16,Calc,23,FALSE)))</f>
        <v>ton</v>
      </c>
      <c r="F20" s="25">
        <v>18</v>
      </c>
      <c r="G20" s="258"/>
      <c r="H20" s="33" t="s">
        <v>19</v>
      </c>
      <c r="I20" s="34">
        <f t="shared" si="2"/>
        <v>0.02</v>
      </c>
      <c r="J20" s="34">
        <f t="shared" si="2"/>
        <v>0.02</v>
      </c>
      <c r="K20" s="34">
        <f t="shared" si="2"/>
        <v>0.01</v>
      </c>
      <c r="L20" s="34">
        <f t="shared" si="2"/>
        <v>0.02</v>
      </c>
      <c r="M20" s="35"/>
    </row>
    <row r="21" spans="2:13" ht="12.75" customHeight="1" thickBot="1" x14ac:dyDescent="0.25">
      <c r="B21" s="36"/>
      <c r="C21" s="37"/>
      <c r="D21" s="37"/>
      <c r="E21" s="38"/>
      <c r="F21" s="25"/>
      <c r="G21" s="258"/>
      <c r="H21" s="33" t="s">
        <v>22</v>
      </c>
      <c r="I21" s="41">
        <f>IF(I27="","",I27/(1-I20))</f>
        <v>7.6530612244897958</v>
      </c>
      <c r="J21" s="41">
        <f>IF(D13="","",J27/(1-J20))</f>
        <v>140.21623649459784</v>
      </c>
      <c r="K21" s="41">
        <f>IF(D20="","",K27/(1-K20))</f>
        <v>2.5252525252525251</v>
      </c>
      <c r="L21" s="41">
        <f>IF(D27="","",L27/(1-L20))</f>
        <v>32.223415682062303</v>
      </c>
      <c r="M21" s="28"/>
    </row>
    <row r="22" spans="2:13" ht="12.75" customHeight="1" thickBot="1" x14ac:dyDescent="0.25">
      <c r="F22" s="25"/>
      <c r="G22" s="258"/>
      <c r="H22" s="33" t="s">
        <v>23</v>
      </c>
      <c r="I22" s="41">
        <f>IF(I21="","",I19*I21)</f>
        <v>7.6530612244897958</v>
      </c>
      <c r="J22" s="41">
        <f>IF(D13="","",J19*J21)</f>
        <v>140.21623649459784</v>
      </c>
      <c r="K22" s="41">
        <f>IF(D20="","",K19*K21)</f>
        <v>2.5252525252525251</v>
      </c>
      <c r="L22" s="41">
        <f>IF(D27="","",L19*L21)</f>
        <v>8.0558539205155757</v>
      </c>
      <c r="M22" s="28"/>
    </row>
    <row r="23" spans="2:13" ht="18.75" thickBot="1" x14ac:dyDescent="0.3">
      <c r="B23" s="7"/>
      <c r="C23" s="8" t="s">
        <v>2</v>
      </c>
      <c r="D23" s="9">
        <v>4</v>
      </c>
      <c r="E23" s="10"/>
      <c r="F23" s="25"/>
      <c r="G23" s="260"/>
      <c r="H23" s="42" t="s">
        <v>24</v>
      </c>
      <c r="I23" s="43">
        <f>IF(I22="","",I17+I22)</f>
        <v>2114.177489177489</v>
      </c>
      <c r="J23" s="43">
        <f>IF(D13="","",J17+J22)</f>
        <v>30060.094983447929</v>
      </c>
      <c r="K23" s="43">
        <f>IF(D20="","",K17+K22)</f>
        <v>809.59088371148675</v>
      </c>
      <c r="L23" s="43">
        <f>IF(D27="","",L17+L22)</f>
        <v>229.35569361307074</v>
      </c>
      <c r="M23" s="44">
        <f>SUM(I23:L23)</f>
        <v>33213.21904994997</v>
      </c>
    </row>
    <row r="24" spans="2:13" ht="15.75" customHeight="1" thickTop="1" x14ac:dyDescent="0.2">
      <c r="B24" s="16"/>
      <c r="C24" s="17" t="s">
        <v>3</v>
      </c>
      <c r="D24" s="18">
        <v>10</v>
      </c>
      <c r="E24" s="19"/>
      <c r="F24" s="25"/>
      <c r="G24" s="46"/>
      <c r="H24" s="33"/>
      <c r="I24" s="21"/>
      <c r="J24" s="21"/>
      <c r="K24" s="21"/>
      <c r="L24" s="21"/>
      <c r="M24" s="45"/>
    </row>
    <row r="25" spans="2:13" ht="12.75" customHeight="1" x14ac:dyDescent="0.2">
      <c r="B25" s="16"/>
      <c r="C25" s="17" t="s">
        <v>5</v>
      </c>
      <c r="D25" s="18">
        <v>60</v>
      </c>
      <c r="E25" s="19"/>
      <c r="F25" s="25">
        <v>20</v>
      </c>
      <c r="G25" s="258" t="s">
        <v>25</v>
      </c>
      <c r="H25" s="33" t="s">
        <v>18</v>
      </c>
      <c r="I25" s="41">
        <f t="shared" ref="I25:L26" si="3">IF(I$2=0,"",VLOOKUP(I$2,Calc,$F25,FALSE))</f>
        <v>5</v>
      </c>
      <c r="J25" s="41">
        <f t="shared" si="3"/>
        <v>5</v>
      </c>
      <c r="K25" s="41">
        <f t="shared" si="3"/>
        <v>7</v>
      </c>
      <c r="L25" s="41">
        <f t="shared" si="3"/>
        <v>0.1</v>
      </c>
      <c r="M25" s="28"/>
    </row>
    <row r="26" spans="2:13" ht="12.75" customHeight="1" x14ac:dyDescent="0.2">
      <c r="B26" s="16"/>
      <c r="C26" s="17" t="s">
        <v>7</v>
      </c>
      <c r="D26" s="18">
        <v>100</v>
      </c>
      <c r="E26" s="19"/>
      <c r="F26" s="25">
        <v>21</v>
      </c>
      <c r="G26" s="258"/>
      <c r="H26" s="33" t="s">
        <v>19</v>
      </c>
      <c r="I26" s="34">
        <f t="shared" si="3"/>
        <v>0.1</v>
      </c>
      <c r="J26" s="34">
        <f t="shared" si="3"/>
        <v>0.15</v>
      </c>
      <c r="K26" s="34">
        <f t="shared" si="3"/>
        <v>0.1</v>
      </c>
      <c r="L26" s="34">
        <f t="shared" si="3"/>
        <v>0.05</v>
      </c>
      <c r="M26" s="35"/>
    </row>
    <row r="27" spans="2:13" ht="12.75" customHeight="1" x14ac:dyDescent="0.2">
      <c r="B27" s="16"/>
      <c r="C27" s="30" t="s">
        <v>0</v>
      </c>
      <c r="D27" s="31">
        <f>IF(L7=0,"",IF(D24="","",IF(D25="","",IF(D26="","",D24*D25*D26/L7))))</f>
        <v>30</v>
      </c>
      <c r="E27" s="32" t="str">
        <f>IF(D23=10,"",IF(D23="","",VLOOKUP(D23,Calc,23,FALSE)))</f>
        <v>ton</v>
      </c>
      <c r="F27" s="25"/>
      <c r="G27" s="258"/>
      <c r="H27" s="33" t="s">
        <v>26</v>
      </c>
      <c r="I27" s="41">
        <f>IF(D6="","",D6/(1-I26))</f>
        <v>7.5</v>
      </c>
      <c r="J27" s="41">
        <f>IF(D13="","",D13/(1-J26))</f>
        <v>137.41191176470588</v>
      </c>
      <c r="K27" s="41">
        <f>IF(D20="","",D20/(1-K26))</f>
        <v>2.5</v>
      </c>
      <c r="L27" s="41">
        <f>IF(D27="","",D27/(1-L26))</f>
        <v>31.578947368421055</v>
      </c>
      <c r="M27" s="28"/>
    </row>
    <row r="28" spans="2:13" ht="12.75" customHeight="1" thickBot="1" x14ac:dyDescent="0.25">
      <c r="B28" s="36"/>
      <c r="C28" s="37"/>
      <c r="D28" s="37"/>
      <c r="E28" s="38"/>
      <c r="F28" s="25"/>
      <c r="G28" s="258"/>
      <c r="H28" s="33" t="s">
        <v>27</v>
      </c>
      <c r="I28" s="41">
        <f>IF(I27="","",I25*I27)</f>
        <v>37.5</v>
      </c>
      <c r="J28" s="41">
        <f>IF(J27="","",J25*J27)</f>
        <v>687.05955882352941</v>
      </c>
      <c r="K28" s="41">
        <f>IF(D20="","",K25*K27)</f>
        <v>17.5</v>
      </c>
      <c r="L28" s="41">
        <f>IF(D27="","",L25*L27)</f>
        <v>3.1578947368421058</v>
      </c>
      <c r="M28" s="28"/>
    </row>
    <row r="29" spans="2:13" ht="13.5" thickBot="1" x14ac:dyDescent="0.25">
      <c r="F29" s="25"/>
      <c r="G29" s="259"/>
      <c r="H29" s="47" t="s">
        <v>28</v>
      </c>
      <c r="I29" s="48">
        <f>IF(I27="","",I23+I28)</f>
        <v>2151.677489177489</v>
      </c>
      <c r="J29" s="48">
        <f>IF(J27="","",J23+J28)</f>
        <v>30747.154542271459</v>
      </c>
      <c r="K29" s="48">
        <f>IF(D20="","",K23+K28)</f>
        <v>827.09088371148675</v>
      </c>
      <c r="L29" s="48">
        <f>IF(D27="","",L23+L28)</f>
        <v>232.51358834991285</v>
      </c>
      <c r="M29" s="49">
        <f>SUM(I29:L29)</f>
        <v>33958.43650351034</v>
      </c>
    </row>
    <row r="30" spans="2:13" ht="15.75" customHeight="1" x14ac:dyDescent="0.2"/>
    <row r="31" spans="2:13" ht="12.75" customHeight="1" x14ac:dyDescent="0.2"/>
    <row r="32" spans="2:13" ht="12.75" customHeight="1" x14ac:dyDescent="0.2"/>
    <row r="33" ht="12.75" customHeight="1" x14ac:dyDescent="0.2"/>
    <row r="34" ht="12.75" customHeight="1" x14ac:dyDescent="0.2"/>
  </sheetData>
  <sheetProtection sheet="1" objects="1" scenarios="1"/>
  <mergeCells count="9">
    <mergeCell ref="G25:G29"/>
    <mergeCell ref="G19:G23"/>
    <mergeCell ref="G10:G17"/>
    <mergeCell ref="G5:G9"/>
    <mergeCell ref="M3:M4"/>
    <mergeCell ref="I3:I4"/>
    <mergeCell ref="J3:J4"/>
    <mergeCell ref="K3:K4"/>
    <mergeCell ref="L3:L4"/>
  </mergeCells>
  <phoneticPr fontId="2" type="noConversion"/>
  <dataValidations count="3">
    <dataValidation type="whole" allowBlank="1" showErrorMessage="1" errorTitle="Restricted Entry" error="Only whole numbers between 1 and 10 may be entered in this cell." prompt="Only whole numbers between 1 and 10 may be entered" sqref="D2 D23 D16 D9">
      <formula1>1</formula1>
      <formula2>10</formula2>
    </dataValidation>
    <dataValidation type="decimal" operator="greaterThanOrEqual" allowBlank="1" showInputMessage="1" showErrorMessage="1" errorTitle="Restricted Data Entry" error="Only positive numbers can be entered into this cell." sqref="D3 D24 D17">
      <formula1>0</formula1>
    </dataValidation>
    <dataValidation type="whole" operator="greaterThanOrEqual" allowBlank="1" showInputMessage="1" showErrorMessage="1" errorTitle="Restricted Data Entry" error="Only positive, whole numbers can be entered into this cell" sqref="D4:D5 D25:D26 D18:D19 D11:D12">
      <formula1>0</formula1>
    </dataValidation>
  </dataValidations>
  <pageMargins left="0.75" right="0.75" top="1" bottom="1" header="0.5" footer="0.5"/>
  <pageSetup orientation="portrait"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4</vt:i4>
      </vt:variant>
    </vt:vector>
  </HeadingPairs>
  <TitlesOfParts>
    <vt:vector size="19" baseType="lpstr">
      <vt:lpstr>Feed Cost Calculator</vt:lpstr>
      <vt:lpstr>Instructions</vt:lpstr>
      <vt:lpstr>F1</vt:lpstr>
      <vt:lpstr>F2</vt:lpstr>
      <vt:lpstr>F3</vt:lpstr>
      <vt:lpstr>F4</vt:lpstr>
      <vt:lpstr>F5</vt:lpstr>
      <vt:lpstr>F6</vt:lpstr>
      <vt:lpstr>F7</vt:lpstr>
      <vt:lpstr>F8</vt:lpstr>
      <vt:lpstr>F9</vt:lpstr>
      <vt:lpstr>Cornstalks (10)</vt:lpstr>
      <vt:lpstr>Calculations</vt:lpstr>
      <vt:lpstr>Per Pound</vt:lpstr>
      <vt:lpstr>Whole Herd</vt:lpstr>
      <vt:lpstr>Calc</vt:lpstr>
      <vt:lpstr>Costs</vt:lpstr>
      <vt:lpstr>Calculations!Print_Area</vt:lpstr>
      <vt:lpstr>'Per Pound'!Print_Area</vt:lpstr>
    </vt:vector>
  </TitlesOfParts>
  <Company>University of Nebraska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Roger Wilson</dc:creator>
  <cp:lastModifiedBy>Sunil Dhoubhadel</cp:lastModifiedBy>
  <cp:lastPrinted>2007-12-19T16:31:51Z</cp:lastPrinted>
  <dcterms:created xsi:type="dcterms:W3CDTF">2007-11-06T15:26:30Z</dcterms:created>
  <dcterms:modified xsi:type="dcterms:W3CDTF">2013-04-16T19:11:46Z</dcterms:modified>
</cp:coreProperties>
</file>