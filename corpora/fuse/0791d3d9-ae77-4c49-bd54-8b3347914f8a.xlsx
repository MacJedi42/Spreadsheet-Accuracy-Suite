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875" yWindow="15" windowWidth="7455" windowHeight="8295"/>
  </bookViews>
  <sheets>
    <sheet name="2011-12" sheetId="17" r:id="rId1"/>
    <sheet name="2010-11" sheetId="15" r:id="rId2"/>
    <sheet name="2009-10" sheetId="16" r:id="rId3"/>
    <sheet name="2008-09" sheetId="14" r:id="rId4"/>
    <sheet name="2007-08" sheetId="8" r:id="rId5"/>
    <sheet name="2006-07" sheetId="9" r:id="rId6"/>
    <sheet name="2005-06" sheetId="10" r:id="rId7"/>
    <sheet name="2004-05" sheetId="11" r:id="rId8"/>
    <sheet name="2003-04" sheetId="12" r:id="rId9"/>
    <sheet name="2002-03" sheetId="13" r:id="rId10"/>
    <sheet name="2001-02" sheetId="5" r:id="rId11"/>
    <sheet name="2000-01" sheetId="6" r:id="rId12"/>
    <sheet name="1999-00" sheetId="7" r:id="rId13"/>
    <sheet name="1998-99" sheetId="4" r:id="rId14"/>
    <sheet name="1997-98" sheetId="3" r:id="rId15"/>
    <sheet name="1996-97" sheetId="2" r:id="rId16"/>
    <sheet name="1995-96" sheetId="1" r:id="rId17"/>
  </sheets>
  <definedNames>
    <definedName name="_xlnm.Print_Titles" localSheetId="16">'1995-96'!$5:$7</definedName>
    <definedName name="_xlnm.Print_Titles" localSheetId="15">'1996-97'!$5:$7</definedName>
    <definedName name="_xlnm.Print_Titles" localSheetId="14">'1997-98'!$5:$7</definedName>
    <definedName name="_xlnm.Print_Titles" localSheetId="13">'1998-99'!$5:$7</definedName>
    <definedName name="_xlnm.Print_Titles" localSheetId="12">'1999-00'!$5:$7</definedName>
    <definedName name="_xlnm.Print_Titles" localSheetId="11">'2000-01'!$5:$7</definedName>
    <definedName name="_xlnm.Print_Titles" localSheetId="10">'2001-02'!$5:$7</definedName>
    <definedName name="_xlnm.Print_Titles" localSheetId="9">'2002-03'!$5:$7</definedName>
    <definedName name="_xlnm.Print_Titles" localSheetId="8">'2003-04'!$5:$7</definedName>
    <definedName name="_xlnm.Print_Titles" localSheetId="7">'2004-05'!$5:$7</definedName>
    <definedName name="_xlnm.Print_Titles" localSheetId="6">'2005-06'!$5:$7</definedName>
    <definedName name="_xlnm.Print_Titles" localSheetId="5">'2006-07'!$5:$7</definedName>
    <definedName name="_xlnm.Print_Titles" localSheetId="4">'2007-08'!$5:$7</definedName>
    <definedName name="_xlnm.Print_Titles" localSheetId="3">'2008-09'!$5:$7</definedName>
    <definedName name="_xlnm.Print_Titles" localSheetId="2">'2009-10'!$5:$7</definedName>
    <definedName name="_xlnm.Print_Titles" localSheetId="1">'2010-11'!$5:$7</definedName>
    <definedName name="_xlnm.Print_Titles" localSheetId="0">'2011-12'!$5:$7</definedName>
  </definedNames>
  <calcPr calcId="145621"/>
</workbook>
</file>

<file path=xl/calcChain.xml><?xml version="1.0" encoding="utf-8"?>
<calcChain xmlns="http://schemas.openxmlformats.org/spreadsheetml/2006/main">
  <c r="G22" i="17" l="1"/>
  <c r="D22" i="17"/>
  <c r="G21" i="17"/>
  <c r="D21" i="17"/>
  <c r="H21" i="17" s="1"/>
  <c r="G20" i="17"/>
  <c r="D20" i="17"/>
  <c r="G19" i="17"/>
  <c r="D19" i="17"/>
  <c r="H19" i="17" s="1"/>
  <c r="G18" i="17"/>
  <c r="D18" i="17"/>
  <c r="F17" i="17"/>
  <c r="F23" i="17" s="1"/>
  <c r="E17" i="17"/>
  <c r="E23" i="17" s="1"/>
  <c r="C17" i="17"/>
  <c r="C23" i="17" s="1"/>
  <c r="B17" i="17"/>
  <c r="B23" i="17" s="1"/>
  <c r="G16" i="17"/>
  <c r="D16" i="17"/>
  <c r="G15" i="17"/>
  <c r="D15" i="17"/>
  <c r="H15" i="17" s="1"/>
  <c r="G14" i="17"/>
  <c r="D14" i="17"/>
  <c r="G13" i="17"/>
  <c r="D13" i="17"/>
  <c r="H13" i="17" s="1"/>
  <c r="G12" i="17"/>
  <c r="D12" i="17"/>
  <c r="G11" i="17"/>
  <c r="D11" i="17"/>
  <c r="H11" i="17" s="1"/>
  <c r="G10" i="17"/>
  <c r="D10" i="17"/>
  <c r="G9" i="17"/>
  <c r="D9" i="17"/>
  <c r="A3" i="17"/>
  <c r="G22" i="16"/>
  <c r="H22" i="16" s="1"/>
  <c r="D22" i="16"/>
  <c r="G21" i="16"/>
  <c r="D21" i="16"/>
  <c r="G20" i="16"/>
  <c r="D20" i="16"/>
  <c r="G19" i="16"/>
  <c r="D19" i="16"/>
  <c r="H19" i="16" s="1"/>
  <c r="G18" i="16"/>
  <c r="D18" i="16"/>
  <c r="F17" i="16"/>
  <c r="F23" i="16" s="1"/>
  <c r="E17" i="16"/>
  <c r="E23" i="16" s="1"/>
  <c r="C17" i="16"/>
  <c r="C23" i="16" s="1"/>
  <c r="B17" i="16"/>
  <c r="B23" i="16" s="1"/>
  <c r="G16" i="16"/>
  <c r="D16" i="16"/>
  <c r="G15" i="16"/>
  <c r="D15" i="16"/>
  <c r="G14" i="16"/>
  <c r="D14" i="16"/>
  <c r="G13" i="16"/>
  <c r="D13" i="16"/>
  <c r="G12" i="16"/>
  <c r="D12" i="16"/>
  <c r="G11" i="16"/>
  <c r="D11" i="16"/>
  <c r="H11" i="16" s="1"/>
  <c r="G10" i="16"/>
  <c r="D10" i="16"/>
  <c r="G9" i="16"/>
  <c r="D9" i="16"/>
  <c r="H9" i="16" s="1"/>
  <c r="A3" i="16"/>
  <c r="G22" i="15"/>
  <c r="D22" i="15"/>
  <c r="G21" i="15"/>
  <c r="D21" i="15"/>
  <c r="G20" i="15"/>
  <c r="D20" i="15"/>
  <c r="H20" i="15" s="1"/>
  <c r="G19" i="15"/>
  <c r="D19" i="15"/>
  <c r="G18" i="15"/>
  <c r="D18" i="15"/>
  <c r="H18" i="15" s="1"/>
  <c r="F17" i="15"/>
  <c r="F23" i="15" s="1"/>
  <c r="E17" i="15"/>
  <c r="E23" i="15" s="1"/>
  <c r="C17" i="15"/>
  <c r="C23" i="15" s="1"/>
  <c r="B17" i="15"/>
  <c r="B23" i="15" s="1"/>
  <c r="G16" i="15"/>
  <c r="D16" i="15"/>
  <c r="H16" i="15" s="1"/>
  <c r="G15" i="15"/>
  <c r="D15" i="15"/>
  <c r="G14" i="15"/>
  <c r="D14" i="15"/>
  <c r="G13" i="15"/>
  <c r="D13" i="15"/>
  <c r="G12" i="15"/>
  <c r="D12" i="15"/>
  <c r="H12" i="15" s="1"/>
  <c r="G11" i="15"/>
  <c r="D11" i="15"/>
  <c r="G10" i="15"/>
  <c r="D10" i="15"/>
  <c r="H10" i="15" s="1"/>
  <c r="G9" i="15"/>
  <c r="D9" i="15"/>
  <c r="A3" i="15"/>
  <c r="G22" i="14"/>
  <c r="D22" i="14"/>
  <c r="G21" i="14"/>
  <c r="D21" i="14"/>
  <c r="G20" i="14"/>
  <c r="D20" i="14"/>
  <c r="G19" i="14"/>
  <c r="D19" i="14"/>
  <c r="H19" i="14" s="1"/>
  <c r="G18" i="14"/>
  <c r="D18" i="14"/>
  <c r="F17" i="14"/>
  <c r="F23" i="14" s="1"/>
  <c r="E17" i="14"/>
  <c r="E23" i="14" s="1"/>
  <c r="C17" i="14"/>
  <c r="C23" i="14" s="1"/>
  <c r="B17" i="14"/>
  <c r="B23" i="14" s="1"/>
  <c r="G16" i="14"/>
  <c r="D16" i="14"/>
  <c r="G15" i="14"/>
  <c r="D15" i="14"/>
  <c r="H15" i="14" s="1"/>
  <c r="G14" i="14"/>
  <c r="H14" i="14" s="1"/>
  <c r="D14" i="14"/>
  <c r="G13" i="14"/>
  <c r="D13" i="14"/>
  <c r="H13" i="14" s="1"/>
  <c r="G12" i="14"/>
  <c r="D12" i="14"/>
  <c r="G11" i="14"/>
  <c r="D11" i="14"/>
  <c r="H11" i="14" s="1"/>
  <c r="G10" i="14"/>
  <c r="D10" i="14"/>
  <c r="G9" i="14"/>
  <c r="D9" i="14"/>
  <c r="H9" i="14" s="1"/>
  <c r="A3" i="14"/>
  <c r="A3" i="4"/>
  <c r="A3" i="3"/>
  <c r="G18" i="2"/>
  <c r="G22" i="13"/>
  <c r="H22" i="13" s="1"/>
  <c r="D22" i="13"/>
  <c r="G21" i="13"/>
  <c r="D21" i="13"/>
  <c r="H21" i="13" s="1"/>
  <c r="G20" i="13"/>
  <c r="D20" i="13"/>
  <c r="G19" i="13"/>
  <c r="D19" i="13"/>
  <c r="H19" i="13" s="1"/>
  <c r="G18" i="13"/>
  <c r="D18" i="13"/>
  <c r="F17" i="13"/>
  <c r="F23" i="13" s="1"/>
  <c r="E17" i="13"/>
  <c r="E23" i="13" s="1"/>
  <c r="C17" i="13"/>
  <c r="C23" i="13" s="1"/>
  <c r="B17" i="13"/>
  <c r="B23" i="13" s="1"/>
  <c r="G16" i="13"/>
  <c r="D16" i="13"/>
  <c r="G15" i="13"/>
  <c r="D15" i="13"/>
  <c r="G14" i="13"/>
  <c r="D14" i="13"/>
  <c r="G13" i="13"/>
  <c r="D13" i="13"/>
  <c r="H13" i="13" s="1"/>
  <c r="G12" i="13"/>
  <c r="D12" i="13"/>
  <c r="G11" i="13"/>
  <c r="D11" i="13"/>
  <c r="G10" i="13"/>
  <c r="D10" i="13"/>
  <c r="G9" i="13"/>
  <c r="D9" i="13"/>
  <c r="H9" i="13" s="1"/>
  <c r="A3" i="13"/>
  <c r="G22" i="12"/>
  <c r="D22" i="12"/>
  <c r="G21" i="12"/>
  <c r="D21" i="12"/>
  <c r="H21" i="12" s="1"/>
  <c r="G20" i="12"/>
  <c r="D20" i="12"/>
  <c r="G19" i="12"/>
  <c r="D19" i="12"/>
  <c r="H19" i="12" s="1"/>
  <c r="G18" i="12"/>
  <c r="D18" i="12"/>
  <c r="F17" i="12"/>
  <c r="F23" i="12" s="1"/>
  <c r="E17" i="12"/>
  <c r="E23" i="12" s="1"/>
  <c r="C17" i="12"/>
  <c r="C23" i="12" s="1"/>
  <c r="B17" i="12"/>
  <c r="B23" i="12" s="1"/>
  <c r="G16" i="12"/>
  <c r="D16" i="12"/>
  <c r="G15" i="12"/>
  <c r="D15" i="12"/>
  <c r="H15" i="12" s="1"/>
  <c r="G14" i="12"/>
  <c r="D14" i="12"/>
  <c r="G13" i="12"/>
  <c r="D13" i="12"/>
  <c r="H13" i="12" s="1"/>
  <c r="G12" i="12"/>
  <c r="D12" i="12"/>
  <c r="G11" i="12"/>
  <c r="D11" i="12"/>
  <c r="H11" i="12" s="1"/>
  <c r="G10" i="12"/>
  <c r="D10" i="12"/>
  <c r="G9" i="12"/>
  <c r="D9" i="12"/>
  <c r="H9" i="12" s="1"/>
  <c r="A3" i="12"/>
  <c r="G22" i="11"/>
  <c r="D22" i="11"/>
  <c r="G21" i="11"/>
  <c r="D21" i="11"/>
  <c r="G20" i="11"/>
  <c r="D20" i="11"/>
  <c r="G19" i="11"/>
  <c r="D19" i="11"/>
  <c r="H19" i="11" s="1"/>
  <c r="G18" i="11"/>
  <c r="D18" i="11"/>
  <c r="F17" i="11"/>
  <c r="F23" i="11" s="1"/>
  <c r="E17" i="11"/>
  <c r="E23" i="11" s="1"/>
  <c r="C17" i="11"/>
  <c r="C23" i="11" s="1"/>
  <c r="B17" i="11"/>
  <c r="B23" i="11" s="1"/>
  <c r="G16" i="11"/>
  <c r="D16" i="11"/>
  <c r="G15" i="11"/>
  <c r="D15" i="11"/>
  <c r="H15" i="11" s="1"/>
  <c r="G14" i="11"/>
  <c r="H14" i="11" s="1"/>
  <c r="D14" i="11"/>
  <c r="G13" i="11"/>
  <c r="D13" i="11"/>
  <c r="G12" i="11"/>
  <c r="D12" i="11"/>
  <c r="G11" i="11"/>
  <c r="D11" i="11"/>
  <c r="H11" i="11" s="1"/>
  <c r="G10" i="11"/>
  <c r="D10" i="11"/>
  <c r="G9" i="11"/>
  <c r="D9" i="11"/>
  <c r="H9" i="11" s="1"/>
  <c r="A3" i="11"/>
  <c r="G22" i="10"/>
  <c r="D22" i="10"/>
  <c r="G21" i="10"/>
  <c r="D21" i="10"/>
  <c r="H21" i="10" s="1"/>
  <c r="G20" i="10"/>
  <c r="D20" i="10"/>
  <c r="G19" i="10"/>
  <c r="D19" i="10"/>
  <c r="G18" i="10"/>
  <c r="D18" i="10"/>
  <c r="F17" i="10"/>
  <c r="F23" i="10" s="1"/>
  <c r="E17" i="10"/>
  <c r="E23" i="10" s="1"/>
  <c r="C17" i="10"/>
  <c r="C23" i="10" s="1"/>
  <c r="B17" i="10"/>
  <c r="B23" i="10" s="1"/>
  <c r="G16" i="10"/>
  <c r="D16" i="10"/>
  <c r="G15" i="10"/>
  <c r="D15" i="10"/>
  <c r="H15" i="10" s="1"/>
  <c r="G14" i="10"/>
  <c r="D14" i="10"/>
  <c r="G13" i="10"/>
  <c r="D13" i="10"/>
  <c r="G12" i="10"/>
  <c r="D12" i="10"/>
  <c r="G11" i="10"/>
  <c r="D11" i="10"/>
  <c r="H11" i="10" s="1"/>
  <c r="G10" i="10"/>
  <c r="D10" i="10"/>
  <c r="G9" i="10"/>
  <c r="D9" i="10"/>
  <c r="H9" i="10" s="1"/>
  <c r="A3" i="10"/>
  <c r="G22" i="9"/>
  <c r="D22" i="9"/>
  <c r="G21" i="9"/>
  <c r="D21" i="9"/>
  <c r="H21" i="9" s="1"/>
  <c r="G20" i="9"/>
  <c r="H20" i="9" s="1"/>
  <c r="D20" i="9"/>
  <c r="G19" i="9"/>
  <c r="D19" i="9"/>
  <c r="G18" i="9"/>
  <c r="D18" i="9"/>
  <c r="F17" i="9"/>
  <c r="F23" i="9" s="1"/>
  <c r="E17" i="9"/>
  <c r="E23" i="9" s="1"/>
  <c r="C17" i="9"/>
  <c r="C23" i="9" s="1"/>
  <c r="B17" i="9"/>
  <c r="B23" i="9" s="1"/>
  <c r="G16" i="9"/>
  <c r="D16" i="9"/>
  <c r="G15" i="9"/>
  <c r="D15" i="9"/>
  <c r="H15" i="9" s="1"/>
  <c r="G14" i="9"/>
  <c r="D14" i="9"/>
  <c r="G13" i="9"/>
  <c r="D13" i="9"/>
  <c r="G12" i="9"/>
  <c r="D12" i="9"/>
  <c r="G11" i="9"/>
  <c r="D11" i="9"/>
  <c r="H11" i="9" s="1"/>
  <c r="G10" i="9"/>
  <c r="D10" i="9"/>
  <c r="G9" i="9"/>
  <c r="D9" i="9"/>
  <c r="H9" i="9" s="1"/>
  <c r="A3" i="9"/>
  <c r="G22" i="8"/>
  <c r="D22" i="8"/>
  <c r="G21" i="8"/>
  <c r="D21" i="8"/>
  <c r="H21" i="8" s="1"/>
  <c r="G20" i="8"/>
  <c r="D20" i="8"/>
  <c r="G19" i="8"/>
  <c r="D19" i="8"/>
  <c r="G18" i="8"/>
  <c r="D18" i="8"/>
  <c r="F17" i="8"/>
  <c r="F23" i="8" s="1"/>
  <c r="E17" i="8"/>
  <c r="E23" i="8" s="1"/>
  <c r="C17" i="8"/>
  <c r="C23" i="8" s="1"/>
  <c r="B17" i="8"/>
  <c r="B23" i="8" s="1"/>
  <c r="G16" i="8"/>
  <c r="D16" i="8"/>
  <c r="G15" i="8"/>
  <c r="D15" i="8"/>
  <c r="H15" i="8" s="1"/>
  <c r="G14" i="8"/>
  <c r="D14" i="8"/>
  <c r="G13" i="8"/>
  <c r="D13" i="8"/>
  <c r="H13" i="8" s="1"/>
  <c r="G12" i="8"/>
  <c r="D12" i="8"/>
  <c r="G11" i="8"/>
  <c r="D11" i="8"/>
  <c r="G10" i="8"/>
  <c r="D10" i="8"/>
  <c r="G9" i="8"/>
  <c r="D9" i="8"/>
  <c r="H9" i="8" s="1"/>
  <c r="A3" i="8"/>
  <c r="G22" i="7"/>
  <c r="D22" i="7"/>
  <c r="H22" i="7" s="1"/>
  <c r="G21" i="7"/>
  <c r="D21" i="7"/>
  <c r="G20" i="7"/>
  <c r="D20" i="7"/>
  <c r="H20" i="7" s="1"/>
  <c r="G19" i="7"/>
  <c r="H19" i="7" s="1"/>
  <c r="D19" i="7"/>
  <c r="G18" i="7"/>
  <c r="D18" i="7"/>
  <c r="F17" i="7"/>
  <c r="F23" i="7" s="1"/>
  <c r="E17" i="7"/>
  <c r="E23" i="7" s="1"/>
  <c r="C17" i="7"/>
  <c r="C23" i="7" s="1"/>
  <c r="B17" i="7"/>
  <c r="B23" i="7" s="1"/>
  <c r="G16" i="7"/>
  <c r="D16" i="7"/>
  <c r="H16" i="7" s="1"/>
  <c r="G15" i="7"/>
  <c r="D15" i="7"/>
  <c r="G14" i="7"/>
  <c r="D14" i="7"/>
  <c r="H14" i="7" s="1"/>
  <c r="G13" i="7"/>
  <c r="D13" i="7"/>
  <c r="G12" i="7"/>
  <c r="D12" i="7"/>
  <c r="G11" i="7"/>
  <c r="D11" i="7"/>
  <c r="G10" i="7"/>
  <c r="D10" i="7"/>
  <c r="G9" i="7"/>
  <c r="D9" i="7"/>
  <c r="A3" i="7"/>
  <c r="G22" i="6"/>
  <c r="D22" i="6"/>
  <c r="H22" i="6" s="1"/>
  <c r="G21" i="6"/>
  <c r="D21" i="6"/>
  <c r="G20" i="6"/>
  <c r="D20" i="6"/>
  <c r="H20" i="6" s="1"/>
  <c r="G19" i="6"/>
  <c r="D19" i="6"/>
  <c r="G18" i="6"/>
  <c r="D18" i="6"/>
  <c r="H18" i="6" s="1"/>
  <c r="F17" i="6"/>
  <c r="F23" i="6" s="1"/>
  <c r="E17" i="6"/>
  <c r="E23" i="6" s="1"/>
  <c r="C17" i="6"/>
  <c r="C23" i="6" s="1"/>
  <c r="B17" i="6"/>
  <c r="B23" i="6" s="1"/>
  <c r="G16" i="6"/>
  <c r="D16" i="6"/>
  <c r="H16" i="6" s="1"/>
  <c r="G15" i="6"/>
  <c r="D15" i="6"/>
  <c r="G14" i="6"/>
  <c r="D14" i="6"/>
  <c r="H14" i="6" s="1"/>
  <c r="G13" i="6"/>
  <c r="D13" i="6"/>
  <c r="G12" i="6"/>
  <c r="D12" i="6"/>
  <c r="H12" i="6" s="1"/>
  <c r="G11" i="6"/>
  <c r="D11" i="6"/>
  <c r="G10" i="6"/>
  <c r="D10" i="6"/>
  <c r="H10" i="6" s="1"/>
  <c r="G9" i="6"/>
  <c r="H9" i="6" s="1"/>
  <c r="D9" i="6"/>
  <c r="A3" i="6"/>
  <c r="G22" i="5"/>
  <c r="D22" i="5"/>
  <c r="H22" i="5" s="1"/>
  <c r="G21" i="5"/>
  <c r="D21" i="5"/>
  <c r="G20" i="5"/>
  <c r="D20" i="5"/>
  <c r="H20" i="5" s="1"/>
  <c r="G19" i="5"/>
  <c r="D19" i="5"/>
  <c r="G18" i="5"/>
  <c r="D18" i="5"/>
  <c r="F17" i="5"/>
  <c r="F23" i="5" s="1"/>
  <c r="E17" i="5"/>
  <c r="E23" i="5" s="1"/>
  <c r="C17" i="5"/>
  <c r="C23" i="5" s="1"/>
  <c r="B17" i="5"/>
  <c r="B23" i="5" s="1"/>
  <c r="G16" i="5"/>
  <c r="D16" i="5"/>
  <c r="H16" i="5" s="1"/>
  <c r="G15" i="5"/>
  <c r="D15" i="5"/>
  <c r="G14" i="5"/>
  <c r="D14" i="5"/>
  <c r="H14" i="5" s="1"/>
  <c r="G13" i="5"/>
  <c r="D13" i="5"/>
  <c r="G12" i="5"/>
  <c r="D12" i="5"/>
  <c r="H12" i="5" s="1"/>
  <c r="G11" i="5"/>
  <c r="H11" i="5" s="1"/>
  <c r="D11" i="5"/>
  <c r="G10" i="5"/>
  <c r="D10" i="5"/>
  <c r="H10" i="5" s="1"/>
  <c r="G9" i="5"/>
  <c r="D9" i="5"/>
  <c r="A3" i="5"/>
  <c r="G22" i="4"/>
  <c r="D22" i="4"/>
  <c r="G21" i="4"/>
  <c r="D21" i="4"/>
  <c r="G20" i="4"/>
  <c r="D20" i="4"/>
  <c r="G19" i="4"/>
  <c r="D19" i="4"/>
  <c r="G18" i="4"/>
  <c r="D18" i="4"/>
  <c r="F17" i="4"/>
  <c r="F23" i="4" s="1"/>
  <c r="E17" i="4"/>
  <c r="E23" i="4" s="1"/>
  <c r="C17" i="4"/>
  <c r="C23" i="4" s="1"/>
  <c r="B17" i="4"/>
  <c r="B23" i="4" s="1"/>
  <c r="G16" i="4"/>
  <c r="D16" i="4"/>
  <c r="G15" i="4"/>
  <c r="D15" i="4"/>
  <c r="G14" i="4"/>
  <c r="D14" i="4"/>
  <c r="G13" i="4"/>
  <c r="D13" i="4"/>
  <c r="G12" i="4"/>
  <c r="D12" i="4"/>
  <c r="G11" i="4"/>
  <c r="H11" i="4" s="1"/>
  <c r="D11" i="4"/>
  <c r="G10" i="4"/>
  <c r="D10" i="4"/>
  <c r="G9" i="4"/>
  <c r="D9" i="4"/>
  <c r="G22" i="3"/>
  <c r="D22" i="3"/>
  <c r="H22" i="3" s="1"/>
  <c r="G21" i="3"/>
  <c r="D21" i="3"/>
  <c r="G20" i="3"/>
  <c r="D20" i="3"/>
  <c r="H20" i="3" s="1"/>
  <c r="G19" i="3"/>
  <c r="D19" i="3"/>
  <c r="G18" i="3"/>
  <c r="D18" i="3"/>
  <c r="H18" i="3" s="1"/>
  <c r="F17" i="3"/>
  <c r="F23" i="3" s="1"/>
  <c r="E17" i="3"/>
  <c r="E23" i="3" s="1"/>
  <c r="C17" i="3"/>
  <c r="C23" i="3" s="1"/>
  <c r="B17" i="3"/>
  <c r="B23" i="3" s="1"/>
  <c r="G16" i="3"/>
  <c r="D16" i="3"/>
  <c r="G15" i="3"/>
  <c r="D15" i="3"/>
  <c r="G14" i="3"/>
  <c r="D14" i="3"/>
  <c r="H14" i="3" s="1"/>
  <c r="G13" i="3"/>
  <c r="D13" i="3"/>
  <c r="G12" i="3"/>
  <c r="D12" i="3"/>
  <c r="H12" i="3" s="1"/>
  <c r="G11" i="3"/>
  <c r="D11" i="3"/>
  <c r="G10" i="3"/>
  <c r="D10" i="3"/>
  <c r="H10" i="3" s="1"/>
  <c r="G9" i="3"/>
  <c r="D9" i="3"/>
  <c r="B23" i="2"/>
  <c r="C23" i="2"/>
  <c r="G22" i="2"/>
  <c r="D22" i="2"/>
  <c r="G21" i="2"/>
  <c r="D21" i="2"/>
  <c r="H21" i="2" s="1"/>
  <c r="G20" i="2"/>
  <c r="D20" i="2"/>
  <c r="G19" i="2"/>
  <c r="D19" i="2"/>
  <c r="H19" i="2" s="1"/>
  <c r="D18" i="2"/>
  <c r="F17" i="2"/>
  <c r="F23" i="2" s="1"/>
  <c r="E17" i="2"/>
  <c r="E23" i="2" s="1"/>
  <c r="C17" i="2"/>
  <c r="B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H10" i="2" s="1"/>
  <c r="D10" i="2"/>
  <c r="G9" i="2"/>
  <c r="D9" i="2"/>
  <c r="A3" i="2"/>
  <c r="A3" i="1"/>
  <c r="H18" i="17" l="1"/>
  <c r="H20" i="17"/>
  <c r="H22" i="17"/>
  <c r="H9" i="17"/>
  <c r="H16" i="17"/>
  <c r="H12" i="17"/>
  <c r="H10" i="17"/>
  <c r="H14" i="17"/>
  <c r="H22" i="15"/>
  <c r="H19" i="15"/>
  <c r="H21" i="15"/>
  <c r="H14" i="15"/>
  <c r="H15" i="15"/>
  <c r="H9" i="15"/>
  <c r="H13" i="15"/>
  <c r="H11" i="15"/>
  <c r="H21" i="16"/>
  <c r="H18" i="16"/>
  <c r="H20" i="16"/>
  <c r="H13" i="16"/>
  <c r="H15" i="16"/>
  <c r="H12" i="16"/>
  <c r="H16" i="16"/>
  <c r="H10" i="16"/>
  <c r="H14" i="16"/>
  <c r="H21" i="14"/>
  <c r="H18" i="14"/>
  <c r="H22" i="14"/>
  <c r="H20" i="14"/>
  <c r="H16" i="14"/>
  <c r="H10" i="14"/>
  <c r="H12" i="14"/>
  <c r="H19" i="8"/>
  <c r="H22" i="8"/>
  <c r="H20" i="8"/>
  <c r="H18" i="8"/>
  <c r="H11" i="8"/>
  <c r="H16" i="8"/>
  <c r="H10" i="8"/>
  <c r="H14" i="8"/>
  <c r="H12" i="8"/>
  <c r="H19" i="9"/>
  <c r="H22" i="9"/>
  <c r="H18" i="9"/>
  <c r="H13" i="9"/>
  <c r="H16" i="9"/>
  <c r="H14" i="9"/>
  <c r="H10" i="9"/>
  <c r="H12" i="9"/>
  <c r="H19" i="10"/>
  <c r="H13" i="10"/>
  <c r="H22" i="10"/>
  <c r="H18" i="10"/>
  <c r="H20" i="10"/>
  <c r="H14" i="10"/>
  <c r="H16" i="10"/>
  <c r="H10" i="10"/>
  <c r="H12" i="10"/>
  <c r="H21" i="11"/>
  <c r="H22" i="11"/>
  <c r="H20" i="11"/>
  <c r="H18" i="11"/>
  <c r="H13" i="11"/>
  <c r="H10" i="11"/>
  <c r="H12" i="11"/>
  <c r="H16" i="11"/>
  <c r="H18" i="12"/>
  <c r="H22" i="12"/>
  <c r="H20" i="12"/>
  <c r="H16" i="12"/>
  <c r="H12" i="12"/>
  <c r="H10" i="12"/>
  <c r="H14" i="12"/>
  <c r="H18" i="13"/>
  <c r="H20" i="13"/>
  <c r="H11" i="13"/>
  <c r="H15" i="13"/>
  <c r="H10" i="13"/>
  <c r="H16" i="13"/>
  <c r="H12" i="13"/>
  <c r="H14" i="13"/>
  <c r="H18" i="5"/>
  <c r="H19" i="5"/>
  <c r="H21" i="5"/>
  <c r="H13" i="5"/>
  <c r="H15" i="5"/>
  <c r="H9" i="5"/>
  <c r="H19" i="6"/>
  <c r="H21" i="6"/>
  <c r="H13" i="6"/>
  <c r="H15" i="6"/>
  <c r="H11" i="6"/>
  <c r="H18" i="7"/>
  <c r="H21" i="7"/>
  <c r="H10" i="7"/>
  <c r="H12" i="7"/>
  <c r="H9" i="7"/>
  <c r="H13" i="7"/>
  <c r="H15" i="7"/>
  <c r="H11" i="7"/>
  <c r="H19" i="4"/>
  <c r="H20" i="4"/>
  <c r="H21" i="4"/>
  <c r="H22" i="4"/>
  <c r="H18" i="4"/>
  <c r="H12" i="4"/>
  <c r="H15" i="4"/>
  <c r="H16" i="4"/>
  <c r="H13" i="4"/>
  <c r="H14" i="4"/>
  <c r="H9" i="4"/>
  <c r="H10" i="4"/>
  <c r="H19" i="3"/>
  <c r="H21" i="3"/>
  <c r="H16" i="3"/>
  <c r="H15" i="3"/>
  <c r="H13" i="3"/>
  <c r="H11" i="3"/>
  <c r="H9" i="3"/>
  <c r="H12" i="2"/>
  <c r="H14" i="2"/>
  <c r="H16" i="2"/>
  <c r="G17" i="17"/>
  <c r="D17" i="17"/>
  <c r="D23" i="17" s="1"/>
  <c r="G17" i="15"/>
  <c r="G17" i="16"/>
  <c r="D17" i="15"/>
  <c r="D23" i="15" s="1"/>
  <c r="D17" i="16"/>
  <c r="D23" i="16" s="1"/>
  <c r="G17" i="14"/>
  <c r="D17" i="14"/>
  <c r="D23" i="14" s="1"/>
  <c r="D17" i="9"/>
  <c r="D23" i="9" s="1"/>
  <c r="D17" i="11"/>
  <c r="D23" i="11" s="1"/>
  <c r="D17" i="8"/>
  <c r="D23" i="8" s="1"/>
  <c r="D17" i="10"/>
  <c r="D23" i="10" s="1"/>
  <c r="D17" i="12"/>
  <c r="D23" i="12" s="1"/>
  <c r="D17" i="13"/>
  <c r="D23" i="13" s="1"/>
  <c r="G17" i="8"/>
  <c r="G17" i="9"/>
  <c r="G17" i="10"/>
  <c r="G17" i="11"/>
  <c r="G17" i="12"/>
  <c r="G17" i="13"/>
  <c r="G17" i="5"/>
  <c r="G17" i="6"/>
  <c r="G17" i="7"/>
  <c r="D17" i="5"/>
  <c r="D23" i="5" s="1"/>
  <c r="D17" i="6"/>
  <c r="D23" i="6" s="1"/>
  <c r="D17" i="7"/>
  <c r="D23" i="7" s="1"/>
  <c r="G17" i="4"/>
  <c r="D17" i="4"/>
  <c r="D23" i="4" s="1"/>
  <c r="G17" i="3"/>
  <c r="D17" i="3"/>
  <c r="D23" i="3" s="1"/>
  <c r="H18" i="2"/>
  <c r="H20" i="2"/>
  <c r="H22" i="2"/>
  <c r="H9" i="2"/>
  <c r="H11" i="2"/>
  <c r="H13" i="2"/>
  <c r="H15" i="2"/>
  <c r="G17" i="2"/>
  <c r="D17" i="2"/>
  <c r="D23" i="2" s="1"/>
  <c r="H17" i="17" l="1"/>
  <c r="H23" i="17" s="1"/>
  <c r="G23" i="17"/>
  <c r="H17" i="16"/>
  <c r="H23" i="16" s="1"/>
  <c r="G23" i="16"/>
  <c r="H17" i="15"/>
  <c r="H23" i="15" s="1"/>
  <c r="G23" i="15"/>
  <c r="H17" i="14"/>
  <c r="H23" i="14" s="1"/>
  <c r="G23" i="14"/>
  <c r="G23" i="12"/>
  <c r="H17" i="12"/>
  <c r="H23" i="12" s="1"/>
  <c r="G23" i="10"/>
  <c r="H17" i="10"/>
  <c r="H23" i="10" s="1"/>
  <c r="G23" i="8"/>
  <c r="H17" i="8"/>
  <c r="H23" i="8" s="1"/>
  <c r="G23" i="13"/>
  <c r="H17" i="13"/>
  <c r="H23" i="13" s="1"/>
  <c r="G23" i="11"/>
  <c r="H17" i="11"/>
  <c r="H23" i="11" s="1"/>
  <c r="G23" i="9"/>
  <c r="H17" i="9"/>
  <c r="H23" i="9" s="1"/>
  <c r="H17" i="7"/>
  <c r="H23" i="7" s="1"/>
  <c r="G23" i="7"/>
  <c r="H17" i="5"/>
  <c r="H23" i="5" s="1"/>
  <c r="G23" i="5"/>
  <c r="H17" i="6"/>
  <c r="H23" i="6" s="1"/>
  <c r="G23" i="6"/>
  <c r="H17" i="4"/>
  <c r="H23" i="4" s="1"/>
  <c r="G23" i="4"/>
  <c r="H17" i="3"/>
  <c r="H23" i="3" s="1"/>
  <c r="G23" i="3"/>
  <c r="H17" i="2"/>
  <c r="H23" i="2" s="1"/>
  <c r="G23" i="2"/>
  <c r="F17" i="1" l="1"/>
  <c r="F23" i="1" s="1"/>
  <c r="E17" i="1"/>
  <c r="E23" i="1" s="1"/>
  <c r="C17" i="1"/>
  <c r="C23" i="1" s="1"/>
  <c r="B17" i="1"/>
  <c r="B23" i="1" s="1"/>
  <c r="G9" i="1" l="1"/>
  <c r="G10" i="1"/>
  <c r="G11" i="1"/>
  <c r="G12" i="1"/>
  <c r="G13" i="1"/>
  <c r="G14" i="1"/>
  <c r="G15" i="1"/>
  <c r="G16" i="1"/>
  <c r="G17" i="1"/>
  <c r="G23" i="1" s="1"/>
  <c r="G18" i="1"/>
  <c r="G19" i="1"/>
  <c r="G20" i="1"/>
  <c r="G21" i="1"/>
  <c r="G22" i="1"/>
  <c r="D9" i="1"/>
  <c r="D10" i="1"/>
  <c r="D11" i="1"/>
  <c r="D12" i="1"/>
  <c r="D13" i="1"/>
  <c r="D14" i="1"/>
  <c r="D15" i="1"/>
  <c r="D16" i="1"/>
  <c r="H16" i="1" s="1"/>
  <c r="D17" i="1"/>
  <c r="D18" i="1"/>
  <c r="D19" i="1"/>
  <c r="D20" i="1"/>
  <c r="D21" i="1"/>
  <c r="D22" i="1"/>
  <c r="D23" i="1" l="1"/>
  <c r="H12" i="1"/>
  <c r="H20" i="1"/>
  <c r="H19" i="1"/>
  <c r="H15" i="1"/>
  <c r="H11" i="1"/>
  <c r="H9" i="1"/>
  <c r="H22" i="1"/>
  <c r="H18" i="1"/>
  <c r="H14" i="1"/>
  <c r="H10" i="1"/>
  <c r="H21" i="1"/>
  <c r="H17" i="1"/>
  <c r="H13" i="1"/>
  <c r="H23" i="1" l="1"/>
</calcChain>
</file>

<file path=xl/sharedStrings.xml><?xml version="1.0" encoding="utf-8"?>
<sst xmlns="http://schemas.openxmlformats.org/spreadsheetml/2006/main" count="510" uniqueCount="24">
  <si>
    <t>Total</t>
  </si>
  <si>
    <t>Undergraduate</t>
  </si>
  <si>
    <t>Graduate</t>
  </si>
  <si>
    <t>Table N</t>
  </si>
  <si>
    <t>Country/Region</t>
  </si>
  <si>
    <t>England</t>
  </si>
  <si>
    <t>Greater London</t>
  </si>
  <si>
    <t>South East</t>
  </si>
  <si>
    <t>South West</t>
  </si>
  <si>
    <t>North and Yorkshire</t>
  </si>
  <si>
    <t>North West</t>
  </si>
  <si>
    <t>Midlands</t>
  </si>
  <si>
    <t>East Anglia</t>
  </si>
  <si>
    <t>Not Known</t>
  </si>
  <si>
    <t>Northern Ireland</t>
  </si>
  <si>
    <t>Scotland</t>
  </si>
  <si>
    <t>Wales</t>
  </si>
  <si>
    <t>Channel Isles and Isle of Man</t>
  </si>
  <si>
    <t>This table is concerned with students whose domicile at the time of application is within the UK irrespective of nationality.</t>
  </si>
  <si>
    <t>The sum of Tables N and O is equivalent to the total number of students attending UCL.</t>
  </si>
  <si>
    <t>Full Time</t>
  </si>
  <si>
    <t>Part Time</t>
  </si>
  <si>
    <t>Subtotal</t>
  </si>
  <si>
    <t>Students Domiciled within the UK by Method of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</si>
</sst>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8.5"/>
      <color theme="1"/>
      <name val="Arial"/>
      <family val="2"/>
    </font>
    <font>
      <b/>
      <sz val="10"/>
      <color theme="1"/>
      <name val="Arial"/>
      <family val="2"/>
    </font>
    <font>
      <b/>
      <sz val="8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3" xfId="0" applyFont="1" applyBorder="1"/>
    <xf numFmtId="0" fontId="5" fillId="0" borderId="2" xfId="0" applyFont="1" applyBorder="1"/>
    <xf numFmtId="0" fontId="5" fillId="0" borderId="13" xfId="0" applyFont="1" applyBorder="1"/>
    <xf numFmtId="0" fontId="3" fillId="0" borderId="15" xfId="0" applyFont="1" applyBorder="1"/>
    <xf numFmtId="0" fontId="3" fillId="0" borderId="20" xfId="0" applyFont="1" applyBorder="1"/>
    <xf numFmtId="0" fontId="5" fillId="0" borderId="22" xfId="0" applyFont="1" applyBorder="1"/>
    <xf numFmtId="0" fontId="5" fillId="0" borderId="14" xfId="0" applyFont="1" applyBorder="1"/>
    <xf numFmtId="0" fontId="5" fillId="0" borderId="4" xfId="0" applyFont="1" applyBorder="1"/>
    <xf numFmtId="0" fontId="5" fillId="0" borderId="8" xfId="0" applyFont="1" applyBorder="1"/>
    <xf numFmtId="0" fontId="8" fillId="0" borderId="17" xfId="0" applyFont="1" applyBorder="1"/>
    <xf numFmtId="0" fontId="8" fillId="0" borderId="19" xfId="0" applyFont="1" applyBorder="1"/>
    <xf numFmtId="0" fontId="5" fillId="0" borderId="24" xfId="0" applyFont="1" applyBorder="1"/>
    <xf numFmtId="0" fontId="10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5" xfId="0" applyFont="1" applyBorder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9" fillId="0" borderId="29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6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2"/>
  <sheetViews>
    <sheetView tabSelected="1" view="pageLayout" zoomScaleNormal="100" workbookViewId="0">
      <selection activeCell="B5" sqref="B5:D5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2011-12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3410</v>
      </c>
      <c r="C9" s="4">
        <v>113</v>
      </c>
      <c r="D9" s="5">
        <f t="shared" ref="D9:D22" si="0">B9+C9</f>
        <v>3523</v>
      </c>
      <c r="E9" s="6">
        <v>2064</v>
      </c>
      <c r="F9" s="4">
        <v>1591</v>
      </c>
      <c r="G9" s="5">
        <f t="shared" ref="G9:G22" si="1">E9+F9</f>
        <v>3655</v>
      </c>
      <c r="H9" s="9">
        <f>G9+D9</f>
        <v>7178</v>
      </c>
    </row>
    <row r="10" spans="1:8" x14ac:dyDescent="0.25">
      <c r="A10" s="13" t="s">
        <v>7</v>
      </c>
      <c r="B10" s="6">
        <v>1921</v>
      </c>
      <c r="C10" s="4">
        <v>37</v>
      </c>
      <c r="D10" s="5">
        <f t="shared" si="0"/>
        <v>1958</v>
      </c>
      <c r="E10" s="6">
        <v>709</v>
      </c>
      <c r="F10" s="4">
        <v>437</v>
      </c>
      <c r="G10" s="5">
        <f t="shared" si="1"/>
        <v>1146</v>
      </c>
      <c r="H10" s="9">
        <f t="shared" ref="H10:H22" si="2">G10+D10</f>
        <v>3104</v>
      </c>
    </row>
    <row r="11" spans="1:8" x14ac:dyDescent="0.25">
      <c r="A11" s="13" t="s">
        <v>8</v>
      </c>
      <c r="B11" s="6">
        <v>667</v>
      </c>
      <c r="C11" s="4">
        <v>11</v>
      </c>
      <c r="D11" s="5">
        <f t="shared" si="0"/>
        <v>678</v>
      </c>
      <c r="E11" s="6">
        <v>176</v>
      </c>
      <c r="F11" s="4">
        <v>96</v>
      </c>
      <c r="G11" s="5">
        <f t="shared" si="1"/>
        <v>272</v>
      </c>
      <c r="H11" s="9">
        <f t="shared" si="2"/>
        <v>950</v>
      </c>
    </row>
    <row r="12" spans="1:8" x14ac:dyDescent="0.25">
      <c r="A12" s="13" t="s">
        <v>9</v>
      </c>
      <c r="B12" s="6">
        <v>470</v>
      </c>
      <c r="C12" s="4">
        <v>8</v>
      </c>
      <c r="D12" s="5">
        <f t="shared" si="0"/>
        <v>478</v>
      </c>
      <c r="E12" s="6">
        <v>139</v>
      </c>
      <c r="F12" s="4">
        <v>70</v>
      </c>
      <c r="G12" s="5">
        <f t="shared" si="1"/>
        <v>209</v>
      </c>
      <c r="H12" s="9">
        <f t="shared" si="2"/>
        <v>687</v>
      </c>
    </row>
    <row r="13" spans="1:8" x14ac:dyDescent="0.25">
      <c r="A13" s="13" t="s">
        <v>10</v>
      </c>
      <c r="B13" s="6">
        <v>427</v>
      </c>
      <c r="C13" s="4">
        <v>3</v>
      </c>
      <c r="D13" s="5">
        <f t="shared" si="0"/>
        <v>430</v>
      </c>
      <c r="E13" s="6">
        <v>140</v>
      </c>
      <c r="F13" s="4">
        <v>71</v>
      </c>
      <c r="G13" s="5">
        <f t="shared" si="1"/>
        <v>211</v>
      </c>
      <c r="H13" s="9">
        <f t="shared" si="2"/>
        <v>641</v>
      </c>
    </row>
    <row r="14" spans="1:8" x14ac:dyDescent="0.25">
      <c r="A14" s="13" t="s">
        <v>11</v>
      </c>
      <c r="B14" s="6">
        <v>665</v>
      </c>
      <c r="C14" s="4">
        <v>7</v>
      </c>
      <c r="D14" s="5">
        <f t="shared" si="0"/>
        <v>672</v>
      </c>
      <c r="E14" s="6">
        <v>212</v>
      </c>
      <c r="F14" s="4">
        <v>126</v>
      </c>
      <c r="G14" s="5">
        <f t="shared" si="1"/>
        <v>338</v>
      </c>
      <c r="H14" s="9">
        <f t="shared" si="2"/>
        <v>1010</v>
      </c>
    </row>
    <row r="15" spans="1:8" x14ac:dyDescent="0.25">
      <c r="A15" s="13" t="s">
        <v>12</v>
      </c>
      <c r="B15" s="6">
        <v>389</v>
      </c>
      <c r="C15" s="4">
        <v>5</v>
      </c>
      <c r="D15" s="5">
        <f t="shared" si="0"/>
        <v>394</v>
      </c>
      <c r="E15" s="6">
        <v>148</v>
      </c>
      <c r="F15" s="4">
        <v>93</v>
      </c>
      <c r="G15" s="5">
        <f t="shared" si="1"/>
        <v>241</v>
      </c>
      <c r="H15" s="9">
        <f t="shared" si="2"/>
        <v>635</v>
      </c>
    </row>
    <row r="16" spans="1:8" ht="15.75" thickBot="1" x14ac:dyDescent="0.3">
      <c r="A16" s="14" t="s">
        <v>13</v>
      </c>
      <c r="B16" s="10">
        <v>64</v>
      </c>
      <c r="C16" s="11"/>
      <c r="D16" s="12">
        <f t="shared" si="0"/>
        <v>64</v>
      </c>
      <c r="E16" s="10">
        <v>32</v>
      </c>
      <c r="F16" s="11">
        <v>12</v>
      </c>
      <c r="G16" s="12">
        <f t="shared" si="1"/>
        <v>44</v>
      </c>
      <c r="H16" s="15">
        <f t="shared" si="2"/>
        <v>108</v>
      </c>
    </row>
    <row r="17" spans="1:8" ht="16.5" thickTop="1" thickBot="1" x14ac:dyDescent="0.3">
      <c r="A17" s="16" t="s">
        <v>22</v>
      </c>
      <c r="B17" s="17">
        <f>SUM(B9:B16)</f>
        <v>8013</v>
      </c>
      <c r="C17" s="17">
        <f>SUM(C9:C16)</f>
        <v>184</v>
      </c>
      <c r="D17" s="18">
        <f t="shared" si="0"/>
        <v>8197</v>
      </c>
      <c r="E17" s="17">
        <f>SUM(E9:E16)</f>
        <v>3620</v>
      </c>
      <c r="F17" s="17">
        <f>SUM(F9:F16)</f>
        <v>2496</v>
      </c>
      <c r="G17" s="18">
        <f t="shared" si="1"/>
        <v>6116</v>
      </c>
      <c r="H17" s="19">
        <f t="shared" si="2"/>
        <v>14313</v>
      </c>
    </row>
    <row r="18" spans="1:8" ht="15.75" thickTop="1" x14ac:dyDescent="0.25">
      <c r="A18" s="13" t="s">
        <v>14</v>
      </c>
      <c r="B18" s="6">
        <v>61</v>
      </c>
      <c r="C18" s="4"/>
      <c r="D18" s="5">
        <f t="shared" si="0"/>
        <v>61</v>
      </c>
      <c r="E18" s="6">
        <v>12</v>
      </c>
      <c r="F18" s="4">
        <v>11</v>
      </c>
      <c r="G18" s="5">
        <f t="shared" si="1"/>
        <v>23</v>
      </c>
      <c r="H18" s="9">
        <f t="shared" si="2"/>
        <v>84</v>
      </c>
    </row>
    <row r="19" spans="1:8" x14ac:dyDescent="0.25">
      <c r="A19" s="13" t="s">
        <v>15</v>
      </c>
      <c r="B19" s="6">
        <v>78</v>
      </c>
      <c r="C19" s="4"/>
      <c r="D19" s="5">
        <f t="shared" si="0"/>
        <v>78</v>
      </c>
      <c r="E19" s="6">
        <v>85</v>
      </c>
      <c r="F19" s="4">
        <v>27</v>
      </c>
      <c r="G19" s="5">
        <f t="shared" si="1"/>
        <v>112</v>
      </c>
      <c r="H19" s="9">
        <f t="shared" si="2"/>
        <v>190</v>
      </c>
    </row>
    <row r="20" spans="1:8" x14ac:dyDescent="0.25">
      <c r="A20" s="13" t="s">
        <v>16</v>
      </c>
      <c r="B20" s="6">
        <v>184</v>
      </c>
      <c r="C20" s="4">
        <v>2</v>
      </c>
      <c r="D20" s="5">
        <f t="shared" si="0"/>
        <v>186</v>
      </c>
      <c r="E20" s="6">
        <v>44</v>
      </c>
      <c r="F20" s="4">
        <v>26</v>
      </c>
      <c r="G20" s="5">
        <f t="shared" si="1"/>
        <v>70</v>
      </c>
      <c r="H20" s="9">
        <f t="shared" si="2"/>
        <v>256</v>
      </c>
    </row>
    <row r="21" spans="1:8" x14ac:dyDescent="0.25">
      <c r="A21" s="13" t="s">
        <v>17</v>
      </c>
      <c r="B21" s="6">
        <v>31</v>
      </c>
      <c r="C21" s="4">
        <v>1</v>
      </c>
      <c r="D21" s="5">
        <f t="shared" si="0"/>
        <v>32</v>
      </c>
      <c r="E21" s="6">
        <v>5</v>
      </c>
      <c r="F21" s="4">
        <v>3</v>
      </c>
      <c r="G21" s="5">
        <f t="shared" si="1"/>
        <v>8</v>
      </c>
      <c r="H21" s="9">
        <f t="shared" si="2"/>
        <v>40</v>
      </c>
    </row>
    <row r="22" spans="1:8" ht="15.75" thickBot="1" x14ac:dyDescent="0.3">
      <c r="A22" s="14" t="s">
        <v>13</v>
      </c>
      <c r="B22" s="10">
        <v>5</v>
      </c>
      <c r="C22" s="11">
        <v>3</v>
      </c>
      <c r="D22" s="12">
        <f t="shared" si="0"/>
        <v>8</v>
      </c>
      <c r="E22" s="10">
        <v>52</v>
      </c>
      <c r="F22" s="11">
        <v>8</v>
      </c>
      <c r="G22" s="12">
        <f t="shared" si="1"/>
        <v>60</v>
      </c>
      <c r="H22" s="15">
        <f t="shared" si="2"/>
        <v>68</v>
      </c>
    </row>
    <row r="23" spans="1:8" ht="16.5" thickTop="1" thickBot="1" x14ac:dyDescent="0.3">
      <c r="A23" s="8" t="s">
        <v>0</v>
      </c>
      <c r="B23" s="7">
        <f>SUM(B17:B22)</f>
        <v>8372</v>
      </c>
      <c r="C23" s="7">
        <f t="shared" ref="C23:H23" si="3">SUM(C17:C22)</f>
        <v>190</v>
      </c>
      <c r="D23" s="7">
        <f t="shared" si="3"/>
        <v>8562</v>
      </c>
      <c r="E23" s="7">
        <f t="shared" si="3"/>
        <v>3818</v>
      </c>
      <c r="F23" s="7">
        <f t="shared" si="3"/>
        <v>2571</v>
      </c>
      <c r="G23" s="7">
        <f t="shared" si="3"/>
        <v>6389</v>
      </c>
      <c r="H23" s="7">
        <f t="shared" si="3"/>
        <v>14951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2"/>
  <sheetViews>
    <sheetView view="pageLayout" topLeftCell="A7" zoomScale="70" zoomScaleNormal="100" zoomScalePageLayoutView="70" workbookViewId="0">
      <selection activeCell="A13" sqref="A13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2010-11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3659</v>
      </c>
      <c r="C9" s="4">
        <v>133</v>
      </c>
      <c r="D9" s="5">
        <f t="shared" ref="D9:D22" si="0">B9+C9</f>
        <v>3792</v>
      </c>
      <c r="E9" s="6">
        <v>1965</v>
      </c>
      <c r="F9" s="4">
        <v>1570</v>
      </c>
      <c r="G9" s="5">
        <f t="shared" ref="G9:G22" si="1">E9+F9</f>
        <v>3535</v>
      </c>
      <c r="H9" s="9">
        <f>G9+D9</f>
        <v>7327</v>
      </c>
    </row>
    <row r="10" spans="1:8" x14ac:dyDescent="0.25">
      <c r="A10" s="13" t="s">
        <v>7</v>
      </c>
      <c r="B10" s="6">
        <v>1900</v>
      </c>
      <c r="C10" s="4">
        <v>36</v>
      </c>
      <c r="D10" s="5">
        <f t="shared" si="0"/>
        <v>1936</v>
      </c>
      <c r="E10" s="6">
        <v>673</v>
      </c>
      <c r="F10" s="4">
        <v>478</v>
      </c>
      <c r="G10" s="5">
        <f t="shared" si="1"/>
        <v>1151</v>
      </c>
      <c r="H10" s="9">
        <f t="shared" ref="H10:H22" si="2">G10+D10</f>
        <v>3087</v>
      </c>
    </row>
    <row r="11" spans="1:8" x14ac:dyDescent="0.25">
      <c r="A11" s="13" t="s">
        <v>8</v>
      </c>
      <c r="B11" s="6">
        <v>613</v>
      </c>
      <c r="C11" s="4">
        <v>10</v>
      </c>
      <c r="D11" s="5">
        <f t="shared" si="0"/>
        <v>623</v>
      </c>
      <c r="E11" s="6">
        <v>190</v>
      </c>
      <c r="F11" s="4">
        <v>95</v>
      </c>
      <c r="G11" s="5">
        <f t="shared" si="1"/>
        <v>285</v>
      </c>
      <c r="H11" s="9">
        <f t="shared" si="2"/>
        <v>908</v>
      </c>
    </row>
    <row r="12" spans="1:8" x14ac:dyDescent="0.25">
      <c r="A12" s="13" t="s">
        <v>9</v>
      </c>
      <c r="B12" s="6">
        <v>447</v>
      </c>
      <c r="C12" s="4">
        <v>6</v>
      </c>
      <c r="D12" s="5">
        <f t="shared" si="0"/>
        <v>453</v>
      </c>
      <c r="E12" s="6">
        <v>140</v>
      </c>
      <c r="F12" s="4">
        <v>73</v>
      </c>
      <c r="G12" s="5">
        <f t="shared" si="1"/>
        <v>213</v>
      </c>
      <c r="H12" s="9">
        <f t="shared" si="2"/>
        <v>666</v>
      </c>
    </row>
    <row r="13" spans="1:8" x14ac:dyDescent="0.25">
      <c r="A13" s="13" t="s">
        <v>10</v>
      </c>
      <c r="B13" s="6">
        <v>413</v>
      </c>
      <c r="C13" s="4">
        <v>8</v>
      </c>
      <c r="D13" s="5">
        <f t="shared" si="0"/>
        <v>421</v>
      </c>
      <c r="E13" s="6">
        <v>116</v>
      </c>
      <c r="F13" s="4">
        <v>60</v>
      </c>
      <c r="G13" s="5">
        <f t="shared" si="1"/>
        <v>176</v>
      </c>
      <c r="H13" s="9">
        <f t="shared" si="2"/>
        <v>597</v>
      </c>
    </row>
    <row r="14" spans="1:8" x14ac:dyDescent="0.25">
      <c r="A14" s="13" t="s">
        <v>11</v>
      </c>
      <c r="B14" s="6">
        <v>687</v>
      </c>
      <c r="C14" s="4">
        <v>4</v>
      </c>
      <c r="D14" s="5">
        <f t="shared" si="0"/>
        <v>691</v>
      </c>
      <c r="E14" s="6">
        <v>170</v>
      </c>
      <c r="F14" s="4">
        <v>117</v>
      </c>
      <c r="G14" s="5">
        <f t="shared" si="1"/>
        <v>287</v>
      </c>
      <c r="H14" s="9">
        <f t="shared" si="2"/>
        <v>978</v>
      </c>
    </row>
    <row r="15" spans="1:8" x14ac:dyDescent="0.25">
      <c r="A15" s="13" t="s">
        <v>12</v>
      </c>
      <c r="B15" s="6">
        <v>389</v>
      </c>
      <c r="C15" s="4">
        <v>5</v>
      </c>
      <c r="D15" s="5">
        <f t="shared" si="0"/>
        <v>394</v>
      </c>
      <c r="E15" s="6">
        <v>129</v>
      </c>
      <c r="F15" s="4">
        <v>102</v>
      </c>
      <c r="G15" s="5">
        <f t="shared" si="1"/>
        <v>231</v>
      </c>
      <c r="H15" s="9">
        <f t="shared" si="2"/>
        <v>625</v>
      </c>
    </row>
    <row r="16" spans="1:8" ht="15.75" thickBot="1" x14ac:dyDescent="0.3">
      <c r="A16" s="14" t="s">
        <v>13</v>
      </c>
      <c r="B16" s="10">
        <v>58</v>
      </c>
      <c r="C16" s="11">
        <v>2</v>
      </c>
      <c r="D16" s="12">
        <f t="shared" si="0"/>
        <v>60</v>
      </c>
      <c r="E16" s="10">
        <v>10</v>
      </c>
      <c r="F16" s="11">
        <v>4</v>
      </c>
      <c r="G16" s="12">
        <f t="shared" si="1"/>
        <v>14</v>
      </c>
      <c r="H16" s="15">
        <f t="shared" si="2"/>
        <v>74</v>
      </c>
    </row>
    <row r="17" spans="1:8" ht="16.5" thickTop="1" thickBot="1" x14ac:dyDescent="0.3">
      <c r="A17" s="16" t="s">
        <v>22</v>
      </c>
      <c r="B17" s="17">
        <f>SUM(B9:B16)</f>
        <v>8166</v>
      </c>
      <c r="C17" s="17">
        <f>SUM(C9:C16)</f>
        <v>204</v>
      </c>
      <c r="D17" s="18">
        <f t="shared" si="0"/>
        <v>8370</v>
      </c>
      <c r="E17" s="17">
        <f>SUM(E9:E16)</f>
        <v>3393</v>
      </c>
      <c r="F17" s="17">
        <f>SUM(F9:F16)</f>
        <v>2499</v>
      </c>
      <c r="G17" s="18">
        <f t="shared" si="1"/>
        <v>5892</v>
      </c>
      <c r="H17" s="19">
        <f t="shared" si="2"/>
        <v>14262</v>
      </c>
    </row>
    <row r="18" spans="1:8" ht="15.75" thickTop="1" x14ac:dyDescent="0.25">
      <c r="A18" s="13" t="s">
        <v>14</v>
      </c>
      <c r="B18" s="6">
        <v>56</v>
      </c>
      <c r="C18" s="4">
        <v>2</v>
      </c>
      <c r="D18" s="5">
        <f t="shared" si="0"/>
        <v>58</v>
      </c>
      <c r="E18" s="6">
        <v>14</v>
      </c>
      <c r="F18" s="4">
        <v>10</v>
      </c>
      <c r="G18" s="5">
        <f t="shared" si="1"/>
        <v>24</v>
      </c>
      <c r="H18" s="9">
        <f t="shared" si="2"/>
        <v>82</v>
      </c>
    </row>
    <row r="19" spans="1:8" x14ac:dyDescent="0.25">
      <c r="A19" s="13" t="s">
        <v>15</v>
      </c>
      <c r="B19" s="6">
        <v>70</v>
      </c>
      <c r="C19" s="4">
        <v>2</v>
      </c>
      <c r="D19" s="5">
        <f t="shared" si="0"/>
        <v>72</v>
      </c>
      <c r="E19" s="6">
        <v>79</v>
      </c>
      <c r="F19" s="4">
        <v>27</v>
      </c>
      <c r="G19" s="5">
        <f t="shared" si="1"/>
        <v>106</v>
      </c>
      <c r="H19" s="9">
        <f t="shared" si="2"/>
        <v>178</v>
      </c>
    </row>
    <row r="20" spans="1:8" x14ac:dyDescent="0.25">
      <c r="A20" s="13" t="s">
        <v>16</v>
      </c>
      <c r="B20" s="6">
        <v>203</v>
      </c>
      <c r="C20" s="4">
        <v>2</v>
      </c>
      <c r="D20" s="5">
        <f t="shared" si="0"/>
        <v>205</v>
      </c>
      <c r="E20" s="6">
        <v>53</v>
      </c>
      <c r="F20" s="4">
        <v>33</v>
      </c>
      <c r="G20" s="5">
        <f t="shared" si="1"/>
        <v>86</v>
      </c>
      <c r="H20" s="9">
        <f t="shared" si="2"/>
        <v>291</v>
      </c>
    </row>
    <row r="21" spans="1:8" x14ac:dyDescent="0.25">
      <c r="A21" s="13" t="s">
        <v>17</v>
      </c>
      <c r="B21" s="6">
        <v>27</v>
      </c>
      <c r="C21" s="4">
        <v>0</v>
      </c>
      <c r="D21" s="5">
        <f t="shared" si="0"/>
        <v>27</v>
      </c>
      <c r="E21" s="6">
        <v>2</v>
      </c>
      <c r="F21" s="4">
        <v>2</v>
      </c>
      <c r="G21" s="5">
        <f t="shared" si="1"/>
        <v>4</v>
      </c>
      <c r="H21" s="9">
        <f t="shared" si="2"/>
        <v>31</v>
      </c>
    </row>
    <row r="22" spans="1:8" ht="15.75" thickBot="1" x14ac:dyDescent="0.3">
      <c r="A22" s="14" t="s">
        <v>13</v>
      </c>
      <c r="B22" s="10">
        <v>2</v>
      </c>
      <c r="C22" s="11">
        <v>7</v>
      </c>
      <c r="D22" s="12">
        <f t="shared" si="0"/>
        <v>9</v>
      </c>
      <c r="E22" s="10">
        <v>6</v>
      </c>
      <c r="F22" s="11">
        <v>1</v>
      </c>
      <c r="G22" s="12">
        <f t="shared" si="1"/>
        <v>7</v>
      </c>
      <c r="H22" s="15">
        <f t="shared" si="2"/>
        <v>16</v>
      </c>
    </row>
    <row r="23" spans="1:8" ht="16.5" thickTop="1" thickBot="1" x14ac:dyDescent="0.3">
      <c r="A23" s="8" t="s">
        <v>0</v>
      </c>
      <c r="B23" s="7">
        <f>SUM(B17:B22)</f>
        <v>8524</v>
      </c>
      <c r="C23" s="7">
        <f t="shared" ref="C23:H23" si="3">SUM(C17:C22)</f>
        <v>217</v>
      </c>
      <c r="D23" s="7">
        <f t="shared" si="3"/>
        <v>8741</v>
      </c>
      <c r="E23" s="7">
        <f t="shared" si="3"/>
        <v>3547</v>
      </c>
      <c r="F23" s="7">
        <f t="shared" si="3"/>
        <v>2572</v>
      </c>
      <c r="G23" s="7">
        <f t="shared" si="3"/>
        <v>6119</v>
      </c>
      <c r="H23" s="7">
        <f t="shared" si="3"/>
        <v>14860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32"/>
  <sheetViews>
    <sheetView view="pageLayout" topLeftCell="B4" zoomScale="85" zoomScaleNormal="100" zoomScalePageLayoutView="85" workbookViewId="0">
      <selection activeCell="E18" sqref="E18:F22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2009-10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3428</v>
      </c>
      <c r="C9" s="4">
        <v>120</v>
      </c>
      <c r="D9" s="5">
        <f t="shared" ref="D9:D22" si="0">B9+C9</f>
        <v>3548</v>
      </c>
      <c r="E9" s="6">
        <v>1721</v>
      </c>
      <c r="F9" s="4">
        <v>1417</v>
      </c>
      <c r="G9" s="5">
        <f t="shared" ref="G9:G22" si="1">E9+F9</f>
        <v>3138</v>
      </c>
      <c r="H9" s="9">
        <f>G9+D9</f>
        <v>6686</v>
      </c>
    </row>
    <row r="10" spans="1:8" x14ac:dyDescent="0.25">
      <c r="A10" s="13" t="s">
        <v>7</v>
      </c>
      <c r="B10" s="6">
        <v>2274</v>
      </c>
      <c r="C10" s="4">
        <v>39</v>
      </c>
      <c r="D10" s="5">
        <f t="shared" si="0"/>
        <v>2313</v>
      </c>
      <c r="E10" s="6">
        <v>763</v>
      </c>
      <c r="F10" s="4">
        <v>569</v>
      </c>
      <c r="G10" s="5">
        <f t="shared" si="1"/>
        <v>1332</v>
      </c>
      <c r="H10" s="9">
        <f t="shared" ref="H10:H22" si="2">G10+D10</f>
        <v>3645</v>
      </c>
    </row>
    <row r="11" spans="1:8" x14ac:dyDescent="0.25">
      <c r="A11" s="13" t="s">
        <v>8</v>
      </c>
      <c r="B11" s="6">
        <v>561</v>
      </c>
      <c r="C11" s="4">
        <v>5</v>
      </c>
      <c r="D11" s="5">
        <f t="shared" si="0"/>
        <v>566</v>
      </c>
      <c r="E11" s="6">
        <v>164</v>
      </c>
      <c r="F11" s="4">
        <v>97</v>
      </c>
      <c r="G11" s="5">
        <f t="shared" si="1"/>
        <v>261</v>
      </c>
      <c r="H11" s="9">
        <f t="shared" si="2"/>
        <v>827</v>
      </c>
    </row>
    <row r="12" spans="1:8" x14ac:dyDescent="0.25">
      <c r="A12" s="13" t="s">
        <v>9</v>
      </c>
      <c r="B12" s="6">
        <v>416</v>
      </c>
      <c r="C12" s="4">
        <v>4</v>
      </c>
      <c r="D12" s="5">
        <f t="shared" si="0"/>
        <v>420</v>
      </c>
      <c r="E12" s="6">
        <v>123</v>
      </c>
      <c r="F12" s="4">
        <v>63</v>
      </c>
      <c r="G12" s="5">
        <f t="shared" si="1"/>
        <v>186</v>
      </c>
      <c r="H12" s="9">
        <f t="shared" si="2"/>
        <v>606</v>
      </c>
    </row>
    <row r="13" spans="1:8" x14ac:dyDescent="0.25">
      <c r="A13" s="13" t="s">
        <v>10</v>
      </c>
      <c r="B13" s="6">
        <v>358</v>
      </c>
      <c r="C13" s="4">
        <v>4</v>
      </c>
      <c r="D13" s="5">
        <f t="shared" si="0"/>
        <v>362</v>
      </c>
      <c r="E13" s="6">
        <v>77</v>
      </c>
      <c r="F13" s="4">
        <v>57</v>
      </c>
      <c r="G13" s="5">
        <f t="shared" si="1"/>
        <v>134</v>
      </c>
      <c r="H13" s="9">
        <f t="shared" si="2"/>
        <v>496</v>
      </c>
    </row>
    <row r="14" spans="1:8" x14ac:dyDescent="0.25">
      <c r="A14" s="13" t="s">
        <v>11</v>
      </c>
      <c r="B14" s="6">
        <v>716</v>
      </c>
      <c r="C14" s="4">
        <v>9</v>
      </c>
      <c r="D14" s="5">
        <f t="shared" si="0"/>
        <v>725</v>
      </c>
      <c r="E14" s="6">
        <v>179</v>
      </c>
      <c r="F14" s="4">
        <v>138</v>
      </c>
      <c r="G14" s="5">
        <f t="shared" si="1"/>
        <v>317</v>
      </c>
      <c r="H14" s="9">
        <f t="shared" si="2"/>
        <v>1042</v>
      </c>
    </row>
    <row r="15" spans="1:8" x14ac:dyDescent="0.25">
      <c r="A15" s="13" t="s">
        <v>12</v>
      </c>
      <c r="B15" s="6">
        <v>352</v>
      </c>
      <c r="C15" s="4">
        <v>7</v>
      </c>
      <c r="D15" s="5">
        <f t="shared" si="0"/>
        <v>359</v>
      </c>
      <c r="E15" s="6">
        <v>114</v>
      </c>
      <c r="F15" s="4">
        <v>95</v>
      </c>
      <c r="G15" s="5">
        <f t="shared" si="1"/>
        <v>209</v>
      </c>
      <c r="H15" s="9">
        <f t="shared" si="2"/>
        <v>568</v>
      </c>
    </row>
    <row r="16" spans="1:8" ht="15.75" thickBot="1" x14ac:dyDescent="0.3">
      <c r="A16" s="14" t="s">
        <v>13</v>
      </c>
      <c r="B16" s="10">
        <v>15</v>
      </c>
      <c r="C16" s="11">
        <v>1</v>
      </c>
      <c r="D16" s="12">
        <f t="shared" si="0"/>
        <v>16</v>
      </c>
      <c r="E16" s="10">
        <v>18</v>
      </c>
      <c r="F16" s="11">
        <v>10</v>
      </c>
      <c r="G16" s="12">
        <f t="shared" si="1"/>
        <v>28</v>
      </c>
      <c r="H16" s="15">
        <f t="shared" si="2"/>
        <v>44</v>
      </c>
    </row>
    <row r="17" spans="1:8" ht="16.5" thickTop="1" thickBot="1" x14ac:dyDescent="0.3">
      <c r="A17" s="16" t="s">
        <v>22</v>
      </c>
      <c r="B17" s="17">
        <f>SUM(B9:B16)</f>
        <v>8120</v>
      </c>
      <c r="C17" s="17">
        <f>SUM(C9:C16)</f>
        <v>189</v>
      </c>
      <c r="D17" s="18">
        <f t="shared" si="0"/>
        <v>8309</v>
      </c>
      <c r="E17" s="17">
        <f>SUM(E9:E16)</f>
        <v>3159</v>
      </c>
      <c r="F17" s="17">
        <f>SUM(F9:F16)</f>
        <v>2446</v>
      </c>
      <c r="G17" s="18">
        <f t="shared" si="1"/>
        <v>5605</v>
      </c>
      <c r="H17" s="19">
        <f t="shared" si="2"/>
        <v>13914</v>
      </c>
    </row>
    <row r="18" spans="1:8" ht="15.75" thickTop="1" x14ac:dyDescent="0.25">
      <c r="A18" s="13" t="s">
        <v>14</v>
      </c>
      <c r="B18" s="6">
        <v>67</v>
      </c>
      <c r="C18" s="4">
        <v>1</v>
      </c>
      <c r="D18" s="5">
        <f t="shared" si="0"/>
        <v>68</v>
      </c>
      <c r="E18" s="6">
        <v>13</v>
      </c>
      <c r="F18" s="4">
        <v>13</v>
      </c>
      <c r="G18" s="5">
        <f t="shared" si="1"/>
        <v>26</v>
      </c>
      <c r="H18" s="9">
        <f t="shared" si="2"/>
        <v>94</v>
      </c>
    </row>
    <row r="19" spans="1:8" x14ac:dyDescent="0.25">
      <c r="A19" s="13" t="s">
        <v>15</v>
      </c>
      <c r="B19" s="6">
        <v>85</v>
      </c>
      <c r="C19" s="4">
        <v>2</v>
      </c>
      <c r="D19" s="5">
        <f t="shared" si="0"/>
        <v>87</v>
      </c>
      <c r="E19" s="6">
        <v>54</v>
      </c>
      <c r="F19" s="4">
        <v>23</v>
      </c>
      <c r="G19" s="5">
        <f t="shared" si="1"/>
        <v>77</v>
      </c>
      <c r="H19" s="9">
        <f t="shared" si="2"/>
        <v>164</v>
      </c>
    </row>
    <row r="20" spans="1:8" x14ac:dyDescent="0.25">
      <c r="A20" s="13" t="s">
        <v>16</v>
      </c>
      <c r="B20" s="6">
        <v>175</v>
      </c>
      <c r="C20" s="4">
        <v>6</v>
      </c>
      <c r="D20" s="5">
        <f t="shared" si="0"/>
        <v>181</v>
      </c>
      <c r="E20" s="6">
        <v>49</v>
      </c>
      <c r="F20" s="4">
        <v>26</v>
      </c>
      <c r="G20" s="5">
        <f t="shared" si="1"/>
        <v>75</v>
      </c>
      <c r="H20" s="9">
        <f t="shared" si="2"/>
        <v>256</v>
      </c>
    </row>
    <row r="21" spans="1:8" x14ac:dyDescent="0.25">
      <c r="A21" s="13" t="s">
        <v>17</v>
      </c>
      <c r="B21" s="6">
        <v>32</v>
      </c>
      <c r="C21" s="4">
        <v>0</v>
      </c>
      <c r="D21" s="5">
        <f t="shared" si="0"/>
        <v>32</v>
      </c>
      <c r="E21" s="6">
        <v>3</v>
      </c>
      <c r="F21" s="4">
        <v>3</v>
      </c>
      <c r="G21" s="5">
        <f t="shared" si="1"/>
        <v>6</v>
      </c>
      <c r="H21" s="9">
        <f t="shared" si="2"/>
        <v>38</v>
      </c>
    </row>
    <row r="22" spans="1:8" ht="15.75" thickBot="1" x14ac:dyDescent="0.3">
      <c r="A22" s="14" t="s">
        <v>13</v>
      </c>
      <c r="B22" s="10">
        <v>2</v>
      </c>
      <c r="C22" s="11">
        <v>11</v>
      </c>
      <c r="D22" s="12">
        <f t="shared" si="0"/>
        <v>13</v>
      </c>
      <c r="E22" s="10">
        <v>5</v>
      </c>
      <c r="F22" s="11">
        <v>1</v>
      </c>
      <c r="G22" s="12">
        <f t="shared" si="1"/>
        <v>6</v>
      </c>
      <c r="H22" s="15">
        <f t="shared" si="2"/>
        <v>19</v>
      </c>
    </row>
    <row r="23" spans="1:8" ht="16.5" thickTop="1" thickBot="1" x14ac:dyDescent="0.3">
      <c r="A23" s="8" t="s">
        <v>0</v>
      </c>
      <c r="B23" s="7">
        <f>SUM(B17:B22)</f>
        <v>8481</v>
      </c>
      <c r="C23" s="7">
        <f t="shared" ref="C23:H23" si="3">SUM(C17:C22)</f>
        <v>209</v>
      </c>
      <c r="D23" s="7">
        <f t="shared" si="3"/>
        <v>8690</v>
      </c>
      <c r="E23" s="7">
        <f t="shared" si="3"/>
        <v>3283</v>
      </c>
      <c r="F23" s="7">
        <f t="shared" si="3"/>
        <v>2512</v>
      </c>
      <c r="G23" s="7">
        <f t="shared" si="3"/>
        <v>5795</v>
      </c>
      <c r="H23" s="7">
        <f t="shared" si="3"/>
        <v>14485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32"/>
  <sheetViews>
    <sheetView view="pageLayout" topLeftCell="A4" zoomScale="70" zoomScaleNormal="100" zoomScalePageLayoutView="70" workbookViewId="0">
      <selection activeCell="E18" sqref="E18:F22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2008-09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3496</v>
      </c>
      <c r="C9" s="4">
        <v>99</v>
      </c>
      <c r="D9" s="5">
        <f t="shared" ref="D9:D22" si="0">B9+C9</f>
        <v>3595</v>
      </c>
      <c r="E9" s="6">
        <v>1348</v>
      </c>
      <c r="F9" s="4">
        <v>1368</v>
      </c>
      <c r="G9" s="5">
        <f t="shared" ref="G9:G22" si="1">E9+F9</f>
        <v>2716</v>
      </c>
      <c r="H9" s="9">
        <f>G9+D9</f>
        <v>6311</v>
      </c>
    </row>
    <row r="10" spans="1:8" x14ac:dyDescent="0.25">
      <c r="A10" s="13" t="s">
        <v>7</v>
      </c>
      <c r="B10" s="6">
        <v>2313</v>
      </c>
      <c r="C10" s="4">
        <v>34</v>
      </c>
      <c r="D10" s="5">
        <f t="shared" si="0"/>
        <v>2347</v>
      </c>
      <c r="E10" s="6">
        <v>686</v>
      </c>
      <c r="F10" s="4">
        <v>617</v>
      </c>
      <c r="G10" s="5">
        <f t="shared" si="1"/>
        <v>1303</v>
      </c>
      <c r="H10" s="9">
        <f t="shared" ref="H10:H22" si="2">G10+D10</f>
        <v>3650</v>
      </c>
    </row>
    <row r="11" spans="1:8" x14ac:dyDescent="0.25">
      <c r="A11" s="13" t="s">
        <v>8</v>
      </c>
      <c r="B11" s="6">
        <v>558</v>
      </c>
      <c r="C11" s="4">
        <v>8</v>
      </c>
      <c r="D11" s="5">
        <f t="shared" si="0"/>
        <v>566</v>
      </c>
      <c r="E11" s="6">
        <v>140</v>
      </c>
      <c r="F11" s="4">
        <v>96</v>
      </c>
      <c r="G11" s="5">
        <f t="shared" si="1"/>
        <v>236</v>
      </c>
      <c r="H11" s="9">
        <f t="shared" si="2"/>
        <v>802</v>
      </c>
    </row>
    <row r="12" spans="1:8" x14ac:dyDescent="0.25">
      <c r="A12" s="13" t="s">
        <v>9</v>
      </c>
      <c r="B12" s="6">
        <v>373</v>
      </c>
      <c r="C12" s="4">
        <v>3</v>
      </c>
      <c r="D12" s="5">
        <f t="shared" si="0"/>
        <v>376</v>
      </c>
      <c r="E12" s="6">
        <v>100</v>
      </c>
      <c r="F12" s="4">
        <v>62</v>
      </c>
      <c r="G12" s="5">
        <f t="shared" si="1"/>
        <v>162</v>
      </c>
      <c r="H12" s="9">
        <f t="shared" si="2"/>
        <v>538</v>
      </c>
    </row>
    <row r="13" spans="1:8" x14ac:dyDescent="0.25">
      <c r="A13" s="13" t="s">
        <v>10</v>
      </c>
      <c r="B13" s="6">
        <v>346</v>
      </c>
      <c r="C13" s="4">
        <v>5</v>
      </c>
      <c r="D13" s="5">
        <f t="shared" si="0"/>
        <v>351</v>
      </c>
      <c r="E13" s="6">
        <v>86</v>
      </c>
      <c r="F13" s="4">
        <v>48</v>
      </c>
      <c r="G13" s="5">
        <f t="shared" si="1"/>
        <v>134</v>
      </c>
      <c r="H13" s="9">
        <f t="shared" si="2"/>
        <v>485</v>
      </c>
    </row>
    <row r="14" spans="1:8" x14ac:dyDescent="0.25">
      <c r="A14" s="13" t="s">
        <v>11</v>
      </c>
      <c r="B14" s="6">
        <v>690</v>
      </c>
      <c r="C14" s="4">
        <v>10</v>
      </c>
      <c r="D14" s="5">
        <f t="shared" si="0"/>
        <v>700</v>
      </c>
      <c r="E14" s="6">
        <v>145</v>
      </c>
      <c r="F14" s="4">
        <v>145</v>
      </c>
      <c r="G14" s="5">
        <f t="shared" si="1"/>
        <v>290</v>
      </c>
      <c r="H14" s="9">
        <f t="shared" si="2"/>
        <v>990</v>
      </c>
    </row>
    <row r="15" spans="1:8" x14ac:dyDescent="0.25">
      <c r="A15" s="13" t="s">
        <v>12</v>
      </c>
      <c r="B15" s="6">
        <v>331</v>
      </c>
      <c r="C15" s="4">
        <v>6</v>
      </c>
      <c r="D15" s="5">
        <f t="shared" si="0"/>
        <v>337</v>
      </c>
      <c r="E15" s="6">
        <v>116</v>
      </c>
      <c r="F15" s="4">
        <v>101</v>
      </c>
      <c r="G15" s="5">
        <f t="shared" si="1"/>
        <v>217</v>
      </c>
      <c r="H15" s="9">
        <f t="shared" si="2"/>
        <v>554</v>
      </c>
    </row>
    <row r="16" spans="1:8" ht="15.75" thickBot="1" x14ac:dyDescent="0.3">
      <c r="A16" s="14" t="s">
        <v>13</v>
      </c>
      <c r="B16" s="10">
        <v>2</v>
      </c>
      <c r="C16" s="11">
        <v>0</v>
      </c>
      <c r="D16" s="12">
        <f t="shared" si="0"/>
        <v>2</v>
      </c>
      <c r="E16" s="10">
        <v>5</v>
      </c>
      <c r="F16" s="11">
        <v>7</v>
      </c>
      <c r="G16" s="12">
        <f t="shared" si="1"/>
        <v>12</v>
      </c>
      <c r="H16" s="15">
        <f t="shared" si="2"/>
        <v>14</v>
      </c>
    </row>
    <row r="17" spans="1:8" ht="16.5" thickTop="1" thickBot="1" x14ac:dyDescent="0.3">
      <c r="A17" s="16" t="s">
        <v>22</v>
      </c>
      <c r="B17" s="17">
        <f>SUM(B9:B16)</f>
        <v>8109</v>
      </c>
      <c r="C17" s="17">
        <f>SUM(C9:C16)</f>
        <v>165</v>
      </c>
      <c r="D17" s="18">
        <f t="shared" si="0"/>
        <v>8274</v>
      </c>
      <c r="E17" s="17">
        <f>SUM(E9:E16)</f>
        <v>2626</v>
      </c>
      <c r="F17" s="17">
        <f>SUM(F9:F16)</f>
        <v>2444</v>
      </c>
      <c r="G17" s="18">
        <f t="shared" si="1"/>
        <v>5070</v>
      </c>
      <c r="H17" s="19">
        <f t="shared" si="2"/>
        <v>13344</v>
      </c>
    </row>
    <row r="18" spans="1:8" ht="15.75" thickTop="1" x14ac:dyDescent="0.25">
      <c r="A18" s="13" t="s">
        <v>14</v>
      </c>
      <c r="B18" s="6">
        <v>70</v>
      </c>
      <c r="C18" s="4">
        <v>4</v>
      </c>
      <c r="D18" s="5">
        <f t="shared" si="0"/>
        <v>74</v>
      </c>
      <c r="E18" s="6">
        <v>14</v>
      </c>
      <c r="F18" s="4">
        <v>12</v>
      </c>
      <c r="G18" s="5">
        <f t="shared" si="1"/>
        <v>26</v>
      </c>
      <c r="H18" s="9">
        <f t="shared" si="2"/>
        <v>100</v>
      </c>
    </row>
    <row r="19" spans="1:8" x14ac:dyDescent="0.25">
      <c r="A19" s="13" t="s">
        <v>15</v>
      </c>
      <c r="B19" s="6">
        <v>79</v>
      </c>
      <c r="C19" s="4">
        <v>0</v>
      </c>
      <c r="D19" s="5">
        <f t="shared" si="0"/>
        <v>79</v>
      </c>
      <c r="E19" s="6">
        <v>53</v>
      </c>
      <c r="F19" s="4">
        <v>22</v>
      </c>
      <c r="G19" s="5">
        <f t="shared" si="1"/>
        <v>75</v>
      </c>
      <c r="H19" s="9">
        <f t="shared" si="2"/>
        <v>154</v>
      </c>
    </row>
    <row r="20" spans="1:8" x14ac:dyDescent="0.25">
      <c r="A20" s="13" t="s">
        <v>16</v>
      </c>
      <c r="B20" s="6">
        <v>199</v>
      </c>
      <c r="C20" s="4">
        <v>2</v>
      </c>
      <c r="D20" s="5">
        <f t="shared" si="0"/>
        <v>201</v>
      </c>
      <c r="E20" s="6">
        <v>42</v>
      </c>
      <c r="F20" s="4">
        <v>27</v>
      </c>
      <c r="G20" s="5">
        <f t="shared" si="1"/>
        <v>69</v>
      </c>
      <c r="H20" s="9">
        <f t="shared" si="2"/>
        <v>270</v>
      </c>
    </row>
    <row r="21" spans="1:8" x14ac:dyDescent="0.25">
      <c r="A21" s="13" t="s">
        <v>17</v>
      </c>
      <c r="B21" s="6">
        <v>23</v>
      </c>
      <c r="C21" s="4">
        <v>1</v>
      </c>
      <c r="D21" s="5">
        <f t="shared" si="0"/>
        <v>24</v>
      </c>
      <c r="E21" s="6">
        <v>0</v>
      </c>
      <c r="F21" s="4">
        <v>5</v>
      </c>
      <c r="G21" s="5">
        <f t="shared" si="1"/>
        <v>5</v>
      </c>
      <c r="H21" s="9">
        <f t="shared" si="2"/>
        <v>29</v>
      </c>
    </row>
    <row r="22" spans="1:8" ht="15.75" thickBot="1" x14ac:dyDescent="0.3">
      <c r="A22" s="14" t="s">
        <v>13</v>
      </c>
      <c r="B22" s="10">
        <v>12</v>
      </c>
      <c r="C22" s="11">
        <v>12</v>
      </c>
      <c r="D22" s="12">
        <f t="shared" si="0"/>
        <v>24</v>
      </c>
      <c r="E22" s="10">
        <v>27</v>
      </c>
      <c r="F22" s="11">
        <v>33</v>
      </c>
      <c r="G22" s="12">
        <f t="shared" si="1"/>
        <v>60</v>
      </c>
      <c r="H22" s="15">
        <f t="shared" si="2"/>
        <v>84</v>
      </c>
    </row>
    <row r="23" spans="1:8" ht="16.5" thickTop="1" thickBot="1" x14ac:dyDescent="0.3">
      <c r="A23" s="8" t="s">
        <v>0</v>
      </c>
      <c r="B23" s="7">
        <f>SUM(B17:B22)</f>
        <v>8492</v>
      </c>
      <c r="C23" s="7">
        <f t="shared" ref="C23:H23" si="3">SUM(C17:C22)</f>
        <v>184</v>
      </c>
      <c r="D23" s="7">
        <f t="shared" si="3"/>
        <v>8676</v>
      </c>
      <c r="E23" s="7">
        <f t="shared" si="3"/>
        <v>2762</v>
      </c>
      <c r="F23" s="7">
        <f t="shared" si="3"/>
        <v>2543</v>
      </c>
      <c r="G23" s="7">
        <f t="shared" si="3"/>
        <v>5305</v>
      </c>
      <c r="H23" s="7">
        <f t="shared" si="3"/>
        <v>13981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2"/>
  <sheetViews>
    <sheetView view="pageLayout" topLeftCell="B1" zoomScale="70" zoomScaleNormal="100" zoomScalePageLayoutView="70" workbookViewId="0">
      <selection activeCell="D22" sqref="D22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2007-08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3553</v>
      </c>
      <c r="C9" s="4">
        <v>114</v>
      </c>
      <c r="D9" s="5">
        <f t="shared" ref="D9:D22" si="0">B9+C9</f>
        <v>3667</v>
      </c>
      <c r="E9" s="6">
        <v>1232</v>
      </c>
      <c r="F9" s="4">
        <v>1272</v>
      </c>
      <c r="G9" s="5">
        <f t="shared" ref="G9:G22" si="1">E9+F9</f>
        <v>2504</v>
      </c>
      <c r="H9" s="9">
        <f>G9+D9</f>
        <v>6171</v>
      </c>
    </row>
    <row r="10" spans="1:8" x14ac:dyDescent="0.25">
      <c r="A10" s="13" t="s">
        <v>7</v>
      </c>
      <c r="B10" s="6">
        <v>2301</v>
      </c>
      <c r="C10" s="4">
        <v>53</v>
      </c>
      <c r="D10" s="5">
        <f t="shared" si="0"/>
        <v>2354</v>
      </c>
      <c r="E10" s="6">
        <v>646</v>
      </c>
      <c r="F10" s="4">
        <v>619</v>
      </c>
      <c r="G10" s="5">
        <f t="shared" si="1"/>
        <v>1265</v>
      </c>
      <c r="H10" s="9">
        <f t="shared" ref="H10:H22" si="2">G10+D10</f>
        <v>3619</v>
      </c>
    </row>
    <row r="11" spans="1:8" x14ac:dyDescent="0.25">
      <c r="A11" s="13" t="s">
        <v>8</v>
      </c>
      <c r="B11" s="6">
        <v>525</v>
      </c>
      <c r="C11" s="4">
        <v>6</v>
      </c>
      <c r="D11" s="5">
        <f t="shared" si="0"/>
        <v>531</v>
      </c>
      <c r="E11" s="6">
        <v>113</v>
      </c>
      <c r="F11" s="4">
        <v>94</v>
      </c>
      <c r="G11" s="5">
        <f t="shared" si="1"/>
        <v>207</v>
      </c>
      <c r="H11" s="9">
        <f t="shared" si="2"/>
        <v>738</v>
      </c>
    </row>
    <row r="12" spans="1:8" x14ac:dyDescent="0.25">
      <c r="A12" s="13" t="s">
        <v>9</v>
      </c>
      <c r="B12" s="6">
        <v>331</v>
      </c>
      <c r="C12" s="4">
        <v>9</v>
      </c>
      <c r="D12" s="5">
        <f t="shared" si="0"/>
        <v>340</v>
      </c>
      <c r="E12" s="6">
        <v>92</v>
      </c>
      <c r="F12" s="4">
        <v>56</v>
      </c>
      <c r="G12" s="5">
        <f t="shared" si="1"/>
        <v>148</v>
      </c>
      <c r="H12" s="9">
        <f t="shared" si="2"/>
        <v>488</v>
      </c>
    </row>
    <row r="13" spans="1:8" x14ac:dyDescent="0.25">
      <c r="A13" s="13" t="s">
        <v>10</v>
      </c>
      <c r="B13" s="6">
        <v>325</v>
      </c>
      <c r="C13" s="4">
        <v>2</v>
      </c>
      <c r="D13" s="5">
        <f t="shared" si="0"/>
        <v>327</v>
      </c>
      <c r="E13" s="6">
        <v>68</v>
      </c>
      <c r="F13" s="4">
        <v>48</v>
      </c>
      <c r="G13" s="5">
        <f t="shared" si="1"/>
        <v>116</v>
      </c>
      <c r="H13" s="9">
        <f t="shared" si="2"/>
        <v>443</v>
      </c>
    </row>
    <row r="14" spans="1:8" x14ac:dyDescent="0.25">
      <c r="A14" s="13" t="s">
        <v>11</v>
      </c>
      <c r="B14" s="6">
        <v>622</v>
      </c>
      <c r="C14" s="4">
        <v>9</v>
      </c>
      <c r="D14" s="5">
        <f t="shared" si="0"/>
        <v>631</v>
      </c>
      <c r="E14" s="6">
        <v>125</v>
      </c>
      <c r="F14" s="4">
        <v>120</v>
      </c>
      <c r="G14" s="5">
        <f t="shared" si="1"/>
        <v>245</v>
      </c>
      <c r="H14" s="9">
        <f t="shared" si="2"/>
        <v>876</v>
      </c>
    </row>
    <row r="15" spans="1:8" x14ac:dyDescent="0.25">
      <c r="A15" s="13" t="s">
        <v>12</v>
      </c>
      <c r="B15" s="6">
        <v>310</v>
      </c>
      <c r="C15" s="4">
        <v>5</v>
      </c>
      <c r="D15" s="5">
        <f t="shared" si="0"/>
        <v>315</v>
      </c>
      <c r="E15" s="6">
        <v>87</v>
      </c>
      <c r="F15" s="4">
        <v>95</v>
      </c>
      <c r="G15" s="5">
        <f t="shared" si="1"/>
        <v>182</v>
      </c>
      <c r="H15" s="9">
        <f t="shared" si="2"/>
        <v>497</v>
      </c>
    </row>
    <row r="16" spans="1:8" ht="15.75" thickBot="1" x14ac:dyDescent="0.3">
      <c r="A16" s="14" t="s">
        <v>13</v>
      </c>
      <c r="B16" s="10">
        <v>1</v>
      </c>
      <c r="C16" s="11">
        <v>0</v>
      </c>
      <c r="D16" s="12">
        <f t="shared" si="0"/>
        <v>1</v>
      </c>
      <c r="E16" s="10">
        <v>12</v>
      </c>
      <c r="F16" s="11">
        <v>4</v>
      </c>
      <c r="G16" s="12">
        <f t="shared" si="1"/>
        <v>16</v>
      </c>
      <c r="H16" s="15">
        <f t="shared" si="2"/>
        <v>17</v>
      </c>
    </row>
    <row r="17" spans="1:8" ht="16.5" thickTop="1" thickBot="1" x14ac:dyDescent="0.3">
      <c r="A17" s="16" t="s">
        <v>22</v>
      </c>
      <c r="B17" s="17">
        <f>SUM(B9:B16)</f>
        <v>7968</v>
      </c>
      <c r="C17" s="17">
        <f>SUM(C9:C16)</f>
        <v>198</v>
      </c>
      <c r="D17" s="18">
        <f t="shared" si="0"/>
        <v>8166</v>
      </c>
      <c r="E17" s="17">
        <f>SUM(E9:E16)</f>
        <v>2375</v>
      </c>
      <c r="F17" s="17">
        <f>SUM(F9:F16)</f>
        <v>2308</v>
      </c>
      <c r="G17" s="18">
        <f t="shared" si="1"/>
        <v>4683</v>
      </c>
      <c r="H17" s="19">
        <f t="shared" si="2"/>
        <v>12849</v>
      </c>
    </row>
    <row r="18" spans="1:8" ht="15.75" thickTop="1" x14ac:dyDescent="0.25">
      <c r="A18" s="13" t="s">
        <v>14</v>
      </c>
      <c r="B18" s="6">
        <v>66</v>
      </c>
      <c r="C18" s="4">
        <v>1</v>
      </c>
      <c r="D18" s="5">
        <f t="shared" si="0"/>
        <v>67</v>
      </c>
      <c r="E18" s="6">
        <v>17</v>
      </c>
      <c r="F18" s="4">
        <v>12</v>
      </c>
      <c r="G18" s="5">
        <f t="shared" si="1"/>
        <v>29</v>
      </c>
      <c r="H18" s="9">
        <f t="shared" si="2"/>
        <v>96</v>
      </c>
    </row>
    <row r="19" spans="1:8" x14ac:dyDescent="0.25">
      <c r="A19" s="13" t="s">
        <v>15</v>
      </c>
      <c r="B19" s="6">
        <v>75</v>
      </c>
      <c r="C19" s="4">
        <v>2</v>
      </c>
      <c r="D19" s="5">
        <f t="shared" si="0"/>
        <v>77</v>
      </c>
      <c r="E19" s="6">
        <v>58</v>
      </c>
      <c r="F19" s="4">
        <v>23</v>
      </c>
      <c r="G19" s="5">
        <f t="shared" si="1"/>
        <v>81</v>
      </c>
      <c r="H19" s="9">
        <f t="shared" si="2"/>
        <v>158</v>
      </c>
    </row>
    <row r="20" spans="1:8" x14ac:dyDescent="0.25">
      <c r="A20" s="13" t="s">
        <v>16</v>
      </c>
      <c r="B20" s="6">
        <v>200</v>
      </c>
      <c r="C20" s="4">
        <v>2</v>
      </c>
      <c r="D20" s="5">
        <f t="shared" si="0"/>
        <v>202</v>
      </c>
      <c r="E20" s="6">
        <v>51</v>
      </c>
      <c r="F20" s="4">
        <v>27</v>
      </c>
      <c r="G20" s="5">
        <f t="shared" si="1"/>
        <v>78</v>
      </c>
      <c r="H20" s="9">
        <f t="shared" si="2"/>
        <v>280</v>
      </c>
    </row>
    <row r="21" spans="1:8" x14ac:dyDescent="0.25">
      <c r="A21" s="13" t="s">
        <v>17</v>
      </c>
      <c r="B21" s="6">
        <v>21</v>
      </c>
      <c r="C21" s="4">
        <v>0</v>
      </c>
      <c r="D21" s="5">
        <f t="shared" si="0"/>
        <v>21</v>
      </c>
      <c r="E21" s="6">
        <v>7</v>
      </c>
      <c r="F21" s="4">
        <v>4</v>
      </c>
      <c r="G21" s="5">
        <f t="shared" si="1"/>
        <v>11</v>
      </c>
      <c r="H21" s="9">
        <f t="shared" si="2"/>
        <v>32</v>
      </c>
    </row>
    <row r="22" spans="1:8" ht="15.75" thickBot="1" x14ac:dyDescent="0.3">
      <c r="A22" s="14" t="s">
        <v>13</v>
      </c>
      <c r="B22" s="10">
        <v>28</v>
      </c>
      <c r="C22" s="11">
        <v>17</v>
      </c>
      <c r="D22" s="12">
        <f t="shared" si="0"/>
        <v>45</v>
      </c>
      <c r="E22" s="10">
        <v>50</v>
      </c>
      <c r="F22" s="11">
        <v>53</v>
      </c>
      <c r="G22" s="12">
        <f t="shared" si="1"/>
        <v>103</v>
      </c>
      <c r="H22" s="15">
        <f t="shared" si="2"/>
        <v>148</v>
      </c>
    </row>
    <row r="23" spans="1:8" ht="16.5" thickTop="1" thickBot="1" x14ac:dyDescent="0.3">
      <c r="A23" s="8" t="s">
        <v>0</v>
      </c>
      <c r="B23" s="7">
        <f>SUM(B17:B22)</f>
        <v>8358</v>
      </c>
      <c r="C23" s="7">
        <f t="shared" ref="C23:H23" si="3">SUM(C17:C22)</f>
        <v>220</v>
      </c>
      <c r="D23" s="7">
        <f t="shared" si="3"/>
        <v>8578</v>
      </c>
      <c r="E23" s="7">
        <f t="shared" si="3"/>
        <v>2558</v>
      </c>
      <c r="F23" s="7">
        <f t="shared" si="3"/>
        <v>2427</v>
      </c>
      <c r="G23" s="7">
        <f t="shared" si="3"/>
        <v>4985</v>
      </c>
      <c r="H23" s="7">
        <f t="shared" si="3"/>
        <v>13563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32"/>
  <sheetViews>
    <sheetView view="pageLayout" zoomScale="55" zoomScaleNormal="100" zoomScalePageLayoutView="55" workbookViewId="0">
      <selection activeCell="B18" sqref="B18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2006-07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3739</v>
      </c>
      <c r="C9" s="4">
        <v>103</v>
      </c>
      <c r="D9" s="5">
        <f t="shared" ref="D9:D22" si="0">B9+C9</f>
        <v>3842</v>
      </c>
      <c r="E9" s="6">
        <v>1152</v>
      </c>
      <c r="F9" s="4">
        <v>1213</v>
      </c>
      <c r="G9" s="5">
        <f t="shared" ref="G9:G22" si="1">E9+F9</f>
        <v>2365</v>
      </c>
      <c r="H9" s="9">
        <f>G9+D9</f>
        <v>6207</v>
      </c>
    </row>
    <row r="10" spans="1:8" x14ac:dyDescent="0.25">
      <c r="A10" s="13" t="s">
        <v>7</v>
      </c>
      <c r="B10" s="6">
        <v>2329</v>
      </c>
      <c r="C10" s="4">
        <v>45</v>
      </c>
      <c r="D10" s="5">
        <f t="shared" si="0"/>
        <v>2374</v>
      </c>
      <c r="E10" s="6">
        <v>580</v>
      </c>
      <c r="F10" s="4">
        <v>563</v>
      </c>
      <c r="G10" s="5">
        <f t="shared" si="1"/>
        <v>1143</v>
      </c>
      <c r="H10" s="9">
        <f t="shared" ref="H10:H22" si="2">G10+D10</f>
        <v>3517</v>
      </c>
    </row>
    <row r="11" spans="1:8" x14ac:dyDescent="0.25">
      <c r="A11" s="13" t="s">
        <v>8</v>
      </c>
      <c r="B11" s="6">
        <v>528</v>
      </c>
      <c r="C11" s="4">
        <v>10</v>
      </c>
      <c r="D11" s="5">
        <f t="shared" si="0"/>
        <v>538</v>
      </c>
      <c r="E11" s="6">
        <v>101</v>
      </c>
      <c r="F11" s="4">
        <v>81</v>
      </c>
      <c r="G11" s="5">
        <f t="shared" si="1"/>
        <v>182</v>
      </c>
      <c r="H11" s="9">
        <f t="shared" si="2"/>
        <v>720</v>
      </c>
    </row>
    <row r="12" spans="1:8" x14ac:dyDescent="0.25">
      <c r="A12" s="13" t="s">
        <v>9</v>
      </c>
      <c r="B12" s="6">
        <v>314</v>
      </c>
      <c r="C12" s="4">
        <v>5</v>
      </c>
      <c r="D12" s="5">
        <f t="shared" si="0"/>
        <v>319</v>
      </c>
      <c r="E12" s="6">
        <v>72</v>
      </c>
      <c r="F12" s="4">
        <v>40</v>
      </c>
      <c r="G12" s="5">
        <f t="shared" si="1"/>
        <v>112</v>
      </c>
      <c r="H12" s="9">
        <f t="shared" si="2"/>
        <v>431</v>
      </c>
    </row>
    <row r="13" spans="1:8" x14ac:dyDescent="0.25">
      <c r="A13" s="13" t="s">
        <v>10</v>
      </c>
      <c r="B13" s="6">
        <v>324</v>
      </c>
      <c r="C13" s="4">
        <v>4</v>
      </c>
      <c r="D13" s="5">
        <f t="shared" si="0"/>
        <v>328</v>
      </c>
      <c r="E13" s="6">
        <v>69</v>
      </c>
      <c r="F13" s="4">
        <v>48</v>
      </c>
      <c r="G13" s="5">
        <f t="shared" si="1"/>
        <v>117</v>
      </c>
      <c r="H13" s="9">
        <f t="shared" si="2"/>
        <v>445</v>
      </c>
    </row>
    <row r="14" spans="1:8" x14ac:dyDescent="0.25">
      <c r="A14" s="13" t="s">
        <v>11</v>
      </c>
      <c r="B14" s="6">
        <v>579</v>
      </c>
      <c r="C14" s="4">
        <v>10</v>
      </c>
      <c r="D14" s="5">
        <f t="shared" si="0"/>
        <v>589</v>
      </c>
      <c r="E14" s="6">
        <v>129</v>
      </c>
      <c r="F14" s="4">
        <v>108</v>
      </c>
      <c r="G14" s="5">
        <f t="shared" si="1"/>
        <v>237</v>
      </c>
      <c r="H14" s="9">
        <f t="shared" si="2"/>
        <v>826</v>
      </c>
    </row>
    <row r="15" spans="1:8" x14ac:dyDescent="0.25">
      <c r="A15" s="13" t="s">
        <v>12</v>
      </c>
      <c r="B15" s="6">
        <v>293</v>
      </c>
      <c r="C15" s="4">
        <v>2</v>
      </c>
      <c r="D15" s="5">
        <f t="shared" si="0"/>
        <v>295</v>
      </c>
      <c r="E15" s="6">
        <v>81</v>
      </c>
      <c r="F15" s="4">
        <v>92</v>
      </c>
      <c r="G15" s="5">
        <f t="shared" si="1"/>
        <v>173</v>
      </c>
      <c r="H15" s="9">
        <f t="shared" si="2"/>
        <v>468</v>
      </c>
    </row>
    <row r="16" spans="1:8" ht="15.75" thickBot="1" x14ac:dyDescent="0.3">
      <c r="A16" s="14" t="s">
        <v>13</v>
      </c>
      <c r="B16" s="10">
        <v>0</v>
      </c>
      <c r="C16" s="11">
        <v>0</v>
      </c>
      <c r="D16" s="12">
        <f t="shared" si="0"/>
        <v>0</v>
      </c>
      <c r="E16" s="10">
        <v>2</v>
      </c>
      <c r="F16" s="11">
        <v>0</v>
      </c>
      <c r="G16" s="12">
        <f t="shared" si="1"/>
        <v>2</v>
      </c>
      <c r="H16" s="15">
        <f t="shared" si="2"/>
        <v>2</v>
      </c>
    </row>
    <row r="17" spans="1:8" ht="16.5" thickTop="1" thickBot="1" x14ac:dyDescent="0.3">
      <c r="A17" s="16" t="s">
        <v>22</v>
      </c>
      <c r="B17" s="17">
        <f>SUM(B9:B16)</f>
        <v>8106</v>
      </c>
      <c r="C17" s="17">
        <f>SUM(C9:C16)</f>
        <v>179</v>
      </c>
      <c r="D17" s="18">
        <f t="shared" si="0"/>
        <v>8285</v>
      </c>
      <c r="E17" s="17">
        <f>SUM(E9:E16)</f>
        <v>2186</v>
      </c>
      <c r="F17" s="17">
        <f>SUM(F9:F16)</f>
        <v>2145</v>
      </c>
      <c r="G17" s="18">
        <f t="shared" si="1"/>
        <v>4331</v>
      </c>
      <c r="H17" s="19">
        <f t="shared" si="2"/>
        <v>12616</v>
      </c>
    </row>
    <row r="18" spans="1:8" ht="15.75" thickTop="1" x14ac:dyDescent="0.25">
      <c r="A18" s="13" t="s">
        <v>14</v>
      </c>
      <c r="B18" s="6">
        <v>45</v>
      </c>
      <c r="C18" s="4">
        <v>1</v>
      </c>
      <c r="D18" s="5">
        <f t="shared" si="0"/>
        <v>46</v>
      </c>
      <c r="E18" s="6">
        <v>19</v>
      </c>
      <c r="F18" s="4">
        <v>11</v>
      </c>
      <c r="G18" s="5">
        <f t="shared" si="1"/>
        <v>30</v>
      </c>
      <c r="H18" s="9">
        <f t="shared" si="2"/>
        <v>76</v>
      </c>
    </row>
    <row r="19" spans="1:8" x14ac:dyDescent="0.25">
      <c r="A19" s="13" t="s">
        <v>15</v>
      </c>
      <c r="B19" s="6">
        <v>70</v>
      </c>
      <c r="C19" s="4">
        <v>0</v>
      </c>
      <c r="D19" s="5">
        <f t="shared" si="0"/>
        <v>70</v>
      </c>
      <c r="E19" s="6">
        <v>53</v>
      </c>
      <c r="F19" s="4">
        <v>17</v>
      </c>
      <c r="G19" s="5">
        <f t="shared" si="1"/>
        <v>70</v>
      </c>
      <c r="H19" s="9">
        <f t="shared" si="2"/>
        <v>140</v>
      </c>
    </row>
    <row r="20" spans="1:8" x14ac:dyDescent="0.25">
      <c r="A20" s="13" t="s">
        <v>16</v>
      </c>
      <c r="B20" s="6">
        <v>188</v>
      </c>
      <c r="C20" s="4">
        <v>4</v>
      </c>
      <c r="D20" s="5">
        <f t="shared" si="0"/>
        <v>192</v>
      </c>
      <c r="E20" s="6">
        <v>50</v>
      </c>
      <c r="F20" s="4">
        <v>25</v>
      </c>
      <c r="G20" s="5">
        <f t="shared" si="1"/>
        <v>75</v>
      </c>
      <c r="H20" s="9">
        <f t="shared" si="2"/>
        <v>267</v>
      </c>
    </row>
    <row r="21" spans="1:8" x14ac:dyDescent="0.25">
      <c r="A21" s="13" t="s">
        <v>17</v>
      </c>
      <c r="B21" s="6">
        <v>24</v>
      </c>
      <c r="C21" s="4">
        <v>0</v>
      </c>
      <c r="D21" s="5">
        <f t="shared" si="0"/>
        <v>24</v>
      </c>
      <c r="E21" s="6">
        <v>5</v>
      </c>
      <c r="F21" s="4">
        <v>3</v>
      </c>
      <c r="G21" s="5">
        <f t="shared" si="1"/>
        <v>8</v>
      </c>
      <c r="H21" s="9">
        <f t="shared" si="2"/>
        <v>32</v>
      </c>
    </row>
    <row r="22" spans="1:8" ht="15.75" thickBot="1" x14ac:dyDescent="0.3">
      <c r="A22" s="14" t="s">
        <v>13</v>
      </c>
      <c r="B22" s="10">
        <v>42</v>
      </c>
      <c r="C22" s="11">
        <v>3</v>
      </c>
      <c r="D22" s="12">
        <f t="shared" si="0"/>
        <v>45</v>
      </c>
      <c r="E22" s="10">
        <v>41</v>
      </c>
      <c r="F22" s="11">
        <v>41</v>
      </c>
      <c r="G22" s="12">
        <f t="shared" si="1"/>
        <v>82</v>
      </c>
      <c r="H22" s="15">
        <f t="shared" si="2"/>
        <v>127</v>
      </c>
    </row>
    <row r="23" spans="1:8" ht="16.5" thickTop="1" thickBot="1" x14ac:dyDescent="0.3">
      <c r="A23" s="8" t="s">
        <v>0</v>
      </c>
      <c r="B23" s="7">
        <f>SUM(B17:B22)</f>
        <v>8475</v>
      </c>
      <c r="C23" s="7">
        <f t="shared" ref="C23:H23" si="3">SUM(C17:C22)</f>
        <v>187</v>
      </c>
      <c r="D23" s="7">
        <f t="shared" si="3"/>
        <v>8662</v>
      </c>
      <c r="E23" s="7">
        <f t="shared" si="3"/>
        <v>2354</v>
      </c>
      <c r="F23" s="7">
        <f t="shared" si="3"/>
        <v>2242</v>
      </c>
      <c r="G23" s="7">
        <f t="shared" si="3"/>
        <v>4596</v>
      </c>
      <c r="H23" s="7">
        <f t="shared" si="3"/>
        <v>13258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32"/>
  <sheetViews>
    <sheetView view="pageLayout" topLeftCell="B2" zoomScale="70" zoomScaleNormal="100" zoomScalePageLayoutView="70" workbookViewId="0">
      <selection activeCell="A25" sqref="A25:H25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2005-06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4042</v>
      </c>
      <c r="C9" s="4">
        <v>103</v>
      </c>
      <c r="D9" s="5">
        <f t="shared" ref="D9:D22" si="0">B9+C9</f>
        <v>4145</v>
      </c>
      <c r="E9" s="6">
        <v>1142</v>
      </c>
      <c r="F9" s="4">
        <v>1139</v>
      </c>
      <c r="G9" s="5">
        <f t="shared" ref="G9:G22" si="1">E9+F9</f>
        <v>2281</v>
      </c>
      <c r="H9" s="9">
        <f>G9+D9</f>
        <v>6426</v>
      </c>
    </row>
    <row r="10" spans="1:8" x14ac:dyDescent="0.25">
      <c r="A10" s="13" t="s">
        <v>7</v>
      </c>
      <c r="B10" s="6">
        <v>2381</v>
      </c>
      <c r="C10" s="4">
        <v>36</v>
      </c>
      <c r="D10" s="5">
        <f t="shared" si="0"/>
        <v>2417</v>
      </c>
      <c r="E10" s="6">
        <v>641</v>
      </c>
      <c r="F10" s="4">
        <v>591</v>
      </c>
      <c r="G10" s="5">
        <f t="shared" si="1"/>
        <v>1232</v>
      </c>
      <c r="H10" s="9">
        <f t="shared" ref="H10:H22" si="2">G10+D10</f>
        <v>3649</v>
      </c>
    </row>
    <row r="11" spans="1:8" x14ac:dyDescent="0.25">
      <c r="A11" s="13" t="s">
        <v>8</v>
      </c>
      <c r="B11" s="6">
        <v>556</v>
      </c>
      <c r="C11" s="4">
        <v>5</v>
      </c>
      <c r="D11" s="5">
        <f t="shared" si="0"/>
        <v>561</v>
      </c>
      <c r="E11" s="6">
        <v>106</v>
      </c>
      <c r="F11" s="4">
        <v>63</v>
      </c>
      <c r="G11" s="5">
        <f t="shared" si="1"/>
        <v>169</v>
      </c>
      <c r="H11" s="9">
        <f t="shared" si="2"/>
        <v>730</v>
      </c>
    </row>
    <row r="12" spans="1:8" x14ac:dyDescent="0.25">
      <c r="A12" s="13" t="s">
        <v>9</v>
      </c>
      <c r="B12" s="6">
        <v>325</v>
      </c>
      <c r="C12" s="4">
        <v>2</v>
      </c>
      <c r="D12" s="5">
        <f t="shared" si="0"/>
        <v>327</v>
      </c>
      <c r="E12" s="6">
        <v>80</v>
      </c>
      <c r="F12" s="4">
        <v>35</v>
      </c>
      <c r="G12" s="5">
        <f t="shared" si="1"/>
        <v>115</v>
      </c>
      <c r="H12" s="9">
        <f t="shared" si="2"/>
        <v>442</v>
      </c>
    </row>
    <row r="13" spans="1:8" x14ac:dyDescent="0.25">
      <c r="A13" s="13" t="s">
        <v>10</v>
      </c>
      <c r="B13" s="6">
        <v>332</v>
      </c>
      <c r="C13" s="4">
        <v>0</v>
      </c>
      <c r="D13" s="5">
        <f t="shared" si="0"/>
        <v>332</v>
      </c>
      <c r="E13" s="6">
        <v>62</v>
      </c>
      <c r="F13" s="4">
        <v>43</v>
      </c>
      <c r="G13" s="5">
        <f t="shared" si="1"/>
        <v>105</v>
      </c>
      <c r="H13" s="9">
        <f t="shared" si="2"/>
        <v>437</v>
      </c>
    </row>
    <row r="14" spans="1:8" x14ac:dyDescent="0.25">
      <c r="A14" s="13" t="s">
        <v>11</v>
      </c>
      <c r="B14" s="6">
        <v>600</v>
      </c>
      <c r="C14" s="4">
        <v>6</v>
      </c>
      <c r="D14" s="5">
        <f t="shared" si="0"/>
        <v>606</v>
      </c>
      <c r="E14" s="6">
        <v>144</v>
      </c>
      <c r="F14" s="4">
        <v>83</v>
      </c>
      <c r="G14" s="5">
        <f t="shared" si="1"/>
        <v>227</v>
      </c>
      <c r="H14" s="9">
        <f t="shared" si="2"/>
        <v>833</v>
      </c>
    </row>
    <row r="15" spans="1:8" x14ac:dyDescent="0.25">
      <c r="A15" s="13" t="s">
        <v>12</v>
      </c>
      <c r="B15" s="6">
        <v>308</v>
      </c>
      <c r="C15" s="4">
        <v>1</v>
      </c>
      <c r="D15" s="5">
        <f t="shared" si="0"/>
        <v>309</v>
      </c>
      <c r="E15" s="6">
        <v>72</v>
      </c>
      <c r="F15" s="4">
        <v>92</v>
      </c>
      <c r="G15" s="5">
        <f t="shared" si="1"/>
        <v>164</v>
      </c>
      <c r="H15" s="9">
        <f t="shared" si="2"/>
        <v>473</v>
      </c>
    </row>
    <row r="16" spans="1:8" ht="15.75" thickBot="1" x14ac:dyDescent="0.3">
      <c r="A16" s="14" t="s">
        <v>13</v>
      </c>
      <c r="B16" s="10">
        <v>0</v>
      </c>
      <c r="C16" s="11">
        <v>0</v>
      </c>
      <c r="D16" s="12">
        <f t="shared" si="0"/>
        <v>0</v>
      </c>
      <c r="E16" s="10">
        <v>1</v>
      </c>
      <c r="F16" s="11">
        <v>1</v>
      </c>
      <c r="G16" s="12">
        <f t="shared" si="1"/>
        <v>2</v>
      </c>
      <c r="H16" s="15">
        <f t="shared" si="2"/>
        <v>2</v>
      </c>
    </row>
    <row r="17" spans="1:8" ht="16.5" thickTop="1" thickBot="1" x14ac:dyDescent="0.3">
      <c r="A17" s="16" t="s">
        <v>22</v>
      </c>
      <c r="B17" s="17">
        <f>SUM(B9:B16)</f>
        <v>8544</v>
      </c>
      <c r="C17" s="17">
        <f>SUM(C9:C16)</f>
        <v>153</v>
      </c>
      <c r="D17" s="18">
        <f t="shared" si="0"/>
        <v>8697</v>
      </c>
      <c r="E17" s="17">
        <f>SUM(E9:E16)</f>
        <v>2248</v>
      </c>
      <c r="F17" s="17">
        <f>SUM(F9:F16)</f>
        <v>2047</v>
      </c>
      <c r="G17" s="18">
        <f t="shared" si="1"/>
        <v>4295</v>
      </c>
      <c r="H17" s="19">
        <f t="shared" si="2"/>
        <v>12992</v>
      </c>
    </row>
    <row r="18" spans="1:8" ht="15.75" thickTop="1" x14ac:dyDescent="0.25">
      <c r="A18" s="13" t="s">
        <v>14</v>
      </c>
      <c r="B18" s="6">
        <v>41</v>
      </c>
      <c r="C18" s="4">
        <v>0</v>
      </c>
      <c r="D18" s="5">
        <f t="shared" si="0"/>
        <v>41</v>
      </c>
      <c r="E18" s="6">
        <v>15</v>
      </c>
      <c r="F18" s="4">
        <v>9</v>
      </c>
      <c r="G18" s="5">
        <f t="shared" si="1"/>
        <v>24</v>
      </c>
      <c r="H18" s="9">
        <f t="shared" si="2"/>
        <v>65</v>
      </c>
    </row>
    <row r="19" spans="1:8" x14ac:dyDescent="0.25">
      <c r="A19" s="13" t="s">
        <v>15</v>
      </c>
      <c r="B19" s="6">
        <v>73</v>
      </c>
      <c r="C19" s="4">
        <v>0</v>
      </c>
      <c r="D19" s="5">
        <f t="shared" si="0"/>
        <v>73</v>
      </c>
      <c r="E19" s="6">
        <v>37</v>
      </c>
      <c r="F19" s="4">
        <v>21</v>
      </c>
      <c r="G19" s="5">
        <f t="shared" si="1"/>
        <v>58</v>
      </c>
      <c r="H19" s="9">
        <f t="shared" si="2"/>
        <v>131</v>
      </c>
    </row>
    <row r="20" spans="1:8" x14ac:dyDescent="0.25">
      <c r="A20" s="13" t="s">
        <v>16</v>
      </c>
      <c r="B20" s="6">
        <v>201</v>
      </c>
      <c r="C20" s="4">
        <v>1</v>
      </c>
      <c r="D20" s="5">
        <f t="shared" si="0"/>
        <v>202</v>
      </c>
      <c r="E20" s="6">
        <v>37</v>
      </c>
      <c r="F20" s="4">
        <v>18</v>
      </c>
      <c r="G20" s="5">
        <f t="shared" si="1"/>
        <v>55</v>
      </c>
      <c r="H20" s="9">
        <f t="shared" si="2"/>
        <v>257</v>
      </c>
    </row>
    <row r="21" spans="1:8" x14ac:dyDescent="0.25">
      <c r="A21" s="13" t="s">
        <v>17</v>
      </c>
      <c r="B21" s="6">
        <v>28</v>
      </c>
      <c r="C21" s="4">
        <v>0</v>
      </c>
      <c r="D21" s="5">
        <f t="shared" si="0"/>
        <v>28</v>
      </c>
      <c r="E21" s="6">
        <v>1</v>
      </c>
      <c r="F21" s="4">
        <v>4</v>
      </c>
      <c r="G21" s="5">
        <f t="shared" si="1"/>
        <v>5</v>
      </c>
      <c r="H21" s="9">
        <f t="shared" si="2"/>
        <v>33</v>
      </c>
    </row>
    <row r="22" spans="1:8" ht="15.75" thickBot="1" x14ac:dyDescent="0.3">
      <c r="A22" s="14" t="s">
        <v>13</v>
      </c>
      <c r="B22" s="10">
        <v>47</v>
      </c>
      <c r="C22" s="11">
        <v>3</v>
      </c>
      <c r="D22" s="12">
        <f t="shared" si="0"/>
        <v>50</v>
      </c>
      <c r="E22" s="10">
        <v>65</v>
      </c>
      <c r="F22" s="11">
        <v>34</v>
      </c>
      <c r="G22" s="12">
        <f t="shared" si="1"/>
        <v>99</v>
      </c>
      <c r="H22" s="15">
        <f t="shared" si="2"/>
        <v>149</v>
      </c>
    </row>
    <row r="23" spans="1:8" ht="16.5" thickTop="1" thickBot="1" x14ac:dyDescent="0.3">
      <c r="A23" s="8" t="s">
        <v>0</v>
      </c>
      <c r="B23" s="7">
        <f>SUM(B17:B22)</f>
        <v>8934</v>
      </c>
      <c r="C23" s="7">
        <f t="shared" ref="C23:H23" si="3">SUM(C17:C22)</f>
        <v>157</v>
      </c>
      <c r="D23" s="7">
        <f t="shared" si="3"/>
        <v>9091</v>
      </c>
      <c r="E23" s="7">
        <f t="shared" si="3"/>
        <v>2403</v>
      </c>
      <c r="F23" s="7">
        <f t="shared" si="3"/>
        <v>2133</v>
      </c>
      <c r="G23" s="7">
        <f t="shared" si="3"/>
        <v>4536</v>
      </c>
      <c r="H23" s="7">
        <f t="shared" si="3"/>
        <v>13627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32"/>
  <sheetViews>
    <sheetView view="pageLayout" zoomScale="55" zoomScaleNormal="100" zoomScalePageLayoutView="55" workbookViewId="0">
      <selection activeCell="A25" sqref="A25:H25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2004-05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4179</v>
      </c>
      <c r="C9" s="4">
        <v>145</v>
      </c>
      <c r="D9" s="5">
        <f t="shared" ref="D9:D22" si="0">B9+C9</f>
        <v>4324</v>
      </c>
      <c r="E9" s="6">
        <v>1158</v>
      </c>
      <c r="F9" s="4">
        <v>1132</v>
      </c>
      <c r="G9" s="5">
        <f t="shared" ref="G9:G22" si="1">E9+F9</f>
        <v>2290</v>
      </c>
      <c r="H9" s="9">
        <f>G9+D9</f>
        <v>6614</v>
      </c>
    </row>
    <row r="10" spans="1:8" x14ac:dyDescent="0.25">
      <c r="A10" s="13" t="s">
        <v>7</v>
      </c>
      <c r="B10" s="6">
        <v>2427</v>
      </c>
      <c r="C10" s="4">
        <v>44</v>
      </c>
      <c r="D10" s="5">
        <f t="shared" si="0"/>
        <v>2471</v>
      </c>
      <c r="E10" s="6">
        <v>681</v>
      </c>
      <c r="F10" s="4">
        <v>596</v>
      </c>
      <c r="G10" s="5">
        <f t="shared" si="1"/>
        <v>1277</v>
      </c>
      <c r="H10" s="9">
        <f t="shared" ref="H10:H22" si="2">G10+D10</f>
        <v>3748</v>
      </c>
    </row>
    <row r="11" spans="1:8" x14ac:dyDescent="0.25">
      <c r="A11" s="13" t="s">
        <v>8</v>
      </c>
      <c r="B11" s="6">
        <v>592</v>
      </c>
      <c r="C11" s="4">
        <v>7</v>
      </c>
      <c r="D11" s="5">
        <f t="shared" si="0"/>
        <v>599</v>
      </c>
      <c r="E11" s="6">
        <v>132</v>
      </c>
      <c r="F11" s="4">
        <v>62</v>
      </c>
      <c r="G11" s="5">
        <f t="shared" si="1"/>
        <v>194</v>
      </c>
      <c r="H11" s="9">
        <f t="shared" si="2"/>
        <v>793</v>
      </c>
    </row>
    <row r="12" spans="1:8" x14ac:dyDescent="0.25">
      <c r="A12" s="13" t="s">
        <v>9</v>
      </c>
      <c r="B12" s="6">
        <v>320</v>
      </c>
      <c r="C12" s="4">
        <v>4</v>
      </c>
      <c r="D12" s="5">
        <f t="shared" si="0"/>
        <v>324</v>
      </c>
      <c r="E12" s="6">
        <v>98</v>
      </c>
      <c r="F12" s="4">
        <v>43</v>
      </c>
      <c r="G12" s="5">
        <f t="shared" si="1"/>
        <v>141</v>
      </c>
      <c r="H12" s="9">
        <f t="shared" si="2"/>
        <v>465</v>
      </c>
    </row>
    <row r="13" spans="1:8" x14ac:dyDescent="0.25">
      <c r="A13" s="13" t="s">
        <v>10</v>
      </c>
      <c r="B13" s="6">
        <v>325</v>
      </c>
      <c r="C13" s="4">
        <v>0</v>
      </c>
      <c r="D13" s="5">
        <f t="shared" si="0"/>
        <v>325</v>
      </c>
      <c r="E13" s="6">
        <v>70</v>
      </c>
      <c r="F13" s="4">
        <v>36</v>
      </c>
      <c r="G13" s="5">
        <f t="shared" si="1"/>
        <v>106</v>
      </c>
      <c r="H13" s="9">
        <f t="shared" si="2"/>
        <v>431</v>
      </c>
    </row>
    <row r="14" spans="1:8" x14ac:dyDescent="0.25">
      <c r="A14" s="13" t="s">
        <v>11</v>
      </c>
      <c r="B14" s="6">
        <v>603</v>
      </c>
      <c r="C14" s="4">
        <v>12</v>
      </c>
      <c r="D14" s="5">
        <f t="shared" si="0"/>
        <v>615</v>
      </c>
      <c r="E14" s="6">
        <v>138</v>
      </c>
      <c r="F14" s="4">
        <v>80</v>
      </c>
      <c r="G14" s="5">
        <f t="shared" si="1"/>
        <v>218</v>
      </c>
      <c r="H14" s="9">
        <f t="shared" si="2"/>
        <v>833</v>
      </c>
    </row>
    <row r="15" spans="1:8" x14ac:dyDescent="0.25">
      <c r="A15" s="13" t="s">
        <v>12</v>
      </c>
      <c r="B15" s="6">
        <v>296</v>
      </c>
      <c r="C15" s="4">
        <v>3</v>
      </c>
      <c r="D15" s="5">
        <f t="shared" si="0"/>
        <v>299</v>
      </c>
      <c r="E15" s="6">
        <v>93</v>
      </c>
      <c r="F15" s="4">
        <v>112</v>
      </c>
      <c r="G15" s="5">
        <f t="shared" si="1"/>
        <v>205</v>
      </c>
      <c r="H15" s="9">
        <f t="shared" si="2"/>
        <v>504</v>
      </c>
    </row>
    <row r="16" spans="1:8" ht="15.75" thickBot="1" x14ac:dyDescent="0.3">
      <c r="A16" s="14" t="s">
        <v>13</v>
      </c>
      <c r="B16" s="10">
        <v>0</v>
      </c>
      <c r="C16" s="11">
        <v>0</v>
      </c>
      <c r="D16" s="12">
        <f t="shared" si="0"/>
        <v>0</v>
      </c>
      <c r="E16" s="10">
        <v>1</v>
      </c>
      <c r="F16" s="11">
        <v>1</v>
      </c>
      <c r="G16" s="12">
        <f t="shared" si="1"/>
        <v>2</v>
      </c>
      <c r="H16" s="15">
        <f t="shared" si="2"/>
        <v>2</v>
      </c>
    </row>
    <row r="17" spans="1:8" ht="16.5" thickTop="1" thickBot="1" x14ac:dyDescent="0.3">
      <c r="A17" s="16" t="s">
        <v>22</v>
      </c>
      <c r="B17" s="17">
        <f>SUM(B9:B16)</f>
        <v>8742</v>
      </c>
      <c r="C17" s="17">
        <f>SUM(C9:C16)</f>
        <v>215</v>
      </c>
      <c r="D17" s="18">
        <f t="shared" si="0"/>
        <v>8957</v>
      </c>
      <c r="E17" s="17">
        <f>SUM(E9:E16)</f>
        <v>2371</v>
      </c>
      <c r="F17" s="17">
        <f>SUM(F9:F16)</f>
        <v>2062</v>
      </c>
      <c r="G17" s="18">
        <f t="shared" si="1"/>
        <v>4433</v>
      </c>
      <c r="H17" s="19">
        <f t="shared" si="2"/>
        <v>13390</v>
      </c>
    </row>
    <row r="18" spans="1:8" ht="15.75" thickTop="1" x14ac:dyDescent="0.25">
      <c r="A18" s="13" t="s">
        <v>14</v>
      </c>
      <c r="B18" s="6">
        <v>39</v>
      </c>
      <c r="C18" s="4">
        <v>1</v>
      </c>
      <c r="D18" s="5">
        <f t="shared" si="0"/>
        <v>40</v>
      </c>
      <c r="E18" s="6">
        <v>13</v>
      </c>
      <c r="F18" s="4">
        <v>11</v>
      </c>
      <c r="G18" s="5">
        <f t="shared" si="1"/>
        <v>24</v>
      </c>
      <c r="H18" s="9">
        <f t="shared" si="2"/>
        <v>64</v>
      </c>
    </row>
    <row r="19" spans="1:8" x14ac:dyDescent="0.25">
      <c r="A19" s="13" t="s">
        <v>15</v>
      </c>
      <c r="B19" s="6">
        <v>82</v>
      </c>
      <c r="C19" s="4">
        <v>0</v>
      </c>
      <c r="D19" s="5">
        <f t="shared" si="0"/>
        <v>82</v>
      </c>
      <c r="E19" s="6">
        <v>45</v>
      </c>
      <c r="F19" s="4">
        <v>21</v>
      </c>
      <c r="G19" s="5">
        <f t="shared" si="1"/>
        <v>66</v>
      </c>
      <c r="H19" s="9">
        <f t="shared" si="2"/>
        <v>148</v>
      </c>
    </row>
    <row r="20" spans="1:8" x14ac:dyDescent="0.25">
      <c r="A20" s="13" t="s">
        <v>16</v>
      </c>
      <c r="B20" s="6">
        <v>191</v>
      </c>
      <c r="C20" s="4">
        <v>3</v>
      </c>
      <c r="D20" s="5">
        <f t="shared" si="0"/>
        <v>194</v>
      </c>
      <c r="E20" s="6">
        <v>33</v>
      </c>
      <c r="F20" s="4">
        <v>19</v>
      </c>
      <c r="G20" s="5">
        <f t="shared" si="1"/>
        <v>52</v>
      </c>
      <c r="H20" s="9">
        <f t="shared" si="2"/>
        <v>246</v>
      </c>
    </row>
    <row r="21" spans="1:8" x14ac:dyDescent="0.25">
      <c r="A21" s="13" t="s">
        <v>17</v>
      </c>
      <c r="B21" s="6">
        <v>27</v>
      </c>
      <c r="C21" s="4">
        <v>0</v>
      </c>
      <c r="D21" s="5">
        <f t="shared" si="0"/>
        <v>27</v>
      </c>
      <c r="E21" s="6">
        <v>5</v>
      </c>
      <c r="F21" s="4">
        <v>7</v>
      </c>
      <c r="G21" s="5">
        <f t="shared" si="1"/>
        <v>12</v>
      </c>
      <c r="H21" s="9">
        <f t="shared" si="2"/>
        <v>39</v>
      </c>
    </row>
    <row r="22" spans="1:8" ht="15.75" thickBot="1" x14ac:dyDescent="0.3">
      <c r="A22" s="14" t="s">
        <v>13</v>
      </c>
      <c r="B22" s="10">
        <v>39</v>
      </c>
      <c r="C22" s="11">
        <v>2</v>
      </c>
      <c r="D22" s="12">
        <f t="shared" si="0"/>
        <v>41</v>
      </c>
      <c r="E22" s="10">
        <v>15</v>
      </c>
      <c r="F22" s="11">
        <v>15</v>
      </c>
      <c r="G22" s="12">
        <f t="shared" si="1"/>
        <v>30</v>
      </c>
      <c r="H22" s="15">
        <f t="shared" si="2"/>
        <v>71</v>
      </c>
    </row>
    <row r="23" spans="1:8" ht="16.5" thickTop="1" thickBot="1" x14ac:dyDescent="0.3">
      <c r="A23" s="8" t="s">
        <v>0</v>
      </c>
      <c r="B23" s="7">
        <f>SUM(B17:B22)</f>
        <v>9120</v>
      </c>
      <c r="C23" s="7">
        <f t="shared" ref="C23:H23" si="3">SUM(C17:C22)</f>
        <v>221</v>
      </c>
      <c r="D23" s="7">
        <f t="shared" si="3"/>
        <v>9341</v>
      </c>
      <c r="E23" s="7">
        <f t="shared" si="3"/>
        <v>2482</v>
      </c>
      <c r="F23" s="7">
        <f t="shared" si="3"/>
        <v>2135</v>
      </c>
      <c r="G23" s="7">
        <f t="shared" si="3"/>
        <v>4617</v>
      </c>
      <c r="H23" s="7">
        <f t="shared" si="3"/>
        <v>13958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32"/>
  <sheetViews>
    <sheetView view="pageLayout" zoomScale="55" zoomScaleNormal="100" zoomScalePageLayoutView="55" workbookViewId="0">
      <selection activeCell="C31" sqref="C31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2003-04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4056</v>
      </c>
      <c r="C9" s="4">
        <v>140</v>
      </c>
      <c r="D9" s="5">
        <f t="shared" ref="D9:D22" si="0">B9+C9</f>
        <v>4196</v>
      </c>
      <c r="E9" s="6">
        <v>1154</v>
      </c>
      <c r="F9" s="4">
        <v>1035</v>
      </c>
      <c r="G9" s="5">
        <f t="shared" ref="G9:G22" si="1">E9+F9</f>
        <v>2189</v>
      </c>
      <c r="H9" s="9">
        <f>G9+D9</f>
        <v>6385</v>
      </c>
    </row>
    <row r="10" spans="1:8" x14ac:dyDescent="0.25">
      <c r="A10" s="13" t="s">
        <v>7</v>
      </c>
      <c r="B10" s="6">
        <v>2454</v>
      </c>
      <c r="C10" s="4">
        <v>56</v>
      </c>
      <c r="D10" s="5">
        <f t="shared" si="0"/>
        <v>2510</v>
      </c>
      <c r="E10" s="6">
        <v>677</v>
      </c>
      <c r="F10" s="4">
        <v>574</v>
      </c>
      <c r="G10" s="5">
        <f t="shared" si="1"/>
        <v>1251</v>
      </c>
      <c r="H10" s="9">
        <f t="shared" ref="H10:H22" si="2">G10+D10</f>
        <v>3761</v>
      </c>
    </row>
    <row r="11" spans="1:8" x14ac:dyDescent="0.25">
      <c r="A11" s="13" t="s">
        <v>8</v>
      </c>
      <c r="B11" s="6">
        <v>628</v>
      </c>
      <c r="C11" s="4">
        <v>3</v>
      </c>
      <c r="D11" s="5">
        <f t="shared" si="0"/>
        <v>631</v>
      </c>
      <c r="E11" s="6">
        <v>127</v>
      </c>
      <c r="F11" s="4">
        <v>62</v>
      </c>
      <c r="G11" s="5">
        <f t="shared" si="1"/>
        <v>189</v>
      </c>
      <c r="H11" s="9">
        <f t="shared" si="2"/>
        <v>820</v>
      </c>
    </row>
    <row r="12" spans="1:8" x14ac:dyDescent="0.25">
      <c r="A12" s="13" t="s">
        <v>9</v>
      </c>
      <c r="B12" s="6">
        <v>320</v>
      </c>
      <c r="C12" s="4">
        <v>3</v>
      </c>
      <c r="D12" s="5">
        <f t="shared" si="0"/>
        <v>323</v>
      </c>
      <c r="E12" s="6">
        <v>81</v>
      </c>
      <c r="F12" s="4">
        <v>46</v>
      </c>
      <c r="G12" s="5">
        <f t="shared" si="1"/>
        <v>127</v>
      </c>
      <c r="H12" s="9">
        <f t="shared" si="2"/>
        <v>450</v>
      </c>
    </row>
    <row r="13" spans="1:8" x14ac:dyDescent="0.25">
      <c r="A13" s="13" t="s">
        <v>10</v>
      </c>
      <c r="B13" s="6">
        <v>310</v>
      </c>
      <c r="C13" s="4">
        <v>5</v>
      </c>
      <c r="D13" s="5">
        <f t="shared" si="0"/>
        <v>315</v>
      </c>
      <c r="E13" s="6">
        <v>77</v>
      </c>
      <c r="F13" s="4">
        <v>32</v>
      </c>
      <c r="G13" s="5">
        <f t="shared" si="1"/>
        <v>109</v>
      </c>
      <c r="H13" s="9">
        <f t="shared" si="2"/>
        <v>424</v>
      </c>
    </row>
    <row r="14" spans="1:8" x14ac:dyDescent="0.25">
      <c r="A14" s="13" t="s">
        <v>11</v>
      </c>
      <c r="B14" s="6">
        <v>639</v>
      </c>
      <c r="C14" s="4">
        <v>3</v>
      </c>
      <c r="D14" s="5">
        <f t="shared" si="0"/>
        <v>642</v>
      </c>
      <c r="E14" s="6">
        <v>139</v>
      </c>
      <c r="F14" s="4">
        <v>84</v>
      </c>
      <c r="G14" s="5">
        <f t="shared" si="1"/>
        <v>223</v>
      </c>
      <c r="H14" s="9">
        <f t="shared" si="2"/>
        <v>865</v>
      </c>
    </row>
    <row r="15" spans="1:8" x14ac:dyDescent="0.25">
      <c r="A15" s="13" t="s">
        <v>12</v>
      </c>
      <c r="B15" s="6">
        <v>316</v>
      </c>
      <c r="C15" s="4">
        <v>3</v>
      </c>
      <c r="D15" s="5">
        <f t="shared" si="0"/>
        <v>319</v>
      </c>
      <c r="E15" s="6">
        <v>90</v>
      </c>
      <c r="F15" s="4">
        <v>113</v>
      </c>
      <c r="G15" s="5">
        <f t="shared" si="1"/>
        <v>203</v>
      </c>
      <c r="H15" s="9">
        <f t="shared" si="2"/>
        <v>522</v>
      </c>
    </row>
    <row r="16" spans="1:8" ht="15.75" thickBot="1" x14ac:dyDescent="0.3">
      <c r="A16" s="14" t="s">
        <v>13</v>
      </c>
      <c r="B16" s="10">
        <v>0</v>
      </c>
      <c r="C16" s="11">
        <v>0</v>
      </c>
      <c r="D16" s="12">
        <f t="shared" si="0"/>
        <v>0</v>
      </c>
      <c r="E16" s="10">
        <v>0</v>
      </c>
      <c r="F16" s="11">
        <v>4</v>
      </c>
      <c r="G16" s="12">
        <f t="shared" si="1"/>
        <v>4</v>
      </c>
      <c r="H16" s="15">
        <f t="shared" si="2"/>
        <v>4</v>
      </c>
    </row>
    <row r="17" spans="1:8" ht="16.5" thickTop="1" thickBot="1" x14ac:dyDescent="0.3">
      <c r="A17" s="16" t="s">
        <v>22</v>
      </c>
      <c r="B17" s="17">
        <f>SUM(B9:B16)</f>
        <v>8723</v>
      </c>
      <c r="C17" s="17">
        <f>SUM(C9:C16)</f>
        <v>213</v>
      </c>
      <c r="D17" s="18">
        <f t="shared" si="0"/>
        <v>8936</v>
      </c>
      <c r="E17" s="17">
        <f>SUM(E9:E16)</f>
        <v>2345</v>
      </c>
      <c r="F17" s="17">
        <f>SUM(F9:F16)</f>
        <v>1950</v>
      </c>
      <c r="G17" s="18">
        <f t="shared" si="1"/>
        <v>4295</v>
      </c>
      <c r="H17" s="19">
        <f t="shared" si="2"/>
        <v>13231</v>
      </c>
    </row>
    <row r="18" spans="1:8" ht="15.75" thickTop="1" x14ac:dyDescent="0.25">
      <c r="A18" s="13" t="s">
        <v>14</v>
      </c>
      <c r="B18" s="6">
        <v>35</v>
      </c>
      <c r="C18" s="4">
        <v>2</v>
      </c>
      <c r="D18" s="5">
        <f t="shared" si="0"/>
        <v>37</v>
      </c>
      <c r="E18" s="6">
        <v>12</v>
      </c>
      <c r="F18" s="4">
        <v>20</v>
      </c>
      <c r="G18" s="5">
        <f t="shared" si="1"/>
        <v>32</v>
      </c>
      <c r="H18" s="9">
        <f t="shared" si="2"/>
        <v>69</v>
      </c>
    </row>
    <row r="19" spans="1:8" x14ac:dyDescent="0.25">
      <c r="A19" s="13" t="s">
        <v>15</v>
      </c>
      <c r="B19" s="6">
        <v>91</v>
      </c>
      <c r="C19" s="4">
        <v>2</v>
      </c>
      <c r="D19" s="5">
        <f t="shared" si="0"/>
        <v>93</v>
      </c>
      <c r="E19" s="6">
        <v>65</v>
      </c>
      <c r="F19" s="4">
        <v>20</v>
      </c>
      <c r="G19" s="5">
        <f t="shared" si="1"/>
        <v>85</v>
      </c>
      <c r="H19" s="9">
        <f t="shared" si="2"/>
        <v>178</v>
      </c>
    </row>
    <row r="20" spans="1:8" x14ac:dyDescent="0.25">
      <c r="A20" s="13" t="s">
        <v>16</v>
      </c>
      <c r="B20" s="6">
        <v>204</v>
      </c>
      <c r="C20" s="4">
        <v>3</v>
      </c>
      <c r="D20" s="5">
        <f t="shared" si="0"/>
        <v>207</v>
      </c>
      <c r="E20" s="6">
        <v>37</v>
      </c>
      <c r="F20" s="4">
        <v>17</v>
      </c>
      <c r="G20" s="5">
        <f t="shared" si="1"/>
        <v>54</v>
      </c>
      <c r="H20" s="9">
        <f t="shared" si="2"/>
        <v>261</v>
      </c>
    </row>
    <row r="21" spans="1:8" x14ac:dyDescent="0.25">
      <c r="A21" s="13" t="s">
        <v>17</v>
      </c>
      <c r="B21" s="6">
        <v>34</v>
      </c>
      <c r="C21" s="4">
        <v>0</v>
      </c>
      <c r="D21" s="5">
        <f t="shared" si="0"/>
        <v>34</v>
      </c>
      <c r="E21" s="6">
        <v>4</v>
      </c>
      <c r="F21" s="4">
        <v>5</v>
      </c>
      <c r="G21" s="5">
        <f t="shared" si="1"/>
        <v>9</v>
      </c>
      <c r="H21" s="9">
        <f t="shared" si="2"/>
        <v>43</v>
      </c>
    </row>
    <row r="22" spans="1:8" ht="15.75" thickBot="1" x14ac:dyDescent="0.3">
      <c r="A22" s="14" t="s">
        <v>13</v>
      </c>
      <c r="B22" s="10">
        <v>20</v>
      </c>
      <c r="C22" s="11">
        <v>5</v>
      </c>
      <c r="D22" s="12">
        <f t="shared" si="0"/>
        <v>25</v>
      </c>
      <c r="E22" s="10">
        <v>14</v>
      </c>
      <c r="F22" s="11">
        <v>12</v>
      </c>
      <c r="G22" s="12">
        <f t="shared" si="1"/>
        <v>26</v>
      </c>
      <c r="H22" s="15">
        <f t="shared" si="2"/>
        <v>51</v>
      </c>
    </row>
    <row r="23" spans="1:8" ht="16.5" thickTop="1" thickBot="1" x14ac:dyDescent="0.3">
      <c r="A23" s="8" t="s">
        <v>0</v>
      </c>
      <c r="B23" s="7">
        <f>SUM(B17:B22)</f>
        <v>9107</v>
      </c>
      <c r="C23" s="7">
        <f t="shared" ref="C23:H23" si="3">SUM(C17:C22)</f>
        <v>225</v>
      </c>
      <c r="D23" s="7">
        <f t="shared" si="3"/>
        <v>9332</v>
      </c>
      <c r="E23" s="7">
        <f t="shared" si="3"/>
        <v>2477</v>
      </c>
      <c r="F23" s="7">
        <f t="shared" si="3"/>
        <v>2024</v>
      </c>
      <c r="G23" s="7">
        <f t="shared" si="3"/>
        <v>4501</v>
      </c>
      <c r="H23" s="7">
        <f t="shared" si="3"/>
        <v>13833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32"/>
  <sheetViews>
    <sheetView view="pageLayout" zoomScale="70" zoomScaleNormal="100" zoomScalePageLayoutView="70" workbookViewId="0">
      <selection activeCell="B17" sqref="B17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2002-03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3580</v>
      </c>
      <c r="C9" s="4">
        <v>107</v>
      </c>
      <c r="D9" s="5">
        <f t="shared" ref="D9:D22" si="0">B9+C9</f>
        <v>3687</v>
      </c>
      <c r="E9" s="6">
        <v>990</v>
      </c>
      <c r="F9" s="4">
        <v>876</v>
      </c>
      <c r="G9" s="5">
        <f t="shared" ref="G9:G22" si="1">E9+F9</f>
        <v>1866</v>
      </c>
      <c r="H9" s="9">
        <f>G9+D9</f>
        <v>5553</v>
      </c>
    </row>
    <row r="10" spans="1:8" x14ac:dyDescent="0.25">
      <c r="A10" s="13" t="s">
        <v>7</v>
      </c>
      <c r="B10" s="6">
        <v>2473</v>
      </c>
      <c r="C10" s="4">
        <v>30</v>
      </c>
      <c r="D10" s="5">
        <f t="shared" si="0"/>
        <v>2503</v>
      </c>
      <c r="E10" s="6">
        <v>601</v>
      </c>
      <c r="F10" s="4">
        <v>493</v>
      </c>
      <c r="G10" s="5">
        <f t="shared" si="1"/>
        <v>1094</v>
      </c>
      <c r="H10" s="9">
        <f t="shared" ref="H10:H22" si="2">G10+D10</f>
        <v>3597</v>
      </c>
    </row>
    <row r="11" spans="1:8" x14ac:dyDescent="0.25">
      <c r="A11" s="13" t="s">
        <v>8</v>
      </c>
      <c r="B11" s="6">
        <v>671</v>
      </c>
      <c r="C11" s="4">
        <v>6</v>
      </c>
      <c r="D11" s="5">
        <f t="shared" si="0"/>
        <v>677</v>
      </c>
      <c r="E11" s="6">
        <v>144</v>
      </c>
      <c r="F11" s="4">
        <v>55</v>
      </c>
      <c r="G11" s="5">
        <f t="shared" si="1"/>
        <v>199</v>
      </c>
      <c r="H11" s="9">
        <f t="shared" si="2"/>
        <v>876</v>
      </c>
    </row>
    <row r="12" spans="1:8" x14ac:dyDescent="0.25">
      <c r="A12" s="13" t="s">
        <v>9</v>
      </c>
      <c r="B12" s="6">
        <v>318</v>
      </c>
      <c r="C12" s="4">
        <v>1</v>
      </c>
      <c r="D12" s="5">
        <f t="shared" si="0"/>
        <v>319</v>
      </c>
      <c r="E12" s="6">
        <v>86</v>
      </c>
      <c r="F12" s="4">
        <v>44</v>
      </c>
      <c r="G12" s="5">
        <f t="shared" si="1"/>
        <v>130</v>
      </c>
      <c r="H12" s="9">
        <f t="shared" si="2"/>
        <v>449</v>
      </c>
    </row>
    <row r="13" spans="1:8" x14ac:dyDescent="0.25">
      <c r="A13" s="13" t="s">
        <v>10</v>
      </c>
      <c r="B13" s="6">
        <v>341</v>
      </c>
      <c r="C13" s="4">
        <v>5</v>
      </c>
      <c r="D13" s="5">
        <f t="shared" si="0"/>
        <v>346</v>
      </c>
      <c r="E13" s="6">
        <v>67</v>
      </c>
      <c r="F13" s="4">
        <v>24</v>
      </c>
      <c r="G13" s="5">
        <f t="shared" si="1"/>
        <v>91</v>
      </c>
      <c r="H13" s="9">
        <f t="shared" si="2"/>
        <v>437</v>
      </c>
    </row>
    <row r="14" spans="1:8" x14ac:dyDescent="0.25">
      <c r="A14" s="13" t="s">
        <v>11</v>
      </c>
      <c r="B14" s="6">
        <v>639</v>
      </c>
      <c r="C14" s="4">
        <v>5</v>
      </c>
      <c r="D14" s="5">
        <f t="shared" si="0"/>
        <v>644</v>
      </c>
      <c r="E14" s="6">
        <v>142</v>
      </c>
      <c r="F14" s="4">
        <v>76</v>
      </c>
      <c r="G14" s="5">
        <f t="shared" si="1"/>
        <v>218</v>
      </c>
      <c r="H14" s="9">
        <f t="shared" si="2"/>
        <v>862</v>
      </c>
    </row>
    <row r="15" spans="1:8" x14ac:dyDescent="0.25">
      <c r="A15" s="13" t="s">
        <v>12</v>
      </c>
      <c r="B15" s="6">
        <v>319</v>
      </c>
      <c r="C15" s="4">
        <v>6</v>
      </c>
      <c r="D15" s="5">
        <f t="shared" si="0"/>
        <v>325</v>
      </c>
      <c r="E15" s="6">
        <v>85</v>
      </c>
      <c r="F15" s="4">
        <v>123</v>
      </c>
      <c r="G15" s="5">
        <f t="shared" si="1"/>
        <v>208</v>
      </c>
      <c r="H15" s="9">
        <f t="shared" si="2"/>
        <v>533</v>
      </c>
    </row>
    <row r="16" spans="1:8" ht="15.75" thickBot="1" x14ac:dyDescent="0.3">
      <c r="A16" s="14" t="s">
        <v>13</v>
      </c>
      <c r="B16" s="10">
        <v>0</v>
      </c>
      <c r="C16" s="11">
        <v>0</v>
      </c>
      <c r="D16" s="12">
        <f t="shared" si="0"/>
        <v>0</v>
      </c>
      <c r="E16" s="10">
        <v>3</v>
      </c>
      <c r="F16" s="11">
        <v>4</v>
      </c>
      <c r="G16" s="12">
        <f t="shared" si="1"/>
        <v>7</v>
      </c>
      <c r="H16" s="15">
        <f t="shared" si="2"/>
        <v>7</v>
      </c>
    </row>
    <row r="17" spans="1:8" ht="16.5" thickTop="1" thickBot="1" x14ac:dyDescent="0.3">
      <c r="A17" s="16" t="s">
        <v>22</v>
      </c>
      <c r="B17" s="17">
        <f>SUM(B9:B16)</f>
        <v>8341</v>
      </c>
      <c r="C17" s="17">
        <f>SUM(C9:C16)</f>
        <v>160</v>
      </c>
      <c r="D17" s="18">
        <f t="shared" si="0"/>
        <v>8501</v>
      </c>
      <c r="E17" s="17">
        <f>SUM(E9:E16)</f>
        <v>2118</v>
      </c>
      <c r="F17" s="17">
        <f>SUM(F9:F16)</f>
        <v>1695</v>
      </c>
      <c r="G17" s="18">
        <f t="shared" si="1"/>
        <v>3813</v>
      </c>
      <c r="H17" s="19">
        <f t="shared" si="2"/>
        <v>12314</v>
      </c>
    </row>
    <row r="18" spans="1:8" ht="15.75" thickTop="1" x14ac:dyDescent="0.25">
      <c r="A18" s="13" t="s">
        <v>14</v>
      </c>
      <c r="B18" s="6">
        <v>33</v>
      </c>
      <c r="C18" s="4">
        <v>0</v>
      </c>
      <c r="D18" s="5">
        <f t="shared" si="0"/>
        <v>33</v>
      </c>
      <c r="E18" s="6">
        <v>9</v>
      </c>
      <c r="F18" s="4">
        <v>24</v>
      </c>
      <c r="G18" s="5">
        <f t="shared" si="1"/>
        <v>33</v>
      </c>
      <c r="H18" s="9">
        <f t="shared" si="2"/>
        <v>66</v>
      </c>
    </row>
    <row r="19" spans="1:8" x14ac:dyDescent="0.25">
      <c r="A19" s="13" t="s">
        <v>15</v>
      </c>
      <c r="B19" s="6">
        <v>104</v>
      </c>
      <c r="C19" s="4">
        <v>1</v>
      </c>
      <c r="D19" s="5">
        <f t="shared" si="0"/>
        <v>105</v>
      </c>
      <c r="E19" s="6">
        <v>62</v>
      </c>
      <c r="F19" s="4">
        <v>20</v>
      </c>
      <c r="G19" s="5">
        <f t="shared" si="1"/>
        <v>82</v>
      </c>
      <c r="H19" s="9">
        <f t="shared" si="2"/>
        <v>187</v>
      </c>
    </row>
    <row r="20" spans="1:8" x14ac:dyDescent="0.25">
      <c r="A20" s="13" t="s">
        <v>16</v>
      </c>
      <c r="B20" s="6">
        <v>243</v>
      </c>
      <c r="C20" s="4">
        <v>0</v>
      </c>
      <c r="D20" s="5">
        <f t="shared" si="0"/>
        <v>243</v>
      </c>
      <c r="E20" s="6">
        <v>35</v>
      </c>
      <c r="F20" s="4">
        <v>21</v>
      </c>
      <c r="G20" s="5">
        <f t="shared" si="1"/>
        <v>56</v>
      </c>
      <c r="H20" s="9">
        <f t="shared" si="2"/>
        <v>299</v>
      </c>
    </row>
    <row r="21" spans="1:8" x14ac:dyDescent="0.25">
      <c r="A21" s="13" t="s">
        <v>17</v>
      </c>
      <c r="B21" s="6">
        <v>52</v>
      </c>
      <c r="C21" s="4">
        <v>3</v>
      </c>
      <c r="D21" s="5">
        <f t="shared" si="0"/>
        <v>55</v>
      </c>
      <c r="E21" s="6">
        <v>1</v>
      </c>
      <c r="F21" s="4">
        <v>3</v>
      </c>
      <c r="G21" s="5">
        <f t="shared" si="1"/>
        <v>4</v>
      </c>
      <c r="H21" s="9">
        <f t="shared" si="2"/>
        <v>59</v>
      </c>
    </row>
    <row r="22" spans="1:8" ht="15.75" thickBot="1" x14ac:dyDescent="0.3">
      <c r="A22" s="14" t="s">
        <v>13</v>
      </c>
      <c r="B22" s="10">
        <v>7</v>
      </c>
      <c r="C22" s="11">
        <v>10</v>
      </c>
      <c r="D22" s="12">
        <f t="shared" si="0"/>
        <v>17</v>
      </c>
      <c r="E22" s="10">
        <v>11</v>
      </c>
      <c r="F22" s="11">
        <v>10</v>
      </c>
      <c r="G22" s="12">
        <f t="shared" si="1"/>
        <v>21</v>
      </c>
      <c r="H22" s="15">
        <f t="shared" si="2"/>
        <v>38</v>
      </c>
    </row>
    <row r="23" spans="1:8" ht="16.5" thickTop="1" thickBot="1" x14ac:dyDescent="0.3">
      <c r="A23" s="8" t="s">
        <v>0</v>
      </c>
      <c r="B23" s="7">
        <f>SUM(B17:B22)</f>
        <v>8780</v>
      </c>
      <c r="C23" s="7">
        <f t="shared" ref="C23:H23" si="3">SUM(C17:C22)</f>
        <v>174</v>
      </c>
      <c r="D23" s="7">
        <f t="shared" si="3"/>
        <v>8954</v>
      </c>
      <c r="E23" s="7">
        <f t="shared" si="3"/>
        <v>2236</v>
      </c>
      <c r="F23" s="7">
        <f t="shared" si="3"/>
        <v>1773</v>
      </c>
      <c r="G23" s="7">
        <f t="shared" si="3"/>
        <v>4009</v>
      </c>
      <c r="H23" s="7">
        <f t="shared" si="3"/>
        <v>12963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32"/>
  <sheetViews>
    <sheetView view="pageLayout" topLeftCell="A5" zoomScale="85" zoomScaleNormal="100" zoomScalePageLayoutView="85" workbookViewId="0">
      <selection activeCell="A25" sqref="A25:H25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2001-02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3580</v>
      </c>
      <c r="C9" s="4">
        <v>107</v>
      </c>
      <c r="D9" s="5">
        <f t="shared" ref="D9:D22" si="0">B9+C9</f>
        <v>3687</v>
      </c>
      <c r="E9" s="6">
        <v>990</v>
      </c>
      <c r="F9" s="4">
        <v>876</v>
      </c>
      <c r="G9" s="5">
        <f t="shared" ref="G9:G22" si="1">E9+F9</f>
        <v>1866</v>
      </c>
      <c r="H9" s="9">
        <f>G9+D9</f>
        <v>5553</v>
      </c>
    </row>
    <row r="10" spans="1:8" x14ac:dyDescent="0.25">
      <c r="A10" s="13" t="s">
        <v>7</v>
      </c>
      <c r="B10" s="6">
        <v>2473</v>
      </c>
      <c r="C10" s="4">
        <v>30</v>
      </c>
      <c r="D10" s="5">
        <f t="shared" si="0"/>
        <v>2503</v>
      </c>
      <c r="E10" s="6">
        <v>601</v>
      </c>
      <c r="F10" s="4">
        <v>493</v>
      </c>
      <c r="G10" s="5">
        <f t="shared" si="1"/>
        <v>1094</v>
      </c>
      <c r="H10" s="9">
        <f t="shared" ref="H10:H22" si="2">G10+D10</f>
        <v>3597</v>
      </c>
    </row>
    <row r="11" spans="1:8" x14ac:dyDescent="0.25">
      <c r="A11" s="13" t="s">
        <v>8</v>
      </c>
      <c r="B11" s="6">
        <v>671</v>
      </c>
      <c r="C11" s="4">
        <v>6</v>
      </c>
      <c r="D11" s="5">
        <f t="shared" si="0"/>
        <v>677</v>
      </c>
      <c r="E11" s="6">
        <v>144</v>
      </c>
      <c r="F11" s="4">
        <v>55</v>
      </c>
      <c r="G11" s="5">
        <f t="shared" si="1"/>
        <v>199</v>
      </c>
      <c r="H11" s="9">
        <f t="shared" si="2"/>
        <v>876</v>
      </c>
    </row>
    <row r="12" spans="1:8" x14ac:dyDescent="0.25">
      <c r="A12" s="13" t="s">
        <v>9</v>
      </c>
      <c r="B12" s="6">
        <v>318</v>
      </c>
      <c r="C12" s="4">
        <v>1</v>
      </c>
      <c r="D12" s="5">
        <f t="shared" si="0"/>
        <v>319</v>
      </c>
      <c r="E12" s="6">
        <v>86</v>
      </c>
      <c r="F12" s="4">
        <v>44</v>
      </c>
      <c r="G12" s="5">
        <f t="shared" si="1"/>
        <v>130</v>
      </c>
      <c r="H12" s="9">
        <f t="shared" si="2"/>
        <v>449</v>
      </c>
    </row>
    <row r="13" spans="1:8" x14ac:dyDescent="0.25">
      <c r="A13" s="13" t="s">
        <v>10</v>
      </c>
      <c r="B13" s="6">
        <v>341</v>
      </c>
      <c r="C13" s="4">
        <v>5</v>
      </c>
      <c r="D13" s="5">
        <f t="shared" si="0"/>
        <v>346</v>
      </c>
      <c r="E13" s="6">
        <v>67</v>
      </c>
      <c r="F13" s="4">
        <v>24</v>
      </c>
      <c r="G13" s="5">
        <f t="shared" si="1"/>
        <v>91</v>
      </c>
      <c r="H13" s="9">
        <f t="shared" si="2"/>
        <v>437</v>
      </c>
    </row>
    <row r="14" spans="1:8" x14ac:dyDescent="0.25">
      <c r="A14" s="13" t="s">
        <v>11</v>
      </c>
      <c r="B14" s="6">
        <v>639</v>
      </c>
      <c r="C14" s="4">
        <v>5</v>
      </c>
      <c r="D14" s="5">
        <f t="shared" si="0"/>
        <v>644</v>
      </c>
      <c r="E14" s="6">
        <v>142</v>
      </c>
      <c r="F14" s="4">
        <v>76</v>
      </c>
      <c r="G14" s="5">
        <f t="shared" si="1"/>
        <v>218</v>
      </c>
      <c r="H14" s="9">
        <f t="shared" si="2"/>
        <v>862</v>
      </c>
    </row>
    <row r="15" spans="1:8" x14ac:dyDescent="0.25">
      <c r="A15" s="13" t="s">
        <v>12</v>
      </c>
      <c r="B15" s="6">
        <v>319</v>
      </c>
      <c r="C15" s="4">
        <v>6</v>
      </c>
      <c r="D15" s="5">
        <f t="shared" si="0"/>
        <v>325</v>
      </c>
      <c r="E15" s="6">
        <v>85</v>
      </c>
      <c r="F15" s="4">
        <v>123</v>
      </c>
      <c r="G15" s="5">
        <f t="shared" si="1"/>
        <v>208</v>
      </c>
      <c r="H15" s="9">
        <f t="shared" si="2"/>
        <v>533</v>
      </c>
    </row>
    <row r="16" spans="1:8" ht="15.75" thickBot="1" x14ac:dyDescent="0.3">
      <c r="A16" s="14" t="s">
        <v>13</v>
      </c>
      <c r="B16" s="10">
        <v>0</v>
      </c>
      <c r="C16" s="11">
        <v>0</v>
      </c>
      <c r="D16" s="12">
        <f t="shared" si="0"/>
        <v>0</v>
      </c>
      <c r="E16" s="10">
        <v>3</v>
      </c>
      <c r="F16" s="11">
        <v>4</v>
      </c>
      <c r="G16" s="12">
        <f t="shared" si="1"/>
        <v>7</v>
      </c>
      <c r="H16" s="15">
        <f t="shared" si="2"/>
        <v>7</v>
      </c>
    </row>
    <row r="17" spans="1:8" ht="16.5" thickTop="1" thickBot="1" x14ac:dyDescent="0.3">
      <c r="A17" s="16" t="s">
        <v>22</v>
      </c>
      <c r="B17" s="17">
        <f>SUM(B9:B16)</f>
        <v>8341</v>
      </c>
      <c r="C17" s="17">
        <f>SUM(C9:C16)</f>
        <v>160</v>
      </c>
      <c r="D17" s="18">
        <f t="shared" si="0"/>
        <v>8501</v>
      </c>
      <c r="E17" s="17">
        <f>SUM(E9:E16)</f>
        <v>2118</v>
      </c>
      <c r="F17" s="17">
        <f>SUM(F9:F16)</f>
        <v>1695</v>
      </c>
      <c r="G17" s="18">
        <f t="shared" si="1"/>
        <v>3813</v>
      </c>
      <c r="H17" s="19">
        <f t="shared" si="2"/>
        <v>12314</v>
      </c>
    </row>
    <row r="18" spans="1:8" ht="15.75" thickTop="1" x14ac:dyDescent="0.25">
      <c r="A18" s="13" t="s">
        <v>14</v>
      </c>
      <c r="B18" s="6">
        <v>33</v>
      </c>
      <c r="C18" s="4">
        <v>0</v>
      </c>
      <c r="D18" s="5">
        <f t="shared" si="0"/>
        <v>33</v>
      </c>
      <c r="E18" s="6">
        <v>9</v>
      </c>
      <c r="F18" s="4">
        <v>24</v>
      </c>
      <c r="G18" s="5">
        <f t="shared" si="1"/>
        <v>33</v>
      </c>
      <c r="H18" s="9">
        <f t="shared" si="2"/>
        <v>66</v>
      </c>
    </row>
    <row r="19" spans="1:8" x14ac:dyDescent="0.25">
      <c r="A19" s="13" t="s">
        <v>15</v>
      </c>
      <c r="B19" s="6">
        <v>104</v>
      </c>
      <c r="C19" s="4">
        <v>1</v>
      </c>
      <c r="D19" s="5">
        <f t="shared" si="0"/>
        <v>105</v>
      </c>
      <c r="E19" s="6">
        <v>62</v>
      </c>
      <c r="F19" s="4">
        <v>20</v>
      </c>
      <c r="G19" s="5">
        <f t="shared" si="1"/>
        <v>82</v>
      </c>
      <c r="H19" s="9">
        <f t="shared" si="2"/>
        <v>187</v>
      </c>
    </row>
    <row r="20" spans="1:8" x14ac:dyDescent="0.25">
      <c r="A20" s="13" t="s">
        <v>16</v>
      </c>
      <c r="B20" s="6">
        <v>243</v>
      </c>
      <c r="C20" s="4">
        <v>0</v>
      </c>
      <c r="D20" s="5">
        <f t="shared" si="0"/>
        <v>243</v>
      </c>
      <c r="E20" s="6">
        <v>35</v>
      </c>
      <c r="F20" s="4">
        <v>21</v>
      </c>
      <c r="G20" s="5">
        <f t="shared" si="1"/>
        <v>56</v>
      </c>
      <c r="H20" s="9">
        <f t="shared" si="2"/>
        <v>299</v>
      </c>
    </row>
    <row r="21" spans="1:8" x14ac:dyDescent="0.25">
      <c r="A21" s="13" t="s">
        <v>17</v>
      </c>
      <c r="B21" s="6">
        <v>52</v>
      </c>
      <c r="C21" s="4">
        <v>3</v>
      </c>
      <c r="D21" s="5">
        <f t="shared" si="0"/>
        <v>55</v>
      </c>
      <c r="E21" s="6">
        <v>1</v>
      </c>
      <c r="F21" s="4">
        <v>3</v>
      </c>
      <c r="G21" s="5">
        <f t="shared" si="1"/>
        <v>4</v>
      </c>
      <c r="H21" s="9">
        <f t="shared" si="2"/>
        <v>59</v>
      </c>
    </row>
    <row r="22" spans="1:8" ht="15.75" thickBot="1" x14ac:dyDescent="0.3">
      <c r="A22" s="14" t="s">
        <v>13</v>
      </c>
      <c r="B22" s="10">
        <v>7</v>
      </c>
      <c r="C22" s="11">
        <v>10</v>
      </c>
      <c r="D22" s="12">
        <f t="shared" si="0"/>
        <v>17</v>
      </c>
      <c r="E22" s="10">
        <v>11</v>
      </c>
      <c r="F22" s="11">
        <v>10</v>
      </c>
      <c r="G22" s="12">
        <f t="shared" si="1"/>
        <v>21</v>
      </c>
      <c r="H22" s="15">
        <f t="shared" si="2"/>
        <v>38</v>
      </c>
    </row>
    <row r="23" spans="1:8" ht="16.5" thickTop="1" thickBot="1" x14ac:dyDescent="0.3">
      <c r="A23" s="8" t="s">
        <v>0</v>
      </c>
      <c r="B23" s="7">
        <f>SUM(B17:B22)</f>
        <v>8780</v>
      </c>
      <c r="C23" s="7">
        <f t="shared" ref="C23:H23" si="3">SUM(C17:C22)</f>
        <v>174</v>
      </c>
      <c r="D23" s="7">
        <f t="shared" si="3"/>
        <v>8954</v>
      </c>
      <c r="E23" s="7">
        <f t="shared" si="3"/>
        <v>2236</v>
      </c>
      <c r="F23" s="7">
        <f t="shared" si="3"/>
        <v>1773</v>
      </c>
      <c r="G23" s="7">
        <f t="shared" si="3"/>
        <v>4009</v>
      </c>
      <c r="H23" s="7">
        <f t="shared" si="3"/>
        <v>12963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32"/>
  <sheetViews>
    <sheetView view="pageLayout" topLeftCell="B7" zoomScaleNormal="100" workbookViewId="0">
      <selection activeCell="B9" sqref="B9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2000-01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3433</v>
      </c>
      <c r="C9" s="4">
        <v>93</v>
      </c>
      <c r="D9" s="5">
        <f t="shared" ref="D9:D22" si="0">B9+C9</f>
        <v>3526</v>
      </c>
      <c r="E9" s="6">
        <v>1050</v>
      </c>
      <c r="F9" s="4">
        <v>859</v>
      </c>
      <c r="G9" s="5">
        <f t="shared" ref="G9:G22" si="1">E9+F9</f>
        <v>1909</v>
      </c>
      <c r="H9" s="9">
        <f>G9+D9</f>
        <v>5435</v>
      </c>
    </row>
    <row r="10" spans="1:8" x14ac:dyDescent="0.25">
      <c r="A10" s="13" t="s">
        <v>7</v>
      </c>
      <c r="B10" s="6">
        <v>2456</v>
      </c>
      <c r="C10" s="4">
        <v>39</v>
      </c>
      <c r="D10" s="5">
        <f t="shared" si="0"/>
        <v>2495</v>
      </c>
      <c r="E10" s="6">
        <v>575</v>
      </c>
      <c r="F10" s="4">
        <v>434</v>
      </c>
      <c r="G10" s="5">
        <f t="shared" si="1"/>
        <v>1009</v>
      </c>
      <c r="H10" s="9">
        <f t="shared" ref="H10:H22" si="2">G10+D10</f>
        <v>3504</v>
      </c>
    </row>
    <row r="11" spans="1:8" x14ac:dyDescent="0.25">
      <c r="A11" s="13" t="s">
        <v>8</v>
      </c>
      <c r="B11" s="6">
        <v>699</v>
      </c>
      <c r="C11" s="4">
        <v>4</v>
      </c>
      <c r="D11" s="5">
        <f t="shared" si="0"/>
        <v>703</v>
      </c>
      <c r="E11" s="6">
        <v>127</v>
      </c>
      <c r="F11" s="4">
        <v>57</v>
      </c>
      <c r="G11" s="5">
        <f t="shared" si="1"/>
        <v>184</v>
      </c>
      <c r="H11" s="9">
        <f t="shared" si="2"/>
        <v>887</v>
      </c>
    </row>
    <row r="12" spans="1:8" x14ac:dyDescent="0.25">
      <c r="A12" s="13" t="s">
        <v>9</v>
      </c>
      <c r="B12" s="6">
        <v>328</v>
      </c>
      <c r="C12" s="4">
        <v>4</v>
      </c>
      <c r="D12" s="5">
        <f t="shared" si="0"/>
        <v>332</v>
      </c>
      <c r="E12" s="6">
        <v>87</v>
      </c>
      <c r="F12" s="4">
        <v>35</v>
      </c>
      <c r="G12" s="5">
        <f t="shared" si="1"/>
        <v>122</v>
      </c>
      <c r="H12" s="9">
        <f t="shared" si="2"/>
        <v>454</v>
      </c>
    </row>
    <row r="13" spans="1:8" x14ac:dyDescent="0.25">
      <c r="A13" s="13" t="s">
        <v>10</v>
      </c>
      <c r="B13" s="6">
        <v>358</v>
      </c>
      <c r="C13" s="4">
        <v>4</v>
      </c>
      <c r="D13" s="5">
        <f t="shared" si="0"/>
        <v>362</v>
      </c>
      <c r="E13" s="6">
        <v>74</v>
      </c>
      <c r="F13" s="4">
        <v>20</v>
      </c>
      <c r="G13" s="5">
        <f t="shared" si="1"/>
        <v>94</v>
      </c>
      <c r="H13" s="9">
        <f t="shared" si="2"/>
        <v>456</v>
      </c>
    </row>
    <row r="14" spans="1:8" x14ac:dyDescent="0.25">
      <c r="A14" s="13" t="s">
        <v>11</v>
      </c>
      <c r="B14" s="6">
        <v>652</v>
      </c>
      <c r="C14" s="4">
        <v>12</v>
      </c>
      <c r="D14" s="5">
        <f t="shared" si="0"/>
        <v>664</v>
      </c>
      <c r="E14" s="6">
        <v>146</v>
      </c>
      <c r="F14" s="4">
        <v>69</v>
      </c>
      <c r="G14" s="5">
        <f t="shared" si="1"/>
        <v>215</v>
      </c>
      <c r="H14" s="9">
        <f t="shared" si="2"/>
        <v>879</v>
      </c>
    </row>
    <row r="15" spans="1:8" x14ac:dyDescent="0.25">
      <c r="A15" s="13" t="s">
        <v>12</v>
      </c>
      <c r="B15" s="6">
        <v>334</v>
      </c>
      <c r="C15" s="4">
        <v>2</v>
      </c>
      <c r="D15" s="5">
        <f t="shared" si="0"/>
        <v>336</v>
      </c>
      <c r="E15" s="6">
        <v>75</v>
      </c>
      <c r="F15" s="4">
        <v>143</v>
      </c>
      <c r="G15" s="5">
        <f t="shared" si="1"/>
        <v>218</v>
      </c>
      <c r="H15" s="9">
        <f t="shared" si="2"/>
        <v>554</v>
      </c>
    </row>
    <row r="16" spans="1:8" ht="15.75" thickBot="1" x14ac:dyDescent="0.3">
      <c r="A16" s="14" t="s">
        <v>13</v>
      </c>
      <c r="B16" s="10">
        <v>1</v>
      </c>
      <c r="C16" s="11">
        <v>0</v>
      </c>
      <c r="D16" s="12">
        <f t="shared" si="0"/>
        <v>1</v>
      </c>
      <c r="E16" s="10">
        <v>9</v>
      </c>
      <c r="F16" s="11">
        <v>6</v>
      </c>
      <c r="G16" s="12">
        <f t="shared" si="1"/>
        <v>15</v>
      </c>
      <c r="H16" s="15">
        <f t="shared" si="2"/>
        <v>16</v>
      </c>
    </row>
    <row r="17" spans="1:8" ht="16.5" thickTop="1" thickBot="1" x14ac:dyDescent="0.3">
      <c r="A17" s="16" t="s">
        <v>22</v>
      </c>
      <c r="B17" s="17">
        <f>SUM(B9:B16)</f>
        <v>8261</v>
      </c>
      <c r="C17" s="17">
        <f>SUM(C9:C16)</f>
        <v>158</v>
      </c>
      <c r="D17" s="18">
        <f t="shared" si="0"/>
        <v>8419</v>
      </c>
      <c r="E17" s="17">
        <f>SUM(E9:E16)</f>
        <v>2143</v>
      </c>
      <c r="F17" s="17">
        <f>SUM(F9:F16)</f>
        <v>1623</v>
      </c>
      <c r="G17" s="18">
        <f t="shared" si="1"/>
        <v>3766</v>
      </c>
      <c r="H17" s="19">
        <f t="shared" si="2"/>
        <v>12185</v>
      </c>
    </row>
    <row r="18" spans="1:8" ht="15.75" thickTop="1" x14ac:dyDescent="0.25">
      <c r="A18" s="13" t="s">
        <v>14</v>
      </c>
      <c r="B18" s="6">
        <v>31</v>
      </c>
      <c r="C18" s="4">
        <v>0</v>
      </c>
      <c r="D18" s="5">
        <f t="shared" si="0"/>
        <v>31</v>
      </c>
      <c r="E18" s="6">
        <v>9</v>
      </c>
      <c r="F18" s="4">
        <v>22</v>
      </c>
      <c r="G18" s="5">
        <f t="shared" si="1"/>
        <v>31</v>
      </c>
      <c r="H18" s="9">
        <f t="shared" si="2"/>
        <v>62</v>
      </c>
    </row>
    <row r="19" spans="1:8" x14ac:dyDescent="0.25">
      <c r="A19" s="13" t="s">
        <v>15</v>
      </c>
      <c r="B19" s="6">
        <v>108</v>
      </c>
      <c r="C19" s="4">
        <v>0</v>
      </c>
      <c r="D19" s="5">
        <f t="shared" si="0"/>
        <v>108</v>
      </c>
      <c r="E19" s="6">
        <v>63</v>
      </c>
      <c r="F19" s="4">
        <v>18</v>
      </c>
      <c r="G19" s="5">
        <f t="shared" si="1"/>
        <v>81</v>
      </c>
      <c r="H19" s="9">
        <f t="shared" si="2"/>
        <v>189</v>
      </c>
    </row>
    <row r="20" spans="1:8" x14ac:dyDescent="0.25">
      <c r="A20" s="13" t="s">
        <v>16</v>
      </c>
      <c r="B20" s="6">
        <v>229</v>
      </c>
      <c r="C20" s="4">
        <v>1</v>
      </c>
      <c r="D20" s="5">
        <f t="shared" si="0"/>
        <v>230</v>
      </c>
      <c r="E20" s="6">
        <v>47</v>
      </c>
      <c r="F20" s="4">
        <v>19</v>
      </c>
      <c r="G20" s="5">
        <f t="shared" si="1"/>
        <v>66</v>
      </c>
      <c r="H20" s="9">
        <f t="shared" si="2"/>
        <v>296</v>
      </c>
    </row>
    <row r="21" spans="1:8" x14ac:dyDescent="0.25">
      <c r="A21" s="13" t="s">
        <v>17</v>
      </c>
      <c r="B21" s="6">
        <v>49</v>
      </c>
      <c r="C21" s="4">
        <v>3</v>
      </c>
      <c r="D21" s="5">
        <f t="shared" si="0"/>
        <v>52</v>
      </c>
      <c r="E21" s="6">
        <v>1</v>
      </c>
      <c r="F21" s="4">
        <v>0</v>
      </c>
      <c r="G21" s="5">
        <f t="shared" si="1"/>
        <v>1</v>
      </c>
      <c r="H21" s="9">
        <f t="shared" si="2"/>
        <v>53</v>
      </c>
    </row>
    <row r="22" spans="1:8" ht="15.75" thickBot="1" x14ac:dyDescent="0.3">
      <c r="A22" s="14" t="s">
        <v>13</v>
      </c>
      <c r="B22" s="10">
        <v>16</v>
      </c>
      <c r="C22" s="11">
        <v>16</v>
      </c>
      <c r="D22" s="12">
        <f t="shared" si="0"/>
        <v>32</v>
      </c>
      <c r="E22" s="10">
        <v>11</v>
      </c>
      <c r="F22" s="11">
        <v>8</v>
      </c>
      <c r="G22" s="12">
        <f t="shared" si="1"/>
        <v>19</v>
      </c>
      <c r="H22" s="15">
        <f t="shared" si="2"/>
        <v>51</v>
      </c>
    </row>
    <row r="23" spans="1:8" ht="16.5" thickTop="1" thickBot="1" x14ac:dyDescent="0.3">
      <c r="A23" s="8" t="s">
        <v>0</v>
      </c>
      <c r="B23" s="7">
        <f>SUM(B17:B22)</f>
        <v>8694</v>
      </c>
      <c r="C23" s="7">
        <f t="shared" ref="C23:H23" si="3">SUM(C17:C22)</f>
        <v>178</v>
      </c>
      <c r="D23" s="7">
        <f t="shared" si="3"/>
        <v>8872</v>
      </c>
      <c r="E23" s="7">
        <f t="shared" si="3"/>
        <v>2274</v>
      </c>
      <c r="F23" s="7">
        <f t="shared" si="3"/>
        <v>1690</v>
      </c>
      <c r="G23" s="7">
        <f t="shared" si="3"/>
        <v>3964</v>
      </c>
      <c r="H23" s="7">
        <f t="shared" si="3"/>
        <v>12836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32"/>
  <sheetViews>
    <sheetView view="pageLayout" topLeftCell="A4" zoomScaleNormal="100" workbookViewId="0">
      <selection activeCell="E18" sqref="E18:F22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1999-00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3334</v>
      </c>
      <c r="C9" s="4">
        <v>86</v>
      </c>
      <c r="D9" s="5">
        <f t="shared" ref="D9:D22" si="0">B9+C9</f>
        <v>3420</v>
      </c>
      <c r="E9" s="6">
        <v>1047</v>
      </c>
      <c r="F9" s="4">
        <v>778</v>
      </c>
      <c r="G9" s="5">
        <f t="shared" ref="G9:G22" si="1">E9+F9</f>
        <v>1825</v>
      </c>
      <c r="H9" s="9">
        <f>G9+D9</f>
        <v>5245</v>
      </c>
    </row>
    <row r="10" spans="1:8" x14ac:dyDescent="0.25">
      <c r="A10" s="13" t="s">
        <v>7</v>
      </c>
      <c r="B10" s="6">
        <v>2399</v>
      </c>
      <c r="C10" s="4">
        <v>35</v>
      </c>
      <c r="D10" s="5">
        <f t="shared" si="0"/>
        <v>2434</v>
      </c>
      <c r="E10" s="6">
        <v>567</v>
      </c>
      <c r="F10" s="4">
        <v>372</v>
      </c>
      <c r="G10" s="5">
        <f t="shared" si="1"/>
        <v>939</v>
      </c>
      <c r="H10" s="9">
        <f t="shared" ref="H10:H22" si="2">G10+D10</f>
        <v>3373</v>
      </c>
    </row>
    <row r="11" spans="1:8" x14ac:dyDescent="0.25">
      <c r="A11" s="13" t="s">
        <v>8</v>
      </c>
      <c r="B11" s="6">
        <v>705</v>
      </c>
      <c r="C11" s="4">
        <v>2</v>
      </c>
      <c r="D11" s="5">
        <f t="shared" si="0"/>
        <v>707</v>
      </c>
      <c r="E11" s="6">
        <v>130</v>
      </c>
      <c r="F11" s="4">
        <v>47</v>
      </c>
      <c r="G11" s="5">
        <f t="shared" si="1"/>
        <v>177</v>
      </c>
      <c r="H11" s="9">
        <f t="shared" si="2"/>
        <v>884</v>
      </c>
    </row>
    <row r="12" spans="1:8" x14ac:dyDescent="0.25">
      <c r="A12" s="13" t="s">
        <v>9</v>
      </c>
      <c r="B12" s="6">
        <v>318</v>
      </c>
      <c r="C12" s="4">
        <v>4</v>
      </c>
      <c r="D12" s="5">
        <f t="shared" si="0"/>
        <v>322</v>
      </c>
      <c r="E12" s="6">
        <v>103</v>
      </c>
      <c r="F12" s="4">
        <v>32</v>
      </c>
      <c r="G12" s="5">
        <f t="shared" si="1"/>
        <v>135</v>
      </c>
      <c r="H12" s="9">
        <f t="shared" si="2"/>
        <v>457</v>
      </c>
    </row>
    <row r="13" spans="1:8" x14ac:dyDescent="0.25">
      <c r="A13" s="13" t="s">
        <v>10</v>
      </c>
      <c r="B13" s="6">
        <v>368</v>
      </c>
      <c r="C13" s="4">
        <v>3</v>
      </c>
      <c r="D13" s="5">
        <f t="shared" si="0"/>
        <v>371</v>
      </c>
      <c r="E13" s="6">
        <v>78</v>
      </c>
      <c r="F13" s="4">
        <v>15</v>
      </c>
      <c r="G13" s="5">
        <f t="shared" si="1"/>
        <v>93</v>
      </c>
      <c r="H13" s="9">
        <f t="shared" si="2"/>
        <v>464</v>
      </c>
    </row>
    <row r="14" spans="1:8" x14ac:dyDescent="0.25">
      <c r="A14" s="13" t="s">
        <v>11</v>
      </c>
      <c r="B14" s="6">
        <v>611</v>
      </c>
      <c r="C14" s="4">
        <v>8</v>
      </c>
      <c r="D14" s="5">
        <f t="shared" si="0"/>
        <v>619</v>
      </c>
      <c r="E14" s="6">
        <v>136</v>
      </c>
      <c r="F14" s="4">
        <v>61</v>
      </c>
      <c r="G14" s="5">
        <f t="shared" si="1"/>
        <v>197</v>
      </c>
      <c r="H14" s="9">
        <f t="shared" si="2"/>
        <v>816</v>
      </c>
    </row>
    <row r="15" spans="1:8" x14ac:dyDescent="0.25">
      <c r="A15" s="13" t="s">
        <v>12</v>
      </c>
      <c r="B15" s="6">
        <v>298</v>
      </c>
      <c r="C15" s="4">
        <v>3</v>
      </c>
      <c r="D15" s="5">
        <f t="shared" si="0"/>
        <v>301</v>
      </c>
      <c r="E15" s="6">
        <v>81</v>
      </c>
      <c r="F15" s="4">
        <v>125</v>
      </c>
      <c r="G15" s="5">
        <f t="shared" si="1"/>
        <v>206</v>
      </c>
      <c r="H15" s="9">
        <f t="shared" si="2"/>
        <v>507</v>
      </c>
    </row>
    <row r="16" spans="1:8" ht="15.75" thickBot="1" x14ac:dyDescent="0.3">
      <c r="A16" s="14" t="s">
        <v>13</v>
      </c>
      <c r="B16" s="10">
        <v>1</v>
      </c>
      <c r="C16" s="11">
        <v>0</v>
      </c>
      <c r="D16" s="12">
        <f t="shared" si="0"/>
        <v>1</v>
      </c>
      <c r="E16" s="10">
        <v>13</v>
      </c>
      <c r="F16" s="11">
        <v>6</v>
      </c>
      <c r="G16" s="12">
        <f t="shared" si="1"/>
        <v>19</v>
      </c>
      <c r="H16" s="15">
        <f t="shared" si="2"/>
        <v>20</v>
      </c>
    </row>
    <row r="17" spans="1:8" ht="16.5" thickTop="1" thickBot="1" x14ac:dyDescent="0.3">
      <c r="A17" s="16" t="s">
        <v>22</v>
      </c>
      <c r="B17" s="17">
        <f>SUM(B9:B16)</f>
        <v>8034</v>
      </c>
      <c r="C17" s="17">
        <f>SUM(C9:C16)</f>
        <v>141</v>
      </c>
      <c r="D17" s="18">
        <f t="shared" si="0"/>
        <v>8175</v>
      </c>
      <c r="E17" s="17">
        <f>SUM(E9:E16)</f>
        <v>2155</v>
      </c>
      <c r="F17" s="17">
        <f>SUM(F9:F16)</f>
        <v>1436</v>
      </c>
      <c r="G17" s="18">
        <f t="shared" si="1"/>
        <v>3591</v>
      </c>
      <c r="H17" s="19">
        <f t="shared" si="2"/>
        <v>11766</v>
      </c>
    </row>
    <row r="18" spans="1:8" ht="15.75" thickTop="1" x14ac:dyDescent="0.25">
      <c r="A18" s="13" t="s">
        <v>14</v>
      </c>
      <c r="B18" s="6">
        <v>34</v>
      </c>
      <c r="C18" s="4">
        <v>0</v>
      </c>
      <c r="D18" s="5">
        <f t="shared" si="0"/>
        <v>34</v>
      </c>
      <c r="E18" s="6">
        <v>13</v>
      </c>
      <c r="F18" s="4">
        <v>33</v>
      </c>
      <c r="G18" s="5">
        <f t="shared" si="1"/>
        <v>46</v>
      </c>
      <c r="H18" s="9">
        <f t="shared" si="2"/>
        <v>80</v>
      </c>
    </row>
    <row r="19" spans="1:8" x14ac:dyDescent="0.25">
      <c r="A19" s="13" t="s">
        <v>15</v>
      </c>
      <c r="B19" s="6">
        <v>94</v>
      </c>
      <c r="C19" s="4">
        <v>1</v>
      </c>
      <c r="D19" s="5">
        <f t="shared" si="0"/>
        <v>95</v>
      </c>
      <c r="E19" s="6">
        <v>64</v>
      </c>
      <c r="F19" s="4">
        <v>19</v>
      </c>
      <c r="G19" s="5">
        <f t="shared" si="1"/>
        <v>83</v>
      </c>
      <c r="H19" s="9">
        <f t="shared" si="2"/>
        <v>178</v>
      </c>
    </row>
    <row r="20" spans="1:8" x14ac:dyDescent="0.25">
      <c r="A20" s="13" t="s">
        <v>16</v>
      </c>
      <c r="B20" s="6">
        <v>207</v>
      </c>
      <c r="C20" s="4">
        <v>5</v>
      </c>
      <c r="D20" s="5">
        <f t="shared" si="0"/>
        <v>212</v>
      </c>
      <c r="E20" s="6">
        <v>46</v>
      </c>
      <c r="F20" s="4">
        <v>10</v>
      </c>
      <c r="G20" s="5">
        <f t="shared" si="1"/>
        <v>56</v>
      </c>
      <c r="H20" s="9">
        <f t="shared" si="2"/>
        <v>268</v>
      </c>
    </row>
    <row r="21" spans="1:8" x14ac:dyDescent="0.25">
      <c r="A21" s="13" t="s">
        <v>17</v>
      </c>
      <c r="B21" s="6">
        <v>39</v>
      </c>
      <c r="C21" s="4">
        <v>0</v>
      </c>
      <c r="D21" s="5">
        <f t="shared" si="0"/>
        <v>39</v>
      </c>
      <c r="E21" s="6">
        <v>2</v>
      </c>
      <c r="F21" s="4">
        <v>0</v>
      </c>
      <c r="G21" s="5">
        <f t="shared" si="1"/>
        <v>2</v>
      </c>
      <c r="H21" s="9">
        <f t="shared" si="2"/>
        <v>41</v>
      </c>
    </row>
    <row r="22" spans="1:8" ht="15.75" thickBot="1" x14ac:dyDescent="0.3">
      <c r="A22" s="14" t="s">
        <v>13</v>
      </c>
      <c r="B22" s="10">
        <v>27</v>
      </c>
      <c r="C22" s="11">
        <v>19</v>
      </c>
      <c r="D22" s="12">
        <f t="shared" si="0"/>
        <v>46</v>
      </c>
      <c r="E22" s="10">
        <v>3</v>
      </c>
      <c r="F22" s="11">
        <v>24</v>
      </c>
      <c r="G22" s="12">
        <f t="shared" si="1"/>
        <v>27</v>
      </c>
      <c r="H22" s="15">
        <f t="shared" si="2"/>
        <v>73</v>
      </c>
    </row>
    <row r="23" spans="1:8" ht="16.5" thickTop="1" thickBot="1" x14ac:dyDescent="0.3">
      <c r="A23" s="8" t="s">
        <v>0</v>
      </c>
      <c r="B23" s="7">
        <f>SUM(B17:B22)</f>
        <v>8435</v>
      </c>
      <c r="C23" s="7">
        <f t="shared" ref="C23:H23" si="3">SUM(C17:C22)</f>
        <v>166</v>
      </c>
      <c r="D23" s="7">
        <f t="shared" si="3"/>
        <v>8601</v>
      </c>
      <c r="E23" s="7">
        <f t="shared" si="3"/>
        <v>2283</v>
      </c>
      <c r="F23" s="7">
        <f t="shared" si="3"/>
        <v>1522</v>
      </c>
      <c r="G23" s="7">
        <f t="shared" si="3"/>
        <v>3805</v>
      </c>
      <c r="H23" s="7">
        <f t="shared" si="3"/>
        <v>12406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32"/>
  <sheetViews>
    <sheetView view="pageLayout" topLeftCell="B4" zoomScale="85" zoomScaleNormal="100" zoomScalePageLayoutView="85" workbookViewId="0">
      <selection activeCell="C16" sqref="C16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1998-99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3282</v>
      </c>
      <c r="C9" s="4">
        <v>105</v>
      </c>
      <c r="D9" s="5">
        <f t="shared" ref="D9:D22" si="0">B9+C9</f>
        <v>3387</v>
      </c>
      <c r="E9" s="6">
        <v>945</v>
      </c>
      <c r="F9" s="4">
        <v>723</v>
      </c>
      <c r="G9" s="5">
        <f t="shared" ref="G9:G22" si="1">E9+F9</f>
        <v>1668</v>
      </c>
      <c r="H9" s="9">
        <f>G9+D9</f>
        <v>5055</v>
      </c>
    </row>
    <row r="10" spans="1:8" x14ac:dyDescent="0.25">
      <c r="A10" s="13" t="s">
        <v>7</v>
      </c>
      <c r="B10" s="6">
        <v>2359</v>
      </c>
      <c r="C10" s="4">
        <v>30</v>
      </c>
      <c r="D10" s="5">
        <f t="shared" si="0"/>
        <v>2389</v>
      </c>
      <c r="E10" s="6">
        <v>552</v>
      </c>
      <c r="F10" s="4">
        <v>341</v>
      </c>
      <c r="G10" s="5">
        <f t="shared" si="1"/>
        <v>893</v>
      </c>
      <c r="H10" s="9">
        <f t="shared" ref="H10:H22" si="2">G10+D10</f>
        <v>3282</v>
      </c>
    </row>
    <row r="11" spans="1:8" x14ac:dyDescent="0.25">
      <c r="A11" s="13" t="s">
        <v>8</v>
      </c>
      <c r="B11" s="6">
        <v>673</v>
      </c>
      <c r="C11" s="4">
        <v>4</v>
      </c>
      <c r="D11" s="5">
        <f t="shared" si="0"/>
        <v>677</v>
      </c>
      <c r="E11" s="6">
        <v>112</v>
      </c>
      <c r="F11" s="4">
        <v>45</v>
      </c>
      <c r="G11" s="5">
        <f t="shared" si="1"/>
        <v>157</v>
      </c>
      <c r="H11" s="9">
        <f t="shared" si="2"/>
        <v>834</v>
      </c>
    </row>
    <row r="12" spans="1:8" x14ac:dyDescent="0.25">
      <c r="A12" s="13" t="s">
        <v>9</v>
      </c>
      <c r="B12" s="6">
        <v>337</v>
      </c>
      <c r="C12" s="4">
        <v>2</v>
      </c>
      <c r="D12" s="5">
        <f t="shared" si="0"/>
        <v>339</v>
      </c>
      <c r="E12" s="6">
        <v>99</v>
      </c>
      <c r="F12" s="4">
        <v>19</v>
      </c>
      <c r="G12" s="5">
        <f t="shared" si="1"/>
        <v>118</v>
      </c>
      <c r="H12" s="9">
        <f t="shared" si="2"/>
        <v>457</v>
      </c>
    </row>
    <row r="13" spans="1:8" x14ac:dyDescent="0.25">
      <c r="A13" s="13" t="s">
        <v>10</v>
      </c>
      <c r="B13" s="6">
        <v>340</v>
      </c>
      <c r="C13" s="4">
        <v>1</v>
      </c>
      <c r="D13" s="5">
        <f t="shared" si="0"/>
        <v>341</v>
      </c>
      <c r="E13" s="6">
        <v>72</v>
      </c>
      <c r="F13" s="4">
        <v>14</v>
      </c>
      <c r="G13" s="5">
        <f t="shared" si="1"/>
        <v>86</v>
      </c>
      <c r="H13" s="9">
        <f t="shared" si="2"/>
        <v>427</v>
      </c>
    </row>
    <row r="14" spans="1:8" x14ac:dyDescent="0.25">
      <c r="A14" s="13" t="s">
        <v>11</v>
      </c>
      <c r="B14" s="6">
        <v>608</v>
      </c>
      <c r="C14" s="4">
        <v>6</v>
      </c>
      <c r="D14" s="5">
        <f t="shared" si="0"/>
        <v>614</v>
      </c>
      <c r="E14" s="6">
        <v>139</v>
      </c>
      <c r="F14" s="4">
        <v>31</v>
      </c>
      <c r="G14" s="5">
        <f t="shared" si="1"/>
        <v>170</v>
      </c>
      <c r="H14" s="9">
        <f t="shared" si="2"/>
        <v>784</v>
      </c>
    </row>
    <row r="15" spans="1:8" x14ac:dyDescent="0.25">
      <c r="A15" s="13" t="s">
        <v>12</v>
      </c>
      <c r="B15" s="6">
        <v>281</v>
      </c>
      <c r="C15" s="4">
        <v>3</v>
      </c>
      <c r="D15" s="5">
        <f t="shared" si="0"/>
        <v>284</v>
      </c>
      <c r="E15" s="6">
        <v>74</v>
      </c>
      <c r="F15" s="4">
        <v>75</v>
      </c>
      <c r="G15" s="5">
        <f t="shared" si="1"/>
        <v>149</v>
      </c>
      <c r="H15" s="9">
        <f t="shared" si="2"/>
        <v>433</v>
      </c>
    </row>
    <row r="16" spans="1:8" ht="15.75" thickBot="1" x14ac:dyDescent="0.3">
      <c r="A16" s="14" t="s">
        <v>13</v>
      </c>
      <c r="B16" s="10">
        <v>3</v>
      </c>
      <c r="C16" s="11">
        <v>0</v>
      </c>
      <c r="D16" s="12">
        <f t="shared" si="0"/>
        <v>3</v>
      </c>
      <c r="E16" s="10">
        <v>6</v>
      </c>
      <c r="F16" s="11">
        <v>3</v>
      </c>
      <c r="G16" s="12">
        <f t="shared" si="1"/>
        <v>9</v>
      </c>
      <c r="H16" s="15">
        <f t="shared" si="2"/>
        <v>12</v>
      </c>
    </row>
    <row r="17" spans="1:8" ht="16.5" thickTop="1" thickBot="1" x14ac:dyDescent="0.3">
      <c r="A17" s="16" t="s">
        <v>22</v>
      </c>
      <c r="B17" s="17">
        <f>SUM(B9:B16)</f>
        <v>7883</v>
      </c>
      <c r="C17" s="17">
        <f>SUM(C9:C16)</f>
        <v>151</v>
      </c>
      <c r="D17" s="18">
        <f t="shared" si="0"/>
        <v>8034</v>
      </c>
      <c r="E17" s="17">
        <f>SUM(E9:E16)</f>
        <v>1999</v>
      </c>
      <c r="F17" s="17">
        <f>SUM(F9:F16)</f>
        <v>1251</v>
      </c>
      <c r="G17" s="18">
        <f t="shared" si="1"/>
        <v>3250</v>
      </c>
      <c r="H17" s="19">
        <f t="shared" si="2"/>
        <v>11284</v>
      </c>
    </row>
    <row r="18" spans="1:8" ht="15.75" thickTop="1" x14ac:dyDescent="0.25">
      <c r="A18" s="13" t="s">
        <v>14</v>
      </c>
      <c r="B18" s="6">
        <v>33</v>
      </c>
      <c r="C18" s="4">
        <v>0</v>
      </c>
      <c r="D18" s="5">
        <f t="shared" si="0"/>
        <v>33</v>
      </c>
      <c r="E18" s="6">
        <v>14</v>
      </c>
      <c r="F18" s="4">
        <v>5</v>
      </c>
      <c r="G18" s="5">
        <f t="shared" si="1"/>
        <v>19</v>
      </c>
      <c r="H18" s="9">
        <f t="shared" si="2"/>
        <v>52</v>
      </c>
    </row>
    <row r="19" spans="1:8" x14ac:dyDescent="0.25">
      <c r="A19" s="13" t="s">
        <v>15</v>
      </c>
      <c r="B19" s="6">
        <v>82</v>
      </c>
      <c r="C19" s="4">
        <v>0</v>
      </c>
      <c r="D19" s="5">
        <f t="shared" si="0"/>
        <v>82</v>
      </c>
      <c r="E19" s="6">
        <v>68</v>
      </c>
      <c r="F19" s="4">
        <v>11</v>
      </c>
      <c r="G19" s="5">
        <f t="shared" si="1"/>
        <v>79</v>
      </c>
      <c r="H19" s="9">
        <f t="shared" si="2"/>
        <v>161</v>
      </c>
    </row>
    <row r="20" spans="1:8" x14ac:dyDescent="0.25">
      <c r="A20" s="13" t="s">
        <v>16</v>
      </c>
      <c r="B20" s="6">
        <v>194</v>
      </c>
      <c r="C20" s="4">
        <v>4</v>
      </c>
      <c r="D20" s="5">
        <f t="shared" si="0"/>
        <v>198</v>
      </c>
      <c r="E20" s="6">
        <v>37</v>
      </c>
      <c r="F20" s="4">
        <v>8</v>
      </c>
      <c r="G20" s="5">
        <f t="shared" si="1"/>
        <v>45</v>
      </c>
      <c r="H20" s="9">
        <f t="shared" si="2"/>
        <v>243</v>
      </c>
    </row>
    <row r="21" spans="1:8" x14ac:dyDescent="0.25">
      <c r="A21" s="13" t="s">
        <v>17</v>
      </c>
      <c r="B21" s="6">
        <v>32</v>
      </c>
      <c r="C21" s="4">
        <v>0</v>
      </c>
      <c r="D21" s="5">
        <f t="shared" si="0"/>
        <v>32</v>
      </c>
      <c r="E21" s="6">
        <v>3</v>
      </c>
      <c r="F21" s="4">
        <v>0</v>
      </c>
      <c r="G21" s="5">
        <f t="shared" si="1"/>
        <v>3</v>
      </c>
      <c r="H21" s="9">
        <f t="shared" si="2"/>
        <v>35</v>
      </c>
    </row>
    <row r="22" spans="1:8" ht="15.75" thickBot="1" x14ac:dyDescent="0.3">
      <c r="A22" s="14" t="s">
        <v>13</v>
      </c>
      <c r="B22" s="10">
        <v>24</v>
      </c>
      <c r="C22" s="11">
        <v>19</v>
      </c>
      <c r="D22" s="12">
        <f t="shared" si="0"/>
        <v>43</v>
      </c>
      <c r="E22" s="10">
        <v>3</v>
      </c>
      <c r="F22" s="11">
        <v>22</v>
      </c>
      <c r="G22" s="12">
        <f t="shared" si="1"/>
        <v>25</v>
      </c>
      <c r="H22" s="15">
        <f t="shared" si="2"/>
        <v>68</v>
      </c>
    </row>
    <row r="23" spans="1:8" ht="16.5" thickTop="1" thickBot="1" x14ac:dyDescent="0.3">
      <c r="A23" s="8" t="s">
        <v>0</v>
      </c>
      <c r="B23" s="7">
        <f>SUM(B17:B22)</f>
        <v>8248</v>
      </c>
      <c r="C23" s="7">
        <f t="shared" ref="C23:H23" si="3">SUM(C17:C22)</f>
        <v>174</v>
      </c>
      <c r="D23" s="7">
        <f t="shared" si="3"/>
        <v>8422</v>
      </c>
      <c r="E23" s="7">
        <f t="shared" si="3"/>
        <v>2124</v>
      </c>
      <c r="F23" s="7">
        <f t="shared" si="3"/>
        <v>1297</v>
      </c>
      <c r="G23" s="7">
        <f t="shared" si="3"/>
        <v>3421</v>
      </c>
      <c r="H23" s="7">
        <f t="shared" si="3"/>
        <v>11843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32"/>
  <sheetViews>
    <sheetView view="pageLayout" topLeftCell="A7" zoomScaleNormal="100" workbookViewId="0">
      <selection activeCell="C13" sqref="C13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1997-98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3032</v>
      </c>
      <c r="C9" s="4">
        <v>116</v>
      </c>
      <c r="D9" s="5">
        <f t="shared" ref="D9:D22" si="0">B9+C9</f>
        <v>3148</v>
      </c>
      <c r="E9" s="6">
        <v>969</v>
      </c>
      <c r="F9" s="4">
        <v>704</v>
      </c>
      <c r="G9" s="5">
        <f t="shared" ref="G9:G22" si="1">E9+F9</f>
        <v>1673</v>
      </c>
      <c r="H9" s="9">
        <f>G9+D9</f>
        <v>4821</v>
      </c>
    </row>
    <row r="10" spans="1:8" x14ac:dyDescent="0.25">
      <c r="A10" s="13" t="s">
        <v>7</v>
      </c>
      <c r="B10" s="6">
        <v>2257</v>
      </c>
      <c r="C10" s="4">
        <v>47</v>
      </c>
      <c r="D10" s="5">
        <f t="shared" si="0"/>
        <v>2304</v>
      </c>
      <c r="E10" s="6">
        <v>607</v>
      </c>
      <c r="F10" s="4">
        <v>339</v>
      </c>
      <c r="G10" s="5">
        <f t="shared" si="1"/>
        <v>946</v>
      </c>
      <c r="H10" s="9">
        <f t="shared" ref="H10:H22" si="2">G10+D10</f>
        <v>3250</v>
      </c>
    </row>
    <row r="11" spans="1:8" x14ac:dyDescent="0.25">
      <c r="A11" s="13" t="s">
        <v>8</v>
      </c>
      <c r="B11" s="6">
        <v>613</v>
      </c>
      <c r="C11" s="4">
        <v>4</v>
      </c>
      <c r="D11" s="5">
        <f t="shared" si="0"/>
        <v>617</v>
      </c>
      <c r="E11" s="6">
        <v>136</v>
      </c>
      <c r="F11" s="4">
        <v>30</v>
      </c>
      <c r="G11" s="5">
        <f t="shared" si="1"/>
        <v>166</v>
      </c>
      <c r="H11" s="9">
        <f t="shared" si="2"/>
        <v>783</v>
      </c>
    </row>
    <row r="12" spans="1:8" x14ac:dyDescent="0.25">
      <c r="A12" s="13" t="s">
        <v>9</v>
      </c>
      <c r="B12" s="6">
        <v>310</v>
      </c>
      <c r="C12" s="4">
        <v>4</v>
      </c>
      <c r="D12" s="5">
        <f t="shared" si="0"/>
        <v>314</v>
      </c>
      <c r="E12" s="6">
        <v>93</v>
      </c>
      <c r="F12" s="4">
        <v>13</v>
      </c>
      <c r="G12" s="5">
        <f t="shared" si="1"/>
        <v>106</v>
      </c>
      <c r="H12" s="9">
        <f t="shared" si="2"/>
        <v>420</v>
      </c>
    </row>
    <row r="13" spans="1:8" x14ac:dyDescent="0.25">
      <c r="A13" s="13" t="s">
        <v>10</v>
      </c>
      <c r="B13" s="6">
        <v>304</v>
      </c>
      <c r="C13" s="4">
        <v>7</v>
      </c>
      <c r="D13" s="5">
        <f t="shared" si="0"/>
        <v>311</v>
      </c>
      <c r="E13" s="6">
        <v>83</v>
      </c>
      <c r="F13" s="4">
        <v>17</v>
      </c>
      <c r="G13" s="5">
        <f t="shared" si="1"/>
        <v>100</v>
      </c>
      <c r="H13" s="9">
        <f t="shared" si="2"/>
        <v>411</v>
      </c>
    </row>
    <row r="14" spans="1:8" x14ac:dyDescent="0.25">
      <c r="A14" s="13" t="s">
        <v>11</v>
      </c>
      <c r="B14" s="6">
        <v>556</v>
      </c>
      <c r="C14" s="4">
        <v>6</v>
      </c>
      <c r="D14" s="5">
        <f t="shared" si="0"/>
        <v>562</v>
      </c>
      <c r="E14" s="6">
        <v>143</v>
      </c>
      <c r="F14" s="4">
        <v>42</v>
      </c>
      <c r="G14" s="5">
        <f t="shared" si="1"/>
        <v>185</v>
      </c>
      <c r="H14" s="9">
        <f t="shared" si="2"/>
        <v>747</v>
      </c>
    </row>
    <row r="15" spans="1:8" x14ac:dyDescent="0.25">
      <c r="A15" s="13" t="s">
        <v>12</v>
      </c>
      <c r="B15" s="6">
        <v>272</v>
      </c>
      <c r="C15" s="4">
        <v>7</v>
      </c>
      <c r="D15" s="5">
        <f t="shared" si="0"/>
        <v>279</v>
      </c>
      <c r="E15" s="6">
        <v>75</v>
      </c>
      <c r="F15" s="4">
        <v>86</v>
      </c>
      <c r="G15" s="5">
        <f t="shared" si="1"/>
        <v>161</v>
      </c>
      <c r="H15" s="9">
        <f t="shared" si="2"/>
        <v>440</v>
      </c>
    </row>
    <row r="16" spans="1:8" ht="15.75" thickBot="1" x14ac:dyDescent="0.3">
      <c r="A16" s="14" t="s">
        <v>13</v>
      </c>
      <c r="B16" s="10">
        <v>1</v>
      </c>
      <c r="C16" s="11">
        <v>1</v>
      </c>
      <c r="D16" s="12">
        <f t="shared" si="0"/>
        <v>2</v>
      </c>
      <c r="E16" s="10">
        <v>9</v>
      </c>
      <c r="F16" s="11">
        <v>2</v>
      </c>
      <c r="G16" s="12">
        <f t="shared" si="1"/>
        <v>11</v>
      </c>
      <c r="H16" s="15">
        <f t="shared" si="2"/>
        <v>13</v>
      </c>
    </row>
    <row r="17" spans="1:8" ht="16.5" thickTop="1" thickBot="1" x14ac:dyDescent="0.3">
      <c r="A17" s="16" t="s">
        <v>22</v>
      </c>
      <c r="B17" s="17">
        <f>SUM(B9:B16)</f>
        <v>7345</v>
      </c>
      <c r="C17" s="17">
        <f>SUM(C9:C16)</f>
        <v>192</v>
      </c>
      <c r="D17" s="18">
        <f t="shared" si="0"/>
        <v>7537</v>
      </c>
      <c r="E17" s="17">
        <f>SUM(E9:E16)</f>
        <v>2115</v>
      </c>
      <c r="F17" s="17">
        <f>SUM(F9:F16)</f>
        <v>1233</v>
      </c>
      <c r="G17" s="18">
        <f t="shared" si="1"/>
        <v>3348</v>
      </c>
      <c r="H17" s="19">
        <f t="shared" si="2"/>
        <v>10885</v>
      </c>
    </row>
    <row r="18" spans="1:8" ht="15.75" thickTop="1" x14ac:dyDescent="0.25">
      <c r="A18" s="13" t="s">
        <v>14</v>
      </c>
      <c r="B18" s="6">
        <v>25</v>
      </c>
      <c r="C18" s="4">
        <v>1</v>
      </c>
      <c r="D18" s="5">
        <f t="shared" si="0"/>
        <v>26</v>
      </c>
      <c r="E18" s="6">
        <v>13</v>
      </c>
      <c r="F18" s="4">
        <v>3</v>
      </c>
      <c r="G18" s="5">
        <f t="shared" si="1"/>
        <v>16</v>
      </c>
      <c r="H18" s="9">
        <f t="shared" si="2"/>
        <v>42</v>
      </c>
    </row>
    <row r="19" spans="1:8" x14ac:dyDescent="0.25">
      <c r="A19" s="13" t="s">
        <v>15</v>
      </c>
      <c r="B19" s="6">
        <v>89</v>
      </c>
      <c r="C19" s="4">
        <v>1</v>
      </c>
      <c r="D19" s="5">
        <f t="shared" si="0"/>
        <v>90</v>
      </c>
      <c r="E19" s="6">
        <v>64</v>
      </c>
      <c r="F19" s="4">
        <v>6</v>
      </c>
      <c r="G19" s="5">
        <f t="shared" si="1"/>
        <v>70</v>
      </c>
      <c r="H19" s="9">
        <f t="shared" si="2"/>
        <v>160</v>
      </c>
    </row>
    <row r="20" spans="1:8" x14ac:dyDescent="0.25">
      <c r="A20" s="13" t="s">
        <v>16</v>
      </c>
      <c r="B20" s="6">
        <v>181</v>
      </c>
      <c r="C20" s="4">
        <v>2</v>
      </c>
      <c r="D20" s="5">
        <f t="shared" si="0"/>
        <v>183</v>
      </c>
      <c r="E20" s="6">
        <v>35</v>
      </c>
      <c r="F20" s="4">
        <v>9</v>
      </c>
      <c r="G20" s="5">
        <f t="shared" si="1"/>
        <v>44</v>
      </c>
      <c r="H20" s="9">
        <f t="shared" si="2"/>
        <v>227</v>
      </c>
    </row>
    <row r="21" spans="1:8" x14ac:dyDescent="0.25">
      <c r="A21" s="13" t="s">
        <v>17</v>
      </c>
      <c r="B21" s="6">
        <v>25</v>
      </c>
      <c r="C21" s="4">
        <v>0</v>
      </c>
      <c r="D21" s="5">
        <f t="shared" si="0"/>
        <v>25</v>
      </c>
      <c r="E21" s="6">
        <v>3</v>
      </c>
      <c r="F21" s="4">
        <v>0</v>
      </c>
      <c r="G21" s="5">
        <f t="shared" si="1"/>
        <v>3</v>
      </c>
      <c r="H21" s="9">
        <f t="shared" si="2"/>
        <v>28</v>
      </c>
    </row>
    <row r="22" spans="1:8" ht="15.75" thickBot="1" x14ac:dyDescent="0.3">
      <c r="A22" s="14" t="s">
        <v>13</v>
      </c>
      <c r="B22" s="10">
        <v>21</v>
      </c>
      <c r="C22" s="11">
        <v>25</v>
      </c>
      <c r="D22" s="12">
        <f t="shared" si="0"/>
        <v>46</v>
      </c>
      <c r="E22" s="10">
        <v>5</v>
      </c>
      <c r="F22" s="11">
        <v>13</v>
      </c>
      <c r="G22" s="12">
        <f t="shared" si="1"/>
        <v>18</v>
      </c>
      <c r="H22" s="15">
        <f t="shared" si="2"/>
        <v>64</v>
      </c>
    </row>
    <row r="23" spans="1:8" ht="16.5" thickTop="1" thickBot="1" x14ac:dyDescent="0.3">
      <c r="A23" s="8" t="s">
        <v>0</v>
      </c>
      <c r="B23" s="7">
        <f>SUM(B17:B22)</f>
        <v>7686</v>
      </c>
      <c r="C23" s="7">
        <f t="shared" ref="C23:H23" si="3">SUM(C17:C22)</f>
        <v>221</v>
      </c>
      <c r="D23" s="7">
        <f t="shared" si="3"/>
        <v>7907</v>
      </c>
      <c r="E23" s="7">
        <f t="shared" si="3"/>
        <v>2235</v>
      </c>
      <c r="F23" s="7">
        <f t="shared" si="3"/>
        <v>1264</v>
      </c>
      <c r="G23" s="7">
        <f t="shared" si="3"/>
        <v>3499</v>
      </c>
      <c r="H23" s="7">
        <f t="shared" si="3"/>
        <v>11406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32"/>
  <sheetViews>
    <sheetView view="pageLayout" zoomScale="70" zoomScaleNormal="100" zoomScalePageLayoutView="70" workbookViewId="0">
      <selection activeCell="A17" sqref="A17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1996-97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2889</v>
      </c>
      <c r="C9" s="4">
        <v>67</v>
      </c>
      <c r="D9" s="5">
        <f t="shared" ref="D9:D22" si="0">B9+C9</f>
        <v>2956</v>
      </c>
      <c r="E9" s="6">
        <v>985</v>
      </c>
      <c r="F9" s="4">
        <v>702</v>
      </c>
      <c r="G9" s="5">
        <f t="shared" ref="G9:G22" si="1">E9+F9</f>
        <v>1687</v>
      </c>
      <c r="H9" s="9">
        <f>G9+D9</f>
        <v>4643</v>
      </c>
    </row>
    <row r="10" spans="1:8" x14ac:dyDescent="0.25">
      <c r="A10" s="13" t="s">
        <v>7</v>
      </c>
      <c r="B10" s="6">
        <v>2228</v>
      </c>
      <c r="C10" s="4">
        <v>30</v>
      </c>
      <c r="D10" s="5">
        <f t="shared" si="0"/>
        <v>2258</v>
      </c>
      <c r="E10" s="6">
        <v>562</v>
      </c>
      <c r="F10" s="4">
        <v>312</v>
      </c>
      <c r="G10" s="5">
        <f t="shared" si="1"/>
        <v>874</v>
      </c>
      <c r="H10" s="9">
        <f t="shared" ref="H10:H22" si="2">G10+D10</f>
        <v>3132</v>
      </c>
    </row>
    <row r="11" spans="1:8" x14ac:dyDescent="0.25">
      <c r="A11" s="13" t="s">
        <v>8</v>
      </c>
      <c r="B11" s="6">
        <v>602</v>
      </c>
      <c r="C11" s="4">
        <v>6</v>
      </c>
      <c r="D11" s="5">
        <f t="shared" si="0"/>
        <v>608</v>
      </c>
      <c r="E11" s="6">
        <v>119</v>
      </c>
      <c r="F11" s="4">
        <v>28</v>
      </c>
      <c r="G11" s="5">
        <f t="shared" si="1"/>
        <v>147</v>
      </c>
      <c r="H11" s="9">
        <f t="shared" si="2"/>
        <v>755</v>
      </c>
    </row>
    <row r="12" spans="1:8" x14ac:dyDescent="0.25">
      <c r="A12" s="13" t="s">
        <v>9</v>
      </c>
      <c r="B12" s="6">
        <v>319</v>
      </c>
      <c r="C12" s="4">
        <v>4</v>
      </c>
      <c r="D12" s="5">
        <f t="shared" si="0"/>
        <v>323</v>
      </c>
      <c r="E12" s="6">
        <v>72</v>
      </c>
      <c r="F12" s="4">
        <v>23</v>
      </c>
      <c r="G12" s="5">
        <f t="shared" si="1"/>
        <v>95</v>
      </c>
      <c r="H12" s="9">
        <f t="shared" si="2"/>
        <v>418</v>
      </c>
    </row>
    <row r="13" spans="1:8" x14ac:dyDescent="0.25">
      <c r="A13" s="13" t="s">
        <v>10</v>
      </c>
      <c r="B13" s="6">
        <v>313</v>
      </c>
      <c r="C13" s="4">
        <v>2</v>
      </c>
      <c r="D13" s="5">
        <f t="shared" si="0"/>
        <v>315</v>
      </c>
      <c r="E13" s="6">
        <v>81</v>
      </c>
      <c r="F13" s="4">
        <v>13</v>
      </c>
      <c r="G13" s="5">
        <f t="shared" si="1"/>
        <v>94</v>
      </c>
      <c r="H13" s="9">
        <f t="shared" si="2"/>
        <v>409</v>
      </c>
    </row>
    <row r="14" spans="1:8" x14ac:dyDescent="0.25">
      <c r="A14" s="13" t="s">
        <v>11</v>
      </c>
      <c r="B14" s="6">
        <v>564</v>
      </c>
      <c r="C14" s="4">
        <v>6</v>
      </c>
      <c r="D14" s="5">
        <f t="shared" si="0"/>
        <v>570</v>
      </c>
      <c r="E14" s="6">
        <v>142</v>
      </c>
      <c r="F14" s="4">
        <v>42</v>
      </c>
      <c r="G14" s="5">
        <f t="shared" si="1"/>
        <v>184</v>
      </c>
      <c r="H14" s="9">
        <f t="shared" si="2"/>
        <v>754</v>
      </c>
    </row>
    <row r="15" spans="1:8" x14ac:dyDescent="0.25">
      <c r="A15" s="13" t="s">
        <v>12</v>
      </c>
      <c r="B15" s="6">
        <v>276</v>
      </c>
      <c r="C15" s="4">
        <v>1</v>
      </c>
      <c r="D15" s="5">
        <f t="shared" si="0"/>
        <v>277</v>
      </c>
      <c r="E15" s="6">
        <v>76</v>
      </c>
      <c r="F15" s="4">
        <v>32</v>
      </c>
      <c r="G15" s="5">
        <f t="shared" si="1"/>
        <v>108</v>
      </c>
      <c r="H15" s="9">
        <f t="shared" si="2"/>
        <v>385</v>
      </c>
    </row>
    <row r="16" spans="1:8" ht="15.75" thickBot="1" x14ac:dyDescent="0.3">
      <c r="A16" s="14" t="s">
        <v>13</v>
      </c>
      <c r="B16" s="10">
        <v>0</v>
      </c>
      <c r="C16" s="11">
        <v>0</v>
      </c>
      <c r="D16" s="12">
        <f t="shared" si="0"/>
        <v>0</v>
      </c>
      <c r="E16" s="10">
        <v>5</v>
      </c>
      <c r="F16" s="11">
        <v>0</v>
      </c>
      <c r="G16" s="12">
        <f t="shared" si="1"/>
        <v>5</v>
      </c>
      <c r="H16" s="15">
        <f t="shared" si="2"/>
        <v>5</v>
      </c>
    </row>
    <row r="17" spans="1:8" ht="16.5" thickTop="1" thickBot="1" x14ac:dyDescent="0.3">
      <c r="A17" s="16" t="s">
        <v>22</v>
      </c>
      <c r="B17" s="17">
        <f>SUM(B9:B16)</f>
        <v>7191</v>
      </c>
      <c r="C17" s="17">
        <f>SUM(C9:C16)</f>
        <v>116</v>
      </c>
      <c r="D17" s="18">
        <f t="shared" si="0"/>
        <v>7307</v>
      </c>
      <c r="E17" s="17">
        <f>SUM(E9:E16)</f>
        <v>2042</v>
      </c>
      <c r="F17" s="17">
        <f>SUM(F9:F16)</f>
        <v>1152</v>
      </c>
      <c r="G17" s="18">
        <f t="shared" si="1"/>
        <v>3194</v>
      </c>
      <c r="H17" s="19">
        <f t="shared" si="2"/>
        <v>10501</v>
      </c>
    </row>
    <row r="18" spans="1:8" ht="15.75" thickTop="1" x14ac:dyDescent="0.25">
      <c r="A18" s="13" t="s">
        <v>14</v>
      </c>
      <c r="B18" s="6">
        <v>31</v>
      </c>
      <c r="C18" s="4">
        <v>0</v>
      </c>
      <c r="D18" s="5">
        <f t="shared" si="0"/>
        <v>31</v>
      </c>
      <c r="E18" s="6">
        <v>12</v>
      </c>
      <c r="F18" s="4">
        <v>4</v>
      </c>
      <c r="G18" s="5">
        <f t="shared" si="1"/>
        <v>16</v>
      </c>
      <c r="H18" s="9">
        <f t="shared" si="2"/>
        <v>47</v>
      </c>
    </row>
    <row r="19" spans="1:8" x14ac:dyDescent="0.25">
      <c r="A19" s="13" t="s">
        <v>15</v>
      </c>
      <c r="B19" s="6">
        <v>79</v>
      </c>
      <c r="C19" s="4">
        <v>1</v>
      </c>
      <c r="D19" s="5">
        <f t="shared" si="0"/>
        <v>80</v>
      </c>
      <c r="E19" s="6">
        <v>64</v>
      </c>
      <c r="F19" s="4">
        <v>7</v>
      </c>
      <c r="G19" s="5">
        <f t="shared" si="1"/>
        <v>71</v>
      </c>
      <c r="H19" s="9">
        <f t="shared" si="2"/>
        <v>151</v>
      </c>
    </row>
    <row r="20" spans="1:8" x14ac:dyDescent="0.25">
      <c r="A20" s="13" t="s">
        <v>16</v>
      </c>
      <c r="B20" s="6">
        <v>171</v>
      </c>
      <c r="C20" s="4">
        <v>1</v>
      </c>
      <c r="D20" s="5">
        <f t="shared" si="0"/>
        <v>172</v>
      </c>
      <c r="E20" s="6">
        <v>30</v>
      </c>
      <c r="F20" s="4">
        <v>9</v>
      </c>
      <c r="G20" s="5">
        <f t="shared" si="1"/>
        <v>39</v>
      </c>
      <c r="H20" s="9">
        <f t="shared" si="2"/>
        <v>211</v>
      </c>
    </row>
    <row r="21" spans="1:8" x14ac:dyDescent="0.25">
      <c r="A21" s="13" t="s">
        <v>17</v>
      </c>
      <c r="B21" s="6">
        <v>19</v>
      </c>
      <c r="C21" s="4">
        <v>0</v>
      </c>
      <c r="D21" s="5">
        <f t="shared" si="0"/>
        <v>19</v>
      </c>
      <c r="E21" s="6">
        <v>2</v>
      </c>
      <c r="F21" s="4">
        <v>0</v>
      </c>
      <c r="G21" s="5">
        <f t="shared" si="1"/>
        <v>2</v>
      </c>
      <c r="H21" s="9">
        <f t="shared" si="2"/>
        <v>21</v>
      </c>
    </row>
    <row r="22" spans="1:8" ht="15.75" thickBot="1" x14ac:dyDescent="0.3">
      <c r="A22" s="14" t="s">
        <v>13</v>
      </c>
      <c r="B22" s="10">
        <v>10</v>
      </c>
      <c r="C22" s="11">
        <v>23</v>
      </c>
      <c r="D22" s="12">
        <f t="shared" si="0"/>
        <v>33</v>
      </c>
      <c r="E22" s="10">
        <v>5</v>
      </c>
      <c r="F22" s="11">
        <v>5</v>
      </c>
      <c r="G22" s="12">
        <f t="shared" si="1"/>
        <v>10</v>
      </c>
      <c r="H22" s="15">
        <f t="shared" si="2"/>
        <v>43</v>
      </c>
    </row>
    <row r="23" spans="1:8" ht="16.5" thickTop="1" thickBot="1" x14ac:dyDescent="0.3">
      <c r="A23" s="8" t="s">
        <v>0</v>
      </c>
      <c r="B23" s="7">
        <f>SUM(B17:B22)</f>
        <v>7501</v>
      </c>
      <c r="C23" s="7">
        <f t="shared" ref="C23:H23" si="3">SUM(C17:C22)</f>
        <v>141</v>
      </c>
      <c r="D23" s="7">
        <f t="shared" si="3"/>
        <v>7642</v>
      </c>
      <c r="E23" s="7">
        <f t="shared" si="3"/>
        <v>2155</v>
      </c>
      <c r="F23" s="7">
        <f t="shared" si="3"/>
        <v>1177</v>
      </c>
      <c r="G23" s="7">
        <f t="shared" si="3"/>
        <v>3332</v>
      </c>
      <c r="H23" s="7">
        <f t="shared" si="3"/>
        <v>10974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8:H8"/>
    <mergeCell ref="A25:H25"/>
    <mergeCell ref="A27:H27"/>
    <mergeCell ref="A30:H30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&amp;A&amp;C
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32"/>
  <sheetViews>
    <sheetView view="pageLayout" topLeftCell="A19" zoomScaleNormal="100" workbookViewId="0">
      <selection activeCell="B44" sqref="B44"/>
    </sheetView>
  </sheetViews>
  <sheetFormatPr defaultColWidth="9.140625" defaultRowHeight="15" x14ac:dyDescent="0.25"/>
  <cols>
    <col min="1" max="1" width="29.28515625" bestFit="1" customWidth="1"/>
    <col min="2" max="8" width="7.42578125" customWidth="1"/>
  </cols>
  <sheetData>
    <row r="1" spans="1:8" ht="18" x14ac:dyDescent="0.25">
      <c r="A1" s="1" t="s">
        <v>3</v>
      </c>
      <c r="B1" s="3"/>
    </row>
    <row r="2" spans="1:8" x14ac:dyDescent="0.25">
      <c r="A2" s="27" t="s">
        <v>23</v>
      </c>
      <c r="B2" s="27"/>
      <c r="C2" s="27"/>
      <c r="D2" s="27"/>
      <c r="E2" s="27"/>
      <c r="F2" s="27"/>
      <c r="G2" s="27"/>
      <c r="H2" s="27"/>
    </row>
    <row r="3" spans="1:8" x14ac:dyDescent="0.25">
      <c r="A3" s="2" t="str">
        <f ca="1">RIGHT(CELL("filename",A1),LEN(CELL("filename",A1))-FIND("]",CELL("filename",A1)))</f>
        <v>1995-96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8" t="s">
        <v>4</v>
      </c>
      <c r="B5" s="31" t="s">
        <v>1</v>
      </c>
      <c r="C5" s="32"/>
      <c r="D5" s="32"/>
      <c r="E5" s="31" t="s">
        <v>2</v>
      </c>
      <c r="F5" s="32"/>
      <c r="G5" s="32"/>
      <c r="H5" s="33" t="s">
        <v>0</v>
      </c>
    </row>
    <row r="6" spans="1:8" ht="15" customHeight="1" x14ac:dyDescent="0.25">
      <c r="A6" s="29"/>
      <c r="B6" s="36" t="s">
        <v>20</v>
      </c>
      <c r="C6" s="38" t="s">
        <v>21</v>
      </c>
      <c r="D6" s="40" t="s">
        <v>0</v>
      </c>
      <c r="E6" s="36" t="s">
        <v>20</v>
      </c>
      <c r="F6" s="38" t="s">
        <v>21</v>
      </c>
      <c r="G6" s="40" t="s">
        <v>0</v>
      </c>
      <c r="H6" s="34"/>
    </row>
    <row r="7" spans="1:8" x14ac:dyDescent="0.25">
      <c r="A7" s="30"/>
      <c r="B7" s="37"/>
      <c r="C7" s="39"/>
      <c r="D7" s="41"/>
      <c r="E7" s="37"/>
      <c r="F7" s="39"/>
      <c r="G7" s="41"/>
      <c r="H7" s="35"/>
    </row>
    <row r="8" spans="1:8" ht="15.75" thickBot="1" x14ac:dyDescent="0.3">
      <c r="A8" s="23" t="s">
        <v>5</v>
      </c>
      <c r="B8" s="24"/>
      <c r="C8" s="24"/>
      <c r="D8" s="24"/>
      <c r="E8" s="24"/>
      <c r="F8" s="24"/>
      <c r="G8" s="24"/>
      <c r="H8" s="25"/>
    </row>
    <row r="9" spans="1:8" ht="15.75" thickTop="1" x14ac:dyDescent="0.25">
      <c r="A9" s="13" t="s">
        <v>6</v>
      </c>
      <c r="B9" s="6">
        <v>2872</v>
      </c>
      <c r="C9" s="4">
        <v>47</v>
      </c>
      <c r="D9" s="5">
        <f t="shared" ref="D9:D22" si="0">B9+C9</f>
        <v>2919</v>
      </c>
      <c r="E9" s="6">
        <v>872</v>
      </c>
      <c r="F9" s="4">
        <v>599</v>
      </c>
      <c r="G9" s="5">
        <f t="shared" ref="G9:G22" si="1">E9+F9</f>
        <v>1471</v>
      </c>
      <c r="H9" s="9">
        <f>G9+D9</f>
        <v>4390</v>
      </c>
    </row>
    <row r="10" spans="1:8" x14ac:dyDescent="0.25">
      <c r="A10" s="13" t="s">
        <v>7</v>
      </c>
      <c r="B10" s="6">
        <v>2230</v>
      </c>
      <c r="C10" s="4">
        <v>25</v>
      </c>
      <c r="D10" s="5">
        <f t="shared" si="0"/>
        <v>2255</v>
      </c>
      <c r="E10" s="6">
        <v>473</v>
      </c>
      <c r="F10" s="4">
        <v>291</v>
      </c>
      <c r="G10" s="5">
        <f t="shared" si="1"/>
        <v>764</v>
      </c>
      <c r="H10" s="9">
        <f t="shared" ref="H10:H22" si="2">G10+D10</f>
        <v>3019</v>
      </c>
    </row>
    <row r="11" spans="1:8" x14ac:dyDescent="0.25">
      <c r="A11" s="13" t="s">
        <v>8</v>
      </c>
      <c r="B11" s="6">
        <v>593</v>
      </c>
      <c r="C11" s="4">
        <v>4</v>
      </c>
      <c r="D11" s="5">
        <f t="shared" si="0"/>
        <v>597</v>
      </c>
      <c r="E11" s="6">
        <v>113</v>
      </c>
      <c r="F11" s="4">
        <v>31</v>
      </c>
      <c r="G11" s="5">
        <f t="shared" si="1"/>
        <v>144</v>
      </c>
      <c r="H11" s="9">
        <f t="shared" si="2"/>
        <v>741</v>
      </c>
    </row>
    <row r="12" spans="1:8" x14ac:dyDescent="0.25">
      <c r="A12" s="13" t="s">
        <v>9</v>
      </c>
      <c r="B12" s="6">
        <v>318</v>
      </c>
      <c r="C12" s="4">
        <v>5</v>
      </c>
      <c r="D12" s="5">
        <f t="shared" si="0"/>
        <v>323</v>
      </c>
      <c r="E12" s="6">
        <v>67</v>
      </c>
      <c r="F12" s="4">
        <v>25</v>
      </c>
      <c r="G12" s="5">
        <f t="shared" si="1"/>
        <v>92</v>
      </c>
      <c r="H12" s="9">
        <f t="shared" si="2"/>
        <v>415</v>
      </c>
    </row>
    <row r="13" spans="1:8" x14ac:dyDescent="0.25">
      <c r="A13" s="13" t="s">
        <v>10</v>
      </c>
      <c r="B13" s="6">
        <v>286</v>
      </c>
      <c r="C13" s="4">
        <v>5</v>
      </c>
      <c r="D13" s="5">
        <f t="shared" si="0"/>
        <v>291</v>
      </c>
      <c r="E13" s="6">
        <v>86</v>
      </c>
      <c r="F13" s="4">
        <v>13</v>
      </c>
      <c r="G13" s="5">
        <f t="shared" si="1"/>
        <v>99</v>
      </c>
      <c r="H13" s="9">
        <f t="shared" si="2"/>
        <v>390</v>
      </c>
    </row>
    <row r="14" spans="1:8" x14ac:dyDescent="0.25">
      <c r="A14" s="13" t="s">
        <v>11</v>
      </c>
      <c r="B14" s="6">
        <v>578</v>
      </c>
      <c r="C14" s="4">
        <v>10</v>
      </c>
      <c r="D14" s="5">
        <f t="shared" si="0"/>
        <v>588</v>
      </c>
      <c r="E14" s="6">
        <v>147</v>
      </c>
      <c r="F14" s="4">
        <v>44</v>
      </c>
      <c r="G14" s="5">
        <f t="shared" si="1"/>
        <v>191</v>
      </c>
      <c r="H14" s="9">
        <f t="shared" si="2"/>
        <v>779</v>
      </c>
    </row>
    <row r="15" spans="1:8" x14ac:dyDescent="0.25">
      <c r="A15" s="13" t="s">
        <v>12</v>
      </c>
      <c r="B15" s="6">
        <v>276</v>
      </c>
      <c r="C15" s="4">
        <v>2</v>
      </c>
      <c r="D15" s="5">
        <f t="shared" si="0"/>
        <v>278</v>
      </c>
      <c r="E15" s="6">
        <v>72</v>
      </c>
      <c r="F15" s="4">
        <v>34</v>
      </c>
      <c r="G15" s="5">
        <f t="shared" si="1"/>
        <v>106</v>
      </c>
      <c r="H15" s="9">
        <f t="shared" si="2"/>
        <v>384</v>
      </c>
    </row>
    <row r="16" spans="1:8" ht="15.75" thickBot="1" x14ac:dyDescent="0.3">
      <c r="A16" s="14" t="s">
        <v>13</v>
      </c>
      <c r="B16" s="10">
        <v>0</v>
      </c>
      <c r="C16" s="11">
        <v>0</v>
      </c>
      <c r="D16" s="12">
        <f t="shared" si="0"/>
        <v>0</v>
      </c>
      <c r="E16" s="10">
        <v>2</v>
      </c>
      <c r="F16" s="11">
        <v>2</v>
      </c>
      <c r="G16" s="12">
        <f t="shared" si="1"/>
        <v>4</v>
      </c>
      <c r="H16" s="15">
        <f t="shared" si="2"/>
        <v>4</v>
      </c>
    </row>
    <row r="17" spans="1:8" ht="16.5" thickTop="1" thickBot="1" x14ac:dyDescent="0.3">
      <c r="A17" s="16" t="s">
        <v>22</v>
      </c>
      <c r="B17" s="17">
        <f>SUM(B9:B16)</f>
        <v>7153</v>
      </c>
      <c r="C17" s="17">
        <f>SUM(C9:C16)</f>
        <v>98</v>
      </c>
      <c r="D17" s="18">
        <f t="shared" si="0"/>
        <v>7251</v>
      </c>
      <c r="E17" s="17">
        <f>SUM(E9:E16)</f>
        <v>1832</v>
      </c>
      <c r="F17" s="17">
        <f>SUM(F9:F16)</f>
        <v>1039</v>
      </c>
      <c r="G17" s="18">
        <f t="shared" si="1"/>
        <v>2871</v>
      </c>
      <c r="H17" s="19">
        <f t="shared" si="2"/>
        <v>10122</v>
      </c>
    </row>
    <row r="18" spans="1:8" ht="15.75" thickTop="1" x14ac:dyDescent="0.25">
      <c r="A18" s="13" t="s">
        <v>14</v>
      </c>
      <c r="B18" s="6">
        <v>28</v>
      </c>
      <c r="C18" s="4">
        <v>0</v>
      </c>
      <c r="D18" s="5">
        <f t="shared" si="0"/>
        <v>28</v>
      </c>
      <c r="E18" s="6">
        <v>7</v>
      </c>
      <c r="F18" s="4">
        <v>4</v>
      </c>
      <c r="G18" s="5">
        <f t="shared" si="1"/>
        <v>11</v>
      </c>
      <c r="H18" s="9">
        <f t="shared" si="2"/>
        <v>39</v>
      </c>
    </row>
    <row r="19" spans="1:8" x14ac:dyDescent="0.25">
      <c r="A19" s="13" t="s">
        <v>15</v>
      </c>
      <c r="B19" s="6">
        <v>76</v>
      </c>
      <c r="C19" s="4">
        <v>0</v>
      </c>
      <c r="D19" s="5">
        <f t="shared" si="0"/>
        <v>76</v>
      </c>
      <c r="E19" s="6">
        <v>48</v>
      </c>
      <c r="F19" s="4">
        <v>10</v>
      </c>
      <c r="G19" s="5">
        <f t="shared" si="1"/>
        <v>58</v>
      </c>
      <c r="H19" s="9">
        <f t="shared" si="2"/>
        <v>134</v>
      </c>
    </row>
    <row r="20" spans="1:8" x14ac:dyDescent="0.25">
      <c r="A20" s="13" t="s">
        <v>16</v>
      </c>
      <c r="B20" s="6">
        <v>177</v>
      </c>
      <c r="C20" s="4">
        <v>0</v>
      </c>
      <c r="D20" s="5">
        <f t="shared" si="0"/>
        <v>177</v>
      </c>
      <c r="E20" s="6">
        <v>43</v>
      </c>
      <c r="F20" s="4">
        <v>12</v>
      </c>
      <c r="G20" s="5">
        <f t="shared" si="1"/>
        <v>55</v>
      </c>
      <c r="H20" s="9">
        <f t="shared" si="2"/>
        <v>232</v>
      </c>
    </row>
    <row r="21" spans="1:8" x14ac:dyDescent="0.25">
      <c r="A21" s="13" t="s">
        <v>17</v>
      </c>
      <c r="B21" s="6">
        <v>16</v>
      </c>
      <c r="C21" s="4">
        <v>0</v>
      </c>
      <c r="D21" s="5">
        <f t="shared" si="0"/>
        <v>16</v>
      </c>
      <c r="E21" s="6">
        <v>3</v>
      </c>
      <c r="F21" s="4">
        <v>1</v>
      </c>
      <c r="G21" s="5">
        <f t="shared" si="1"/>
        <v>4</v>
      </c>
      <c r="H21" s="9">
        <f t="shared" si="2"/>
        <v>20</v>
      </c>
    </row>
    <row r="22" spans="1:8" ht="15.75" thickBot="1" x14ac:dyDescent="0.3">
      <c r="A22" s="14" t="s">
        <v>13</v>
      </c>
      <c r="B22" s="10">
        <v>10</v>
      </c>
      <c r="C22" s="11">
        <v>23</v>
      </c>
      <c r="D22" s="12">
        <f t="shared" si="0"/>
        <v>33</v>
      </c>
      <c r="E22" s="10">
        <v>4</v>
      </c>
      <c r="F22" s="11">
        <v>5</v>
      </c>
      <c r="G22" s="12">
        <f t="shared" si="1"/>
        <v>9</v>
      </c>
      <c r="H22" s="15">
        <f t="shared" si="2"/>
        <v>42</v>
      </c>
    </row>
    <row r="23" spans="1:8" ht="16.5" thickTop="1" thickBot="1" x14ac:dyDescent="0.3">
      <c r="A23" s="8" t="s">
        <v>0</v>
      </c>
      <c r="B23" s="7">
        <f>SUM(B17:B22)</f>
        <v>7460</v>
      </c>
      <c r="C23" s="7">
        <f t="shared" ref="C23:E23" si="3">SUM(C17:C22)</f>
        <v>121</v>
      </c>
      <c r="D23" s="7">
        <f t="shared" si="3"/>
        <v>7581</v>
      </c>
      <c r="E23" s="7">
        <f t="shared" si="3"/>
        <v>1937</v>
      </c>
      <c r="F23" s="7">
        <f t="shared" ref="F23" si="4">SUM(F17:F22)</f>
        <v>1071</v>
      </c>
      <c r="G23" s="7">
        <f t="shared" ref="G23:H23" si="5">SUM(G17:G22)</f>
        <v>3008</v>
      </c>
      <c r="H23" s="7">
        <f t="shared" si="5"/>
        <v>10589</v>
      </c>
    </row>
    <row r="25" spans="1:8" ht="30.75" customHeight="1" x14ac:dyDescent="0.25">
      <c r="A25" s="26" t="s">
        <v>18</v>
      </c>
      <c r="B25" s="26"/>
      <c r="C25" s="26"/>
      <c r="D25" s="26"/>
      <c r="E25" s="26"/>
      <c r="F25" s="26"/>
      <c r="G25" s="26"/>
      <c r="H25" s="26"/>
    </row>
    <row r="26" spans="1:8" x14ac:dyDescent="0.25">
      <c r="A26" s="20"/>
      <c r="B26" s="20"/>
      <c r="C26" s="20"/>
      <c r="D26" s="20"/>
      <c r="E26" s="20"/>
      <c r="F26" s="20"/>
      <c r="G26" s="20"/>
      <c r="H26" s="20"/>
    </row>
    <row r="27" spans="1:8" ht="30" customHeight="1" x14ac:dyDescent="0.25">
      <c r="A27" s="26" t="s">
        <v>19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</sheetData>
  <mergeCells count="15">
    <mergeCell ref="A2:H2"/>
    <mergeCell ref="A30:H30"/>
    <mergeCell ref="B5:D5"/>
    <mergeCell ref="A5:A7"/>
    <mergeCell ref="B6:B7"/>
    <mergeCell ref="C6:C7"/>
    <mergeCell ref="D6:D7"/>
    <mergeCell ref="E6:E7"/>
    <mergeCell ref="F6:F7"/>
    <mergeCell ref="G6:G7"/>
    <mergeCell ref="H5:H7"/>
    <mergeCell ref="A8:H8"/>
    <mergeCell ref="E5:G5"/>
    <mergeCell ref="A25:H25"/>
    <mergeCell ref="A27:H2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1998-99</vt:lpstr>
      <vt:lpstr>1997-98</vt:lpstr>
      <vt:lpstr>1996-97</vt:lpstr>
      <vt:lpstr>1995-96</vt:lpstr>
      <vt:lpstr>'1995-96'!Print_Titles</vt:lpstr>
      <vt:lpstr>'1996-97'!Print_Titles</vt:lpstr>
      <vt:lpstr>'1997-98'!Print_Titles</vt:lpstr>
      <vt:lpstr>'1998-99'!Print_Titles</vt:lpstr>
      <vt:lpstr>'1999-00'!Print_Titles</vt:lpstr>
      <vt:lpstr>'2000-01'!Print_Titles</vt:lpstr>
      <vt:lpstr>'2001-02'!Print_Titles</vt:lpstr>
      <vt:lpstr>'2002-03'!Print_Titles</vt:lpstr>
      <vt:lpstr>'2003-04'!Print_Titles</vt:lpstr>
      <vt:lpstr>'2004-05'!Print_Titles</vt:lpstr>
      <vt:lpstr>'2005-06'!Print_Titles</vt:lpstr>
      <vt:lpstr>'2006-07'!Print_Titles</vt:lpstr>
      <vt:lpstr>'2007-08'!Print_Titles</vt:lpstr>
      <vt:lpstr>'2008-09'!Print_Titles</vt:lpstr>
      <vt:lpstr>'2009-10'!Print_Titles</vt:lpstr>
      <vt:lpstr>'2010-11'!Print_Titles</vt:lpstr>
      <vt:lpstr>'2011-12'!Print_Titles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2013-06-18T15:01:39Z</cp:lastPrinted>
  <dcterms:created xsi:type="dcterms:W3CDTF">2013-05-17T14:02:41Z</dcterms:created>
  <dcterms:modified xsi:type="dcterms:W3CDTF">2013-06-18T15:16:31Z</dcterms:modified>
</cp:coreProperties>
</file>